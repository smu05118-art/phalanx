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BS연결!$C$5:$AO$102</definedName>
    <definedName name="BS별도H">BS별도!$C$1:$AO$1</definedName>
    <definedName name="BS별도">BS별도!$C$5:$AO$92</definedName>
    <definedName name="SUBQH">subQ!$A$1:$AO$1</definedName>
    <definedName name="subQ">subQ!$A$5:$AO$40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이동합(t−0) 80223억 × 비례계수 0.0076 × 계절비중 Q3 0.233(계절비중 — 최근 3개 연도(2026, 2025, 2024) 분기/연간 비중 평균; 격자 lag0~4×창8/12/19×수준·YoY·4Q합 중 최대 r=0.84, n=8, 창 8)</t>
      </text>
    </comment>
    <comment ref="AD21" authorId="0" shapeId="0">
      <text>
        <t>모델값 역산(implied): v / 전년동기 − 1
고객지수 4분기 이동합(t−0) 85179억 × 비례계수 0.0076 × 계절비중 Q4 0.310(계절비중 — 최근 3개 연도(2026, 2025, 2024) 분기/연간 비중 평균; 격자 lag0~4×창8/12/19×수준·YoY·4Q합 중 최대 r=0.84, n=8, 창 8)</t>
      </text>
    </comment>
    <comment ref="AF21" authorId="0" shapeId="0">
      <text>
        <t>모델값 역산(implied): v / 전년동기 − 1
고객지수 4분기 이동합(t−0) 88295억 × 비례계수 0.0076 × 계절비중 Q1 0.221(계절비중 — 최근 3개 연도(2026, 2025, 2024) 분기/연간 비중 평균; 격자 lag0~4×창8/12/19×수준·YoY·4Q합 중 최대 r=0.84, n=8, 창 8)</t>
      </text>
    </comment>
    <comment ref="AG21" authorId="0" shapeId="0">
      <text>
        <t>모델값 역산(implied): v / 전년동기 − 1
고객지수 4분기 이동합(t−0) 91206억 × 비례계수 0.0076 × 계절비중 Q2 0.236(계절비중 — 최근 3개 연도(2026, 2025, 2024) 분기/연간 비중 평균; 격자 lag0~4×창8/12/19×수준·YoY·4Q합 중 최대 r=0.84, n=8, 창 8)</t>
      </text>
    </comment>
    <comment ref="AH21" authorId="0" shapeId="0">
      <text>
        <t>모델값 역산(implied): v / 전년동기 − 1
고객지수 4분기 이동합(t−0) 94568억 × 비례계수 0.0076 × 계절비중 Q3 0.233(계절비중 — 최근 3개 연도(2026, 2025, 2024) 분기/연간 비중 평균; 격자 lag0~4×창8/12/19×수준·YoY·4Q합 중 최대 r=0.84, n=8, 창 8)</t>
      </text>
    </comment>
    <comment ref="AI21" authorId="0" shapeId="0">
      <text>
        <t>모델값 역산(implied): v / 전년동기 − 1
고객지수 4분기 이동합(t−0) 99251억 × 비례계수 0.0076 × 계절비중 Q4 0.310(계절비중 — 최근 3개 연도(2026, 2025, 2024) 분기/연간 비중 평균; 격자 lag0~4×창8/12/19×수준·YoY·4Q합 중 최대 r=0.84, n=8, 창 8)</t>
      </text>
    </comment>
    <comment ref="AK21" authorId="0" shapeId="0">
      <text>
        <t>모델값 역산(implied): v / 전년동기 − 1
고객지수 4분기 이동합(t−0) 105030억 × 비례계수 0.0076 × 계절비중 Q1 0.221(계절비중 — 최근 3개 연도(2026, 2025, 2024) 분기/연간 비중 평균; 격자 lag0~4×창8/12/19×수준·YoY·4Q합 중 최대 r=0.84, n=8, 창 8)</t>
      </text>
    </comment>
    <comment ref="AL21" authorId="0" shapeId="0">
      <text>
        <t>모델값 역산(implied): v / 전년동기 − 1
고객지수 4분기 이동합(t−0) 111381억 × 비례계수 0.0076 × 계절비중 Q2 0.236(계절비중 — 최근 3개 연도(2026, 2025, 2024) 분기/연간 비중 평균; 격자 lag0~4×창8/12/19×수준·YoY·4Q합 중 최대 r=0.84, n=8, 창 8)</t>
      </text>
    </comment>
    <comment ref="AM21" authorId="0" shapeId="0">
      <text>
        <t>모델값 역산(implied): v / 전년동기 − 1
고객지수 4분기 이동합(t−0) 117805억 × 비례계수 0.0076 × 계절비중 Q3 0.233(계절비중 — 최근 3개 연도(2026, 2025, 2024) 분기/연간 비중 평균; 격자 lag0~4×창8/12/19×수준·YoY·4Q합 중 최대 r=0.84, n=8, 창 8)</t>
      </text>
    </comment>
    <comment ref="AN21" authorId="0" shapeId="0">
      <text>
        <t>모델값 역산(implied): v / 전년동기 − 1
고객지수 4분기 이동합(t−0) 123634억 × 비례계수 0.0076 × 계절비중 Q4 0.310(계절비중 — 최근 3개 연도(2026, 2025, 2024) 분기/연간 비중 평균; 격자 lag0~4×창8/12/19×수준·YoY·4Q합 중 최대 r=0.84, n=8, 창 8)</t>
      </text>
    </comment>
    <comment ref="AC22" authorId="0" shapeId="0">
      <text>
        <t>3절 스칼라 '판관비율' 참조 — 숫자로 덮어쓰면 이 분기만 바뀐다
매출액 × 판관비율 12.31%(최근 4분기 중위)</t>
      </text>
    </comment>
    <comment ref="AD22" authorId="0" shapeId="0">
      <text>
        <t>3절 스칼라 '판관비율' 참조 — 숫자로 덮어쓰면 이 분기만 바뀐다
매출액 × 판관비율 12.31%(최근 4분기 중위)</t>
      </text>
    </comment>
    <comment ref="AF22" authorId="0" shapeId="0">
      <text>
        <t>3절 스칼라 '판관비율' 참조 — 숫자로 덮어쓰면 이 분기만 바뀐다
매출액 × 판관비율 12.31%(최근 4분기 중위)</t>
      </text>
    </comment>
    <comment ref="AG22" authorId="0" shapeId="0">
      <text>
        <t>3절 스칼라 '판관비율' 참조 — 숫자로 덮어쓰면 이 분기만 바뀐다
매출액 × 판관비율 12.31%(최근 4분기 중위)</t>
      </text>
    </comment>
    <comment ref="AH22" authorId="0" shapeId="0">
      <text>
        <t>3절 스칼라 '판관비율' 참조 — 숫자로 덮어쓰면 이 분기만 바뀐다
매출액 × 판관비율 12.31%(최근 4분기 중위)</t>
      </text>
    </comment>
    <comment ref="AI22" authorId="0" shapeId="0">
      <text>
        <t>3절 스칼라 '판관비율' 참조 — 숫자로 덮어쓰면 이 분기만 바뀐다
매출액 × 판관비율 12.31%(최근 4분기 중위)</t>
      </text>
    </comment>
    <comment ref="AK22" authorId="0" shapeId="0">
      <text>
        <t>3절 스칼라 '판관비율' 참조 — 숫자로 덮어쓰면 이 분기만 바뀐다
매출액 × 판관비율 12.31%(최근 4분기 중위)</t>
      </text>
    </comment>
    <comment ref="AL22" authorId="0" shapeId="0">
      <text>
        <t>3절 스칼라 '판관비율' 참조 — 숫자로 덮어쓰면 이 분기만 바뀐다
매출액 × 판관비율 12.31%(최근 4분기 중위)</t>
      </text>
    </comment>
    <comment ref="AM22" authorId="0" shapeId="0">
      <text>
        <t>3절 스칼라 '판관비율' 참조 — 숫자로 덮어쓰면 이 분기만 바뀐다
매출액 × 판관비율 12.31%(최근 4분기 중위)</t>
      </text>
    </comment>
    <comment ref="AN22" authorId="0" shapeId="0">
      <text>
        <t>3절 스칼라 '판관비율' 참조 — 숫자로 덮어쓰면 이 분기만 바뀐다
매출액 × 판관비율 12.31%(최근 4분기 중위)</t>
      </text>
    </comment>
    <comment ref="AC23" authorId="0" shapeId="0">
      <text>
        <t>모델값 역산(implied): v / 매출액
매출액 × OPM(최근 8분기 OPM 중위 19.6% 유지)</t>
      </text>
    </comment>
    <comment ref="AD23" authorId="0" shapeId="0">
      <text>
        <t>모델값 역산(implied): v / 매출액
매출액 × OPM(최근 8분기 OPM 중위 19.6% 유지)</t>
      </text>
    </comment>
    <comment ref="AF23" authorId="0" shapeId="0">
      <text>
        <t>모델값 역산(implied): v / 매출액
매출액 × OPM(최근 8분기 OPM 중위 19.6% 유지)</t>
      </text>
    </comment>
    <comment ref="AG23" authorId="0" shapeId="0">
      <text>
        <t>모델값 역산(implied): v / 매출액
매출액 × OPM(최근 8분기 OPM 중위 19.6% 유지)</t>
      </text>
    </comment>
    <comment ref="AH23" authorId="0" shapeId="0">
      <text>
        <t>모델값 역산(implied): v / 매출액
매출액 × OPM(최근 8분기 OPM 중위 19.6% 유지)</t>
      </text>
    </comment>
    <comment ref="AI23" authorId="0" shapeId="0">
      <text>
        <t>모델값 역산(implied): v / 매출액
매출액 × OPM(최근 8분기 OPM 중위 19.6% 유지)</t>
      </text>
    </comment>
    <comment ref="AK23" authorId="0" shapeId="0">
      <text>
        <t>모델값 역산(implied): v / 매출액
매출액 × OPM(최근 8분기 OPM 중위 19.6% 유지)</t>
      </text>
    </comment>
    <comment ref="AL23" authorId="0" shapeId="0">
      <text>
        <t>모델값 역산(implied): v / 매출액
매출액 × OPM(최근 8분기 OPM 중위 19.6% 유지)</t>
      </text>
    </comment>
    <comment ref="AM23" authorId="0" shapeId="0">
      <text>
        <t>모델값 역산(implied): v / 매출액
매출액 × OPM(최근 8분기 OPM 중위 19.6% 유지)</t>
      </text>
    </comment>
    <comment ref="AN23" authorId="0" shapeId="0">
      <text>
        <t>모델값 역산(implied): v / 매출액
매출액 × OPM(최근 8분기 OPM 중위 19.6%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D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F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G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H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I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K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L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M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N26" authorId="0" shapeId="0">
      <text>
        <t>3절 스칼라 '세율' 참조 — 숫자로 덮어쓰면 이 분기만 바뀐다
max(세전, 0) × 세율 12.1%(최근 12분기 유효세율 4.3% 가 5~27% 밖 → 클립 대신 최근 8분기 중 세전 &gt; 0 인 8분기(2024Q3~2026Q2)의 법인세/세전 중위 12.1%)</t>
      </text>
    </comment>
    <comment ref="AC27" authorId="0" shapeId="0">
      <text>
        <t>3절 스칼라 '지배주주비중' 참조 — 숫자로 덮어쓰면 이 분기만 바뀐다
당기순이익 × (1 − 비지배 비중 42.9%, 최근 8분기 실측)</t>
      </text>
    </comment>
    <comment ref="AD27" authorId="0" shapeId="0">
      <text>
        <t>3절 스칼라 '지배주주비중' 참조 — 숫자로 덮어쓰면 이 분기만 바뀐다
당기순이익 × (1 − 비지배 비중 42.9%, 최근 8분기 실측)</t>
      </text>
    </comment>
    <comment ref="AF27" authorId="0" shapeId="0">
      <text>
        <t>3절 스칼라 '지배주주비중' 참조 — 숫자로 덮어쓰면 이 분기만 바뀐다
당기순이익 × (1 − 비지배 비중 42.9%, 최근 8분기 실측)</t>
      </text>
    </comment>
    <comment ref="AG27" authorId="0" shapeId="0">
      <text>
        <t>3절 스칼라 '지배주주비중' 참조 — 숫자로 덮어쓰면 이 분기만 바뀐다
당기순이익 × (1 − 비지배 비중 42.9%, 최근 8분기 실측)</t>
      </text>
    </comment>
    <comment ref="AH27" authorId="0" shapeId="0">
      <text>
        <t>3절 스칼라 '지배주주비중' 참조 — 숫자로 덮어쓰면 이 분기만 바뀐다
당기순이익 × (1 − 비지배 비중 42.9%, 최근 8분기 실측)</t>
      </text>
    </comment>
    <comment ref="AI27" authorId="0" shapeId="0">
      <text>
        <t>3절 스칼라 '지배주주비중' 참조 — 숫자로 덮어쓰면 이 분기만 바뀐다
당기순이익 × (1 − 비지배 비중 42.9%, 최근 8분기 실측)</t>
      </text>
    </comment>
    <comment ref="AK27" authorId="0" shapeId="0">
      <text>
        <t>3절 스칼라 '지배주주비중' 참조 — 숫자로 덮어쓰면 이 분기만 바뀐다
당기순이익 × (1 − 비지배 비중 42.9%, 최근 8분기 실측)</t>
      </text>
    </comment>
    <comment ref="AL27" authorId="0" shapeId="0">
      <text>
        <t>3절 스칼라 '지배주주비중' 참조 — 숫자로 덮어쓰면 이 분기만 바뀐다
당기순이익 × (1 − 비지배 비중 42.9%, 최근 8분기 실측)</t>
      </text>
    </comment>
    <comment ref="AM27" authorId="0" shapeId="0">
      <text>
        <t>3절 스칼라 '지배주주비중' 참조 — 숫자로 덮어쓰면 이 분기만 바뀐다
당기순이익 × (1 − 비지배 비중 42.9%, 최근 8분기 실측)</t>
      </text>
    </comment>
    <comment ref="AN27" authorId="0" shapeId="0">
      <text>
        <t>3절 스칼라 '지배주주비중' 참조 — 숫자로 덮어쓰면 이 분기만 바뀐다
당기순이익 × (1 − 비지배 비중 42.9%, 최근 8분기 실측)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G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AL28" authorId="0" shapeId="0">
      <text>
        <t>모델값 역산(implied): v / 전분기 − 1
마지막 실적 유지(가정)</t>
      </text>
    </comment>
    <comment ref="AM28" authorId="0" shapeId="0">
      <text>
        <t>모델값 역산(implied): v / 전분기 − 1
마지막 실적 유지(가정)</t>
      </text>
    </comment>
    <comment ref="AN28" authorId="0" shapeId="0">
      <text>
        <t>모델값 역산(implied): v / 전분기 − 1
마지막 실적 유지(가정)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AF29" authorId="0" shapeId="0">
      <text>
        <t>모델값 역산(implied): 전분기(시트값) + 당기순이익(시트 수식값) − v
전분기 + 당기순이익 − 배당(Q2 지급 가정)</t>
      </text>
    </comment>
    <comment ref="AG29" authorId="0" shapeId="0">
      <text>
        <t>모델값 역산(implied): 전분기(시트값) + 당기순이익(시트 수식값) − v
전분기 + 당기순이익 − 배당(Q2 지급 가정)</t>
      </text>
    </comment>
    <comment ref="AH29" authorId="0" shapeId="0">
      <text>
        <t>모델값 역산(implied): 전분기(시트값) + 당기순이익(시트 수식값) − v
전분기 + 당기순이익 − 배당(Q2 지급 가정)</t>
      </text>
    </comment>
    <comment ref="AI29" authorId="0" shapeId="0">
      <text>
        <t>모델값 역산(implied): 전분기(시트값) + 당기순이익(시트 수식값) − v
전분기 + 당기순이익 − 배당(Q2 지급 가정)</t>
      </text>
    </comment>
    <comment ref="AK29" authorId="0" shapeId="0">
      <text>
        <t>모델값 역산(implied): 전분기(시트값) + 당기순이익(시트 수식값) − v
전분기 + 당기순이익 − 배당(Q2 지급 가정)</t>
      </text>
    </comment>
    <comment ref="AL29" authorId="0" shapeId="0">
      <text>
        <t>모델값 역산(implied): 전분기(시트값) + 당기순이익(시트 수식값) − v
전분기 + 당기순이익 − 배당(Q2 지급 가정)</t>
      </text>
    </comment>
    <comment ref="AM29" authorId="0" shapeId="0">
      <text>
        <t>모델값 역산(implied): 전분기(시트값) + 당기순이익(시트 수식값) − v
전분기 + 당기순이익 − 배당(Q2 지급 가정)</t>
      </text>
    </comment>
    <comment ref="AN29" authorId="0" shapeId="0">
      <text>
        <t>모델값 역산(implied): 전분기(시트값) + 당기순이익(시트 수식값) − v
전분기 + 당기순이익 − 배당(Q2 지급 가정)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AF30" authorId="0" shapeId="0">
      <text>
        <t>모델값 역산(implied): 전분기(시트값) + 지배주주순이익(시트 수식값) − v
전분기 + 지배주주순이익 − 배당</t>
      </text>
    </comment>
    <comment ref="AG30" authorId="0" shapeId="0">
      <text>
        <t>모델값 역산(implied): 전분기(시트값) + 지배주주순이익(시트 수식값) − v
전분기 + 지배주주순이익 − 배당</t>
      </text>
    </comment>
    <comment ref="AH30" authorId="0" shapeId="0">
      <text>
        <t>모델값 역산(implied): 전분기(시트값) + 지배주주순이익(시트 수식값) − v
전분기 + 지배주주순이익 − 배당</t>
      </text>
    </comment>
    <comment ref="AI30" authorId="0" shapeId="0">
      <text>
        <t>모델값 역산(implied): 전분기(시트값) + 지배주주순이익(시트 수식값) − v
전분기 + 지배주주순이익 − 배당</t>
      </text>
    </comment>
    <comment ref="AK30" authorId="0" shapeId="0">
      <text>
        <t>모델값 역산(implied): 전분기(시트값) + 지배주주순이익(시트 수식값) − v
전분기 + 지배주주순이익 − 배당</t>
      </text>
    </comment>
    <comment ref="AL30" authorId="0" shapeId="0">
      <text>
        <t>모델값 역산(implied): 전분기(시트값) + 지배주주순이익(시트 수식값) − v
전분기 + 지배주주순이익 − 배당</t>
      </text>
    </comment>
    <comment ref="AM30" authorId="0" shapeId="0">
      <text>
        <t>모델값 역산(implied): 전분기(시트값) + 지배주주순이익(시트 수식값) − v
전분기 + 지배주주순이익 − 배당</t>
      </text>
    </comment>
    <comment ref="AN30" authorId="0" shapeId="0">
      <text>
        <t>모델값 역산(implied): 전분기(시트값) + 지배주주순이익(시트 수식값) − v
전분기 + 지배주주순이익 − 배당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D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F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G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H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I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K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L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M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N32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C33" authorId="0" shapeId="0">
      <text>
        <t>모델값 역산(implied): v / 전분기 − 1
전분기 + FCF 근사 — 순차입금 롤과 같은 가정</t>
      </text>
    </comment>
    <comment ref="AD33" authorId="0" shapeId="0">
      <text>
        <t>모델값 역산(implied): v / 전분기 − 1
전분기 + FCF 근사 — 순차입금 롤과 같은 가정</t>
      </text>
    </comment>
    <comment ref="AF33" authorId="0" shapeId="0">
      <text>
        <t>모델값 역산(implied): v / 전분기 − 1
전분기 + FCF 근사 — 순차입금 롤과 같은 가정</t>
      </text>
    </comment>
    <comment ref="AG33" authorId="0" shapeId="0">
      <text>
        <t>모델값 역산(implied): v / 전분기 − 1
전분기 + FCF 근사 — 순차입금 롤과 같은 가정</t>
      </text>
    </comment>
    <comment ref="AH33" authorId="0" shapeId="0">
      <text>
        <t>모델값 역산(implied): v / 전분기 − 1
전분기 + FCF 근사 — 순차입금 롤과 같은 가정</t>
      </text>
    </comment>
    <comment ref="AI33" authorId="0" shapeId="0">
      <text>
        <t>모델값 역산(implied): v / 전분기 − 1
전분기 + FCF 근사 — 순차입금 롤과 같은 가정</t>
      </text>
    </comment>
    <comment ref="AK33" authorId="0" shapeId="0">
      <text>
        <t>모델값 역산(implied): v / 전분기 − 1
전분기 + FCF 근사 — 순차입금 롤과 같은 가정</t>
      </text>
    </comment>
    <comment ref="AL33" authorId="0" shapeId="0">
      <text>
        <t>모델값 역산(implied): v / 전분기 − 1
전분기 + FCF 근사 — 순차입금 롤과 같은 가정</t>
      </text>
    </comment>
    <comment ref="AM33" authorId="0" shapeId="0">
      <text>
        <t>모델값 역산(implied): v / 전분기 − 1
전분기 + FCF 근사 — 순차입금 롤과 같은 가정</t>
      </text>
    </comment>
    <comment ref="AN33" authorId="0" shapeId="0">
      <text>
        <t>모델값 역산(implied): v / 전분기 − 1
전분기 + FCF 근사 — 순차입금 롤과 같은 가정</t>
      </text>
    </comment>
    <comment ref="AC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7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v / 전분기 − 1
유통주식수 유지 — fin.shares.common_outstanding(2026Q2)</t>
      </text>
    </comment>
    <comment ref="AF37" authorId="0" shapeId="0">
      <text>
        <t>모델값 역산(implied): v / 전분기 − 1
유통주식수 유지 — fin.shares.common_outstanding(2026Q2)</t>
      </text>
    </comment>
    <comment ref="AG37" authorId="0" shapeId="0">
      <text>
        <t>모델값 역산(implied): v / 전분기 − 1
유통주식수 유지 — fin.shares.common_outstanding(2026Q2)</t>
      </text>
    </comment>
    <comment ref="AH37" authorId="0" shapeId="0">
      <text>
        <t>모델값 역산(implied): v / 전분기 − 1
유통주식수 유지 — fin.shares.common_outstanding(2026Q2)</t>
      </text>
    </comment>
    <comment ref="AI37" authorId="0" shapeId="0">
      <text>
        <t>모델값 역산(implied): v / 전분기 − 1
유통주식수 유지 — fin.shares.common_outstanding(2026Q2)</t>
      </text>
    </comment>
    <comment ref="AK37" authorId="0" shapeId="0">
      <text>
        <t>모델값 역산(implied): v / 전분기 − 1
유통주식수 유지 — fin.shares.common_outstanding(2026Q2)</t>
      </text>
    </comment>
    <comment ref="AL37" authorId="0" shapeId="0">
      <text>
        <t>모델값 역산(implied): v / 전분기 − 1
유통주식수 유지 — fin.shares.common_outstanding(2026Q2)</t>
      </text>
    </comment>
    <comment ref="AM37" authorId="0" shapeId="0">
      <text>
        <t>모델값 역산(implied): v / 전분기 − 1
유통주식수 유지 — fin.shares.common_outstanding(2026Q2)</t>
      </text>
    </comment>
    <comment ref="AN37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모델 v 그대로
직전 결산 DPS 0원 유지</t>
      </text>
    </comment>
    <comment ref="AI38" authorId="0" shapeId="0">
      <text>
        <t>모델값 역산(implied): 모델 v 그대로
직전 결산 DPS 0원 유지</t>
      </text>
    </comment>
    <comment ref="AN38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이동합(t−0) 80223억 × 비례계수 0.0076 × 계절비중 Q3 0.233(계절비중 — 최근 3개 연도(2026, 2025, 2024) 분기/연간 비중 평균; 격자 lag0~4×창8/12/19×수준·YoY·4Q합 중 최대 r=0.84, n=8, 창 8)
[yoy]</t>
      </text>
    </comment>
    <comment ref="AD5" authorId="0" shapeId="0">
      <text>
        <t>추정: 고객지수 4분기 이동합(t−0) 85179억 × 비례계수 0.0076 × 계절비중 Q4 0.310(계절비중 — 최근 3개 연도(2026, 2025, 2024) 분기/연간 비중 평균; 격자 lag0~4×창8/12/19×수준·YoY·4Q합 중 최대 r=0.84, n=8, 창 8)
[yoy]</t>
      </text>
    </comment>
    <comment ref="AF5" authorId="0" shapeId="0">
      <text>
        <t>추정: 고객지수 4분기 이동합(t−0) 88295억 × 비례계수 0.0076 × 계절비중 Q1 0.221(계절비중 — 최근 3개 연도(2026, 2025, 2024) 분기/연간 비중 평균; 격자 lag0~4×창8/12/19×수준·YoY·4Q합 중 최대 r=0.84, n=8, 창 8)
[yoy]</t>
      </text>
    </comment>
    <comment ref="AG5" authorId="0" shapeId="0">
      <text>
        <t>추정: 고객지수 4분기 이동합(t−0) 91206억 × 비례계수 0.0076 × 계절비중 Q2 0.236(계절비중 — 최근 3개 연도(2026, 2025, 2024) 분기/연간 비중 평균; 격자 lag0~4×창8/12/19×수준·YoY·4Q합 중 최대 r=0.84, n=8, 창 8)
[yoy]</t>
      </text>
    </comment>
    <comment ref="AH5" authorId="0" shapeId="0">
      <text>
        <t>추정: 고객지수 4분기 이동합(t−0) 94568억 × 비례계수 0.0076 × 계절비중 Q3 0.233(계절비중 — 최근 3개 연도(2026, 2025, 2024) 분기/연간 비중 평균; 격자 lag0~4×창8/12/19×수준·YoY·4Q합 중 최대 r=0.84, n=8, 창 8)
[yoy]</t>
      </text>
    </comment>
    <comment ref="AI5" authorId="0" shapeId="0">
      <text>
        <t>추정: 고객지수 4분기 이동합(t−0) 99251억 × 비례계수 0.0076 × 계절비중 Q4 0.310(계절비중 — 최근 3개 연도(2026, 2025, 2024) 분기/연간 비중 평균; 격자 lag0~4×창8/12/19×수준·YoY·4Q합 중 최대 r=0.84, n=8, 창 8)
[yoy]</t>
      </text>
    </comment>
    <comment ref="AK5" authorId="0" shapeId="0">
      <text>
        <t>추정: 고객지수 4분기 이동합(t−0) 105030억 × 비례계수 0.0076 × 계절비중 Q1 0.221(계절비중 — 최근 3개 연도(2026, 2025, 2024) 분기/연간 비중 평균; 격자 lag0~4×창8/12/19×수준·YoY·4Q합 중 최대 r=0.84, n=8, 창 8)
[yoy]</t>
      </text>
    </comment>
    <comment ref="AL5" authorId="0" shapeId="0">
      <text>
        <t>추정: 고객지수 4분기 이동합(t−0) 111381억 × 비례계수 0.0076 × 계절비중 Q2 0.236(계절비중 — 최근 3개 연도(2026, 2025, 2024) 분기/연간 비중 평균; 격자 lag0~4×창8/12/19×수준·YoY·4Q합 중 최대 r=0.84, n=8, 창 8)
[yoy]</t>
      </text>
    </comment>
    <comment ref="AM5" authorId="0" shapeId="0">
      <text>
        <t>추정: 고객지수 4분기 이동합(t−0) 117805억 × 비례계수 0.0076 × 계절비중 Q3 0.233(계절비중 — 최근 3개 연도(2026, 2025, 2024) 분기/연간 비중 평균; 격자 lag0~4×창8/12/19×수준·YoY·4Q합 중 최대 r=0.84, n=8, 창 8)
[yoy]</t>
      </text>
    </comment>
    <comment ref="AN5" authorId="0" shapeId="0">
      <text>
        <t>추정: 고객지수 4분기 이동합(t−0) 123634억 × 비례계수 0.0076 × 계절비중 Q4 0.310(계절비중 — 최근 3개 연도(2026, 2025, 2024) 분기/연간 비중 평균; 격자 lag0~4×창8/12/19×수준·YoY·4Q합 중 최대 r=0.84,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12.31%(최근 4분기 중위)
[ratio]</t>
      </text>
    </comment>
    <comment ref="AD8" authorId="0" shapeId="0">
      <text>
        <t>추정: 매출액 × 판관비율 12.31%(최근 4분기 중위)
[ratio]</t>
      </text>
    </comment>
    <comment ref="AF8" authorId="0" shapeId="0">
      <text>
        <t>추정: 매출액 × 판관비율 12.31%(최근 4분기 중위)
[ratio]</t>
      </text>
    </comment>
    <comment ref="AG8" authorId="0" shapeId="0">
      <text>
        <t>추정: 매출액 × 판관비율 12.31%(최근 4분기 중위)
[ratio]</t>
      </text>
    </comment>
    <comment ref="AH8" authorId="0" shapeId="0">
      <text>
        <t>추정: 매출액 × 판관비율 12.31%(최근 4분기 중위)
[ratio]</t>
      </text>
    </comment>
    <comment ref="AI8" authorId="0" shapeId="0">
      <text>
        <t>추정: 매출액 × 판관비율 12.31%(최근 4분기 중위)
[ratio]</t>
      </text>
    </comment>
    <comment ref="AK8" authorId="0" shapeId="0">
      <text>
        <t>추정: 매출액 × 판관비율 12.31%(최근 4분기 중위)
[ratio]</t>
      </text>
    </comment>
    <comment ref="AL8" authorId="0" shapeId="0">
      <text>
        <t>추정: 매출액 × 판관비율 12.31%(최근 4분기 중위)
[ratio]</t>
      </text>
    </comment>
    <comment ref="AM8" authorId="0" shapeId="0">
      <text>
        <t>추정: 매출액 × 판관비율 12.31%(최근 4분기 중위)
[ratio]</t>
      </text>
    </comment>
    <comment ref="AN8" authorId="0" shapeId="0">
      <text>
        <t>추정: 매출액 × 판관비율 12.31%(최근 4분기 중위)
[ratio]</t>
      </text>
    </comment>
    <comment ref="AC9" authorId="0" shapeId="0">
      <text>
        <t>추정: 매출액 × OPM(최근 8분기 OPM 중위 19.6% 유지)
[ratio]</t>
      </text>
    </comment>
    <comment ref="AD9" authorId="0" shapeId="0">
      <text>
        <t>추정: 매출액 × OPM(최근 8분기 OPM 중위 19.6% 유지)
[ratio]</t>
      </text>
    </comment>
    <comment ref="AF9" authorId="0" shapeId="0">
      <text>
        <t>추정: 매출액 × OPM(최근 8분기 OPM 중위 19.6% 유지)
[ratio]</t>
      </text>
    </comment>
    <comment ref="AG9" authorId="0" shapeId="0">
      <text>
        <t>추정: 매출액 × OPM(최근 8분기 OPM 중위 19.6% 유지)
[ratio]</t>
      </text>
    </comment>
    <comment ref="AH9" authorId="0" shapeId="0">
      <text>
        <t>추정: 매출액 × OPM(최근 8분기 OPM 중위 19.6% 유지)
[ratio]</t>
      </text>
    </comment>
    <comment ref="AI9" authorId="0" shapeId="0">
      <text>
        <t>추정: 매출액 × OPM(최근 8분기 OPM 중위 19.6% 유지)
[ratio]</t>
      </text>
    </comment>
    <comment ref="AK9" authorId="0" shapeId="0">
      <text>
        <t>추정: 매출액 × OPM(최근 8분기 OPM 중위 19.6% 유지)
[ratio]</t>
      </text>
    </comment>
    <comment ref="AL9" authorId="0" shapeId="0">
      <text>
        <t>추정: 매출액 × OPM(최근 8분기 OPM 중위 19.6% 유지)
[ratio]</t>
      </text>
    </comment>
    <comment ref="AM9" authorId="0" shapeId="0">
      <text>
        <t>추정: 매출액 × OPM(최근 8분기 OPM 중위 19.6% 유지)
[ratio]</t>
      </text>
    </comment>
    <comment ref="AN9" authorId="0" shapeId="0">
      <text>
        <t>추정: 매출액 × OPM(최근 8분기 OPM 중위 19.6% 유지)
[ratio]</t>
      </text>
    </comment>
    <comment ref="AC10" authorId="0" shapeId="0">
      <text>
        <t>추정: 최근 8분기 OPM 중위 19.6% 유지
[divide]</t>
      </text>
    </comment>
    <comment ref="AD10" authorId="0" shapeId="0">
      <text>
        <t>추정: 최근 8분기 OPM 중위 19.6% 유지
[divide]</t>
      </text>
    </comment>
    <comment ref="AF10" authorId="0" shapeId="0">
      <text>
        <t>추정: 최근 8분기 OPM 중위 19.6% 유지
[divide]</t>
      </text>
    </comment>
    <comment ref="AG10" authorId="0" shapeId="0">
      <text>
        <t>추정: 최근 8분기 OPM 중위 19.6% 유지
[divide]</t>
      </text>
    </comment>
    <comment ref="AH10" authorId="0" shapeId="0">
      <text>
        <t>추정: 최근 8분기 OPM 중위 19.6% 유지
[divide]</t>
      </text>
    </comment>
    <comment ref="AI10" authorId="0" shapeId="0">
      <text>
        <t>추정: 최근 8분기 OPM 중위 19.6% 유지
[divide]</t>
      </text>
    </comment>
    <comment ref="AK10" authorId="0" shapeId="0">
      <text>
        <t>추정: 최근 8분기 OPM 중위 19.6% 유지
[divide]</t>
      </text>
    </comment>
    <comment ref="AL10" authorId="0" shapeId="0">
      <text>
        <t>추정: 최근 8분기 OPM 중위 19.6% 유지
[divide]</t>
      </text>
    </comment>
    <comment ref="AM10" authorId="0" shapeId="0">
      <text>
        <t>추정: 최근 8분기 OPM 중위 19.6% 유지
[divide]</t>
      </text>
    </comment>
    <comment ref="AN10" authorId="0" shapeId="0">
      <text>
        <t>추정: 최근 8분기 OPM 중위 19.6% 유지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639억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664억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698억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724억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753억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782억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823억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854억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889억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926억 × 1.66%(주석 이자수익 ÷ 평균 이자발생자산(2025Q3~2026Q2)) − 총차입금 290억 × 3.62%(주석 이자비용 ÷ 평균 총차입금(2025Q3~2026Q2)) (연율) ÷ 4; 환율 효과는 환관련손익 행 별도
[identity]</t>
      </text>
    </comment>
    <comment ref="AC12" authorId="0" shapeId="0">
      <text>
        <t>추정: 이자발생자산 639억 × 1.66%(주석 이자수익 ÷ 평균 이자발생자산(2025Q3~2026Q2)) − 총차입금 290억 × 3.62%(주석 이자비용 ÷ 평균 총차입금(2025Q3~2026Q2)) (연율) ÷ 4
[interest]</t>
      </text>
    </comment>
    <comment ref="AD12" authorId="0" shapeId="0">
      <text>
        <t>추정: 이자발생자산 664억 × 1.66%(주석 이자수익 ÷ 평균 이자발생자산(2025Q3~2026Q2)) − 총차입금 290억 × 3.62%(주석 이자비용 ÷ 평균 총차입금(2025Q3~2026Q2)) (연율) ÷ 4
[interest]</t>
      </text>
    </comment>
    <comment ref="AF12" authorId="0" shapeId="0">
      <text>
        <t>추정: 이자발생자산 698억 × 1.66%(주석 이자수익 ÷ 평균 이자발생자산(2025Q3~2026Q2)) − 총차입금 290억 × 3.62%(주석 이자비용 ÷ 평균 총차입금(2025Q3~2026Q2)) (연율) ÷ 4
[interest]</t>
      </text>
    </comment>
    <comment ref="AG12" authorId="0" shapeId="0">
      <text>
        <t>추정: 이자발생자산 724억 × 1.66%(주석 이자수익 ÷ 평균 이자발생자산(2025Q3~2026Q2)) − 총차입금 290억 × 3.62%(주석 이자비용 ÷ 평균 총차입금(2025Q3~2026Q2)) (연율) ÷ 4
[interest]</t>
      </text>
    </comment>
    <comment ref="AH12" authorId="0" shapeId="0">
      <text>
        <t>추정: 이자발생자산 753억 × 1.66%(주석 이자수익 ÷ 평균 이자발생자산(2025Q3~2026Q2)) − 총차입금 290억 × 3.62%(주석 이자비용 ÷ 평균 총차입금(2025Q3~2026Q2)) (연율) ÷ 4
[interest]</t>
      </text>
    </comment>
    <comment ref="AI12" authorId="0" shapeId="0">
      <text>
        <t>추정: 이자발생자산 782억 × 1.66%(주석 이자수익 ÷ 평균 이자발생자산(2025Q3~2026Q2)) − 총차입금 290억 × 3.62%(주석 이자비용 ÷ 평균 총차입금(2025Q3~2026Q2)) (연율) ÷ 4
[interest]</t>
      </text>
    </comment>
    <comment ref="AK12" authorId="0" shapeId="0">
      <text>
        <t>추정: 이자발생자산 823억 × 1.66%(주석 이자수익 ÷ 평균 이자발생자산(2025Q3~2026Q2)) − 총차입금 290억 × 3.62%(주석 이자비용 ÷ 평균 총차입금(2025Q3~2026Q2)) (연율) ÷ 4
[interest]</t>
      </text>
    </comment>
    <comment ref="AL12" authorId="0" shapeId="0">
      <text>
        <t>추정: 이자발생자산 854억 × 1.66%(주석 이자수익 ÷ 평균 이자발생자산(2025Q3~2026Q2)) − 총차입금 290억 × 3.62%(주석 이자비용 ÷ 평균 총차입금(2025Q3~2026Q2)) (연율) ÷ 4
[interest]</t>
      </text>
    </comment>
    <comment ref="AM12" authorId="0" shapeId="0">
      <text>
        <t>추정: 이자발생자산 889억 × 1.66%(주석 이자수익 ÷ 평균 이자발생자산(2025Q3~2026Q2)) − 총차입금 290억 × 3.62%(주석 이자비용 ÷ 평균 총차입금(2025Q3~2026Q2)) (연율) ÷ 4
[interest]</t>
      </text>
    </comment>
    <comment ref="AN12" authorId="0" shapeId="0">
      <text>
        <t>추정: 이자발생자산 926억 × 1.66%(주석 이자수익 ÷ 평균 이자발생자산(2025Q3~2026Q2)) − 총차입금 290억 × 3.62%(주석 이자비용 ÷ 평균 총차입금(2025Q3~2026Q2)) (연율) ÷ 4
[interest]</t>
      </text>
    </comment>
    <comment ref="E13" authorId="0" shapeId="0">
      <text>
        <t>BS 계정 합·차: +외환차익 -외환차손 +외화환산이익 -외화환산손실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D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F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G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H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I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K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L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M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N16" authorId="0" shapeId="0">
      <text>
        <t>추정: max(세전, 0) × 세율 12.1%(최근 12분기 유효세율 4.3% 가 5~27% 밖 → 클립 대신 최근 8분기 중 세전 &gt; 0 인 8분기(2024Q3~2026Q2)의 법인세/세전 중위 12.1%)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42.9%, 최근 8분기 실측)
[ratio]</t>
      </text>
    </comment>
    <comment ref="AD18" authorId="0" shapeId="0">
      <text>
        <t>추정: 당기순이익 × (1 − 비지배 비중 42.9%, 최근 8분기 실측)
[ratio]</t>
      </text>
    </comment>
    <comment ref="AF18" authorId="0" shapeId="0">
      <text>
        <t>추정: 당기순이익 × (1 − 비지배 비중 42.9%, 최근 8분기 실측)
[ratio]</t>
      </text>
    </comment>
    <comment ref="AG18" authorId="0" shapeId="0">
      <text>
        <t>추정: 당기순이익 × (1 − 비지배 비중 42.9%, 최근 8분기 실측)
[ratio]</t>
      </text>
    </comment>
    <comment ref="AH18" authorId="0" shapeId="0">
      <text>
        <t>추정: 당기순이익 × (1 − 비지배 비중 42.9%, 최근 8분기 실측)
[ratio]</t>
      </text>
    </comment>
    <comment ref="AI18" authorId="0" shapeId="0">
      <text>
        <t>추정: 당기순이익 × (1 − 비지배 비중 42.9%, 최근 8분기 실측)
[ratio]</t>
      </text>
    </comment>
    <comment ref="AK18" authorId="0" shapeId="0">
      <text>
        <t>추정: 당기순이익 × (1 − 비지배 비중 42.9%, 최근 8분기 실측)
[ratio]</t>
      </text>
    </comment>
    <comment ref="AL18" authorId="0" shapeId="0">
      <text>
        <t>추정: 당기순이익 × (1 − 비지배 비중 42.9%, 최근 8분기 실측)
[ratio]</t>
      </text>
    </comment>
    <comment ref="AM18" authorId="0" shapeId="0">
      <text>
        <t>추정: 당기순이익 × (1 − 비지배 비중 42.9%, 최근 8분기 실측)
[ratio]</t>
      </text>
    </comment>
    <comment ref="AN18" authorId="0" shapeId="0">
      <text>
        <t>추정: 당기순이익 × (1 − 비지배 비중 42.9%, 최근 8분기 실측)
[ratio]</t>
      </text>
    </comment>
    <comment ref="AC19" authorId="0" shapeId="0">
      <text>
        <t>추정: 부채총계 + 자본총계(항등식)
[identity]</t>
      </text>
    </comment>
    <comment ref="AD19" authorId="0" shapeId="0">
      <text>
        <t>추정: 부채총계 + 자본총계(항등식)
[identity]</t>
      </text>
    </comment>
    <comment ref="AF19" authorId="0" shapeId="0">
      <text>
        <t>추정: 부채총계 + 자본총계(항등식)
[identity]</t>
      </text>
    </comment>
    <comment ref="AG19" authorId="0" shapeId="0">
      <text>
        <t>추정: 부채총계 + 자본총계(항등식)
[identity]</t>
      </text>
    </comment>
    <comment ref="AH19" authorId="0" shapeId="0">
      <text>
        <t>추정: 부채총계 + 자본총계(항등식)
[identity]</t>
      </text>
    </comment>
    <comment ref="AI19" authorId="0" shapeId="0">
      <text>
        <t>추정: 부채총계 + 자본총계(항등식)
[identity]</t>
      </text>
    </comment>
    <comment ref="AK19" authorId="0" shapeId="0">
      <text>
        <t>추정: 부채총계 + 자본총계(항등식)
[identity]</t>
      </text>
    </comment>
    <comment ref="AL19" authorId="0" shapeId="0">
      <text>
        <t>추정: 부채총계 + 자본총계(항등식)
[identity]</t>
      </text>
    </comment>
    <comment ref="AM19" authorId="0" shapeId="0">
      <text>
        <t>추정: 부채총계 + 자본총계(항등식)
[identity]</t>
      </text>
    </comment>
    <comment ref="AN19" authorId="0" shapeId="0">
      <text>
        <t>추정: 부채총계 + 자본총계(항등식)
[identity]</t>
      </text>
    </comment>
    <comment ref="AC20" authorId="0" shapeId="0">
      <text>
        <t>추정: 마지막 실적 유지(가정)
[qoq]</t>
      </text>
    </comment>
    <comment ref="AD20" authorId="0" shapeId="0">
      <text>
        <t>추정: 마지막 실적 유지(가정)
[qoq]</t>
      </text>
    </comment>
    <comment ref="AF20" authorId="0" shapeId="0">
      <text>
        <t>추정: 마지막 실적 유지(가정)
[qoq]</t>
      </text>
    </comment>
    <comment ref="AG20" authorId="0" shapeId="0">
      <text>
        <t>추정: 마지막 실적 유지(가정)
[qoq]</t>
      </text>
    </comment>
    <comment ref="AH20" authorId="0" shapeId="0">
      <text>
        <t>추정: 마지막 실적 유지(가정)
[qoq]</t>
      </text>
    </comment>
    <comment ref="AI20" authorId="0" shapeId="0">
      <text>
        <t>추정: 마지막 실적 유지(가정)
[qoq]</t>
      </text>
    </comment>
    <comment ref="AK20" authorId="0" shapeId="0">
      <text>
        <t>추정: 마지막 실적 유지(가정)
[qoq]</t>
      </text>
    </comment>
    <comment ref="AL20" authorId="0" shapeId="0">
      <text>
        <t>추정: 마지막 실적 유지(가정)
[qoq]</t>
      </text>
    </comment>
    <comment ref="AM20" authorId="0" shapeId="0">
      <text>
        <t>추정: 마지막 실적 유지(가정)
[qoq]</t>
      </text>
    </comment>
    <comment ref="AN20" authorId="0" shapeId="0">
      <text>
        <t>추정: 마지막 실적 유지(가정)
[qoq]</t>
      </text>
    </comment>
    <comment ref="AC21" authorId="0" shapeId="0">
      <text>
        <t>추정: 전분기 + 당기순이익 − 배당(Q2 지급 가정)
[roll]</t>
      </text>
    </comment>
    <comment ref="AD21" authorId="0" shapeId="0">
      <text>
        <t>추정: 전분기 + 당기순이익 − 배당(Q2 지급 가정)
[roll]</t>
      </text>
    </comment>
    <comment ref="AF21" authorId="0" shapeId="0">
      <text>
        <t>추정: 전분기 + 당기순이익 − 배당(Q2 지급 가정)
[roll]</t>
      </text>
    </comment>
    <comment ref="AG21" authorId="0" shapeId="0">
      <text>
        <t>추정: 전분기 + 당기순이익 − 배당(Q2 지급 가정)
[roll]</t>
      </text>
    </comment>
    <comment ref="AH21" authorId="0" shapeId="0">
      <text>
        <t>추정: 전분기 + 당기순이익 − 배당(Q2 지급 가정)
[roll]</t>
      </text>
    </comment>
    <comment ref="AI21" authorId="0" shapeId="0">
      <text>
        <t>추정: 전분기 + 당기순이익 − 배당(Q2 지급 가정)
[roll]</t>
      </text>
    </comment>
    <comment ref="AK21" authorId="0" shapeId="0">
      <text>
        <t>추정: 전분기 + 당기순이익 − 배당(Q2 지급 가정)
[roll]</t>
      </text>
    </comment>
    <comment ref="AL21" authorId="0" shapeId="0">
      <text>
        <t>추정: 전분기 + 당기순이익 − 배당(Q2 지급 가정)
[roll]</t>
      </text>
    </comment>
    <comment ref="AM21" authorId="0" shapeId="0">
      <text>
        <t>추정: 전분기 + 당기순이익 − 배당(Q2 지급 가정)
[roll]</t>
      </text>
    </comment>
    <comment ref="AN21" authorId="0" shapeId="0">
      <text>
        <t>추정: 전분기 + 당기순이익 − 배당(Q2 지급 가정)
[roll]</t>
      </text>
    </comment>
    <comment ref="AC22" authorId="0" shapeId="0">
      <text>
        <t>추정: 전분기 + 지배주주순이익 − 배당
[roll]</t>
      </text>
    </comment>
    <comment ref="AD22" authorId="0" shapeId="0">
      <text>
        <t>추정: 전분기 + 지배주주순이익 − 배당
[roll]</t>
      </text>
    </comment>
    <comment ref="AF22" authorId="0" shapeId="0">
      <text>
        <t>추정: 전분기 + 지배주주순이익 − 배당
[roll]</t>
      </text>
    </comment>
    <comment ref="AG22" authorId="0" shapeId="0">
      <text>
        <t>추정: 전분기 + 지배주주순이익 − 배당
[roll]</t>
      </text>
    </comment>
    <comment ref="AH22" authorId="0" shapeId="0">
      <text>
        <t>추정: 전분기 + 지배주주순이익 − 배당
[roll]</t>
      </text>
    </comment>
    <comment ref="AI22" authorId="0" shapeId="0">
      <text>
        <t>추정: 전분기 + 지배주주순이익 − 배당
[roll]</t>
      </text>
    </comment>
    <comment ref="AK22" authorId="0" shapeId="0">
      <text>
        <t>추정: 전분기 + 지배주주순이익 − 배당
[roll]</t>
      </text>
    </comment>
    <comment ref="AL22" authorId="0" shapeId="0">
      <text>
        <t>추정: 전분기 + 지배주주순이익 − 배당
[roll]</t>
      </text>
    </comment>
    <comment ref="AM22" authorId="0" shapeId="0">
      <text>
        <t>추정: 전분기 + 지배주주순이익 − 배당
[roll]</t>
      </text>
    </comment>
    <comment ref="AN22" authorId="0" shapeId="0">
      <text>
        <t>추정: 전분기 + 지배주주순이익 − 배당
[roll]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D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F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G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H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I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K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L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M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N24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C25" authorId="0" shapeId="0">
      <text>
        <t>추정: 전분기 + FCF 근사 — 순차입금 롤과 같은 가정
[qoq]</t>
      </text>
    </comment>
    <comment ref="AD25" authorId="0" shapeId="0">
      <text>
        <t>추정: 전분기 + FCF 근사 — 순차입금 롤과 같은 가정
[qoq]</t>
      </text>
    </comment>
    <comment ref="AF25" authorId="0" shapeId="0">
      <text>
        <t>추정: 전분기 + FCF 근사 — 순차입금 롤과 같은 가정
[qoq]</t>
      </text>
    </comment>
    <comment ref="AG25" authorId="0" shapeId="0">
      <text>
        <t>추정: 전분기 + FCF 근사 — 순차입금 롤과 같은 가정
[qoq]</t>
      </text>
    </comment>
    <comment ref="AH25" authorId="0" shapeId="0">
      <text>
        <t>추정: 전분기 + FCF 근사 — 순차입금 롤과 같은 가정
[qoq]</t>
      </text>
    </comment>
    <comment ref="AI25" authorId="0" shapeId="0">
      <text>
        <t>추정: 전분기 + FCF 근사 — 순차입금 롤과 같은 가정
[qoq]</t>
      </text>
    </comment>
    <comment ref="AK25" authorId="0" shapeId="0">
      <text>
        <t>추정: 전분기 + FCF 근사 — 순차입금 롤과 같은 가정
[qoq]</t>
      </text>
    </comment>
    <comment ref="AL25" authorId="0" shapeId="0">
      <text>
        <t>추정: 전분기 + FCF 근사 — 순차입금 롤과 같은 가정
[qoq]</t>
      </text>
    </comment>
    <comment ref="AM25" authorId="0" shapeId="0">
      <text>
        <t>추정: 전분기 + FCF 근사 — 순차입금 롤과 같은 가정
[qoq]</t>
      </text>
    </comment>
    <comment ref="AN25" authorId="0" shapeId="0">
      <text>
        <t>추정: 전분기 + FCF 근사 — 순차입금 롤과 같은 가정
[qoq]</t>
      </text>
    </comment>
    <comment ref="AC27" authorId="0" shapeId="0">
      <text>
        <t>추정: 최근 4분기(2025Q3~2026Q2) CAPEX 중위 유지 — 순차입금 롤에 미반영(감가상각비 없음 → CAPEX≈감가 가정)
[yoy]</t>
      </text>
    </comment>
    <comment ref="AD27" authorId="0" shapeId="0">
      <text>
        <t>추정: 최근 4분기(2025Q3~2026Q2) CAPEX 중위 유지 — 순차입금 롤에 미반영(감가상각비 없음 → CAPEX≈감가 가정)
[yoy]</t>
      </text>
    </comment>
    <comment ref="AF27" authorId="0" shapeId="0">
      <text>
        <t>추정: 최근 4분기(2025Q3~2026Q2) CAPEX 중위 유지 — 순차입금 롤에 미반영(감가상각비 없음 → CAPEX≈감가 가정)
[yoy]</t>
      </text>
    </comment>
    <comment ref="AG27" authorId="0" shapeId="0">
      <text>
        <t>추정: 최근 4분기(2025Q3~2026Q2) CAPEX 중위 유지 — 순차입금 롤에 미반영(감가상각비 없음 → CAPEX≈감가 가정)
[yoy]</t>
      </text>
    </comment>
    <comment ref="AH27" authorId="0" shapeId="0">
      <text>
        <t>추정: 최근 4분기(2025Q3~2026Q2) CAPEX 중위 유지 — 순차입금 롤에 미반영(감가상각비 없음 → CAPEX≈감가 가정)
[yoy]</t>
      </text>
    </comment>
    <comment ref="AI27" authorId="0" shapeId="0">
      <text>
        <t>추정: 최근 4분기(2025Q3~2026Q2) CAPEX 중위 유지 — 순차입금 롤에 미반영(감가상각비 없음 → CAPEX≈감가 가정)
[yoy]</t>
      </text>
    </comment>
    <comment ref="AK27" authorId="0" shapeId="0">
      <text>
        <t>추정: 최근 4분기(2025Q3~2026Q2) CAPEX 중위 유지 — 순차입금 롤에 미반영(감가상각비 없음 → CAPEX≈감가 가정)
[yoy]</t>
      </text>
    </comment>
    <comment ref="AL27" authorId="0" shapeId="0">
      <text>
        <t>추정: 최근 4분기(2025Q3~2026Q2) CAPEX 중위 유지 — 순차입금 롤에 미반영(감가상각비 없음 → CAPEX≈감가 가정)
[yoy]</t>
      </text>
    </comment>
    <comment ref="AM27" authorId="0" shapeId="0">
      <text>
        <t>추정: 최근 4분기(2025Q3~2026Q2) CAPEX 중위 유지 — 순차입금 롤에 미반영(감가상각비 없음 → CAPEX≈감가 가정)
[yoy]</t>
      </text>
    </comment>
    <comment ref="AN27" authorId="0" shapeId="0">
      <text>
        <t>추정: 최근 4분기(2025Q3~2026Q2) CAPEX 중위 유지 — 순차입금 롤에 미반영(감가상각비 없음 → CAPEX≈감가 가정)
[yoy]</t>
      </text>
    </comment>
    <comment ref="E29" authorId="0" shapeId="0">
      <text>
        <t>실측(계정 매핑 없음(파생·부문·시세 행) — 모델값 직접) — fin.shares.common_outstanding</t>
      </text>
    </comment>
    <comment ref="G29" authorId="0" shapeId="0">
      <text>
        <t>실측(계정 매핑 없음(파생·부문·시세 행) — 모델값 직접) — fin.shares.common_outstanding</t>
      </text>
    </comment>
    <comment ref="H29" authorId="0" shapeId="0">
      <text>
        <t>실측(계정 매핑 없음(파생·부문·시세 행) — 모델값 직접) — fin.shares.common_outstanding</t>
      </text>
    </comment>
    <comment ref="I29" authorId="0" shapeId="0">
      <text>
        <t>실측(계정 매핑 없음(파생·부문·시세 행) — 모델값 직접) — fin.shares.common_outstanding</t>
      </text>
    </comment>
    <comment ref="J29" authorId="0" shapeId="0">
      <text>
        <t>실측(계정 매핑 없음(파생·부문·시세 행) — 모델값 직접) — fin.shares.common_outstanding</t>
      </text>
    </comment>
    <comment ref="L29" authorId="0" shapeId="0">
      <text>
        <t>실측(계정 매핑 없음(파생·부문·시세 행) — 모델값 직접) — fin.shares.common_outstanding</t>
      </text>
    </comment>
    <comment ref="M29" authorId="0" shapeId="0">
      <text>
        <t>실측(계정 매핑 없음(파생·부문·시세 행) — 모델값 직접) — fin.shares.common_outstanding</t>
      </text>
    </comment>
    <comment ref="N29" authorId="0" shapeId="0">
      <text>
        <t>실측(계정 매핑 없음(파생·부문·시세 행) — 모델값 직접) — fin.shares.common_outstanding</t>
      </text>
    </comment>
    <comment ref="O29" authorId="0" shapeId="0">
      <text>
        <t>실측(계정 매핑 없음(파생·부문·시세 행) — 모델값 직접) — fin.shares.common_outstanding</t>
      </text>
    </comment>
    <comment ref="Q29" authorId="0" shapeId="0">
      <text>
        <t>실측(계정 매핑 없음(파생·부문·시세 행) — 모델값 직접) — fin.shares.common_outstanding</t>
      </text>
    </comment>
    <comment ref="R29" authorId="0" shapeId="0">
      <text>
        <t>실측(계정 매핑 없음(파생·부문·시세 행) — 모델값 직접) — fin.shares.common_outstanding</t>
      </text>
    </comment>
    <comment ref="S29" authorId="0" shapeId="0">
      <text>
        <t>실측(계정 매핑 없음(파생·부문·시세 행) — 모델값 직접) — fin.shares.common_outstanding</t>
      </text>
    </comment>
    <comment ref="T29" authorId="0" shapeId="0">
      <text>
        <t>실측(계정 매핑 없음(파생·부문·시세 행) — 모델값 직접) — fin.shares.common_outstanding</t>
      </text>
    </comment>
    <comment ref="V29" authorId="0" shapeId="0">
      <text>
        <t>실측(계정 매핑 없음(파생·부문·시세 행) — 모델값 직접) — fin.shares.common_outstanding</t>
      </text>
    </comment>
    <comment ref="W29" authorId="0" shapeId="0">
      <text>
        <t>실측(계정 매핑 없음(파생·부문·시세 행) — 모델값 직접) — fin.shares.common_outstanding</t>
      </text>
    </comment>
    <comment ref="X29" authorId="0" shapeId="0">
      <text>
        <t>실측(계정 매핑 없음(파생·부문·시세 행) — 모델값 직접) — fin.shares.common_outstanding</t>
      </text>
    </comment>
    <comment ref="Y29" authorId="0" shapeId="0">
      <text>
        <t>실측(계정 매핑 없음(파생·부문·시세 행) — 모델값 직접) — fin.shares.common_outstanding</t>
      </text>
    </comment>
    <comment ref="AA29" authorId="0" shapeId="0">
      <text>
        <t>실측(계정 매핑 없음(파생·부문·시세 행) — 모델값 직접) — fin.shares.common_outstanding</t>
      </text>
    </comment>
    <comment ref="AB29" authorId="0" shapeId="0">
      <text>
        <t>실측(계정 매핑 없음(파생·부문·시세 행) — 모델값 직접) — fin.shares.common_outstanding</t>
      </text>
    </comment>
    <comment ref="AC29" authorId="0" shapeId="0">
      <text>
        <t>추정: 유통주식수 유지 — fin.shares.common_outstanding(2026Q2)
[qoq]</t>
      </text>
    </comment>
    <comment ref="AD29" authorId="0" shapeId="0">
      <text>
        <t>추정: 유통주식수 유지 — fin.shares.common_outstanding(2026Q2)
[qoq]</t>
      </text>
    </comment>
    <comment ref="AF29" authorId="0" shapeId="0">
      <text>
        <t>추정: 유통주식수 유지 — fin.shares.common_outstanding(2026Q2)
[qoq]</t>
      </text>
    </comment>
    <comment ref="AG29" authorId="0" shapeId="0">
      <text>
        <t>추정: 유통주식수 유지 — fin.shares.common_outstanding(2026Q2)
[qoq]</t>
      </text>
    </comment>
    <comment ref="AH29" authorId="0" shapeId="0">
      <text>
        <t>추정: 유통주식수 유지 — fin.shares.common_outstanding(2026Q2)
[qoq]</t>
      </text>
    </comment>
    <comment ref="AI29" authorId="0" shapeId="0">
      <text>
        <t>추정: 유통주식수 유지 — fin.shares.common_outstanding(2026Q2)
[qoq]</t>
      </text>
    </comment>
    <comment ref="AK29" authorId="0" shapeId="0">
      <text>
        <t>추정: 유통주식수 유지 — fin.shares.common_outstanding(2026Q2)
[qoq]</t>
      </text>
    </comment>
    <comment ref="AL29" authorId="0" shapeId="0">
      <text>
        <t>추정: 유통주식수 유지 — fin.shares.common_outstanding(2026Q2)
[qoq]</t>
      </text>
    </comment>
    <comment ref="AM29" authorId="0" shapeId="0">
      <text>
        <t>추정: 유통주식수 유지 — fin.shares.common_outstanding(2026Q2)
[qoq]</t>
      </text>
    </comment>
    <comment ref="AN29" authorId="0" shapeId="0">
      <text>
        <t>추정: 유통주식수 유지 — fin.shares.common_outstanding(2026Q2)
[qoq]</t>
      </text>
    </comment>
    <comment ref="AC30" authorId="0" shapeId="0">
      <text>
        <t>추정: 지배주주순이익 ÷ 유통주식수
[per_share]</t>
      </text>
    </comment>
    <comment ref="AD30" authorId="0" shapeId="0">
      <text>
        <t>추정: 지배주주순이익 ÷ 유통주식수
[per_share]</t>
      </text>
    </comment>
    <comment ref="AF30" authorId="0" shapeId="0">
      <text>
        <t>추정: 지배주주순이익 ÷ 유통주식수
[per_share]</t>
      </text>
    </comment>
    <comment ref="AG30" authorId="0" shapeId="0">
      <text>
        <t>추정: 지배주주순이익 ÷ 유통주식수
[per_share]</t>
      </text>
    </comment>
    <comment ref="AH30" authorId="0" shapeId="0">
      <text>
        <t>추정: 지배주주순이익 ÷ 유통주식수
[per_share]</t>
      </text>
    </comment>
    <comment ref="AI30" authorId="0" shapeId="0">
      <text>
        <t>추정: 지배주주순이익 ÷ 유통주식수
[per_share]</t>
      </text>
    </comment>
    <comment ref="AK30" authorId="0" shapeId="0">
      <text>
        <t>추정: 지배주주순이익 ÷ 유통주식수
[per_share]</t>
      </text>
    </comment>
    <comment ref="AL30" authorId="0" shapeId="0">
      <text>
        <t>추정: 지배주주순이익 ÷ 유통주식수
[per_share]</t>
      </text>
    </comment>
    <comment ref="AM30" authorId="0" shapeId="0">
      <text>
        <t>추정: 지배주주순이익 ÷ 유통주식수
[per_share]</t>
      </text>
    </comment>
    <comment ref="AN30" authorId="0" shapeId="0">
      <text>
        <t>추정: 지배주주순이익 ÷ 유통주식수
[per_share]</t>
      </text>
    </comment>
    <comment ref="AC31" authorId="0" shapeId="0">
      <text>
        <t>추정: 지배주주지분 ÷ 유통주식수
[per_share]</t>
      </text>
    </comment>
    <comment ref="AD31" authorId="0" shapeId="0">
      <text>
        <t>추정: 지배주주지분 ÷ 유통주식수
[per_share]</t>
      </text>
    </comment>
    <comment ref="AF31" authorId="0" shapeId="0">
      <text>
        <t>추정: 지배주주지분 ÷ 유통주식수
[per_share]</t>
      </text>
    </comment>
    <comment ref="AG31" authorId="0" shapeId="0">
      <text>
        <t>추정: 지배주주지분 ÷ 유통주식수
[per_share]</t>
      </text>
    </comment>
    <comment ref="AH31" authorId="0" shapeId="0">
      <text>
        <t>추정: 지배주주지분 ÷ 유통주식수
[per_share]</t>
      </text>
    </comment>
    <comment ref="AI31" authorId="0" shapeId="0">
      <text>
        <t>추정: 지배주주지분 ÷ 유통주식수
[per_share]</t>
      </text>
    </comment>
    <comment ref="AK31" authorId="0" shapeId="0">
      <text>
        <t>추정: 지배주주지분 ÷ 유통주식수
[per_share]</t>
      </text>
    </comment>
    <comment ref="AL31" authorId="0" shapeId="0">
      <text>
        <t>추정: 지배주주지분 ÷ 유통주식수
[per_share]</t>
      </text>
    </comment>
    <comment ref="AM31" authorId="0" shapeId="0">
      <text>
        <t>추정: 지배주주지분 ÷ 유통주식수
[per_share]</t>
      </text>
    </comment>
    <comment ref="AN31" authorId="0" shapeId="0">
      <text>
        <t>추정: 지배주주지분 ÷ 유통주식수
[per_share]</t>
      </text>
    </comment>
    <comment ref="E32" authorId="0" shapeId="0">
      <text>
        <t>실측(계정 매핑 없음(파생·부문·시세 행) — 모델값 직접) — fin.dividend.dps_common(연간, Q4 에 표기)</t>
      </text>
    </comment>
    <comment ref="F32" authorId="0" shapeId="0">
      <text>
        <t>연간(actual) — 분기 미완 연도, 모델 a 값 직접</t>
      </text>
    </comment>
    <comment ref="J32" authorId="0" shapeId="0">
      <text>
        <t>실측(계정 매핑 없음(파생·부문·시세 행) — 모델값 직접) — fin.dividend.dps_common(연간, Q4 에 표기)</t>
      </text>
    </comment>
    <comment ref="O32" authorId="0" shapeId="0">
      <text>
        <t>실측(계정 매핑 없음(파생·부문·시세 행) — 모델값 직접) — fin.dividend.dps_common(연간, Q4 에 표기)</t>
      </text>
    </comment>
    <comment ref="T32" authorId="0" shapeId="0">
      <text>
        <t>실측(계정 매핑 없음(파생·부문·시세 행) — 모델값 직접) — fin.dividend.dps_common(연간, Q4 에 표기)</t>
      </text>
    </comment>
    <comment ref="Y32" authorId="0" shapeId="0">
      <text>
        <t>실측(계정 매핑 없음(파생·부문·시세 행) — 모델값 직접) — fin.dividend.dps_common(연간, Q4 에 표기)</t>
      </text>
    </comment>
    <comment ref="AD32" authorId="0" shapeId="0">
      <text>
        <t>추정: 직전 결산 DPS 0원 유지
[abs]</t>
      </text>
    </comment>
    <comment ref="AI32" authorId="0" shapeId="0">
      <text>
        <t>추정: 직전 결산 DPS 0원 유지
[abs]</t>
      </text>
    </comment>
    <comment ref="AN32" authorId="0" shapeId="0">
      <text>
        <t>추정: 직전 결산 DPS 0원 유지
[abs]</t>
      </text>
    </comment>
    <comment ref="AC33" authorId="0" shapeId="0">
      <text>
        <t>추정: 현재 종가 ÷ TTM EPS(추정 포함)
[valuation]</t>
      </text>
    </comment>
    <comment ref="AD33" authorId="0" shapeId="0">
      <text>
        <t>추정: 현재 종가 ÷ TTM EPS(추정 포함)
[valuation]</t>
      </text>
    </comment>
    <comment ref="AF33" authorId="0" shapeId="0">
      <text>
        <t>추정: 현재 종가 ÷ TTM EPS(추정 포함)
[valuation]</t>
      </text>
    </comment>
    <comment ref="AG33" authorId="0" shapeId="0">
      <text>
        <t>추정: 현재 종가 ÷ TTM EPS(추정 포함)
[valuation]</t>
      </text>
    </comment>
    <comment ref="AH33" authorId="0" shapeId="0">
      <text>
        <t>추정: 현재 종가 ÷ TTM EPS(추정 포함)
[valuation]</t>
      </text>
    </comment>
    <comment ref="AI33" authorId="0" shapeId="0">
      <text>
        <t>추정: 현재 종가 ÷ TTM EPS(추정 포함)
[valuation]</t>
      </text>
    </comment>
    <comment ref="AK33" authorId="0" shapeId="0">
      <text>
        <t>추정: 현재 종가 ÷ TTM EPS(추정 포함)
[valuation]</t>
      </text>
    </comment>
    <comment ref="AL33" authorId="0" shapeId="0">
      <text>
        <t>추정: 현재 종가 ÷ TTM EPS(추정 포함)
[valuation]</t>
      </text>
    </comment>
    <comment ref="AM33" authorId="0" shapeId="0">
      <text>
        <t>추정: 현재 종가 ÷ TTM EPS(추정 포함)
[valuation]</t>
      </text>
    </comment>
    <comment ref="AN33" authorId="0" shapeId="0">
      <text>
        <t>추정: 현재 종가 ÷ TTM EPS(추정 포함)
[valuation]</t>
      </text>
    </comment>
    <comment ref="AC34" authorId="0" shapeId="0">
      <text>
        <t>추정: 현재 종가 ÷ BPS(추정 포함)
[valuation]</t>
      </text>
    </comment>
    <comment ref="AD34" authorId="0" shapeId="0">
      <text>
        <t>추정: 현재 종가 ÷ BPS(추정 포함)
[valuation]</t>
      </text>
    </comment>
    <comment ref="AF34" authorId="0" shapeId="0">
      <text>
        <t>추정: 현재 종가 ÷ BPS(추정 포함)
[valuation]</t>
      </text>
    </comment>
    <comment ref="AG34" authorId="0" shapeId="0">
      <text>
        <t>추정: 현재 종가 ÷ BPS(추정 포함)
[valuation]</t>
      </text>
    </comment>
    <comment ref="AH34" authorId="0" shapeId="0">
      <text>
        <t>추정: 현재 종가 ÷ BPS(추정 포함)
[valuation]</t>
      </text>
    </comment>
    <comment ref="AI34" authorId="0" shapeId="0">
      <text>
        <t>추정: 현재 종가 ÷ BPS(추정 포함)
[valuation]</t>
      </text>
    </comment>
    <comment ref="AK34" authorId="0" shapeId="0">
      <text>
        <t>추정: 현재 종가 ÷ BPS(추정 포함)
[valuation]</t>
      </text>
    </comment>
    <comment ref="AL34" authorId="0" shapeId="0">
      <text>
        <t>추정: 현재 종가 ÷ BPS(추정 포함)
[valuation]</t>
      </text>
    </comment>
    <comment ref="AM34" authorId="0" shapeId="0">
      <text>
        <t>추정: 현재 종가 ÷ BPS(추정 포함)
[valuation]</t>
      </text>
    </comment>
    <comment ref="AN34" authorId="0" shapeId="0">
      <text>
        <t>추정: 현재 종가 ÷ BPS(추정 포함)
[valuation]</t>
      </text>
    </comment>
    <comment ref="E35" authorId="0" shapeId="0">
      <text>
        <t>실측(계정 매핑 없음(파생·부문·시세 행) — 모델값 직접) — = 매출액(부문 미분리)</t>
      </text>
    </comment>
    <comment ref="G35" authorId="0" shapeId="0">
      <text>
        <t>실측(계정 매핑 없음(파생·부문·시세 행) — 모델값 직접) — = 매출액(부문 미분리)</t>
      </text>
    </comment>
    <comment ref="H35" authorId="0" shapeId="0">
      <text>
        <t>실측(계정 매핑 없음(파생·부문·시세 행) — 모델값 직접) — = 매출액(부문 미분리)</t>
      </text>
    </comment>
    <comment ref="I35" authorId="0" shapeId="0">
      <text>
        <t>실측(계정 매핑 없음(파생·부문·시세 행) — 모델값 직접) — = 매출액(부문 미분리)</t>
      </text>
    </comment>
    <comment ref="J35" authorId="0" shapeId="0">
      <text>
        <t>실측(계정 매핑 없음(파생·부문·시세 행) — 모델값 직접) — = 매출액(부문 미분리)</t>
      </text>
    </comment>
    <comment ref="L35" authorId="0" shapeId="0">
      <text>
        <t>실측(계정 매핑 없음(파생·부문·시세 행) — 모델값 직접) — = 매출액(부문 미분리)</t>
      </text>
    </comment>
    <comment ref="M35" authorId="0" shapeId="0">
      <text>
        <t>실측(계정 매핑 없음(파생·부문·시세 행) — 모델값 직접) — = 매출액(부문 미분리)</t>
      </text>
    </comment>
    <comment ref="N35" authorId="0" shapeId="0">
      <text>
        <t>실측(계정 매핑 없음(파생·부문·시세 행) — 모델값 직접) — = 매출액(부문 미분리)</t>
      </text>
    </comment>
    <comment ref="O35" authorId="0" shapeId="0">
      <text>
        <t>실측(계정 매핑 없음(파생·부문·시세 행) — 모델값 직접) — = 매출액(부문 미분리)</t>
      </text>
    </comment>
    <comment ref="Q35" authorId="0" shapeId="0">
      <text>
        <t>실측(계정 매핑 없음(파생·부문·시세 행) — 모델값 직접) — = 매출액(부문 미분리)</t>
      </text>
    </comment>
    <comment ref="R35" authorId="0" shapeId="0">
      <text>
        <t>실측(계정 매핑 없음(파생·부문·시세 행) — 모델값 직접) — = 매출액(부문 미분리)</t>
      </text>
    </comment>
    <comment ref="S35" authorId="0" shapeId="0">
      <text>
        <t>실측(계정 매핑 없음(파생·부문·시세 행) — 모델값 직접) — = 매출액(부문 미분리)</t>
      </text>
    </comment>
    <comment ref="T35" authorId="0" shapeId="0">
      <text>
        <t>실측(계정 매핑 없음(파생·부문·시세 행) — 모델값 직접) — = 매출액(부문 미분리)</t>
      </text>
    </comment>
    <comment ref="V35" authorId="0" shapeId="0">
      <text>
        <t>실측(계정 매핑 없음(파생·부문·시세 행) — 모델값 직접) — = 매출액(부문 미분리)</t>
      </text>
    </comment>
    <comment ref="W35" authorId="0" shapeId="0">
      <text>
        <t>실측(계정 매핑 없음(파생·부문·시세 행) — 모델값 직접) — = 매출액(부문 미분리)</t>
      </text>
    </comment>
    <comment ref="X35" authorId="0" shapeId="0">
      <text>
        <t>실측(계정 매핑 없음(파생·부문·시세 행) — 모델값 직접) — = 매출액(부문 미분리)</t>
      </text>
    </comment>
    <comment ref="Y35" authorId="0" shapeId="0">
      <text>
        <t>실측(계정 매핑 없음(파생·부문·시세 행) — 모델값 직접) — = 매출액(부문 미분리)</t>
      </text>
    </comment>
    <comment ref="AA35" authorId="0" shapeId="0">
      <text>
        <t>실측(계정 매핑 없음(파생·부문·시세 행) — 모델값 직접) — = 매출액(부문 미분리)</t>
      </text>
    </comment>
    <comment ref="AB35" authorId="0" shapeId="0">
      <text>
        <t>실측(계정 매핑 없음(파생·부문·시세 행) — 모델값 직접) — = 매출액(부문 미분리)</t>
      </text>
    </comment>
    <comment ref="AC35" authorId="0" shapeId="0">
      <text>
        <t>추정: = 매출액 추정(부문 미분리)
[identity]</t>
      </text>
    </comment>
    <comment ref="AD35" authorId="0" shapeId="0">
      <text>
        <t>추정: = 매출액 추정(부문 미분리)
[identity]</t>
      </text>
    </comment>
    <comment ref="AF35" authorId="0" shapeId="0">
      <text>
        <t>추정: = 매출액 추정(부문 미분리)
[identity]</t>
      </text>
    </comment>
    <comment ref="AG35" authorId="0" shapeId="0">
      <text>
        <t>추정: = 매출액 추정(부문 미분리)
[identity]</t>
      </text>
    </comment>
    <comment ref="AH35" authorId="0" shapeId="0">
      <text>
        <t>추정: = 매출액 추정(부문 미분리)
[identity]</t>
      </text>
    </comment>
    <comment ref="AI35" authorId="0" shapeId="0">
      <text>
        <t>추정: = 매출액 추정(부문 미분리)
[identity]</t>
      </text>
    </comment>
    <comment ref="AK35" authorId="0" shapeId="0">
      <text>
        <t>추정: = 매출액 추정(부문 미분리)
[identity]</t>
      </text>
    </comment>
    <comment ref="AL35" authorId="0" shapeId="0">
      <text>
        <t>추정: = 매출액 추정(부문 미분리)
[identity]</t>
      </text>
    </comment>
    <comment ref="AM35" authorId="0" shapeId="0">
      <text>
        <t>추정: = 매출액 추정(부문 미분리)
[identity]</t>
      </text>
    </comment>
    <comment ref="AN35" authorId="0" shapeId="0">
      <text>
        <t>추정: = 매출액 추정(부문 미분리)
[identity]</t>
      </text>
    </comment>
    <comment ref="E36" authorId="0" shapeId="0">
      <text>
        <t>실측(계정 매핑 없음(파생·부문·시세 행) — 모델값 직접) — = 영업이익(부문 미분리)</t>
      </text>
    </comment>
    <comment ref="G36" authorId="0" shapeId="0">
      <text>
        <t>실측(계정 매핑 없음(파생·부문·시세 행) — 모델값 직접) — = 영업이익(부문 미분리)</t>
      </text>
    </comment>
    <comment ref="H36" authorId="0" shapeId="0">
      <text>
        <t>실측(계정 매핑 없음(파생·부문·시세 행) — 모델값 직접) — = 영업이익(부문 미분리)</t>
      </text>
    </comment>
    <comment ref="I36" authorId="0" shapeId="0">
      <text>
        <t>실측(계정 매핑 없음(파생·부문·시세 행) — 모델값 직접) — = 영업이익(부문 미분리)</t>
      </text>
    </comment>
    <comment ref="J36" authorId="0" shapeId="0">
      <text>
        <t>실측(계정 매핑 없음(파생·부문·시세 행) — 모델값 직접) — = 영업이익(부문 미분리)</t>
      </text>
    </comment>
    <comment ref="L36" authorId="0" shapeId="0">
      <text>
        <t>실측(계정 매핑 없음(파생·부문·시세 행) — 모델값 직접) — = 영업이익(부문 미분리)</t>
      </text>
    </comment>
    <comment ref="M36" authorId="0" shapeId="0">
      <text>
        <t>실측(계정 매핑 없음(파생·부문·시세 행) — 모델값 직접) — = 영업이익(부문 미분리)</t>
      </text>
    </comment>
    <comment ref="N36" authorId="0" shapeId="0">
      <text>
        <t>실측(계정 매핑 없음(파생·부문·시세 행) — 모델값 직접) — = 영업이익(부문 미분리)</t>
      </text>
    </comment>
    <comment ref="O36" authorId="0" shapeId="0">
      <text>
        <t>실측(계정 매핑 없음(파생·부문·시세 행) — 모델값 직접) — = 영업이익(부문 미분리)</t>
      </text>
    </comment>
    <comment ref="Q36" authorId="0" shapeId="0">
      <text>
        <t>실측(계정 매핑 없음(파생·부문·시세 행) — 모델값 직접) — = 영업이익(부문 미분리)</t>
      </text>
    </comment>
    <comment ref="R36" authorId="0" shapeId="0">
      <text>
        <t>실측(계정 매핑 없음(파생·부문·시세 행) — 모델값 직접) — = 영업이익(부문 미분리)</t>
      </text>
    </comment>
    <comment ref="S36" authorId="0" shapeId="0">
      <text>
        <t>실측(계정 매핑 없음(파생·부문·시세 행) — 모델값 직접) — = 영업이익(부문 미분리)</t>
      </text>
    </comment>
    <comment ref="T36" authorId="0" shapeId="0">
      <text>
        <t>실측(계정 매핑 없음(파생·부문·시세 행) — 모델값 직접) — = 영업이익(부문 미분리)</t>
      </text>
    </comment>
    <comment ref="V36" authorId="0" shapeId="0">
      <text>
        <t>실측(계정 매핑 없음(파생·부문·시세 행) — 모델값 직접) — = 영업이익(부문 미분리)</t>
      </text>
    </comment>
    <comment ref="W36" authorId="0" shapeId="0">
      <text>
        <t>실측(계정 매핑 없음(파생·부문·시세 행) — 모델값 직접) — = 영업이익(부문 미분리)</t>
      </text>
    </comment>
    <comment ref="X36" authorId="0" shapeId="0">
      <text>
        <t>실측(계정 매핑 없음(파생·부문·시세 행) — 모델값 직접) — = 영업이익(부문 미분리)</t>
      </text>
    </comment>
    <comment ref="Y36" authorId="0" shapeId="0">
      <text>
        <t>실측(계정 매핑 없음(파생·부문·시세 행) — 모델값 직접) — = 영업이익(부문 미분리)</t>
      </text>
    </comment>
    <comment ref="AA36" authorId="0" shapeId="0">
      <text>
        <t>실측(계정 매핑 없음(파생·부문·시세 행) — 모델값 직접) — = 영업이익(부문 미분리)</t>
      </text>
    </comment>
    <comment ref="AB36" authorId="0" shapeId="0">
      <text>
        <t>실측(계정 매핑 없음(파생·부문·시세 행) — 모델값 직접) — = 영업이익(부문 미분리)</t>
      </text>
    </comment>
    <comment ref="AC36" authorId="0" shapeId="0">
      <text>
        <t>추정: = 매출액 × OPM(부문 미분리)
[identity]</t>
      </text>
    </comment>
    <comment ref="AD36" authorId="0" shapeId="0">
      <text>
        <t>추정: = 매출액 × OPM(부문 미분리)
[identity]</t>
      </text>
    </comment>
    <comment ref="AF36" authorId="0" shapeId="0">
      <text>
        <t>추정: = 매출액 × OPM(부문 미분리)
[identity]</t>
      </text>
    </comment>
    <comment ref="AG36" authorId="0" shapeId="0">
      <text>
        <t>추정: = 매출액 × OPM(부문 미분리)
[identity]</t>
      </text>
    </comment>
    <comment ref="AH36" authorId="0" shapeId="0">
      <text>
        <t>추정: = 매출액 × OPM(부문 미분리)
[identity]</t>
      </text>
    </comment>
    <comment ref="AI36" authorId="0" shapeId="0">
      <text>
        <t>추정: = 매출액 × OPM(부문 미분리)
[identity]</t>
      </text>
    </comment>
    <comment ref="AK36" authorId="0" shapeId="0">
      <text>
        <t>추정: = 매출액 × OPM(부문 미분리)
[identity]</t>
      </text>
    </comment>
    <comment ref="AL36" authorId="0" shapeId="0">
      <text>
        <t>추정: = 매출액 × OPM(부문 미분리)
[identity]</t>
      </text>
    </comment>
    <comment ref="AM36" authorId="0" shapeId="0">
      <text>
        <t>추정: = 매출액 × OPM(부문 미분리)
[identity]</t>
      </text>
    </comment>
    <comment ref="AN36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일승(333430)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12.13% — 법인세 = MAX(세전,0) × 세율, 추정 전 분기 연결(Σ법인세/Σmax(세전,0) 역산, 재현 오차 ≤ 0.05억). 모델 가정 12.13% · 근거: 최근 12분기 유효세율 4.3% 가 5~27% 밖 → 클립 대신 최근 8분기 중 세전 &gt; 0 인 8분기(2024Q3~2026Q2)의 법인세/세전 중위 12.1%</t>
        </is>
      </c>
    </row>
    <row r="23">
      <c r="A23" t="inlineStr">
        <is>
          <t>· 판관비율 12.31% — 판관비 = 매출액 × 판관비율, 추정 전 분기 연결</t>
        </is>
      </c>
    </row>
    <row r="24">
      <c r="A24" t="inlineStr">
        <is>
          <t>· 지배주주 비중 57.1% — 지배주주순이익 = 당기순이익 × 비중, 추정 전 분기 연결</t>
        </is>
      </c>
    </row>
    <row r="25">
      <c r="A25" t="inlineStr">
        <is>
          <t>· 이자율 자산 1.66% / 부채 3.63% — 이자손익 = (전분기 이자발생자산 × 자산이자율 − 전분기 총차입금 × 부채이자율)/4, 최소자승 역산(모델 assumptions [0.0166, 0.0362]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35.0배가 캡 5~30 밖 — 턴어라운드 초기 TTM EPS 왜곡))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assets/models/333430.json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감가상각비가 face·CF 에 없음(주석 미파싱) → EBITDA·EV/EBITDA 미산출 / 금융손익 실적→추정 단절: 최근 4분기 실적 +8/+7/+20/+27(중위 +14억) → 추정 2026Q3 +0억(차 -14억, -100%)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11.1, "op_wape_pct": 63.9, "n": 4, "note": "단일 회사 4분기 — 통계 아님", "driver_at_freeze": "customer_yard_revenue_weighted", "selection_oos_at_freeze": {"freeze": "2024Q2", "n": 4, "wape_link": 26.4, "wape_trend": 36.0,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135.46, "rev_act": 137.98, "op_pred": 13.53, "op_act": 33.43}, {"q": "2025Q4", "rev_pred": 178.85, "rev_act": 152.6, "op_pred": 17.86, "op_act": 55.32}, {"q": "2026Q1", "rev_pred": 148.81, "rev_act": 120.79, "op_pred": 14.86, "op_act": 23.04}, {"q": "2026Q2", "rev_pred": 155.17, "rev_act": 162.29, "op_pred": 15.5, "op_act": 59.33}]}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2630</v>
      </c>
      <c r="F15" s="9" t="n"/>
      <c r="G15" s="18" t="n">
        <v>2880</v>
      </c>
      <c r="H15" s="18" t="n">
        <v>3515</v>
      </c>
      <c r="I15" s="18" t="n">
        <v>4450</v>
      </c>
      <c r="J15" s="18" t="n">
        <v>3070</v>
      </c>
      <c r="K15" s="9" t="n"/>
      <c r="L15" s="18" t="n">
        <v>2890</v>
      </c>
      <c r="M15" s="18" t="n">
        <v>3800</v>
      </c>
      <c r="N15" s="18" t="n">
        <v>3195</v>
      </c>
      <c r="O15" s="18" t="n">
        <v>2780</v>
      </c>
      <c r="P15" s="9" t="n"/>
      <c r="Q15" s="18" t="n">
        <v>3075</v>
      </c>
      <c r="R15" s="18" t="n">
        <v>3050</v>
      </c>
      <c r="S15" s="18" t="n">
        <v>2935</v>
      </c>
      <c r="T15" s="18" t="n">
        <v>4280</v>
      </c>
      <c r="U15" s="9" t="n"/>
      <c r="V15" s="18" t="n">
        <v>3905</v>
      </c>
      <c r="W15" s="18" t="n">
        <v>4280</v>
      </c>
      <c r="X15" s="18" t="n">
        <v>7700</v>
      </c>
      <c r="Y15" s="18" t="n">
        <v>5960</v>
      </c>
      <c r="Z15" s="9" t="n"/>
      <c r="AA15" s="18" t="n">
        <v>5070</v>
      </c>
      <c r="AB15" s="19" t="n">
        <v>3390</v>
      </c>
      <c r="AC15" s="20" t="n">
        <v>3790</v>
      </c>
      <c r="AD15" s="20" t="n">
        <v>3405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3710</v>
      </c>
      <c r="F16" s="9" t="n"/>
      <c r="G16" s="18" t="n">
        <v>3185</v>
      </c>
      <c r="H16" s="18" t="n">
        <v>4900</v>
      </c>
      <c r="I16" s="18" t="n">
        <v>7150</v>
      </c>
      <c r="J16" s="18" t="n">
        <v>4925</v>
      </c>
      <c r="K16" s="9" t="n"/>
      <c r="L16" s="18" t="n">
        <v>3545</v>
      </c>
      <c r="M16" s="18" t="n">
        <v>4885</v>
      </c>
      <c r="N16" s="18" t="n">
        <v>5540</v>
      </c>
      <c r="O16" s="18" t="n">
        <v>3900</v>
      </c>
      <c r="P16" s="9" t="n"/>
      <c r="Q16" s="18" t="n">
        <v>3685</v>
      </c>
      <c r="R16" s="18" t="n">
        <v>3710</v>
      </c>
      <c r="S16" s="18" t="n">
        <v>4050</v>
      </c>
      <c r="T16" s="18" t="n">
        <v>5240</v>
      </c>
      <c r="U16" s="9" t="n"/>
      <c r="V16" s="18" t="n">
        <v>5620</v>
      </c>
      <c r="W16" s="18" t="n">
        <v>5860</v>
      </c>
      <c r="X16" s="18" t="n">
        <v>10430</v>
      </c>
      <c r="Y16" s="18" t="n">
        <v>9400</v>
      </c>
      <c r="Z16" s="9" t="n"/>
      <c r="AA16" s="18" t="n">
        <v>6630</v>
      </c>
      <c r="AB16" s="19" t="n">
        <v>6520</v>
      </c>
      <c r="AC16" s="20" t="n">
        <v>4680</v>
      </c>
      <c r="AD16" s="20" t="n">
        <v>4190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2205</v>
      </c>
      <c r="F17" s="9" t="n"/>
      <c r="G17" s="18" t="n">
        <v>2370</v>
      </c>
      <c r="H17" s="18" t="n">
        <v>2815</v>
      </c>
      <c r="I17" s="18" t="n">
        <v>2885</v>
      </c>
      <c r="J17" s="18" t="n">
        <v>3040</v>
      </c>
      <c r="K17" s="9" t="n"/>
      <c r="L17" s="18" t="n">
        <v>2700</v>
      </c>
      <c r="M17" s="18" t="n">
        <v>2810</v>
      </c>
      <c r="N17" s="18" t="n">
        <v>3025</v>
      </c>
      <c r="O17" s="18" t="n">
        <v>2625</v>
      </c>
      <c r="P17" s="9" t="n"/>
      <c r="Q17" s="18" t="n">
        <v>2670</v>
      </c>
      <c r="R17" s="18" t="n">
        <v>2800</v>
      </c>
      <c r="S17" s="18" t="n">
        <v>2850</v>
      </c>
      <c r="T17" s="18" t="n">
        <v>2720</v>
      </c>
      <c r="U17" s="9" t="n"/>
      <c r="V17" s="18" t="n">
        <v>3905</v>
      </c>
      <c r="W17" s="18" t="n">
        <v>3570</v>
      </c>
      <c r="X17" s="18" t="n">
        <v>3940</v>
      </c>
      <c r="Y17" s="18" t="n">
        <v>5850</v>
      </c>
      <c r="Z17" s="9" t="n"/>
      <c r="AA17" s="18" t="n">
        <v>4600</v>
      </c>
      <c r="AB17" s="19" t="n">
        <v>3115</v>
      </c>
      <c r="AC17" s="20" t="n">
        <v>2850</v>
      </c>
      <c r="AD17" s="20" t="n">
        <v>3220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2719.3</v>
      </c>
      <c r="F18" s="9" t="n"/>
      <c r="G18" s="18" t="n">
        <v>2729.7</v>
      </c>
      <c r="H18" s="18" t="n">
        <v>3676</v>
      </c>
      <c r="I18" s="18" t="n">
        <v>4229.1</v>
      </c>
      <c r="J18" s="18" t="n">
        <v>3820.9</v>
      </c>
      <c r="K18" s="9" t="n"/>
      <c r="L18" s="18" t="n">
        <v>3144</v>
      </c>
      <c r="M18" s="18" t="n">
        <v>3590.9</v>
      </c>
      <c r="N18" s="18" t="n">
        <v>3887</v>
      </c>
      <c r="O18" s="18" t="n">
        <v>3016.7</v>
      </c>
      <c r="P18" s="9" t="n"/>
      <c r="Q18" s="18" t="n">
        <v>2932.4</v>
      </c>
      <c r="R18" s="18" t="n">
        <v>3106.4</v>
      </c>
      <c r="S18" s="18" t="n">
        <v>3314.2</v>
      </c>
      <c r="T18" s="18" t="n">
        <v>3595.9</v>
      </c>
      <c r="U18" s="9" t="n"/>
      <c r="V18" s="18" t="n">
        <v>4724</v>
      </c>
      <c r="W18" s="18" t="n">
        <v>4559.7</v>
      </c>
      <c r="X18" s="18" t="n">
        <v>5691.5</v>
      </c>
      <c r="Y18" s="18" t="n">
        <v>6955.6</v>
      </c>
      <c r="Z18" s="9" t="n"/>
      <c r="AA18" s="18" t="n">
        <v>5853.1</v>
      </c>
      <c r="AB18" s="19" t="n">
        <v>4900.7</v>
      </c>
      <c r="AC18" s="20" t="n">
        <v>3675.7</v>
      </c>
      <c r="AD18" s="20" t="n">
        <v>3717.9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0.02799295</v>
      </c>
      <c r="AD21" s="24" t="n">
        <v>0.316284416</v>
      </c>
      <c r="AE21" s="25" t="n"/>
      <c r="AF21" s="24" t="n">
        <v>0.228848254</v>
      </c>
      <c r="AG21" s="24" t="n">
        <v>0.007592063</v>
      </c>
      <c r="AH21" s="24" t="n">
        <v>0.178793006</v>
      </c>
      <c r="AI21" s="24" t="n">
        <v>0.165189684</v>
      </c>
      <c r="AJ21" s="25" t="n"/>
      <c r="AK21" s="24" t="n">
        <v>0.189516944</v>
      </c>
      <c r="AL21" s="24" t="n">
        <v>0.221196184</v>
      </c>
      <c r="AM21" s="24" t="n">
        <v>0.245753589</v>
      </c>
      <c r="AN21" s="24" t="n">
        <v>0.245684498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$D$49</f>
        <v/>
      </c>
      <c r="AD22" s="26">
        <f>$D$49</f>
        <v/>
      </c>
      <c r="AE22" s="25">
        <f>IFERROR(subQ!AE8/subQ!AE5,"")</f>
        <v/>
      </c>
      <c r="AF22" s="26">
        <f>$D$49</f>
        <v/>
      </c>
      <c r="AG22" s="26">
        <f>$D$49</f>
        <v/>
      </c>
      <c r="AH22" s="26">
        <f>$D$49</f>
        <v/>
      </c>
      <c r="AI22" s="26">
        <f>$D$49</f>
        <v/>
      </c>
      <c r="AJ22" s="25">
        <f>IFERROR(subQ!AJ8/subQ!AJ5,"")</f>
        <v/>
      </c>
      <c r="AK22" s="26">
        <f>$D$49</f>
        <v/>
      </c>
      <c r="AL22" s="26">
        <f>$D$49</f>
        <v/>
      </c>
      <c r="AM22" s="26">
        <f>$D$49</f>
        <v/>
      </c>
      <c r="AN22" s="26">
        <f>$D$49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0.195642978</v>
      </c>
      <c r="AD23" s="24" t="n">
        <v>0.195658668</v>
      </c>
      <c r="AE23" s="25">
        <f>IFERROR(subQ!AE9/subQ!AE5,"")</f>
        <v/>
      </c>
      <c r="AF23" s="24" t="n">
        <v>0.19564778</v>
      </c>
      <c r="AG23" s="24" t="n">
        <v>0.195633562</v>
      </c>
      <c r="AH23" s="24" t="n">
        <v>0.195633971</v>
      </c>
      <c r="AI23" s="24" t="n">
        <v>0.195650316</v>
      </c>
      <c r="AJ23" s="25">
        <f>IFERROR(subQ!AJ9/subQ!AJ5,"")</f>
        <v/>
      </c>
      <c r="AK23" s="24" t="n">
        <v>0.195627549</v>
      </c>
      <c r="AL23" s="24" t="n">
        <v>0.195653263</v>
      </c>
      <c r="AM23" s="24" t="n">
        <v>0.195640693</v>
      </c>
      <c r="AN23" s="24" t="n">
        <v>0.195650683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$D$48</f>
        <v/>
      </c>
      <c r="AD26" s="26">
        <f>$D$48</f>
        <v/>
      </c>
      <c r="AE26" s="25">
        <f>IFERROR(subQ!AE16/subQ!AE15,"")</f>
        <v/>
      </c>
      <c r="AF26" s="26">
        <f>$D$48</f>
        <v/>
      </c>
      <c r="AG26" s="26">
        <f>$D$48</f>
        <v/>
      </c>
      <c r="AH26" s="26">
        <f>$D$48</f>
        <v/>
      </c>
      <c r="AI26" s="26">
        <f>$D$48</f>
        <v/>
      </c>
      <c r="AJ26" s="25">
        <f>IFERROR(subQ!AJ16/subQ!AJ15,"")</f>
        <v/>
      </c>
      <c r="AK26" s="26">
        <f>$D$48</f>
        <v/>
      </c>
      <c r="AL26" s="26">
        <f>$D$48</f>
        <v/>
      </c>
      <c r="AM26" s="26">
        <f>$D$48</f>
        <v/>
      </c>
      <c r="AN26" s="26">
        <f>$D$48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$D$50</f>
        <v/>
      </c>
      <c r="AD27" s="26">
        <f>$D$50</f>
        <v/>
      </c>
      <c r="AE27" s="25">
        <f>IFERROR(subQ!AE18/subQ!AE17,"")</f>
        <v/>
      </c>
      <c r="AF27" s="26">
        <f>$D$50</f>
        <v/>
      </c>
      <c r="AG27" s="26">
        <f>$D$50</f>
        <v/>
      </c>
      <c r="AH27" s="26">
        <f>$D$50</f>
        <v/>
      </c>
      <c r="AI27" s="26">
        <f>$D$50</f>
        <v/>
      </c>
      <c r="AJ27" s="25">
        <f>IFERROR(subQ!AJ18/subQ!AJ17,"")</f>
        <v/>
      </c>
      <c r="AK27" s="26">
        <f>$D$50</f>
        <v/>
      </c>
      <c r="AL27" s="26">
        <f>$D$50</f>
        <v/>
      </c>
      <c r="AM27" s="26">
        <f>$D$50</f>
        <v/>
      </c>
      <c r="AN27" s="26">
        <f>$D$50</f>
        <v/>
      </c>
      <c r="AO27" s="25">
        <f>IFERROR(subQ!AO18/subQ!AO17,"")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2" t="n"/>
      <c r="G28" s="21">
        <f>IFERROR(subQ!G20/subQ!E20-1,"")</f>
        <v/>
      </c>
      <c r="H28" s="21">
        <f>IFERROR(subQ!H20/subQ!G20-1,"")</f>
        <v/>
      </c>
      <c r="I28" s="21">
        <f>IFERROR(subQ!I20/subQ!H20-1,"")</f>
        <v/>
      </c>
      <c r="J28" s="21">
        <f>IFERROR(subQ!J20/subQ!I20-1,"")</f>
        <v/>
      </c>
      <c r="K28" s="22" t="n"/>
      <c r="L28" s="21">
        <f>IFERROR(subQ!L20/subQ!J20-1,"")</f>
        <v/>
      </c>
      <c r="M28" s="21">
        <f>IFERROR(subQ!M20/subQ!L20-1,"")</f>
        <v/>
      </c>
      <c r="N28" s="21">
        <f>IFERROR(subQ!N20/subQ!M20-1,"")</f>
        <v/>
      </c>
      <c r="O28" s="21">
        <f>IFERROR(subQ!O20/subQ!N20-1,"")</f>
        <v/>
      </c>
      <c r="P28" s="22" t="n"/>
      <c r="Q28" s="21">
        <f>IFERROR(subQ!Q20/subQ!O20-1,"")</f>
        <v/>
      </c>
      <c r="R28" s="21">
        <f>IFERROR(subQ!R20/subQ!Q20-1,"")</f>
        <v/>
      </c>
      <c r="S28" s="21">
        <f>IFERROR(subQ!S20/subQ!R20-1,"")</f>
        <v/>
      </c>
      <c r="T28" s="21">
        <f>IFERROR(subQ!T20/subQ!S20-1,"")</f>
        <v/>
      </c>
      <c r="U28" s="22" t="n"/>
      <c r="V28" s="21">
        <f>IFERROR(subQ!V20/subQ!T20-1,"")</f>
        <v/>
      </c>
      <c r="W28" s="21">
        <f>IFERROR(subQ!W20/subQ!V20-1,"")</f>
        <v/>
      </c>
      <c r="X28" s="21">
        <f>IFERROR(subQ!X20/subQ!W20-1,"")</f>
        <v/>
      </c>
      <c r="Y28" s="21">
        <f>IFERROR(subQ!Y20/subQ!X20-1,"")</f>
        <v/>
      </c>
      <c r="Z28" s="22" t="n"/>
      <c r="AA28" s="21">
        <f>IFERROR(subQ!AA20/subQ!Y20-1,"")</f>
        <v/>
      </c>
      <c r="AB28" s="23">
        <f>IFERROR(subQ!AB20/subQ!AA20-1,"")</f>
        <v/>
      </c>
      <c r="AC28" s="24" t="n">
        <v>-7.317e-06</v>
      </c>
      <c r="AD28" s="24" t="n">
        <v>0</v>
      </c>
      <c r="AE28" s="25" t="n"/>
      <c r="AF28" s="24" t="n">
        <v>0</v>
      </c>
      <c r="AG28" s="24" t="n">
        <v>0</v>
      </c>
      <c r="AH28" s="24" t="n">
        <v>0</v>
      </c>
      <c r="AI28" s="24" t="n">
        <v>0</v>
      </c>
      <c r="AJ28" s="25" t="n"/>
      <c r="AK28" s="24" t="n">
        <v>0</v>
      </c>
      <c r="AL28" s="24" t="n">
        <v>0</v>
      </c>
      <c r="AM28" s="24" t="n">
        <v>0</v>
      </c>
      <c r="AN28" s="24" t="n">
        <v>0</v>
      </c>
      <c r="AO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0.000360688</v>
      </c>
      <c r="AD29" s="30" t="n">
        <v>0.005267252</v>
      </c>
      <c r="AE29" s="31" t="n"/>
      <c r="AF29" s="30" t="n">
        <v>-0.003322047</v>
      </c>
      <c r="AG29" s="30" t="n">
        <v>0.00276551</v>
      </c>
      <c r="AH29" s="30" t="n">
        <v>-0.000706331</v>
      </c>
      <c r="AI29" s="30" t="n">
        <v>-0.001235727</v>
      </c>
      <c r="AJ29" s="31" t="n"/>
      <c r="AK29" s="30" t="n">
        <v>-0.007279979</v>
      </c>
      <c r="AL29" s="30" t="n">
        <v>0.00641281</v>
      </c>
      <c r="AM29" s="30" t="n">
        <v>0.000887435</v>
      </c>
      <c r="AN29" s="30" t="n">
        <v>0.008437208</v>
      </c>
      <c r="AO29" s="31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7">
        <f>IFERROR(subQ!V22+subQ!W18-subQ!W22,"")</f>
        <v/>
      </c>
      <c r="X30" s="27">
        <f>IFERROR(subQ!W22+subQ!X18-subQ!X22,"")</f>
        <v/>
      </c>
      <c r="Y30" s="27">
        <f>IFERROR(subQ!X22+subQ!Y18-subQ!Y22,"")</f>
        <v/>
      </c>
      <c r="Z30" s="28" t="n"/>
      <c r="AA30" s="27">
        <f>IFERROR(subQ!Y22+subQ!AA18-subQ!AA22,"")</f>
        <v/>
      </c>
      <c r="AB30" s="29">
        <f>IFERROR(subQ!AA22+subQ!AB18-subQ!AB22,"")</f>
        <v/>
      </c>
      <c r="AC30" s="30" t="n">
        <v>0.003551241</v>
      </c>
      <c r="AD30" s="30" t="n">
        <v>-0.005594867</v>
      </c>
      <c r="AE30" s="31" t="n"/>
      <c r="AF30" s="30" t="n">
        <v>0.001084019</v>
      </c>
      <c r="AG30" s="30" t="n">
        <v>0.004216472</v>
      </c>
      <c r="AH30" s="30" t="n">
        <v>-0.005396926</v>
      </c>
      <c r="AI30" s="30" t="n">
        <v>0.005208118</v>
      </c>
      <c r="AJ30" s="31" t="n"/>
      <c r="AK30" s="30" t="n">
        <v>-0.00181305</v>
      </c>
      <c r="AL30" s="30" t="n">
        <v>0.004735233</v>
      </c>
      <c r="AM30" s="30" t="n">
        <v>0.000517786</v>
      </c>
      <c r="AN30" s="30" t="n">
        <v>-0.003285113</v>
      </c>
      <c r="AO30" s="31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0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0.098859266</v>
      </c>
      <c r="AD32" s="24" t="n">
        <v>0.127662711</v>
      </c>
      <c r="AE32" s="25" t="n"/>
      <c r="AF32" s="24" t="n">
        <v>0.08418850899999999</v>
      </c>
      <c r="AG32" s="24" t="n">
        <v>0.085729788</v>
      </c>
      <c r="AH32" s="24" t="n">
        <v>0.08101504800000001</v>
      </c>
      <c r="AI32" s="24" t="n">
        <v>0.104735977</v>
      </c>
      <c r="AJ32" s="25" t="n"/>
      <c r="AK32" s="24" t="n">
        <v>0.072162552</v>
      </c>
      <c r="AL32" s="24" t="n">
        <v>0.076195845</v>
      </c>
      <c r="AM32" s="24" t="n">
        <v>0.074024823</v>
      </c>
      <c r="AN32" s="24" t="n">
        <v>0.096011706</v>
      </c>
      <c r="AO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0.038180475</v>
      </c>
      <c r="AD33" s="24" t="n">
        <v>0.052183607</v>
      </c>
      <c r="AE33" s="25" t="n"/>
      <c r="AF33" s="24" t="n">
        <v>0.036867349</v>
      </c>
      <c r="AG33" s="24" t="n">
        <v>0.039284728</v>
      </c>
      <c r="AH33" s="24" t="n">
        <v>0.03876968</v>
      </c>
      <c r="AI33" s="24" t="n">
        <v>0.052159677</v>
      </c>
      <c r="AJ33" s="25" t="n"/>
      <c r="AK33" s="24" t="n">
        <v>0.037733555</v>
      </c>
      <c r="AL33" s="24" t="n">
        <v>0.041164412</v>
      </c>
      <c r="AM33" s="24" t="n">
        <v>0.041325848</v>
      </c>
      <c r="AN33" s="24" t="n">
        <v>0.055309448</v>
      </c>
      <c r="AO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32" t="n"/>
      <c r="AD34" s="32" t="n"/>
      <c r="AE34" s="25" t="n"/>
      <c r="AF34" s="32" t="n"/>
      <c r="AG34" s="32" t="n"/>
      <c r="AH34" s="32" t="n"/>
      <c r="AI34" s="32" t="n"/>
      <c r="AJ34" s="25" t="n"/>
      <c r="AK34" s="32" t="n"/>
      <c r="AL34" s="32" t="n"/>
      <c r="AM34" s="32" t="n"/>
      <c r="AN34" s="32" t="n"/>
      <c r="AO34" s="25" t="n"/>
    </row>
    <row r="35">
      <c r="A35" s="12" t="inlineStr">
        <is>
          <t>drv:CAPEX</t>
        </is>
      </c>
      <c r="B35" s="2" t="inlineStr">
        <is>
          <t>yoy</t>
        </is>
      </c>
      <c r="C35" t="inlineStr">
        <is>
          <t>CAPEX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24" t="n">
        <v>0.28032345</v>
      </c>
      <c r="AD35" s="24" t="n">
        <v>-0.383617194</v>
      </c>
      <c r="AE35" s="25" t="n"/>
      <c r="AF35" s="24" t="n">
        <v>-0.192005103</v>
      </c>
      <c r="AG35" s="24" t="n">
        <v>0.932858596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drv:영업활동현금흐름</t>
        </is>
      </c>
      <c r="B36" s="2" t="inlineStr">
        <is>
          <t>yoy</t>
        </is>
      </c>
      <c r="C36" t="inlineStr">
        <is>
          <t>영업활동현금흐름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1">
        <f>IFERROR(subQ!W28/subQ!R28-1,"")</f>
        <v/>
      </c>
      <c r="X36" s="21">
        <f>IFERROR(subQ!X28/subQ!S28-1,"")</f>
        <v/>
      </c>
      <c r="Y36" s="21">
        <f>IFERROR(subQ!Y28/subQ!T28-1,"")</f>
        <v/>
      </c>
      <c r="Z36" s="22" t="n"/>
      <c r="AA36" s="21">
        <f>IFERROR(subQ!AA28/subQ!V28-1,"")</f>
        <v/>
      </c>
      <c r="AB36" s="23">
        <f>IFERROR(subQ!AB28/subQ!W28-1,"")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drv:주식수</t>
        </is>
      </c>
      <c r="B37" s="2" t="inlineStr">
        <is>
          <t>qoq</t>
        </is>
      </c>
      <c r="C37" t="inlineStr">
        <is>
          <t>주식수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0</v>
      </c>
      <c r="AD37" s="24" t="n">
        <v>0</v>
      </c>
      <c r="AE37" s="25" t="n"/>
      <c r="AF37" s="24" t="n">
        <v>0</v>
      </c>
      <c r="AG37" s="24" t="n">
        <v>0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drv:DPS</t>
        </is>
      </c>
      <c r="B38" s="2" t="inlineStr">
        <is>
          <t>abs</t>
        </is>
      </c>
      <c r="C38" t="inlineStr">
        <is>
          <t>DPS (가정, 원)</t>
        </is>
      </c>
      <c r="E38" s="27">
        <f>subQ!E32</f>
        <v/>
      </c>
      <c r="F38" s="28">
        <f>subQ!F32</f>
        <v/>
      </c>
      <c r="G38" s="27">
        <f>subQ!G32</f>
        <v/>
      </c>
      <c r="H38" s="27">
        <f>subQ!H32</f>
        <v/>
      </c>
      <c r="I38" s="27">
        <f>subQ!I32</f>
        <v/>
      </c>
      <c r="J38" s="27">
        <f>subQ!J32</f>
        <v/>
      </c>
      <c r="K38" s="28">
        <f>subQ!K32</f>
        <v/>
      </c>
      <c r="L38" s="27">
        <f>subQ!L32</f>
        <v/>
      </c>
      <c r="M38" s="27">
        <f>subQ!M32</f>
        <v/>
      </c>
      <c r="N38" s="27">
        <f>subQ!N32</f>
        <v/>
      </c>
      <c r="O38" s="27">
        <f>subQ!O32</f>
        <v/>
      </c>
      <c r="P38" s="28">
        <f>subQ!P32</f>
        <v/>
      </c>
      <c r="Q38" s="27">
        <f>subQ!Q32</f>
        <v/>
      </c>
      <c r="R38" s="27">
        <f>subQ!R32</f>
        <v/>
      </c>
      <c r="S38" s="27">
        <f>subQ!S32</f>
        <v/>
      </c>
      <c r="T38" s="27">
        <f>subQ!T32</f>
        <v/>
      </c>
      <c r="U38" s="28">
        <f>subQ!U32</f>
        <v/>
      </c>
      <c r="V38" s="27">
        <f>subQ!V32</f>
        <v/>
      </c>
      <c r="W38" s="27">
        <f>subQ!W32</f>
        <v/>
      </c>
      <c r="X38" s="27">
        <f>subQ!X32</f>
        <v/>
      </c>
      <c r="Y38" s="27">
        <f>subQ!Y32</f>
        <v/>
      </c>
      <c r="Z38" s="28">
        <f>subQ!Z32</f>
        <v/>
      </c>
      <c r="AA38" s="27">
        <f>subQ!AA32</f>
        <v/>
      </c>
      <c r="AB38" s="29">
        <f>subQ!AB32</f>
        <v/>
      </c>
      <c r="AC38" s="33" t="n"/>
      <c r="AD38" s="30" t="n">
        <v>0</v>
      </c>
      <c r="AE38" s="31">
        <f>subQ!AE32</f>
        <v/>
      </c>
      <c r="AF38" s="33" t="n"/>
      <c r="AG38" s="33" t="n"/>
      <c r="AH38" s="33" t="n"/>
      <c r="AI38" s="30" t="n">
        <v>0</v>
      </c>
      <c r="AJ38" s="31">
        <f>subQ!AJ32</f>
        <v/>
      </c>
      <c r="AK38" s="33" t="n"/>
      <c r="AL38" s="33" t="n"/>
      <c r="AM38" s="33" t="n"/>
      <c r="AN38" s="30" t="n">
        <v>0</v>
      </c>
      <c r="AO38" s="31">
        <f>subQ!AO32</f>
        <v/>
      </c>
    </row>
    <row r="39"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B40" s="1" t="inlineStr">
        <is>
          <t>3. 밸류에이션·스칼라</t>
        </is>
      </c>
      <c r="C40" s="2" t="inlineStr">
        <is>
          <t>노란 셀 = 가정. '연결' 표시는 추정 전 분기 수식이 이 셀을 참조한다는 뜻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sc:종가</t>
        </is>
      </c>
      <c r="C41" t="inlineStr">
        <is>
          <t>종가</t>
        </is>
      </c>
      <c r="D41" s="34" t="n">
        <v>3405</v>
      </c>
      <c r="E41" s="2" t="inlineStr">
        <is>
          <t>원 — 네이버 정규장 종가(aik 확정종가 대조 · aik 3,710원)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sc:기준일</t>
        </is>
      </c>
      <c r="C42" t="inlineStr">
        <is>
          <t>기준일</t>
        </is>
      </c>
      <c r="D42" s="35" t="inlineStr">
        <is>
          <t>20261013</t>
        </is>
      </c>
      <c r="E42" s="2" t="inlineStr">
        <is>
          <t>종가 기준일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sc:COE</t>
        </is>
      </c>
      <c r="C43" t="inlineStr">
        <is>
          <t>COE</t>
        </is>
      </c>
      <c r="D43" s="24" t="n">
        <v>0.09</v>
      </c>
      <c r="E43" s="2" t="inlineStr">
        <is>
          <t>자기자본비용(가정) — TP 적정 PBR = ROE/COE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sc:PER_lo</t>
        </is>
      </c>
      <c r="C44" t="inlineStr">
        <is>
          <t>PER_lo</t>
        </is>
      </c>
      <c r="D44" s="30" t="n">
        <v>10</v>
      </c>
      <c r="E44" s="2" t="inlineStr">
        <is>
          <t>PER 밴드 하단(배) — sector_default(레퍼런스 TP_PE PB 예시 10/15/20배; 과거 PER 중위 35.0배가 캡 5~30 밖 — 턴어라운드 초기 TTM EPS 왜곡)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sc:PER_mid</t>
        </is>
      </c>
      <c r="C45" t="inlineStr">
        <is>
          <t>PER_mid</t>
        </is>
      </c>
      <c r="D45" s="30" t="n">
        <v>15</v>
      </c>
      <c r="E45" s="2" t="inlineStr">
        <is>
          <t>PER 밴드 중단(배)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sc:PER_hi</t>
        </is>
      </c>
      <c r="C46" t="inlineStr">
        <is>
          <t>PER_hi</t>
        </is>
      </c>
      <c r="D46" s="30" t="n">
        <v>20</v>
      </c>
      <c r="E46" s="2" t="inlineStr">
        <is>
          <t>PER 밴드 상단(배)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sc:EPS_Y1가중</t>
        </is>
      </c>
      <c r="C47" t="inlineStr">
        <is>
          <t>EPS_Y1가중</t>
        </is>
      </c>
      <c r="D47" s="24" t="n">
        <v>0.5</v>
      </c>
      <c r="E47" s="2" t="inlineStr">
        <is>
          <t>12M fwd EPS = FY(last_actual연도)E × w + FY+1E × (1−w) — 기준 분기 2Q 이면 0.5(가정)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sc:세율</t>
        </is>
      </c>
      <c r="C48" t="inlineStr">
        <is>
          <t>세율</t>
        </is>
      </c>
      <c r="D48" s="36" t="n">
        <v>0.1213368412826591</v>
      </c>
      <c r="E48" s="2" t="inlineStr">
        <is>
          <t>연결 — 법인세 = MAX(세전,0) × 세율(역산, 재현 오차 ≤ 0.05억 · 모델 assumptions 0.1213) · 최근 12분기 유효세율 4.3% 가 5~27% 밖 → 클립 대신 최근 8분기 중 세전 &gt; 0 인 8분기(2024Q3~2026Q2)의 법인세/세전 중위 12.1%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sc:판관비율</t>
        </is>
      </c>
      <c r="C49" t="inlineStr">
        <is>
          <t>판관비율</t>
        </is>
      </c>
      <c r="D49" s="36" t="n">
        <v>0.1230971495416595</v>
      </c>
      <c r="E49" s="2" t="inlineStr">
        <is>
          <t>연결 — 판관비 = 매출액 × 판관비율(역산, 재현 오차 ≤ 0.05억 · 모델 assumptions 0.1231)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sc:지배주주비중</t>
        </is>
      </c>
      <c r="C50" t="inlineStr">
        <is>
          <t>지배주주비중</t>
        </is>
      </c>
      <c r="D50" s="36" t="n">
        <v>0.5707678624369997</v>
      </c>
      <c r="E50" s="2" t="inlineStr">
        <is>
          <t>연결 — 지배주주순이익 = 당기순이익 × 비중(역산, 재현 오차 ≤ 0.05억)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sc:이자율_자산</t>
        </is>
      </c>
      <c r="C51" t="inlineStr">
        <is>
          <t>이자율_자산</t>
        </is>
      </c>
      <c r="D51" s="36" t="n">
        <v>0.01662387439116117</v>
      </c>
      <c r="E51" s="2" t="inlineStr">
        <is>
          <t>연결 — 이자손익 = (전분기 이자발생자산 × 자산이자율 − 전분기 총차입금 × 부채이자율)/4(역산, 재현 오차 ≤ 0.05억 · 모델 assumptions 0.0166)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sc:이자율_부채</t>
        </is>
      </c>
      <c r="C52" t="inlineStr">
        <is>
          <t>이자율_부채</t>
        </is>
      </c>
      <c r="D52" s="36" t="n">
        <v>0.03626555610258933</v>
      </c>
      <c r="E52" s="2" t="inlineStr">
        <is>
          <t>연결 — 같은 수식의 부채 쪽(총차입금 행이 없으면 0)(역산, 재현 오차 ≤ 0.05억 · 모델 assumptions 0.0362)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sc:배당성향</t>
        </is>
      </c>
      <c r="C53" t="inlineStr">
        <is>
          <t>배당성향</t>
        </is>
      </c>
      <c r="D53" s="24" t="n">
        <v>0</v>
      </c>
      <c r="E53" s="2" t="inlineStr">
        <is>
          <t>배당성향(참고 — 모델은 직전 DPS 유지·Q2 지급 가정)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sc:외화순노출_백만$</t>
        </is>
      </c>
      <c r="C54" t="inlineStr">
        <is>
          <t>외화순노출_백만$</t>
        </is>
      </c>
      <c r="D54" s="30" t="n"/>
      <c r="E54" s="2" t="inlineStr">
        <is>
          <t>외화 순노출 × Δ기말환율 (외화 시트 방식) — 외화 순노출 미공시(face) → 0 + 표기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sc:헤지비율</t>
        </is>
      </c>
      <c r="C55" t="inlineStr">
        <is>
          <t>헤지비율</t>
        </is>
      </c>
      <c r="D55" s="24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sc:헤지환율_약정</t>
        </is>
      </c>
      <c r="C56" t="inlineStr">
        <is>
          <t>헤지환율_약정</t>
        </is>
      </c>
      <c r="D56" s="16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일승(연)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34794.77</v>
      </c>
      <c r="F5" s="37" t="n">
        <v>34794.77</v>
      </c>
      <c r="G5" s="18" t="n">
        <v>35852.46</v>
      </c>
      <c r="H5" s="18" t="n">
        <v>31705.66</v>
      </c>
      <c r="I5" s="18" t="n">
        <v>35462.73</v>
      </c>
      <c r="J5" s="18" t="n">
        <v>34265.95</v>
      </c>
      <c r="K5" s="37" t="n">
        <v>34265.95</v>
      </c>
      <c r="L5" s="18" t="n">
        <v>32279.94</v>
      </c>
      <c r="M5" s="18" t="n">
        <v>31587.61</v>
      </c>
      <c r="N5" s="18" t="n">
        <v>31817.98</v>
      </c>
      <c r="O5" s="18" t="n">
        <v>35182.82</v>
      </c>
      <c r="P5" s="37" t="n">
        <v>35182.82</v>
      </c>
      <c r="Q5" s="18" t="n">
        <v>36426.87</v>
      </c>
      <c r="R5" s="18" t="n">
        <v>39871.71</v>
      </c>
      <c r="S5" s="18" t="n">
        <v>43296.67</v>
      </c>
      <c r="T5" s="18" t="n">
        <v>47228.73</v>
      </c>
      <c r="U5" s="37" t="n">
        <v>47228.73</v>
      </c>
      <c r="V5" s="18" t="n">
        <v>45653.13</v>
      </c>
      <c r="W5" s="18" t="n">
        <v>45921.02</v>
      </c>
      <c r="X5" s="18" t="n">
        <v>51181.53</v>
      </c>
      <c r="Y5" s="18" t="n">
        <v>58828.65</v>
      </c>
      <c r="Z5" s="37" t="n">
        <v>58828.65</v>
      </c>
      <c r="AA5" s="18" t="n">
        <v>62470.88</v>
      </c>
      <c r="AB5" s="19" t="n">
        <v>69563.62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9752.65</v>
      </c>
      <c r="F6" s="37" t="n">
        <v>9752.65</v>
      </c>
      <c r="G6" s="18" t="n">
        <v>10467.24</v>
      </c>
      <c r="H6" s="18" t="n">
        <v>3476.89</v>
      </c>
      <c r="I6" s="18" t="n">
        <v>5267.92</v>
      </c>
      <c r="J6" s="18" t="n">
        <v>6115.72</v>
      </c>
      <c r="K6" s="37" t="n">
        <v>6115.72</v>
      </c>
      <c r="L6" s="18" t="n">
        <v>11195.29</v>
      </c>
      <c r="M6" s="18" t="n">
        <v>13931.35</v>
      </c>
      <c r="N6" s="18" t="n">
        <v>17397.04</v>
      </c>
      <c r="O6" s="18" t="n">
        <v>17864.54</v>
      </c>
      <c r="P6" s="37" t="n">
        <v>17864.54</v>
      </c>
      <c r="Q6" s="18" t="n">
        <v>22469.11</v>
      </c>
      <c r="R6" s="18" t="n">
        <v>24522.44</v>
      </c>
      <c r="S6" s="18" t="n">
        <v>26504.83</v>
      </c>
      <c r="T6" s="18" t="n">
        <v>33157.04</v>
      </c>
      <c r="U6" s="37" t="n">
        <v>33157.04</v>
      </c>
      <c r="V6" s="18" t="n">
        <v>30587.1</v>
      </c>
      <c r="W6" s="18" t="n">
        <v>31290.04</v>
      </c>
      <c r="X6" s="18" t="n">
        <v>29487.02</v>
      </c>
      <c r="Y6" s="18" t="n">
        <v>31124.25</v>
      </c>
      <c r="Z6" s="37" t="n">
        <v>31124.25</v>
      </c>
      <c r="AA6" s="18" t="n">
        <v>29482.06</v>
      </c>
      <c r="AB6" s="19" t="n">
        <v>26581.18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3965.43</v>
      </c>
      <c r="F7" s="37" t="n">
        <v>3965.43</v>
      </c>
      <c r="G7" s="18" t="n">
        <v>2000</v>
      </c>
      <c r="H7" s="18" t="n">
        <v>2000</v>
      </c>
      <c r="I7" s="18" t="n">
        <v>2005.2</v>
      </c>
      <c r="J7" s="18" t="n">
        <v>2003.54</v>
      </c>
      <c r="K7" s="37" t="n">
        <v>2003.54</v>
      </c>
      <c r="L7" s="18" t="n">
        <v>2009.17</v>
      </c>
      <c r="M7" s="18" t="n">
        <v>2001.56</v>
      </c>
      <c r="N7" s="18" t="n">
        <v>2000</v>
      </c>
      <c r="O7" s="18" t="n">
        <v>2478.32</v>
      </c>
      <c r="P7" s="37" t="n">
        <v>2478.32</v>
      </c>
      <c r="Q7" s="18" t="n">
        <v>2001.6</v>
      </c>
      <c r="R7" s="18" t="n">
        <v>2000</v>
      </c>
      <c r="S7" s="18" t="n">
        <v>2000</v>
      </c>
      <c r="T7" s="18" t="n">
        <v>1.75</v>
      </c>
      <c r="U7" s="37" t="n">
        <v>1.75</v>
      </c>
      <c r="V7" s="18" t="n">
        <v>0</v>
      </c>
      <c r="W7" s="18" t="n">
        <v>928.86</v>
      </c>
      <c r="X7" s="18" t="n">
        <v>7269.48</v>
      </c>
      <c r="Y7" s="18" t="n">
        <v>12320.39</v>
      </c>
      <c r="Z7" s="37" t="n">
        <v>12320.39</v>
      </c>
      <c r="AA7" s="18" t="n">
        <v>17983.34</v>
      </c>
      <c r="AB7" s="19" t="n">
        <v>27111.7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3965.43</v>
      </c>
      <c r="F8" s="37" t="n">
        <v>3965.43</v>
      </c>
      <c r="G8" s="18" t="n">
        <v>2000</v>
      </c>
      <c r="H8" s="18" t="n">
        <v>2000</v>
      </c>
      <c r="I8" s="18" t="n">
        <v>2005.2</v>
      </c>
      <c r="J8" s="18" t="n">
        <v>2003.54</v>
      </c>
      <c r="K8" s="37" t="n">
        <v>2003.54</v>
      </c>
      <c r="L8" s="18" t="n">
        <v>2009.17</v>
      </c>
      <c r="M8" s="18" t="n">
        <v>2001.56</v>
      </c>
      <c r="N8" s="18" t="n">
        <v>2000</v>
      </c>
      <c r="O8" s="18" t="n">
        <v>2478.32</v>
      </c>
      <c r="P8" s="37" t="n">
        <v>2478.32</v>
      </c>
      <c r="Q8" s="18" t="n">
        <v>2001.6</v>
      </c>
      <c r="R8" s="18" t="n">
        <v>2000</v>
      </c>
      <c r="S8" s="18" t="n">
        <v>2000</v>
      </c>
      <c r="T8" s="18" t="n">
        <v>1.75</v>
      </c>
      <c r="U8" s="37" t="n">
        <v>1.75</v>
      </c>
      <c r="V8" s="18" t="n">
        <v>0</v>
      </c>
      <c r="W8" s="18" t="n">
        <v>928.86</v>
      </c>
      <c r="X8" s="18" t="n">
        <v>7269.48</v>
      </c>
      <c r="Y8" s="18" t="n">
        <v>12320.39</v>
      </c>
      <c r="Z8" s="37" t="n">
        <v>12320.39</v>
      </c>
      <c r="AA8" s="18" t="n">
        <v>17983.34</v>
      </c>
      <c r="AB8" s="19" t="n">
        <v>27111.7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10759.03</v>
      </c>
      <c r="F9" s="37" t="n">
        <v>10759.03</v>
      </c>
      <c r="G9" s="18" t="n">
        <v>12226.67</v>
      </c>
      <c r="H9" s="18" t="n">
        <v>11669.03</v>
      </c>
      <c r="I9" s="18" t="n">
        <v>11851.67</v>
      </c>
      <c r="J9" s="18" t="n">
        <v>15448.38</v>
      </c>
      <c r="K9" s="37" t="n">
        <v>15448.38</v>
      </c>
      <c r="L9" s="18" t="n">
        <v>10815.39</v>
      </c>
      <c r="M9" s="18" t="n">
        <v>9827.040000000001</v>
      </c>
      <c r="N9" s="18" t="n">
        <v>6664.81</v>
      </c>
      <c r="O9" s="18" t="n">
        <v>10921.37</v>
      </c>
      <c r="P9" s="37" t="n">
        <v>10921.37</v>
      </c>
      <c r="Q9" s="18" t="n">
        <v>6913.16</v>
      </c>
      <c r="R9" s="18" t="n">
        <v>7947.11</v>
      </c>
      <c r="S9" s="18" t="n">
        <v>8861.68</v>
      </c>
      <c r="T9" s="18" t="n">
        <v>10332.43</v>
      </c>
      <c r="U9" s="37" t="n">
        <v>10332.43</v>
      </c>
      <c r="V9" s="18" t="n">
        <v>10016.74</v>
      </c>
      <c r="W9" s="18" t="n">
        <v>8521.25</v>
      </c>
      <c r="X9" s="18" t="n">
        <v>9241.309999999999</v>
      </c>
      <c r="Y9" s="18" t="n">
        <v>9119.299999999999</v>
      </c>
      <c r="Z9" s="37" t="n">
        <v>9119.299999999999</v>
      </c>
      <c r="AA9" s="18" t="n">
        <v>7889.51</v>
      </c>
      <c r="AB9" s="19" t="n">
        <v>7735.61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1962.36</v>
      </c>
      <c r="F10" s="37" t="n">
        <v>1962.36</v>
      </c>
      <c r="G10" s="18" t="n">
        <v>1165.39</v>
      </c>
      <c r="H10" s="18" t="n">
        <v>987.29</v>
      </c>
      <c r="I10" s="18" t="n">
        <v>1265.16</v>
      </c>
      <c r="J10" s="18" t="n">
        <v>391.95</v>
      </c>
      <c r="K10" s="37" t="n">
        <v>391.95</v>
      </c>
      <c r="L10" s="18" t="n">
        <v>403.24</v>
      </c>
      <c r="M10" s="18" t="n">
        <v>406.02</v>
      </c>
      <c r="N10" s="18" t="n">
        <v>0</v>
      </c>
      <c r="O10" s="18" t="n">
        <v>190.13</v>
      </c>
      <c r="P10" s="37" t="n">
        <v>190.13</v>
      </c>
      <c r="Q10" s="18" t="n">
        <v>193.98</v>
      </c>
      <c r="R10" s="18" t="n">
        <v>192.44</v>
      </c>
      <c r="S10" s="18" t="n">
        <v>192.44</v>
      </c>
      <c r="T10" s="18" t="n">
        <v>192.44</v>
      </c>
      <c r="U10" s="37" t="n">
        <v>192.44</v>
      </c>
      <c r="V10" s="18" t="n">
        <v>192.44</v>
      </c>
      <c r="W10" s="18" t="n">
        <v>0</v>
      </c>
      <c r="X10" s="18" t="n">
        <v>0</v>
      </c>
      <c r="Y10" s="18" t="n">
        <v>0</v>
      </c>
      <c r="Z10" s="37" t="n">
        <v>0</v>
      </c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538.13</v>
      </c>
      <c r="F11" s="37" t="n">
        <v>538.13</v>
      </c>
      <c r="G11" s="18" t="n">
        <v>456.63</v>
      </c>
      <c r="H11" s="18" t="n">
        <v>707.9</v>
      </c>
      <c r="I11" s="18" t="n">
        <v>295.86</v>
      </c>
      <c r="J11" s="18" t="n">
        <v>94.01000000000001</v>
      </c>
      <c r="K11" s="37" t="n">
        <v>94.01000000000001</v>
      </c>
      <c r="L11" s="18" t="n">
        <v>66.34</v>
      </c>
      <c r="M11" s="18" t="n">
        <v>654.6</v>
      </c>
      <c r="N11" s="18" t="n">
        <v>711.33</v>
      </c>
      <c r="O11" s="18" t="n">
        <v>48.8</v>
      </c>
      <c r="P11" s="37" t="n">
        <v>48.8</v>
      </c>
      <c r="Q11" s="18" t="n">
        <v>131.17</v>
      </c>
      <c r="R11" s="18" t="n">
        <v>117.03</v>
      </c>
      <c r="S11" s="18" t="n">
        <v>67.73999999999999</v>
      </c>
      <c r="T11" s="18" t="n">
        <v>19.44</v>
      </c>
      <c r="U11" s="37" t="n">
        <v>19.44</v>
      </c>
      <c r="V11" s="18" t="n">
        <v>19.35</v>
      </c>
      <c r="W11" s="18" t="n">
        <v>14.49</v>
      </c>
      <c r="X11" s="18" t="n">
        <v>55.11</v>
      </c>
      <c r="Y11" s="18" t="n">
        <v>84.72</v>
      </c>
      <c r="Z11" s="37" t="n">
        <v>84.72</v>
      </c>
      <c r="AA11" s="18" t="n">
        <v>12.01</v>
      </c>
      <c r="AB11" s="19" t="n">
        <v>29.96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20.78</v>
      </c>
      <c r="F12" s="37" t="n">
        <v>20.78</v>
      </c>
      <c r="G12" s="18" t="n">
        <v>8.09</v>
      </c>
      <c r="H12" s="18" t="n">
        <v>7.03</v>
      </c>
      <c r="I12" s="18" t="n">
        <v>8.199999999999999</v>
      </c>
      <c r="J12" s="18" t="n">
        <v>10</v>
      </c>
      <c r="K12" s="37" t="n">
        <v>10</v>
      </c>
      <c r="L12" s="18" t="n">
        <v>10.95</v>
      </c>
      <c r="M12" s="18" t="n">
        <v>1.93</v>
      </c>
      <c r="N12" s="18" t="n">
        <v>85.58</v>
      </c>
      <c r="O12" s="18" t="n">
        <v>3.94</v>
      </c>
      <c r="P12" s="37" t="n">
        <v>3.94</v>
      </c>
      <c r="Q12" s="18" t="n">
        <v>5.03</v>
      </c>
      <c r="R12" s="18" t="n">
        <v>2.18</v>
      </c>
      <c r="S12" s="18" t="n">
        <v>7.15</v>
      </c>
      <c r="T12" s="18" t="n">
        <v>68.59999999999999</v>
      </c>
      <c r="U12" s="37" t="n">
        <v>68.59999999999999</v>
      </c>
      <c r="V12" s="18" t="n">
        <v>69.52</v>
      </c>
      <c r="W12" s="18" t="n">
        <v>0</v>
      </c>
      <c r="X12" s="18" t="n">
        <v>0</v>
      </c>
      <c r="Y12" s="18" t="n">
        <v>0</v>
      </c>
      <c r="Z12" s="37" t="n">
        <v>0</v>
      </c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18" t="n">
        <v>7382.14</v>
      </c>
      <c r="F13" s="37" t="n">
        <v>7382.14</v>
      </c>
      <c r="G13" s="18" t="n">
        <v>9092.08</v>
      </c>
      <c r="H13" s="18" t="n">
        <v>12470.61</v>
      </c>
      <c r="I13" s="18" t="n">
        <v>14385.83</v>
      </c>
      <c r="J13" s="18" t="n">
        <v>9807.58</v>
      </c>
      <c r="K13" s="37" t="n">
        <v>9807.58</v>
      </c>
      <c r="L13" s="18" t="n">
        <v>7373.53</v>
      </c>
      <c r="M13" s="18" t="n">
        <v>4349.43</v>
      </c>
      <c r="N13" s="18" t="n">
        <v>4508.58</v>
      </c>
      <c r="O13" s="18" t="n">
        <v>3675.73</v>
      </c>
      <c r="P13" s="37" t="n">
        <v>3675.73</v>
      </c>
      <c r="Q13" s="18" t="n">
        <v>4712.8</v>
      </c>
      <c r="R13" s="18" t="n">
        <v>5090.51</v>
      </c>
      <c r="S13" s="18" t="n">
        <v>5662.84</v>
      </c>
      <c r="T13" s="18" t="n">
        <v>3457.02</v>
      </c>
      <c r="U13" s="37" t="n">
        <v>3457.02</v>
      </c>
      <c r="V13" s="18" t="n">
        <v>4767.97</v>
      </c>
      <c r="W13" s="18" t="n">
        <v>5166.38</v>
      </c>
      <c r="X13" s="18" t="n">
        <v>5128.61</v>
      </c>
      <c r="Y13" s="18" t="n">
        <v>6179.99</v>
      </c>
      <c r="Z13" s="37" t="n">
        <v>6179.99</v>
      </c>
      <c r="AA13" s="18" t="n">
        <v>7103.95</v>
      </c>
      <c r="AB13" s="19" t="n">
        <v>7118.91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50173.55</v>
      </c>
      <c r="F14" s="37" t="n">
        <v>50173.55</v>
      </c>
      <c r="G14" s="18" t="n">
        <v>67621.52</v>
      </c>
      <c r="H14" s="18" t="n">
        <v>69917.64</v>
      </c>
      <c r="I14" s="18" t="n">
        <v>70751.25999999999</v>
      </c>
      <c r="J14" s="18" t="n">
        <v>69667.96000000001</v>
      </c>
      <c r="K14" s="37" t="n">
        <v>69667.96000000001</v>
      </c>
      <c r="L14" s="18" t="n">
        <v>69351.74000000001</v>
      </c>
      <c r="M14" s="18" t="n">
        <v>70410.3</v>
      </c>
      <c r="N14" s="18" t="n">
        <v>69449.14</v>
      </c>
      <c r="O14" s="18" t="n">
        <v>69432.78999999999</v>
      </c>
      <c r="P14" s="37" t="n">
        <v>69432.78999999999</v>
      </c>
      <c r="Q14" s="18" t="n">
        <v>69068.67</v>
      </c>
      <c r="R14" s="18" t="n">
        <v>68500.84</v>
      </c>
      <c r="S14" s="18" t="n">
        <v>67833.89</v>
      </c>
      <c r="T14" s="18" t="n">
        <v>68314.66</v>
      </c>
      <c r="U14" s="37" t="n">
        <v>68314.66</v>
      </c>
      <c r="V14" s="18" t="n">
        <v>68623.71000000001</v>
      </c>
      <c r="W14" s="18" t="n">
        <v>68774.88</v>
      </c>
      <c r="X14" s="18" t="n">
        <v>68901.33</v>
      </c>
      <c r="Y14" s="18" t="n">
        <v>70311.16</v>
      </c>
      <c r="Z14" s="37" t="n">
        <v>70311.16</v>
      </c>
      <c r="AA14" s="18" t="n">
        <v>70671.53999999999</v>
      </c>
      <c r="AB14" s="19" t="n">
        <v>71245.95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장기매출채권및기타채권</t>
        </is>
      </c>
      <c r="E15" s="18" t="n">
        <v>657.65</v>
      </c>
      <c r="F15" s="37" t="n">
        <v>657.65</v>
      </c>
      <c r="G15" s="18" t="n">
        <v>656.03</v>
      </c>
      <c r="H15" s="18" t="n">
        <v>216.24</v>
      </c>
      <c r="I15" s="18" t="n">
        <v>109.02</v>
      </c>
      <c r="J15" s="18" t="n">
        <v>110.23</v>
      </c>
      <c r="K15" s="37" t="n">
        <v>110.23</v>
      </c>
      <c r="L15" s="18" t="n">
        <v>12.93</v>
      </c>
      <c r="M15" s="18" t="n">
        <v>7.93</v>
      </c>
      <c r="N15" s="18" t="n">
        <v>7.93</v>
      </c>
      <c r="O15" s="18" t="n">
        <v>7.93</v>
      </c>
      <c r="P15" s="37" t="n">
        <v>7.93</v>
      </c>
      <c r="Q15" s="18" t="n">
        <v>19.63</v>
      </c>
      <c r="R15" s="18" t="n">
        <v>19.58</v>
      </c>
      <c r="S15" s="18" t="n">
        <v>19.58</v>
      </c>
      <c r="T15" s="18" t="n">
        <v>6.58</v>
      </c>
      <c r="U15" s="37" t="n">
        <v>6.58</v>
      </c>
      <c r="V15" s="18" t="n">
        <v>3.89</v>
      </c>
      <c r="W15" s="18" t="n">
        <v>3.89</v>
      </c>
      <c r="X15" s="18" t="n">
        <v>3.89</v>
      </c>
      <c r="Y15" s="18" t="n">
        <v>3.89</v>
      </c>
      <c r="Z15" s="37" t="n">
        <v>3.89</v>
      </c>
      <c r="AA15" s="18" t="n">
        <v>1.89</v>
      </c>
      <c r="AB15" s="19" t="n">
        <v>1.89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6891.37</v>
      </c>
      <c r="F16" s="37" t="n">
        <v>6891.37</v>
      </c>
      <c r="G16" s="18" t="n">
        <v>7513.3</v>
      </c>
      <c r="H16" s="18" t="n">
        <v>8669.67</v>
      </c>
      <c r="I16" s="18" t="n">
        <v>9361.07</v>
      </c>
      <c r="J16" s="18" t="n">
        <v>8547.32</v>
      </c>
      <c r="K16" s="37" t="n">
        <v>8547.32</v>
      </c>
      <c r="L16" s="18" t="n">
        <v>8738.67</v>
      </c>
      <c r="M16" s="18" t="n">
        <v>9994.940000000001</v>
      </c>
      <c r="N16" s="18" t="n">
        <v>9248.290000000001</v>
      </c>
      <c r="O16" s="18" t="n">
        <v>9178.15</v>
      </c>
      <c r="P16" s="37" t="n">
        <v>9178.15</v>
      </c>
      <c r="Q16" s="18" t="n">
        <v>8986.1</v>
      </c>
      <c r="R16" s="18" t="n">
        <v>8654.07</v>
      </c>
      <c r="S16" s="18" t="n">
        <v>7993.5</v>
      </c>
      <c r="T16" s="18" t="n">
        <v>7187.82</v>
      </c>
      <c r="U16" s="37" t="n">
        <v>7187.82</v>
      </c>
      <c r="V16" s="18" t="n">
        <v>7586.32</v>
      </c>
      <c r="W16" s="18" t="n">
        <v>7922.53</v>
      </c>
      <c r="X16" s="18" t="n">
        <v>8222.129999999999</v>
      </c>
      <c r="Y16" s="18" t="n">
        <v>7918.29</v>
      </c>
      <c r="Z16" s="37" t="n">
        <v>7918.29</v>
      </c>
      <c r="AA16" s="18" t="n">
        <v>8460.57</v>
      </c>
      <c r="AB16" s="19" t="n">
        <v>10246.87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6891.37</v>
      </c>
      <c r="F17" s="37" t="n">
        <v>6891.37</v>
      </c>
      <c r="G17" s="18" t="n">
        <v>7513.3</v>
      </c>
      <c r="H17" s="18" t="n">
        <v>8669.67</v>
      </c>
      <c r="I17" s="18" t="n">
        <v>9361.07</v>
      </c>
      <c r="J17" s="18" t="n">
        <v>8547.32</v>
      </c>
      <c r="K17" s="37" t="n">
        <v>8547.32</v>
      </c>
      <c r="L17" s="18" t="n">
        <v>8738.67</v>
      </c>
      <c r="M17" s="18" t="n">
        <v>9994.940000000001</v>
      </c>
      <c r="N17" s="18" t="n">
        <v>9248.290000000001</v>
      </c>
      <c r="O17" s="18" t="n">
        <v>9178.15</v>
      </c>
      <c r="P17" s="37" t="n">
        <v>9178.15</v>
      </c>
      <c r="Q17" s="18" t="n">
        <v>8986.1</v>
      </c>
      <c r="R17" s="18" t="n">
        <v>8654.07</v>
      </c>
      <c r="S17" s="18" t="n">
        <v>7993.5</v>
      </c>
      <c r="T17" s="18" t="n">
        <v>7187.82</v>
      </c>
      <c r="U17" s="37" t="n">
        <v>7187.82</v>
      </c>
      <c r="V17" s="18" t="n">
        <v>7586.32</v>
      </c>
      <c r="W17" s="18" t="n">
        <v>7922.53</v>
      </c>
      <c r="X17" s="18" t="n">
        <v>8222.129999999999</v>
      </c>
      <c r="Y17" s="18" t="n">
        <v>7918.29</v>
      </c>
      <c r="Z17" s="37" t="n">
        <v>7918.29</v>
      </c>
      <c r="AA17" s="18" t="n">
        <v>8460.57</v>
      </c>
      <c r="AB17" s="19" t="n">
        <v>10246.87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39146.78</v>
      </c>
      <c r="F18" s="37" t="n">
        <v>39146.78</v>
      </c>
      <c r="G18" s="18" t="n">
        <v>55391.95</v>
      </c>
      <c r="H18" s="18" t="n">
        <v>57116.99</v>
      </c>
      <c r="I18" s="18" t="n">
        <v>57581.15</v>
      </c>
      <c r="J18" s="18" t="n">
        <v>57496.87</v>
      </c>
      <c r="K18" s="37" t="n">
        <v>57496.87</v>
      </c>
      <c r="L18" s="18" t="n">
        <v>57287.9</v>
      </c>
      <c r="M18" s="18" t="n">
        <v>57117.33</v>
      </c>
      <c r="N18" s="18" t="n">
        <v>56917.69</v>
      </c>
      <c r="O18" s="18" t="n">
        <v>56783.87</v>
      </c>
      <c r="P18" s="37" t="n">
        <v>56783.87</v>
      </c>
      <c r="Q18" s="18" t="n">
        <v>56611.42</v>
      </c>
      <c r="R18" s="18" t="n">
        <v>56422.93</v>
      </c>
      <c r="S18" s="18" t="n">
        <v>56356.34</v>
      </c>
      <c r="T18" s="18" t="n">
        <v>56171.53</v>
      </c>
      <c r="U18" s="37" t="n">
        <v>56171.53</v>
      </c>
      <c r="V18" s="18" t="n">
        <v>56096.62</v>
      </c>
      <c r="W18" s="18" t="n">
        <v>55915.07</v>
      </c>
      <c r="X18" s="18" t="n">
        <v>55747.49</v>
      </c>
      <c r="Y18" s="18" t="n">
        <v>47396.93</v>
      </c>
      <c r="Z18" s="37" t="n">
        <v>47396.93</v>
      </c>
      <c r="AA18" s="18" t="n">
        <v>47248.23</v>
      </c>
      <c r="AB18" s="19" t="n">
        <v>46088.35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사용권자산</t>
        </is>
      </c>
      <c r="E19" s="18" t="n">
        <v>229.2</v>
      </c>
      <c r="F19" s="37" t="n">
        <v>229.2</v>
      </c>
      <c r="G19" s="18" t="n">
        <v>824.35</v>
      </c>
      <c r="H19" s="18" t="n">
        <v>686.09</v>
      </c>
      <c r="I19" s="18" t="n">
        <v>484.3</v>
      </c>
      <c r="J19" s="18" t="n">
        <v>282.51</v>
      </c>
      <c r="K19" s="37" t="n">
        <v>282.51</v>
      </c>
      <c r="L19" s="18" t="n">
        <v>91.62</v>
      </c>
      <c r="M19" s="18" t="n">
        <v>81.90000000000001</v>
      </c>
      <c r="N19" s="18" t="n">
        <v>72.18000000000001</v>
      </c>
      <c r="O19" s="18" t="n">
        <v>62.45</v>
      </c>
      <c r="P19" s="37" t="n">
        <v>62.45</v>
      </c>
      <c r="Q19" s="18" t="n">
        <v>59.45</v>
      </c>
      <c r="R19" s="18" t="n">
        <v>48.77</v>
      </c>
      <c r="S19" s="18" t="n">
        <v>54</v>
      </c>
      <c r="T19" s="18" t="n">
        <v>45.21</v>
      </c>
      <c r="U19" s="37" t="n">
        <v>45.21</v>
      </c>
      <c r="V19" s="18" t="n">
        <v>40.5</v>
      </c>
      <c r="W19" s="18" t="n">
        <v>32.37</v>
      </c>
      <c r="X19" s="18" t="n">
        <v>26.92</v>
      </c>
      <c r="Y19" s="18" t="n">
        <v>21.87</v>
      </c>
      <c r="Z19" s="37" t="n">
        <v>21.87</v>
      </c>
      <c r="AA19" s="18" t="n">
        <v>16.82</v>
      </c>
      <c r="AB19" s="19" t="n">
        <v>12.79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229.2</v>
      </c>
      <c r="F20" s="37" t="n">
        <v>229.2</v>
      </c>
      <c r="G20" s="18" t="n">
        <v>824.35</v>
      </c>
      <c r="H20" s="18" t="n">
        <v>686.09</v>
      </c>
      <c r="I20" s="18" t="n">
        <v>484.3</v>
      </c>
      <c r="J20" s="18" t="n">
        <v>282.51</v>
      </c>
      <c r="K20" s="37" t="n">
        <v>282.51</v>
      </c>
      <c r="L20" s="18" t="n">
        <v>91.62</v>
      </c>
      <c r="M20" s="18" t="n">
        <v>81.90000000000001</v>
      </c>
      <c r="N20" s="18" t="n">
        <v>72.18000000000001</v>
      </c>
      <c r="O20" s="18" t="n">
        <v>62.45</v>
      </c>
      <c r="P20" s="37" t="n">
        <v>62.45</v>
      </c>
      <c r="Q20" s="18" t="n">
        <v>59.45</v>
      </c>
      <c r="R20" s="18" t="n">
        <v>48.77</v>
      </c>
      <c r="S20" s="18" t="n">
        <v>54</v>
      </c>
      <c r="T20" s="18" t="n">
        <v>45.21</v>
      </c>
      <c r="U20" s="37" t="n">
        <v>45.21</v>
      </c>
      <c r="V20" s="18" t="n">
        <v>40.5</v>
      </c>
      <c r="W20" s="18" t="n">
        <v>32.37</v>
      </c>
      <c r="X20" s="18" t="n">
        <v>26.92</v>
      </c>
      <c r="Y20" s="18" t="n">
        <v>21.87</v>
      </c>
      <c r="Z20" s="37" t="n">
        <v>21.87</v>
      </c>
      <c r="AA20" s="18" t="n">
        <v>16.82</v>
      </c>
      <c r="AB20" s="19" t="n">
        <v>12.79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3248.56</v>
      </c>
      <c r="F21" s="37" t="n">
        <v>3248.56</v>
      </c>
      <c r="G21" s="18" t="n">
        <v>3235.9</v>
      </c>
      <c r="H21" s="18" t="n">
        <v>3228.65</v>
      </c>
      <c r="I21" s="18" t="n">
        <v>3215.71</v>
      </c>
      <c r="J21" s="18" t="n">
        <v>3231.03</v>
      </c>
      <c r="K21" s="37" t="n">
        <v>3231.03</v>
      </c>
      <c r="L21" s="18" t="n">
        <v>3220.62</v>
      </c>
      <c r="M21" s="18" t="n">
        <v>3208.2</v>
      </c>
      <c r="N21" s="18" t="n">
        <v>3203.05</v>
      </c>
      <c r="O21" s="18" t="n">
        <v>3189.22</v>
      </c>
      <c r="P21" s="37" t="n">
        <v>3189.22</v>
      </c>
      <c r="Q21" s="18" t="n">
        <v>3180.89</v>
      </c>
      <c r="R21" s="18" t="n">
        <v>3172.87</v>
      </c>
      <c r="S21" s="18" t="n">
        <v>3171.74</v>
      </c>
      <c r="T21" s="18" t="n">
        <v>3164</v>
      </c>
      <c r="U21" s="37" t="n">
        <v>3164</v>
      </c>
      <c r="V21" s="18" t="n">
        <v>3161.16</v>
      </c>
      <c r="W21" s="18" t="n">
        <v>3158.56</v>
      </c>
      <c r="X21" s="18" t="n">
        <v>3156.43</v>
      </c>
      <c r="Y21" s="18" t="n">
        <v>3154.3</v>
      </c>
      <c r="Z21" s="37" t="n">
        <v>3154.3</v>
      </c>
      <c r="AA21" s="18" t="n">
        <v>3152.73</v>
      </c>
      <c r="AB21" s="19" t="n">
        <v>3150.57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84968.32000000001</v>
      </c>
      <c r="F22" s="37" t="n">
        <v>84968.32000000001</v>
      </c>
      <c r="G22" s="18" t="n">
        <v>103473.98</v>
      </c>
      <c r="H22" s="18" t="n">
        <v>101623.3</v>
      </c>
      <c r="I22" s="18" t="n">
        <v>106213.99</v>
      </c>
      <c r="J22" s="18" t="n">
        <v>103933.91</v>
      </c>
      <c r="K22" s="37" t="n">
        <v>103933.91</v>
      </c>
      <c r="L22" s="18" t="n">
        <v>101631.68</v>
      </c>
      <c r="M22" s="18" t="n">
        <v>101997.91</v>
      </c>
      <c r="N22" s="18" t="n">
        <v>101267.12</v>
      </c>
      <c r="O22" s="18" t="n">
        <v>104615.62</v>
      </c>
      <c r="P22" s="37" t="n">
        <v>104615.62</v>
      </c>
      <c r="Q22" s="18" t="n">
        <v>105495.54</v>
      </c>
      <c r="R22" s="18" t="n">
        <v>108372.55</v>
      </c>
      <c r="S22" s="18" t="n">
        <v>111130.57</v>
      </c>
      <c r="T22" s="18" t="n">
        <v>115543.39</v>
      </c>
      <c r="U22" s="37" t="n">
        <v>115543.39</v>
      </c>
      <c r="V22" s="18" t="n">
        <v>114276.84</v>
      </c>
      <c r="W22" s="18" t="n">
        <v>114695.9</v>
      </c>
      <c r="X22" s="18" t="n">
        <v>120082.86</v>
      </c>
      <c r="Y22" s="18" t="n">
        <v>129139.81</v>
      </c>
      <c r="Z22" s="37" t="n">
        <v>129139.81</v>
      </c>
      <c r="AA22" s="18" t="n">
        <v>133142.42</v>
      </c>
      <c r="AB22" s="19" t="n">
        <v>140809.57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15732.29</v>
      </c>
      <c r="F23" s="37" t="n">
        <v>15732.29</v>
      </c>
      <c r="G23" s="18" t="n">
        <v>25328.09</v>
      </c>
      <c r="H23" s="18" t="n">
        <v>23094.64</v>
      </c>
      <c r="I23" s="18" t="n">
        <v>24367.67</v>
      </c>
      <c r="J23" s="18" t="n">
        <v>22604.78</v>
      </c>
      <c r="K23" s="37" t="n">
        <v>22604.78</v>
      </c>
      <c r="L23" s="18" t="n">
        <v>19490.74</v>
      </c>
      <c r="M23" s="18" t="n">
        <v>18461.64</v>
      </c>
      <c r="N23" s="18" t="n">
        <v>18976.96</v>
      </c>
      <c r="O23" s="18" t="n">
        <v>19044.13</v>
      </c>
      <c r="P23" s="37" t="n">
        <v>19044.13</v>
      </c>
      <c r="Q23" s="18" t="n">
        <v>11371.42</v>
      </c>
      <c r="R23" s="18" t="n">
        <v>16637.16</v>
      </c>
      <c r="S23" s="18" t="n">
        <v>11825.75</v>
      </c>
      <c r="T23" s="18" t="n">
        <v>10772.73</v>
      </c>
      <c r="U23" s="37" t="n">
        <v>10772.73</v>
      </c>
      <c r="V23" s="18" t="n">
        <v>8381.41</v>
      </c>
      <c r="W23" s="18" t="n">
        <v>7470.33</v>
      </c>
      <c r="X23" s="18" t="n">
        <v>7371.76</v>
      </c>
      <c r="Y23" s="18" t="n">
        <v>16067.37</v>
      </c>
      <c r="Z23" s="37" t="n">
        <v>16067.37</v>
      </c>
      <c r="AA23" s="18" t="n">
        <v>22335.93</v>
      </c>
      <c r="AB23" s="19" t="n">
        <v>23367.84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8309.120000000001</v>
      </c>
      <c r="F24" s="37" t="n">
        <v>8309.120000000001</v>
      </c>
      <c r="G24" s="18" t="n">
        <v>9243.41</v>
      </c>
      <c r="H24" s="18" t="n">
        <v>7357.34</v>
      </c>
      <c r="I24" s="18" t="n">
        <v>7299.16</v>
      </c>
      <c r="J24" s="18" t="n">
        <v>7417.95</v>
      </c>
      <c r="K24" s="37" t="n">
        <v>7417.95</v>
      </c>
      <c r="L24" s="18" t="n">
        <v>6183.7</v>
      </c>
      <c r="M24" s="18" t="n">
        <v>4606.33</v>
      </c>
      <c r="N24" s="18" t="n">
        <v>4820.29</v>
      </c>
      <c r="O24" s="18" t="n">
        <v>4226.27</v>
      </c>
      <c r="P24" s="37" t="n">
        <v>4226.27</v>
      </c>
      <c r="Q24" s="18" t="n">
        <v>4565.14</v>
      </c>
      <c r="R24" s="18" t="n">
        <v>4328.21</v>
      </c>
      <c r="S24" s="18" t="n">
        <v>3931.66</v>
      </c>
      <c r="T24" s="18" t="n">
        <v>5133.15</v>
      </c>
      <c r="U24" s="37" t="n">
        <v>5133.15</v>
      </c>
      <c r="V24" s="18" t="n">
        <v>5168.37</v>
      </c>
      <c r="W24" s="18" t="n">
        <v>4389.43</v>
      </c>
      <c r="X24" s="18" t="n">
        <v>3946.64</v>
      </c>
      <c r="Y24" s="18" t="n">
        <v>4671.49</v>
      </c>
      <c r="Z24" s="37" t="n">
        <v>4671.49</v>
      </c>
      <c r="AA24" s="18" t="n">
        <v>4766.24</v>
      </c>
      <c r="AB24" s="19" t="n">
        <v>3593.94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계약부채</t>
        </is>
      </c>
      <c r="E25" s="18" t="n">
        <v>159.32</v>
      </c>
      <c r="F25" s="37" t="n">
        <v>159.32</v>
      </c>
      <c r="G25" s="18" t="n">
        <v>353.25</v>
      </c>
      <c r="H25" s="18" t="n">
        <v>489.05</v>
      </c>
      <c r="I25" s="18" t="n">
        <v>259.15</v>
      </c>
      <c r="J25" s="18" t="n">
        <v>259.15</v>
      </c>
      <c r="K25" s="37" t="n">
        <v>259.15</v>
      </c>
      <c r="L25" s="18" t="n">
        <v>259.15</v>
      </c>
      <c r="M25" s="18" t="n">
        <v>259.15</v>
      </c>
      <c r="N25" s="18" t="n">
        <v>259.15</v>
      </c>
      <c r="O25" s="18" t="n">
        <v>469.71</v>
      </c>
      <c r="P25" s="37" t="n">
        <v>469.71</v>
      </c>
      <c r="Q25" s="18" t="n">
        <v>469.71</v>
      </c>
      <c r="R25" s="18" t="n">
        <v>469.71</v>
      </c>
      <c r="S25" s="18" t="n">
        <v>469.71</v>
      </c>
      <c r="T25" s="18" t="n">
        <v>0</v>
      </c>
      <c r="U25" s="37" t="n">
        <v>0</v>
      </c>
      <c r="V25" s="18" t="n">
        <v>0</v>
      </c>
      <c r="W25" s="18" t="n">
        <v>0</v>
      </c>
      <c r="Y25" s="18" t="n">
        <v>0</v>
      </c>
      <c r="Z25" s="37" t="n">
        <v>0</v>
      </c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당기법인세부채(미지급법인세)</t>
        </is>
      </c>
      <c r="E26" s="18" t="n">
        <v>444.92</v>
      </c>
      <c r="F26" s="37" t="n">
        <v>444.92</v>
      </c>
      <c r="G26" s="18" t="n">
        <v>249.06</v>
      </c>
      <c r="H26" s="18" t="n">
        <v>73.5</v>
      </c>
      <c r="I26" s="18" t="n">
        <v>602.61</v>
      </c>
      <c r="J26" s="18" t="n">
        <v>225.92</v>
      </c>
      <c r="K26" s="37" t="n">
        <v>225.92</v>
      </c>
      <c r="L26" s="18" t="n">
        <v>143.21</v>
      </c>
      <c r="M26" s="18" t="n">
        <v>74.44</v>
      </c>
      <c r="N26" s="18" t="n">
        <v>0</v>
      </c>
      <c r="O26" s="18" t="n">
        <v>103.72</v>
      </c>
      <c r="P26" s="37" t="n">
        <v>103.72</v>
      </c>
      <c r="Q26" s="18" t="n">
        <v>136.97</v>
      </c>
      <c r="R26" s="18" t="n">
        <v>2472.11</v>
      </c>
      <c r="S26" s="18" t="n">
        <v>2752.22</v>
      </c>
      <c r="T26" s="18" t="n">
        <v>3000.04</v>
      </c>
      <c r="U26" s="37" t="n">
        <v>3000.04</v>
      </c>
      <c r="V26" s="18" t="n">
        <v>1800.43</v>
      </c>
      <c r="W26" s="18" t="n">
        <v>285.44</v>
      </c>
      <c r="X26" s="18" t="n">
        <v>488.47</v>
      </c>
      <c r="Y26" s="18" t="n">
        <v>655.03</v>
      </c>
      <c r="Z26" s="37" t="n">
        <v>655.03</v>
      </c>
      <c r="AA26" s="18" t="n">
        <v>1142.05</v>
      </c>
      <c r="AB26" s="19" t="n">
        <v>2921.21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단기차입금</t>
        </is>
      </c>
      <c r="E27" s="18" t="n">
        <v>3814.99</v>
      </c>
      <c r="F27" s="37" t="n">
        <v>3814.99</v>
      </c>
      <c r="G27" s="18" t="n">
        <v>11686.21</v>
      </c>
      <c r="H27" s="18" t="n">
        <v>11600</v>
      </c>
      <c r="I27" s="18" t="n">
        <v>12300</v>
      </c>
      <c r="J27" s="18" t="n">
        <v>12300</v>
      </c>
      <c r="K27" s="37" t="n">
        <v>12300</v>
      </c>
      <c r="L27" s="18" t="n">
        <v>12508.41</v>
      </c>
      <c r="M27" s="18" t="n">
        <v>12371.06</v>
      </c>
      <c r="N27" s="18" t="n">
        <v>12933.55</v>
      </c>
      <c r="O27" s="18" t="n">
        <v>13496.04</v>
      </c>
      <c r="P27" s="37" t="n">
        <v>13496.04</v>
      </c>
      <c r="Q27" s="18" t="n">
        <v>5850.12</v>
      </c>
      <c r="R27" s="18" t="n">
        <v>8849.959999999999</v>
      </c>
      <c r="S27" s="18" t="n">
        <v>2600</v>
      </c>
      <c r="T27" s="18" t="n">
        <v>1500</v>
      </c>
      <c r="U27" s="37" t="n">
        <v>1500</v>
      </c>
      <c r="V27" s="18" t="n">
        <v>700</v>
      </c>
      <c r="W27" s="18" t="n">
        <v>2000</v>
      </c>
      <c r="X27" s="18" t="n">
        <v>2000</v>
      </c>
      <c r="Y27" s="18" t="n">
        <v>2000</v>
      </c>
      <c r="Z27" s="37" t="n">
        <v>2000</v>
      </c>
      <c r="AA27" s="18" t="n">
        <v>0</v>
      </c>
      <c r="AB27" s="19" t="n">
        <v>0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단기금융부채(face)</t>
        </is>
      </c>
      <c r="E28" s="18" t="n">
        <v>3814.99</v>
      </c>
      <c r="F28" s="37" t="n">
        <v>3814.99</v>
      </c>
      <c r="G28" s="18" t="n">
        <v>11686.21</v>
      </c>
      <c r="H28" s="18" t="n">
        <v>11600</v>
      </c>
      <c r="I28" s="18" t="n">
        <v>12300</v>
      </c>
      <c r="J28" s="18" t="n">
        <v>12300</v>
      </c>
      <c r="K28" s="37" t="n">
        <v>12300</v>
      </c>
      <c r="L28" s="18" t="n">
        <v>12508.41</v>
      </c>
      <c r="M28" s="18" t="n">
        <v>12371.06</v>
      </c>
      <c r="N28" s="18" t="n">
        <v>12933.55</v>
      </c>
      <c r="O28" s="18" t="n">
        <v>13496.04</v>
      </c>
      <c r="P28" s="37" t="n">
        <v>13496.04</v>
      </c>
      <c r="Q28" s="18" t="n">
        <v>5850.12</v>
      </c>
      <c r="R28" s="18" t="n">
        <v>8849.959999999999</v>
      </c>
      <c r="U28" s="9" t="n"/>
      <c r="Z28" s="9" t="n"/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238.18</v>
      </c>
      <c r="F29" s="37" t="n">
        <v>238.18</v>
      </c>
      <c r="G29" s="18" t="n">
        <v>804.47</v>
      </c>
      <c r="H29" s="18" t="n">
        <v>611.22</v>
      </c>
      <c r="I29" s="18" t="n">
        <v>419.74</v>
      </c>
      <c r="J29" s="18" t="n">
        <v>225.82</v>
      </c>
      <c r="K29" s="37" t="n">
        <v>225.82</v>
      </c>
      <c r="L29" s="18" t="n">
        <v>39.64</v>
      </c>
      <c r="M29" s="18" t="n">
        <v>37.91</v>
      </c>
      <c r="N29" s="18" t="n">
        <v>32.8</v>
      </c>
      <c r="O29" s="18" t="n">
        <v>26.8</v>
      </c>
      <c r="P29" s="37" t="n">
        <v>26.8</v>
      </c>
      <c r="Q29" s="18" t="n">
        <v>27.35</v>
      </c>
      <c r="R29" s="18" t="n">
        <v>22.07</v>
      </c>
      <c r="S29" s="18" t="n">
        <v>29.94</v>
      </c>
      <c r="T29" s="18" t="n">
        <v>25.61</v>
      </c>
      <c r="U29" s="37" t="n">
        <v>25.61</v>
      </c>
      <c r="V29" s="18" t="n">
        <v>25.13</v>
      </c>
      <c r="W29" s="18" t="n">
        <v>19.62</v>
      </c>
      <c r="X29" s="18" t="n">
        <v>19.97</v>
      </c>
      <c r="Y29" s="18" t="n">
        <v>19.29</v>
      </c>
      <c r="Z29" s="37" t="n">
        <v>19.29</v>
      </c>
      <c r="AA29" s="18" t="n">
        <v>17.61</v>
      </c>
      <c r="AB29" s="19" t="n">
        <v>14.83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260.89</v>
      </c>
      <c r="F30" s="37" t="n">
        <v>260.89</v>
      </c>
      <c r="G30" s="18" t="n">
        <v>823.8</v>
      </c>
      <c r="H30" s="18" t="n">
        <v>690.76</v>
      </c>
      <c r="I30" s="18" t="n">
        <v>492.02</v>
      </c>
      <c r="J30" s="18" t="n">
        <v>290.65</v>
      </c>
      <c r="K30" s="37" t="n">
        <v>290.65</v>
      </c>
      <c r="L30" s="18" t="n">
        <v>96.84</v>
      </c>
      <c r="M30" s="18" t="n">
        <v>87.28</v>
      </c>
      <c r="N30" s="18" t="n">
        <v>77.5</v>
      </c>
      <c r="O30" s="18" t="n">
        <v>67.47</v>
      </c>
      <c r="P30" s="37" t="n">
        <v>67.47</v>
      </c>
      <c r="Q30" s="18" t="n">
        <v>63.92</v>
      </c>
      <c r="R30" s="18" t="n">
        <v>54.46</v>
      </c>
      <c r="S30" s="18" t="n">
        <v>58.06</v>
      </c>
      <c r="T30" s="18" t="n">
        <v>49.39</v>
      </c>
      <c r="U30" s="37" t="n">
        <v>49.39</v>
      </c>
      <c r="V30" s="18" t="n">
        <v>44.48</v>
      </c>
      <c r="W30" s="18" t="n">
        <v>35.89</v>
      </c>
      <c r="X30" s="18" t="n">
        <v>30.19</v>
      </c>
      <c r="Y30" s="18" t="n">
        <v>24.82</v>
      </c>
      <c r="Z30" s="37" t="n">
        <v>24.82</v>
      </c>
      <c r="AA30" s="18" t="n">
        <v>19.35</v>
      </c>
      <c r="AB30" s="19" t="n">
        <v>14.83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단기금융부채</t>
        </is>
      </c>
      <c r="E31" s="18" t="n">
        <v>238.18</v>
      </c>
      <c r="F31" s="37" t="n">
        <v>238.18</v>
      </c>
      <c r="G31" s="18" t="n">
        <v>804.47</v>
      </c>
      <c r="H31" s="18" t="n">
        <v>611.22</v>
      </c>
      <c r="I31" s="18" t="n">
        <v>419.74</v>
      </c>
      <c r="J31" s="18" t="n">
        <v>225.82</v>
      </c>
      <c r="K31" s="37" t="n">
        <v>225.82</v>
      </c>
      <c r="L31" s="18" t="n">
        <v>39.64</v>
      </c>
      <c r="M31" s="18" t="n">
        <v>37.91</v>
      </c>
      <c r="N31" s="18" t="n">
        <v>32.8</v>
      </c>
      <c r="O31" s="18" t="n">
        <v>26.8</v>
      </c>
      <c r="P31" s="37" t="n">
        <v>26.8</v>
      </c>
      <c r="Q31" s="18" t="n">
        <v>27.35</v>
      </c>
      <c r="R31" s="18" t="n">
        <v>22.07</v>
      </c>
      <c r="S31" s="18" t="n">
        <v>29.94</v>
      </c>
      <c r="T31" s="18" t="n">
        <v>25.61</v>
      </c>
      <c r="U31" s="37" t="n">
        <v>25.61</v>
      </c>
      <c r="V31" s="18" t="n">
        <v>25.13</v>
      </c>
      <c r="W31" s="18" t="n">
        <v>19.62</v>
      </c>
      <c r="X31" s="18" t="n">
        <v>19.97</v>
      </c>
      <c r="Y31" s="18" t="n">
        <v>19.29</v>
      </c>
      <c r="Z31" s="37" t="n">
        <v>19.29</v>
      </c>
      <c r="AA31" s="18" t="n">
        <v>17.61</v>
      </c>
      <c r="AB31" s="19" t="n">
        <v>14.83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기타유동부채</t>
        </is>
      </c>
      <c r="E32" s="18" t="n">
        <v>2765.75</v>
      </c>
      <c r="F32" s="37" t="n">
        <v>2765.75</v>
      </c>
      <c r="G32" s="18" t="n">
        <v>2991.68</v>
      </c>
      <c r="H32" s="18" t="n">
        <v>2963.52</v>
      </c>
      <c r="I32" s="18" t="n">
        <v>3487.01</v>
      </c>
      <c r="J32" s="18" t="n">
        <v>2175.94</v>
      </c>
      <c r="K32" s="37" t="n">
        <v>2175.94</v>
      </c>
      <c r="L32" s="18" t="n">
        <v>356.63</v>
      </c>
      <c r="M32" s="18" t="n">
        <v>1112.75</v>
      </c>
      <c r="N32" s="18" t="n">
        <v>931.17</v>
      </c>
      <c r="O32" s="18" t="n">
        <v>721.58</v>
      </c>
      <c r="P32" s="37" t="n">
        <v>721.58</v>
      </c>
      <c r="Q32" s="18" t="n">
        <v>322.14</v>
      </c>
      <c r="R32" s="18" t="n">
        <v>495.1</v>
      </c>
      <c r="S32" s="18" t="n">
        <v>625.58</v>
      </c>
      <c r="T32" s="18" t="n">
        <v>1113.92</v>
      </c>
      <c r="U32" s="37" t="n">
        <v>1113.92</v>
      </c>
      <c r="V32" s="18" t="n">
        <v>687.48</v>
      </c>
      <c r="W32" s="18" t="n">
        <v>775.84</v>
      </c>
      <c r="X32" s="18" t="n">
        <v>916.6900000000001</v>
      </c>
      <c r="Y32" s="18" t="n">
        <v>1021.56</v>
      </c>
      <c r="Z32" s="37" t="n">
        <v>1021.56</v>
      </c>
      <c r="AA32" s="18" t="n">
        <v>710.04</v>
      </c>
      <c r="AB32" s="19" t="n">
        <v>1137.86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10172.55</v>
      </c>
      <c r="F33" s="37" t="n">
        <v>10172.55</v>
      </c>
      <c r="G33" s="18" t="n">
        <v>18697.25</v>
      </c>
      <c r="H33" s="18" t="n">
        <v>18540.98</v>
      </c>
      <c r="I33" s="18" t="n">
        <v>18837.35</v>
      </c>
      <c r="J33" s="18" t="n">
        <v>18479.54</v>
      </c>
      <c r="K33" s="37" t="n">
        <v>18479.54</v>
      </c>
      <c r="L33" s="18" t="n">
        <v>18381.09</v>
      </c>
      <c r="M33" s="18" t="n">
        <v>18077.15</v>
      </c>
      <c r="N33" s="18" t="n">
        <v>17350.48</v>
      </c>
      <c r="O33" s="18" t="n">
        <v>14383.22</v>
      </c>
      <c r="P33" s="37" t="n">
        <v>14383.22</v>
      </c>
      <c r="Q33" s="18" t="n">
        <v>21916.25</v>
      </c>
      <c r="R33" s="18" t="n">
        <v>21289.48</v>
      </c>
      <c r="S33" s="18" t="n">
        <v>27058.78</v>
      </c>
      <c r="T33" s="18" t="n">
        <v>28056.69</v>
      </c>
      <c r="U33" s="37" t="n">
        <v>28056.69</v>
      </c>
      <c r="V33" s="18" t="n">
        <v>28161.56</v>
      </c>
      <c r="W33" s="18" t="n">
        <v>28276.44</v>
      </c>
      <c r="X33" s="18" t="n">
        <v>29945.74</v>
      </c>
      <c r="Y33" s="18" t="n">
        <v>22200.09</v>
      </c>
      <c r="Z33" s="37" t="n">
        <v>22200.09</v>
      </c>
      <c r="AA33" s="18" t="n">
        <v>16286.84</v>
      </c>
      <c r="AB33" s="19" t="n">
        <v>16266.45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5000</v>
      </c>
      <c r="F34" s="37" t="n">
        <v>5000</v>
      </c>
      <c r="G34" s="18" t="n">
        <v>13500</v>
      </c>
      <c r="H34" s="18" t="n">
        <v>13500</v>
      </c>
      <c r="I34" s="18" t="n">
        <v>13500</v>
      </c>
      <c r="J34" s="18" t="n">
        <v>13500</v>
      </c>
      <c r="K34" s="37" t="n">
        <v>13500</v>
      </c>
      <c r="L34" s="18" t="n">
        <v>13291.59</v>
      </c>
      <c r="M34" s="18" t="n">
        <v>12728.94</v>
      </c>
      <c r="N34" s="18" t="n">
        <v>12166.45</v>
      </c>
      <c r="O34" s="18" t="n">
        <v>11603.96</v>
      </c>
      <c r="P34" s="37" t="n">
        <v>11603.96</v>
      </c>
      <c r="Q34" s="18" t="n">
        <v>19041.47</v>
      </c>
      <c r="R34" s="18" t="n">
        <v>18478.98</v>
      </c>
      <c r="S34" s="18" t="n">
        <v>24174.88</v>
      </c>
      <c r="T34" s="18" t="n">
        <v>25500</v>
      </c>
      <c r="U34" s="37" t="n">
        <v>25500</v>
      </c>
      <c r="V34" s="18" t="n">
        <v>25500</v>
      </c>
      <c r="W34" s="18" t="n">
        <v>25500</v>
      </c>
      <c r="X34" s="18" t="n">
        <v>27000</v>
      </c>
      <c r="Y34" s="18" t="n">
        <v>19300</v>
      </c>
      <c r="Z34" s="37" t="n">
        <v>19300</v>
      </c>
      <c r="AA34" s="18" t="n">
        <v>13300</v>
      </c>
      <c r="AB34" s="19" t="n">
        <v>13300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22.71</v>
      </c>
      <c r="F35" s="37" t="n">
        <v>22.71</v>
      </c>
      <c r="G35" s="18" t="n">
        <v>19.33</v>
      </c>
      <c r="H35" s="18" t="n">
        <v>79.54000000000001</v>
      </c>
      <c r="I35" s="18" t="n">
        <v>72.28</v>
      </c>
      <c r="J35" s="18" t="n">
        <v>64.83</v>
      </c>
      <c r="K35" s="37" t="n">
        <v>64.83</v>
      </c>
      <c r="L35" s="18" t="n">
        <v>57.2</v>
      </c>
      <c r="M35" s="18" t="n">
        <v>49.37</v>
      </c>
      <c r="N35" s="18" t="n">
        <v>44.7</v>
      </c>
      <c r="O35" s="18" t="n">
        <v>40.67</v>
      </c>
      <c r="P35" s="37" t="n">
        <v>40.67</v>
      </c>
      <c r="Q35" s="18" t="n">
        <v>36.57</v>
      </c>
      <c r="R35" s="18" t="n">
        <v>32.39</v>
      </c>
      <c r="S35" s="18" t="n">
        <v>28.12</v>
      </c>
      <c r="T35" s="18" t="n">
        <v>23.78</v>
      </c>
      <c r="U35" s="37" t="n">
        <v>23.78</v>
      </c>
      <c r="V35" s="18" t="n">
        <v>19.35</v>
      </c>
      <c r="W35" s="18" t="n">
        <v>16.27</v>
      </c>
      <c r="X35" s="18" t="n">
        <v>10.22</v>
      </c>
      <c r="Y35" s="18" t="n">
        <v>5.53</v>
      </c>
      <c r="Z35" s="37" t="n">
        <v>5.53</v>
      </c>
      <c r="AA35" s="18" t="n">
        <v>1.74</v>
      </c>
      <c r="AB35" s="19" t="n">
        <v>0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22.71</v>
      </c>
      <c r="F36" s="37" t="n">
        <v>22.71</v>
      </c>
      <c r="G36" s="18" t="n">
        <v>19.33</v>
      </c>
      <c r="H36" s="18" t="n">
        <v>79.54000000000001</v>
      </c>
      <c r="I36" s="18" t="n">
        <v>72.28</v>
      </c>
      <c r="J36" s="18" t="n">
        <v>64.83</v>
      </c>
      <c r="K36" s="37" t="n">
        <v>64.83</v>
      </c>
      <c r="L36" s="18" t="n">
        <v>57.2</v>
      </c>
      <c r="M36" s="18" t="n">
        <v>49.37</v>
      </c>
      <c r="N36" s="18" t="n">
        <v>44.7</v>
      </c>
      <c r="O36" s="18" t="n">
        <v>40.67</v>
      </c>
      <c r="P36" s="37" t="n">
        <v>40.67</v>
      </c>
      <c r="Q36" s="18" t="n">
        <v>36.57</v>
      </c>
      <c r="R36" s="18" t="n">
        <v>32.39</v>
      </c>
      <c r="S36" s="18" t="n">
        <v>28.12</v>
      </c>
      <c r="T36" s="18" t="n">
        <v>23.78</v>
      </c>
      <c r="U36" s="37" t="n">
        <v>23.78</v>
      </c>
      <c r="V36" s="18" t="n">
        <v>19.35</v>
      </c>
      <c r="W36" s="18" t="n">
        <v>16.27</v>
      </c>
      <c r="X36" s="18" t="n">
        <v>10.22</v>
      </c>
      <c r="Y36" s="18" t="n">
        <v>5.53</v>
      </c>
      <c r="Z36" s="37" t="n">
        <v>5.53</v>
      </c>
      <c r="AA36" s="18" t="n">
        <v>1.74</v>
      </c>
      <c r="AB36" s="19" t="n">
        <v>0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확정급여부채</t>
        </is>
      </c>
      <c r="E37" s="18" t="n">
        <v>630.95</v>
      </c>
      <c r="F37" s="37" t="n">
        <v>630.95</v>
      </c>
      <c r="G37" s="18" t="n">
        <v>512.5599999999999</v>
      </c>
      <c r="H37" s="18" t="n">
        <v>296.88</v>
      </c>
      <c r="I37" s="18" t="n">
        <v>488.56</v>
      </c>
      <c r="J37" s="18" t="n">
        <v>585.95</v>
      </c>
      <c r="K37" s="37" t="n">
        <v>585.95</v>
      </c>
      <c r="L37" s="18" t="n">
        <v>676.79</v>
      </c>
      <c r="M37" s="18" t="n">
        <v>598.76</v>
      </c>
      <c r="N37" s="18" t="n">
        <v>614.64</v>
      </c>
      <c r="O37" s="18" t="n">
        <v>130.51</v>
      </c>
      <c r="P37" s="37" t="n">
        <v>130.51</v>
      </c>
      <c r="Q37" s="18" t="n">
        <v>316.54</v>
      </c>
      <c r="R37" s="18" t="n">
        <v>297.87</v>
      </c>
      <c r="S37" s="18" t="n">
        <v>416.61</v>
      </c>
      <c r="T37" s="18" t="n">
        <v>299.98</v>
      </c>
      <c r="U37" s="37" t="n">
        <v>299.98</v>
      </c>
      <c r="V37" s="18" t="n">
        <v>403.05</v>
      </c>
      <c r="W37" s="18" t="n">
        <v>441.8</v>
      </c>
      <c r="X37" s="18" t="n">
        <v>616.27</v>
      </c>
      <c r="Y37" s="18" t="n">
        <v>340.05</v>
      </c>
      <c r="Z37" s="37" t="n">
        <v>340.05</v>
      </c>
      <c r="AA37" s="18" t="n">
        <v>434.04</v>
      </c>
      <c r="AB37" s="19" t="n">
        <v>475.1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이연법인세부채</t>
        </is>
      </c>
      <c r="E38" s="18" t="n">
        <v>4518.89</v>
      </c>
      <c r="F38" s="37" t="n">
        <v>4518.89</v>
      </c>
      <c r="G38" s="18" t="n">
        <v>4665.37</v>
      </c>
      <c r="H38" s="18" t="n">
        <v>4664.55</v>
      </c>
      <c r="I38" s="18" t="n">
        <v>4776.51</v>
      </c>
      <c r="J38" s="18" t="n">
        <v>4328.76</v>
      </c>
      <c r="K38" s="37" t="n">
        <v>4328.76</v>
      </c>
      <c r="L38" s="18" t="n">
        <v>4355.51</v>
      </c>
      <c r="M38" s="18" t="n">
        <v>4700.07</v>
      </c>
      <c r="N38" s="18" t="n">
        <v>4524.69</v>
      </c>
      <c r="O38" s="18" t="n">
        <v>2608.08</v>
      </c>
      <c r="P38" s="37" t="n">
        <v>2608.08</v>
      </c>
      <c r="Q38" s="18" t="n">
        <v>2521.67</v>
      </c>
      <c r="R38" s="18" t="n">
        <v>2480.24</v>
      </c>
      <c r="S38" s="18" t="n">
        <v>2439.18</v>
      </c>
      <c r="T38" s="18" t="n">
        <v>2174.18</v>
      </c>
      <c r="U38" s="37" t="n">
        <v>2174.18</v>
      </c>
      <c r="V38" s="18" t="n">
        <v>2175.61</v>
      </c>
      <c r="W38" s="18" t="n">
        <v>2251.21</v>
      </c>
      <c r="X38" s="18" t="n">
        <v>2246.71</v>
      </c>
      <c r="Y38" s="18" t="n">
        <v>2473.02</v>
      </c>
      <c r="Z38" s="37" t="n">
        <v>2473.02</v>
      </c>
      <c r="AA38" s="18" t="n">
        <v>2463.75</v>
      </c>
      <c r="AB38" s="19" t="n">
        <v>2413.66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부채총계</t>
        </is>
      </c>
      <c r="E39" s="18" t="n">
        <v>25904.84</v>
      </c>
      <c r="F39" s="37" t="n">
        <v>25904.84</v>
      </c>
      <c r="G39" s="18" t="n">
        <v>44025.35</v>
      </c>
      <c r="H39" s="18" t="n">
        <v>41635.61</v>
      </c>
      <c r="I39" s="18" t="n">
        <v>43205.02</v>
      </c>
      <c r="J39" s="18" t="n">
        <v>41084.32</v>
      </c>
      <c r="K39" s="37" t="n">
        <v>41084.32</v>
      </c>
      <c r="L39" s="18" t="n">
        <v>37871.83</v>
      </c>
      <c r="M39" s="18" t="n">
        <v>36538.79</v>
      </c>
      <c r="N39" s="18" t="n">
        <v>36327.43</v>
      </c>
      <c r="O39" s="18" t="n">
        <v>33427.35</v>
      </c>
      <c r="P39" s="37" t="n">
        <v>33427.35</v>
      </c>
      <c r="Q39" s="18" t="n">
        <v>33287.68</v>
      </c>
      <c r="R39" s="18" t="n">
        <v>37926.64</v>
      </c>
      <c r="S39" s="18" t="n">
        <v>38884.54</v>
      </c>
      <c r="T39" s="18" t="n">
        <v>38829.41</v>
      </c>
      <c r="U39" s="37" t="n">
        <v>38829.41</v>
      </c>
      <c r="V39" s="18" t="n">
        <v>36542.97</v>
      </c>
      <c r="W39" s="18" t="n">
        <v>35746.77</v>
      </c>
      <c r="X39" s="18" t="n">
        <v>37317.51</v>
      </c>
      <c r="Y39" s="18" t="n">
        <v>38267.46</v>
      </c>
      <c r="Z39" s="37" t="n">
        <v>38267.46</v>
      </c>
      <c r="AA39" s="18" t="n">
        <v>38622.78</v>
      </c>
      <c r="AB39" s="19" t="n">
        <v>39634.29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지배주주지분</t>
        </is>
      </c>
      <c r="E40" s="18" t="n">
        <v>30945.35</v>
      </c>
      <c r="F40" s="37" t="n">
        <v>30945.35</v>
      </c>
      <c r="G40" s="18" t="n">
        <v>31581.67</v>
      </c>
      <c r="H40" s="18" t="n">
        <v>31590.6</v>
      </c>
      <c r="I40" s="18" t="n">
        <v>34474.02</v>
      </c>
      <c r="J40" s="18" t="n">
        <v>33515.97</v>
      </c>
      <c r="K40" s="37" t="n">
        <v>33515.97</v>
      </c>
      <c r="L40" s="18" t="n">
        <v>33999.96</v>
      </c>
      <c r="M40" s="18" t="n">
        <v>35551.78</v>
      </c>
      <c r="N40" s="18" t="n">
        <v>34960.55</v>
      </c>
      <c r="O40" s="18" t="n">
        <v>38022.25</v>
      </c>
      <c r="P40" s="37" t="n">
        <v>38022.25</v>
      </c>
      <c r="Q40" s="18" t="n">
        <v>38072</v>
      </c>
      <c r="R40" s="18" t="n">
        <v>35615.84</v>
      </c>
      <c r="S40" s="18" t="n">
        <v>36906.03</v>
      </c>
      <c r="T40" s="18" t="n">
        <v>37955.35</v>
      </c>
      <c r="U40" s="37" t="n">
        <v>37955.35</v>
      </c>
      <c r="V40" s="18" t="n">
        <v>38745.71</v>
      </c>
      <c r="W40" s="18" t="n">
        <v>39613.65</v>
      </c>
      <c r="X40" s="18" t="n">
        <v>41127.73</v>
      </c>
      <c r="Y40" s="18" t="n">
        <v>45836.29</v>
      </c>
      <c r="Z40" s="37" t="n">
        <v>45836.29</v>
      </c>
      <c r="AA40" s="18" t="n">
        <v>48318.94</v>
      </c>
      <c r="AB40" s="19" t="n">
        <v>52710.25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자본금</t>
        </is>
      </c>
      <c r="E41" s="18" t="n">
        <v>3072.67</v>
      </c>
      <c r="F41" s="37" t="n">
        <v>3072.67</v>
      </c>
      <c r="G41" s="18" t="n">
        <v>3072.67</v>
      </c>
      <c r="H41" s="18" t="n">
        <v>3072.67</v>
      </c>
      <c r="I41" s="18" t="n">
        <v>3072.67</v>
      </c>
      <c r="J41" s="18" t="n">
        <v>3072.67</v>
      </c>
      <c r="K41" s="37" t="n">
        <v>3072.67</v>
      </c>
      <c r="L41" s="18" t="n">
        <v>3072.67</v>
      </c>
      <c r="M41" s="18" t="n">
        <v>3072.67</v>
      </c>
      <c r="N41" s="18" t="n">
        <v>3072.67</v>
      </c>
      <c r="O41" s="18" t="n">
        <v>3072.67</v>
      </c>
      <c r="P41" s="37" t="n">
        <v>3072.67</v>
      </c>
      <c r="Q41" s="18" t="n">
        <v>3072.67</v>
      </c>
      <c r="R41" s="18" t="n">
        <v>3072.67</v>
      </c>
      <c r="S41" s="18" t="n">
        <v>3072.67</v>
      </c>
      <c r="T41" s="18" t="n">
        <v>3072.67</v>
      </c>
      <c r="U41" s="37" t="n">
        <v>3072.67</v>
      </c>
      <c r="V41" s="18" t="n">
        <v>3072.67</v>
      </c>
      <c r="W41" s="18" t="n">
        <v>3072.67</v>
      </c>
      <c r="X41" s="18" t="n">
        <v>3072.67</v>
      </c>
      <c r="Y41" s="18" t="n">
        <v>3072.67</v>
      </c>
      <c r="Z41" s="37" t="n">
        <v>3072.67</v>
      </c>
      <c r="AA41" s="18" t="n">
        <v>3072.67</v>
      </c>
      <c r="AB41" s="19" t="n">
        <v>3072.67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자본잉여금</t>
        </is>
      </c>
      <c r="E42" s="18" t="n">
        <v>22064.38</v>
      </c>
      <c r="F42" s="37" t="n">
        <v>22064.38</v>
      </c>
      <c r="G42" s="18" t="n">
        <v>22064.38</v>
      </c>
      <c r="H42" s="18" t="n">
        <v>22064.38</v>
      </c>
      <c r="I42" s="18" t="n">
        <v>22064.38</v>
      </c>
      <c r="J42" s="18" t="n">
        <v>22064.38</v>
      </c>
      <c r="K42" s="37" t="n">
        <v>22064.38</v>
      </c>
      <c r="L42" s="18" t="n">
        <v>22064.38</v>
      </c>
      <c r="M42" s="18" t="n">
        <v>22064.38</v>
      </c>
      <c r="N42" s="18" t="n">
        <v>22064.38</v>
      </c>
      <c r="O42" s="18" t="n">
        <v>22064.38</v>
      </c>
      <c r="P42" s="37" t="n">
        <v>22064.38</v>
      </c>
      <c r="Q42" s="18" t="n">
        <v>21953.97</v>
      </c>
      <c r="R42" s="18" t="n">
        <v>21953.97</v>
      </c>
      <c r="S42" s="18" t="n">
        <v>21960.74</v>
      </c>
      <c r="T42" s="18" t="n">
        <v>21960.74</v>
      </c>
      <c r="U42" s="37" t="n">
        <v>21960.74</v>
      </c>
      <c r="V42" s="18" t="n">
        <v>21960.74</v>
      </c>
      <c r="W42" s="18" t="n">
        <v>21960.74</v>
      </c>
      <c r="X42" s="18" t="n">
        <v>21960.74</v>
      </c>
      <c r="Y42" s="18" t="n">
        <v>21930.31</v>
      </c>
      <c r="Z42" s="37" t="n">
        <v>21930.31</v>
      </c>
      <c r="AA42" s="18" t="n">
        <v>21930.31</v>
      </c>
      <c r="AB42" s="19" t="n">
        <v>21930.31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기타자본</t>
        </is>
      </c>
      <c r="E43" s="18" t="n">
        <v>0</v>
      </c>
      <c r="F43" s="37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37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37" t="n">
        <v>0</v>
      </c>
      <c r="Q43" s="18" t="n">
        <v>0</v>
      </c>
      <c r="R43" s="18" t="n">
        <v>0</v>
      </c>
      <c r="S43" s="18" t="n">
        <v>-141.91</v>
      </c>
      <c r="T43" s="18" t="n">
        <v>-141.91</v>
      </c>
      <c r="U43" s="37" t="n">
        <v>-141.91</v>
      </c>
      <c r="V43" s="18" t="n">
        <v>-141.91</v>
      </c>
      <c r="W43" s="18" t="n">
        <v>-141.91</v>
      </c>
      <c r="X43" s="18" t="n">
        <v>-141.91</v>
      </c>
      <c r="Y43" s="18" t="n">
        <v>-141.91</v>
      </c>
      <c r="Z43" s="37" t="n">
        <v>-141.91</v>
      </c>
      <c r="AA43" s="18" t="n">
        <v>-141.91</v>
      </c>
      <c r="AB43" s="19" t="n">
        <v>-141.91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기타포괄이익누계액</t>
        </is>
      </c>
      <c r="E44" s="18" t="n">
        <v>-58.8</v>
      </c>
      <c r="F44" s="37" t="n">
        <v>-58.8</v>
      </c>
      <c r="G44" s="18" t="n">
        <v>426.31</v>
      </c>
      <c r="H44" s="18" t="n">
        <v>143.93</v>
      </c>
      <c r="I44" s="18" t="n">
        <v>574.83</v>
      </c>
      <c r="J44" s="18" t="n">
        <v>84.87</v>
      </c>
      <c r="K44" s="37" t="n">
        <v>84.87</v>
      </c>
      <c r="L44" s="18" t="n">
        <v>284.11</v>
      </c>
      <c r="M44" s="18" t="n">
        <v>1328.1</v>
      </c>
      <c r="N44" s="18" t="n">
        <v>830.99</v>
      </c>
      <c r="O44" s="18" t="n">
        <v>694.91</v>
      </c>
      <c r="P44" s="37" t="n">
        <v>694.91</v>
      </c>
      <c r="Q44" s="18" t="n">
        <v>387.93</v>
      </c>
      <c r="R44" s="18" t="n">
        <v>254.48</v>
      </c>
      <c r="S44" s="18" t="n">
        <v>119.21</v>
      </c>
      <c r="T44" s="18" t="n">
        <v>-969.72</v>
      </c>
      <c r="U44" s="37" t="n">
        <v>-969.72</v>
      </c>
      <c r="V44" s="18" t="n">
        <v>-950.04</v>
      </c>
      <c r="W44" s="18" t="n">
        <v>-667.1900000000001</v>
      </c>
      <c r="X44" s="18" t="n">
        <v>-667.23</v>
      </c>
      <c r="Y44" s="18" t="n">
        <v>-623.74</v>
      </c>
      <c r="Z44" s="37" t="n">
        <v>-623.74</v>
      </c>
      <c r="AA44" s="18" t="n">
        <v>-640.0700000000001</v>
      </c>
      <c r="AB44" s="19" t="n">
        <v>-802.47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이익잉여금</t>
        </is>
      </c>
      <c r="E45" s="18" t="n">
        <v>5867.09</v>
      </c>
      <c r="F45" s="37" t="n">
        <v>5867.09</v>
      </c>
      <c r="G45" s="18" t="n">
        <v>6018.3</v>
      </c>
      <c r="H45" s="18" t="n">
        <v>6309.62</v>
      </c>
      <c r="I45" s="18" t="n">
        <v>8762.129999999999</v>
      </c>
      <c r="J45" s="18" t="n">
        <v>8294.040000000001</v>
      </c>
      <c r="K45" s="37" t="n">
        <v>8294.040000000001</v>
      </c>
      <c r="L45" s="18" t="n">
        <v>8578.799999999999</v>
      </c>
      <c r="M45" s="18" t="n">
        <v>9086.629999999999</v>
      </c>
      <c r="N45" s="18" t="n">
        <v>8992.51</v>
      </c>
      <c r="O45" s="18" t="n">
        <v>12190.29</v>
      </c>
      <c r="P45" s="37" t="n">
        <v>12190.29</v>
      </c>
      <c r="Q45" s="18" t="n">
        <v>12657.43</v>
      </c>
      <c r="R45" s="18" t="n">
        <v>10334.72</v>
      </c>
      <c r="S45" s="18" t="n">
        <v>11895.32</v>
      </c>
      <c r="T45" s="18" t="n">
        <v>14033.57</v>
      </c>
      <c r="U45" s="37" t="n">
        <v>14033.57</v>
      </c>
      <c r="V45" s="18" t="n">
        <v>14804.25</v>
      </c>
      <c r="W45" s="18" t="n">
        <v>15389.34</v>
      </c>
      <c r="X45" s="18" t="n">
        <v>16903.46</v>
      </c>
      <c r="Y45" s="18" t="n">
        <v>21598.96</v>
      </c>
      <c r="Z45" s="37" t="n">
        <v>21598.96</v>
      </c>
      <c r="AA45" s="18" t="n">
        <v>24097.94</v>
      </c>
      <c r="AB45" s="19" t="n">
        <v>28651.66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비지배주주지분</t>
        </is>
      </c>
      <c r="E46" s="18" t="n">
        <v>28118.13</v>
      </c>
      <c r="F46" s="37" t="n">
        <v>28118.13</v>
      </c>
      <c r="G46" s="18" t="n">
        <v>27866.96</v>
      </c>
      <c r="H46" s="18" t="n">
        <v>28397.08</v>
      </c>
      <c r="I46" s="18" t="n">
        <v>28534.95</v>
      </c>
      <c r="J46" s="18" t="n">
        <v>29333.62</v>
      </c>
      <c r="K46" s="37" t="n">
        <v>29333.62</v>
      </c>
      <c r="L46" s="18" t="n">
        <v>29759.89</v>
      </c>
      <c r="M46" s="18" t="n">
        <v>29907.34</v>
      </c>
      <c r="N46" s="18" t="n">
        <v>29979.13</v>
      </c>
      <c r="O46" s="18" t="n">
        <v>33166.02</v>
      </c>
      <c r="P46" s="37" t="n">
        <v>33166.02</v>
      </c>
      <c r="Q46" s="18" t="n">
        <v>34135.86</v>
      </c>
      <c r="R46" s="18" t="n">
        <v>34830.07</v>
      </c>
      <c r="S46" s="18" t="n">
        <v>35340</v>
      </c>
      <c r="T46" s="18" t="n">
        <v>38758.62</v>
      </c>
      <c r="U46" s="37" t="n">
        <v>38758.62</v>
      </c>
      <c r="V46" s="18" t="n">
        <v>38988.16</v>
      </c>
      <c r="W46" s="18" t="n">
        <v>39335.48</v>
      </c>
      <c r="X46" s="18" t="n">
        <v>41637.62</v>
      </c>
      <c r="Y46" s="18" t="n">
        <v>45036.05</v>
      </c>
      <c r="Z46" s="37" t="n">
        <v>45036.05</v>
      </c>
      <c r="AA46" s="18" t="n">
        <v>46200.7</v>
      </c>
      <c r="AB46" s="19" t="n">
        <v>48465.03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자본총계</t>
        </is>
      </c>
      <c r="E47" s="18" t="n">
        <v>59063.48</v>
      </c>
      <c r="F47" s="37" t="n">
        <v>59063.48</v>
      </c>
      <c r="G47" s="18" t="n">
        <v>59448.63</v>
      </c>
      <c r="H47" s="18" t="n">
        <v>59987.68</v>
      </c>
      <c r="I47" s="18" t="n">
        <v>63008.97</v>
      </c>
      <c r="J47" s="18" t="n">
        <v>62849.59</v>
      </c>
      <c r="K47" s="37" t="n">
        <v>62849.59</v>
      </c>
      <c r="L47" s="18" t="n">
        <v>63759.85</v>
      </c>
      <c r="M47" s="18" t="n">
        <v>65459.12</v>
      </c>
      <c r="N47" s="18" t="n">
        <v>64939.69</v>
      </c>
      <c r="O47" s="18" t="n">
        <v>71188.27</v>
      </c>
      <c r="P47" s="37" t="n">
        <v>71188.27</v>
      </c>
      <c r="Q47" s="18" t="n">
        <v>72207.86</v>
      </c>
      <c r="R47" s="18" t="n">
        <v>70445.91</v>
      </c>
      <c r="S47" s="18" t="n">
        <v>72246.03</v>
      </c>
      <c r="T47" s="18" t="n">
        <v>76713.97</v>
      </c>
      <c r="U47" s="37" t="n">
        <v>76713.97</v>
      </c>
      <c r="V47" s="18" t="n">
        <v>77733.87</v>
      </c>
      <c r="W47" s="18" t="n">
        <v>78949.13</v>
      </c>
      <c r="X47" s="18" t="n">
        <v>82765.35000000001</v>
      </c>
      <c r="Y47" s="18" t="n">
        <v>90872.35000000001</v>
      </c>
      <c r="Z47" s="37" t="n">
        <v>90872.35000000001</v>
      </c>
      <c r="AA47" s="18" t="n">
        <v>94519.64</v>
      </c>
      <c r="AB47" s="19" t="n">
        <v>101175.28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부채와자본총계</t>
        </is>
      </c>
      <c r="E48" s="18" t="n">
        <v>84968.32000000001</v>
      </c>
      <c r="F48" s="37" t="n">
        <v>84968.32000000001</v>
      </c>
      <c r="G48" s="18" t="n">
        <v>103473.98</v>
      </c>
      <c r="H48" s="18" t="n">
        <v>101623.3</v>
      </c>
      <c r="I48" s="18" t="n">
        <v>106213.99</v>
      </c>
      <c r="J48" s="18" t="n">
        <v>103933.91</v>
      </c>
      <c r="K48" s="37" t="n">
        <v>103933.91</v>
      </c>
      <c r="L48" s="18" t="n">
        <v>101631.68</v>
      </c>
      <c r="M48" s="18" t="n">
        <v>101997.91</v>
      </c>
      <c r="N48" s="18" t="n">
        <v>101267.12</v>
      </c>
      <c r="O48" s="18" t="n">
        <v>104615.62</v>
      </c>
      <c r="P48" s="37" t="n">
        <v>104615.62</v>
      </c>
      <c r="Q48" s="18" t="n">
        <v>105495.54</v>
      </c>
      <c r="R48" s="18" t="n">
        <v>108372.55</v>
      </c>
      <c r="S48" s="18" t="n">
        <v>111130.57</v>
      </c>
      <c r="T48" s="18" t="n">
        <v>115543.39</v>
      </c>
      <c r="U48" s="37" t="n">
        <v>115543.39</v>
      </c>
      <c r="V48" s="18" t="n">
        <v>114276.84</v>
      </c>
      <c r="W48" s="18" t="n">
        <v>114695.9</v>
      </c>
      <c r="X48" s="18" t="n">
        <v>120082.86</v>
      </c>
      <c r="Y48" s="18" t="n">
        <v>129139.81</v>
      </c>
      <c r="Z48" s="37" t="n">
        <v>129139.81</v>
      </c>
      <c r="AA48" s="18" t="n">
        <v>133142.42</v>
      </c>
      <c r="AB48" s="19" t="n">
        <v>140809.57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총차입금</t>
        </is>
      </c>
      <c r="E49" s="18" t="n">
        <v>8814.99</v>
      </c>
      <c r="F49" s="37" t="n">
        <v>8814.99</v>
      </c>
      <c r="G49" s="18" t="n">
        <v>25186.21</v>
      </c>
      <c r="H49" s="18" t="n">
        <v>25100</v>
      </c>
      <c r="I49" s="18" t="n">
        <v>25800</v>
      </c>
      <c r="J49" s="18" t="n">
        <v>25800</v>
      </c>
      <c r="K49" s="37" t="n">
        <v>25800</v>
      </c>
      <c r="L49" s="18" t="n">
        <v>25800</v>
      </c>
      <c r="M49" s="18" t="n">
        <v>25100</v>
      </c>
      <c r="N49" s="18" t="n">
        <v>25100</v>
      </c>
      <c r="O49" s="18" t="n">
        <v>25100</v>
      </c>
      <c r="P49" s="37" t="n">
        <v>25100</v>
      </c>
      <c r="Q49" s="18" t="n">
        <v>24891.59</v>
      </c>
      <c r="R49" s="18" t="n">
        <v>27328.94</v>
      </c>
      <c r="S49" s="18" t="n">
        <v>28191.52</v>
      </c>
      <c r="T49" s="18" t="n">
        <v>27000</v>
      </c>
      <c r="U49" s="37" t="n">
        <v>27000</v>
      </c>
      <c r="V49" s="18" t="n">
        <v>26200</v>
      </c>
      <c r="W49" s="18" t="n">
        <v>27500</v>
      </c>
      <c r="X49" s="18" t="n">
        <v>29000</v>
      </c>
      <c r="Y49" s="18" t="n">
        <v>29000</v>
      </c>
      <c r="Z49" s="37" t="n">
        <v>29000</v>
      </c>
      <c r="AA49" s="18" t="n">
        <v>29000</v>
      </c>
      <c r="AB49" s="19" t="n">
        <v>29000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순차입금</t>
        </is>
      </c>
      <c r="E50" s="18" t="n">
        <v>-4903.09</v>
      </c>
      <c r="F50" s="37" t="n">
        <v>-4903.09</v>
      </c>
      <c r="G50" s="18" t="n">
        <v>12718.97</v>
      </c>
      <c r="H50" s="18" t="n">
        <v>19623.11</v>
      </c>
      <c r="I50" s="18" t="n">
        <v>18526.88</v>
      </c>
      <c r="J50" s="18" t="n">
        <v>17680.74</v>
      </c>
      <c r="K50" s="37" t="n">
        <v>17680.74</v>
      </c>
      <c r="L50" s="18" t="n">
        <v>12595.54</v>
      </c>
      <c r="M50" s="18" t="n">
        <v>9167.09</v>
      </c>
      <c r="N50" s="18" t="n">
        <v>5702.96</v>
      </c>
      <c r="O50" s="18" t="n">
        <v>4757.14</v>
      </c>
      <c r="P50" s="37" t="n">
        <v>4757.14</v>
      </c>
      <c r="Q50" s="18" t="n">
        <v>420.88</v>
      </c>
      <c r="R50" s="18" t="n">
        <v>806.5</v>
      </c>
      <c r="S50" s="18" t="n">
        <v>-313.31</v>
      </c>
      <c r="T50" s="18" t="n">
        <v>-6158.79</v>
      </c>
      <c r="U50" s="37" t="n">
        <v>-6158.79</v>
      </c>
      <c r="V50" s="18" t="n">
        <v>-4387.1</v>
      </c>
      <c r="W50" s="18" t="n">
        <v>-4718.9</v>
      </c>
      <c r="X50" s="18" t="n">
        <v>-7756.5</v>
      </c>
      <c r="Y50" s="18" t="n">
        <v>-14444.64</v>
      </c>
      <c r="Z50" s="37" t="n">
        <v>-14444.64</v>
      </c>
      <c r="AA50" s="18" t="n">
        <v>-18465.4</v>
      </c>
      <c r="AB50" s="19" t="n">
        <v>-24692.88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이자발생자산</t>
        </is>
      </c>
      <c r="E51" s="18" t="n">
        <v>20609.45</v>
      </c>
      <c r="F51" s="37" t="n">
        <v>20609.45</v>
      </c>
      <c r="G51" s="18" t="n">
        <v>19980.54</v>
      </c>
      <c r="H51" s="18" t="n">
        <v>14146.56</v>
      </c>
      <c r="I51" s="18" t="n">
        <v>16634.19</v>
      </c>
      <c r="J51" s="18" t="n">
        <v>16666.58</v>
      </c>
      <c r="K51" s="37" t="n">
        <v>16666.58</v>
      </c>
      <c r="L51" s="18" t="n">
        <v>21943.13</v>
      </c>
      <c r="M51" s="18" t="n">
        <v>25927.85</v>
      </c>
      <c r="N51" s="18" t="n">
        <v>28645.33</v>
      </c>
      <c r="O51" s="18" t="n">
        <v>29521.01</v>
      </c>
      <c r="P51" s="37" t="n">
        <v>29521.01</v>
      </c>
      <c r="Q51" s="18" t="n">
        <v>33456.81</v>
      </c>
      <c r="R51" s="18" t="n">
        <v>35176.51</v>
      </c>
      <c r="S51" s="18" t="n">
        <v>36498.33</v>
      </c>
      <c r="T51" s="18" t="n">
        <v>40346.61</v>
      </c>
      <c r="U51" s="37" t="n">
        <v>40346.61</v>
      </c>
      <c r="V51" s="18" t="n">
        <v>38173.42</v>
      </c>
      <c r="W51" s="18" t="n">
        <v>40141.43</v>
      </c>
      <c r="X51" s="18" t="n">
        <v>44978.63</v>
      </c>
      <c r="Y51" s="18" t="n">
        <v>51362.93</v>
      </c>
      <c r="Z51" s="37" t="n">
        <v>51362.93</v>
      </c>
      <c r="AA51" s="18" t="n">
        <v>55925.97</v>
      </c>
      <c r="AB51" s="19" t="n">
        <v>63939.75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장기금융부채(face)</t>
        </is>
      </c>
      <c r="F52" s="9" t="n"/>
      <c r="G52" s="18" t="n">
        <v>13500</v>
      </c>
      <c r="H52" s="18" t="n">
        <v>13500</v>
      </c>
      <c r="I52" s="18" t="n">
        <v>13500</v>
      </c>
      <c r="J52" s="18" t="n">
        <v>13500</v>
      </c>
      <c r="K52" s="37" t="n">
        <v>13500</v>
      </c>
      <c r="L52" s="18" t="n">
        <v>13291.59</v>
      </c>
      <c r="M52" s="18" t="n">
        <v>12728.94</v>
      </c>
      <c r="N52" s="18" t="n">
        <v>12166.45</v>
      </c>
      <c r="O52" s="18" t="n">
        <v>11603.96</v>
      </c>
      <c r="P52" s="37" t="n">
        <v>11603.96</v>
      </c>
      <c r="Q52" s="18" t="n">
        <v>19041.47</v>
      </c>
      <c r="R52" s="18" t="n">
        <v>18478.98</v>
      </c>
      <c r="S52" s="18" t="n">
        <v>24174.88</v>
      </c>
      <c r="T52" s="18" t="n">
        <v>25500</v>
      </c>
      <c r="U52" s="37" t="n">
        <v>25500</v>
      </c>
      <c r="V52" s="18" t="n">
        <v>25500</v>
      </c>
      <c r="W52" s="18" t="n">
        <v>25500</v>
      </c>
      <c r="X52" s="18" t="n">
        <v>27000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이연법인세자산</t>
        </is>
      </c>
      <c r="F53" s="9" t="n"/>
      <c r="K53" s="9" t="n"/>
      <c r="O53" s="18" t="n">
        <v>211.18</v>
      </c>
      <c r="P53" s="37" t="n">
        <v>211.18</v>
      </c>
      <c r="Q53" s="18" t="n">
        <v>211.18</v>
      </c>
      <c r="R53" s="18" t="n">
        <v>182.61</v>
      </c>
      <c r="S53" s="18" t="n">
        <v>238.74</v>
      </c>
      <c r="T53" s="18" t="n">
        <v>1739.52</v>
      </c>
      <c r="U53" s="37" t="n">
        <v>1739.52</v>
      </c>
      <c r="V53" s="18" t="n">
        <v>1735.22</v>
      </c>
      <c r="W53" s="18" t="n">
        <v>1742.46</v>
      </c>
      <c r="X53" s="18" t="n">
        <v>1744.48</v>
      </c>
      <c r="Y53" s="18" t="n">
        <v>3646.58</v>
      </c>
      <c r="Z53" s="37" t="n">
        <v>3646.58</v>
      </c>
      <c r="AA53" s="18" t="n">
        <v>3622.01</v>
      </c>
      <c r="AB53" s="19" t="n">
        <v>3576.19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유동성장기부채</t>
        </is>
      </c>
      <c r="F54" s="9" t="n"/>
      <c r="K54" s="9" t="n"/>
      <c r="P54" s="9" t="n"/>
      <c r="S54" s="18" t="n">
        <v>1416.64</v>
      </c>
      <c r="U54" s="9" t="n"/>
      <c r="Y54" s="18" t="n">
        <v>7700</v>
      </c>
      <c r="Z54" s="37" t="n">
        <v>7700</v>
      </c>
      <c r="AA54" s="18" t="n">
        <v>15700</v>
      </c>
      <c r="AB54" s="19" t="n">
        <v>15700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기타비유동부채</t>
        </is>
      </c>
      <c r="F55" s="9" t="n"/>
      <c r="K55" s="9" t="n"/>
      <c r="P55" s="9" t="n"/>
      <c r="T55" s="18" t="n">
        <v>58.75</v>
      </c>
      <c r="U55" s="37" t="n">
        <v>58.75</v>
      </c>
      <c r="V55" s="18" t="n">
        <v>63.56</v>
      </c>
      <c r="W55" s="18" t="n">
        <v>67.15000000000001</v>
      </c>
      <c r="X55" s="18" t="n">
        <v>72.54000000000001</v>
      </c>
      <c r="Y55" s="18" t="n">
        <v>81.48999999999999</v>
      </c>
      <c r="Z55" s="37" t="n">
        <v>81.48999999999999</v>
      </c>
      <c r="AA55" s="18" t="n">
        <v>87.31</v>
      </c>
      <c r="AB55" s="19" t="n">
        <v>77.69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투자부동산</t>
        </is>
      </c>
      <c r="F56" s="9" t="n"/>
      <c r="K56" s="9" t="n"/>
      <c r="P56" s="9" t="n"/>
      <c r="U56" s="9" t="n"/>
      <c r="Y56" s="18" t="n">
        <v>8169.29</v>
      </c>
      <c r="Z56" s="37" t="n">
        <v>8169.29</v>
      </c>
      <c r="AA56" s="18" t="n">
        <v>8169.29</v>
      </c>
      <c r="AB56" s="19" t="n">
        <v>8169.29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매각예정비유동자산및처분자산</t>
        </is>
      </c>
      <c r="F57" s="9" t="n"/>
      <c r="K57" s="9" t="n"/>
      <c r="P57" s="9" t="n"/>
      <c r="U57" s="9" t="n"/>
      <c r="Z57" s="9" t="n"/>
      <c r="AB57" s="19" t="n">
        <v>986.25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매출액(수익)</t>
        </is>
      </c>
      <c r="E58" s="18" t="n">
        <v>21748.81</v>
      </c>
      <c r="F58" s="9" t="n"/>
      <c r="G58" s="18" t="n">
        <v>15376.48</v>
      </c>
      <c r="H58" s="18" t="n">
        <v>14025.4</v>
      </c>
      <c r="I58" s="18" t="n">
        <v>17264.06</v>
      </c>
      <c r="J58" s="18" t="n">
        <v>18371.06</v>
      </c>
      <c r="K58" s="37" t="n">
        <v>65037</v>
      </c>
      <c r="L58" s="18" t="n">
        <v>14527.81</v>
      </c>
      <c r="M58" s="18" t="n">
        <v>13672.86</v>
      </c>
      <c r="N58" s="18" t="n">
        <v>9753.719999999999</v>
      </c>
      <c r="O58" s="18" t="n">
        <v>15017.21</v>
      </c>
      <c r="P58" s="37" t="n">
        <v>52971.6</v>
      </c>
      <c r="Q58" s="18" t="n">
        <v>9913.209999999999</v>
      </c>
      <c r="R58" s="18" t="n">
        <v>11442.1</v>
      </c>
      <c r="S58" s="18" t="n">
        <v>12507.9</v>
      </c>
      <c r="T58" s="18" t="n">
        <v>17930.02</v>
      </c>
      <c r="U58" s="37" t="n">
        <v>51793.23</v>
      </c>
      <c r="V58" s="18" t="n">
        <v>10028.74</v>
      </c>
      <c r="W58" s="18" t="n">
        <v>11587.63</v>
      </c>
      <c r="X58" s="18" t="n">
        <v>13797.76</v>
      </c>
      <c r="Y58" s="18" t="n">
        <v>15259.62</v>
      </c>
      <c r="Z58" s="37" t="n">
        <v>50673.75</v>
      </c>
      <c r="AA58" s="18" t="n">
        <v>12078.79</v>
      </c>
      <c r="AB58" s="19" t="n">
        <v>16228.79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매출원가</t>
        </is>
      </c>
      <c r="E59" s="18" t="n">
        <v>17917.43</v>
      </c>
      <c r="F59" s="9" t="n"/>
      <c r="G59" s="18" t="n">
        <v>13852.56</v>
      </c>
      <c r="H59" s="18" t="n">
        <v>11854.29</v>
      </c>
      <c r="I59" s="18" t="n">
        <v>12570.9</v>
      </c>
      <c r="J59" s="18" t="n">
        <v>15405.7</v>
      </c>
      <c r="K59" s="37" t="n">
        <v>53683.45</v>
      </c>
      <c r="L59" s="18" t="n">
        <v>12022.23</v>
      </c>
      <c r="M59" s="18" t="n">
        <v>11166.29</v>
      </c>
      <c r="N59" s="18" t="n">
        <v>7708.14</v>
      </c>
      <c r="O59" s="18" t="n">
        <v>9351.67</v>
      </c>
      <c r="P59" s="37" t="n">
        <v>40248.33</v>
      </c>
      <c r="Q59" s="18" t="n">
        <v>8070.84</v>
      </c>
      <c r="R59" s="18" t="n">
        <v>8683.49</v>
      </c>
      <c r="S59" s="18" t="n">
        <v>8177.6</v>
      </c>
      <c r="T59" s="18" t="n">
        <v>12755.75</v>
      </c>
      <c r="U59" s="37" t="n">
        <v>37687.68</v>
      </c>
      <c r="V59" s="18" t="n">
        <v>7653.67</v>
      </c>
      <c r="W59" s="18" t="n">
        <v>8714.77</v>
      </c>
      <c r="X59" s="18" t="n">
        <v>8758.02</v>
      </c>
      <c r="Y59" s="18" t="n">
        <v>7847.02</v>
      </c>
      <c r="Z59" s="37" t="n">
        <v>32973.48</v>
      </c>
      <c r="AA59" s="18" t="n">
        <v>8101.95</v>
      </c>
      <c r="AB59" s="19" t="n">
        <v>8844.889999999999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매출총이익</t>
        </is>
      </c>
      <c r="E60" s="18" t="n">
        <v>3831.37</v>
      </c>
      <c r="F60" s="9" t="n"/>
      <c r="G60" s="18" t="n">
        <v>1523.93</v>
      </c>
      <c r="H60" s="18" t="n">
        <v>2171.12</v>
      </c>
      <c r="I60" s="18" t="n">
        <v>4693.16</v>
      </c>
      <c r="J60" s="18" t="n">
        <v>2965.36</v>
      </c>
      <c r="K60" s="37" t="n">
        <v>11353.57</v>
      </c>
      <c r="L60" s="18" t="n">
        <v>2505.58</v>
      </c>
      <c r="M60" s="18" t="n">
        <v>2506.57</v>
      </c>
      <c r="N60" s="18" t="n">
        <v>2045.58</v>
      </c>
      <c r="O60" s="18" t="n">
        <v>5665.55</v>
      </c>
      <c r="P60" s="37" t="n">
        <v>12723.28</v>
      </c>
      <c r="Q60" s="18" t="n">
        <v>1842.37</v>
      </c>
      <c r="R60" s="18" t="n">
        <v>2758.6</v>
      </c>
      <c r="S60" s="18" t="n">
        <v>4330.29</v>
      </c>
      <c r="T60" s="18" t="n">
        <v>5174.27</v>
      </c>
      <c r="U60" s="37" t="n">
        <v>14105.53</v>
      </c>
      <c r="V60" s="18" t="n">
        <v>2375.07</v>
      </c>
      <c r="W60" s="18" t="n">
        <v>2872.87</v>
      </c>
      <c r="X60" s="18" t="n">
        <v>5039.74</v>
      </c>
      <c r="Y60" s="18" t="n">
        <v>7412.6</v>
      </c>
      <c r="Z60" s="37" t="n">
        <v>17700.28</v>
      </c>
      <c r="AA60" s="18" t="n">
        <v>3976.84</v>
      </c>
      <c r="AB60" s="19" t="n">
        <v>7383.9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판관비</t>
        </is>
      </c>
      <c r="E61" s="18" t="n">
        <v>1915.7</v>
      </c>
      <c r="F61" s="9" t="n"/>
      <c r="G61" s="18" t="n">
        <v>1969.61</v>
      </c>
      <c r="H61" s="18" t="n">
        <v>1665.36</v>
      </c>
      <c r="I61" s="18" t="n">
        <v>2002.12</v>
      </c>
      <c r="J61" s="18" t="n">
        <v>2487.69</v>
      </c>
      <c r="K61" s="37" t="n">
        <v>8124.78</v>
      </c>
      <c r="L61" s="18" t="n">
        <v>1947.67</v>
      </c>
      <c r="M61" s="18" t="n">
        <v>1536.92</v>
      </c>
      <c r="N61" s="18" t="n">
        <v>2263.27</v>
      </c>
      <c r="O61" s="18" t="n">
        <v>1682.08</v>
      </c>
      <c r="P61" s="37" t="n">
        <v>7429.94</v>
      </c>
      <c r="Q61" s="18" t="n">
        <v>1872.9</v>
      </c>
      <c r="R61" s="18" t="n">
        <v>1742.66</v>
      </c>
      <c r="S61" s="18" t="n">
        <v>1821.76</v>
      </c>
      <c r="T61" s="18" t="n">
        <v>1754.48</v>
      </c>
      <c r="U61" s="37" t="n">
        <v>7191.8</v>
      </c>
      <c r="V61" s="18" t="n">
        <v>1672.7</v>
      </c>
      <c r="W61" s="18" t="n">
        <v>1587.14</v>
      </c>
      <c r="X61" s="18" t="n">
        <v>1696.39</v>
      </c>
      <c r="Y61" s="18" t="n">
        <v>1880.87</v>
      </c>
      <c r="Z61" s="37" t="n">
        <v>6837.1</v>
      </c>
      <c r="AA61" s="18" t="n">
        <v>1673.27</v>
      </c>
      <c r="AB61" s="19" t="n">
        <v>1451.25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영업이익</t>
        </is>
      </c>
      <c r="E62" s="18" t="n">
        <v>1915.67</v>
      </c>
      <c r="F62" s="9" t="n"/>
      <c r="G62" s="18" t="n">
        <v>-445.69</v>
      </c>
      <c r="H62" s="18" t="n">
        <v>505.76</v>
      </c>
      <c r="I62" s="18" t="n">
        <v>2691.04</v>
      </c>
      <c r="J62" s="18" t="n">
        <v>477.67</v>
      </c>
      <c r="K62" s="37" t="n">
        <v>3228.78</v>
      </c>
      <c r="L62" s="18" t="n">
        <v>557.91</v>
      </c>
      <c r="M62" s="18" t="n">
        <v>969.65</v>
      </c>
      <c r="N62" s="18" t="n">
        <v>-217.68</v>
      </c>
      <c r="O62" s="18" t="n">
        <v>3983.47</v>
      </c>
      <c r="P62" s="37" t="n">
        <v>5293.35</v>
      </c>
      <c r="Q62" s="18" t="n">
        <v>-30.54</v>
      </c>
      <c r="R62" s="18" t="n">
        <v>1015.94</v>
      </c>
      <c r="S62" s="18" t="n">
        <v>2508.54</v>
      </c>
      <c r="T62" s="18" t="n">
        <v>3419.79</v>
      </c>
      <c r="U62" s="37" t="n">
        <v>6913.73</v>
      </c>
      <c r="V62" s="18" t="n">
        <v>702.37</v>
      </c>
      <c r="W62" s="18" t="n">
        <v>1285.73</v>
      </c>
      <c r="X62" s="18" t="n">
        <v>3343.35</v>
      </c>
      <c r="Y62" s="18" t="n">
        <v>5531.72</v>
      </c>
      <c r="Z62" s="37" t="n">
        <v>10863.17</v>
      </c>
      <c r="AA62" s="18" t="n">
        <v>2303.57</v>
      </c>
      <c r="AB62" s="19" t="n">
        <v>5932.66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기타영업외손익</t>
        </is>
      </c>
      <c r="E63" s="18" t="n">
        <v>44.14</v>
      </c>
      <c r="F63" s="9" t="n"/>
      <c r="G63" s="18" t="n">
        <v>54.48</v>
      </c>
      <c r="H63" s="18" t="n">
        <v>-10.65</v>
      </c>
      <c r="I63" s="18" t="n">
        <v>35.18</v>
      </c>
      <c r="J63" s="18" t="n">
        <v>33.51</v>
      </c>
      <c r="K63" s="37" t="n">
        <v>112.52</v>
      </c>
      <c r="L63" s="18" t="n">
        <v>30.51</v>
      </c>
      <c r="M63" s="18" t="n">
        <v>14.13</v>
      </c>
      <c r="N63" s="18" t="n">
        <v>21.12</v>
      </c>
      <c r="O63" s="18" t="n">
        <v>331.85</v>
      </c>
      <c r="P63" s="37" t="n">
        <v>397.61</v>
      </c>
      <c r="Q63" s="18" t="n">
        <v>50.33</v>
      </c>
      <c r="R63" s="18" t="n">
        <v>21.5</v>
      </c>
      <c r="S63" s="18" t="n">
        <v>222.35</v>
      </c>
      <c r="T63" s="18" t="n">
        <v>32.43</v>
      </c>
      <c r="U63" s="37" t="n">
        <v>326.61</v>
      </c>
      <c r="V63" s="18" t="n">
        <v>8.640000000000001</v>
      </c>
      <c r="W63" s="18" t="n">
        <v>44.04</v>
      </c>
      <c r="X63" s="18" t="n">
        <v>18.81</v>
      </c>
      <c r="Y63" s="18" t="n">
        <v>59.27</v>
      </c>
      <c r="Z63" s="37" t="n">
        <v>130.76</v>
      </c>
      <c r="AA63" s="18" t="n">
        <v>44.82</v>
      </c>
      <c r="AB63" s="19" t="n">
        <v>266.91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기타영업외수익</t>
        </is>
      </c>
      <c r="E64" s="18" t="n">
        <v>49.71</v>
      </c>
      <c r="F64" s="9" t="n"/>
      <c r="G64" s="18" t="n">
        <v>54.52</v>
      </c>
      <c r="H64" s="18" t="n">
        <v>64.73</v>
      </c>
      <c r="I64" s="18" t="n">
        <v>36.4</v>
      </c>
      <c r="J64" s="18" t="n">
        <v>35.21</v>
      </c>
      <c r="K64" s="37" t="n">
        <v>190.86</v>
      </c>
      <c r="L64" s="18" t="n">
        <v>34.68</v>
      </c>
      <c r="M64" s="18" t="n">
        <v>25.86</v>
      </c>
      <c r="N64" s="18" t="n">
        <v>18.26</v>
      </c>
      <c r="O64" s="18" t="n">
        <v>333.39</v>
      </c>
      <c r="P64" s="37" t="n">
        <v>412.19</v>
      </c>
      <c r="Q64" s="18" t="n">
        <v>52.17</v>
      </c>
      <c r="R64" s="18" t="n">
        <v>22.26</v>
      </c>
      <c r="S64" s="18" t="n">
        <v>224.67</v>
      </c>
      <c r="T64" s="18" t="n">
        <v>54.04</v>
      </c>
      <c r="U64" s="37" t="n">
        <v>353.14</v>
      </c>
      <c r="V64" s="18" t="n">
        <v>25.19</v>
      </c>
      <c r="W64" s="18" t="n">
        <v>44.5</v>
      </c>
      <c r="X64" s="18" t="n">
        <v>18.44</v>
      </c>
      <c r="Y64" s="18" t="n">
        <v>60.61</v>
      </c>
      <c r="Z64" s="37" t="n">
        <v>148.74</v>
      </c>
      <c r="AA64" s="18" t="n">
        <v>65.09</v>
      </c>
      <c r="AB64" s="19" t="n">
        <v>312.2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기타영업외비용</t>
        </is>
      </c>
      <c r="E65" s="18" t="n">
        <v>5.58</v>
      </c>
      <c r="F65" s="9" t="n"/>
      <c r="G65" s="18" t="n">
        <v>0.04</v>
      </c>
      <c r="H65" s="18" t="n">
        <v>75.37</v>
      </c>
      <c r="I65" s="18" t="n">
        <v>1.22</v>
      </c>
      <c r="J65" s="18" t="n">
        <v>1.68</v>
      </c>
      <c r="K65" s="37" t="n">
        <v>78.31</v>
      </c>
      <c r="L65" s="18" t="n">
        <v>4.18</v>
      </c>
      <c r="M65" s="18" t="n">
        <v>11.73</v>
      </c>
      <c r="N65" s="18" t="n">
        <v>-2.86</v>
      </c>
      <c r="O65" s="18" t="n">
        <v>1.54</v>
      </c>
      <c r="P65" s="37" t="n">
        <v>14.59</v>
      </c>
      <c r="Q65" s="18" t="n">
        <v>1.84</v>
      </c>
      <c r="R65" s="18" t="n">
        <v>0.76</v>
      </c>
      <c r="S65" s="18" t="n">
        <v>2.32</v>
      </c>
      <c r="T65" s="18" t="n">
        <v>21.61</v>
      </c>
      <c r="U65" s="37" t="n">
        <v>26.53</v>
      </c>
      <c r="V65" s="18" t="n">
        <v>16.55</v>
      </c>
      <c r="W65" s="18" t="n">
        <v>0.46</v>
      </c>
      <c r="X65" s="18" t="n">
        <v>-0.37</v>
      </c>
      <c r="Y65" s="18" t="n">
        <v>1.34</v>
      </c>
      <c r="Z65" s="37" t="n">
        <v>17.98</v>
      </c>
      <c r="AA65" s="18" t="n">
        <v>20.27</v>
      </c>
      <c r="AB65" s="19" t="n">
        <v>45.29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금융손익</t>
        </is>
      </c>
      <c r="E66" s="18" t="n">
        <v>453.64</v>
      </c>
      <c r="F66" s="9" t="n"/>
      <c r="G66" s="18" t="n">
        <v>280.79</v>
      </c>
      <c r="H66" s="18" t="n">
        <v>36.45</v>
      </c>
      <c r="I66" s="18" t="n">
        <v>702.7</v>
      </c>
      <c r="J66" s="18" t="n">
        <v>-792.24</v>
      </c>
      <c r="K66" s="37" t="n">
        <v>227.7</v>
      </c>
      <c r="L66" s="18" t="n">
        <v>118.42</v>
      </c>
      <c r="M66" s="18" t="n">
        <v>-183.59</v>
      </c>
      <c r="N66" s="18" t="n">
        <v>80.61</v>
      </c>
      <c r="O66" s="18" t="n">
        <v>190.12</v>
      </c>
      <c r="P66" s="37" t="n">
        <v>205.56</v>
      </c>
      <c r="Q66" s="18" t="n">
        <v>517.72</v>
      </c>
      <c r="R66" s="18" t="n">
        <v>-351.08</v>
      </c>
      <c r="S66" s="18" t="n">
        <v>-204.31</v>
      </c>
      <c r="T66" s="18" t="n">
        <v>945.26</v>
      </c>
      <c r="U66" s="37" t="n">
        <v>907.59</v>
      </c>
      <c r="V66" s="18" t="n">
        <v>469.26</v>
      </c>
      <c r="W66" s="18" t="n">
        <v>-283.78</v>
      </c>
      <c r="X66" s="18" t="n">
        <v>847.38</v>
      </c>
      <c r="Y66" s="18" t="n">
        <v>748.6</v>
      </c>
      <c r="Z66" s="37" t="n">
        <v>1781.46</v>
      </c>
      <c r="AA66" s="18" t="n">
        <v>1994.49</v>
      </c>
      <c r="AB66" s="19" t="n">
        <v>2724.06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689.84</v>
      </c>
      <c r="F67" s="9" t="n"/>
      <c r="G67" s="18" t="n">
        <v>453.75</v>
      </c>
      <c r="H67" s="18" t="n">
        <v>314.73</v>
      </c>
      <c r="I67" s="18" t="n">
        <v>959.01</v>
      </c>
      <c r="J67" s="18" t="n">
        <v>-288.23</v>
      </c>
      <c r="K67" s="37" t="n">
        <v>1439.26</v>
      </c>
      <c r="L67" s="18" t="n">
        <v>512.3200000000001</v>
      </c>
      <c r="M67" s="18" t="n">
        <v>223.33</v>
      </c>
      <c r="N67" s="18" t="n">
        <v>515.3099999999999</v>
      </c>
      <c r="O67" s="18" t="n">
        <v>604.74</v>
      </c>
      <c r="P67" s="37" t="n">
        <v>1855.7</v>
      </c>
      <c r="Q67" s="18" t="n">
        <v>812.26</v>
      </c>
      <c r="R67" s="18" t="n">
        <v>323.39</v>
      </c>
      <c r="S67" s="18" t="n">
        <v>414.44</v>
      </c>
      <c r="T67" s="18" t="n">
        <v>1417.13</v>
      </c>
      <c r="U67" s="37" t="n">
        <v>2967.22</v>
      </c>
      <c r="V67" s="18" t="n">
        <v>748.4</v>
      </c>
      <c r="W67" s="18" t="n">
        <v>163.67</v>
      </c>
      <c r="X67" s="18" t="n">
        <v>1046.88</v>
      </c>
      <c r="Y67" s="18" t="n">
        <v>1559.87</v>
      </c>
      <c r="Z67" s="37" t="n">
        <v>3518.82</v>
      </c>
      <c r="AA67" s="18" t="n">
        <v>3963.16</v>
      </c>
      <c r="AB67" s="19" t="n">
        <v>2937.27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236.2</v>
      </c>
      <c r="F68" s="9" t="n"/>
      <c r="G68" s="18" t="n">
        <v>172.96</v>
      </c>
      <c r="H68" s="18" t="n">
        <v>278.28</v>
      </c>
      <c r="I68" s="18" t="n">
        <v>256.31</v>
      </c>
      <c r="J68" s="18" t="n">
        <v>504</v>
      </c>
      <c r="K68" s="37" t="n">
        <v>1211.55</v>
      </c>
      <c r="L68" s="18" t="n">
        <v>393.89</v>
      </c>
      <c r="M68" s="18" t="n">
        <v>406.93</v>
      </c>
      <c r="N68" s="18" t="n">
        <v>434.7</v>
      </c>
      <c r="O68" s="18" t="n">
        <v>414.62</v>
      </c>
      <c r="P68" s="37" t="n">
        <v>1650.14</v>
      </c>
      <c r="Q68" s="18" t="n">
        <v>294.54</v>
      </c>
      <c r="R68" s="18" t="n">
        <v>674.47</v>
      </c>
      <c r="S68" s="18" t="n">
        <v>618.75</v>
      </c>
      <c r="T68" s="18" t="n">
        <v>471.87</v>
      </c>
      <c r="U68" s="37" t="n">
        <v>2059.63</v>
      </c>
      <c r="V68" s="18" t="n">
        <v>279.14</v>
      </c>
      <c r="W68" s="18" t="n">
        <v>447.45</v>
      </c>
      <c r="X68" s="18" t="n">
        <v>199.5</v>
      </c>
      <c r="Y68" s="18" t="n">
        <v>811.27</v>
      </c>
      <c r="Z68" s="37" t="n">
        <v>1737.36</v>
      </c>
      <c r="AA68" s="18" t="n">
        <v>1968.67</v>
      </c>
      <c r="AB68" s="19" t="n">
        <v>213.21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2413.46</v>
      </c>
      <c r="F69" s="9" t="n"/>
      <c r="G69" s="18" t="n">
        <v>-110.42</v>
      </c>
      <c r="H69" s="18" t="n">
        <v>531.5599999999999</v>
      </c>
      <c r="I69" s="18" t="n">
        <v>3428.91</v>
      </c>
      <c r="J69" s="18" t="n">
        <v>-281.04</v>
      </c>
      <c r="K69" s="37" t="n">
        <v>3569.01</v>
      </c>
      <c r="L69" s="18" t="n">
        <v>706.84</v>
      </c>
      <c r="M69" s="18" t="n">
        <v>800.1900000000001</v>
      </c>
      <c r="N69" s="18" t="n">
        <v>-115.95</v>
      </c>
      <c r="O69" s="18" t="n">
        <v>4505.44</v>
      </c>
      <c r="P69" s="37" t="n">
        <v>5896.52</v>
      </c>
      <c r="Q69" s="18" t="n">
        <v>537.51</v>
      </c>
      <c r="R69" s="18" t="n">
        <v>686.36</v>
      </c>
      <c r="S69" s="18" t="n">
        <v>2526.57</v>
      </c>
      <c r="T69" s="18" t="n">
        <v>4397.48</v>
      </c>
      <c r="U69" s="37" t="n">
        <v>8147.92</v>
      </c>
      <c r="V69" s="18" t="n">
        <v>1180.26</v>
      </c>
      <c r="W69" s="18" t="n">
        <v>1045.99</v>
      </c>
      <c r="X69" s="18" t="n">
        <v>4209.55</v>
      </c>
      <c r="Y69" s="18" t="n">
        <v>6339.59</v>
      </c>
      <c r="Z69" s="37" t="n">
        <v>12775.39</v>
      </c>
      <c r="AA69" s="18" t="n">
        <v>4342.89</v>
      </c>
      <c r="AB69" s="19" t="n">
        <v>8923.620000000001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521.03</v>
      </c>
      <c r="F70" s="9" t="n"/>
      <c r="G70" s="18" t="n">
        <v>24.66</v>
      </c>
      <c r="H70" s="18" t="n">
        <v>37.11</v>
      </c>
      <c r="I70" s="18" t="n">
        <v>780.4</v>
      </c>
      <c r="J70" s="18" t="n">
        <v>-653.23</v>
      </c>
      <c r="K70" s="37" t="n">
        <v>188.94</v>
      </c>
      <c r="L70" s="18" t="n">
        <v>-9.029999999999999</v>
      </c>
      <c r="M70" s="18" t="n">
        <v>138.78</v>
      </c>
      <c r="N70" s="18" t="n">
        <v>-98.04000000000001</v>
      </c>
      <c r="O70" s="18" t="n">
        <v>-1812.68</v>
      </c>
      <c r="P70" s="37" t="n">
        <v>-1780.97</v>
      </c>
      <c r="Q70" s="18" t="n">
        <v>69.37</v>
      </c>
      <c r="R70" s="18" t="n">
        <v>2401.36</v>
      </c>
      <c r="S70" s="18" t="n">
        <v>299.78</v>
      </c>
      <c r="T70" s="18" t="n">
        <v>-1140.85</v>
      </c>
      <c r="U70" s="37" t="n">
        <v>1629.66</v>
      </c>
      <c r="V70" s="18" t="n">
        <v>169.64</v>
      </c>
      <c r="W70" s="18" t="n">
        <v>129.71</v>
      </c>
      <c r="X70" s="18" t="n">
        <v>383.78</v>
      </c>
      <c r="Y70" s="18" t="n">
        <v>-1593.5</v>
      </c>
      <c r="Z70" s="37" t="n">
        <v>-910.37</v>
      </c>
      <c r="AA70" s="18" t="n">
        <v>668.1900000000001</v>
      </c>
      <c r="AB70" s="19" t="n">
        <v>2171.17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1892.43</v>
      </c>
      <c r="F71" s="9" t="n"/>
      <c r="G71" s="18" t="n">
        <v>-135.08</v>
      </c>
      <c r="H71" s="18" t="n">
        <v>494.45</v>
      </c>
      <c r="I71" s="18" t="n">
        <v>2648.51</v>
      </c>
      <c r="J71" s="18" t="n">
        <v>372.18</v>
      </c>
      <c r="K71" s="37" t="n">
        <v>3380.06</v>
      </c>
      <c r="L71" s="18" t="n">
        <v>715.87</v>
      </c>
      <c r="M71" s="18" t="n">
        <v>661.41</v>
      </c>
      <c r="N71" s="18" t="n">
        <v>-17.92</v>
      </c>
      <c r="O71" s="18" t="n">
        <v>6318.12</v>
      </c>
      <c r="P71" s="37" t="n">
        <v>7677.48</v>
      </c>
      <c r="Q71" s="18" t="n">
        <v>468.14</v>
      </c>
      <c r="R71" s="18" t="n">
        <v>-1715</v>
      </c>
      <c r="S71" s="18" t="n">
        <v>2226.8</v>
      </c>
      <c r="T71" s="18" t="n">
        <v>5538.34</v>
      </c>
      <c r="U71" s="37" t="n">
        <v>6518.28</v>
      </c>
      <c r="V71" s="18" t="n">
        <v>1010.62</v>
      </c>
      <c r="W71" s="18" t="n">
        <v>916.28</v>
      </c>
      <c r="X71" s="18" t="n">
        <v>3825.76</v>
      </c>
      <c r="Y71" s="18" t="n">
        <v>7933.09</v>
      </c>
      <c r="Z71" s="37" t="n">
        <v>13685.75</v>
      </c>
      <c r="AA71" s="18" t="n">
        <v>3674.7</v>
      </c>
      <c r="AB71" s="19" t="n">
        <v>6752.45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1822.28</v>
      </c>
      <c r="F72" s="9" t="n"/>
      <c r="G72" s="18" t="n">
        <v>385.16</v>
      </c>
      <c r="H72" s="18" t="n">
        <v>539.05</v>
      </c>
      <c r="I72" s="18" t="n">
        <v>3021.28</v>
      </c>
      <c r="J72" s="18" t="n">
        <v>-159.38</v>
      </c>
      <c r="K72" s="37" t="n">
        <v>3786.11</v>
      </c>
      <c r="L72" s="18" t="n">
        <v>910.26</v>
      </c>
      <c r="M72" s="18" t="n">
        <v>1699.27</v>
      </c>
      <c r="N72" s="18" t="n">
        <v>-519.4299999999999</v>
      </c>
      <c r="O72" s="18" t="n">
        <v>6248.58</v>
      </c>
      <c r="P72" s="37" t="n">
        <v>8338.68</v>
      </c>
      <c r="Q72" s="18" t="n">
        <v>150.03</v>
      </c>
      <c r="R72" s="18" t="n">
        <v>-1761.96</v>
      </c>
      <c r="S72" s="18" t="n">
        <v>2081.75</v>
      </c>
      <c r="T72" s="18" t="n">
        <v>4467.95</v>
      </c>
      <c r="U72" s="37" t="n">
        <v>4937.77</v>
      </c>
      <c r="V72" s="18" t="n">
        <v>1019.9</v>
      </c>
      <c r="W72" s="18" t="n">
        <v>1215.26</v>
      </c>
      <c r="X72" s="18" t="n">
        <v>3816.22</v>
      </c>
      <c r="Y72" s="18" t="n">
        <v>8137.43</v>
      </c>
      <c r="Z72" s="37" t="n">
        <v>14188.81</v>
      </c>
      <c r="AA72" s="18" t="n">
        <v>3647.3</v>
      </c>
      <c r="AB72" s="19" t="n">
        <v>6655.63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(지배주주지분)당기순이익</t>
        </is>
      </c>
      <c r="E73" s="18" t="n">
        <v>1217.16</v>
      </c>
      <c r="F73" s="9" t="n"/>
      <c r="G73" s="18" t="n">
        <v>108.44</v>
      </c>
      <c r="H73" s="18" t="n">
        <v>175.03</v>
      </c>
      <c r="I73" s="18" t="n">
        <v>2883.42</v>
      </c>
      <c r="J73" s="18" t="n">
        <v>-1112.65</v>
      </c>
      <c r="K73" s="37" t="n">
        <v>2054.24</v>
      </c>
      <c r="L73" s="18" t="n">
        <v>285.76</v>
      </c>
      <c r="M73" s="18" t="n">
        <v>513.73</v>
      </c>
      <c r="N73" s="18" t="n">
        <v>-93.2</v>
      </c>
      <c r="O73" s="18" t="n">
        <v>3134.33</v>
      </c>
      <c r="P73" s="37" t="n">
        <v>3840.62</v>
      </c>
      <c r="Q73" s="18" t="n">
        <v>473.3</v>
      </c>
      <c r="R73" s="18" t="n">
        <v>-2434.95</v>
      </c>
      <c r="S73" s="18" t="n">
        <v>1563.93</v>
      </c>
      <c r="T73" s="18" t="n">
        <v>2135.3</v>
      </c>
      <c r="U73" s="37" t="n">
        <v>1737.58</v>
      </c>
      <c r="V73" s="18" t="n">
        <v>774</v>
      </c>
      <c r="W73" s="18" t="n">
        <v>567.14</v>
      </c>
      <c r="X73" s="18" t="n">
        <v>1517.51</v>
      </c>
      <c r="Y73" s="18" t="n">
        <v>4593.86</v>
      </c>
      <c r="Z73" s="37" t="n">
        <v>7452.51</v>
      </c>
      <c r="AA73" s="18" t="n">
        <v>2502.49</v>
      </c>
      <c r="AB73" s="19" t="n">
        <v>4540.74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(비지배주주지분)당기순이익</t>
        </is>
      </c>
      <c r="E74" s="18" t="n">
        <v>787.47</v>
      </c>
      <c r="F74" s="9" t="n"/>
      <c r="G74" s="18" t="n">
        <v>243.52</v>
      </c>
      <c r="H74" s="18" t="n">
        <v>319.43</v>
      </c>
      <c r="I74" s="18" t="n">
        <v>137.87</v>
      </c>
      <c r="J74" s="18" t="n">
        <v>547.24</v>
      </c>
      <c r="K74" s="37" t="n">
        <v>1248.06</v>
      </c>
      <c r="L74" s="18" t="n">
        <v>430.11</v>
      </c>
      <c r="M74" s="18" t="n">
        <v>147.68</v>
      </c>
      <c r="N74" s="18" t="n">
        <v>75.29000000000001</v>
      </c>
      <c r="O74" s="18" t="n">
        <v>3183.8</v>
      </c>
      <c r="P74" s="37" t="n">
        <v>3836.88</v>
      </c>
      <c r="Q74" s="18" t="n">
        <v>-5.16</v>
      </c>
      <c r="R74" s="18" t="n">
        <v>719.95</v>
      </c>
      <c r="S74" s="18" t="n">
        <v>662.87</v>
      </c>
      <c r="T74" s="18" t="n">
        <v>3403.04</v>
      </c>
      <c r="U74" s="37" t="n">
        <v>4780.7</v>
      </c>
      <c r="V74" s="18" t="n">
        <v>236.62</v>
      </c>
      <c r="W74" s="18" t="n">
        <v>349.14</v>
      </c>
      <c r="X74" s="18" t="n">
        <v>2308.25</v>
      </c>
      <c r="Y74" s="18" t="n">
        <v>3339.23</v>
      </c>
      <c r="Z74" s="37" t="n">
        <v>6233.24</v>
      </c>
      <c r="AA74" s="18" t="n">
        <v>1172.22</v>
      </c>
      <c r="AB74" s="19" t="n">
        <v>2211.71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계속사업이익</t>
        </is>
      </c>
      <c r="E75" s="18" t="n">
        <v>1892.43</v>
      </c>
      <c r="F75" s="9" t="n"/>
      <c r="G75" s="18" t="n">
        <v>-135.08</v>
      </c>
      <c r="H75" s="18" t="n">
        <v>494.45</v>
      </c>
      <c r="I75" s="18" t="n">
        <v>2648.51</v>
      </c>
      <c r="J75" s="18" t="n">
        <v>372.18</v>
      </c>
      <c r="K75" s="37" t="n">
        <v>3380.06</v>
      </c>
      <c r="L75" s="18" t="n">
        <v>715.87</v>
      </c>
      <c r="M75" s="18" t="n">
        <v>661.41</v>
      </c>
      <c r="N75" s="18" t="n">
        <v>-17.92</v>
      </c>
      <c r="O75" s="18" t="n">
        <v>6318.12</v>
      </c>
      <c r="P75" s="37" t="n">
        <v>7677.48</v>
      </c>
      <c r="Q75" s="18" t="n">
        <v>468.14</v>
      </c>
      <c r="R75" s="18" t="n">
        <v>-1715</v>
      </c>
      <c r="S75" s="18" t="n">
        <v>2226.8</v>
      </c>
      <c r="T75" s="18" t="n">
        <v>5538.34</v>
      </c>
      <c r="U75" s="37" t="n">
        <v>6518.28</v>
      </c>
      <c r="V75" s="18" t="n">
        <v>1010.62</v>
      </c>
      <c r="W75" s="18" t="n">
        <v>916.28</v>
      </c>
      <c r="X75" s="18" t="n">
        <v>3825.76</v>
      </c>
      <c r="Y75" s="18" t="n">
        <v>7933.09</v>
      </c>
      <c r="Z75" s="37" t="n">
        <v>13685.75</v>
      </c>
      <c r="AA75" s="18" t="n">
        <v>3674.7</v>
      </c>
      <c r="AB75" s="19" t="n">
        <v>6752.45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이자수익</t>
        </is>
      </c>
      <c r="E76" s="18" t="n">
        <v>63.09</v>
      </c>
      <c r="F76" s="9" t="n"/>
      <c r="G76" s="18" t="n">
        <v>300.35</v>
      </c>
      <c r="H76" s="18" t="n">
        <v>15.91</v>
      </c>
      <c r="I76" s="18" t="n">
        <v>334.97</v>
      </c>
      <c r="J76" s="18" t="n">
        <v>50.3</v>
      </c>
      <c r="K76" s="37" t="n">
        <v>701.53</v>
      </c>
      <c r="L76" s="18" t="n">
        <v>313.61</v>
      </c>
      <c r="M76" s="18" t="n">
        <v>26.71</v>
      </c>
      <c r="N76" s="18" t="n">
        <v>382.47</v>
      </c>
      <c r="O76" s="18" t="n">
        <v>33.76</v>
      </c>
      <c r="P76" s="37" t="n">
        <v>756.55</v>
      </c>
      <c r="Q76" s="18" t="n">
        <v>379.45</v>
      </c>
      <c r="R76" s="18" t="n">
        <v>36.32</v>
      </c>
      <c r="S76" s="18" t="n">
        <v>420.8</v>
      </c>
      <c r="T76" s="18" t="n">
        <v>115.77</v>
      </c>
      <c r="U76" s="37" t="n">
        <v>952.34</v>
      </c>
      <c r="V76" s="18" t="n">
        <v>233.16</v>
      </c>
      <c r="W76" s="18" t="n">
        <v>255.07</v>
      </c>
      <c r="X76" s="18" t="n">
        <v>172.19</v>
      </c>
      <c r="Y76" s="18" t="n">
        <v>265.06</v>
      </c>
      <c r="Z76" s="37" t="n">
        <v>925.48</v>
      </c>
      <c r="AA76" s="18" t="n">
        <v>222.74</v>
      </c>
      <c r="AB76" s="19" t="n">
        <v>236.57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이자비용</t>
        </is>
      </c>
      <c r="E77" s="18" t="n">
        <v>212.11</v>
      </c>
      <c r="F77" s="9" t="n"/>
      <c r="G77" s="18" t="n">
        <v>162.17</v>
      </c>
      <c r="H77" s="18" t="n">
        <v>195.72</v>
      </c>
      <c r="I77" s="18" t="n">
        <v>201.87</v>
      </c>
      <c r="J77" s="18" t="n">
        <v>249.73</v>
      </c>
      <c r="K77" s="37" t="n">
        <v>809.49</v>
      </c>
      <c r="L77" s="18" t="n">
        <v>301.38</v>
      </c>
      <c r="M77" s="18" t="n">
        <v>316.25</v>
      </c>
      <c r="N77" s="18" t="n">
        <v>302.39</v>
      </c>
      <c r="O77" s="18" t="n">
        <v>319.32</v>
      </c>
      <c r="P77" s="37" t="n">
        <v>1239.34</v>
      </c>
      <c r="Q77" s="18" t="n">
        <v>282.38</v>
      </c>
      <c r="R77" s="18" t="n">
        <v>299.82</v>
      </c>
      <c r="S77" s="18" t="n">
        <v>309.83</v>
      </c>
      <c r="T77" s="18" t="n">
        <v>304.02</v>
      </c>
      <c r="U77" s="37" t="n">
        <v>1196.05</v>
      </c>
      <c r="V77" s="18" t="n">
        <v>270.79</v>
      </c>
      <c r="W77" s="18" t="n">
        <v>257.1</v>
      </c>
      <c r="X77" s="18" t="n">
        <v>259.89</v>
      </c>
      <c r="Y77" s="18" t="n">
        <v>257.25</v>
      </c>
      <c r="Z77" s="37" t="n">
        <v>1045.03</v>
      </c>
      <c r="AA77" s="18" t="n">
        <v>260.71</v>
      </c>
      <c r="AB77" s="19" t="n">
        <v>271.16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외환차익</t>
        </is>
      </c>
      <c r="E78" s="18" t="n">
        <v>107.86</v>
      </c>
      <c r="F78" s="9" t="n"/>
      <c r="G78" s="18" t="n">
        <v>66.47</v>
      </c>
      <c r="H78" s="18" t="n">
        <v>74.64</v>
      </c>
      <c r="I78" s="18" t="n">
        <v>471.82</v>
      </c>
      <c r="J78" s="18" t="n">
        <v>70.03</v>
      </c>
      <c r="K78" s="37" t="n">
        <v>682.96</v>
      </c>
      <c r="L78" s="18" t="n">
        <v>74.52</v>
      </c>
      <c r="M78" s="18" t="n">
        <v>110.91</v>
      </c>
      <c r="N78" s="18" t="n">
        <v>57.86</v>
      </c>
      <c r="O78" s="18" t="n">
        <v>8.869999999999999</v>
      </c>
      <c r="P78" s="37" t="n">
        <v>252.16</v>
      </c>
      <c r="Q78" s="18" t="n">
        <v>160.39</v>
      </c>
      <c r="R78" s="18" t="n">
        <v>36.81</v>
      </c>
      <c r="S78" s="18" t="n">
        <v>1.02</v>
      </c>
      <c r="T78" s="18" t="n">
        <v>885.17</v>
      </c>
      <c r="U78" s="37" t="n">
        <v>1083.39</v>
      </c>
      <c r="V78" s="18" t="n">
        <v>3.27</v>
      </c>
      <c r="W78" s="18" t="n">
        <v>2.94</v>
      </c>
      <c r="X78" s="18" t="n">
        <v>2.21</v>
      </c>
      <c r="Y78" s="18" t="n">
        <v>9.08</v>
      </c>
      <c r="Z78" s="37" t="n">
        <v>17.5</v>
      </c>
      <c r="AA78" s="18" t="n">
        <v>47.08</v>
      </c>
      <c r="AB78" s="19" t="n">
        <v>13.38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외환차손</t>
        </is>
      </c>
      <c r="E79" s="18" t="n">
        <v>12.71</v>
      </c>
      <c r="F79" s="9" t="n"/>
      <c r="G79" s="18" t="n">
        <v>3.96</v>
      </c>
      <c r="H79" s="18" t="n">
        <v>21.49</v>
      </c>
      <c r="I79" s="18" t="n">
        <v>23.99</v>
      </c>
      <c r="J79" s="18" t="n">
        <v>75.83</v>
      </c>
      <c r="K79" s="37" t="n">
        <v>125.27</v>
      </c>
      <c r="L79" s="18" t="n">
        <v>26.49</v>
      </c>
      <c r="M79" s="18" t="n">
        <v>9.390000000000001</v>
      </c>
      <c r="N79" s="18" t="n">
        <v>12.45</v>
      </c>
      <c r="O79" s="18" t="n">
        <v>11.48</v>
      </c>
      <c r="P79" s="37" t="n">
        <v>59.81</v>
      </c>
      <c r="Q79" s="18" t="n">
        <v>6.43</v>
      </c>
      <c r="R79" s="18" t="n">
        <v>5.01</v>
      </c>
      <c r="S79" s="18" t="n">
        <v>10.72</v>
      </c>
      <c r="T79" s="18" t="n">
        <v>7.79</v>
      </c>
      <c r="U79" s="37" t="n">
        <v>29.95</v>
      </c>
      <c r="V79" s="18" t="n">
        <v>3.1</v>
      </c>
      <c r="W79" s="18" t="n">
        <v>27.26</v>
      </c>
      <c r="X79" s="18" t="n">
        <v>92.93000000000001</v>
      </c>
      <c r="Y79" s="18" t="n">
        <v>0.8</v>
      </c>
      <c r="Z79" s="37" t="n">
        <v>124.09</v>
      </c>
      <c r="AA79" s="18" t="n">
        <v>5.46</v>
      </c>
      <c r="AB79" s="19" t="n">
        <v>6.35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외화환산이익</t>
        </is>
      </c>
      <c r="E80" s="18" t="n">
        <v>38.32</v>
      </c>
      <c r="F80" s="9" t="n"/>
      <c r="G80" s="18" t="n">
        <v>64.81999999999999</v>
      </c>
      <c r="H80" s="18" t="n">
        <v>196.66</v>
      </c>
      <c r="I80" s="18" t="n">
        <v>-30.78</v>
      </c>
      <c r="J80" s="18" t="n">
        <v>-224.21</v>
      </c>
      <c r="K80" s="37" t="n">
        <v>6.49</v>
      </c>
      <c r="L80" s="18" t="n">
        <v>112.93</v>
      </c>
      <c r="M80" s="18" t="n">
        <v>-36.1</v>
      </c>
      <c r="N80" s="18" t="n">
        <v>37.12</v>
      </c>
      <c r="O80" s="18" t="n">
        <v>530.33</v>
      </c>
      <c r="P80" s="37" t="n">
        <v>644.28</v>
      </c>
      <c r="Q80" s="18" t="n">
        <v>101.96</v>
      </c>
      <c r="R80" s="18" t="n">
        <v>-88.31999999999999</v>
      </c>
      <c r="S80" s="18" t="n">
        <v>1.9</v>
      </c>
      <c r="T80" s="18" t="n">
        <v>93.22</v>
      </c>
      <c r="U80" s="37" t="n">
        <v>108.76</v>
      </c>
      <c r="V80" s="18" t="n">
        <v>511.13</v>
      </c>
      <c r="W80" s="18" t="n">
        <v>-193.66</v>
      </c>
      <c r="X80" s="18" t="n">
        <v>480.77</v>
      </c>
      <c r="Y80" s="18" t="n">
        <v>-74.97</v>
      </c>
      <c r="Z80" s="37" t="n">
        <v>723.27</v>
      </c>
      <c r="AA80" s="18" t="n">
        <v>758.3200000000001</v>
      </c>
      <c r="AB80" s="19" t="n">
        <v>274.02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외화환산손실</t>
        </is>
      </c>
      <c r="E81" s="18" t="n">
        <v>-0.83</v>
      </c>
      <c r="F81" s="9" t="n"/>
      <c r="G81" s="18" t="n">
        <v>6.83</v>
      </c>
      <c r="H81" s="18" t="n">
        <v>3</v>
      </c>
      <c r="I81" s="18" t="n">
        <v>13.78</v>
      </c>
      <c r="J81" s="18" t="n">
        <v>190.65</v>
      </c>
      <c r="K81" s="37" t="n">
        <v>214.26</v>
      </c>
      <c r="L81" s="18" t="n">
        <v>5.24</v>
      </c>
      <c r="M81" s="18" t="n">
        <v>0.28</v>
      </c>
      <c r="N81" s="18" t="n">
        <v>0.91</v>
      </c>
      <c r="O81" s="18" t="n">
        <v>48.76</v>
      </c>
      <c r="P81" s="37" t="n">
        <v>55.19</v>
      </c>
      <c r="Q81" s="18" t="n">
        <v>5.72</v>
      </c>
      <c r="R81" s="18" t="n">
        <v>369.64</v>
      </c>
      <c r="S81" s="18" t="n">
        <v>298.19</v>
      </c>
      <c r="T81" s="18" t="n">
        <v>160.07</v>
      </c>
      <c r="U81" s="37" t="n">
        <v>833.62</v>
      </c>
      <c r="V81" s="18" t="n">
        <v>5.26</v>
      </c>
      <c r="W81" s="18" t="n">
        <v>161.86</v>
      </c>
      <c r="X81" s="18" t="n">
        <v>-165.34</v>
      </c>
      <c r="Y81" s="18" t="n">
        <v>9.82</v>
      </c>
      <c r="Z81" s="37" t="n">
        <v>11.6</v>
      </c>
      <c r="AA81" s="18" t="n">
        <v>4.2</v>
      </c>
      <c r="AB81" s="19" t="n">
        <v>-0.15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이자손익</t>
        </is>
      </c>
      <c r="E82" s="18" t="n">
        <v>-149.02</v>
      </c>
      <c r="F82" s="9" t="n"/>
      <c r="G82" s="18" t="n">
        <v>138.18</v>
      </c>
      <c r="H82" s="18" t="n">
        <v>-179.81</v>
      </c>
      <c r="I82" s="18" t="n">
        <v>133.1</v>
      </c>
      <c r="J82" s="18" t="n">
        <v>-199.43</v>
      </c>
      <c r="K82" s="37" t="n">
        <v>-107.96</v>
      </c>
      <c r="L82" s="18" t="n">
        <v>12.23</v>
      </c>
      <c r="M82" s="18" t="n">
        <v>-289.54</v>
      </c>
      <c r="N82" s="18" t="n">
        <v>80.08</v>
      </c>
      <c r="O82" s="18" t="n">
        <v>-285.56</v>
      </c>
      <c r="P82" s="37" t="n">
        <v>-482.79</v>
      </c>
      <c r="Q82" s="18" t="n">
        <v>97.06999999999999</v>
      </c>
      <c r="R82" s="18" t="n">
        <v>-263.5</v>
      </c>
      <c r="S82" s="18" t="n">
        <v>110.97</v>
      </c>
      <c r="T82" s="18" t="n">
        <v>-188.25</v>
      </c>
      <c r="U82" s="37" t="n">
        <v>-243.71</v>
      </c>
      <c r="V82" s="18" t="n">
        <v>-37.63</v>
      </c>
      <c r="W82" s="18" t="n">
        <v>-2.03</v>
      </c>
      <c r="X82" s="18" t="n">
        <v>-87.7</v>
      </c>
      <c r="Y82" s="18" t="n">
        <v>7.81</v>
      </c>
      <c r="Z82" s="37" t="n">
        <v>-119.55</v>
      </c>
      <c r="AA82" s="18" t="n">
        <v>-37.97</v>
      </c>
      <c r="AB82" s="19" t="n">
        <v>-34.59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배당금수익</t>
        </is>
      </c>
      <c r="F83" s="9" t="n"/>
      <c r="H83" s="18" t="n">
        <v>0.51</v>
      </c>
      <c r="I83" s="18" t="n">
        <v>31.36</v>
      </c>
      <c r="J83" s="18" t="n">
        <v>0</v>
      </c>
      <c r="K83" s="9" t="n"/>
      <c r="M83" s="18" t="n">
        <v>96.40000000000001</v>
      </c>
      <c r="N83" s="18" t="n">
        <v>0</v>
      </c>
      <c r="O83" s="18" t="n">
        <v>0</v>
      </c>
      <c r="P83" s="9" t="n"/>
      <c r="R83" s="18" t="n">
        <v>57.85</v>
      </c>
      <c r="S83" s="18" t="n">
        <v>0</v>
      </c>
      <c r="T83" s="18" t="n">
        <v>0</v>
      </c>
      <c r="U83" s="9" t="n"/>
      <c r="W83" s="18" t="n">
        <v>57.75</v>
      </c>
      <c r="X83" s="18" t="n">
        <v>3.16</v>
      </c>
      <c r="Y83" s="18" t="n">
        <v>9.57</v>
      </c>
      <c r="Z83" s="9" t="n"/>
      <c r="AB83" s="19" t="n">
        <v>185.46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영업활동으로인한현금흐름</t>
        </is>
      </c>
      <c r="E84" s="18" t="n">
        <v>2457.05</v>
      </c>
      <c r="F84" s="9" t="n"/>
      <c r="G84" s="18" t="n">
        <v>-1028.77</v>
      </c>
      <c r="H84" s="18" t="n">
        <v>-3735.34</v>
      </c>
      <c r="I84" s="18" t="n">
        <v>1831.9</v>
      </c>
      <c r="J84" s="18" t="n">
        <v>1239.42</v>
      </c>
      <c r="K84" s="37" t="n">
        <v>-1692.79</v>
      </c>
      <c r="L84" s="18" t="n">
        <v>5112.89</v>
      </c>
      <c r="M84" s="18" t="n">
        <v>3585.61</v>
      </c>
      <c r="N84" s="18" t="n">
        <v>3461.97</v>
      </c>
      <c r="O84" s="18" t="n">
        <v>318.91</v>
      </c>
      <c r="P84" s="37" t="n">
        <v>12479.38</v>
      </c>
      <c r="Q84" s="18" t="n">
        <v>3594</v>
      </c>
      <c r="R84" s="18" t="n">
        <v>-230.18</v>
      </c>
      <c r="S84" s="18" t="n">
        <v>1354.48</v>
      </c>
      <c r="T84" s="18" t="n">
        <v>5018.51</v>
      </c>
      <c r="U84" s="37" t="n">
        <v>9736.809999999999</v>
      </c>
      <c r="V84" s="18" t="n">
        <v>-1860.32</v>
      </c>
      <c r="W84" s="18" t="n">
        <v>675.48</v>
      </c>
      <c r="X84" s="18" t="n">
        <v>2521.03</v>
      </c>
      <c r="Y84" s="18" t="n">
        <v>5392.73</v>
      </c>
      <c r="Z84" s="37" t="n">
        <v>6728.92</v>
      </c>
      <c r="AA84" s="18" t="n">
        <v>2812.89</v>
      </c>
      <c r="AB84" s="19" t="n">
        <v>5430.92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배당금수취(CF)</t>
        </is>
      </c>
      <c r="E85" s="18" t="n">
        <v>0</v>
      </c>
      <c r="F85" s="9" t="n"/>
      <c r="G85" s="18" t="n">
        <v>0</v>
      </c>
      <c r="H85" s="18" t="n">
        <v>0.51</v>
      </c>
      <c r="I85" s="18" t="n">
        <v>31.36</v>
      </c>
      <c r="J85" s="18" t="n">
        <v>0</v>
      </c>
      <c r="K85" s="37" t="n">
        <v>31.87</v>
      </c>
      <c r="L85" s="18" t="n">
        <v>0</v>
      </c>
      <c r="M85" s="18" t="n">
        <v>96.40000000000001</v>
      </c>
      <c r="N85" s="18" t="n">
        <v>0</v>
      </c>
      <c r="O85" s="18" t="n">
        <v>0</v>
      </c>
      <c r="P85" s="37" t="n">
        <v>96.40000000000001</v>
      </c>
      <c r="S85" s="18" t="n">
        <v>0</v>
      </c>
      <c r="T85" s="18" t="n">
        <v>0</v>
      </c>
      <c r="U85" s="9" t="n"/>
      <c r="X85" s="18" t="n">
        <v>3.16</v>
      </c>
      <c r="Y85" s="18" t="n">
        <v>9.57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법인세납부(CF)</t>
        </is>
      </c>
      <c r="E86" s="18" t="n">
        <v>-2.44</v>
      </c>
      <c r="F86" s="9" t="n"/>
      <c r="G86" s="18" t="n">
        <v>-210.79</v>
      </c>
      <c r="H86" s="18" t="n">
        <v>-222.29</v>
      </c>
      <c r="I86" s="18" t="n">
        <v>-245.64</v>
      </c>
      <c r="J86" s="18" t="n">
        <v>-11.7</v>
      </c>
      <c r="K86" s="37" t="n">
        <v>-690.42</v>
      </c>
      <c r="L86" s="18" t="n">
        <v>-99.55</v>
      </c>
      <c r="M86" s="18" t="n">
        <v>-128.36</v>
      </c>
      <c r="N86" s="18" t="n">
        <v>-100.3</v>
      </c>
      <c r="O86" s="18" t="n">
        <v>-110.76</v>
      </c>
      <c r="P86" s="37" t="n">
        <v>-438.97</v>
      </c>
      <c r="Q86" s="18" t="n">
        <v>-39.58</v>
      </c>
      <c r="R86" s="18" t="n">
        <v>-63.81</v>
      </c>
      <c r="S86" s="18" t="n">
        <v>-83.51000000000001</v>
      </c>
      <c r="T86" s="18" t="n">
        <v>-155.74</v>
      </c>
      <c r="U86" s="37" t="n">
        <v>-342.64</v>
      </c>
      <c r="V86" s="18" t="n">
        <v>-1366.89</v>
      </c>
      <c r="W86" s="18" t="n">
        <v>-1585.82</v>
      </c>
      <c r="X86" s="18" t="n">
        <v>-184.75</v>
      </c>
      <c r="Y86" s="18" t="n">
        <v>-6.89</v>
      </c>
      <c r="Z86" s="37" t="n">
        <v>-3144.35</v>
      </c>
      <c r="AA86" s="18" t="n">
        <v>-158.13</v>
      </c>
      <c r="AB86" s="19" t="n">
        <v>-368.97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투자활동으로인한현금흐름</t>
        </is>
      </c>
      <c r="E87" s="18" t="n">
        <v>-333.21</v>
      </c>
      <c r="F87" s="9" t="n"/>
      <c r="G87" s="18" t="n">
        <v>-14413</v>
      </c>
      <c r="H87" s="18" t="n">
        <v>-2989.63</v>
      </c>
      <c r="I87" s="18" t="n">
        <v>-524.1799999999999</v>
      </c>
      <c r="J87" s="18" t="n">
        <v>-149.56</v>
      </c>
      <c r="K87" s="37" t="n">
        <v>-18076.37</v>
      </c>
      <c r="L87" s="18" t="n">
        <v>18.23</v>
      </c>
      <c r="M87" s="18" t="n">
        <v>10.15</v>
      </c>
      <c r="N87" s="18" t="n">
        <v>17.96</v>
      </c>
      <c r="O87" s="18" t="n">
        <v>409.25</v>
      </c>
      <c r="P87" s="37" t="n">
        <v>455.59</v>
      </c>
      <c r="Q87" s="18" t="n">
        <v>443.36</v>
      </c>
      <c r="R87" s="18" t="n">
        <v>-30.35</v>
      </c>
      <c r="S87" s="18" t="n">
        <v>178.75</v>
      </c>
      <c r="T87" s="18" t="n">
        <v>2434.47</v>
      </c>
      <c r="U87" s="37" t="n">
        <v>3026.23</v>
      </c>
      <c r="V87" s="18" t="n">
        <v>-120.95</v>
      </c>
      <c r="W87" s="18" t="n">
        <v>-882.51</v>
      </c>
      <c r="X87" s="18" t="n">
        <v>-5983.97</v>
      </c>
      <c r="Y87" s="18" t="n">
        <v>-3743.78</v>
      </c>
      <c r="Z87" s="37" t="n">
        <v>-10731.21</v>
      </c>
      <c r="AA87" s="18" t="n">
        <v>-4458.81</v>
      </c>
      <c r="AB87" s="19" t="n">
        <v>-8322.719999999999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유형자산의감소</t>
        </is>
      </c>
      <c r="E88" s="18" t="n">
        <v>600</v>
      </c>
      <c r="F88" s="9" t="n"/>
      <c r="G88" s="18" t="n">
        <v>1.36</v>
      </c>
      <c r="H88" s="18" t="n">
        <v>0</v>
      </c>
      <c r="I88" s="18" t="n">
        <v>0</v>
      </c>
      <c r="J88" s="18" t="n">
        <v>4.25</v>
      </c>
      <c r="K88" s="37" t="n">
        <v>5.61</v>
      </c>
      <c r="L88" s="18" t="n">
        <v>0</v>
      </c>
      <c r="M88" s="18" t="n">
        <v>4</v>
      </c>
      <c r="N88" s="18" t="n">
        <v>0</v>
      </c>
      <c r="O88" s="18" t="n">
        <v>0</v>
      </c>
      <c r="P88" s="37" t="n">
        <v>4</v>
      </c>
      <c r="S88" s="18" t="n">
        <v>2.05</v>
      </c>
      <c r="T88" s="18" t="n">
        <v>6.57</v>
      </c>
      <c r="U88" s="9" t="n"/>
      <c r="X88" s="18" t="n">
        <v>0</v>
      </c>
      <c r="Y88" s="18" t="n">
        <v>8.699999999999999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유형자산의증가</t>
        </is>
      </c>
      <c r="E89" s="18" t="n">
        <v>1659.14</v>
      </c>
      <c r="F89" s="9" t="n"/>
      <c r="G89" s="18" t="n">
        <v>16389.08</v>
      </c>
      <c r="H89" s="18" t="n">
        <v>1931.13</v>
      </c>
      <c r="I89" s="18" t="n">
        <v>673.41</v>
      </c>
      <c r="J89" s="18" t="n">
        <v>126.81</v>
      </c>
      <c r="K89" s="37" t="n">
        <v>19120.43</v>
      </c>
      <c r="L89" s="18" t="n">
        <v>1.8</v>
      </c>
      <c r="M89" s="18" t="n">
        <v>36.57</v>
      </c>
      <c r="N89" s="18" t="n">
        <v>4.88</v>
      </c>
      <c r="O89" s="18" t="n">
        <v>70.25</v>
      </c>
      <c r="P89" s="37" t="n">
        <v>113.5</v>
      </c>
      <c r="Q89" s="18" t="n">
        <v>73.62</v>
      </c>
      <c r="R89" s="18" t="n">
        <v>12.5</v>
      </c>
      <c r="S89" s="18" t="n">
        <v>91.13</v>
      </c>
      <c r="T89" s="18" t="n">
        <v>60.7</v>
      </c>
      <c r="U89" s="37" t="n">
        <v>237.95</v>
      </c>
      <c r="V89" s="18" t="n">
        <v>123.47</v>
      </c>
      <c r="W89" s="18" t="n">
        <v>62.74</v>
      </c>
      <c r="X89" s="18" t="n">
        <v>29.68</v>
      </c>
      <c r="Y89" s="18" t="n">
        <v>61.65</v>
      </c>
      <c r="Z89" s="37" t="n">
        <v>277.54</v>
      </c>
      <c r="AA89" s="18" t="n">
        <v>46.47</v>
      </c>
      <c r="AB89" s="19" t="n">
        <v>19.66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CAPEX</t>
        </is>
      </c>
      <c r="E90" s="18" t="n">
        <v>1708.64</v>
      </c>
      <c r="F90" s="9" t="n"/>
      <c r="G90" s="18" t="n">
        <v>16389.08</v>
      </c>
      <c r="H90" s="18" t="n">
        <v>1936.63</v>
      </c>
      <c r="I90" s="18" t="n">
        <v>673.41</v>
      </c>
      <c r="J90" s="18" t="n">
        <v>155.56</v>
      </c>
      <c r="K90" s="37" t="n">
        <v>19154.68</v>
      </c>
      <c r="L90" s="18" t="n">
        <v>1.8</v>
      </c>
      <c r="M90" s="18" t="n">
        <v>36.57</v>
      </c>
      <c r="N90" s="18" t="n">
        <v>13.29</v>
      </c>
      <c r="O90" s="18" t="n">
        <v>70.25</v>
      </c>
      <c r="P90" s="37" t="n">
        <v>121.91</v>
      </c>
      <c r="Q90" s="18" t="n">
        <v>73.62</v>
      </c>
      <c r="R90" s="18" t="n">
        <v>12.5</v>
      </c>
      <c r="S90" s="18" t="n">
        <v>97.73</v>
      </c>
      <c r="T90" s="18" t="n">
        <v>60.7</v>
      </c>
      <c r="U90" s="37" t="n">
        <v>244.55</v>
      </c>
      <c r="V90" s="18" t="n">
        <v>123.47</v>
      </c>
      <c r="W90" s="18" t="n">
        <v>62.74</v>
      </c>
      <c r="X90" s="18" t="n">
        <v>29.68</v>
      </c>
      <c r="Y90" s="18" t="n">
        <v>61.65</v>
      </c>
      <c r="Z90" s="37" t="n">
        <v>277.54</v>
      </c>
      <c r="AA90" s="18" t="n">
        <v>47.03</v>
      </c>
      <c r="AB90" s="19" t="n">
        <v>19.66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무형자산의증가</t>
        </is>
      </c>
      <c r="E91" s="18" t="n">
        <v>49.5</v>
      </c>
      <c r="F91" s="9" t="n"/>
      <c r="G91" s="18" t="n">
        <v>0</v>
      </c>
      <c r="H91" s="18" t="n">
        <v>5.5</v>
      </c>
      <c r="I91" s="18" t="n">
        <v>0</v>
      </c>
      <c r="J91" s="18" t="n">
        <v>28.75</v>
      </c>
      <c r="K91" s="37" t="n">
        <v>34.25</v>
      </c>
      <c r="L91" s="18" t="n">
        <v>0</v>
      </c>
      <c r="M91" s="18" t="n">
        <v>0</v>
      </c>
      <c r="N91" s="18" t="n">
        <v>8.41</v>
      </c>
      <c r="O91" s="18" t="n">
        <v>0</v>
      </c>
      <c r="P91" s="37" t="n">
        <v>8.41</v>
      </c>
      <c r="T91" s="18" t="n">
        <v>0</v>
      </c>
      <c r="U91" s="9" t="n"/>
      <c r="Y91" s="18" t="n">
        <v>0</v>
      </c>
      <c r="Z91" s="9" t="n"/>
      <c r="AA91" s="18" t="n">
        <v>0.5600000000000001</v>
      </c>
      <c r="AB91" s="19" t="n">
        <v>0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재무활동으로인한현금흐름</t>
        </is>
      </c>
      <c r="E92" s="18" t="n">
        <v>4398.03</v>
      </c>
      <c r="F92" s="9" t="n"/>
      <c r="G92" s="18" t="n">
        <v>16160.48</v>
      </c>
      <c r="H92" s="18" t="n">
        <v>-288.55</v>
      </c>
      <c r="I92" s="18" t="n">
        <v>501.91</v>
      </c>
      <c r="J92" s="18" t="n">
        <v>-233.49</v>
      </c>
      <c r="K92" s="37" t="n">
        <v>16140.35</v>
      </c>
      <c r="L92" s="18" t="n">
        <v>-107.59</v>
      </c>
      <c r="M92" s="18" t="n">
        <v>-808.55</v>
      </c>
      <c r="N92" s="18" t="n">
        <v>-110.39</v>
      </c>
      <c r="O92" s="18" t="n">
        <v>-110.44</v>
      </c>
      <c r="P92" s="37" t="n">
        <v>-1136.97</v>
      </c>
      <c r="Q92" s="18" t="n">
        <v>552.6900000000001</v>
      </c>
      <c r="R92" s="18" t="n">
        <v>2328.26</v>
      </c>
      <c r="S92" s="18" t="n">
        <v>471.08</v>
      </c>
      <c r="T92" s="18" t="n">
        <v>-901.2</v>
      </c>
      <c r="U92" s="37" t="n">
        <v>2450.83</v>
      </c>
      <c r="V92" s="18" t="n">
        <v>-592.3099999999999</v>
      </c>
      <c r="W92" s="18" t="n">
        <v>1077.51</v>
      </c>
      <c r="X92" s="18" t="n">
        <v>1494.3</v>
      </c>
      <c r="Y92" s="18" t="n">
        <v>-5.37</v>
      </c>
      <c r="Z92" s="37" t="n">
        <v>1974.13</v>
      </c>
      <c r="AA92" s="18" t="n">
        <v>-5.47</v>
      </c>
      <c r="AB92" s="19" t="n">
        <v>-4.52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장기차입금의증가</t>
        </is>
      </c>
      <c r="E93" s="18" t="n">
        <v>5000</v>
      </c>
      <c r="F93" s="9" t="n"/>
      <c r="G93" s="18" t="n">
        <v>8500</v>
      </c>
      <c r="H93" s="18" t="n">
        <v>0</v>
      </c>
      <c r="I93" s="18" t="n">
        <v>0</v>
      </c>
      <c r="J93" s="18" t="n">
        <v>0</v>
      </c>
      <c r="K93" s="37" t="n">
        <v>8500</v>
      </c>
      <c r="L93" s="18" t="n">
        <v>0</v>
      </c>
      <c r="M93" s="18" t="n">
        <v>0</v>
      </c>
      <c r="N93" s="18" t="n">
        <v>0</v>
      </c>
      <c r="O93" s="18" t="n">
        <v>0</v>
      </c>
      <c r="P93" s="37" t="n">
        <v>0</v>
      </c>
      <c r="Q93" s="18" t="n">
        <v>8000</v>
      </c>
      <c r="R93" s="18" t="n">
        <v>0</v>
      </c>
      <c r="S93" s="18" t="n">
        <v>9800</v>
      </c>
      <c r="T93" s="18" t="n">
        <v>7700</v>
      </c>
      <c r="U93" s="37" t="n">
        <v>25500</v>
      </c>
      <c r="V93" s="18" t="n">
        <v>0</v>
      </c>
      <c r="W93" s="18" t="n">
        <v>0</v>
      </c>
      <c r="X93" s="18" t="n">
        <v>1500</v>
      </c>
      <c r="Y93" s="18" t="n">
        <v>0</v>
      </c>
      <c r="Z93" s="37" t="n">
        <v>1500</v>
      </c>
      <c r="AA93" s="18" t="n">
        <v>2000</v>
      </c>
      <c r="AB93" s="19" t="n">
        <v>0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리스부채의상환</t>
        </is>
      </c>
      <c r="E94" s="18" t="n">
        <v>471.77</v>
      </c>
      <c r="F94" s="9" t="n"/>
      <c r="G94" s="18" t="n">
        <v>210.74</v>
      </c>
      <c r="H94" s="18" t="n">
        <v>202.33</v>
      </c>
      <c r="I94" s="18" t="n">
        <v>198.1</v>
      </c>
      <c r="J94" s="18" t="n">
        <v>233.49</v>
      </c>
      <c r="K94" s="37" t="n">
        <v>844.66</v>
      </c>
      <c r="L94" s="18" t="n">
        <v>107.59</v>
      </c>
      <c r="M94" s="18" t="n">
        <v>108.55</v>
      </c>
      <c r="N94" s="18" t="n">
        <v>110.39</v>
      </c>
      <c r="O94" s="18" t="n">
        <v>110.44</v>
      </c>
      <c r="P94" s="37" t="n">
        <v>436.97</v>
      </c>
      <c r="Q94" s="18" t="n">
        <v>108.47</v>
      </c>
      <c r="R94" s="18" t="n">
        <v>109.09</v>
      </c>
      <c r="S94" s="18" t="n">
        <v>109.87</v>
      </c>
      <c r="U94" s="9" t="n"/>
      <c r="V94" s="18" t="n">
        <v>8.99</v>
      </c>
      <c r="W94" s="18" t="n">
        <v>5.81</v>
      </c>
      <c r="X94" s="18" t="n">
        <v>5.7</v>
      </c>
      <c r="Y94" s="18" t="n">
        <v>5.37</v>
      </c>
      <c r="Z94" s="37" t="n">
        <v>25.87</v>
      </c>
      <c r="AA94" s="18" t="n">
        <v>5.47</v>
      </c>
      <c r="AB94" s="19" t="n">
        <v>4.52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단기차입금의감소</t>
        </is>
      </c>
      <c r="E95" s="18" t="n">
        <v>0</v>
      </c>
      <c r="F95" s="9" t="n"/>
      <c r="G95" s="18" t="n">
        <v>0</v>
      </c>
      <c r="H95" s="18" t="n">
        <v>0</v>
      </c>
      <c r="I95" s="18" t="n">
        <v>0</v>
      </c>
      <c r="J95" s="18" t="n">
        <v>700</v>
      </c>
      <c r="K95" s="37" t="n">
        <v>700</v>
      </c>
      <c r="L95" s="18" t="n">
        <v>0</v>
      </c>
      <c r="M95" s="18" t="n">
        <v>700</v>
      </c>
      <c r="N95" s="18" t="n">
        <v>0</v>
      </c>
      <c r="O95" s="18" t="n">
        <v>0</v>
      </c>
      <c r="P95" s="37" t="n">
        <v>700</v>
      </c>
      <c r="Q95" s="18" t="n">
        <v>8000</v>
      </c>
      <c r="R95" s="18" t="n">
        <v>0</v>
      </c>
      <c r="S95" s="18" t="n">
        <v>4000</v>
      </c>
      <c r="T95" s="18" t="n">
        <v>1100</v>
      </c>
      <c r="U95" s="37" t="n">
        <v>13100</v>
      </c>
      <c r="V95" s="18" t="n">
        <v>800</v>
      </c>
      <c r="W95" s="18" t="n">
        <v>700</v>
      </c>
      <c r="X95" s="18" t="n">
        <v>0</v>
      </c>
      <c r="Y95" s="18" t="n">
        <v>0</v>
      </c>
      <c r="Z95" s="37" t="n">
        <v>1500</v>
      </c>
      <c r="AA95" s="18" t="n">
        <v>2000</v>
      </c>
      <c r="AB95" s="19" t="n">
        <v>0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유동성장기부채의감소</t>
        </is>
      </c>
      <c r="E96" s="18" t="n">
        <v>128.13</v>
      </c>
      <c r="F96" s="9" t="n"/>
      <c r="G96" s="18" t="n">
        <v>128.78</v>
      </c>
      <c r="H96" s="18" t="n">
        <v>86.20999999999999</v>
      </c>
      <c r="I96" s="18" t="n">
        <v>0</v>
      </c>
      <c r="J96" s="18" t="n">
        <v>0</v>
      </c>
      <c r="K96" s="37" t="n">
        <v>214.99</v>
      </c>
      <c r="L96" s="18" t="n">
        <v>0</v>
      </c>
      <c r="M96" s="18" t="n">
        <v>1600</v>
      </c>
      <c r="N96" s="18" t="n">
        <v>0</v>
      </c>
      <c r="O96" s="18" t="n">
        <v>0</v>
      </c>
      <c r="P96" s="37" t="n">
        <v>1600</v>
      </c>
      <c r="S96" s="18" t="n">
        <v>0</v>
      </c>
      <c r="T96" s="18" t="n">
        <v>1896.04</v>
      </c>
      <c r="U96" s="9" t="n"/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장기차입금의감소</t>
        </is>
      </c>
      <c r="E97" s="18" t="n">
        <v>0</v>
      </c>
      <c r="F97" s="9" t="n"/>
      <c r="G97" s="18" t="n">
        <v>0</v>
      </c>
      <c r="H97" s="18" t="n">
        <v>0</v>
      </c>
      <c r="I97" s="18" t="n">
        <v>0</v>
      </c>
      <c r="J97" s="18" t="n">
        <v>0</v>
      </c>
      <c r="K97" s="37" t="n">
        <v>0</v>
      </c>
      <c r="L97" s="18" t="n">
        <v>0</v>
      </c>
      <c r="M97" s="18" t="n">
        <v>0</v>
      </c>
      <c r="P97" s="9" t="n"/>
      <c r="Q97" s="18" t="n">
        <v>208.41</v>
      </c>
      <c r="R97" s="18" t="n">
        <v>562.65</v>
      </c>
      <c r="S97" s="18" t="n">
        <v>4937.42</v>
      </c>
      <c r="T97" s="18" t="n">
        <v>5895.48</v>
      </c>
      <c r="U97" s="37" t="n">
        <v>11603.96</v>
      </c>
      <c r="V97" s="18" t="n">
        <v>0</v>
      </c>
      <c r="W97" s="18" t="n">
        <v>0</v>
      </c>
      <c r="X97" s="18" t="n">
        <v>0</v>
      </c>
      <c r="Y97" s="18" t="n">
        <v>0</v>
      </c>
      <c r="Z97" s="37" t="n">
        <v>0</v>
      </c>
      <c r="AB97" s="5" t="n"/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단기차입금의증가</t>
        </is>
      </c>
      <c r="E98" s="18" t="n">
        <v>0</v>
      </c>
      <c r="F98" s="9" t="n"/>
      <c r="G98" s="18" t="n">
        <v>8000</v>
      </c>
      <c r="H98" s="18" t="n">
        <v>0</v>
      </c>
      <c r="I98" s="18" t="n">
        <v>700</v>
      </c>
      <c r="J98" s="18" t="n">
        <v>700</v>
      </c>
      <c r="K98" s="37" t="n">
        <v>9400</v>
      </c>
      <c r="L98" s="18" t="n">
        <v>0</v>
      </c>
      <c r="M98" s="18" t="n">
        <v>1600</v>
      </c>
      <c r="N98" s="18" t="n">
        <v>0</v>
      </c>
      <c r="O98" s="18" t="n">
        <v>0</v>
      </c>
      <c r="P98" s="37" t="n">
        <v>1600</v>
      </c>
      <c r="S98" s="18" t="n">
        <v>0</v>
      </c>
      <c r="T98" s="18" t="n">
        <v>0</v>
      </c>
      <c r="U98" s="9" t="n"/>
      <c r="X98" s="18" t="n">
        <v>0</v>
      </c>
      <c r="Y98" s="18" t="n">
        <v>0</v>
      </c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현금및현금성자산의증감</t>
        </is>
      </c>
      <c r="E99" s="18" t="n">
        <v>6515.5</v>
      </c>
      <c r="F99" s="9" t="n"/>
      <c r="G99" s="18" t="n">
        <v>714.59</v>
      </c>
      <c r="H99" s="18" t="n">
        <v>-6990.35</v>
      </c>
      <c r="I99" s="18" t="n">
        <v>1791.02</v>
      </c>
      <c r="J99" s="18" t="n">
        <v>847.8099999999999</v>
      </c>
      <c r="K99" s="37" t="n">
        <v>-3636.93</v>
      </c>
      <c r="L99" s="18" t="n">
        <v>5079.57</v>
      </c>
      <c r="M99" s="18" t="n">
        <v>2736.06</v>
      </c>
      <c r="N99" s="18" t="n">
        <v>3465.68</v>
      </c>
      <c r="O99" s="18" t="n">
        <v>467.51</v>
      </c>
      <c r="P99" s="37" t="n">
        <v>11748.82</v>
      </c>
      <c r="Q99" s="18" t="n">
        <v>4604.57</v>
      </c>
      <c r="R99" s="18" t="n">
        <v>2053.33</v>
      </c>
      <c r="S99" s="18" t="n">
        <v>1982.39</v>
      </c>
      <c r="T99" s="18" t="n">
        <v>6652.21</v>
      </c>
      <c r="U99" s="37" t="n">
        <v>15292.5</v>
      </c>
      <c r="V99" s="18" t="n">
        <v>-2569.93</v>
      </c>
      <c r="W99" s="18" t="n">
        <v>702.9299999999999</v>
      </c>
      <c r="X99" s="18" t="n">
        <v>-1803.02</v>
      </c>
      <c r="Y99" s="18" t="n">
        <v>1637.24</v>
      </c>
      <c r="Z99" s="37" t="n">
        <v>-2032.78</v>
      </c>
      <c r="AA99" s="18" t="n">
        <v>-1642.19</v>
      </c>
      <c r="AB99" s="19" t="n">
        <v>-2900.88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기말현금및현금성자산</t>
        </is>
      </c>
      <c r="E100" s="18" t="n">
        <v>6515.49</v>
      </c>
      <c r="F100" s="9" t="n"/>
      <c r="G100" s="18" t="n">
        <v>10467.24</v>
      </c>
      <c r="H100" s="18" t="n">
        <v>-6990.35</v>
      </c>
      <c r="I100" s="18" t="n">
        <v>1791.03</v>
      </c>
      <c r="J100" s="18" t="n">
        <v>847.8</v>
      </c>
      <c r="K100" s="37" t="n">
        <v>6115.72</v>
      </c>
      <c r="L100" s="18" t="n">
        <v>11195.29</v>
      </c>
      <c r="M100" s="18" t="n">
        <v>2736.06</v>
      </c>
      <c r="N100" s="18" t="n">
        <v>3465.69</v>
      </c>
      <c r="O100" s="18" t="n">
        <v>467.5</v>
      </c>
      <c r="P100" s="37" t="n">
        <v>17864.54</v>
      </c>
      <c r="Q100" s="18" t="n">
        <v>22469.11</v>
      </c>
      <c r="R100" s="18" t="n">
        <v>2053.33</v>
      </c>
      <c r="S100" s="18" t="n">
        <v>1982.39</v>
      </c>
      <c r="T100" s="18" t="n">
        <v>6652.21</v>
      </c>
      <c r="U100" s="37" t="n">
        <v>33157.04</v>
      </c>
      <c r="V100" s="18" t="n">
        <v>30587.1</v>
      </c>
      <c r="W100" s="18" t="n">
        <v>702.9400000000001</v>
      </c>
      <c r="X100" s="18" t="n">
        <v>-1803.02</v>
      </c>
      <c r="Y100" s="18" t="n">
        <v>1637.23</v>
      </c>
      <c r="Z100" s="37" t="n">
        <v>31124.25</v>
      </c>
      <c r="AA100" s="18" t="n">
        <v>29482.06</v>
      </c>
      <c r="AB100" s="19" t="n">
        <v>-2900.88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이자수취(CF)</t>
        </is>
      </c>
      <c r="F101" s="9" t="n"/>
      <c r="K101" s="9" t="n"/>
      <c r="P101" s="9" t="n"/>
      <c r="Q101" s="18" t="n">
        <v>358.89</v>
      </c>
      <c r="U101" s="9" t="n"/>
      <c r="V101" s="18" t="n">
        <v>384.19</v>
      </c>
      <c r="W101" s="18" t="n">
        <v>77.23</v>
      </c>
      <c r="X101" s="18" t="n">
        <v>373.31</v>
      </c>
      <c r="Y101" s="18" t="n">
        <v>44.75</v>
      </c>
      <c r="Z101" s="37" t="n">
        <v>879.48</v>
      </c>
      <c r="AA101" s="18" t="n">
        <v>397.39</v>
      </c>
      <c r="AB101" s="19" t="n">
        <v>22.53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자기주식의취득</t>
        </is>
      </c>
      <c r="F102" s="9" t="n"/>
      <c r="K102" s="9" t="n"/>
      <c r="P102" s="9" t="n"/>
      <c r="U102" s="9" t="n"/>
      <c r="Y102" s="18" t="n">
        <v>0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일승(별)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20121.76</v>
      </c>
      <c r="F5" s="37" t="n">
        <v>20121.76</v>
      </c>
      <c r="G5" s="18" t="n">
        <v>20938.96</v>
      </c>
      <c r="H5" s="18" t="n">
        <v>18646.2</v>
      </c>
      <c r="I5" s="18" t="n">
        <v>22061.71</v>
      </c>
      <c r="J5" s="18" t="n">
        <v>19024.89</v>
      </c>
      <c r="K5" s="37" t="n">
        <v>19024.89</v>
      </c>
      <c r="L5" s="18" t="n">
        <v>16863.73</v>
      </c>
      <c r="M5" s="18" t="n">
        <v>16221.08</v>
      </c>
      <c r="N5" s="18" t="n">
        <v>15984.3</v>
      </c>
      <c r="O5" s="18" t="n">
        <v>17869.75</v>
      </c>
      <c r="P5" s="37" t="n">
        <v>17869.75</v>
      </c>
      <c r="Q5" s="18" t="n">
        <v>17980.43</v>
      </c>
      <c r="R5" s="18" t="n">
        <v>28086.39</v>
      </c>
      <c r="S5" s="18" t="n">
        <v>31014.35</v>
      </c>
      <c r="T5" s="18" t="n">
        <v>31528.22</v>
      </c>
      <c r="U5" s="37" t="n">
        <v>31528.22</v>
      </c>
      <c r="V5" s="18" t="n">
        <v>29908.17</v>
      </c>
      <c r="W5" s="18" t="n">
        <v>30831.2</v>
      </c>
      <c r="X5" s="18" t="n">
        <v>33107.67</v>
      </c>
      <c r="Y5" s="18" t="n">
        <v>34319.97</v>
      </c>
      <c r="Z5" s="37" t="n">
        <v>34319.97</v>
      </c>
      <c r="AA5" s="18" t="n">
        <v>36445.69</v>
      </c>
      <c r="AB5" s="19" t="n">
        <v>40435.75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5896.77</v>
      </c>
      <c r="F6" s="37" t="n">
        <v>5896.77</v>
      </c>
      <c r="G6" s="18" t="n">
        <v>5308.01</v>
      </c>
      <c r="H6" s="18" t="n">
        <v>1323.66</v>
      </c>
      <c r="I6" s="18" t="n">
        <v>2010.13</v>
      </c>
      <c r="J6" s="18" t="n">
        <v>1852.51</v>
      </c>
      <c r="K6" s="37" t="n">
        <v>1852.51</v>
      </c>
      <c r="L6" s="18" t="n">
        <v>5387.86</v>
      </c>
      <c r="M6" s="18" t="n">
        <v>6606.82</v>
      </c>
      <c r="N6" s="18" t="n">
        <v>8894.299999999999</v>
      </c>
      <c r="O6" s="18" t="n">
        <v>9045.43</v>
      </c>
      <c r="P6" s="37" t="n">
        <v>9045.43</v>
      </c>
      <c r="Q6" s="18" t="n">
        <v>10311.27</v>
      </c>
      <c r="R6" s="18" t="n">
        <v>22206.08</v>
      </c>
      <c r="S6" s="18" t="n">
        <v>23889.05</v>
      </c>
      <c r="T6" s="18" t="n">
        <v>28664.16</v>
      </c>
      <c r="U6" s="37" t="n">
        <v>28664.16</v>
      </c>
      <c r="V6" s="18" t="n">
        <v>26661.87</v>
      </c>
      <c r="W6" s="18" t="n">
        <v>27196.78</v>
      </c>
      <c r="X6" s="18" t="n">
        <v>23491.48</v>
      </c>
      <c r="Y6" s="18" t="n">
        <v>18112.39</v>
      </c>
      <c r="Z6" s="37" t="n">
        <v>18112.39</v>
      </c>
      <c r="AA6" s="18" t="n">
        <v>14592.01</v>
      </c>
      <c r="AB6" s="19" t="n">
        <v>8446.67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2001.41</v>
      </c>
      <c r="F7" s="37" t="n">
        <v>2001.41</v>
      </c>
      <c r="G7" s="18" t="n">
        <v>2000</v>
      </c>
      <c r="H7" s="18" t="n">
        <v>2000</v>
      </c>
      <c r="I7" s="18" t="n">
        <v>2005.2</v>
      </c>
      <c r="J7" s="18" t="n">
        <v>2003.54</v>
      </c>
      <c r="K7" s="37" t="n">
        <v>2003.54</v>
      </c>
      <c r="L7" s="18" t="n">
        <v>2009.17</v>
      </c>
      <c r="M7" s="18" t="n">
        <v>2001.56</v>
      </c>
      <c r="N7" s="18" t="n">
        <v>2000</v>
      </c>
      <c r="O7" s="18" t="n">
        <v>2001.53</v>
      </c>
      <c r="P7" s="37" t="n">
        <v>2001.53</v>
      </c>
      <c r="Q7" s="18" t="n">
        <v>2001.6</v>
      </c>
      <c r="R7" s="18" t="n">
        <v>2000</v>
      </c>
      <c r="S7" s="18" t="n">
        <v>2000</v>
      </c>
      <c r="T7" s="18" t="n">
        <v>0</v>
      </c>
      <c r="U7" s="37" t="n">
        <v>0</v>
      </c>
      <c r="V7" s="18" t="n">
        <v>0</v>
      </c>
      <c r="W7" s="18" t="n">
        <v>928.86</v>
      </c>
      <c r="X7" s="18" t="n">
        <v>7269.48</v>
      </c>
      <c r="Y7" s="18" t="n">
        <v>12320.39</v>
      </c>
      <c r="Z7" s="37" t="n">
        <v>12320.39</v>
      </c>
      <c r="AA7" s="18" t="n">
        <v>17982.16</v>
      </c>
      <c r="AB7" s="19" t="n">
        <v>27110.5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2001.41</v>
      </c>
      <c r="F8" s="37" t="n">
        <v>2001.41</v>
      </c>
      <c r="G8" s="18" t="n">
        <v>2000</v>
      </c>
      <c r="H8" s="18" t="n">
        <v>2000</v>
      </c>
      <c r="I8" s="18" t="n">
        <v>2005.2</v>
      </c>
      <c r="J8" s="18" t="n">
        <v>2003.54</v>
      </c>
      <c r="K8" s="37" t="n">
        <v>2003.54</v>
      </c>
      <c r="L8" s="18" t="n">
        <v>2009.17</v>
      </c>
      <c r="M8" s="18" t="n">
        <v>2001.56</v>
      </c>
      <c r="N8" s="18" t="n">
        <v>2000</v>
      </c>
      <c r="O8" s="18" t="n">
        <v>2001.53</v>
      </c>
      <c r="P8" s="37" t="n">
        <v>2001.53</v>
      </c>
      <c r="Q8" s="18" t="n">
        <v>2001.6</v>
      </c>
      <c r="R8" s="18" t="n">
        <v>2000</v>
      </c>
      <c r="S8" s="18" t="n">
        <v>2000</v>
      </c>
      <c r="T8" s="18" t="n">
        <v>0</v>
      </c>
      <c r="U8" s="37" t="n">
        <v>0</v>
      </c>
      <c r="V8" s="18" t="n">
        <v>0</v>
      </c>
      <c r="W8" s="18" t="n">
        <v>928.86</v>
      </c>
      <c r="X8" s="18" t="n">
        <v>7269.48</v>
      </c>
      <c r="Y8" s="18" t="n">
        <v>12320.39</v>
      </c>
      <c r="Z8" s="37" t="n">
        <v>12320.39</v>
      </c>
      <c r="AA8" s="18" t="n">
        <v>17982.16</v>
      </c>
      <c r="AB8" s="19" t="n">
        <v>27110.5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5555.08</v>
      </c>
      <c r="F9" s="37" t="n">
        <v>5555.08</v>
      </c>
      <c r="G9" s="18" t="n">
        <v>7473.07</v>
      </c>
      <c r="H9" s="18" t="n">
        <v>6053.97</v>
      </c>
      <c r="I9" s="18" t="n">
        <v>7031.84</v>
      </c>
      <c r="J9" s="18" t="n">
        <v>9447.040000000001</v>
      </c>
      <c r="K9" s="37" t="n">
        <v>9447.040000000001</v>
      </c>
      <c r="L9" s="18" t="n">
        <v>5876.04</v>
      </c>
      <c r="M9" s="18" t="n">
        <v>5053.28</v>
      </c>
      <c r="N9" s="18" t="n">
        <v>2575.79</v>
      </c>
      <c r="O9" s="18" t="n">
        <v>4696.64</v>
      </c>
      <c r="P9" s="37" t="n">
        <v>4696.64</v>
      </c>
      <c r="Q9" s="18" t="n">
        <v>2554.34</v>
      </c>
      <c r="R9" s="18" t="n">
        <v>1515.99</v>
      </c>
      <c r="S9" s="18" t="n">
        <v>2632.46</v>
      </c>
      <c r="T9" s="18" t="n">
        <v>1910.85</v>
      </c>
      <c r="U9" s="37" t="n">
        <v>1910.85</v>
      </c>
      <c r="V9" s="18" t="n">
        <v>1789.53</v>
      </c>
      <c r="W9" s="18" t="n">
        <v>1595.96</v>
      </c>
      <c r="X9" s="18" t="n">
        <v>1102.89</v>
      </c>
      <c r="Y9" s="18" t="n">
        <v>1879.98</v>
      </c>
      <c r="Z9" s="37" t="n">
        <v>1879.98</v>
      </c>
      <c r="AA9" s="18" t="n">
        <v>1809.06</v>
      </c>
      <c r="AB9" s="19" t="n">
        <v>1854.05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1962.36</v>
      </c>
      <c r="F10" s="37" t="n">
        <v>1962.36</v>
      </c>
      <c r="G10" s="18" t="n">
        <v>1165.39</v>
      </c>
      <c r="H10" s="18" t="n">
        <v>987.29</v>
      </c>
      <c r="I10" s="18" t="n">
        <v>1265.16</v>
      </c>
      <c r="J10" s="18" t="n">
        <v>391.95</v>
      </c>
      <c r="K10" s="37" t="n">
        <v>391.95</v>
      </c>
      <c r="L10" s="18" t="n">
        <v>403.24</v>
      </c>
      <c r="M10" s="18" t="n">
        <v>406.02</v>
      </c>
      <c r="N10" s="18" t="n">
        <v>0</v>
      </c>
      <c r="O10" s="18" t="n">
        <v>190.13</v>
      </c>
      <c r="P10" s="37" t="n">
        <v>190.13</v>
      </c>
      <c r="Q10" s="18" t="n">
        <v>193.98</v>
      </c>
      <c r="R10" s="18" t="n">
        <v>192.44</v>
      </c>
      <c r="S10" s="18" t="n">
        <v>192.44</v>
      </c>
      <c r="T10" s="18" t="n">
        <v>192.44</v>
      </c>
      <c r="U10" s="37" t="n">
        <v>192.44</v>
      </c>
      <c r="V10" s="18" t="n">
        <v>192.44</v>
      </c>
      <c r="W10" s="18" t="n">
        <v>0</v>
      </c>
      <c r="X10" s="18" t="n">
        <v>0</v>
      </c>
      <c r="Y10" s="18" t="n">
        <v>0</v>
      </c>
      <c r="Z10" s="37" t="n">
        <v>0</v>
      </c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510.42</v>
      </c>
      <c r="F11" s="37" t="n">
        <v>510.42</v>
      </c>
      <c r="G11" s="18" t="n">
        <v>396.32</v>
      </c>
      <c r="H11" s="18" t="n">
        <v>694.8200000000001</v>
      </c>
      <c r="I11" s="18" t="n">
        <v>281.01</v>
      </c>
      <c r="J11" s="18" t="n">
        <v>82.81</v>
      </c>
      <c r="K11" s="37" t="n">
        <v>82.81</v>
      </c>
      <c r="L11" s="18" t="n">
        <v>56.81</v>
      </c>
      <c r="M11" s="18" t="n">
        <v>648.24</v>
      </c>
      <c r="N11" s="18" t="n">
        <v>704.8</v>
      </c>
      <c r="O11" s="18" t="n">
        <v>39.34</v>
      </c>
      <c r="P11" s="37" t="n">
        <v>39.34</v>
      </c>
      <c r="Q11" s="18" t="n">
        <v>122.76</v>
      </c>
      <c r="R11" s="18" t="n">
        <v>106.38</v>
      </c>
      <c r="S11" s="18" t="n">
        <v>55.55</v>
      </c>
      <c r="T11" s="18" t="n">
        <v>2.64</v>
      </c>
      <c r="U11" s="37" t="n">
        <v>2.64</v>
      </c>
      <c r="V11" s="18" t="n">
        <v>7.4</v>
      </c>
      <c r="W11" s="18" t="n">
        <v>3.44</v>
      </c>
      <c r="X11" s="18" t="n">
        <v>40.94</v>
      </c>
      <c r="Y11" s="18" t="n">
        <v>67.98</v>
      </c>
      <c r="Z11" s="37" t="n">
        <v>67.98</v>
      </c>
      <c r="AA11" s="18" t="n">
        <v>1.94</v>
      </c>
      <c r="AB11" s="19" t="n">
        <v>3.48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4195.73</v>
      </c>
      <c r="F12" s="37" t="n">
        <v>4195.73</v>
      </c>
      <c r="G12" s="18" t="n">
        <v>4596.17</v>
      </c>
      <c r="H12" s="18" t="n">
        <v>7586.46</v>
      </c>
      <c r="I12" s="18" t="n">
        <v>9468.370000000001</v>
      </c>
      <c r="J12" s="18" t="n">
        <v>5247.04</v>
      </c>
      <c r="K12" s="37" t="n">
        <v>5247.04</v>
      </c>
      <c r="L12" s="18" t="n">
        <v>3130.61</v>
      </c>
      <c r="M12" s="18" t="n">
        <v>1505.16</v>
      </c>
      <c r="N12" s="18" t="n">
        <v>1726.75</v>
      </c>
      <c r="O12" s="18" t="n">
        <v>1896.69</v>
      </c>
      <c r="P12" s="37" t="n">
        <v>1896.69</v>
      </c>
      <c r="Q12" s="18" t="n">
        <v>2796.48</v>
      </c>
      <c r="R12" s="18" t="n">
        <v>2065.5</v>
      </c>
      <c r="S12" s="18" t="n">
        <v>2244.84</v>
      </c>
      <c r="T12" s="18" t="n">
        <v>758.13</v>
      </c>
      <c r="U12" s="37" t="n">
        <v>758.13</v>
      </c>
      <c r="V12" s="18" t="n">
        <v>1256.93</v>
      </c>
      <c r="W12" s="18" t="n">
        <v>1106.16</v>
      </c>
      <c r="X12" s="18" t="n">
        <v>1202.88</v>
      </c>
      <c r="Y12" s="18" t="n">
        <v>1939.23</v>
      </c>
      <c r="Z12" s="37" t="n">
        <v>1939.23</v>
      </c>
      <c r="AA12" s="18" t="n">
        <v>2060.52</v>
      </c>
      <c r="AB12" s="19" t="n">
        <v>2034.8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28578.34</v>
      </c>
      <c r="F13" s="37" t="n">
        <v>28578.34</v>
      </c>
      <c r="G13" s="18" t="n">
        <v>38137.48</v>
      </c>
      <c r="H13" s="18" t="n">
        <v>39578.59</v>
      </c>
      <c r="I13" s="18" t="n">
        <v>40327.8</v>
      </c>
      <c r="J13" s="18" t="n">
        <v>39561.82</v>
      </c>
      <c r="K13" s="37" t="n">
        <v>39561.82</v>
      </c>
      <c r="L13" s="18" t="n">
        <v>39469.14</v>
      </c>
      <c r="M13" s="18" t="n">
        <v>40751.38</v>
      </c>
      <c r="N13" s="18" t="n">
        <v>39996.17</v>
      </c>
      <c r="O13" s="18" t="n">
        <v>39942.52</v>
      </c>
      <c r="P13" s="37" t="n">
        <v>39942.52</v>
      </c>
      <c r="Q13" s="18" t="n">
        <v>39581.09</v>
      </c>
      <c r="R13" s="18" t="n">
        <v>35954.91</v>
      </c>
      <c r="S13" s="18" t="n">
        <v>35431.29</v>
      </c>
      <c r="T13" s="18" t="n">
        <v>35027.89</v>
      </c>
      <c r="U13" s="37" t="n">
        <v>35027.89</v>
      </c>
      <c r="V13" s="18" t="n">
        <v>35379.05</v>
      </c>
      <c r="W13" s="18" t="n">
        <v>35667.69</v>
      </c>
      <c r="X13" s="18" t="n">
        <v>35906.01</v>
      </c>
      <c r="Y13" s="18" t="n">
        <v>36051.02</v>
      </c>
      <c r="Z13" s="37" t="n">
        <v>36051.02</v>
      </c>
      <c r="AA13" s="18" t="n">
        <v>36546.47</v>
      </c>
      <c r="AB13" s="19" t="n">
        <v>37323.89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655.6900000000001</v>
      </c>
      <c r="F14" s="37" t="n">
        <v>655.6900000000001</v>
      </c>
      <c r="G14" s="18" t="n">
        <v>654.0700000000001</v>
      </c>
      <c r="H14" s="18" t="n">
        <v>214.28</v>
      </c>
      <c r="I14" s="18" t="n">
        <v>107.49</v>
      </c>
      <c r="J14" s="18" t="n">
        <v>108.7</v>
      </c>
      <c r="K14" s="37" t="n">
        <v>108.7</v>
      </c>
      <c r="L14" s="18" t="n">
        <v>11.4</v>
      </c>
      <c r="M14" s="18" t="n">
        <v>6.4</v>
      </c>
      <c r="N14" s="18" t="n">
        <v>6.4</v>
      </c>
      <c r="O14" s="18" t="n">
        <v>6.4</v>
      </c>
      <c r="P14" s="37" t="n">
        <v>6.4</v>
      </c>
      <c r="Q14" s="18" t="n">
        <v>5.1</v>
      </c>
      <c r="R14" s="18" t="n">
        <v>4.88</v>
      </c>
      <c r="S14" s="18" t="n">
        <v>4.88</v>
      </c>
      <c r="T14" s="18" t="n">
        <v>4.88</v>
      </c>
      <c r="U14" s="37" t="n">
        <v>4.88</v>
      </c>
      <c r="V14" s="18" t="n">
        <v>2.18</v>
      </c>
      <c r="W14" s="18" t="n">
        <v>2.18</v>
      </c>
      <c r="X14" s="18" t="n">
        <v>2.18</v>
      </c>
      <c r="Y14" s="18" t="n">
        <v>2.18</v>
      </c>
      <c r="Z14" s="37" t="n">
        <v>2.18</v>
      </c>
      <c r="AA14" s="18" t="n">
        <v>0.18</v>
      </c>
      <c r="AB14" s="19" t="n">
        <v>0.18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6372.58</v>
      </c>
      <c r="F15" s="37" t="n">
        <v>6372.58</v>
      </c>
      <c r="G15" s="18" t="n">
        <v>6994.51</v>
      </c>
      <c r="H15" s="18" t="n">
        <v>7632.49</v>
      </c>
      <c r="I15" s="18" t="n">
        <v>8184.92</v>
      </c>
      <c r="J15" s="18" t="n">
        <v>7555.39</v>
      </c>
      <c r="K15" s="37" t="n">
        <v>7555.39</v>
      </c>
      <c r="L15" s="18" t="n">
        <v>7807.59</v>
      </c>
      <c r="M15" s="18" t="n">
        <v>9129.1</v>
      </c>
      <c r="N15" s="18" t="n">
        <v>8443.620000000001</v>
      </c>
      <c r="O15" s="18" t="n">
        <v>8457.780000000001</v>
      </c>
      <c r="P15" s="37" t="n">
        <v>8457.780000000001</v>
      </c>
      <c r="Q15" s="18" t="n">
        <v>8147.7</v>
      </c>
      <c r="R15" s="18" t="n">
        <v>7532.95</v>
      </c>
      <c r="S15" s="18" t="n">
        <v>7040.29</v>
      </c>
      <c r="T15" s="18" t="n">
        <v>6677.15</v>
      </c>
      <c r="U15" s="37" t="n">
        <v>6677.15</v>
      </c>
      <c r="V15" s="18" t="n">
        <v>7074.82</v>
      </c>
      <c r="W15" s="18" t="n">
        <v>7410.62</v>
      </c>
      <c r="X15" s="18" t="n">
        <v>7691.98</v>
      </c>
      <c r="Y15" s="18" t="n">
        <v>7885.09</v>
      </c>
      <c r="Z15" s="37" t="n">
        <v>7885.09</v>
      </c>
      <c r="AA15" s="18" t="n">
        <v>8427.370000000001</v>
      </c>
      <c r="AB15" s="19" t="n">
        <v>10213.67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16638.36</v>
      </c>
      <c r="F16" s="37" t="n">
        <v>16638.36</v>
      </c>
      <c r="G16" s="18" t="n">
        <v>17260.29</v>
      </c>
      <c r="H16" s="18" t="n">
        <v>17898.27</v>
      </c>
      <c r="I16" s="18" t="n">
        <v>18450.7</v>
      </c>
      <c r="J16" s="18" t="n">
        <v>17821.17</v>
      </c>
      <c r="K16" s="37" t="n">
        <v>17821.17</v>
      </c>
      <c r="L16" s="18" t="n">
        <v>18073.37</v>
      </c>
      <c r="M16" s="18" t="n">
        <v>19394.88</v>
      </c>
      <c r="N16" s="18" t="n">
        <v>18709.4</v>
      </c>
      <c r="O16" s="18" t="n">
        <v>18723.56</v>
      </c>
      <c r="P16" s="37" t="n">
        <v>18723.56</v>
      </c>
      <c r="Q16" s="18" t="n">
        <v>18413.48</v>
      </c>
      <c r="R16" s="18" t="n">
        <v>17798.73</v>
      </c>
      <c r="S16" s="18" t="n">
        <v>17306.07</v>
      </c>
      <c r="T16" s="18" t="n">
        <v>16942.93</v>
      </c>
      <c r="U16" s="37" t="n">
        <v>16942.93</v>
      </c>
      <c r="V16" s="18" t="n">
        <v>17340.6</v>
      </c>
      <c r="W16" s="18" t="n">
        <v>17676.4</v>
      </c>
      <c r="X16" s="18" t="n">
        <v>17957.76</v>
      </c>
      <c r="Y16" s="18" t="n">
        <v>18150.87</v>
      </c>
      <c r="Z16" s="37" t="n">
        <v>18150.87</v>
      </c>
      <c r="AA16" s="18" t="n">
        <v>18693.15</v>
      </c>
      <c r="AB16" s="19" t="n">
        <v>20479.45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10265.78</v>
      </c>
      <c r="F17" s="37" t="n">
        <v>10265.78</v>
      </c>
      <c r="G17" s="18" t="n">
        <v>10265.78</v>
      </c>
      <c r="H17" s="18" t="n">
        <v>10265.78</v>
      </c>
      <c r="I17" s="18" t="n">
        <v>10265.78</v>
      </c>
      <c r="J17" s="18" t="n">
        <v>10265.78</v>
      </c>
      <c r="K17" s="37" t="n">
        <v>10265.78</v>
      </c>
      <c r="L17" s="18" t="n">
        <v>10265.78</v>
      </c>
      <c r="M17" s="18" t="n">
        <v>10265.78</v>
      </c>
      <c r="N17" s="18" t="n">
        <v>10265.78</v>
      </c>
      <c r="O17" s="18" t="n">
        <v>10265.78</v>
      </c>
      <c r="P17" s="37" t="n">
        <v>10265.78</v>
      </c>
      <c r="Q17" s="18" t="n">
        <v>10265.78</v>
      </c>
      <c r="R17" s="18" t="n">
        <v>10265.78</v>
      </c>
      <c r="S17" s="18" t="n">
        <v>10265.78</v>
      </c>
      <c r="T17" s="18" t="n">
        <v>10265.78</v>
      </c>
      <c r="U17" s="37" t="n">
        <v>10265.78</v>
      </c>
      <c r="V17" s="18" t="n">
        <v>10265.78</v>
      </c>
      <c r="W17" s="18" t="n">
        <v>10265.78</v>
      </c>
      <c r="X17" s="18" t="n">
        <v>10265.78</v>
      </c>
      <c r="Y17" s="18" t="n">
        <v>10265.78</v>
      </c>
      <c r="Z17" s="37" t="n">
        <v>10265.78</v>
      </c>
      <c r="AA17" s="18" t="n">
        <v>10265.78</v>
      </c>
      <c r="AB17" s="19" t="n">
        <v>10265.78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10974.67</v>
      </c>
      <c r="F18" s="37" t="n">
        <v>10974.67</v>
      </c>
      <c r="G18" s="18" t="n">
        <v>19307.34</v>
      </c>
      <c r="H18" s="18" t="n">
        <v>20703.23</v>
      </c>
      <c r="I18" s="18" t="n">
        <v>21220.18</v>
      </c>
      <c r="J18" s="18" t="n">
        <v>21267.65</v>
      </c>
      <c r="K18" s="37" t="n">
        <v>21267.65</v>
      </c>
      <c r="L18" s="18" t="n">
        <v>21220.05</v>
      </c>
      <c r="M18" s="18" t="n">
        <v>21206.58</v>
      </c>
      <c r="N18" s="18" t="n">
        <v>21158.64</v>
      </c>
      <c r="O18" s="18" t="n">
        <v>21112.63</v>
      </c>
      <c r="P18" s="37" t="n">
        <v>21112.63</v>
      </c>
      <c r="Q18" s="18" t="n">
        <v>21072.16</v>
      </c>
      <c r="R18" s="18" t="n">
        <v>18110.97</v>
      </c>
      <c r="S18" s="18" t="n">
        <v>18070.24</v>
      </c>
      <c r="T18" s="18" t="n">
        <v>18039</v>
      </c>
      <c r="U18" s="37" t="n">
        <v>18039</v>
      </c>
      <c r="V18" s="18" t="n">
        <v>17999.86</v>
      </c>
      <c r="W18" s="18" t="n">
        <v>17959.63</v>
      </c>
      <c r="X18" s="18" t="n">
        <v>17921.29</v>
      </c>
      <c r="Y18" s="18" t="n">
        <v>9708.209999999999</v>
      </c>
      <c r="Z18" s="37" t="n">
        <v>9708.209999999999</v>
      </c>
      <c r="AA18" s="18" t="n">
        <v>9667.68</v>
      </c>
      <c r="AB18" s="19" t="n">
        <v>8661.16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사용권자산</t>
        </is>
      </c>
      <c r="E19" s="18" t="n">
        <v>187.76</v>
      </c>
      <c r="F19" s="37" t="n">
        <v>187.76</v>
      </c>
      <c r="G19" s="18" t="n">
        <v>806.5700000000001</v>
      </c>
      <c r="H19" s="18" t="n">
        <v>660.86</v>
      </c>
      <c r="I19" s="18" t="n">
        <v>460.41</v>
      </c>
      <c r="J19" s="18" t="n">
        <v>259.96</v>
      </c>
      <c r="K19" s="37" t="n">
        <v>259.96</v>
      </c>
      <c r="L19" s="18" t="n">
        <v>70.41</v>
      </c>
      <c r="M19" s="18" t="n">
        <v>62.03</v>
      </c>
      <c r="N19" s="18" t="n">
        <v>53.64</v>
      </c>
      <c r="O19" s="18" t="n">
        <v>45.26</v>
      </c>
      <c r="P19" s="37" t="n">
        <v>45.26</v>
      </c>
      <c r="Q19" s="18" t="n">
        <v>43.59</v>
      </c>
      <c r="R19" s="18" t="n">
        <v>36.93</v>
      </c>
      <c r="S19" s="18" t="n">
        <v>41.44</v>
      </c>
      <c r="T19" s="18" t="n">
        <v>33.75</v>
      </c>
      <c r="U19" s="37" t="n">
        <v>33.75</v>
      </c>
      <c r="V19" s="18" t="n">
        <v>30.15</v>
      </c>
      <c r="W19" s="18" t="n">
        <v>24.06</v>
      </c>
      <c r="X19" s="18" t="n">
        <v>19.71</v>
      </c>
      <c r="Y19" s="18" t="n">
        <v>15.77</v>
      </c>
      <c r="Z19" s="37" t="n">
        <v>15.77</v>
      </c>
      <c r="AA19" s="18" t="n">
        <v>11.82</v>
      </c>
      <c r="AB19" s="19" t="n">
        <v>9.82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187.76</v>
      </c>
      <c r="F20" s="37" t="n">
        <v>187.76</v>
      </c>
      <c r="G20" s="18" t="n">
        <v>806.5700000000001</v>
      </c>
      <c r="H20" s="18" t="n">
        <v>660.86</v>
      </c>
      <c r="I20" s="18" t="n">
        <v>460.41</v>
      </c>
      <c r="J20" s="18" t="n">
        <v>259.96</v>
      </c>
      <c r="K20" s="37" t="n">
        <v>259.96</v>
      </c>
      <c r="L20" s="18" t="n">
        <v>70.41</v>
      </c>
      <c r="M20" s="18" t="n">
        <v>62.03</v>
      </c>
      <c r="N20" s="18" t="n">
        <v>53.64</v>
      </c>
      <c r="O20" s="18" t="n">
        <v>45.26</v>
      </c>
      <c r="P20" s="37" t="n">
        <v>45.26</v>
      </c>
      <c r="Q20" s="18" t="n">
        <v>43.59</v>
      </c>
      <c r="R20" s="18" t="n">
        <v>36.93</v>
      </c>
      <c r="S20" s="18" t="n">
        <v>41.44</v>
      </c>
      <c r="T20" s="18" t="n">
        <v>33.75</v>
      </c>
      <c r="U20" s="37" t="n">
        <v>33.75</v>
      </c>
      <c r="V20" s="18" t="n">
        <v>30.15</v>
      </c>
      <c r="W20" s="18" t="n">
        <v>24.06</v>
      </c>
      <c r="X20" s="18" t="n">
        <v>19.71</v>
      </c>
      <c r="Y20" s="18" t="n">
        <v>15.77</v>
      </c>
      <c r="Z20" s="37" t="n">
        <v>15.77</v>
      </c>
      <c r="AA20" s="18" t="n">
        <v>11.82</v>
      </c>
      <c r="AB20" s="19" t="n">
        <v>9.82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121.86</v>
      </c>
      <c r="F21" s="37" t="n">
        <v>121.86</v>
      </c>
      <c r="G21" s="18" t="n">
        <v>109.2</v>
      </c>
      <c r="H21" s="18" t="n">
        <v>101.95</v>
      </c>
      <c r="I21" s="18" t="n">
        <v>89.01000000000001</v>
      </c>
      <c r="J21" s="18" t="n">
        <v>104.33</v>
      </c>
      <c r="K21" s="37" t="n">
        <v>104.33</v>
      </c>
      <c r="L21" s="18" t="n">
        <v>93.92</v>
      </c>
      <c r="M21" s="18" t="n">
        <v>81.5</v>
      </c>
      <c r="N21" s="18" t="n">
        <v>68.09</v>
      </c>
      <c r="O21" s="18" t="n">
        <v>54.67</v>
      </c>
      <c r="P21" s="37" t="n">
        <v>54.67</v>
      </c>
      <c r="Q21" s="18" t="n">
        <v>46.77</v>
      </c>
      <c r="R21" s="18" t="n">
        <v>3.41</v>
      </c>
      <c r="S21" s="18" t="n">
        <v>8.67</v>
      </c>
      <c r="T21" s="18" t="n">
        <v>7.33</v>
      </c>
      <c r="U21" s="37" t="n">
        <v>7.33</v>
      </c>
      <c r="V21" s="18" t="n">
        <v>6.26</v>
      </c>
      <c r="W21" s="18" t="n">
        <v>5.42</v>
      </c>
      <c r="X21" s="18" t="n">
        <v>5.06</v>
      </c>
      <c r="Y21" s="18" t="n">
        <v>4.7</v>
      </c>
      <c r="Z21" s="37" t="n">
        <v>4.7</v>
      </c>
      <c r="AA21" s="18" t="n">
        <v>4.34</v>
      </c>
      <c r="AB21" s="19" t="n">
        <v>3.98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48700.11</v>
      </c>
      <c r="F22" s="37" t="n">
        <v>48700.11</v>
      </c>
      <c r="G22" s="18" t="n">
        <v>59076.44</v>
      </c>
      <c r="H22" s="18" t="n">
        <v>58224.79</v>
      </c>
      <c r="I22" s="18" t="n">
        <v>62389.51</v>
      </c>
      <c r="J22" s="18" t="n">
        <v>58586.72</v>
      </c>
      <c r="K22" s="37" t="n">
        <v>58586.72</v>
      </c>
      <c r="L22" s="18" t="n">
        <v>56332.87</v>
      </c>
      <c r="M22" s="18" t="n">
        <v>56972.46</v>
      </c>
      <c r="N22" s="18" t="n">
        <v>55980.47</v>
      </c>
      <c r="O22" s="18" t="n">
        <v>57812.27</v>
      </c>
      <c r="P22" s="37" t="n">
        <v>57812.27</v>
      </c>
      <c r="Q22" s="18" t="n">
        <v>57561.52</v>
      </c>
      <c r="R22" s="18" t="n">
        <v>64041.3</v>
      </c>
      <c r="S22" s="18" t="n">
        <v>66445.64</v>
      </c>
      <c r="T22" s="18" t="n">
        <v>66556.11</v>
      </c>
      <c r="U22" s="37" t="n">
        <v>66556.11</v>
      </c>
      <c r="V22" s="18" t="n">
        <v>65287.21</v>
      </c>
      <c r="W22" s="18" t="n">
        <v>66498.89</v>
      </c>
      <c r="X22" s="18" t="n">
        <v>69013.67999999999</v>
      </c>
      <c r="Y22" s="18" t="n">
        <v>70370.99000000001</v>
      </c>
      <c r="Z22" s="37" t="n">
        <v>70370.99000000001</v>
      </c>
      <c r="AA22" s="18" t="n">
        <v>72992.16</v>
      </c>
      <c r="AB22" s="19" t="n">
        <v>77759.64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11823.38</v>
      </c>
      <c r="F23" s="37" t="n">
        <v>11823.38</v>
      </c>
      <c r="G23" s="18" t="n">
        <v>12854.07</v>
      </c>
      <c r="H23" s="18" t="n">
        <v>12190.64</v>
      </c>
      <c r="I23" s="18" t="n">
        <v>13311.45</v>
      </c>
      <c r="J23" s="18" t="n">
        <v>10811.66</v>
      </c>
      <c r="K23" s="37" t="n">
        <v>10811.66</v>
      </c>
      <c r="L23" s="18" t="n">
        <v>8221.809999999999</v>
      </c>
      <c r="M23" s="18" t="n">
        <v>7717.68</v>
      </c>
      <c r="N23" s="18" t="n">
        <v>8063.22</v>
      </c>
      <c r="O23" s="18" t="n">
        <v>8748.4</v>
      </c>
      <c r="P23" s="37" t="n">
        <v>8748.4</v>
      </c>
      <c r="Q23" s="18" t="n">
        <v>8852.139999999999</v>
      </c>
      <c r="R23" s="18" t="n">
        <v>6498.68</v>
      </c>
      <c r="S23" s="18" t="n">
        <v>5399.96</v>
      </c>
      <c r="T23" s="18" t="n">
        <v>4503.03</v>
      </c>
      <c r="U23" s="37" t="n">
        <v>4503.03</v>
      </c>
      <c r="V23" s="18" t="n">
        <v>2591.24</v>
      </c>
      <c r="W23" s="18" t="n">
        <v>3058.03</v>
      </c>
      <c r="X23" s="18" t="n">
        <v>3226.78</v>
      </c>
      <c r="Y23" s="18" t="n">
        <v>11038.89</v>
      </c>
      <c r="Z23" s="37" t="n">
        <v>11038.89</v>
      </c>
      <c r="AA23" s="18" t="n">
        <v>9558.719999999999</v>
      </c>
      <c r="AB23" s="19" t="n">
        <v>10628.33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4872.27</v>
      </c>
      <c r="F24" s="37" t="n">
        <v>4872.27</v>
      </c>
      <c r="G24" s="18" t="n">
        <v>4962.72</v>
      </c>
      <c r="H24" s="18" t="n">
        <v>4501.98</v>
      </c>
      <c r="I24" s="18" t="n">
        <v>4260.2</v>
      </c>
      <c r="J24" s="18" t="n">
        <v>3836.33</v>
      </c>
      <c r="K24" s="37" t="n">
        <v>3836.33</v>
      </c>
      <c r="L24" s="18" t="n">
        <v>3123.29</v>
      </c>
      <c r="M24" s="18" t="n">
        <v>2206.51</v>
      </c>
      <c r="N24" s="18" t="n">
        <v>2117.64</v>
      </c>
      <c r="O24" s="18" t="n">
        <v>2383.09</v>
      </c>
      <c r="P24" s="37" t="n">
        <v>2383.09</v>
      </c>
      <c r="Q24" s="18" t="n">
        <v>2161.33</v>
      </c>
      <c r="R24" s="18" t="n">
        <v>1242.19</v>
      </c>
      <c r="S24" s="18" t="n">
        <v>510.94</v>
      </c>
      <c r="T24" s="18" t="n">
        <v>1338.42</v>
      </c>
      <c r="U24" s="37" t="n">
        <v>1338.42</v>
      </c>
      <c r="V24" s="18" t="n">
        <v>736.52</v>
      </c>
      <c r="W24" s="18" t="n">
        <v>750.92</v>
      </c>
      <c r="X24" s="18" t="n">
        <v>828.7</v>
      </c>
      <c r="Y24" s="18" t="n">
        <v>987.8</v>
      </c>
      <c r="Z24" s="37" t="n">
        <v>987.8</v>
      </c>
      <c r="AA24" s="18" t="n">
        <v>916.54</v>
      </c>
      <c r="AB24" s="19" t="n">
        <v>871.22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계약부채</t>
        </is>
      </c>
      <c r="E25" s="18" t="n">
        <v>159.32</v>
      </c>
      <c r="F25" s="37" t="n">
        <v>159.32</v>
      </c>
      <c r="G25" s="18" t="n">
        <v>353.25</v>
      </c>
      <c r="H25" s="18" t="n">
        <v>489.05</v>
      </c>
      <c r="I25" s="18" t="n">
        <v>259.15</v>
      </c>
      <c r="J25" s="18" t="n">
        <v>259.15</v>
      </c>
      <c r="K25" s="37" t="n">
        <v>259.15</v>
      </c>
      <c r="L25" s="18" t="n">
        <v>259.15</v>
      </c>
      <c r="M25" s="18" t="n">
        <v>259.15</v>
      </c>
      <c r="N25" s="18" t="n">
        <v>259.15</v>
      </c>
      <c r="O25" s="18" t="n">
        <v>469.71</v>
      </c>
      <c r="P25" s="37" t="n">
        <v>469.71</v>
      </c>
      <c r="Q25" s="18" t="n">
        <v>469.71</v>
      </c>
      <c r="R25" s="18" t="n">
        <v>469.71</v>
      </c>
      <c r="S25" s="18" t="n">
        <v>469.71</v>
      </c>
      <c r="T25" s="18" t="n">
        <v>0</v>
      </c>
      <c r="U25" s="37" t="n">
        <v>0</v>
      </c>
      <c r="V25" s="18" t="n">
        <v>0</v>
      </c>
      <c r="W25" s="18" t="n">
        <v>0</v>
      </c>
      <c r="Y25" s="18" t="n">
        <v>0</v>
      </c>
      <c r="Z25" s="37" t="n">
        <v>0</v>
      </c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당기법인세부채(미지급법인세)</t>
        </is>
      </c>
      <c r="E26" s="18" t="n">
        <v>444.92</v>
      </c>
      <c r="F26" s="37" t="n">
        <v>444.92</v>
      </c>
      <c r="G26" s="18" t="n">
        <v>249.06</v>
      </c>
      <c r="H26" s="18" t="n">
        <v>73.5</v>
      </c>
      <c r="I26" s="18" t="n">
        <v>602.61</v>
      </c>
      <c r="J26" s="18" t="n">
        <v>225.92</v>
      </c>
      <c r="K26" s="37" t="n">
        <v>225.92</v>
      </c>
      <c r="L26" s="18" t="n">
        <v>143.21</v>
      </c>
      <c r="M26" s="18" t="n">
        <v>74.44</v>
      </c>
      <c r="N26" s="18" t="n">
        <v>0</v>
      </c>
      <c r="O26" s="18" t="n">
        <v>103.72</v>
      </c>
      <c r="P26" s="37" t="n">
        <v>103.72</v>
      </c>
      <c r="Q26" s="18" t="n">
        <v>136.97</v>
      </c>
      <c r="R26" s="18" t="n">
        <v>2472.11</v>
      </c>
      <c r="S26" s="18" t="n">
        <v>2752.22</v>
      </c>
      <c r="T26" s="18" t="n">
        <v>3000.04</v>
      </c>
      <c r="U26" s="37" t="n">
        <v>3000.04</v>
      </c>
      <c r="V26" s="18" t="n">
        <v>1800.43</v>
      </c>
      <c r="W26" s="18" t="n">
        <v>258.12</v>
      </c>
      <c r="X26" s="18" t="n">
        <v>363.89</v>
      </c>
      <c r="Y26" s="18" t="n">
        <v>314.43</v>
      </c>
      <c r="Z26" s="37" t="n">
        <v>314.43</v>
      </c>
      <c r="AA26" s="18" t="n">
        <v>891.86</v>
      </c>
      <c r="AB26" s="19" t="n">
        <v>1732.85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단기차입금</t>
        </is>
      </c>
      <c r="E27" s="18" t="n">
        <v>3814.99</v>
      </c>
      <c r="F27" s="37" t="n">
        <v>3814.99</v>
      </c>
      <c r="G27" s="18" t="n">
        <v>3686.21</v>
      </c>
      <c r="H27" s="18" t="n">
        <v>3600</v>
      </c>
      <c r="I27" s="18" t="n">
        <v>4300</v>
      </c>
      <c r="J27" s="18" t="n">
        <v>4300</v>
      </c>
      <c r="K27" s="37" t="n">
        <v>4300</v>
      </c>
      <c r="L27" s="18" t="n">
        <v>4508.41</v>
      </c>
      <c r="M27" s="18" t="n">
        <v>4371.06</v>
      </c>
      <c r="N27" s="18" t="n">
        <v>4933.55</v>
      </c>
      <c r="O27" s="18" t="n">
        <v>5496.04</v>
      </c>
      <c r="P27" s="37" t="n">
        <v>5496.04</v>
      </c>
      <c r="Q27" s="18" t="n">
        <v>5850.12</v>
      </c>
      <c r="R27" s="18" t="n">
        <v>2249.96</v>
      </c>
      <c r="S27" s="18" t="n">
        <v>1416.64</v>
      </c>
      <c r="T27" s="18" t="n">
        <v>0</v>
      </c>
      <c r="U27" s="37" t="n">
        <v>0</v>
      </c>
      <c r="V27" s="18" t="n">
        <v>0</v>
      </c>
      <c r="W27" s="18" t="n">
        <v>2000</v>
      </c>
      <c r="X27" s="18" t="n">
        <v>2000</v>
      </c>
      <c r="Y27" s="18" t="n">
        <v>9700</v>
      </c>
      <c r="Z27" s="37" t="n">
        <v>9700</v>
      </c>
      <c r="AA27" s="18" t="n">
        <v>7700</v>
      </c>
      <c r="AB27" s="19" t="n">
        <v>7700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단기금융부채(face)</t>
        </is>
      </c>
      <c r="E28" s="18" t="n">
        <v>3814.99</v>
      </c>
      <c r="F28" s="37" t="n">
        <v>3814.99</v>
      </c>
      <c r="G28" s="18" t="n">
        <v>3686.21</v>
      </c>
      <c r="H28" s="18" t="n">
        <v>3600</v>
      </c>
      <c r="I28" s="18" t="n">
        <v>4300</v>
      </c>
      <c r="J28" s="18" t="n">
        <v>4300</v>
      </c>
      <c r="K28" s="37" t="n">
        <v>4300</v>
      </c>
      <c r="L28" s="18" t="n">
        <v>4508.41</v>
      </c>
      <c r="M28" s="18" t="n">
        <v>4371.06</v>
      </c>
      <c r="N28" s="18" t="n">
        <v>4933.55</v>
      </c>
      <c r="O28" s="18" t="n">
        <v>5496.04</v>
      </c>
      <c r="P28" s="37" t="n">
        <v>5496.04</v>
      </c>
      <c r="Q28" s="18" t="n">
        <v>5850.12</v>
      </c>
      <c r="R28" s="18" t="n">
        <v>2249.96</v>
      </c>
      <c r="S28" s="18" t="n">
        <v>1416.64</v>
      </c>
      <c r="T28" s="18" t="n">
        <v>0</v>
      </c>
      <c r="U28" s="37" t="n">
        <v>0</v>
      </c>
      <c r="V28" s="18" t="n">
        <v>0</v>
      </c>
      <c r="W28" s="18" t="n">
        <v>2000</v>
      </c>
      <c r="X28" s="18" t="n">
        <v>2000</v>
      </c>
      <c r="Y28" s="18" t="n">
        <v>9700</v>
      </c>
      <c r="Z28" s="37" t="n">
        <v>9700</v>
      </c>
      <c r="AA28" s="18" t="n">
        <v>7700</v>
      </c>
      <c r="AB28" s="19" t="n">
        <v>7700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196.47</v>
      </c>
      <c r="F29" s="37" t="n">
        <v>196.47</v>
      </c>
      <c r="G29" s="18" t="n">
        <v>786.58</v>
      </c>
      <c r="H29" s="18" t="n">
        <v>606.27</v>
      </c>
      <c r="I29" s="18" t="n">
        <v>414.73</v>
      </c>
      <c r="J29" s="18" t="n">
        <v>220.75</v>
      </c>
      <c r="K29" s="37" t="n">
        <v>220.75</v>
      </c>
      <c r="L29" s="18" t="n">
        <v>34.51</v>
      </c>
      <c r="M29" s="18" t="n">
        <v>32.72</v>
      </c>
      <c r="N29" s="18" t="n">
        <v>27.56</v>
      </c>
      <c r="O29" s="18" t="n">
        <v>21.5</v>
      </c>
      <c r="P29" s="37" t="n">
        <v>21.5</v>
      </c>
      <c r="Q29" s="18" t="n">
        <v>21.99</v>
      </c>
      <c r="R29" s="18" t="n">
        <v>17.5</v>
      </c>
      <c r="S29" s="18" t="n">
        <v>25.08</v>
      </c>
      <c r="T29" s="18" t="n">
        <v>20.45</v>
      </c>
      <c r="U29" s="37" t="n">
        <v>20.45</v>
      </c>
      <c r="V29" s="18" t="n">
        <v>19.67</v>
      </c>
      <c r="W29" s="18" t="n">
        <v>16.24</v>
      </c>
      <c r="X29" s="18" t="n">
        <v>14.85</v>
      </c>
      <c r="Y29" s="18" t="n">
        <v>13.88</v>
      </c>
      <c r="Z29" s="37" t="n">
        <v>13.88</v>
      </c>
      <c r="AA29" s="18" t="n">
        <v>12.89</v>
      </c>
      <c r="AB29" s="19" t="n">
        <v>11.74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219.18</v>
      </c>
      <c r="F30" s="37" t="n">
        <v>219.18</v>
      </c>
      <c r="G30" s="18" t="n">
        <v>805.91</v>
      </c>
      <c r="H30" s="18" t="n">
        <v>665.59</v>
      </c>
      <c r="I30" s="18" t="n">
        <v>468.06</v>
      </c>
      <c r="J30" s="18" t="n">
        <v>267.93</v>
      </c>
      <c r="K30" s="37" t="n">
        <v>267.93</v>
      </c>
      <c r="L30" s="18" t="n">
        <v>75.36</v>
      </c>
      <c r="M30" s="18" t="n">
        <v>67.06</v>
      </c>
      <c r="N30" s="18" t="n">
        <v>58.55</v>
      </c>
      <c r="O30" s="18" t="n">
        <v>49.82</v>
      </c>
      <c r="P30" s="37" t="n">
        <v>49.82</v>
      </c>
      <c r="Q30" s="18" t="n">
        <v>47.57</v>
      </c>
      <c r="R30" s="18" t="n">
        <v>40.27</v>
      </c>
      <c r="S30" s="18" t="n">
        <v>44.99</v>
      </c>
      <c r="T30" s="18" t="n">
        <v>37.42</v>
      </c>
      <c r="U30" s="37" t="n">
        <v>37.42</v>
      </c>
      <c r="V30" s="18" t="n">
        <v>33.64</v>
      </c>
      <c r="W30" s="18" t="n">
        <v>27.13</v>
      </c>
      <c r="X30" s="18" t="n">
        <v>22.6</v>
      </c>
      <c r="Y30" s="18" t="n">
        <v>18.41</v>
      </c>
      <c r="Z30" s="37" t="n">
        <v>18.41</v>
      </c>
      <c r="AA30" s="18" t="n">
        <v>14.12</v>
      </c>
      <c r="AB30" s="19" t="n">
        <v>11.74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단기금융부채</t>
        </is>
      </c>
      <c r="E31" s="18" t="n">
        <v>196.47</v>
      </c>
      <c r="F31" s="37" t="n">
        <v>196.47</v>
      </c>
      <c r="G31" s="18" t="n">
        <v>786.58</v>
      </c>
      <c r="H31" s="18" t="n">
        <v>606.27</v>
      </c>
      <c r="I31" s="18" t="n">
        <v>414.73</v>
      </c>
      <c r="J31" s="18" t="n">
        <v>220.75</v>
      </c>
      <c r="K31" s="37" t="n">
        <v>220.75</v>
      </c>
      <c r="L31" s="18" t="n">
        <v>34.51</v>
      </c>
      <c r="M31" s="18" t="n">
        <v>32.72</v>
      </c>
      <c r="N31" s="18" t="n">
        <v>27.56</v>
      </c>
      <c r="O31" s="18" t="n">
        <v>21.5</v>
      </c>
      <c r="P31" s="37" t="n">
        <v>21.5</v>
      </c>
      <c r="Q31" s="18" t="n">
        <v>21.99</v>
      </c>
      <c r="R31" s="18" t="n">
        <v>17.5</v>
      </c>
      <c r="S31" s="18" t="n">
        <v>25.08</v>
      </c>
      <c r="T31" s="18" t="n">
        <v>20.45</v>
      </c>
      <c r="U31" s="37" t="n">
        <v>20.45</v>
      </c>
      <c r="V31" s="18" t="n">
        <v>19.67</v>
      </c>
      <c r="W31" s="18" t="n">
        <v>16.24</v>
      </c>
      <c r="X31" s="18" t="n">
        <v>14.85</v>
      </c>
      <c r="Y31" s="18" t="n">
        <v>13.88</v>
      </c>
      <c r="Z31" s="37" t="n">
        <v>13.88</v>
      </c>
      <c r="AA31" s="18" t="n">
        <v>12.89</v>
      </c>
      <c r="AB31" s="19" t="n">
        <v>11.74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기타유동부채</t>
        </is>
      </c>
      <c r="E32" s="18" t="n">
        <v>2335.4</v>
      </c>
      <c r="F32" s="37" t="n">
        <v>2335.4</v>
      </c>
      <c r="G32" s="18" t="n">
        <v>2816.24</v>
      </c>
      <c r="H32" s="18" t="n">
        <v>2919.83</v>
      </c>
      <c r="I32" s="18" t="n">
        <v>3474.76</v>
      </c>
      <c r="J32" s="18" t="n">
        <v>1969.5</v>
      </c>
      <c r="K32" s="37" t="n">
        <v>1969.5</v>
      </c>
      <c r="L32" s="18" t="n">
        <v>153.24</v>
      </c>
      <c r="M32" s="18" t="n">
        <v>773.79</v>
      </c>
      <c r="N32" s="18" t="n">
        <v>725.33</v>
      </c>
      <c r="O32" s="18" t="n">
        <v>274.34</v>
      </c>
      <c r="P32" s="37" t="n">
        <v>274.34</v>
      </c>
      <c r="Q32" s="18" t="n">
        <v>212.03</v>
      </c>
      <c r="R32" s="18" t="n">
        <v>47.21</v>
      </c>
      <c r="S32" s="18" t="n">
        <v>225.37</v>
      </c>
      <c r="T32" s="18" t="n">
        <v>144.11</v>
      </c>
      <c r="U32" s="37" t="n">
        <v>144.11</v>
      </c>
      <c r="V32" s="18" t="n">
        <v>34.62</v>
      </c>
      <c r="W32" s="18" t="n">
        <v>32.75</v>
      </c>
      <c r="X32" s="18" t="n">
        <v>19.33</v>
      </c>
      <c r="Y32" s="18" t="n">
        <v>22.78</v>
      </c>
      <c r="Z32" s="37" t="n">
        <v>22.78</v>
      </c>
      <c r="AA32" s="18" t="n">
        <v>37.43</v>
      </c>
      <c r="AB32" s="19" t="n">
        <v>312.52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6123.15</v>
      </c>
      <c r="F33" s="37" t="n">
        <v>6123.15</v>
      </c>
      <c r="G33" s="18" t="n">
        <v>14766.98</v>
      </c>
      <c r="H33" s="18" t="n">
        <v>14708.05</v>
      </c>
      <c r="I33" s="18" t="n">
        <v>14904.47</v>
      </c>
      <c r="J33" s="18" t="n">
        <v>14855.28</v>
      </c>
      <c r="K33" s="37" t="n">
        <v>14855.28</v>
      </c>
      <c r="L33" s="18" t="n">
        <v>14733.73</v>
      </c>
      <c r="M33" s="18" t="n">
        <v>14364.35</v>
      </c>
      <c r="N33" s="18" t="n">
        <v>13635.44</v>
      </c>
      <c r="O33" s="18" t="n">
        <v>12550.28</v>
      </c>
      <c r="P33" s="37" t="n">
        <v>12550.28</v>
      </c>
      <c r="Q33" s="18" t="n">
        <v>12034.69</v>
      </c>
      <c r="R33" s="18" t="n">
        <v>11221.23</v>
      </c>
      <c r="S33" s="18" t="n">
        <v>13607.78</v>
      </c>
      <c r="T33" s="18" t="n">
        <v>14707.56</v>
      </c>
      <c r="U33" s="37" t="n">
        <v>14707.56</v>
      </c>
      <c r="V33" s="18" t="n">
        <v>14744.05</v>
      </c>
      <c r="W33" s="18" t="n">
        <v>14831.16</v>
      </c>
      <c r="X33" s="18" t="n">
        <v>16363.33</v>
      </c>
      <c r="Y33" s="18" t="n">
        <v>8705.700000000001</v>
      </c>
      <c r="Z33" s="37" t="n">
        <v>8705.700000000001</v>
      </c>
      <c r="AA33" s="18" t="n">
        <v>10715.18</v>
      </c>
      <c r="AB33" s="19" t="n">
        <v>10687.52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5000</v>
      </c>
      <c r="F34" s="37" t="n">
        <v>5000</v>
      </c>
      <c r="G34" s="18" t="n">
        <v>13500</v>
      </c>
      <c r="H34" s="18" t="n">
        <v>13500</v>
      </c>
      <c r="I34" s="18" t="n">
        <v>13500</v>
      </c>
      <c r="J34" s="18" t="n">
        <v>13500</v>
      </c>
      <c r="K34" s="37" t="n">
        <v>13500</v>
      </c>
      <c r="L34" s="18" t="n">
        <v>13291.59</v>
      </c>
      <c r="M34" s="18" t="n">
        <v>12728.94</v>
      </c>
      <c r="N34" s="18" t="n">
        <v>12166.45</v>
      </c>
      <c r="O34" s="18" t="n">
        <v>11603.96</v>
      </c>
      <c r="P34" s="37" t="n">
        <v>11603.96</v>
      </c>
      <c r="Q34" s="18" t="n">
        <v>11041.47</v>
      </c>
      <c r="R34" s="18" t="n">
        <v>10478.98</v>
      </c>
      <c r="S34" s="18" t="n">
        <v>12874.88</v>
      </c>
      <c r="T34" s="18" t="n">
        <v>14200</v>
      </c>
      <c r="U34" s="37" t="n">
        <v>14200</v>
      </c>
      <c r="V34" s="18" t="n">
        <v>14200</v>
      </c>
      <c r="W34" s="18" t="n">
        <v>14200</v>
      </c>
      <c r="X34" s="18" t="n">
        <v>15700</v>
      </c>
      <c r="Y34" s="18" t="n">
        <v>8000</v>
      </c>
      <c r="Z34" s="37" t="n">
        <v>8000</v>
      </c>
      <c r="AA34" s="18" t="n">
        <v>10000</v>
      </c>
      <c r="AB34" s="19" t="n">
        <v>10000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장기금융부채(face)</t>
        </is>
      </c>
      <c r="E35" s="18" t="n">
        <v>5000</v>
      </c>
      <c r="F35" s="37" t="n">
        <v>5000</v>
      </c>
      <c r="G35" s="18" t="n">
        <v>13500</v>
      </c>
      <c r="H35" s="18" t="n">
        <v>13500</v>
      </c>
      <c r="I35" s="18" t="n">
        <v>13500</v>
      </c>
      <c r="J35" s="18" t="n">
        <v>13500</v>
      </c>
      <c r="K35" s="37" t="n">
        <v>13500</v>
      </c>
      <c r="L35" s="18" t="n">
        <v>13291.59</v>
      </c>
      <c r="M35" s="18" t="n">
        <v>12728.94</v>
      </c>
      <c r="N35" s="18" t="n">
        <v>12166.45</v>
      </c>
      <c r="O35" s="18" t="n">
        <v>11603.96</v>
      </c>
      <c r="P35" s="37" t="n">
        <v>11603.96</v>
      </c>
      <c r="Q35" s="18" t="n">
        <v>11041.47</v>
      </c>
      <c r="R35" s="18" t="n">
        <v>10478.98</v>
      </c>
      <c r="S35" s="18" t="n">
        <v>12874.88</v>
      </c>
      <c r="T35" s="18" t="n">
        <v>14200</v>
      </c>
      <c r="U35" s="37" t="n">
        <v>14200</v>
      </c>
      <c r="V35" s="18" t="n">
        <v>14200</v>
      </c>
      <c r="W35" s="18" t="n">
        <v>14200</v>
      </c>
      <c r="X35" s="18" t="n">
        <v>15700</v>
      </c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비유동리스부채</t>
        </is>
      </c>
      <c r="E36" s="18" t="n">
        <v>22.71</v>
      </c>
      <c r="F36" s="37" t="n">
        <v>22.71</v>
      </c>
      <c r="G36" s="18" t="n">
        <v>19.33</v>
      </c>
      <c r="H36" s="18" t="n">
        <v>59.32</v>
      </c>
      <c r="I36" s="18" t="n">
        <v>53.33</v>
      </c>
      <c r="J36" s="18" t="n">
        <v>47.18</v>
      </c>
      <c r="K36" s="37" t="n">
        <v>47.18</v>
      </c>
      <c r="L36" s="18" t="n">
        <v>40.85</v>
      </c>
      <c r="M36" s="18" t="n">
        <v>34.34</v>
      </c>
      <c r="N36" s="18" t="n">
        <v>30.99</v>
      </c>
      <c r="O36" s="18" t="n">
        <v>28.32</v>
      </c>
      <c r="P36" s="37" t="n">
        <v>28.32</v>
      </c>
      <c r="Q36" s="18" t="n">
        <v>25.58</v>
      </c>
      <c r="R36" s="18" t="n">
        <v>22.77</v>
      </c>
      <c r="S36" s="18" t="n">
        <v>19.91</v>
      </c>
      <c r="T36" s="18" t="n">
        <v>16.97</v>
      </c>
      <c r="U36" s="37" t="n">
        <v>16.97</v>
      </c>
      <c r="V36" s="18" t="n">
        <v>13.97</v>
      </c>
      <c r="W36" s="18" t="n">
        <v>10.89</v>
      </c>
      <c r="X36" s="18" t="n">
        <v>7.75</v>
      </c>
      <c r="Y36" s="18" t="n">
        <v>4.53</v>
      </c>
      <c r="Z36" s="37" t="n">
        <v>4.53</v>
      </c>
      <c r="AA36" s="18" t="n">
        <v>1.23</v>
      </c>
      <c r="AB36" s="19" t="n">
        <v>0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22.71</v>
      </c>
      <c r="F37" s="37" t="n">
        <v>22.71</v>
      </c>
      <c r="G37" s="18" t="n">
        <v>19.33</v>
      </c>
      <c r="H37" s="18" t="n">
        <v>59.32</v>
      </c>
      <c r="I37" s="18" t="n">
        <v>53.33</v>
      </c>
      <c r="J37" s="18" t="n">
        <v>47.18</v>
      </c>
      <c r="K37" s="37" t="n">
        <v>47.18</v>
      </c>
      <c r="L37" s="18" t="n">
        <v>40.85</v>
      </c>
      <c r="M37" s="18" t="n">
        <v>34.34</v>
      </c>
      <c r="N37" s="18" t="n">
        <v>30.99</v>
      </c>
      <c r="O37" s="18" t="n">
        <v>28.32</v>
      </c>
      <c r="P37" s="37" t="n">
        <v>28.32</v>
      </c>
      <c r="Q37" s="18" t="n">
        <v>25.58</v>
      </c>
      <c r="R37" s="18" t="n">
        <v>22.77</v>
      </c>
      <c r="S37" s="18" t="n">
        <v>19.91</v>
      </c>
      <c r="T37" s="18" t="n">
        <v>16.97</v>
      </c>
      <c r="U37" s="37" t="n">
        <v>16.97</v>
      </c>
      <c r="V37" s="18" t="n">
        <v>13.97</v>
      </c>
      <c r="W37" s="18" t="n">
        <v>10.89</v>
      </c>
      <c r="X37" s="18" t="n">
        <v>7.75</v>
      </c>
      <c r="Y37" s="18" t="n">
        <v>4.53</v>
      </c>
      <c r="Z37" s="37" t="n">
        <v>4.53</v>
      </c>
      <c r="AA37" s="18" t="n">
        <v>1.23</v>
      </c>
      <c r="AB37" s="19" t="n">
        <v>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확정급여부채</t>
        </is>
      </c>
      <c r="E38" s="18" t="n">
        <v>225.15</v>
      </c>
      <c r="F38" s="37" t="n">
        <v>225.15</v>
      </c>
      <c r="G38" s="18" t="n">
        <v>221.68</v>
      </c>
      <c r="H38" s="18" t="n">
        <v>193.02</v>
      </c>
      <c r="I38" s="18" t="n">
        <v>308.8</v>
      </c>
      <c r="J38" s="18" t="n">
        <v>466.97</v>
      </c>
      <c r="K38" s="37" t="n">
        <v>466.97</v>
      </c>
      <c r="L38" s="18" t="n">
        <v>523.5700000000001</v>
      </c>
      <c r="M38" s="18" t="n">
        <v>408.56</v>
      </c>
      <c r="N38" s="18" t="n">
        <v>402.9</v>
      </c>
      <c r="O38" s="18" t="n">
        <v>86.92</v>
      </c>
      <c r="P38" s="37" t="n">
        <v>86.92</v>
      </c>
      <c r="Q38" s="18" t="n">
        <v>218.97</v>
      </c>
      <c r="R38" s="18" t="n">
        <v>8.23</v>
      </c>
      <c r="S38" s="18" t="n">
        <v>37.94</v>
      </c>
      <c r="T38" s="18" t="n">
        <v>67.19</v>
      </c>
      <c r="U38" s="37" t="n">
        <v>67.19</v>
      </c>
      <c r="V38" s="18" t="n">
        <v>101.5</v>
      </c>
      <c r="W38" s="18" t="n">
        <v>113.11</v>
      </c>
      <c r="X38" s="18" t="n">
        <v>148.07</v>
      </c>
      <c r="Y38" s="18" t="n">
        <v>58.2</v>
      </c>
      <c r="Z38" s="37" t="n">
        <v>58.2</v>
      </c>
      <c r="AA38" s="18" t="n">
        <v>75.34</v>
      </c>
      <c r="AB38" s="19" t="n">
        <v>96.64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이연법인세부채</t>
        </is>
      </c>
      <c r="E39" s="18" t="n">
        <v>875.28</v>
      </c>
      <c r="F39" s="37" t="n">
        <v>875.28</v>
      </c>
      <c r="G39" s="18" t="n">
        <v>1025.97</v>
      </c>
      <c r="H39" s="18" t="n">
        <v>955.71</v>
      </c>
      <c r="I39" s="18" t="n">
        <v>1042.35</v>
      </c>
      <c r="J39" s="18" t="n">
        <v>841.13</v>
      </c>
      <c r="K39" s="37" t="n">
        <v>841.13</v>
      </c>
      <c r="L39" s="18" t="n">
        <v>877.73</v>
      </c>
      <c r="M39" s="18" t="n">
        <v>1192.51</v>
      </c>
      <c r="N39" s="18" t="n">
        <v>1035.1</v>
      </c>
      <c r="O39" s="18" t="n">
        <v>831.08</v>
      </c>
      <c r="P39" s="37" t="n">
        <v>831.08</v>
      </c>
      <c r="Q39" s="18" t="n">
        <v>748.67</v>
      </c>
      <c r="R39" s="18" t="n">
        <v>711.24</v>
      </c>
      <c r="S39" s="18" t="n">
        <v>675.05</v>
      </c>
      <c r="T39" s="18" t="n">
        <v>413.81</v>
      </c>
      <c r="U39" s="37" t="n">
        <v>413.81</v>
      </c>
      <c r="V39" s="18" t="n">
        <v>418.6</v>
      </c>
      <c r="W39" s="18" t="n">
        <v>498.2</v>
      </c>
      <c r="X39" s="18" t="n">
        <v>497.7</v>
      </c>
      <c r="Y39" s="18" t="n">
        <v>636.16</v>
      </c>
      <c r="Z39" s="37" t="n">
        <v>636.16</v>
      </c>
      <c r="AA39" s="18" t="n">
        <v>631.11</v>
      </c>
      <c r="AB39" s="19" t="n">
        <v>585.23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부채총계</t>
        </is>
      </c>
      <c r="E40" s="18" t="n">
        <v>17946.53</v>
      </c>
      <c r="F40" s="37" t="n">
        <v>17946.53</v>
      </c>
      <c r="G40" s="18" t="n">
        <v>27621.05</v>
      </c>
      <c r="H40" s="18" t="n">
        <v>26898.68</v>
      </c>
      <c r="I40" s="18" t="n">
        <v>28215.93</v>
      </c>
      <c r="J40" s="18" t="n">
        <v>25666.93</v>
      </c>
      <c r="K40" s="37" t="n">
        <v>25666.93</v>
      </c>
      <c r="L40" s="18" t="n">
        <v>22955.54</v>
      </c>
      <c r="M40" s="18" t="n">
        <v>22082.03</v>
      </c>
      <c r="N40" s="18" t="n">
        <v>21698.66</v>
      </c>
      <c r="O40" s="18" t="n">
        <v>21298.68</v>
      </c>
      <c r="P40" s="37" t="n">
        <v>21298.68</v>
      </c>
      <c r="Q40" s="18" t="n">
        <v>20886.82</v>
      </c>
      <c r="R40" s="18" t="n">
        <v>17719.91</v>
      </c>
      <c r="S40" s="18" t="n">
        <v>19007.74</v>
      </c>
      <c r="T40" s="18" t="n">
        <v>19210.59</v>
      </c>
      <c r="U40" s="37" t="n">
        <v>19210.59</v>
      </c>
      <c r="V40" s="18" t="n">
        <v>17335.29</v>
      </c>
      <c r="W40" s="18" t="n">
        <v>17889.19</v>
      </c>
      <c r="X40" s="18" t="n">
        <v>19590.11</v>
      </c>
      <c r="Y40" s="18" t="n">
        <v>19744.59</v>
      </c>
      <c r="Z40" s="37" t="n">
        <v>19744.59</v>
      </c>
      <c r="AA40" s="18" t="n">
        <v>20273.9</v>
      </c>
      <c r="AB40" s="19" t="n">
        <v>21315.85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자본금</t>
        </is>
      </c>
      <c r="E41" s="18" t="n">
        <v>3072.67</v>
      </c>
      <c r="F41" s="37" t="n">
        <v>3072.67</v>
      </c>
      <c r="G41" s="18" t="n">
        <v>3072.67</v>
      </c>
      <c r="H41" s="18" t="n">
        <v>3072.67</v>
      </c>
      <c r="I41" s="18" t="n">
        <v>3072.67</v>
      </c>
      <c r="J41" s="18" t="n">
        <v>3072.67</v>
      </c>
      <c r="K41" s="37" t="n">
        <v>3072.67</v>
      </c>
      <c r="L41" s="18" t="n">
        <v>3072.67</v>
      </c>
      <c r="M41" s="18" t="n">
        <v>3072.67</v>
      </c>
      <c r="N41" s="18" t="n">
        <v>3072.67</v>
      </c>
      <c r="O41" s="18" t="n">
        <v>3072.67</v>
      </c>
      <c r="P41" s="37" t="n">
        <v>3072.67</v>
      </c>
      <c r="Q41" s="18" t="n">
        <v>3072.67</v>
      </c>
      <c r="R41" s="18" t="n">
        <v>3072.67</v>
      </c>
      <c r="S41" s="18" t="n">
        <v>3072.67</v>
      </c>
      <c r="T41" s="18" t="n">
        <v>3072.67</v>
      </c>
      <c r="U41" s="37" t="n">
        <v>3072.67</v>
      </c>
      <c r="V41" s="18" t="n">
        <v>3072.67</v>
      </c>
      <c r="W41" s="18" t="n">
        <v>3072.67</v>
      </c>
      <c r="X41" s="18" t="n">
        <v>3072.67</v>
      </c>
      <c r="Y41" s="18" t="n">
        <v>3072.67</v>
      </c>
      <c r="Z41" s="37" t="n">
        <v>3072.67</v>
      </c>
      <c r="AA41" s="18" t="n">
        <v>3072.67</v>
      </c>
      <c r="AB41" s="19" t="n">
        <v>3072.67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자본잉여금</t>
        </is>
      </c>
      <c r="E42" s="18" t="n">
        <v>22064.38</v>
      </c>
      <c r="F42" s="37" t="n">
        <v>22064.38</v>
      </c>
      <c r="G42" s="18" t="n">
        <v>22064.38</v>
      </c>
      <c r="H42" s="18" t="n">
        <v>22064.38</v>
      </c>
      <c r="I42" s="18" t="n">
        <v>22064.38</v>
      </c>
      <c r="J42" s="18" t="n">
        <v>22064.38</v>
      </c>
      <c r="K42" s="37" t="n">
        <v>22064.38</v>
      </c>
      <c r="L42" s="18" t="n">
        <v>22064.38</v>
      </c>
      <c r="M42" s="18" t="n">
        <v>22064.38</v>
      </c>
      <c r="N42" s="18" t="n">
        <v>22064.38</v>
      </c>
      <c r="O42" s="18" t="n">
        <v>22064.38</v>
      </c>
      <c r="P42" s="37" t="n">
        <v>22064.38</v>
      </c>
      <c r="Q42" s="18" t="n">
        <v>22064.38</v>
      </c>
      <c r="R42" s="18" t="n">
        <v>22064.38</v>
      </c>
      <c r="S42" s="18" t="n">
        <v>22064.38</v>
      </c>
      <c r="T42" s="18" t="n">
        <v>22064.38</v>
      </c>
      <c r="U42" s="37" t="n">
        <v>22064.38</v>
      </c>
      <c r="V42" s="18" t="n">
        <v>22064.38</v>
      </c>
      <c r="W42" s="18" t="n">
        <v>22064.38</v>
      </c>
      <c r="X42" s="18" t="n">
        <v>22064.38</v>
      </c>
      <c r="Y42" s="18" t="n">
        <v>22033.95</v>
      </c>
      <c r="Z42" s="37" t="n">
        <v>22033.95</v>
      </c>
      <c r="AA42" s="18" t="n">
        <v>22033.95</v>
      </c>
      <c r="AB42" s="19" t="n">
        <v>22033.95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기타자본</t>
        </is>
      </c>
      <c r="E43" s="18" t="n">
        <v>0</v>
      </c>
      <c r="F43" s="37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37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37" t="n">
        <v>0</v>
      </c>
      <c r="Q43" s="18" t="n">
        <v>0</v>
      </c>
      <c r="R43" s="18" t="n">
        <v>0</v>
      </c>
      <c r="S43" s="18" t="n">
        <v>-141.91</v>
      </c>
      <c r="T43" s="18" t="n">
        <v>-141.91</v>
      </c>
      <c r="U43" s="37" t="n">
        <v>-141.91</v>
      </c>
      <c r="V43" s="18" t="n">
        <v>-141.91</v>
      </c>
      <c r="W43" s="18" t="n">
        <v>-141.91</v>
      </c>
      <c r="X43" s="18" t="n">
        <v>-141.91</v>
      </c>
      <c r="Y43" s="18" t="n">
        <v>-141.91</v>
      </c>
      <c r="Z43" s="37" t="n">
        <v>-141.91</v>
      </c>
      <c r="AA43" s="18" t="n">
        <v>-141.91</v>
      </c>
      <c r="AB43" s="19" t="n">
        <v>-141.91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기타포괄이익누계액</t>
        </is>
      </c>
      <c r="E44" s="18" t="n">
        <v>-58.8</v>
      </c>
      <c r="F44" s="37" t="n">
        <v>-58.8</v>
      </c>
      <c r="G44" s="18" t="n">
        <v>426.31</v>
      </c>
      <c r="H44" s="18" t="n">
        <v>143.93</v>
      </c>
      <c r="I44" s="18" t="n">
        <v>574.83</v>
      </c>
      <c r="J44" s="18" t="n">
        <v>84.87</v>
      </c>
      <c r="K44" s="37" t="n">
        <v>84.87</v>
      </c>
      <c r="L44" s="18" t="n">
        <v>284.11</v>
      </c>
      <c r="M44" s="18" t="n">
        <v>1328.1</v>
      </c>
      <c r="N44" s="18" t="n">
        <v>830.99</v>
      </c>
      <c r="O44" s="18" t="n">
        <v>694.91</v>
      </c>
      <c r="P44" s="37" t="n">
        <v>694.91</v>
      </c>
      <c r="Q44" s="18" t="n">
        <v>387.93</v>
      </c>
      <c r="R44" s="18" t="n">
        <v>254.48</v>
      </c>
      <c r="S44" s="18" t="n">
        <v>119.21</v>
      </c>
      <c r="T44" s="18" t="n">
        <v>-969.72</v>
      </c>
      <c r="U44" s="37" t="n">
        <v>-969.72</v>
      </c>
      <c r="V44" s="18" t="n">
        <v>-950.04</v>
      </c>
      <c r="W44" s="18" t="n">
        <v>-667.1900000000001</v>
      </c>
      <c r="X44" s="18" t="n">
        <v>-667.23</v>
      </c>
      <c r="Y44" s="18" t="n">
        <v>-623.74</v>
      </c>
      <c r="Z44" s="37" t="n">
        <v>-623.74</v>
      </c>
      <c r="AA44" s="18" t="n">
        <v>-640.0700000000001</v>
      </c>
      <c r="AB44" s="19" t="n">
        <v>-802.47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이익잉여금</t>
        </is>
      </c>
      <c r="E45" s="18" t="n">
        <v>5675.33</v>
      </c>
      <c r="F45" s="37" t="n">
        <v>5675.33</v>
      </c>
      <c r="G45" s="18" t="n">
        <v>5892.02</v>
      </c>
      <c r="H45" s="18" t="n">
        <v>6045.12</v>
      </c>
      <c r="I45" s="18" t="n">
        <v>8461.700000000001</v>
      </c>
      <c r="J45" s="18" t="n">
        <v>7697.86</v>
      </c>
      <c r="K45" s="37" t="n">
        <v>7697.86</v>
      </c>
      <c r="L45" s="18" t="n">
        <v>7956.17</v>
      </c>
      <c r="M45" s="18" t="n">
        <v>8425.280000000001</v>
      </c>
      <c r="N45" s="18" t="n">
        <v>8313.77</v>
      </c>
      <c r="O45" s="18" t="n">
        <v>10681.63</v>
      </c>
      <c r="P45" s="37" t="n">
        <v>10681.63</v>
      </c>
      <c r="Q45" s="18" t="n">
        <v>11149.72</v>
      </c>
      <c r="R45" s="18" t="n">
        <v>20929.86</v>
      </c>
      <c r="S45" s="18" t="n">
        <v>22323.55</v>
      </c>
      <c r="T45" s="18" t="n">
        <v>23320.1</v>
      </c>
      <c r="U45" s="37" t="n">
        <v>23320.1</v>
      </c>
      <c r="V45" s="18" t="n">
        <v>23906.82</v>
      </c>
      <c r="W45" s="18" t="n">
        <v>24281.74</v>
      </c>
      <c r="X45" s="18" t="n">
        <v>25095.65</v>
      </c>
      <c r="Y45" s="18" t="n">
        <v>26285.42</v>
      </c>
      <c r="Z45" s="37" t="n">
        <v>26285.42</v>
      </c>
      <c r="AA45" s="18" t="n">
        <v>28393.62</v>
      </c>
      <c r="AB45" s="19" t="n">
        <v>32281.56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자본총계</t>
        </is>
      </c>
      <c r="E46" s="18" t="n">
        <v>30753.58</v>
      </c>
      <c r="F46" s="37" t="n">
        <v>30753.58</v>
      </c>
      <c r="G46" s="18" t="n">
        <v>31455.39</v>
      </c>
      <c r="H46" s="18" t="n">
        <v>31326.11</v>
      </c>
      <c r="I46" s="18" t="n">
        <v>34173.58</v>
      </c>
      <c r="J46" s="18" t="n">
        <v>32919.78</v>
      </c>
      <c r="K46" s="37" t="n">
        <v>32919.78</v>
      </c>
      <c r="L46" s="18" t="n">
        <v>33377.33</v>
      </c>
      <c r="M46" s="18" t="n">
        <v>34890.43</v>
      </c>
      <c r="N46" s="18" t="n">
        <v>34281.81</v>
      </c>
      <c r="O46" s="18" t="n">
        <v>36513.59</v>
      </c>
      <c r="P46" s="37" t="n">
        <v>36513.59</v>
      </c>
      <c r="Q46" s="18" t="n">
        <v>36674.7</v>
      </c>
      <c r="R46" s="18" t="n">
        <v>46321.4</v>
      </c>
      <c r="S46" s="18" t="n">
        <v>47437.9</v>
      </c>
      <c r="T46" s="18" t="n">
        <v>47345.52</v>
      </c>
      <c r="U46" s="37" t="n">
        <v>47345.52</v>
      </c>
      <c r="V46" s="18" t="n">
        <v>47951.92</v>
      </c>
      <c r="W46" s="18" t="n">
        <v>48609.69</v>
      </c>
      <c r="X46" s="18" t="n">
        <v>49423.56</v>
      </c>
      <c r="Y46" s="18" t="n">
        <v>50626.4</v>
      </c>
      <c r="Z46" s="37" t="n">
        <v>50626.4</v>
      </c>
      <c r="AA46" s="18" t="n">
        <v>52718.26</v>
      </c>
      <c r="AB46" s="19" t="n">
        <v>56443.79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부채와자본총계</t>
        </is>
      </c>
      <c r="E47" s="18" t="n">
        <v>48700.11</v>
      </c>
      <c r="F47" s="37" t="n">
        <v>48700.11</v>
      </c>
      <c r="G47" s="18" t="n">
        <v>59076.44</v>
      </c>
      <c r="H47" s="18" t="n">
        <v>58224.79</v>
      </c>
      <c r="I47" s="18" t="n">
        <v>62389.51</v>
      </c>
      <c r="J47" s="18" t="n">
        <v>58586.72</v>
      </c>
      <c r="K47" s="37" t="n">
        <v>58586.72</v>
      </c>
      <c r="L47" s="18" t="n">
        <v>56332.87</v>
      </c>
      <c r="M47" s="18" t="n">
        <v>56972.46</v>
      </c>
      <c r="N47" s="18" t="n">
        <v>55980.47</v>
      </c>
      <c r="O47" s="18" t="n">
        <v>57812.27</v>
      </c>
      <c r="P47" s="37" t="n">
        <v>57812.27</v>
      </c>
      <c r="Q47" s="18" t="n">
        <v>57561.52</v>
      </c>
      <c r="R47" s="18" t="n">
        <v>64041.3</v>
      </c>
      <c r="S47" s="18" t="n">
        <v>66445.64</v>
      </c>
      <c r="T47" s="18" t="n">
        <v>66556.11</v>
      </c>
      <c r="U47" s="37" t="n">
        <v>66556.11</v>
      </c>
      <c r="V47" s="18" t="n">
        <v>65287.21</v>
      </c>
      <c r="W47" s="18" t="n">
        <v>66498.89</v>
      </c>
      <c r="X47" s="18" t="n">
        <v>69013.67999999999</v>
      </c>
      <c r="Y47" s="18" t="n">
        <v>70370.99000000001</v>
      </c>
      <c r="Z47" s="37" t="n">
        <v>70370.99000000001</v>
      </c>
      <c r="AA47" s="18" t="n">
        <v>72992.16</v>
      </c>
      <c r="AB47" s="19" t="n">
        <v>77759.64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지배주주지분</t>
        </is>
      </c>
      <c r="E48" s="18" t="n">
        <v>30753.58</v>
      </c>
      <c r="F48" s="37" t="n">
        <v>30753.58</v>
      </c>
      <c r="G48" s="18" t="n">
        <v>31455.39</v>
      </c>
      <c r="H48" s="18" t="n">
        <v>31326.11</v>
      </c>
      <c r="I48" s="18" t="n">
        <v>34173.58</v>
      </c>
      <c r="J48" s="18" t="n">
        <v>32919.78</v>
      </c>
      <c r="K48" s="37" t="n">
        <v>32919.78</v>
      </c>
      <c r="L48" s="18" t="n">
        <v>33377.33</v>
      </c>
      <c r="M48" s="18" t="n">
        <v>34890.43</v>
      </c>
      <c r="N48" s="18" t="n">
        <v>34281.81</v>
      </c>
      <c r="O48" s="18" t="n">
        <v>36513.59</v>
      </c>
      <c r="P48" s="37" t="n">
        <v>36513.59</v>
      </c>
      <c r="Q48" s="18" t="n">
        <v>36674.7</v>
      </c>
      <c r="R48" s="18" t="n">
        <v>46321.4</v>
      </c>
      <c r="S48" s="18" t="n">
        <v>47437.9</v>
      </c>
      <c r="T48" s="18" t="n">
        <v>47345.52</v>
      </c>
      <c r="U48" s="37" t="n">
        <v>47345.52</v>
      </c>
      <c r="V48" s="18" t="n">
        <v>47951.92</v>
      </c>
      <c r="W48" s="18" t="n">
        <v>48609.69</v>
      </c>
      <c r="X48" s="18" t="n">
        <v>49423.56</v>
      </c>
      <c r="Y48" s="18" t="n">
        <v>50626.4</v>
      </c>
      <c r="Z48" s="37" t="n">
        <v>50626.4</v>
      </c>
      <c r="AA48" s="18" t="n">
        <v>52718.26</v>
      </c>
      <c r="AB48" s="19" t="n">
        <v>56443.79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총차입금</t>
        </is>
      </c>
      <c r="E49" s="18" t="n">
        <v>8814.99</v>
      </c>
      <c r="F49" s="37" t="n">
        <v>8814.99</v>
      </c>
      <c r="G49" s="18" t="n">
        <v>17186.21</v>
      </c>
      <c r="H49" s="18" t="n">
        <v>17100</v>
      </c>
      <c r="I49" s="18" t="n">
        <v>17800</v>
      </c>
      <c r="J49" s="18" t="n">
        <v>17800</v>
      </c>
      <c r="K49" s="37" t="n">
        <v>17800</v>
      </c>
      <c r="L49" s="18" t="n">
        <v>17800</v>
      </c>
      <c r="M49" s="18" t="n">
        <v>17100</v>
      </c>
      <c r="N49" s="18" t="n">
        <v>17100</v>
      </c>
      <c r="O49" s="18" t="n">
        <v>17100</v>
      </c>
      <c r="P49" s="37" t="n">
        <v>17100</v>
      </c>
      <c r="Q49" s="18" t="n">
        <v>16891.59</v>
      </c>
      <c r="R49" s="18" t="n">
        <v>12728.94</v>
      </c>
      <c r="S49" s="18" t="n">
        <v>14291.52</v>
      </c>
      <c r="T49" s="18" t="n">
        <v>14200</v>
      </c>
      <c r="U49" s="37" t="n">
        <v>14200</v>
      </c>
      <c r="V49" s="18" t="n">
        <v>14200</v>
      </c>
      <c r="W49" s="18" t="n">
        <v>16200</v>
      </c>
      <c r="X49" s="18" t="n">
        <v>17700</v>
      </c>
      <c r="Y49" s="18" t="n">
        <v>17700</v>
      </c>
      <c r="Z49" s="37" t="n">
        <v>17700</v>
      </c>
      <c r="AA49" s="18" t="n">
        <v>17700</v>
      </c>
      <c r="AB49" s="19" t="n">
        <v>17700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순차입금</t>
        </is>
      </c>
      <c r="E50" s="18" t="n">
        <v>916.8099999999999</v>
      </c>
      <c r="F50" s="37" t="n">
        <v>916.8099999999999</v>
      </c>
      <c r="G50" s="18" t="n">
        <v>9878.200000000001</v>
      </c>
      <c r="H50" s="18" t="n">
        <v>13776.34</v>
      </c>
      <c r="I50" s="18" t="n">
        <v>13784.67</v>
      </c>
      <c r="J50" s="18" t="n">
        <v>13943.95</v>
      </c>
      <c r="K50" s="37" t="n">
        <v>13943.95</v>
      </c>
      <c r="L50" s="18" t="n">
        <v>10402.97</v>
      </c>
      <c r="M50" s="18" t="n">
        <v>8491.620000000001</v>
      </c>
      <c r="N50" s="18" t="n">
        <v>6205.7</v>
      </c>
      <c r="O50" s="18" t="n">
        <v>6053.04</v>
      </c>
      <c r="P50" s="37" t="n">
        <v>6053.04</v>
      </c>
      <c r="Q50" s="18" t="n">
        <v>4578.72</v>
      </c>
      <c r="R50" s="18" t="n">
        <v>-11477.14</v>
      </c>
      <c r="S50" s="18" t="n">
        <v>-11597.53</v>
      </c>
      <c r="T50" s="18" t="n">
        <v>-14464.16</v>
      </c>
      <c r="U50" s="37" t="n">
        <v>-14464.16</v>
      </c>
      <c r="V50" s="18" t="n">
        <v>-12461.87</v>
      </c>
      <c r="W50" s="18" t="n">
        <v>-11925.64</v>
      </c>
      <c r="X50" s="18" t="n">
        <v>-13060.96</v>
      </c>
      <c r="Y50" s="18" t="n">
        <v>-12732.78</v>
      </c>
      <c r="Z50" s="37" t="n">
        <v>-12732.78</v>
      </c>
      <c r="AA50" s="18" t="n">
        <v>-14874.17</v>
      </c>
      <c r="AB50" s="19" t="n">
        <v>-17857.17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이자발생자산</t>
        </is>
      </c>
      <c r="E51" s="18" t="n">
        <v>14270.76</v>
      </c>
      <c r="F51" s="37" t="n">
        <v>14270.76</v>
      </c>
      <c r="G51" s="18" t="n">
        <v>14302.52</v>
      </c>
      <c r="H51" s="18" t="n">
        <v>10956.15</v>
      </c>
      <c r="I51" s="18" t="n">
        <v>12200.25</v>
      </c>
      <c r="J51" s="18" t="n">
        <v>11411.44</v>
      </c>
      <c r="K51" s="37" t="n">
        <v>11411.44</v>
      </c>
      <c r="L51" s="18" t="n">
        <v>15204.62</v>
      </c>
      <c r="M51" s="18" t="n">
        <v>17737.48</v>
      </c>
      <c r="N51" s="18" t="n">
        <v>19337.92</v>
      </c>
      <c r="O51" s="18" t="n">
        <v>19504.74</v>
      </c>
      <c r="P51" s="37" t="n">
        <v>19504.74</v>
      </c>
      <c r="Q51" s="18" t="n">
        <v>20460.57</v>
      </c>
      <c r="R51" s="18" t="n">
        <v>31739.03</v>
      </c>
      <c r="S51" s="18" t="n">
        <v>32929.34</v>
      </c>
      <c r="T51" s="18" t="n">
        <v>35341.31</v>
      </c>
      <c r="U51" s="37" t="n">
        <v>35341.31</v>
      </c>
      <c r="V51" s="18" t="n">
        <v>33736.69</v>
      </c>
      <c r="W51" s="18" t="n">
        <v>35536.26</v>
      </c>
      <c r="X51" s="18" t="n">
        <v>38452.94</v>
      </c>
      <c r="Y51" s="18" t="n">
        <v>38317.87</v>
      </c>
      <c r="Z51" s="37" t="n">
        <v>38317.87</v>
      </c>
      <c r="AA51" s="18" t="n">
        <v>41001.54</v>
      </c>
      <c r="AB51" s="19" t="n">
        <v>45770.84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당기법인세자산(선급법인세)</t>
        </is>
      </c>
      <c r="F52" s="9" t="n"/>
      <c r="K52" s="9" t="n"/>
      <c r="N52" s="18" t="n">
        <v>82.65000000000001</v>
      </c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기타비유동부채</t>
        </is>
      </c>
      <c r="F53" s="9" t="n"/>
      <c r="K53" s="9" t="n"/>
      <c r="P53" s="9" t="n"/>
      <c r="T53" s="18" t="n">
        <v>9.58</v>
      </c>
      <c r="U53" s="37" t="n">
        <v>9.58</v>
      </c>
      <c r="V53" s="18" t="n">
        <v>9.98</v>
      </c>
      <c r="W53" s="18" t="n">
        <v>8.949999999999999</v>
      </c>
      <c r="X53" s="18" t="n">
        <v>9.82</v>
      </c>
      <c r="Y53" s="18" t="n">
        <v>6.81</v>
      </c>
      <c r="Z53" s="37" t="n">
        <v>6.81</v>
      </c>
      <c r="AA53" s="18" t="n">
        <v>7.51</v>
      </c>
      <c r="AB53" s="19" t="n">
        <v>5.65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투자부동산</t>
        </is>
      </c>
      <c r="F54" s="9" t="n"/>
      <c r="K54" s="9" t="n"/>
      <c r="P54" s="9" t="n"/>
      <c r="U54" s="9" t="n"/>
      <c r="Y54" s="18" t="n">
        <v>8169.29</v>
      </c>
      <c r="Z54" s="37" t="n">
        <v>8169.29</v>
      </c>
      <c r="AA54" s="18" t="n">
        <v>8169.29</v>
      </c>
      <c r="AB54" s="19" t="n">
        <v>8169.29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매각예정비유동자산및처분자산</t>
        </is>
      </c>
      <c r="F55" s="9" t="n"/>
      <c r="K55" s="9" t="n"/>
      <c r="P55" s="9" t="n"/>
      <c r="U55" s="9" t="n"/>
      <c r="Z55" s="9" t="n"/>
      <c r="AB55" s="19" t="n">
        <v>986.25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매출액(수익)</t>
        </is>
      </c>
      <c r="E56" s="18" t="n">
        <v>13028.42</v>
      </c>
      <c r="F56" s="9" t="n"/>
      <c r="G56" s="18" t="n">
        <v>9661.41</v>
      </c>
      <c r="H56" s="18" t="n">
        <v>7581.21</v>
      </c>
      <c r="I56" s="18" t="n">
        <v>11424.27</v>
      </c>
      <c r="J56" s="18" t="n">
        <v>12123.76</v>
      </c>
      <c r="K56" s="37" t="n">
        <v>40790.65</v>
      </c>
      <c r="L56" s="18" t="n">
        <v>7648.6</v>
      </c>
      <c r="M56" s="18" t="n">
        <v>6882.17</v>
      </c>
      <c r="N56" s="18" t="n">
        <v>4143.53</v>
      </c>
      <c r="O56" s="18" t="n">
        <v>6989.32</v>
      </c>
      <c r="P56" s="37" t="n">
        <v>25663.62</v>
      </c>
      <c r="Q56" s="18" t="n">
        <v>4256.38</v>
      </c>
      <c r="R56" s="18" t="n">
        <v>2062.35</v>
      </c>
      <c r="S56" s="18" t="n">
        <v>3378.91</v>
      </c>
      <c r="T56" s="18" t="n">
        <v>4838.84</v>
      </c>
      <c r="U56" s="37" t="n">
        <v>14536.48</v>
      </c>
      <c r="V56" s="18" t="n">
        <v>1560</v>
      </c>
      <c r="W56" s="18" t="n">
        <v>2719.07</v>
      </c>
      <c r="X56" s="18" t="n">
        <v>2291.1</v>
      </c>
      <c r="Y56" s="18" t="n">
        <v>2224.94</v>
      </c>
      <c r="Z56" s="37" t="n">
        <v>8795.110000000001</v>
      </c>
      <c r="AA56" s="18" t="n">
        <v>2882.21</v>
      </c>
      <c r="AB56" s="19" t="n">
        <v>4568.32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매출원가</t>
        </is>
      </c>
      <c r="E57" s="18" t="n">
        <v>10701</v>
      </c>
      <c r="F57" s="9" t="n"/>
      <c r="G57" s="18" t="n">
        <v>8461.34</v>
      </c>
      <c r="H57" s="18" t="n">
        <v>6482.02</v>
      </c>
      <c r="I57" s="18" t="n">
        <v>7404.42</v>
      </c>
      <c r="J57" s="18" t="n">
        <v>11122.52</v>
      </c>
      <c r="K57" s="37" t="n">
        <v>33470.3</v>
      </c>
      <c r="L57" s="18" t="n">
        <v>6681.99</v>
      </c>
      <c r="M57" s="18" t="n">
        <v>5476.61</v>
      </c>
      <c r="N57" s="18" t="n">
        <v>3173.68</v>
      </c>
      <c r="O57" s="18" t="n">
        <v>4386.04</v>
      </c>
      <c r="P57" s="37" t="n">
        <v>19718.32</v>
      </c>
      <c r="Q57" s="18" t="n">
        <v>3373.95</v>
      </c>
      <c r="R57" s="18" t="n">
        <v>1498.34</v>
      </c>
      <c r="S57" s="18" t="n">
        <v>1436.31</v>
      </c>
      <c r="T57" s="18" t="n">
        <v>3741.01</v>
      </c>
      <c r="U57" s="37" t="n">
        <v>10049.61</v>
      </c>
      <c r="V57" s="18" t="n">
        <v>1065.96</v>
      </c>
      <c r="W57" s="18" t="n">
        <v>1909.47</v>
      </c>
      <c r="X57" s="18" t="n">
        <v>1702.97</v>
      </c>
      <c r="Y57" s="18" t="n">
        <v>1502.82</v>
      </c>
      <c r="Z57" s="37" t="n">
        <v>6181.22</v>
      </c>
      <c r="AA57" s="18" t="n">
        <v>1886.8</v>
      </c>
      <c r="AB57" s="19" t="n">
        <v>2325.04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매출총이익</t>
        </is>
      </c>
      <c r="E58" s="18" t="n">
        <v>2327.4</v>
      </c>
      <c r="F58" s="9" t="n"/>
      <c r="G58" s="18" t="n">
        <v>1200.06</v>
      </c>
      <c r="H58" s="18" t="n">
        <v>1099.19</v>
      </c>
      <c r="I58" s="18" t="n">
        <v>4019.85</v>
      </c>
      <c r="J58" s="18" t="n">
        <v>1001.24</v>
      </c>
      <c r="K58" s="37" t="n">
        <v>7320.34</v>
      </c>
      <c r="L58" s="18" t="n">
        <v>966.61</v>
      </c>
      <c r="M58" s="18" t="n">
        <v>1405.56</v>
      </c>
      <c r="N58" s="18" t="n">
        <v>969.84</v>
      </c>
      <c r="O58" s="18" t="n">
        <v>2603.28</v>
      </c>
      <c r="P58" s="37" t="n">
        <v>5945.29</v>
      </c>
      <c r="Q58" s="18" t="n">
        <v>882.4299999999999</v>
      </c>
      <c r="R58" s="18" t="n">
        <v>564.01</v>
      </c>
      <c r="S58" s="18" t="n">
        <v>1942.6</v>
      </c>
      <c r="T58" s="18" t="n">
        <v>1097.83</v>
      </c>
      <c r="U58" s="37" t="n">
        <v>4486.87</v>
      </c>
      <c r="V58" s="18" t="n">
        <v>494.05</v>
      </c>
      <c r="W58" s="18" t="n">
        <v>809.6</v>
      </c>
      <c r="X58" s="18" t="n">
        <v>588.13</v>
      </c>
      <c r="Y58" s="18" t="n">
        <v>722.13</v>
      </c>
      <c r="Z58" s="37" t="n">
        <v>2613.91</v>
      </c>
      <c r="AA58" s="18" t="n">
        <v>995.41</v>
      </c>
      <c r="AB58" s="19" t="n">
        <v>2243.27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판관비</t>
        </is>
      </c>
      <c r="E59" s="18" t="n">
        <v>1400.56</v>
      </c>
      <c r="F59" s="9" t="n"/>
      <c r="G59" s="18" t="n">
        <v>1303.26</v>
      </c>
      <c r="H59" s="18" t="n">
        <v>1115.73</v>
      </c>
      <c r="I59" s="18" t="n">
        <v>1464.12</v>
      </c>
      <c r="J59" s="18" t="n">
        <v>1559.72</v>
      </c>
      <c r="K59" s="37" t="n">
        <v>5442.83</v>
      </c>
      <c r="L59" s="18" t="n">
        <v>1084.6</v>
      </c>
      <c r="M59" s="18" t="n">
        <v>863.01</v>
      </c>
      <c r="N59" s="18" t="n">
        <v>1485.81</v>
      </c>
      <c r="O59" s="18" t="n">
        <v>959.59</v>
      </c>
      <c r="P59" s="37" t="n">
        <v>4393.01</v>
      </c>
      <c r="Q59" s="18" t="n">
        <v>915.4400000000001</v>
      </c>
      <c r="R59" s="18" t="n">
        <v>495.36</v>
      </c>
      <c r="S59" s="18" t="n">
        <v>485.91</v>
      </c>
      <c r="T59" s="18" t="n">
        <v>502.08</v>
      </c>
      <c r="U59" s="37" t="n">
        <v>2398.79</v>
      </c>
      <c r="V59" s="18" t="n">
        <v>420.69</v>
      </c>
      <c r="W59" s="18" t="n">
        <v>420.4</v>
      </c>
      <c r="X59" s="18" t="n">
        <v>477.05</v>
      </c>
      <c r="Y59" s="18" t="n">
        <v>540.51</v>
      </c>
      <c r="Z59" s="37" t="n">
        <v>1858.65</v>
      </c>
      <c r="AA59" s="18" t="n">
        <v>451.59</v>
      </c>
      <c r="AB59" s="19" t="n">
        <v>420.18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영업이익</t>
        </is>
      </c>
      <c r="E60" s="18" t="n">
        <v>926.84</v>
      </c>
      <c r="F60" s="9" t="n"/>
      <c r="G60" s="18" t="n">
        <v>-103.2</v>
      </c>
      <c r="H60" s="18" t="n">
        <v>-16.54</v>
      </c>
      <c r="I60" s="18" t="n">
        <v>2555.73</v>
      </c>
      <c r="J60" s="18" t="n">
        <v>-558.49</v>
      </c>
      <c r="K60" s="37" t="n">
        <v>1877.5</v>
      </c>
      <c r="L60" s="18" t="n">
        <v>-117.99</v>
      </c>
      <c r="M60" s="18" t="n">
        <v>542.5599999999999</v>
      </c>
      <c r="N60" s="18" t="n">
        <v>-515.97</v>
      </c>
      <c r="O60" s="18" t="n">
        <v>1643.69</v>
      </c>
      <c r="P60" s="37" t="n">
        <v>1552.29</v>
      </c>
      <c r="Q60" s="18" t="n">
        <v>-33</v>
      </c>
      <c r="R60" s="18" t="n">
        <v>68.65000000000001</v>
      </c>
      <c r="S60" s="18" t="n">
        <v>1456.69</v>
      </c>
      <c r="T60" s="18" t="n">
        <v>595.75</v>
      </c>
      <c r="U60" s="37" t="n">
        <v>2088.09</v>
      </c>
      <c r="V60" s="18" t="n">
        <v>73.36</v>
      </c>
      <c r="W60" s="18" t="n">
        <v>389.2</v>
      </c>
      <c r="X60" s="18" t="n">
        <v>111.08</v>
      </c>
      <c r="Y60" s="18" t="n">
        <v>181.61</v>
      </c>
      <c r="Z60" s="37" t="n">
        <v>755.25</v>
      </c>
      <c r="AA60" s="18" t="n">
        <v>543.8200000000001</v>
      </c>
      <c r="AB60" s="19" t="n">
        <v>1823.09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기타영업외손익</t>
        </is>
      </c>
      <c r="E61" s="18" t="n">
        <v>17.53</v>
      </c>
      <c r="F61" s="9" t="n"/>
      <c r="G61" s="18" t="n">
        <v>12.41</v>
      </c>
      <c r="H61" s="18" t="n">
        <v>20.87</v>
      </c>
      <c r="I61" s="18" t="n">
        <v>18.1</v>
      </c>
      <c r="J61" s="18" t="n">
        <v>63.24</v>
      </c>
      <c r="K61" s="37" t="n">
        <v>114.62</v>
      </c>
      <c r="L61" s="18" t="n">
        <v>123.38</v>
      </c>
      <c r="M61" s="18" t="n">
        <v>110.59</v>
      </c>
      <c r="N61" s="18" t="n">
        <v>115.16</v>
      </c>
      <c r="O61" s="18" t="n">
        <v>432.45</v>
      </c>
      <c r="P61" s="37" t="n">
        <v>781.58</v>
      </c>
      <c r="Q61" s="18" t="n">
        <v>144.55</v>
      </c>
      <c r="R61" s="18" t="n">
        <v>112.75</v>
      </c>
      <c r="S61" s="18" t="n">
        <v>312.94</v>
      </c>
      <c r="T61" s="18" t="n">
        <v>121.92</v>
      </c>
      <c r="U61" s="37" t="n">
        <v>692.16</v>
      </c>
      <c r="V61" s="18" t="n">
        <v>89.63</v>
      </c>
      <c r="W61" s="18" t="n">
        <v>101.53</v>
      </c>
      <c r="X61" s="18" t="n">
        <v>104.03</v>
      </c>
      <c r="Y61" s="18" t="n">
        <v>109.46</v>
      </c>
      <c r="Z61" s="37" t="n">
        <v>404.65</v>
      </c>
      <c r="AA61" s="18" t="n">
        <v>99.88</v>
      </c>
      <c r="AB61" s="19" t="n">
        <v>263.32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기타영업외수익</t>
        </is>
      </c>
      <c r="E62" s="18" t="n">
        <v>23.1</v>
      </c>
      <c r="F62" s="9" t="n"/>
      <c r="G62" s="18" t="n">
        <v>12.44</v>
      </c>
      <c r="H62" s="18" t="n">
        <v>20.87</v>
      </c>
      <c r="I62" s="18" t="n">
        <v>18.85</v>
      </c>
      <c r="J62" s="18" t="n">
        <v>63.24</v>
      </c>
      <c r="K62" s="37" t="n">
        <v>115.4</v>
      </c>
      <c r="L62" s="18" t="n">
        <v>123.38</v>
      </c>
      <c r="M62" s="18" t="n">
        <v>110.59</v>
      </c>
      <c r="N62" s="18" t="n">
        <v>115.16</v>
      </c>
      <c r="O62" s="18" t="n">
        <v>433.23</v>
      </c>
      <c r="P62" s="37" t="n">
        <v>782.36</v>
      </c>
      <c r="Q62" s="18" t="n">
        <v>144.55</v>
      </c>
      <c r="R62" s="18" t="n">
        <v>113.05</v>
      </c>
      <c r="S62" s="18" t="n">
        <v>313.03</v>
      </c>
      <c r="T62" s="18" t="n">
        <v>121.92</v>
      </c>
      <c r="U62" s="37" t="n">
        <v>692.55</v>
      </c>
      <c r="V62" s="18" t="n">
        <v>103.95</v>
      </c>
      <c r="W62" s="18" t="n">
        <v>101.66</v>
      </c>
      <c r="X62" s="18" t="n">
        <v>104.03</v>
      </c>
      <c r="Y62" s="18" t="n">
        <v>109.46</v>
      </c>
      <c r="Z62" s="37" t="n">
        <v>419.1</v>
      </c>
      <c r="AA62" s="18" t="n">
        <v>99.88</v>
      </c>
      <c r="AB62" s="19" t="n">
        <v>266.23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기타영업외비용</t>
        </is>
      </c>
      <c r="E63" s="18" t="n">
        <v>5.58</v>
      </c>
      <c r="F63" s="9" t="n"/>
      <c r="G63" s="18" t="n">
        <v>0.03</v>
      </c>
      <c r="H63" s="18" t="n">
        <v>0</v>
      </c>
      <c r="I63" s="18" t="n">
        <v>0.75</v>
      </c>
      <c r="J63" s="18" t="n">
        <v>0</v>
      </c>
      <c r="K63" s="37" t="n">
        <v>0.78</v>
      </c>
      <c r="L63" s="18" t="n">
        <v>0</v>
      </c>
      <c r="M63" s="18" t="n">
        <v>0</v>
      </c>
      <c r="N63" s="18" t="n">
        <v>0</v>
      </c>
      <c r="O63" s="18" t="n">
        <v>0.78</v>
      </c>
      <c r="P63" s="37" t="n">
        <v>0.78</v>
      </c>
      <c r="Q63" s="18" t="n">
        <v>0</v>
      </c>
      <c r="R63" s="18" t="n">
        <v>0.3</v>
      </c>
      <c r="S63" s="18" t="n">
        <v>0.09</v>
      </c>
      <c r="T63" s="18" t="n">
        <v>0</v>
      </c>
      <c r="U63" s="37" t="n">
        <v>0.39</v>
      </c>
      <c r="V63" s="18" t="n">
        <v>14.32</v>
      </c>
      <c r="W63" s="18" t="n">
        <v>0.13</v>
      </c>
      <c r="X63" s="18" t="n">
        <v>0</v>
      </c>
      <c r="Y63" s="18" t="n">
        <v>0</v>
      </c>
      <c r="Z63" s="37" t="n">
        <v>14.45</v>
      </c>
      <c r="AA63" s="18" t="n">
        <v>0</v>
      </c>
      <c r="AB63" s="19" t="n">
        <v>2.91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금융손익</t>
        </is>
      </c>
      <c r="E64" s="18" t="n">
        <v>396.33</v>
      </c>
      <c r="F64" s="9" t="n"/>
      <c r="G64" s="18" t="n">
        <v>291.59</v>
      </c>
      <c r="H64" s="18" t="n">
        <v>127.28</v>
      </c>
      <c r="I64" s="18" t="n">
        <v>594.13</v>
      </c>
      <c r="J64" s="18" t="n">
        <v>-565.59</v>
      </c>
      <c r="K64" s="37" t="n">
        <v>447.41</v>
      </c>
      <c r="L64" s="18" t="n">
        <v>252.45</v>
      </c>
      <c r="M64" s="18" t="n">
        <v>-69.29000000000001</v>
      </c>
      <c r="N64" s="18" t="n">
        <v>205.17</v>
      </c>
      <c r="O64" s="18" t="n">
        <v>340.46</v>
      </c>
      <c r="P64" s="37" t="n">
        <v>728.79</v>
      </c>
      <c r="Q64" s="18" t="n">
        <v>433.18</v>
      </c>
      <c r="R64" s="18" t="n">
        <v>-531.83</v>
      </c>
      <c r="S64" s="18" t="n">
        <v>-15.58</v>
      </c>
      <c r="T64" s="18" t="n">
        <v>648.67</v>
      </c>
      <c r="U64" s="37" t="n">
        <v>534.4400000000001</v>
      </c>
      <c r="V64" s="18" t="n">
        <v>591.63</v>
      </c>
      <c r="W64" s="18" t="n">
        <v>-22.99</v>
      </c>
      <c r="X64" s="18" t="n">
        <v>865.05</v>
      </c>
      <c r="Y64" s="18" t="n">
        <v>848.63</v>
      </c>
      <c r="Z64" s="37" t="n">
        <v>2282.32</v>
      </c>
      <c r="AA64" s="18" t="n">
        <v>2047.93</v>
      </c>
      <c r="AB64" s="19" t="n">
        <v>2824.66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금융수익</t>
        </is>
      </c>
      <c r="E65" s="18" t="n">
        <v>619.9</v>
      </c>
      <c r="F65" s="9" t="n"/>
      <c r="G65" s="18" t="n">
        <v>422.25</v>
      </c>
      <c r="H65" s="18" t="n">
        <v>280.4</v>
      </c>
      <c r="I65" s="18" t="n">
        <v>768.95</v>
      </c>
      <c r="J65" s="18" t="n">
        <v>-110.92</v>
      </c>
      <c r="K65" s="37" t="n">
        <v>1360.68</v>
      </c>
      <c r="L65" s="18" t="n">
        <v>494.41</v>
      </c>
      <c r="M65" s="18" t="n">
        <v>152.45</v>
      </c>
      <c r="N65" s="18" t="n">
        <v>470.51</v>
      </c>
      <c r="O65" s="18" t="n">
        <v>565.97</v>
      </c>
      <c r="P65" s="37" t="n">
        <v>1683.34</v>
      </c>
      <c r="Q65" s="18" t="n">
        <v>634.25</v>
      </c>
      <c r="R65" s="18" t="n">
        <v>32.2</v>
      </c>
      <c r="S65" s="18" t="n">
        <v>419.54</v>
      </c>
      <c r="T65" s="18" t="n">
        <v>972.3</v>
      </c>
      <c r="U65" s="37" t="n">
        <v>2058.29</v>
      </c>
      <c r="V65" s="18" t="n">
        <v>736.9</v>
      </c>
      <c r="W65" s="18" t="n">
        <v>145.79</v>
      </c>
      <c r="X65" s="18" t="n">
        <v>1022.57</v>
      </c>
      <c r="Y65" s="18" t="n">
        <v>1552.65</v>
      </c>
      <c r="Z65" s="37" t="n">
        <v>3457.91</v>
      </c>
      <c r="AA65" s="18" t="n">
        <v>3907.86</v>
      </c>
      <c r="AB65" s="19" t="n">
        <v>2929.37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금융비용</t>
        </is>
      </c>
      <c r="E66" s="18" t="n">
        <v>223.57</v>
      </c>
      <c r="F66" s="9" t="n"/>
      <c r="G66" s="18" t="n">
        <v>130.66</v>
      </c>
      <c r="H66" s="18" t="n">
        <v>153.12</v>
      </c>
      <c r="I66" s="18" t="n">
        <v>174.82</v>
      </c>
      <c r="J66" s="18" t="n">
        <v>454.67</v>
      </c>
      <c r="K66" s="37" t="n">
        <v>913.27</v>
      </c>
      <c r="L66" s="18" t="n">
        <v>241.96</v>
      </c>
      <c r="M66" s="18" t="n">
        <v>221.74</v>
      </c>
      <c r="N66" s="18" t="n">
        <v>265.34</v>
      </c>
      <c r="O66" s="18" t="n">
        <v>225.5</v>
      </c>
      <c r="P66" s="37" t="n">
        <v>954.54</v>
      </c>
      <c r="Q66" s="18" t="n">
        <v>201.07</v>
      </c>
      <c r="R66" s="18" t="n">
        <v>564.03</v>
      </c>
      <c r="S66" s="18" t="n">
        <v>435.12</v>
      </c>
      <c r="T66" s="18" t="n">
        <v>323.63</v>
      </c>
      <c r="U66" s="37" t="n">
        <v>1523.85</v>
      </c>
      <c r="V66" s="18" t="n">
        <v>145.27</v>
      </c>
      <c r="W66" s="18" t="n">
        <v>168.78</v>
      </c>
      <c r="X66" s="18" t="n">
        <v>157.52</v>
      </c>
      <c r="Y66" s="18" t="n">
        <v>704.02</v>
      </c>
      <c r="Z66" s="37" t="n">
        <v>1175.59</v>
      </c>
      <c r="AA66" s="18" t="n">
        <v>1859.93</v>
      </c>
      <c r="AB66" s="19" t="n">
        <v>104.71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법인세비용차감전계속사업이익</t>
        </is>
      </c>
      <c r="E67" s="18" t="n">
        <v>1340.7</v>
      </c>
      <c r="F67" s="9" t="n"/>
      <c r="G67" s="18" t="n">
        <v>200.8</v>
      </c>
      <c r="H67" s="18" t="n">
        <v>131.6</v>
      </c>
      <c r="I67" s="18" t="n">
        <v>3167.95</v>
      </c>
      <c r="J67" s="18" t="n">
        <v>-1060.83</v>
      </c>
      <c r="K67" s="37" t="n">
        <v>2439.52</v>
      </c>
      <c r="L67" s="18" t="n">
        <v>257.84</v>
      </c>
      <c r="M67" s="18" t="n">
        <v>583.86</v>
      </c>
      <c r="N67" s="18" t="n">
        <v>-195.63</v>
      </c>
      <c r="O67" s="18" t="n">
        <v>2416.6</v>
      </c>
      <c r="P67" s="37" t="n">
        <v>3062.67</v>
      </c>
      <c r="Q67" s="18" t="n">
        <v>544.73</v>
      </c>
      <c r="R67" s="18" t="n">
        <v>-350.44</v>
      </c>
      <c r="S67" s="18" t="n">
        <v>1754.05</v>
      </c>
      <c r="T67" s="18" t="n">
        <v>1366.35</v>
      </c>
      <c r="U67" s="37" t="n">
        <v>3314.69</v>
      </c>
      <c r="V67" s="18" t="n">
        <v>754.63</v>
      </c>
      <c r="W67" s="18" t="n">
        <v>467.74</v>
      </c>
      <c r="X67" s="18" t="n">
        <v>1080.16</v>
      </c>
      <c r="Y67" s="18" t="n">
        <v>1139.7</v>
      </c>
      <c r="Z67" s="37" t="n">
        <v>3442.23</v>
      </c>
      <c r="AA67" s="18" t="n">
        <v>2691.64</v>
      </c>
      <c r="AB67" s="19" t="n">
        <v>4911.07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</t>
        </is>
      </c>
      <c r="E68" s="18" t="n">
        <v>441.05</v>
      </c>
      <c r="F68" s="9" t="n"/>
      <c r="G68" s="18" t="n">
        <v>28.86</v>
      </c>
      <c r="H68" s="18" t="n">
        <v>39.86</v>
      </c>
      <c r="I68" s="18" t="n">
        <v>699.27</v>
      </c>
      <c r="J68" s="18" t="n">
        <v>-405.62</v>
      </c>
      <c r="K68" s="37" t="n">
        <v>362.37</v>
      </c>
      <c r="L68" s="18" t="n">
        <v>0.48</v>
      </c>
      <c r="M68" s="18" t="n">
        <v>108.92</v>
      </c>
      <c r="N68" s="18" t="n">
        <v>-84.12</v>
      </c>
      <c r="O68" s="18" t="n">
        <v>111.39</v>
      </c>
      <c r="P68" s="37" t="n">
        <v>136.67</v>
      </c>
      <c r="Q68" s="18" t="n">
        <v>71.73</v>
      </c>
      <c r="R68" s="18" t="n">
        <v>-192.66</v>
      </c>
      <c r="S68" s="18" t="n">
        <v>358.65</v>
      </c>
      <c r="T68" s="18" t="n">
        <v>368.83</v>
      </c>
      <c r="U68" s="37" t="n">
        <v>606.55</v>
      </c>
      <c r="V68" s="18" t="n">
        <v>166.36</v>
      </c>
      <c r="W68" s="18" t="n">
        <v>111.23</v>
      </c>
      <c r="X68" s="18" t="n">
        <v>264.39</v>
      </c>
      <c r="Y68" s="18" t="n">
        <v>36.69</v>
      </c>
      <c r="Z68" s="37" t="n">
        <v>578.67</v>
      </c>
      <c r="AA68" s="18" t="n">
        <v>581.84</v>
      </c>
      <c r="AB68" s="19" t="n">
        <v>1022.88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당기순이익</t>
        </is>
      </c>
      <c r="E69" s="18" t="n">
        <v>899.66</v>
      </c>
      <c r="F69" s="9" t="n"/>
      <c r="G69" s="18" t="n">
        <v>171.93</v>
      </c>
      <c r="H69" s="18" t="n">
        <v>91.75</v>
      </c>
      <c r="I69" s="18" t="n">
        <v>2468.68</v>
      </c>
      <c r="J69" s="18" t="n">
        <v>-655.21</v>
      </c>
      <c r="K69" s="37" t="n">
        <v>2077.15</v>
      </c>
      <c r="L69" s="18" t="n">
        <v>258.32</v>
      </c>
      <c r="M69" s="18" t="n">
        <v>474.94</v>
      </c>
      <c r="N69" s="18" t="n">
        <v>-111.51</v>
      </c>
      <c r="O69" s="18" t="n">
        <v>2305.22</v>
      </c>
      <c r="P69" s="37" t="n">
        <v>2926.97</v>
      </c>
      <c r="Q69" s="18" t="n">
        <v>473</v>
      </c>
      <c r="R69" s="18" t="n">
        <v>9661.48</v>
      </c>
      <c r="S69" s="18" t="n">
        <v>1395.4</v>
      </c>
      <c r="T69" s="18" t="n">
        <v>997.51</v>
      </c>
      <c r="U69" s="37" t="n">
        <v>12527.39</v>
      </c>
      <c r="V69" s="18" t="n">
        <v>588.27</v>
      </c>
      <c r="W69" s="18" t="n">
        <v>356.52</v>
      </c>
      <c r="X69" s="18" t="n">
        <v>815.77</v>
      </c>
      <c r="Y69" s="18" t="n">
        <v>1103.01</v>
      </c>
      <c r="Z69" s="37" t="n">
        <v>2863.57</v>
      </c>
      <c r="AA69" s="18" t="n">
        <v>2109.8</v>
      </c>
      <c r="AB69" s="19" t="n">
        <v>3888.19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894.97</v>
      </c>
      <c r="F70" s="9" t="n"/>
      <c r="G70" s="18" t="n">
        <v>701.8</v>
      </c>
      <c r="H70" s="18" t="n">
        <v>-129.28</v>
      </c>
      <c r="I70" s="18" t="n">
        <v>2847.47</v>
      </c>
      <c r="J70" s="18" t="n">
        <v>-1253.8</v>
      </c>
      <c r="K70" s="37" t="n">
        <v>2166.19</v>
      </c>
      <c r="L70" s="18" t="n">
        <v>457.55</v>
      </c>
      <c r="M70" s="18" t="n">
        <v>1513.09</v>
      </c>
      <c r="N70" s="18" t="n">
        <v>-608.62</v>
      </c>
      <c r="O70" s="18" t="n">
        <v>2231.78</v>
      </c>
      <c r="P70" s="37" t="n">
        <v>3593.8</v>
      </c>
      <c r="Q70" s="18" t="n">
        <v>161.11</v>
      </c>
      <c r="R70" s="18" t="n">
        <v>9646.700000000001</v>
      </c>
      <c r="S70" s="18" t="n">
        <v>1258.42</v>
      </c>
      <c r="T70" s="18" t="n">
        <v>-92.37</v>
      </c>
      <c r="U70" s="37" t="n">
        <v>10973.86</v>
      </c>
      <c r="V70" s="18" t="n">
        <v>606.4</v>
      </c>
      <c r="W70" s="18" t="n">
        <v>657.77</v>
      </c>
      <c r="X70" s="18" t="n">
        <v>813.87</v>
      </c>
      <c r="Y70" s="18" t="n">
        <v>1233.27</v>
      </c>
      <c r="Z70" s="37" t="n">
        <v>3311.31</v>
      </c>
      <c r="AA70" s="18" t="n">
        <v>2091.86</v>
      </c>
      <c r="AB70" s="19" t="n">
        <v>3725.53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(지배주주지분)당기순이익</t>
        </is>
      </c>
      <c r="E71" s="18" t="n">
        <v>899.66</v>
      </c>
      <c r="F71" s="9" t="n"/>
      <c r="G71" s="18" t="n">
        <v>171.93</v>
      </c>
      <c r="H71" s="18" t="n">
        <v>91.75</v>
      </c>
      <c r="I71" s="18" t="n">
        <v>2468.68</v>
      </c>
      <c r="J71" s="18" t="n">
        <v>-655.21</v>
      </c>
      <c r="K71" s="37" t="n">
        <v>2077.15</v>
      </c>
      <c r="L71" s="18" t="n">
        <v>258.32</v>
      </c>
      <c r="M71" s="18" t="n">
        <v>474.94</v>
      </c>
      <c r="N71" s="18" t="n">
        <v>-111.51</v>
      </c>
      <c r="O71" s="18" t="n">
        <v>2305.22</v>
      </c>
      <c r="P71" s="37" t="n">
        <v>2926.97</v>
      </c>
      <c r="Q71" s="18" t="n">
        <v>473</v>
      </c>
      <c r="R71" s="18" t="n">
        <v>9661.48</v>
      </c>
      <c r="S71" s="18" t="n">
        <v>1395.4</v>
      </c>
      <c r="T71" s="18" t="n">
        <v>997.51</v>
      </c>
      <c r="U71" s="37" t="n">
        <v>12527.39</v>
      </c>
      <c r="V71" s="18" t="n">
        <v>588.27</v>
      </c>
      <c r="W71" s="18" t="n">
        <v>356.52</v>
      </c>
      <c r="X71" s="18" t="n">
        <v>815.77</v>
      </c>
      <c r="Y71" s="18" t="n">
        <v>1103.01</v>
      </c>
      <c r="Z71" s="37" t="n">
        <v>2863.57</v>
      </c>
      <c r="AA71" s="18" t="n">
        <v>2109.8</v>
      </c>
      <c r="AB71" s="19" t="n">
        <v>3888.19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계속사업이익</t>
        </is>
      </c>
      <c r="E72" s="18" t="n">
        <v>899.66</v>
      </c>
      <c r="F72" s="9" t="n"/>
      <c r="G72" s="18" t="n">
        <v>171.93</v>
      </c>
      <c r="H72" s="18" t="n">
        <v>91.75</v>
      </c>
      <c r="I72" s="18" t="n">
        <v>2468.68</v>
      </c>
      <c r="J72" s="18" t="n">
        <v>-655.21</v>
      </c>
      <c r="K72" s="37" t="n">
        <v>2077.15</v>
      </c>
      <c r="L72" s="18" t="n">
        <v>258.32</v>
      </c>
      <c r="M72" s="18" t="n">
        <v>474.94</v>
      </c>
      <c r="N72" s="18" t="n">
        <v>-111.51</v>
      </c>
      <c r="O72" s="18" t="n">
        <v>2305.22</v>
      </c>
      <c r="P72" s="37" t="n">
        <v>2926.97</v>
      </c>
      <c r="Q72" s="18" t="n">
        <v>473</v>
      </c>
      <c r="R72" s="18" t="n">
        <v>-157.78</v>
      </c>
      <c r="S72" s="18" t="n">
        <v>1395.4</v>
      </c>
      <c r="T72" s="18" t="n">
        <v>997.51</v>
      </c>
      <c r="U72" s="37" t="n">
        <v>2708.13</v>
      </c>
      <c r="V72" s="18" t="n">
        <v>588.27</v>
      </c>
      <c r="W72" s="18" t="n">
        <v>356.52</v>
      </c>
      <c r="X72" s="18" t="n">
        <v>815.77</v>
      </c>
      <c r="Y72" s="18" t="n">
        <v>1103.01</v>
      </c>
      <c r="Z72" s="37" t="n">
        <v>2863.57</v>
      </c>
      <c r="AA72" s="18" t="n">
        <v>2109.8</v>
      </c>
      <c r="AB72" s="19" t="n">
        <v>3888.19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중단사업이익</t>
        </is>
      </c>
      <c r="F73" s="9" t="n"/>
      <c r="K73" s="9" t="n"/>
      <c r="P73" s="9" t="n"/>
      <c r="R73" s="18" t="n">
        <v>9819.26</v>
      </c>
      <c r="S73" s="18" t="n">
        <v>0</v>
      </c>
      <c r="T73" s="18" t="n">
        <v>0</v>
      </c>
      <c r="U73" s="9" t="n"/>
      <c r="V73" s="18" t="n">
        <v>0</v>
      </c>
      <c r="W73" s="18" t="n">
        <v>0</v>
      </c>
      <c r="X73" s="18" t="n">
        <v>0</v>
      </c>
      <c r="Y73" s="18" t="n">
        <v>0</v>
      </c>
      <c r="Z73" s="37" t="n">
        <v>0</v>
      </c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영업활동으로인한현금흐름</t>
        </is>
      </c>
      <c r="E74" s="18" t="n">
        <v>2321</v>
      </c>
      <c r="F74" s="9" t="n"/>
      <c r="G74" s="18" t="n">
        <v>-412.48</v>
      </c>
      <c r="H74" s="18" t="n">
        <v>-1721.65</v>
      </c>
      <c r="I74" s="18" t="n">
        <v>663.91</v>
      </c>
      <c r="J74" s="18" t="n">
        <v>173.06</v>
      </c>
      <c r="K74" s="37" t="n">
        <v>-1297.16</v>
      </c>
      <c r="L74" s="18" t="n">
        <v>3487.06</v>
      </c>
      <c r="M74" s="18" t="n">
        <v>1968.24</v>
      </c>
      <c r="N74" s="18" t="n">
        <v>2172</v>
      </c>
      <c r="O74" s="18" t="n">
        <v>-225.58</v>
      </c>
      <c r="P74" s="37" t="n">
        <v>7401.72</v>
      </c>
      <c r="Q74" s="18" t="n">
        <v>1531.45</v>
      </c>
      <c r="R74" s="18" t="n">
        <v>99.58</v>
      </c>
      <c r="S74" s="18" t="n">
        <v>175.05</v>
      </c>
      <c r="T74" s="18" t="n">
        <v>3188.89</v>
      </c>
      <c r="U74" s="37" t="n">
        <v>4994.97</v>
      </c>
      <c r="V74" s="18" t="n">
        <v>-1993.48</v>
      </c>
      <c r="W74" s="18" t="n">
        <v>-566.6900000000001</v>
      </c>
      <c r="X74" s="18" t="n">
        <v>732.96</v>
      </c>
      <c r="Y74" s="18" t="n">
        <v>-1156.94</v>
      </c>
      <c r="Z74" s="37" t="n">
        <v>-2984.15</v>
      </c>
      <c r="AA74" s="18" t="n">
        <v>893.5599999999999</v>
      </c>
      <c r="AB74" s="19" t="n">
        <v>2185.69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법인세납부(CF)</t>
        </is>
      </c>
      <c r="E75" s="18" t="n">
        <v>3.47</v>
      </c>
      <c r="F75" s="9" t="n"/>
      <c r="G75" s="18" t="n">
        <v>-223.48</v>
      </c>
      <c r="H75" s="18" t="n">
        <v>-223.35</v>
      </c>
      <c r="I75" s="18" t="n">
        <v>-190.36</v>
      </c>
      <c r="J75" s="18" t="n">
        <v>-3.89</v>
      </c>
      <c r="K75" s="37" t="n">
        <v>-641.08</v>
      </c>
      <c r="L75" s="18" t="n">
        <v>-98.59999999999999</v>
      </c>
      <c r="M75" s="18" t="n">
        <v>-137.38</v>
      </c>
      <c r="N75" s="18" t="n">
        <v>-96.91</v>
      </c>
      <c r="O75" s="18" t="n">
        <v>-109.66</v>
      </c>
      <c r="P75" s="37" t="n">
        <v>-442.55</v>
      </c>
      <c r="Q75" s="18" t="n">
        <v>-38.48</v>
      </c>
      <c r="R75" s="18" t="n">
        <v>-66.68000000000001</v>
      </c>
      <c r="S75" s="18" t="n">
        <v>-78.53</v>
      </c>
      <c r="T75" s="18" t="n">
        <v>-94.28</v>
      </c>
      <c r="U75" s="37" t="n">
        <v>-277.97</v>
      </c>
      <c r="V75" s="18" t="n">
        <v>-1365.97</v>
      </c>
      <c r="W75" s="18" t="n">
        <v>-1653.54</v>
      </c>
      <c r="X75" s="18" t="n">
        <v>-158.62</v>
      </c>
      <c r="Y75" s="18" t="n">
        <v>-5.86</v>
      </c>
      <c r="Z75" s="37" t="n">
        <v>-3183.99</v>
      </c>
      <c r="AA75" s="18" t="n">
        <v>-4.41</v>
      </c>
      <c r="AB75" s="19" t="n">
        <v>-181.89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투자활동으로인한현금흐름</t>
        </is>
      </c>
      <c r="E76" s="18" t="n">
        <v>-4084.14</v>
      </c>
      <c r="F76" s="9" t="n"/>
      <c r="G76" s="18" t="n">
        <v>-8356.459999999999</v>
      </c>
      <c r="H76" s="18" t="n">
        <v>-2005.49</v>
      </c>
      <c r="I76" s="18" t="n">
        <v>-461.31</v>
      </c>
      <c r="J76" s="18" t="n">
        <v>-121.99</v>
      </c>
      <c r="K76" s="37" t="n">
        <v>-10945.25</v>
      </c>
      <c r="L76" s="18" t="n">
        <v>1.18</v>
      </c>
      <c r="M76" s="18" t="n">
        <v>10.15</v>
      </c>
      <c r="N76" s="18" t="n">
        <v>27.85</v>
      </c>
      <c r="O76" s="18" t="n">
        <v>535.66</v>
      </c>
      <c r="P76" s="37" t="n">
        <v>574.84</v>
      </c>
      <c r="Q76" s="18" t="n">
        <v>-62.75</v>
      </c>
      <c r="R76" s="18" t="n">
        <v>12380.62</v>
      </c>
      <c r="S76" s="18" t="n">
        <v>108.33</v>
      </c>
      <c r="T76" s="18" t="n">
        <v>1673.19</v>
      </c>
      <c r="U76" s="37" t="n">
        <v>14099.39</v>
      </c>
      <c r="V76" s="18" t="n">
        <v>-3.73</v>
      </c>
      <c r="W76" s="18" t="n">
        <v>-870.0700000000001</v>
      </c>
      <c r="X76" s="18" t="n">
        <v>-5954.62</v>
      </c>
      <c r="Y76" s="18" t="n">
        <v>-4217.95</v>
      </c>
      <c r="Z76" s="37" t="n">
        <v>-11046.37</v>
      </c>
      <c r="AA76" s="18" t="n">
        <v>-4409.66</v>
      </c>
      <c r="AB76" s="19" t="n">
        <v>-8327.719999999999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유형자산의증가</t>
        </is>
      </c>
      <c r="E77" s="18" t="n">
        <v>88.58</v>
      </c>
      <c r="F77" s="9" t="n"/>
      <c r="G77" s="18" t="n">
        <v>8979.09</v>
      </c>
      <c r="H77" s="18" t="n">
        <v>1440.99</v>
      </c>
      <c r="I77" s="18" t="n">
        <v>564.11</v>
      </c>
      <c r="J77" s="18" t="n">
        <v>96.54000000000001</v>
      </c>
      <c r="K77" s="37" t="n">
        <v>11080.73</v>
      </c>
      <c r="L77" s="18" t="n">
        <v>1.8</v>
      </c>
      <c r="M77" s="18" t="n">
        <v>36.57</v>
      </c>
      <c r="N77" s="18" t="n">
        <v>3.4</v>
      </c>
      <c r="O77" s="18" t="n">
        <v>5.37</v>
      </c>
      <c r="P77" s="37" t="n">
        <v>47.14</v>
      </c>
      <c r="Q77" s="18" t="n">
        <v>10.05</v>
      </c>
      <c r="R77" s="18" t="n">
        <v>0.9</v>
      </c>
      <c r="S77" s="18" t="n">
        <v>0</v>
      </c>
      <c r="T77" s="18" t="n">
        <v>9.81</v>
      </c>
      <c r="U77" s="37" t="n">
        <v>20.76</v>
      </c>
      <c r="V77" s="18" t="n">
        <v>1.5</v>
      </c>
      <c r="W77" s="18" t="n">
        <v>3.81</v>
      </c>
      <c r="X77" s="18" t="n">
        <v>2.32</v>
      </c>
      <c r="Y77" s="18" t="n">
        <v>0</v>
      </c>
      <c r="Z77" s="37" t="n">
        <v>7.63</v>
      </c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CAPEX</t>
        </is>
      </c>
      <c r="E78" s="18" t="n">
        <v>138.08</v>
      </c>
      <c r="F78" s="9" t="n"/>
      <c r="G78" s="18" t="n">
        <v>8979.09</v>
      </c>
      <c r="H78" s="18" t="n">
        <v>1446.49</v>
      </c>
      <c r="I78" s="18" t="n">
        <v>564.11</v>
      </c>
      <c r="J78" s="18" t="n">
        <v>125.29</v>
      </c>
      <c r="K78" s="37" t="n">
        <v>11114.98</v>
      </c>
      <c r="L78" s="18" t="n">
        <v>1.8</v>
      </c>
      <c r="M78" s="18" t="n">
        <v>36.57</v>
      </c>
      <c r="N78" s="18" t="n">
        <v>3.4</v>
      </c>
      <c r="O78" s="18" t="n">
        <v>5.37</v>
      </c>
      <c r="P78" s="37" t="n">
        <v>47.14</v>
      </c>
      <c r="Q78" s="18" t="n">
        <v>10.05</v>
      </c>
      <c r="R78" s="18" t="n">
        <v>0.9</v>
      </c>
      <c r="S78" s="18" t="n">
        <v>6.6</v>
      </c>
      <c r="T78" s="18" t="n">
        <v>9.81</v>
      </c>
      <c r="U78" s="37" t="n">
        <v>27.36</v>
      </c>
      <c r="V78" s="18" t="n">
        <v>1.5</v>
      </c>
      <c r="W78" s="18" t="n">
        <v>3.81</v>
      </c>
      <c r="X78" s="18" t="n">
        <v>2.32</v>
      </c>
      <c r="Y78" s="18" t="n">
        <v>0</v>
      </c>
      <c r="Z78" s="37" t="n">
        <v>7.63</v>
      </c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무형자산의증가</t>
        </is>
      </c>
      <c r="E79" s="18" t="n">
        <v>49.5</v>
      </c>
      <c r="F79" s="9" t="n"/>
      <c r="G79" s="18" t="n">
        <v>0</v>
      </c>
      <c r="H79" s="18" t="n">
        <v>5.5</v>
      </c>
      <c r="I79" s="18" t="n">
        <v>0</v>
      </c>
      <c r="J79" s="18" t="n">
        <v>28.75</v>
      </c>
      <c r="K79" s="37" t="n">
        <v>34.25</v>
      </c>
      <c r="L79" s="18" t="n">
        <v>0</v>
      </c>
      <c r="M79" s="18" t="n">
        <v>0</v>
      </c>
      <c r="N79" s="18" t="n">
        <v>0</v>
      </c>
      <c r="O79" s="18" t="n">
        <v>0</v>
      </c>
      <c r="P79" s="37" t="n">
        <v>0</v>
      </c>
      <c r="T79" s="18" t="n">
        <v>0</v>
      </c>
      <c r="U79" s="9" t="n"/>
      <c r="Y79" s="18" t="n">
        <v>0</v>
      </c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재무활동으로인한현금흐름</t>
        </is>
      </c>
      <c r="E80" s="18" t="n">
        <v>4429.12</v>
      </c>
      <c r="F80" s="9" t="n"/>
      <c r="G80" s="18" t="n">
        <v>8184.3</v>
      </c>
      <c r="H80" s="18" t="n">
        <v>-280.37</v>
      </c>
      <c r="I80" s="18" t="n">
        <v>502.48</v>
      </c>
      <c r="J80" s="18" t="n">
        <v>-200.14</v>
      </c>
      <c r="K80" s="37" t="n">
        <v>8206.27</v>
      </c>
      <c r="L80" s="18" t="n">
        <v>-8.92</v>
      </c>
      <c r="M80" s="18" t="n">
        <v>-708.3</v>
      </c>
      <c r="N80" s="18" t="n">
        <v>-8.51</v>
      </c>
      <c r="O80" s="18" t="n">
        <v>-8.74</v>
      </c>
      <c r="P80" s="37" t="n">
        <v>-734.47</v>
      </c>
      <c r="Q80" s="18" t="n">
        <v>-217.37</v>
      </c>
      <c r="R80" s="18" t="n">
        <v>-570.87</v>
      </c>
      <c r="S80" s="18" t="n">
        <v>1413.06</v>
      </c>
      <c r="T80" s="18" t="n">
        <v>-99.08</v>
      </c>
      <c r="U80" s="37" t="n">
        <v>525.74</v>
      </c>
      <c r="V80" s="18" t="n">
        <v>-7.87</v>
      </c>
      <c r="W80" s="18" t="n">
        <v>1995.35</v>
      </c>
      <c r="X80" s="18" t="n">
        <v>1495.46</v>
      </c>
      <c r="Y80" s="18" t="n">
        <v>-4.19</v>
      </c>
      <c r="Z80" s="37" t="n">
        <v>3478.75</v>
      </c>
      <c r="AA80" s="18" t="n">
        <v>-4.28</v>
      </c>
      <c r="AB80" s="19" t="n">
        <v>-3.31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리스부채의상환</t>
        </is>
      </c>
      <c r="E81" s="18" t="n">
        <v>440.69</v>
      </c>
      <c r="F81" s="9" t="n"/>
      <c r="G81" s="18" t="n">
        <v>186.92</v>
      </c>
      <c r="H81" s="18" t="n">
        <v>194.16</v>
      </c>
      <c r="I81" s="18" t="n">
        <v>197.52</v>
      </c>
      <c r="J81" s="18" t="n">
        <v>200.14</v>
      </c>
      <c r="K81" s="37" t="n">
        <v>778.74</v>
      </c>
      <c r="L81" s="18" t="n">
        <v>8.92</v>
      </c>
      <c r="M81" s="18" t="n">
        <v>8.300000000000001</v>
      </c>
      <c r="N81" s="18" t="n">
        <v>8.51</v>
      </c>
      <c r="O81" s="18" t="n">
        <v>8.74</v>
      </c>
      <c r="P81" s="37" t="n">
        <v>34.47</v>
      </c>
      <c r="Q81" s="18" t="n">
        <v>8.960000000000001</v>
      </c>
      <c r="R81" s="18" t="n">
        <v>8.220000000000001</v>
      </c>
      <c r="S81" s="18" t="n">
        <v>7.61</v>
      </c>
      <c r="T81" s="18" t="n">
        <v>7.56</v>
      </c>
      <c r="U81" s="37" t="n">
        <v>32.35</v>
      </c>
      <c r="V81" s="18" t="n">
        <v>7.87</v>
      </c>
      <c r="W81" s="18" t="n">
        <v>4.65</v>
      </c>
      <c r="X81" s="18" t="n">
        <v>4.54</v>
      </c>
      <c r="Y81" s="18" t="n">
        <v>4.19</v>
      </c>
      <c r="Z81" s="37" t="n">
        <v>21.25</v>
      </c>
      <c r="AA81" s="18" t="n">
        <v>4.28</v>
      </c>
      <c r="AB81" s="19" t="n">
        <v>3.31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단기차입금의감소</t>
        </is>
      </c>
      <c r="E82" s="18" t="n">
        <v>0</v>
      </c>
      <c r="F82" s="9" t="n"/>
      <c r="G82" s="18" t="n">
        <v>0</v>
      </c>
      <c r="H82" s="18" t="n">
        <v>0</v>
      </c>
      <c r="I82" s="18" t="n">
        <v>0</v>
      </c>
      <c r="J82" s="18" t="n">
        <v>1200</v>
      </c>
      <c r="K82" s="37" t="n">
        <v>1200</v>
      </c>
      <c r="L82" s="18" t="n">
        <v>0</v>
      </c>
      <c r="M82" s="18" t="n">
        <v>700</v>
      </c>
      <c r="N82" s="18" t="n">
        <v>0</v>
      </c>
      <c r="O82" s="18" t="n">
        <v>0</v>
      </c>
      <c r="P82" s="37" t="n">
        <v>700</v>
      </c>
      <c r="S82" s="18" t="n">
        <v>0</v>
      </c>
      <c r="T82" s="18" t="n">
        <v>0</v>
      </c>
      <c r="U82" s="9" t="n"/>
      <c r="Z82" s="9" t="n"/>
      <c r="AA82" s="18" t="n">
        <v>2000</v>
      </c>
      <c r="AB82" s="19" t="n">
        <v>0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유동성장기부채의감소</t>
        </is>
      </c>
      <c r="E83" s="18" t="n">
        <v>128.13</v>
      </c>
      <c r="F83" s="9" t="n"/>
      <c r="G83" s="18" t="n">
        <v>128.78</v>
      </c>
      <c r="H83" s="18" t="n">
        <v>86.20999999999999</v>
      </c>
      <c r="I83" s="18" t="n">
        <v>0</v>
      </c>
      <c r="J83" s="18" t="n">
        <v>0</v>
      </c>
      <c r="K83" s="37" t="n">
        <v>214.99</v>
      </c>
      <c r="L83" s="18" t="n">
        <v>0</v>
      </c>
      <c r="M83" s="18" t="n">
        <v>1600</v>
      </c>
      <c r="N83" s="18" t="n">
        <v>0</v>
      </c>
      <c r="O83" s="18" t="n">
        <v>0</v>
      </c>
      <c r="P83" s="37" t="n">
        <v>1600</v>
      </c>
      <c r="S83" s="18" t="n">
        <v>0</v>
      </c>
      <c r="T83" s="18" t="n">
        <v>1896.04</v>
      </c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장기차입금의감소</t>
        </is>
      </c>
      <c r="E84" s="18" t="n">
        <v>0</v>
      </c>
      <c r="F84" s="9" t="n"/>
      <c r="G84" s="18" t="n">
        <v>0</v>
      </c>
      <c r="H84" s="18" t="n">
        <v>0</v>
      </c>
      <c r="I84" s="18" t="n">
        <v>0</v>
      </c>
      <c r="J84" s="18" t="n">
        <v>0</v>
      </c>
      <c r="K84" s="37" t="n">
        <v>0</v>
      </c>
      <c r="L84" s="18" t="n">
        <v>0</v>
      </c>
      <c r="M84" s="18" t="n">
        <v>0</v>
      </c>
      <c r="P84" s="9" t="n"/>
      <c r="Q84" s="18" t="n">
        <v>208.41</v>
      </c>
      <c r="R84" s="18" t="n">
        <v>562.65</v>
      </c>
      <c r="S84" s="18" t="n">
        <v>4937.42</v>
      </c>
      <c r="T84" s="18" t="n">
        <v>5895.48</v>
      </c>
      <c r="U84" s="37" t="n">
        <v>11603.96</v>
      </c>
      <c r="V84" s="18" t="n">
        <v>0</v>
      </c>
      <c r="W84" s="18" t="n">
        <v>0</v>
      </c>
      <c r="X84" s="18" t="n">
        <v>0</v>
      </c>
      <c r="Y84" s="18" t="n">
        <v>0</v>
      </c>
      <c r="Z84" s="37" t="n">
        <v>0</v>
      </c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현금및현금성자산의증감</t>
        </is>
      </c>
      <c r="E85" s="18" t="n">
        <v>2659.61</v>
      </c>
      <c r="F85" s="9" t="n"/>
      <c r="G85" s="18" t="n">
        <v>-588.76</v>
      </c>
      <c r="H85" s="18" t="n">
        <v>-3984.35</v>
      </c>
      <c r="I85" s="18" t="n">
        <v>686.47</v>
      </c>
      <c r="J85" s="18" t="n">
        <v>-157.62</v>
      </c>
      <c r="K85" s="37" t="n">
        <v>-4044.26</v>
      </c>
      <c r="L85" s="18" t="n">
        <v>3535.35</v>
      </c>
      <c r="M85" s="18" t="n">
        <v>1218.95</v>
      </c>
      <c r="N85" s="18" t="n">
        <v>2287.49</v>
      </c>
      <c r="O85" s="18" t="n">
        <v>151.12</v>
      </c>
      <c r="P85" s="37" t="n">
        <v>7192.91</v>
      </c>
      <c r="Q85" s="18" t="n">
        <v>1265.84</v>
      </c>
      <c r="R85" s="18" t="n">
        <v>11894.81</v>
      </c>
      <c r="S85" s="18" t="n">
        <v>1682.98</v>
      </c>
      <c r="T85" s="18" t="n">
        <v>4775.1</v>
      </c>
      <c r="U85" s="37" t="n">
        <v>19618.73</v>
      </c>
      <c r="V85" s="18" t="n">
        <v>-2002.29</v>
      </c>
      <c r="W85" s="18" t="n">
        <v>534.91</v>
      </c>
      <c r="X85" s="18" t="n">
        <v>-3705.3</v>
      </c>
      <c r="Y85" s="18" t="n">
        <v>-5379.09</v>
      </c>
      <c r="Z85" s="37" t="n">
        <v>-10551.77</v>
      </c>
      <c r="AA85" s="18" t="n">
        <v>-3520.38</v>
      </c>
      <c r="AB85" s="19" t="n">
        <v>-6145.34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기말현금및현금성자산</t>
        </is>
      </c>
      <c r="E86" s="18" t="n">
        <v>2659.61</v>
      </c>
      <c r="F86" s="9" t="n"/>
      <c r="G86" s="18" t="n">
        <v>5308.01</v>
      </c>
      <c r="H86" s="18" t="n">
        <v>-3984.35</v>
      </c>
      <c r="I86" s="18" t="n">
        <v>686.47</v>
      </c>
      <c r="J86" s="18" t="n">
        <v>-157.62</v>
      </c>
      <c r="K86" s="37" t="n">
        <v>1852.51</v>
      </c>
      <c r="L86" s="18" t="n">
        <v>5387.86</v>
      </c>
      <c r="M86" s="18" t="n">
        <v>1218.96</v>
      </c>
      <c r="N86" s="18" t="n">
        <v>2287.48</v>
      </c>
      <c r="O86" s="18" t="n">
        <v>151.13</v>
      </c>
      <c r="P86" s="37" t="n">
        <v>9045.43</v>
      </c>
      <c r="Q86" s="18" t="n">
        <v>10311.27</v>
      </c>
      <c r="R86" s="18" t="n">
        <v>11894.81</v>
      </c>
      <c r="S86" s="18" t="n">
        <v>1682.97</v>
      </c>
      <c r="T86" s="18" t="n">
        <v>4775.11</v>
      </c>
      <c r="U86" s="37" t="n">
        <v>28664.16</v>
      </c>
      <c r="V86" s="18" t="n">
        <v>26661.87</v>
      </c>
      <c r="W86" s="18" t="n">
        <v>534.91</v>
      </c>
      <c r="X86" s="18" t="n">
        <v>-3705.3</v>
      </c>
      <c r="Y86" s="18" t="n">
        <v>-5379.09</v>
      </c>
      <c r="Z86" s="37" t="n">
        <v>18112.39</v>
      </c>
      <c r="AA86" s="18" t="n">
        <v>14592.01</v>
      </c>
      <c r="AB86" s="19" t="n">
        <v>-6145.34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배당금수취(CF)</t>
        </is>
      </c>
      <c r="F87" s="9" t="n"/>
      <c r="G87" s="18" t="n">
        <v>0</v>
      </c>
      <c r="H87" s="18" t="n">
        <v>0.51</v>
      </c>
      <c r="I87" s="18" t="n">
        <v>0</v>
      </c>
      <c r="J87" s="18" t="n">
        <v>0</v>
      </c>
      <c r="K87" s="37" t="n">
        <v>0.51</v>
      </c>
      <c r="L87" s="18" t="n">
        <v>0</v>
      </c>
      <c r="M87" s="18" t="n">
        <v>57.81</v>
      </c>
      <c r="N87" s="18" t="n">
        <v>0</v>
      </c>
      <c r="O87" s="18" t="n">
        <v>0</v>
      </c>
      <c r="P87" s="37" t="n">
        <v>57.81</v>
      </c>
      <c r="S87" s="18" t="n">
        <v>0</v>
      </c>
      <c r="T87" s="18" t="n">
        <v>0</v>
      </c>
      <c r="U87" s="9" t="n"/>
      <c r="X87" s="18" t="n">
        <v>3.16</v>
      </c>
      <c r="Y87" s="18" t="n">
        <v>9.57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유형자산의감소</t>
        </is>
      </c>
      <c r="F88" s="9" t="n"/>
      <c r="G88" s="18" t="n">
        <v>624.4299999999999</v>
      </c>
      <c r="H88" s="18" t="n">
        <v>0</v>
      </c>
      <c r="I88" s="18" t="n">
        <v>0</v>
      </c>
      <c r="J88" s="18" t="n">
        <v>1.75</v>
      </c>
      <c r="K88" s="37" t="n">
        <v>626.1799999999999</v>
      </c>
      <c r="L88" s="18" t="n">
        <v>0</v>
      </c>
      <c r="M88" s="18" t="n">
        <v>4</v>
      </c>
      <c r="N88" s="18" t="n">
        <v>0</v>
      </c>
      <c r="O88" s="18" t="n">
        <v>0</v>
      </c>
      <c r="P88" s="37" t="n">
        <v>4</v>
      </c>
      <c r="S88" s="18" t="n">
        <v>0</v>
      </c>
      <c r="T88" s="18" t="n">
        <v>1.79</v>
      </c>
      <c r="U88" s="9" t="n"/>
      <c r="X88" s="18" t="n">
        <v>0</v>
      </c>
      <c r="Y88" s="18" t="n">
        <v>8.699999999999999</v>
      </c>
      <c r="Z88" s="9" t="n"/>
      <c r="AA88" s="18" t="n">
        <v>0</v>
      </c>
      <c r="AB88" s="19" t="n">
        <v>0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단기차입금의증가</t>
        </is>
      </c>
      <c r="F89" s="9" t="n"/>
      <c r="G89" s="18" t="n">
        <v>0</v>
      </c>
      <c r="H89" s="18" t="n">
        <v>0</v>
      </c>
      <c r="I89" s="18" t="n">
        <v>700</v>
      </c>
      <c r="J89" s="18" t="n">
        <v>1200</v>
      </c>
      <c r="K89" s="37" t="n">
        <v>1900</v>
      </c>
      <c r="L89" s="18" t="n">
        <v>0</v>
      </c>
      <c r="M89" s="18" t="n">
        <v>1600</v>
      </c>
      <c r="N89" s="18" t="n">
        <v>0</v>
      </c>
      <c r="O89" s="18" t="n">
        <v>0</v>
      </c>
      <c r="P89" s="37" t="n">
        <v>1600</v>
      </c>
      <c r="S89" s="18" t="n">
        <v>0</v>
      </c>
      <c r="T89" s="18" t="n">
        <v>0</v>
      </c>
      <c r="U89" s="9" t="n"/>
      <c r="X89" s="18" t="n">
        <v>0</v>
      </c>
      <c r="Y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장기차입금의증가</t>
        </is>
      </c>
      <c r="F90" s="9" t="n"/>
      <c r="G90" s="18" t="n">
        <v>8500</v>
      </c>
      <c r="H90" s="18" t="n">
        <v>0</v>
      </c>
      <c r="I90" s="18" t="n">
        <v>0</v>
      </c>
      <c r="J90" s="18" t="n">
        <v>0</v>
      </c>
      <c r="K90" s="37" t="n">
        <v>8500</v>
      </c>
      <c r="L90" s="18" t="n">
        <v>0</v>
      </c>
      <c r="M90" s="18" t="n">
        <v>0</v>
      </c>
      <c r="N90" s="18" t="n">
        <v>0</v>
      </c>
      <c r="O90" s="18" t="n">
        <v>0</v>
      </c>
      <c r="P90" s="37" t="n">
        <v>0</v>
      </c>
      <c r="T90" s="18" t="n">
        <v>7700</v>
      </c>
      <c r="U90" s="9" t="n"/>
      <c r="Y90" s="18" t="n">
        <v>0</v>
      </c>
      <c r="Z90" s="9" t="n"/>
      <c r="AA90" s="18" t="n">
        <v>2000</v>
      </c>
      <c r="AB90" s="19" t="n">
        <v>0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이자수취(CF)</t>
        </is>
      </c>
      <c r="F91" s="9" t="n"/>
      <c r="K91" s="9" t="n"/>
      <c r="P91" s="9" t="n"/>
      <c r="Q91" s="18" t="n">
        <v>351.33</v>
      </c>
      <c r="U91" s="9" t="n"/>
      <c r="V91" s="18" t="n">
        <v>378.24</v>
      </c>
      <c r="W91" s="18" t="n">
        <v>71.48</v>
      </c>
      <c r="X91" s="18" t="n">
        <v>367.67</v>
      </c>
      <c r="Y91" s="18" t="n">
        <v>38.09</v>
      </c>
      <c r="Z91" s="37" t="n">
        <v>855.48</v>
      </c>
      <c r="AA91" s="18" t="n">
        <v>397.06</v>
      </c>
      <c r="AB91" s="19" t="n">
        <v>21.56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자기주식의취득</t>
        </is>
      </c>
      <c r="F92" s="9" t="n"/>
      <c r="K92" s="9" t="n"/>
      <c r="P92" s="9" t="n"/>
      <c r="T92" s="18" t="n">
        <v>0</v>
      </c>
      <c r="U92" s="9" t="n"/>
      <c r="Y92" s="18" t="n">
        <v>0</v>
      </c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SUM(V5:Y5)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SUM(L7:O7)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>
        <f>IFERROR(VLOOKUP($D12,BS연결,MATCH(E$1,BS연결H,0),0)/100,"")</f>
        <v/>
      </c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SUM(L12:O12)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IFERROR((AB25*변수!$D$51-AB23*변수!$D$52)/4,"")</f>
        <v/>
      </c>
      <c r="AD12" s="20">
        <f>IFERROR((AC25*변수!$D$51-AC23*변수!$D$52)/4,"")</f>
        <v/>
      </c>
      <c r="AE12" s="38">
        <f>SUM(AA12:AD12)</f>
        <v/>
      </c>
      <c r="AF12" s="20">
        <f>IFERROR((AD25*변수!$D$51-AD23*변수!$D$52)/4,"")</f>
        <v/>
      </c>
      <c r="AG12" s="20">
        <f>IFERROR((AF25*변수!$D$51-AF23*변수!$D$52)/4,"")</f>
        <v/>
      </c>
      <c r="AH12" s="20">
        <f>IFERROR((AG25*변수!$D$51-AG23*변수!$D$52)/4,"")</f>
        <v/>
      </c>
      <c r="AI12" s="20">
        <f>IFERROR((AH25*변수!$D$51-AH23*변수!$D$52)/4,"")</f>
        <v/>
      </c>
      <c r="AJ12" s="38">
        <f>SUM(AF12:AI12)</f>
        <v/>
      </c>
      <c r="AK12" s="20">
        <f>IFERROR((AI25*변수!$D$51-AI23*변수!$D$52)/4,"")</f>
        <v/>
      </c>
      <c r="AL12" s="20">
        <f>IFERROR((AK25*변수!$D$51-AK23*변수!$D$52)/4,"")</f>
        <v/>
      </c>
      <c r="AM12" s="20">
        <f>IFERROR((AL25*변수!$D$51-AL23*변수!$D$52)/4,"")</f>
        <v/>
      </c>
      <c r="AN12" s="20">
        <f>IFERROR((AM25*변수!$D$51-AM23*변수!$D$52)/4,"")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>
        <f>IFERROR((VLOOKUP("외환차익",BS연결,MATCH(E$1,BS연결H,0),0)-VLOOKUP("외환차손",BS연결,MATCH(E$1,BS연결H,0),0)+VLOOKUP("외화환산이익",BS연결,MATCH(E$1,BS연결H,0),0)-VLOOKUP("외화환산손실",BS연결,MATCH(E$1,BS연결H,0),0))/100,"")</f>
        <v/>
      </c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SUM(Q14:T14)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  <c r="AF15" s="20">
        <f>IFERROR(AF9+AF11+AF14,"")</f>
        <v/>
      </c>
      <c r="AG15" s="20">
        <f>IFERROR(AG9+AG11+AG14,"")</f>
        <v/>
      </c>
      <c r="AH15" s="20">
        <f>IFERROR(AH9+AH11+AH14,"")</f>
        <v/>
      </c>
      <c r="AI15" s="20">
        <f>IFERROR(AI9+AI11+AI14,"")</f>
        <v/>
      </c>
      <c r="AJ15" s="38">
        <f>SUM(AF15:AI15)</f>
        <v/>
      </c>
      <c r="AK15" s="20">
        <f>IFERROR(AK9+AK11+AK14,"")</f>
        <v/>
      </c>
      <c r="AL15" s="20">
        <f>IFERROR(AL9+AL11+AL14,"")</f>
        <v/>
      </c>
      <c r="AM15" s="20">
        <f>IFERROR(AM9+AM11+AM14,"")</f>
        <v/>
      </c>
      <c r="AN15" s="20">
        <f>IFERROR(AN9+AN11+AN14,"")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SUM(G18:J18)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자산총계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자산총계</t>
        </is>
      </c>
      <c r="E19" s="18">
        <f>IFERROR(VLOOKUP($D19,BS연결,MATCH(E$1,BS연결H,0),0)/100,"")</f>
        <v/>
      </c>
      <c r="F19" s="37">
        <f>IFERROR(VLOOKUP($D19,BS연결,MATCH(F$1,BS연결H,0),0)/100,"")</f>
        <v/>
      </c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IFERROR(AC20+AC21,"")</f>
        <v/>
      </c>
      <c r="AD19" s="20">
        <f>IFERROR(AD20+AD21,"")</f>
        <v/>
      </c>
      <c r="AE19" s="38">
        <f>AD19</f>
        <v/>
      </c>
      <c r="AF19" s="20">
        <f>IFERROR(AF20+AF21,"")</f>
        <v/>
      </c>
      <c r="AG19" s="20">
        <f>IFERROR(AG20+AG21,"")</f>
        <v/>
      </c>
      <c r="AH19" s="20">
        <f>IFERROR(AH20+AH21,"")</f>
        <v/>
      </c>
      <c r="AI19" s="20">
        <f>IFERROR(AI20+AI21,"")</f>
        <v/>
      </c>
      <c r="AJ19" s="38">
        <f>AI19</f>
        <v/>
      </c>
      <c r="AK19" s="20">
        <f>IFERROR(AK20+AK21,"")</f>
        <v/>
      </c>
      <c r="AL19" s="20">
        <f>IFERROR(AL20+AL21,"")</f>
        <v/>
      </c>
      <c r="AM19" s="20">
        <f>IFERROR(AM20+AM21,"")</f>
        <v/>
      </c>
      <c r="AN19" s="20">
        <f>IFERROR(AN20+AN21,"")</f>
        <v/>
      </c>
      <c r="AO19" s="38">
        <f>AN19</f>
        <v/>
      </c>
    </row>
    <row r="20">
      <c r="A20" s="12" t="inlineStr">
        <is>
          <t>부채총계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부채총계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IFERROR(AB20*(1+변수!AC28),"")</f>
        <v/>
      </c>
      <c r="AD20" s="20">
        <f>IFERROR(AC20*(1+변수!AD28),"")</f>
        <v/>
      </c>
      <c r="AE20" s="38">
        <f>AD20</f>
        <v/>
      </c>
      <c r="AF20" s="20">
        <f>IFERROR(AD20*(1+변수!AF28),"")</f>
        <v/>
      </c>
      <c r="AG20" s="20">
        <f>IFERROR(AF20*(1+변수!AG28),"")</f>
        <v/>
      </c>
      <c r="AH20" s="20">
        <f>IFERROR(AG20*(1+변수!AH28),"")</f>
        <v/>
      </c>
      <c r="AI20" s="20">
        <f>IFERROR(AH20*(1+변수!AI28),"")</f>
        <v/>
      </c>
      <c r="AJ20" s="38">
        <f>AI20</f>
        <v/>
      </c>
      <c r="AK20" s="20">
        <f>IFERROR(AI20*(1+변수!AK28),"")</f>
        <v/>
      </c>
      <c r="AL20" s="20">
        <f>IFERROR(AK20*(1+변수!AL28),"")</f>
        <v/>
      </c>
      <c r="AM20" s="20">
        <f>IFERROR(AL20*(1+변수!AM28),"")</f>
        <v/>
      </c>
      <c r="AN20" s="20">
        <f>IFERROR(AM20*(1+변수!AN28),"")</f>
        <v/>
      </c>
      <c r="AO20" s="38">
        <f>AN20</f>
        <v/>
      </c>
    </row>
    <row r="21">
      <c r="A21" s="12" t="inlineStr">
        <is>
          <t>자본총계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자본총계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지배주주지분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지배주주지분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  <c r="AK22" s="20">
        <f>IFERROR(AI22+AK18-변수!AK30,"")</f>
        <v/>
      </c>
      <c r="AL22" s="20">
        <f>IFERROR(AK22+AL18-변수!AL30,"")</f>
        <v/>
      </c>
      <c r="AM22" s="20">
        <f>IFERROR(AL22+AM18-변수!AM30,"")</f>
        <v/>
      </c>
      <c r="AN22" s="20">
        <f>IFERROR(AM22+AN18-변수!AN30,"")</f>
        <v/>
      </c>
      <c r="AO22" s="38">
        <f>AN22</f>
        <v/>
      </c>
    </row>
    <row r="23">
      <c r="A23" s="12" t="inlineStr">
        <is>
          <t>총차입금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총차입금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순차입금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순차입금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이자발생자산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이자발생자산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현금및현금성자산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현금및현금성자산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CAPEX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CAPEX</t>
        </is>
      </c>
      <c r="E27" s="18">
        <f>IFERROR(VLOOKUP($D27,BS연결,MATCH(E$1,BS연결H,0),0)/100,"")</f>
        <v/>
      </c>
      <c r="F27" s="37" t="n"/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IFERROR(X27*(1+변수!AC35),"")</f>
        <v/>
      </c>
      <c r="AD27" s="20">
        <f>IFERROR(Y27*(1+변수!AD35),"")</f>
        <v/>
      </c>
      <c r="AE27" s="38">
        <f>SUM(AA27:AD27)</f>
        <v/>
      </c>
      <c r="AF27" s="20">
        <f>IFERROR(AA27*(1+변수!AF35),"")</f>
        <v/>
      </c>
      <c r="AG27" s="20">
        <f>IFERROR(AB27*(1+변수!AG35),"")</f>
        <v/>
      </c>
      <c r="AH27" s="20">
        <f>IFERROR(AC27*(1+변수!AH35),"")</f>
        <v/>
      </c>
      <c r="AI27" s="20">
        <f>IFERROR(AD27*(1+변수!AI35),"")</f>
        <v/>
      </c>
      <c r="AJ27" s="38">
        <f>SUM(AF27:AI27)</f>
        <v/>
      </c>
      <c r="AK27" s="20">
        <f>IFERROR(AF27*(1+변수!AK35),"")</f>
        <v/>
      </c>
      <c r="AL27" s="20">
        <f>IFERROR(AG27*(1+변수!AL35),"")</f>
        <v/>
      </c>
      <c r="AM27" s="20">
        <f>IFERROR(AH27*(1+변수!AM35),"")</f>
        <v/>
      </c>
      <c r="AN27" s="20">
        <f>IFERROR(AI27*(1+변수!AN35),"")</f>
        <v/>
      </c>
      <c r="AO27" s="38">
        <f>SUM(AK27:AN27)</f>
        <v/>
      </c>
    </row>
    <row r="28">
      <c r="A28" s="12" t="inlineStr">
        <is>
          <t>영업활동현금흐름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영업활동으로인한현금흐름</t>
        </is>
      </c>
      <c r="E28" s="18">
        <f>IFERROR(VLOOKUP($D28,BS연결,MATCH(E$1,BS연결H,0),0)/100,"")</f>
        <v/>
      </c>
      <c r="F28" s="37" t="n"/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SUM(AA28:AD28)</f>
        <v/>
      </c>
      <c r="AF28" s="20" t="n"/>
      <c r="AG28" s="20" t="n"/>
      <c r="AH28" s="20" t="n"/>
      <c r="AI28" s="20" t="n"/>
      <c r="AJ28" s="38">
        <f>SUM(AF28:AI28)</f>
        <v/>
      </c>
      <c r="AK28" s="20" t="n"/>
      <c r="AL28" s="20" t="n"/>
      <c r="AM28" s="20" t="n"/>
      <c r="AN28" s="20" t="n"/>
      <c r="AO28" s="38">
        <f>SUM(AK28:AN28)</f>
        <v/>
      </c>
    </row>
    <row r="29">
      <c r="A29" s="12" t="inlineStr">
        <is>
          <t>주식수</t>
        </is>
      </c>
      <c r="B29" t="inlineStr">
        <is>
          <t>주당</t>
        </is>
      </c>
      <c r="C29" t="inlineStr">
        <is>
          <t>백만주</t>
        </is>
      </c>
      <c r="D29" t="inlineStr">
        <is>
          <t>유통주식수</t>
        </is>
      </c>
      <c r="E29" s="27" t="n">
        <v>30.727</v>
      </c>
      <c r="F29" s="28">
        <f>E29</f>
        <v/>
      </c>
      <c r="G29" s="27" t="n">
        <v>30.727</v>
      </c>
      <c r="H29" s="27" t="n">
        <v>30.727</v>
      </c>
      <c r="I29" s="27" t="n">
        <v>30.727</v>
      </c>
      <c r="J29" s="27" t="n">
        <v>30.727</v>
      </c>
      <c r="K29" s="28">
        <f>J29</f>
        <v/>
      </c>
      <c r="L29" s="27" t="n">
        <v>30.727</v>
      </c>
      <c r="M29" s="27" t="n">
        <v>30.727</v>
      </c>
      <c r="N29" s="27" t="n">
        <v>30.727</v>
      </c>
      <c r="O29" s="27" t="n">
        <v>30.727</v>
      </c>
      <c r="P29" s="28">
        <f>O29</f>
        <v/>
      </c>
      <c r="Q29" s="27" t="n">
        <v>30.727</v>
      </c>
      <c r="R29" s="27" t="n">
        <v>30.727</v>
      </c>
      <c r="S29" s="27" t="n">
        <v>30.727</v>
      </c>
      <c r="T29" s="27" t="n">
        <v>30.681</v>
      </c>
      <c r="U29" s="28">
        <f>T29</f>
        <v/>
      </c>
      <c r="V29" s="27" t="n">
        <v>30.681</v>
      </c>
      <c r="W29" s="27" t="n">
        <v>30.681</v>
      </c>
      <c r="X29" s="27" t="n">
        <v>30.681</v>
      </c>
      <c r="Y29" s="27" t="n">
        <v>30.681</v>
      </c>
      <c r="Z29" s="28">
        <f>Y29</f>
        <v/>
      </c>
      <c r="AA29" s="27" t="n">
        <v>30.681</v>
      </c>
      <c r="AB29" s="29" t="n">
        <v>30.681</v>
      </c>
      <c r="AC29" s="33">
        <f>IFERROR(AB29*(1+변수!AC37),"")</f>
        <v/>
      </c>
      <c r="AD29" s="33">
        <f>IFERROR(AC29*(1+변수!AD37),"")</f>
        <v/>
      </c>
      <c r="AE29" s="31">
        <f>AD29</f>
        <v/>
      </c>
      <c r="AF29" s="33">
        <f>IFERROR(AD29*(1+변수!AF37),"")</f>
        <v/>
      </c>
      <c r="AG29" s="33">
        <f>IFERROR(AF29*(1+변수!AG37),"")</f>
        <v/>
      </c>
      <c r="AH29" s="33">
        <f>IFERROR(AG29*(1+변수!AH37),"")</f>
        <v/>
      </c>
      <c r="AI29" s="33">
        <f>IFERROR(AH29*(1+변수!AI37),"")</f>
        <v/>
      </c>
      <c r="AJ29" s="31">
        <f>AI29</f>
        <v/>
      </c>
      <c r="AK29" s="33">
        <f>IFERROR(AI29*(1+변수!AK37),"")</f>
        <v/>
      </c>
      <c r="AL29" s="33">
        <f>IFERROR(AK29*(1+변수!AL37),"")</f>
        <v/>
      </c>
      <c r="AM29" s="33">
        <f>IFERROR(AL29*(1+변수!AM37),"")</f>
        <v/>
      </c>
      <c r="AN29" s="33">
        <f>IFERROR(AM29*(1+변수!AN37),"")</f>
        <v/>
      </c>
      <c r="AO29" s="31">
        <f>AN29</f>
        <v/>
      </c>
    </row>
    <row r="30">
      <c r="A30" s="12" t="inlineStr">
        <is>
          <t>EPS</t>
        </is>
      </c>
      <c r="B30" t="inlineStr">
        <is>
          <t>주당</t>
        </is>
      </c>
      <c r="C30" t="inlineStr">
        <is>
          <t>원</t>
        </is>
      </c>
      <c r="D30" t="inlineStr">
        <is>
          <t>EPS</t>
        </is>
      </c>
      <c r="E30" s="18">
        <f>IFERROR(E18*100/E29,"")</f>
        <v/>
      </c>
      <c r="F30" s="37" t="n"/>
      <c r="G30" s="18">
        <f>IFERROR(G18*100/G29,"")</f>
        <v/>
      </c>
      <c r="H30" s="18">
        <f>IFERROR(H18*100/H29,"")</f>
        <v/>
      </c>
      <c r="I30" s="18">
        <f>IFERROR(I18*100/I29,"")</f>
        <v/>
      </c>
      <c r="J30" s="18">
        <f>IFERROR(J18*100/J29,"")</f>
        <v/>
      </c>
      <c r="K30" s="37">
        <f>SUM(G30:J30)</f>
        <v/>
      </c>
      <c r="L30" s="18">
        <f>IFERROR(L18*100/L29,"")</f>
        <v/>
      </c>
      <c r="M30" s="18">
        <f>IFERROR(M18*100/M29,"")</f>
        <v/>
      </c>
      <c r="N30" s="18">
        <f>IFERROR(N18*100/N29,"")</f>
        <v/>
      </c>
      <c r="O30" s="18">
        <f>IFERROR(O18*100/O29,"")</f>
        <v/>
      </c>
      <c r="P30" s="37">
        <f>SUM(L30:O30)</f>
        <v/>
      </c>
      <c r="Q30" s="18">
        <f>IFERROR(Q18*100/Q29,"")</f>
        <v/>
      </c>
      <c r="R30" s="18">
        <f>IFERROR(R18*100/R29,"")</f>
        <v/>
      </c>
      <c r="S30" s="18">
        <f>IFERROR(S18*100/S29,"")</f>
        <v/>
      </c>
      <c r="T30" s="18">
        <f>IFERROR(T18*100/T29,"")</f>
        <v/>
      </c>
      <c r="U30" s="37">
        <f>SUM(Q30:T30)</f>
        <v/>
      </c>
      <c r="V30" s="18">
        <f>IFERROR(V18*100/V29,"")</f>
        <v/>
      </c>
      <c r="W30" s="18">
        <f>IFERROR(W18*100/W29,"")</f>
        <v/>
      </c>
      <c r="X30" s="18">
        <f>IFERROR(X18*100/X29,"")</f>
        <v/>
      </c>
      <c r="Y30" s="18">
        <f>IFERROR(Y18*100/Y29,"")</f>
        <v/>
      </c>
      <c r="Z30" s="37">
        <f>SUM(V30:Y30)</f>
        <v/>
      </c>
      <c r="AA30" s="18">
        <f>IFERROR(AA18*100/AA29,"")</f>
        <v/>
      </c>
      <c r="AB30" s="19">
        <f>IFERROR(AB18*100/AB29,"")</f>
        <v/>
      </c>
      <c r="AC30" s="20">
        <f>IFERROR(AC18*100/AC29,"")</f>
        <v/>
      </c>
      <c r="AD30" s="20">
        <f>IFERROR(AD18*100/AD29,"")</f>
        <v/>
      </c>
      <c r="AE30" s="38">
        <f>SUM(AA30:AD30)</f>
        <v/>
      </c>
      <c r="AF30" s="20">
        <f>IFERROR(AF18*100/AF29,"")</f>
        <v/>
      </c>
      <c r="AG30" s="20">
        <f>IFERROR(AG18*100/AG29,"")</f>
        <v/>
      </c>
      <c r="AH30" s="20">
        <f>IFERROR(AH18*100/AH29,"")</f>
        <v/>
      </c>
      <c r="AI30" s="20">
        <f>IFERROR(AI18*100/AI29,"")</f>
        <v/>
      </c>
      <c r="AJ30" s="38">
        <f>SUM(AF30:AI30)</f>
        <v/>
      </c>
      <c r="AK30" s="20">
        <f>IFERROR(AK18*100/AK29,"")</f>
        <v/>
      </c>
      <c r="AL30" s="20">
        <f>IFERROR(AL18*100/AL29,"")</f>
        <v/>
      </c>
      <c r="AM30" s="20">
        <f>IFERROR(AM18*100/AM29,"")</f>
        <v/>
      </c>
      <c r="AN30" s="20">
        <f>IFERROR(AN18*100/AN29,"")</f>
        <v/>
      </c>
      <c r="AO30" s="38">
        <f>SUM(AK30:AN30)</f>
        <v/>
      </c>
    </row>
    <row r="31">
      <c r="A31" s="12" t="inlineStr">
        <is>
          <t>BPS</t>
        </is>
      </c>
      <c r="B31" t="inlineStr">
        <is>
          <t>주당</t>
        </is>
      </c>
      <c r="C31" t="inlineStr">
        <is>
          <t>원</t>
        </is>
      </c>
      <c r="D31" t="inlineStr">
        <is>
          <t>BPS</t>
        </is>
      </c>
      <c r="E31" s="18">
        <f>IFERROR(E22*100/E29,"")</f>
        <v/>
      </c>
      <c r="F31" s="37">
        <f>E31</f>
        <v/>
      </c>
      <c r="G31" s="18">
        <f>IFERROR(G22*100/G29,"")</f>
        <v/>
      </c>
      <c r="H31" s="18">
        <f>IFERROR(H22*100/H29,"")</f>
        <v/>
      </c>
      <c r="I31" s="18">
        <f>IFERROR(I22*100/I29,"")</f>
        <v/>
      </c>
      <c r="J31" s="18">
        <f>IFERROR(J22*100/J29,"")</f>
        <v/>
      </c>
      <c r="K31" s="37">
        <f>J31</f>
        <v/>
      </c>
      <c r="L31" s="18">
        <f>IFERROR(L22*100/L29,"")</f>
        <v/>
      </c>
      <c r="M31" s="18">
        <f>IFERROR(M22*100/M29,"")</f>
        <v/>
      </c>
      <c r="N31" s="18">
        <f>IFERROR(N22*100/N29,"")</f>
        <v/>
      </c>
      <c r="O31" s="18">
        <f>IFERROR(O22*100/O29,"")</f>
        <v/>
      </c>
      <c r="P31" s="37">
        <f>O31</f>
        <v/>
      </c>
      <c r="Q31" s="18">
        <f>IFERROR(Q22*100/Q29,"")</f>
        <v/>
      </c>
      <c r="R31" s="18">
        <f>IFERROR(R22*100/R29,"")</f>
        <v/>
      </c>
      <c r="S31" s="18">
        <f>IFERROR(S22*100/S29,"")</f>
        <v/>
      </c>
      <c r="T31" s="18">
        <f>IFERROR(T22*100/T29,"")</f>
        <v/>
      </c>
      <c r="U31" s="37">
        <f>T31</f>
        <v/>
      </c>
      <c r="V31" s="18">
        <f>IFERROR(V22*100/V29,"")</f>
        <v/>
      </c>
      <c r="W31" s="18">
        <f>IFERROR(W22*100/W29,"")</f>
        <v/>
      </c>
      <c r="X31" s="18">
        <f>IFERROR(X22*100/X29,"")</f>
        <v/>
      </c>
      <c r="Y31" s="18">
        <f>IFERROR(Y22*100/Y29,"")</f>
        <v/>
      </c>
      <c r="Z31" s="37">
        <f>Y31</f>
        <v/>
      </c>
      <c r="AA31" s="18">
        <f>IFERROR(AA22*100/AA29,"")</f>
        <v/>
      </c>
      <c r="AB31" s="19">
        <f>IFERROR(AB22*100/AB29,"")</f>
        <v/>
      </c>
      <c r="AC31" s="20">
        <f>IFERROR(AC22*100/AC29,"")</f>
        <v/>
      </c>
      <c r="AD31" s="20">
        <f>IFERROR(AD22*100/AD29,"")</f>
        <v/>
      </c>
      <c r="AE31" s="38">
        <f>AD31</f>
        <v/>
      </c>
      <c r="AF31" s="20">
        <f>IFERROR(AF22*100/AF29,"")</f>
        <v/>
      </c>
      <c r="AG31" s="20">
        <f>IFERROR(AG22*100/AG29,"")</f>
        <v/>
      </c>
      <c r="AH31" s="20">
        <f>IFERROR(AH22*100/AH29,"")</f>
        <v/>
      </c>
      <c r="AI31" s="20">
        <f>IFERROR(AI22*100/AI29,"")</f>
        <v/>
      </c>
      <c r="AJ31" s="38">
        <f>AI31</f>
        <v/>
      </c>
      <c r="AK31" s="20">
        <f>IFERROR(AK22*100/AK29,"")</f>
        <v/>
      </c>
      <c r="AL31" s="20">
        <f>IFERROR(AL22*100/AL29,"")</f>
        <v/>
      </c>
      <c r="AM31" s="20">
        <f>IFERROR(AM22*100/AM29,"")</f>
        <v/>
      </c>
      <c r="AN31" s="20">
        <f>IFERROR(AN22*100/AN29,"")</f>
        <v/>
      </c>
      <c r="AO31" s="38">
        <f>AN31</f>
        <v/>
      </c>
    </row>
    <row r="32">
      <c r="A32" s="12" t="inlineStr">
        <is>
          <t>DPS</t>
        </is>
      </c>
      <c r="B32" t="inlineStr">
        <is>
          <t>주당</t>
        </is>
      </c>
      <c r="C32" t="inlineStr">
        <is>
          <t>원</t>
        </is>
      </c>
      <c r="D32" t="inlineStr">
        <is>
          <t>DPS(보통주)</t>
        </is>
      </c>
      <c r="E32" s="18" t="n">
        <v>0</v>
      </c>
      <c r="F32" s="37" t="n">
        <v>0</v>
      </c>
      <c r="G32" s="18" t="n"/>
      <c r="H32" s="18" t="n"/>
      <c r="I32" s="18" t="n"/>
      <c r="J32" s="18" t="n">
        <v>0</v>
      </c>
      <c r="K32" s="37">
        <f>SUM(G32:J32)</f>
        <v/>
      </c>
      <c r="L32" s="18" t="n"/>
      <c r="M32" s="18" t="n"/>
      <c r="N32" s="18" t="n"/>
      <c r="O32" s="18" t="n">
        <v>0</v>
      </c>
      <c r="P32" s="37">
        <f>SUM(L32:O32)</f>
        <v/>
      </c>
      <c r="Q32" s="18" t="n"/>
      <c r="R32" s="18" t="n"/>
      <c r="S32" s="18" t="n"/>
      <c r="T32" s="18" t="n">
        <v>0</v>
      </c>
      <c r="U32" s="37">
        <f>SUM(Q32:T32)</f>
        <v/>
      </c>
      <c r="V32" s="18" t="n"/>
      <c r="W32" s="18" t="n"/>
      <c r="X32" s="18" t="n"/>
      <c r="Y32" s="18" t="n">
        <v>0</v>
      </c>
      <c r="Z32" s="37">
        <f>SUM(V32:Y32)</f>
        <v/>
      </c>
      <c r="AA32" s="18" t="n"/>
      <c r="AB32" s="19" t="n"/>
      <c r="AC32" s="20" t="n"/>
      <c r="AD32" s="20">
        <f>변수!AD38</f>
        <v/>
      </c>
      <c r="AE32" s="38">
        <f>SUM(AA32:AD32)</f>
        <v/>
      </c>
      <c r="AF32" s="20" t="n"/>
      <c r="AG32" s="20" t="n"/>
      <c r="AH32" s="20" t="n"/>
      <c r="AI32" s="20">
        <f>변수!AI38</f>
        <v/>
      </c>
      <c r="AJ32" s="38">
        <f>SUM(AF32:AI32)</f>
        <v/>
      </c>
      <c r="AK32" s="20" t="n"/>
      <c r="AL32" s="20" t="n"/>
      <c r="AM32" s="20" t="n"/>
      <c r="AN32" s="20">
        <f>변수!AN38</f>
        <v/>
      </c>
      <c r="AO32" s="38">
        <f>SUM(AK32:AN32)</f>
        <v/>
      </c>
    </row>
    <row r="33">
      <c r="A33" s="12" t="inlineStr">
        <is>
          <t>PER</t>
        </is>
      </c>
      <c r="B33" t="inlineStr">
        <is>
          <t>주당</t>
        </is>
      </c>
      <c r="C33" t="inlineStr">
        <is>
          <t>배</t>
        </is>
      </c>
      <c r="D33" t="inlineStr">
        <is>
          <t>PER</t>
        </is>
      </c>
      <c r="E33" s="13" t="n"/>
      <c r="F33" s="14">
        <f>E33</f>
        <v/>
      </c>
      <c r="G33" s="13" t="n"/>
      <c r="H33" s="13" t="n"/>
      <c r="I33" s="13">
        <f>IFERROR(변수!I18/(E30+G30+H30+I30),"")</f>
        <v/>
      </c>
      <c r="J33" s="13">
        <f>IFERROR(변수!J18/(G30+H30+I30+J30),"")</f>
        <v/>
      </c>
      <c r="K33" s="14">
        <f>J33</f>
        <v/>
      </c>
      <c r="L33" s="13">
        <f>IFERROR(변수!L18/(H30+I30+J30+L30),"")</f>
        <v/>
      </c>
      <c r="M33" s="13">
        <f>IFERROR(변수!M18/(I30+J30+L30+M30),"")</f>
        <v/>
      </c>
      <c r="N33" s="13" t="n"/>
      <c r="O33" s="13">
        <f>IFERROR(변수!O18/(L30+M30+N30+O30),"")</f>
        <v/>
      </c>
      <c r="P33" s="14">
        <f>O33</f>
        <v/>
      </c>
      <c r="Q33" s="13">
        <f>IFERROR(변수!Q18/(M30+N30+O30+Q30),"")</f>
        <v/>
      </c>
      <c r="R33" s="13">
        <f>IFERROR(변수!R18/(N30+O30+Q30+R30),"")</f>
        <v/>
      </c>
      <c r="S33" s="13">
        <f>IFERROR(변수!S18/(O30+Q30+R30+S30),"")</f>
        <v/>
      </c>
      <c r="T33" s="13">
        <f>IFERROR(변수!T18/(Q30+R30+S30+T30),"")</f>
        <v/>
      </c>
      <c r="U33" s="14">
        <f>T33</f>
        <v/>
      </c>
      <c r="V33" s="13">
        <f>IFERROR(변수!V18/(R30+S30+T30+V30),"")</f>
        <v/>
      </c>
      <c r="W33" s="13">
        <f>IFERROR(변수!W18/(S30+T30+V30+W30),"")</f>
        <v/>
      </c>
      <c r="X33" s="13">
        <f>IFERROR(변수!X18/(T30+V30+W30+X30),"")</f>
        <v/>
      </c>
      <c r="Y33" s="13">
        <f>IFERROR(변수!Y18/(V30+W30+X30+Y30),"")</f>
        <v/>
      </c>
      <c r="Z33" s="14">
        <f>Y33</f>
        <v/>
      </c>
      <c r="AA33" s="13">
        <f>IFERROR(변수!AA18/(W30+X30+Y30+AA30),"")</f>
        <v/>
      </c>
      <c r="AB33" s="15">
        <f>IFERROR(변수!AB18/(X30+Y30+AA30+AB30),"")</f>
        <v/>
      </c>
      <c r="AC33" s="39">
        <f>IFERROR(변수!$D$41/(Y30+AA30+AB30+AC30),"")</f>
        <v/>
      </c>
      <c r="AD33" s="39">
        <f>IFERROR(변수!$D$41/(AA30+AB30+AC30+AD30),"")</f>
        <v/>
      </c>
      <c r="AE33" s="40">
        <f>AD33</f>
        <v/>
      </c>
      <c r="AF33" s="39">
        <f>IFERROR(변수!$D$41/(AB30+AC30+AD30+AF30),"")</f>
        <v/>
      </c>
      <c r="AG33" s="39">
        <f>IFERROR(변수!$D$41/(AC30+AD30+AF30+AG30),"")</f>
        <v/>
      </c>
      <c r="AH33" s="39">
        <f>IFERROR(변수!$D$41/(AD30+AF30+AG30+AH30),"")</f>
        <v/>
      </c>
      <c r="AI33" s="39">
        <f>IFERROR(변수!$D$41/(AF30+AG30+AH30+AI30),"")</f>
        <v/>
      </c>
      <c r="AJ33" s="40">
        <f>AI33</f>
        <v/>
      </c>
      <c r="AK33" s="39">
        <f>IFERROR(변수!$D$41/(AG30+AH30+AI30+AK30),"")</f>
        <v/>
      </c>
      <c r="AL33" s="39">
        <f>IFERROR(변수!$D$41/(AH30+AI30+AK30+AL30),"")</f>
        <v/>
      </c>
      <c r="AM33" s="39">
        <f>IFERROR(변수!$D$41/(AI30+AK30+AL30+AM30),"")</f>
        <v/>
      </c>
      <c r="AN33" s="39">
        <f>IFERROR(변수!$D$41/(AK30+AL30+AM30+AN30),"")</f>
        <v/>
      </c>
      <c r="AO33" s="40">
        <f>AN33</f>
        <v/>
      </c>
    </row>
    <row r="34">
      <c r="A34" s="12" t="inlineStr">
        <is>
          <t>PBR</t>
        </is>
      </c>
      <c r="B34" t="inlineStr">
        <is>
          <t>주당</t>
        </is>
      </c>
      <c r="C34" t="inlineStr">
        <is>
          <t>배</t>
        </is>
      </c>
      <c r="D34" t="inlineStr">
        <is>
          <t>PBR</t>
        </is>
      </c>
      <c r="E34" s="13">
        <f>IFERROR(변수!E18/E31,"")</f>
        <v/>
      </c>
      <c r="F34" s="14">
        <f>E34</f>
        <v/>
      </c>
      <c r="G34" s="13">
        <f>IFERROR(변수!G18/G31,"")</f>
        <v/>
      </c>
      <c r="H34" s="13">
        <f>IFERROR(변수!H18/H31,"")</f>
        <v/>
      </c>
      <c r="I34" s="13">
        <f>IFERROR(변수!I18/I31,"")</f>
        <v/>
      </c>
      <c r="J34" s="13">
        <f>IFERROR(변수!J18/J31,"")</f>
        <v/>
      </c>
      <c r="K34" s="14">
        <f>J34</f>
        <v/>
      </c>
      <c r="L34" s="13">
        <f>IFERROR(변수!L18/L31,"")</f>
        <v/>
      </c>
      <c r="M34" s="13">
        <f>IFERROR(변수!M18/M31,"")</f>
        <v/>
      </c>
      <c r="N34" s="13">
        <f>IFERROR(변수!N18/N31,"")</f>
        <v/>
      </c>
      <c r="O34" s="13">
        <f>IFERROR(변수!O18/O31,"")</f>
        <v/>
      </c>
      <c r="P34" s="14">
        <f>O34</f>
        <v/>
      </c>
      <c r="Q34" s="13">
        <f>IFERROR(변수!Q18/Q31,"")</f>
        <v/>
      </c>
      <c r="R34" s="13">
        <f>IFERROR(변수!R18/R31,"")</f>
        <v/>
      </c>
      <c r="S34" s="13">
        <f>IFERROR(변수!S18/S31,"")</f>
        <v/>
      </c>
      <c r="T34" s="13">
        <f>IFERROR(변수!T18/T31,"")</f>
        <v/>
      </c>
      <c r="U34" s="14">
        <f>T34</f>
        <v/>
      </c>
      <c r="V34" s="13">
        <f>IFERROR(변수!V18/V31,"")</f>
        <v/>
      </c>
      <c r="W34" s="13">
        <f>IFERROR(변수!W18/W31,"")</f>
        <v/>
      </c>
      <c r="X34" s="13">
        <f>IFERROR(변수!X18/X31,"")</f>
        <v/>
      </c>
      <c r="Y34" s="13">
        <f>IFERROR(변수!Y18/Y31,"")</f>
        <v/>
      </c>
      <c r="Z34" s="14">
        <f>Y34</f>
        <v/>
      </c>
      <c r="AA34" s="13">
        <f>IFERROR(변수!AA18/AA31,"")</f>
        <v/>
      </c>
      <c r="AB34" s="15">
        <f>IFERROR(변수!AB18/AB31,"")</f>
        <v/>
      </c>
      <c r="AC34" s="39">
        <f>IFERROR(변수!$D$41/AC31,"")</f>
        <v/>
      </c>
      <c r="AD34" s="39">
        <f>IFERROR(변수!$D$41/AD31,"")</f>
        <v/>
      </c>
      <c r="AE34" s="40">
        <f>AD34</f>
        <v/>
      </c>
      <c r="AF34" s="39">
        <f>IFERROR(변수!$D$41/AF31,"")</f>
        <v/>
      </c>
      <c r="AG34" s="39">
        <f>IFERROR(변수!$D$41/AG31,"")</f>
        <v/>
      </c>
      <c r="AH34" s="39">
        <f>IFERROR(변수!$D$41/AH31,"")</f>
        <v/>
      </c>
      <c r="AI34" s="39">
        <f>IFERROR(변수!$D$41/AI31,"")</f>
        <v/>
      </c>
      <c r="AJ34" s="40">
        <f>AI34</f>
        <v/>
      </c>
      <c r="AK34" s="39">
        <f>IFERROR(변수!$D$41/AK31,"")</f>
        <v/>
      </c>
      <c r="AL34" s="39">
        <f>IFERROR(변수!$D$41/AL31,"")</f>
        <v/>
      </c>
      <c r="AM34" s="39">
        <f>IFERROR(변수!$D$41/AM31,"")</f>
        <v/>
      </c>
      <c r="AN34" s="39">
        <f>IFERROR(변수!$D$41/AN31,"")</f>
        <v/>
      </c>
      <c r="AO34" s="40">
        <f>AN34</f>
        <v/>
      </c>
    </row>
    <row r="35">
      <c r="A35" s="12" t="inlineStr">
        <is>
          <t>매출전사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매출 전사(부문 미분리)</t>
        </is>
      </c>
      <c r="E35" s="18" t="n">
        <v>217.49</v>
      </c>
      <c r="F35" s="37" t="n"/>
      <c r="G35" s="18" t="n">
        <v>153.76</v>
      </c>
      <c r="H35" s="18" t="n">
        <v>140.25</v>
      </c>
      <c r="I35" s="18" t="n">
        <v>172.64</v>
      </c>
      <c r="J35" s="18" t="n">
        <v>183.71</v>
      </c>
      <c r="K35" s="37">
        <f>SUM(G35:J35)</f>
        <v/>
      </c>
      <c r="L35" s="18" t="n">
        <v>145.28</v>
      </c>
      <c r="M35" s="18" t="n">
        <v>136.73</v>
      </c>
      <c r="N35" s="18" t="n">
        <v>97.54000000000001</v>
      </c>
      <c r="O35" s="18" t="n">
        <v>150.17</v>
      </c>
      <c r="P35" s="37">
        <f>SUM(L35:O35)</f>
        <v/>
      </c>
      <c r="Q35" s="18" t="n">
        <v>99.13</v>
      </c>
      <c r="R35" s="18" t="n">
        <v>114.42</v>
      </c>
      <c r="S35" s="18" t="n">
        <v>125.08</v>
      </c>
      <c r="T35" s="18" t="n">
        <v>179.3</v>
      </c>
      <c r="U35" s="37">
        <f>SUM(Q35:T35)</f>
        <v/>
      </c>
      <c r="V35" s="18" t="n">
        <v>100.29</v>
      </c>
      <c r="W35" s="18" t="n">
        <v>115.88</v>
      </c>
      <c r="X35" s="18" t="n">
        <v>137.98</v>
      </c>
      <c r="Y35" s="18" t="n">
        <v>152.6</v>
      </c>
      <c r="Z35" s="37">
        <f>SUM(V35:Y35)</f>
        <v/>
      </c>
      <c r="AA35" s="18" t="n">
        <v>120.79</v>
      </c>
      <c r="AB35" s="19" t="n">
        <v>162.29</v>
      </c>
      <c r="AC35" s="20">
        <f>IFERROR(AC5,"")</f>
        <v/>
      </c>
      <c r="AD35" s="20">
        <f>IFERROR(AD5,"")</f>
        <v/>
      </c>
      <c r="AE35" s="38">
        <f>SUM(AA35:AD35)</f>
        <v/>
      </c>
      <c r="AF35" s="20">
        <f>IFERROR(AF5,"")</f>
        <v/>
      </c>
      <c r="AG35" s="20">
        <f>IFERROR(AG5,"")</f>
        <v/>
      </c>
      <c r="AH35" s="20">
        <f>IFERROR(AH5,"")</f>
        <v/>
      </c>
      <c r="AI35" s="20">
        <f>IFERROR(AI5,"")</f>
        <v/>
      </c>
      <c r="AJ35" s="38">
        <f>SUM(AF35:AI35)</f>
        <v/>
      </c>
      <c r="AK35" s="20">
        <f>IFERROR(AK5,"")</f>
        <v/>
      </c>
      <c r="AL35" s="20">
        <f>IFERROR(AL5,"")</f>
        <v/>
      </c>
      <c r="AM35" s="20">
        <f>IFERROR(AM5,"")</f>
        <v/>
      </c>
      <c r="AN35" s="20">
        <f>IFERROR(AN5,"")</f>
        <v/>
      </c>
      <c r="AO35" s="38">
        <f>SUM(AK35:AN35)</f>
        <v/>
      </c>
    </row>
    <row r="36">
      <c r="A36" s="12" t="inlineStr">
        <is>
          <t>OP전사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OP 전사(부문 미분리)</t>
        </is>
      </c>
      <c r="E36" s="18" t="n">
        <v>19.16</v>
      </c>
      <c r="F36" s="37" t="n"/>
      <c r="G36" s="18" t="n">
        <v>-4.46</v>
      </c>
      <c r="H36" s="18" t="n">
        <v>5.06</v>
      </c>
      <c r="I36" s="18" t="n">
        <v>26.91</v>
      </c>
      <c r="J36" s="18" t="n">
        <v>4.78</v>
      </c>
      <c r="K36" s="37">
        <f>SUM(G36:J36)</f>
        <v/>
      </c>
      <c r="L36" s="18" t="n">
        <v>5.58</v>
      </c>
      <c r="M36" s="18" t="n">
        <v>9.699999999999999</v>
      </c>
      <c r="N36" s="18" t="n">
        <v>-2.18</v>
      </c>
      <c r="O36" s="18" t="n">
        <v>39.83</v>
      </c>
      <c r="P36" s="37">
        <f>SUM(L36:O36)</f>
        <v/>
      </c>
      <c r="Q36" s="18" t="n">
        <v>-0.31</v>
      </c>
      <c r="R36" s="18" t="n">
        <v>10.16</v>
      </c>
      <c r="S36" s="18" t="n">
        <v>25.09</v>
      </c>
      <c r="T36" s="18" t="n">
        <v>34.2</v>
      </c>
      <c r="U36" s="37">
        <f>SUM(Q36:T36)</f>
        <v/>
      </c>
      <c r="V36" s="18" t="n">
        <v>7.02</v>
      </c>
      <c r="W36" s="18" t="n">
        <v>12.86</v>
      </c>
      <c r="X36" s="18" t="n">
        <v>33.43</v>
      </c>
      <c r="Y36" s="18" t="n">
        <v>55.32</v>
      </c>
      <c r="Z36" s="37">
        <f>SUM(V36:Y36)</f>
        <v/>
      </c>
      <c r="AA36" s="18" t="n">
        <v>23.04</v>
      </c>
      <c r="AB36" s="19" t="n">
        <v>59.33</v>
      </c>
      <c r="AC36" s="20">
        <f>IFERROR(AC9,"")</f>
        <v/>
      </c>
      <c r="AD36" s="20">
        <f>IFERROR(AD9,"")</f>
        <v/>
      </c>
      <c r="AE36" s="38">
        <f>SUM(AA36:AD36)</f>
        <v/>
      </c>
      <c r="AF36" s="20">
        <f>IFERROR(AF9,"")</f>
        <v/>
      </c>
      <c r="AG36" s="20">
        <f>IFERROR(AG9,"")</f>
        <v/>
      </c>
      <c r="AH36" s="20">
        <f>IFERROR(AH9,"")</f>
        <v/>
      </c>
      <c r="AI36" s="20">
        <f>IFERROR(AI9,"")</f>
        <v/>
      </c>
      <c r="AJ36" s="38">
        <f>SUM(AF36:AI36)</f>
        <v/>
      </c>
      <c r="AK36" s="20">
        <f>IFERROR(AK9,"")</f>
        <v/>
      </c>
      <c r="AL36" s="20">
        <f>IFERROR(AL9,"")</f>
        <v/>
      </c>
      <c r="AM36" s="20">
        <f>IFERROR(AM9,"")</f>
        <v/>
      </c>
      <c r="AN36" s="20">
        <f>IFERROR(AN9,"")</f>
        <v/>
      </c>
      <c r="AO36" s="38">
        <f>SUM(AK36:AN36)</f>
        <v/>
      </c>
    </row>
    <row r="37">
      <c r="B37" s="2" t="inlineStr">
        <is>
          <t>비율(참고)</t>
        </is>
      </c>
      <c r="F37" s="9" t="n"/>
      <c r="K37" s="9" t="n"/>
      <c r="P37" s="9" t="n"/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s="12" t="inlineStr">
        <is>
          <t>NPM</t>
        </is>
      </c>
      <c r="C38" t="inlineStr">
        <is>
          <t>%</t>
        </is>
      </c>
      <c r="D38" t="inlineStr">
        <is>
          <t>지배주주순이익 / 매출액</t>
        </is>
      </c>
      <c r="E38" s="21">
        <f>IFERROR(E18/E5,"")</f>
        <v/>
      </c>
      <c r="F38" s="22">
        <f>IFERROR(F18/F5,"")</f>
        <v/>
      </c>
      <c r="G38" s="21">
        <f>IFERROR(G18/G5,"")</f>
        <v/>
      </c>
      <c r="H38" s="21">
        <f>IFERROR(H18/H5,"")</f>
        <v/>
      </c>
      <c r="I38" s="21">
        <f>IFERROR(I18/I5,"")</f>
        <v/>
      </c>
      <c r="J38" s="21">
        <f>IFERROR(J18/J5,"")</f>
        <v/>
      </c>
      <c r="K38" s="22">
        <f>IFERROR(K18/K5,"")</f>
        <v/>
      </c>
      <c r="L38" s="21">
        <f>IFERROR(L18/L5,"")</f>
        <v/>
      </c>
      <c r="M38" s="21">
        <f>IFERROR(M18/M5,"")</f>
        <v/>
      </c>
      <c r="N38" s="21">
        <f>IFERROR(N18/N5,"")</f>
        <v/>
      </c>
      <c r="O38" s="21">
        <f>IFERROR(O18/O5,"")</f>
        <v/>
      </c>
      <c r="P38" s="22">
        <f>IFERROR(P18/P5,"")</f>
        <v/>
      </c>
      <c r="Q38" s="21">
        <f>IFERROR(Q18/Q5,"")</f>
        <v/>
      </c>
      <c r="R38" s="21">
        <f>IFERROR(R18/R5,"")</f>
        <v/>
      </c>
      <c r="S38" s="21">
        <f>IFERROR(S18/S5,"")</f>
        <v/>
      </c>
      <c r="T38" s="21">
        <f>IFERROR(T18/T5,"")</f>
        <v/>
      </c>
      <c r="U38" s="22">
        <f>IFERROR(U18/U5,"")</f>
        <v/>
      </c>
      <c r="V38" s="21">
        <f>IFERROR(V18/V5,"")</f>
        <v/>
      </c>
      <c r="W38" s="21">
        <f>IFERROR(W18/W5,"")</f>
        <v/>
      </c>
      <c r="X38" s="21">
        <f>IFERROR(X18/X5,"")</f>
        <v/>
      </c>
      <c r="Y38" s="21">
        <f>IFERROR(Y18/Y5,"")</f>
        <v/>
      </c>
      <c r="Z38" s="22">
        <f>IFERROR(Z18/Z5,"")</f>
        <v/>
      </c>
      <c r="AA38" s="21">
        <f>IFERROR(AA18/AA5,"")</f>
        <v/>
      </c>
      <c r="AB38" s="23">
        <f>IFERROR(AB18/AB5,"")</f>
        <v/>
      </c>
      <c r="AC38" s="32">
        <f>IFERROR(AC18/AC5,"")</f>
        <v/>
      </c>
      <c r="AD38" s="32">
        <f>IFERROR(AD18/AD5,"")</f>
        <v/>
      </c>
      <c r="AE38" s="25">
        <f>IFERROR(AE18/AE5,"")</f>
        <v/>
      </c>
      <c r="AF38" s="32">
        <f>IFERROR(AF18/AF5,"")</f>
        <v/>
      </c>
      <c r="AG38" s="32">
        <f>IFERROR(AG18/AG5,"")</f>
        <v/>
      </c>
      <c r="AH38" s="32">
        <f>IFERROR(AH18/AH5,"")</f>
        <v/>
      </c>
      <c r="AI38" s="32">
        <f>IFERROR(AI18/AI5,"")</f>
        <v/>
      </c>
      <c r="AJ38" s="25">
        <f>IFERROR(AJ18/AJ5,"")</f>
        <v/>
      </c>
      <c r="AK38" s="32">
        <f>IFERROR(AK18/AK5,"")</f>
        <v/>
      </c>
      <c r="AL38" s="32">
        <f>IFERROR(AL18/AL5,"")</f>
        <v/>
      </c>
      <c r="AM38" s="32">
        <f>IFERROR(AM18/AM5,"")</f>
        <v/>
      </c>
      <c r="AN38" s="32">
        <f>IFERROR(AN18/AN5,"")</f>
        <v/>
      </c>
      <c r="AO38" s="25">
        <f>IFERROR(AO18/AO5,"")</f>
        <v/>
      </c>
    </row>
    <row r="39">
      <c r="A39" s="12" t="inlineStr">
        <is>
          <t>매출원가율</t>
        </is>
      </c>
      <c r="C39" t="inlineStr">
        <is>
          <t>%</t>
        </is>
      </c>
      <c r="D39" t="inlineStr">
        <is>
          <t>매출원가 / 매출액</t>
        </is>
      </c>
      <c r="E39" s="21">
        <f>IFERROR(E6/E5,"")</f>
        <v/>
      </c>
      <c r="F39" s="22">
        <f>IFERROR(F6/F5,"")</f>
        <v/>
      </c>
      <c r="G39" s="21">
        <f>IFERROR(G6/G5,"")</f>
        <v/>
      </c>
      <c r="H39" s="21">
        <f>IFERROR(H6/H5,"")</f>
        <v/>
      </c>
      <c r="I39" s="21">
        <f>IFERROR(I6/I5,"")</f>
        <v/>
      </c>
      <c r="J39" s="21">
        <f>IFERROR(J6/J5,"")</f>
        <v/>
      </c>
      <c r="K39" s="22">
        <f>IFERROR(K6/K5,"")</f>
        <v/>
      </c>
      <c r="L39" s="21">
        <f>IFERROR(L6/L5,"")</f>
        <v/>
      </c>
      <c r="M39" s="21">
        <f>IFERROR(M6/M5,"")</f>
        <v/>
      </c>
      <c r="N39" s="21">
        <f>IFERROR(N6/N5,"")</f>
        <v/>
      </c>
      <c r="O39" s="21">
        <f>IFERROR(O6/O5,"")</f>
        <v/>
      </c>
      <c r="P39" s="22">
        <f>IFERROR(P6/P5,"")</f>
        <v/>
      </c>
      <c r="Q39" s="21">
        <f>IFERROR(Q6/Q5,"")</f>
        <v/>
      </c>
      <c r="R39" s="21">
        <f>IFERROR(R6/R5,"")</f>
        <v/>
      </c>
      <c r="S39" s="21">
        <f>IFERROR(S6/S5,"")</f>
        <v/>
      </c>
      <c r="T39" s="21">
        <f>IFERROR(T6/T5,"")</f>
        <v/>
      </c>
      <c r="U39" s="22">
        <f>IFERROR(U6/U5,"")</f>
        <v/>
      </c>
      <c r="V39" s="21">
        <f>IFERROR(V6/V5,"")</f>
        <v/>
      </c>
      <c r="W39" s="21">
        <f>IFERROR(W6/W5,"")</f>
        <v/>
      </c>
      <c r="X39" s="21">
        <f>IFERROR(X6/X5,"")</f>
        <v/>
      </c>
      <c r="Y39" s="21">
        <f>IFERROR(Y6/Y5,"")</f>
        <v/>
      </c>
      <c r="Z39" s="22">
        <f>IFERROR(Z6/Z5,"")</f>
        <v/>
      </c>
      <c r="AA39" s="21">
        <f>IFERROR(AA6/AA5,"")</f>
        <v/>
      </c>
      <c r="AB39" s="23">
        <f>IFERROR(AB6/AB5,"")</f>
        <v/>
      </c>
      <c r="AC39" s="32">
        <f>IFERROR(AC6/AC5,"")</f>
        <v/>
      </c>
      <c r="AD39" s="32">
        <f>IFERROR(AD6/AD5,"")</f>
        <v/>
      </c>
      <c r="AE39" s="25">
        <f>IFERROR(AE6/AE5,"")</f>
        <v/>
      </c>
      <c r="AF39" s="32">
        <f>IFERROR(AF6/AF5,"")</f>
        <v/>
      </c>
      <c r="AG39" s="32">
        <f>IFERROR(AG6/AG5,"")</f>
        <v/>
      </c>
      <c r="AH39" s="32">
        <f>IFERROR(AH6/AH5,"")</f>
        <v/>
      </c>
      <c r="AI39" s="32">
        <f>IFERROR(AI6/AI5,"")</f>
        <v/>
      </c>
      <c r="AJ39" s="25">
        <f>IFERROR(AJ6/AJ5,"")</f>
        <v/>
      </c>
      <c r="AK39" s="32">
        <f>IFERROR(AK6/AK5,"")</f>
        <v/>
      </c>
      <c r="AL39" s="32">
        <f>IFERROR(AL6/AL5,"")</f>
        <v/>
      </c>
      <c r="AM39" s="32">
        <f>IFERROR(AM6/AM5,"")</f>
        <v/>
      </c>
      <c r="AN39" s="32">
        <f>IFERROR(AN6/AN5,"")</f>
        <v/>
      </c>
      <c r="AO39" s="25">
        <f>IFERROR(AO6/AO5,"")</f>
        <v/>
      </c>
    </row>
    <row r="40">
      <c r="A40" s="12" t="inlineStr">
        <is>
          <t>판관비율</t>
        </is>
      </c>
      <c r="C40" t="inlineStr">
        <is>
          <t>%</t>
        </is>
      </c>
      <c r="D40" t="inlineStr">
        <is>
          <t>판관비 / 매출액</t>
        </is>
      </c>
      <c r="E40" s="21">
        <f>IFERROR(E8/E5,"")</f>
        <v/>
      </c>
      <c r="F40" s="22">
        <f>IFERROR(F8/F5,"")</f>
        <v/>
      </c>
      <c r="G40" s="21">
        <f>IFERROR(G8/G5,"")</f>
        <v/>
      </c>
      <c r="H40" s="21">
        <f>IFERROR(H8/H5,"")</f>
        <v/>
      </c>
      <c r="I40" s="21">
        <f>IFERROR(I8/I5,"")</f>
        <v/>
      </c>
      <c r="J40" s="21">
        <f>IFERROR(J8/J5,"")</f>
        <v/>
      </c>
      <c r="K40" s="22">
        <f>IFERROR(K8/K5,"")</f>
        <v/>
      </c>
      <c r="L40" s="21">
        <f>IFERROR(L8/L5,"")</f>
        <v/>
      </c>
      <c r="M40" s="21">
        <f>IFERROR(M8/M5,"")</f>
        <v/>
      </c>
      <c r="N40" s="21">
        <f>IFERROR(N8/N5,"")</f>
        <v/>
      </c>
      <c r="O40" s="21">
        <f>IFERROR(O8/O5,"")</f>
        <v/>
      </c>
      <c r="P40" s="22">
        <f>IFERROR(P8/P5,"")</f>
        <v/>
      </c>
      <c r="Q40" s="21">
        <f>IFERROR(Q8/Q5,"")</f>
        <v/>
      </c>
      <c r="R40" s="21">
        <f>IFERROR(R8/R5,"")</f>
        <v/>
      </c>
      <c r="S40" s="21">
        <f>IFERROR(S8/S5,"")</f>
        <v/>
      </c>
      <c r="T40" s="21">
        <f>IFERROR(T8/T5,"")</f>
        <v/>
      </c>
      <c r="U40" s="22">
        <f>IFERROR(U8/U5,"")</f>
        <v/>
      </c>
      <c r="V40" s="21">
        <f>IFERROR(V8/V5,"")</f>
        <v/>
      </c>
      <c r="W40" s="21">
        <f>IFERROR(W8/W5,"")</f>
        <v/>
      </c>
      <c r="X40" s="21">
        <f>IFERROR(X8/X5,"")</f>
        <v/>
      </c>
      <c r="Y40" s="21">
        <f>IFERROR(Y8/Y5,"")</f>
        <v/>
      </c>
      <c r="Z40" s="22">
        <f>IFERROR(Z8/Z5,"")</f>
        <v/>
      </c>
      <c r="AA40" s="21">
        <f>IFERROR(AA8/AA5,"")</f>
        <v/>
      </c>
      <c r="AB40" s="23">
        <f>IFERROR(AB8/AB5,"")</f>
        <v/>
      </c>
      <c r="AC40" s="32">
        <f>IFERROR(AC8/AC5,"")</f>
        <v/>
      </c>
      <c r="AD40" s="32">
        <f>IFERROR(AD8/AD5,"")</f>
        <v/>
      </c>
      <c r="AE40" s="25">
        <f>IFERROR(AE8/AE5,"")</f>
        <v/>
      </c>
      <c r="AF40" s="32">
        <f>IFERROR(AF8/AF5,"")</f>
        <v/>
      </c>
      <c r="AG40" s="32">
        <f>IFERROR(AG8/AG5,"")</f>
        <v/>
      </c>
      <c r="AH40" s="32">
        <f>IFERROR(AH8/AH5,"")</f>
        <v/>
      </c>
      <c r="AI40" s="32">
        <f>IFERROR(AI8/AI5,"")</f>
        <v/>
      </c>
      <c r="AJ40" s="25">
        <f>IFERROR(AJ8/AJ5,"")</f>
        <v/>
      </c>
      <c r="AK40" s="32">
        <f>IFERROR(AK8/AK5,"")</f>
        <v/>
      </c>
      <c r="AL40" s="32">
        <f>IFERROR(AL8/AL5,"")</f>
        <v/>
      </c>
      <c r="AM40" s="32">
        <f>IFERROR(AM8/AM5,"")</f>
        <v/>
      </c>
      <c r="AN40" s="32">
        <f>IFERROR(AN8/AN5,"")</f>
        <v/>
      </c>
      <c r="AO40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변수!D41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27">
        <f>IFERROR(VLOOKUP($A29,subQ,MATCH(I$1,SUBQH,0),0),"")</f>
        <v/>
      </c>
      <c r="J29" s="27">
        <f>IFERROR(VLOOKUP($A29,subQ,MATCH(J$1,SUBQH,0),0),"")</f>
        <v/>
      </c>
      <c r="K29" s="27">
        <f>IFERROR(VLOOKUP($A29,subQ,MATCH(K$1,SUBQH,0),0),"")</f>
        <v/>
      </c>
      <c r="L29" s="27">
        <f>IFERROR(VLOOKUP($A29,subQ,MATCH(L$1,SUBQH,0),0),"")</f>
        <v/>
      </c>
      <c r="M29" s="27">
        <f>IFERROR(VLOOKUP($A29,subQ,MATCH(M$1,SUBQH,0),0),"")</f>
        <v/>
      </c>
      <c r="N29" s="27">
        <f>IFERROR(VLOOKUP($A29,subQ,MATCH(N$1,SUBQH,0),0),"")</f>
        <v/>
      </c>
      <c r="O29" s="27">
        <f>IFERROR(VLOOKUP($A29,subQ,MATCH(O$1,SUBQH,0),0),"")</f>
        <v/>
      </c>
      <c r="P29" s="27">
        <f>IFERROR(VLOOKUP($A29,subQ,MATCH(P$1,SUBQH,0),0),"")</f>
        <v/>
      </c>
      <c r="Q29" s="27">
        <f>IFERROR(VLOOKUP($A29,subQ,MATCH(Q$1,SUBQH,0),0),"")</f>
        <v/>
      </c>
      <c r="R29" s="27">
        <f>IFERROR(VLOOKUP($A29,subQ,MATCH(R$1,SUBQH,0),0),"")</f>
        <v/>
      </c>
      <c r="S29" s="27">
        <f>IFERROR(VLOOKUP($A29,subQ,MATCH(S$1,SUBQH,0),0),"")</f>
        <v/>
      </c>
      <c r="T29" s="27">
        <f>IFERROR(VLOOKUP($A29,subQ,MATCH(T$1,SUBQH,0),0),"")</f>
        <v/>
      </c>
      <c r="U29" s="27">
        <f>IFERROR(VLOOKUP($A29,subQ,MATCH(U$1,SUBQH,0),0),"")</f>
        <v/>
      </c>
      <c r="V29" s="27">
        <f>IFERROR(VLOOKUP($A29,subQ,MATCH(V$1,SUBQH,0),0),"")</f>
        <v/>
      </c>
      <c r="W29" s="47">
        <f>IFERROR(VLOOKUP($A29,subQ,MATCH(W$1,SUBQH,0),0),"")</f>
        <v/>
      </c>
      <c r="X29" s="33">
        <f>IFERROR(VLOOKUP($A29,subQ,MATCH(X$1,SUBQH,0),0),"")</f>
        <v/>
      </c>
      <c r="Y29" s="33">
        <f>IFERROR(VLOOKUP($A29,subQ,MATCH(Y$1,SUBQH,0),0),"")</f>
        <v/>
      </c>
      <c r="Z29" s="33">
        <f>IFERROR(VLOOKUP($A29,subQ,MATCH(Z$1,SUBQH,0),0),"")</f>
        <v/>
      </c>
      <c r="AA29" s="33">
        <f>IFERROR(VLOOKUP($A29,subQ,MATCH(AA$1,SUBQH,0),0),"")</f>
        <v/>
      </c>
      <c r="AB29" s="33">
        <f>IFERROR(VLOOKUP($A29,subQ,MATCH(AB$1,SUBQH,0),0),"")</f>
        <v/>
      </c>
      <c r="AC29" s="33">
        <f>IFERROR(VLOOKUP($A29,subQ,MATCH(AC$1,SUBQH,0),0),"")</f>
        <v/>
      </c>
      <c r="AD29" s="33">
        <f>IFERROR(VLOOKUP($A29,subQ,MATCH(AD$1,SUBQH,0),0),"")</f>
        <v/>
      </c>
      <c r="AE29" s="33">
        <f>IFERROR(VLOOKUP($A29,subQ,MATCH(AE$1,SUBQH,0),0),"")</f>
        <v/>
      </c>
      <c r="AF29" s="33">
        <f>IFERROR(VLOOKUP($A29,subQ,MATCH(AF$1,SUBQH,0),0),"")</f>
        <v/>
      </c>
      <c r="AG29" s="33">
        <f>IFERROR(VLOOKUP($A29,subQ,MATCH(AG$1,SUBQH,0),0),"")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13">
        <f>IFERROR(VLOOKUP($A34,subQ,MATCH(U$1,SUBQH,0),0),"")</f>
        <v/>
      </c>
      <c r="V34" s="13">
        <f>IFERROR(VLOOKUP($A34,subQ,MATCH(V$1,SUBQH,0),0),"")</f>
        <v/>
      </c>
      <c r="W34" s="48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  <c r="Z34" s="39">
        <f>IFERROR(VLOOKUP($A34,subQ,MATCH(Z$1,SUBQH,0),0),"")</f>
        <v/>
      </c>
      <c r="AA34" s="39">
        <f>IFERROR(VLOOKUP($A34,subQ,MATCH(AA$1,SUBQH,0),0),"")</f>
        <v/>
      </c>
      <c r="AB34" s="39">
        <f>IFERROR(VLOOKUP($A34,subQ,MATCH(AB$1,SUBQH,0),0),"")</f>
        <v/>
      </c>
      <c r="AC34" s="39">
        <f>IFERROR(VLOOKUP($A34,subQ,MATCH(AC$1,SUBQH,0),0),"")</f>
        <v/>
      </c>
      <c r="AD34" s="39">
        <f>IFERROR(VLOOKUP($A34,subQ,MATCH(AD$1,SUBQH,0),0),"")</f>
        <v/>
      </c>
      <c r="AE34" s="39">
        <f>IFERROR(VLOOKUP($A34,subQ,MATCH(AE$1,SUBQH,0),0),"")</f>
        <v/>
      </c>
      <c r="AF34" s="39">
        <f>IFERROR(VLOOKUP($A34,subQ,MATCH(AF$1,SUBQH,0),0),"")</f>
        <v/>
      </c>
      <c r="AG34" s="39">
        <f>IFERROR(VLOOKUP($A34,subQ,MATCH(AG$1,SUBQH,0),0),"")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21">
        <f>IFERROR(VLOOKUP($A37,subQ,MATCH(H$1,SUBQH,0),0),"")</f>
        <v/>
      </c>
      <c r="I37" s="21">
        <f>IFERROR(VLOOKUP($A37,subQ,MATCH(I$1,SUBQH,0),0),"")</f>
        <v/>
      </c>
      <c r="J37" s="21">
        <f>IFERROR(VLOOKUP($A37,subQ,MATCH(J$1,SUBQH,0),0),"")</f>
        <v/>
      </c>
      <c r="K37" s="21">
        <f>IFERROR(VLOOKUP($A37,subQ,MATCH(K$1,SUBQH,0),0),"")</f>
        <v/>
      </c>
      <c r="L37" s="21">
        <f>IFERROR(VLOOKUP($A37,subQ,MATCH(L$1,SUBQH,0),0),"")</f>
        <v/>
      </c>
      <c r="M37" s="21">
        <f>IFERROR(VLOOKUP($A37,subQ,MATCH(M$1,SUBQH,0),0),"")</f>
        <v/>
      </c>
      <c r="N37" s="21">
        <f>IFERROR(VLOOKUP($A37,subQ,MATCH(N$1,SUBQH,0),0),"")</f>
        <v/>
      </c>
      <c r="O37" s="21">
        <f>IFERROR(VLOOKUP($A37,subQ,MATCH(O$1,SUBQH,0),0),"")</f>
        <v/>
      </c>
      <c r="P37" s="21">
        <f>IFERROR(VLOOKUP($A37,subQ,MATCH(P$1,SUBQH,0),0),"")</f>
        <v/>
      </c>
      <c r="Q37" s="21">
        <f>IFERROR(VLOOKUP($A37,subQ,MATCH(Q$1,SUBQH,0),0),"")</f>
        <v/>
      </c>
      <c r="R37" s="21">
        <f>IFERROR(VLOOKUP($A37,subQ,MATCH(R$1,SUBQH,0),0),"")</f>
        <v/>
      </c>
      <c r="S37" s="21">
        <f>IFERROR(VLOOKUP($A37,subQ,MATCH(S$1,SUBQH,0),0),"")</f>
        <v/>
      </c>
      <c r="T37" s="21">
        <f>IFERROR(VLOOKUP($A37,subQ,MATCH(T$1,SUBQH,0),0),"")</f>
        <v/>
      </c>
      <c r="U37" s="21">
        <f>IFERROR(VLOOKUP($A37,subQ,MATCH(U$1,SUBQH,0),0),"")</f>
        <v/>
      </c>
      <c r="V37" s="21">
        <f>IFERROR(VLOOKUP($A37,subQ,MATCH(V$1,SUBQH,0),0),"")</f>
        <v/>
      </c>
      <c r="W37" s="46">
        <f>IFERROR(VLOOKUP($A37,subQ,MATCH(W$1,SUBQH,0),0),"")</f>
        <v/>
      </c>
      <c r="X37" s="32">
        <f>IFERROR(VLOOKUP($A37,subQ,MATCH(X$1,SUBQH,0),0),"")</f>
        <v/>
      </c>
      <c r="Y37" s="32">
        <f>IFERROR(VLOOKUP($A37,subQ,MATCH(Y$1,SUBQH,0),0),"")</f>
        <v/>
      </c>
      <c r="Z37" s="32">
        <f>IFERROR(VLOOKUP($A37,subQ,MATCH(Z$1,SUBQH,0),0),"")</f>
        <v/>
      </c>
      <c r="AA37" s="32">
        <f>IFERROR(VLOOKUP($A37,subQ,MATCH(AA$1,SUBQH,0),0),"")</f>
        <v/>
      </c>
      <c r="AB37" s="32">
        <f>IFERROR(VLOOKUP($A37,subQ,MATCH(AB$1,SUBQH,0),0),"")</f>
        <v/>
      </c>
      <c r="AC37" s="32">
        <f>IFERROR(VLOOKUP($A37,subQ,MATCH(AC$1,SUBQH,0),0),"")</f>
        <v/>
      </c>
      <c r="AD37" s="32">
        <f>IFERROR(VLOOKUP($A37,subQ,MATCH(AD$1,SUBQH,0),0),"")</f>
        <v/>
      </c>
      <c r="AE37" s="32">
        <f>IFERROR(VLOOKUP($A37,subQ,MATCH(AE$1,SUBQH,0),0),"")</f>
        <v/>
      </c>
      <c r="AF37" s="32">
        <f>IFERROR(VLOOKUP($A37,subQ,MATCH(AF$1,SUBQH,0),0),"")</f>
        <v/>
      </c>
      <c r="AG37" s="32">
        <f>IFERROR(VLOOKUP($A37,subQ,MATCH(AG$1,SUBQH,0),0),"")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I38" s="21">
        <f>IFERROR(I5/E5-1,"")</f>
        <v/>
      </c>
      <c r="J38" s="21">
        <f>IFERROR(J5/F5-1,"")</f>
        <v/>
      </c>
      <c r="K38" s="21">
        <f>IFERROR(K5/G5-1,"")</f>
        <v/>
      </c>
      <c r="L38" s="21">
        <f>IFERROR(L5/H5-1,"")</f>
        <v/>
      </c>
      <c r="M38" s="21">
        <f>IFERROR(M5/I5-1,"")</f>
        <v/>
      </c>
      <c r="N38" s="21">
        <f>IFERROR(N5/J5-1,"")</f>
        <v/>
      </c>
      <c r="O38" s="21">
        <f>IFERROR(O5/K5-1,"")</f>
        <v/>
      </c>
      <c r="P38" s="21">
        <f>IFERROR(P5/L5-1,"")</f>
        <v/>
      </c>
      <c r="Q38" s="21">
        <f>IFERROR(Q5/M5-1,"")</f>
        <v/>
      </c>
      <c r="R38" s="21">
        <f>IFERROR(R5/N5-1,"")</f>
        <v/>
      </c>
      <c r="S38" s="21">
        <f>IFERROR(S5/O5-1,"")</f>
        <v/>
      </c>
      <c r="T38" s="21">
        <f>IFERROR(T5/P5-1,"")</f>
        <v/>
      </c>
      <c r="U38" s="21">
        <f>IFERROR(U5/Q5-1,"")</f>
        <v/>
      </c>
      <c r="V38" s="21">
        <f>IFERROR(V5/R5-1,"")</f>
        <v/>
      </c>
      <c r="W38" s="46">
        <f>IFERROR(W5/S5-1,"")</f>
        <v/>
      </c>
      <c r="X38" s="32">
        <f>IFERROR(X5/T5-1,"")</f>
        <v/>
      </c>
      <c r="Y38" s="32">
        <f>IFERROR(Y5/U5-1,"")</f>
        <v/>
      </c>
      <c r="Z38" s="32">
        <f>IFERROR(Z5/V5-1,"")</f>
        <v/>
      </c>
      <c r="AA38" s="32">
        <f>IFERROR(AA5/W5-1,"")</f>
        <v/>
      </c>
      <c r="AB38" s="32">
        <f>IFERROR(AB5/X5-1,"")</f>
        <v/>
      </c>
      <c r="AC38" s="32">
        <f>IFERROR(AC5/Y5-1,"")</f>
        <v/>
      </c>
      <c r="AD38" s="32">
        <f>IFERROR(AD5/Z5-1,"")</f>
        <v/>
      </c>
      <c r="AE38" s="32">
        <f>IFERROR(AE5/AA5-1,"")</f>
        <v/>
      </c>
      <c r="AF38" s="32">
        <f>IFERROR(AF5/AB5-1,"")</f>
        <v/>
      </c>
      <c r="AG38" s="32">
        <f>IFERROR(AG5/AC5-1,"")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I39" s="21">
        <f>IFERROR(I9/E9-1,"")</f>
        <v/>
      </c>
      <c r="J39" s="21">
        <f>IFERROR(J9/F9-1,"")</f>
        <v/>
      </c>
      <c r="K39" s="21">
        <f>IFERROR(K9/G9-1,"")</f>
        <v/>
      </c>
      <c r="L39" s="21">
        <f>IFERROR(L9/H9-1,"")</f>
        <v/>
      </c>
      <c r="M39" s="21">
        <f>IFERROR(M9/I9-1,"")</f>
        <v/>
      </c>
      <c r="N39" s="21">
        <f>IFERROR(N9/J9-1,"")</f>
        <v/>
      </c>
      <c r="O39" s="21">
        <f>IFERROR(O9/K9-1,"")</f>
        <v/>
      </c>
      <c r="P39" s="21">
        <f>IFERROR(P9/L9-1,"")</f>
        <v/>
      </c>
      <c r="Q39" s="21">
        <f>IFERROR(Q9/M9-1,"")</f>
        <v/>
      </c>
      <c r="R39" s="21">
        <f>IFERROR(R9/N9-1,"")</f>
        <v/>
      </c>
      <c r="S39" s="21">
        <f>IFERROR(S9/O9-1,"")</f>
        <v/>
      </c>
      <c r="T39" s="21">
        <f>IFERROR(T9/P9-1,"")</f>
        <v/>
      </c>
      <c r="U39" s="21">
        <f>IFERROR(U9/Q9-1,"")</f>
        <v/>
      </c>
      <c r="V39" s="21">
        <f>IFERROR(V9/R9-1,"")</f>
        <v/>
      </c>
      <c r="W39" s="46">
        <f>IFERROR(W9/S9-1,"")</f>
        <v/>
      </c>
      <c r="X39" s="32">
        <f>IFERROR(X9/T9-1,"")</f>
        <v/>
      </c>
      <c r="Y39" s="32">
        <f>IFERROR(Y9/U9-1,"")</f>
        <v/>
      </c>
      <c r="Z39" s="32">
        <f>IFERROR(Z9/V9-1,"")</f>
        <v/>
      </c>
      <c r="AA39" s="32">
        <f>IFERROR(AA9/W9-1,"")</f>
        <v/>
      </c>
      <c r="AB39" s="32">
        <f>IFERROR(AB9/X9-1,"")</f>
        <v/>
      </c>
      <c r="AC39" s="32">
        <f>IFERROR(AC9/Y9-1,"")</f>
        <v/>
      </c>
      <c r="AD39" s="32">
        <f>IFERROR(AD9/Z9-1,"")</f>
        <v/>
      </c>
      <c r="AE39" s="32">
        <f>IFERROR(AE9/AA9-1,"")</f>
        <v/>
      </c>
      <c r="AF39" s="32">
        <f>IFERROR(AF9/AB9-1,"")</f>
        <v/>
      </c>
      <c r="AG39" s="32">
        <f>IFERROR(AG9/AC9-1,"")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I40" s="21">
        <f>IFERROR(I18/E18-1,"")</f>
        <v/>
      </c>
      <c r="J40" s="21">
        <f>IFERROR(J18/F18-1,"")</f>
        <v/>
      </c>
      <c r="K40" s="21">
        <f>IFERROR(K18/G18-1,"")</f>
        <v/>
      </c>
      <c r="L40" s="21">
        <f>IFERROR(L18/H18-1,"")</f>
        <v/>
      </c>
      <c r="M40" s="21">
        <f>IFERROR(M18/I18-1,"")</f>
        <v/>
      </c>
      <c r="N40" s="21">
        <f>IFERROR(N18/J18-1,"")</f>
        <v/>
      </c>
      <c r="O40" s="21">
        <f>IFERROR(O18/K18-1,"")</f>
        <v/>
      </c>
      <c r="P40" s="21">
        <f>IFERROR(P18/L18-1,"")</f>
        <v/>
      </c>
      <c r="Q40" s="21">
        <f>IFERROR(Q18/M18-1,"")</f>
        <v/>
      </c>
      <c r="R40" s="21">
        <f>IFERROR(R18/N18-1,"")</f>
        <v/>
      </c>
      <c r="S40" s="21">
        <f>IFERROR(S18/O18-1,"")</f>
        <v/>
      </c>
      <c r="T40" s="21">
        <f>IFERROR(T18/P18-1,"")</f>
        <v/>
      </c>
      <c r="U40" s="21">
        <f>IFERROR(U18/Q18-1,"")</f>
        <v/>
      </c>
      <c r="V40" s="21">
        <f>IFERROR(V18/R18-1,"")</f>
        <v/>
      </c>
      <c r="W40" s="46">
        <f>IFERROR(W18/S18-1,"")</f>
        <v/>
      </c>
      <c r="X40" s="32">
        <f>IFERROR(X18/T18-1,"")</f>
        <v/>
      </c>
      <c r="Y40" s="32">
        <f>IFERROR(Y18/U18-1,"")</f>
        <v/>
      </c>
      <c r="Z40" s="32">
        <f>IFERROR(Z18/V18-1,"")</f>
        <v/>
      </c>
      <c r="AA40" s="32">
        <f>IFERROR(AA18/W18-1,"")</f>
        <v/>
      </c>
      <c r="AB40" s="32">
        <f>IFERROR(AB18/X18-1,"")</f>
        <v/>
      </c>
      <c r="AC40" s="32">
        <f>IFERROR(AC18/Y18-1,"")</f>
        <v/>
      </c>
      <c r="AD40" s="32">
        <f>IFERROR(AD18/Z18-1,"")</f>
        <v/>
      </c>
      <c r="AE40" s="32">
        <f>IFERROR(AE18/AA18-1,"")</f>
        <v/>
      </c>
      <c r="AF40" s="32">
        <f>IFERROR(AF18/AB18-1,"")</f>
        <v/>
      </c>
      <c r="AG40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변수!D41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47">
        <f>IFERROR(VLOOKUP($A29,subQ,MATCH(I$1,SUBQH,0),0),"")</f>
        <v/>
      </c>
      <c r="J29" s="33">
        <f>IFERROR(VLOOKUP($A29,subQ,MATCH(J$1,SUBQH,0),0),"")</f>
        <v/>
      </c>
      <c r="K29" s="33">
        <f>IFERROR(VLOOKUP($A29,subQ,MATCH(K$1,SUBQH,0),0),"")</f>
        <v/>
      </c>
      <c r="L29" s="33">
        <f>IFERROR(VLOOKUP($A29,subQ,MATCH(L$1,SUBQH,0),0),"")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48">
        <f>IFERROR(VLOOKUP($A34,subQ,MATCH(I$1,SUBQH,0),0),"")</f>
        <v/>
      </c>
      <c r="J34" s="39">
        <f>IFERROR(VLOOKUP($A34,subQ,MATCH(J$1,SUBQH,0),0),"")</f>
        <v/>
      </c>
      <c r="K34" s="39">
        <f>IFERROR(VLOOKUP($A34,subQ,MATCH(K$1,SUBQH,0),0),"")</f>
        <v/>
      </c>
      <c r="L34" s="39">
        <f>IFERROR(VLOOKUP($A34,subQ,MATCH(L$1,SUBQH,0),0),"")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21">
        <f>IFERROR(VLOOKUP($A37,subQ,MATCH(H$1,SUBQH,0),0),"")</f>
        <v/>
      </c>
      <c r="I37" s="46">
        <f>IFERROR(VLOOKUP($A37,subQ,MATCH(I$1,SUBQH,0),0),"")</f>
        <v/>
      </c>
      <c r="J37" s="32">
        <f>IFERROR(VLOOKUP($A37,subQ,MATCH(J$1,SUBQH,0),0),"")</f>
        <v/>
      </c>
      <c r="K37" s="32">
        <f>IFERROR(VLOOKUP($A37,subQ,MATCH(K$1,SUBQH,0),0),"")</f>
        <v/>
      </c>
      <c r="L37" s="32">
        <f>IFERROR(VLOOKUP($A37,subQ,MATCH(L$1,SUBQH,0),0),"")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F38" s="21">
        <f>IFERROR(F5/E5-1,"")</f>
        <v/>
      </c>
      <c r="G38" s="21">
        <f>IFERROR(G5/F5-1,"")</f>
        <v/>
      </c>
      <c r="H38" s="21">
        <f>IFERROR(H5/G5-1,"")</f>
        <v/>
      </c>
      <c r="I38" s="46">
        <f>IFERROR(I5/H5-1,"")</f>
        <v/>
      </c>
      <c r="J38" s="32">
        <f>IFERROR(J5/I5-1,"")</f>
        <v/>
      </c>
      <c r="K38" s="32">
        <f>IFERROR(K5/J5-1,"")</f>
        <v/>
      </c>
      <c r="L38" s="32">
        <f>IFERROR(L5/K5-1,"")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F39" s="21">
        <f>IFERROR(F9/E9-1,"")</f>
        <v/>
      </c>
      <c r="G39" s="21">
        <f>IFERROR(G9/F9-1,"")</f>
        <v/>
      </c>
      <c r="H39" s="21">
        <f>IFERROR(H9/G9-1,"")</f>
        <v/>
      </c>
      <c r="I39" s="46">
        <f>IFERROR(I9/H9-1,"")</f>
        <v/>
      </c>
      <c r="J39" s="32">
        <f>IFERROR(J9/I9-1,"")</f>
        <v/>
      </c>
      <c r="K39" s="32">
        <f>IFERROR(K9/J9-1,"")</f>
        <v/>
      </c>
      <c r="L39" s="32">
        <f>IFERROR(L9/K9-1,"")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F40" s="21">
        <f>IFERROR(F18/E18-1,"")</f>
        <v/>
      </c>
      <c r="G40" s="21">
        <f>IFERROR(G18/F18-1,"")</f>
        <v/>
      </c>
      <c r="H40" s="21">
        <f>IFERROR(H18/G18-1,"")</f>
        <v/>
      </c>
      <c r="I40" s="46">
        <f>IFERROR(I18/H18-1,"")</f>
        <v/>
      </c>
      <c r="J40" s="32">
        <f>IFERROR(J18/I18-1,"")</f>
        <v/>
      </c>
      <c r="K40" s="32">
        <f>IFERROR(K18/J18-1,"")</f>
        <v/>
      </c>
      <c r="L40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변수!D41</f>
        <v/>
      </c>
    </row>
    <row r="2">
      <c r="B2" s="1" t="inlineStr">
        <is>
          <t>기준일</t>
        </is>
      </c>
      <c r="C2">
        <f>변수!D42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IFERROR(E7*변수!D47+F7*(1-변수!D47),"")</f>
        <v/>
      </c>
    </row>
    <row r="15">
      <c r="C15" t="inlineStr">
        <is>
          <t>적정가치 @PER_lo</t>
        </is>
      </c>
      <c r="D15" s="27">
        <f>변수!D44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변수!D45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변수!D46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변수!D43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210.6</v>
      </c>
    </row>
    <row r="30">
      <c r="C30" s="2" t="inlineStr">
        <is>
          <t>bps_latest</t>
        </is>
      </c>
      <c r="D30" t="n">
        <v>1718</v>
      </c>
    </row>
    <row r="31">
      <c r="C31" s="2" t="inlineStr">
        <is>
          <t>per_now</t>
        </is>
      </c>
      <c r="D31" t="n">
        <v>16.17</v>
      </c>
    </row>
    <row r="32">
      <c r="C32" s="2" t="inlineStr">
        <is>
          <t>pbr_now</t>
        </is>
      </c>
      <c r="D32" t="n">
        <v>1.98</v>
      </c>
    </row>
    <row r="33">
      <c r="C33" s="2" t="inlineStr">
        <is>
          <t>roe_fwd</t>
        </is>
      </c>
      <c r="D33" t="n">
        <v>0.1226</v>
      </c>
    </row>
    <row r="34">
      <c r="C34" s="2" t="inlineStr">
        <is>
          <t>fair_pbr</t>
        </is>
      </c>
      <c r="D34" t="n">
        <v>1.36</v>
      </c>
    </row>
    <row r="35">
      <c r="C35" s="2" t="inlineStr">
        <is>
          <t>fair_value_pbr</t>
        </is>
      </c>
      <c r="D35" t="n">
        <v>2300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변수!D54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