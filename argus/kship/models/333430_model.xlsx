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85391억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88678억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91629억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94927억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99258억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104675억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110775억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117063억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122870억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85391억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88678억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91629억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94927억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99258억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104675억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110775억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117063억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122870억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925억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699억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925억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2975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2955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3455.9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0.319561038</v>
      </c>
      <c r="AE21" s="25" t="n"/>
      <c r="AF21" s="24" t="n">
        <v>0.234146798</v>
      </c>
      <c r="AG21" s="24" t="n">
        <v>0.012275099</v>
      </c>
      <c r="AH21" s="24" t="n">
        <v>0.183305133</v>
      </c>
      <c r="AI21" s="24" t="n">
        <v>0.162395709</v>
      </c>
      <c r="AJ21" s="25" t="n"/>
      <c r="AK21" s="24" t="n">
        <v>0.180385054</v>
      </c>
      <c r="AL21" s="24" t="n">
        <v>0.208911614</v>
      </c>
      <c r="AM21" s="24" t="n">
        <v>0.233138704</v>
      </c>
      <c r="AN21" s="24" t="n">
        <v>0.237887721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0.195619785</v>
      </c>
      <c r="AE23" s="25">
        <f>IFERROR(subQ!AE9/subQ!AE5,"")</f>
        <v/>
      </c>
      <c r="AF23" s="24" t="n">
        <v>0.195612799</v>
      </c>
      <c r="AG23" s="24" t="n">
        <v>0.195641588</v>
      </c>
      <c r="AH23" s="24" t="n">
        <v>0.195662536</v>
      </c>
      <c r="AI23" s="24" t="n">
        <v>0.195633598</v>
      </c>
      <c r="AJ23" s="25">
        <f>IFERROR(subQ!AJ9/subQ!AJ5,"")</f>
        <v/>
      </c>
      <c r="AK23" s="24" t="n">
        <v>0.19566947</v>
      </c>
      <c r="AL23" s="24" t="n">
        <v>0.195669688</v>
      </c>
      <c r="AM23" s="24" t="n">
        <v>0.195632217</v>
      </c>
      <c r="AN23" s="24" t="n">
        <v>0.195623663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0.00043487</v>
      </c>
      <c r="AD29" s="30" t="n">
        <v>-0.005376847</v>
      </c>
      <c r="AE29" s="31" t="n"/>
      <c r="AF29" s="30" t="n">
        <v>-0.007573113</v>
      </c>
      <c r="AG29" s="30" t="n">
        <v>0.005335923</v>
      </c>
      <c r="AH29" s="30" t="n">
        <v>0.004738471</v>
      </c>
      <c r="AI29" s="30" t="n">
        <v>-0.009393715</v>
      </c>
      <c r="AJ29" s="31" t="n"/>
      <c r="AK29" s="30" t="n">
        <v>0.007618054</v>
      </c>
      <c r="AL29" s="30" t="n">
        <v>0.003124976</v>
      </c>
      <c r="AM29" s="30" t="n">
        <v>0.002955297</v>
      </c>
      <c r="AN29" s="30" t="n">
        <v>-0.007850642999999999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0.003265899</v>
      </c>
      <c r="AD30" s="30" t="n">
        <v>-0.010767263</v>
      </c>
      <c r="AE30" s="31" t="n"/>
      <c r="AF30" s="30" t="n">
        <v>0.001094897</v>
      </c>
      <c r="AG30" s="30" t="n">
        <v>-0.000500233</v>
      </c>
      <c r="AH30" s="30" t="n">
        <v>0.000101962</v>
      </c>
      <c r="AI30" s="30" t="n">
        <v>-0.004288019</v>
      </c>
      <c r="AJ30" s="31" t="n"/>
      <c r="AK30" s="30" t="n">
        <v>0.003490319</v>
      </c>
      <c r="AL30" s="30" t="n">
        <v>0.009651167</v>
      </c>
      <c r="AM30" s="30" t="n">
        <v>-0.010068757</v>
      </c>
      <c r="AN30" s="30" t="n">
        <v>0.005504965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0.127994398</v>
      </c>
      <c r="AE32" s="25" t="n"/>
      <c r="AF32" s="24" t="n">
        <v>0.08449047599999999</v>
      </c>
      <c r="AG32" s="24" t="n">
        <v>0.086102491</v>
      </c>
      <c r="AH32" s="24" t="n">
        <v>0.08124601300000001</v>
      </c>
      <c r="AI32" s="24" t="n">
        <v>0.104617753</v>
      </c>
      <c r="AJ32" s="25" t="n"/>
      <c r="AK32" s="24" t="n">
        <v>0.071856566</v>
      </c>
      <c r="AL32" s="24" t="n">
        <v>0.075728029</v>
      </c>
      <c r="AM32" s="24" t="n">
        <v>0.07355932900000001</v>
      </c>
      <c r="AN32" s="24" t="n">
        <v>0.095442691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0.052304123</v>
      </c>
      <c r="AE33" s="25" t="n"/>
      <c r="AF33" s="24" t="n">
        <v>0.037034916</v>
      </c>
      <c r="AG33" s="24" t="n">
        <v>0.039453341</v>
      </c>
      <c r="AH33" s="24" t="n">
        <v>0.038898776</v>
      </c>
      <c r="AI33" s="24" t="n">
        <v>0.052130339</v>
      </c>
      <c r="AJ33" s="25" t="n"/>
      <c r="AK33" s="24" t="n">
        <v>0.037591884</v>
      </c>
      <c r="AL33" s="24" t="n">
        <v>0.040925538</v>
      </c>
      <c r="AM33" s="24" t="n">
        <v>0.041082638</v>
      </c>
      <c r="AN33" s="24" t="n">
        <v>0.05496726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2975</v>
      </c>
      <c r="E41" s="2" t="inlineStr">
        <is>
          <t>원 — 네이버 정규장 종가(aik 확정종가 대조 · aik 3,220원)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20261026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0.1213164345694466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0.1231007607321269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0.5707544369917492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0.01661689065158593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0.03625789200279597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211.3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14.08</v>
      </c>
    </row>
    <row r="32">
      <c r="C32" s="2" t="inlineStr">
        <is>
          <t>pbr_now</t>
        </is>
      </c>
      <c r="D32" t="n">
        <v>1.73</v>
      </c>
    </row>
    <row r="33">
      <c r="C33" s="2" t="inlineStr">
        <is>
          <t>roe_fwd</t>
        </is>
      </c>
      <c r="D33" t="n">
        <v>0.123</v>
      </c>
    </row>
    <row r="34">
      <c r="C34" s="2" t="inlineStr">
        <is>
          <t>fair_pbr</t>
        </is>
      </c>
      <c r="D34" t="n">
        <v>1.37</v>
      </c>
    </row>
    <row r="35">
      <c r="C35" s="2" t="inlineStr">
        <is>
          <t>fair_value_pbr</t>
        </is>
      </c>
      <c r="D35" t="n">
        <v>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