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별도(조선기자재) 841 + 종속사 250 + 연결조정 -166</t>
      </text>
    </comment>
    <comment ref="AD21" authorId="0" shapeId="0">
      <text>
        <t>모델값 역산(implied): v / 전년동기 − 1
별도(조선기자재) 1217 + 종속사 352 + 연결조정 -166</t>
      </text>
    </comment>
    <comment ref="AF21" authorId="0" shapeId="0">
      <text>
        <t>모델값 역산(implied): v / 전년동기 − 1
별도(조선기자재) 963 + 종속사 244 + 연결조정 -166</t>
      </text>
    </comment>
    <comment ref="AG21" authorId="0" shapeId="0">
      <text>
        <t>모델값 역산(implied): v / 전년동기 − 1
별도(조선기자재) 1155 + 종속사 266 + 연결조정 -166</t>
      </text>
    </comment>
    <comment ref="AH21" authorId="0" shapeId="0">
      <text>
        <t>모델값 역산(implied): v / 전년동기 − 1
별도(조선기자재) 961 + 종속사 273 + 연결조정 -166</t>
      </text>
    </comment>
    <comment ref="AI21" authorId="0" shapeId="0">
      <text>
        <t>모델값 역산(implied): v / 전년동기 − 1
별도(조선기자재) 1325 + 종속사 359 + 연결조정 -166</t>
      </text>
    </comment>
    <comment ref="AK21" authorId="0" shapeId="0">
      <text>
        <t>모델값 역산(implied): v / 전년동기 − 1
별도(조선기자재) 982 + 종속사 241 + 연결조정 -166</t>
      </text>
    </comment>
    <comment ref="AL21" authorId="0" shapeId="0">
      <text>
        <t>모델값 역산(implied): v / 전년동기 − 1
별도(조선기자재) 1138 + 종속사 257 + 연결조정 -166</t>
      </text>
    </comment>
    <comment ref="AM21" authorId="0" shapeId="0">
      <text>
        <t>모델값 역산(implied): v / 전년동기 − 1
별도(조선기자재) 927 + 종속사 261 + 연결조정 -166</t>
      </text>
    </comment>
    <comment ref="AN21" authorId="0" shapeId="0">
      <text>
        <t>모델값 역산(implied): v / 전년동기 − 1
별도(조선기자재) 1267 + 종속사 339 + 연결조정 -166</t>
      </text>
    </comment>
    <comment ref="AC22" authorId="0" shapeId="0">
      <text>
        <t>모델값 역산(implied): v / 매출액
매출액 × 판관비율 6.13%(최근 4분기 중위)</t>
      </text>
    </comment>
    <comment ref="AD22" authorId="0" shapeId="0">
      <text>
        <t>모델값 역산(implied): v / 매출액
매출액 × 판관비율 6.13%(최근 4분기 중위)</t>
      </text>
    </comment>
    <comment ref="AF22" authorId="0" shapeId="0">
      <text>
        <t>모델값 역산(implied): v / 매출액
매출액 × 판관비율 6.13%(최근 4분기 중위)</t>
      </text>
    </comment>
    <comment ref="AG22" authorId="0" shapeId="0">
      <text>
        <t>모델값 역산(implied): v / 매출액
매출액 × 판관비율 6.13%(최근 4분기 중위)</t>
      </text>
    </comment>
    <comment ref="AH22" authorId="0" shapeId="0">
      <text>
        <t>모델값 역산(implied): v / 매출액
매출액 × 판관비율 6.13%(최근 4분기 중위)</t>
      </text>
    </comment>
    <comment ref="AI22" authorId="0" shapeId="0">
      <text>
        <t>모델값 역산(implied): v / 매출액
매출액 × 판관비율 6.13%(최근 4분기 중위)</t>
      </text>
    </comment>
    <comment ref="AK22" authorId="0" shapeId="0">
      <text>
        <t>모델값 역산(implied): v / 매출액
매출액 × 판관비율 6.13%(최근 4분기 중위)</t>
      </text>
    </comment>
    <comment ref="AL22" authorId="0" shapeId="0">
      <text>
        <t>모델값 역산(implied): v / 매출액
매출액 × 판관비율 6.13%(최근 4분기 중위)</t>
      </text>
    </comment>
    <comment ref="AM22" authorId="0" shapeId="0">
      <text>
        <t>모델값 역산(implied): v / 매출액
매출액 × 판관비율 6.13%(최근 4분기 중위)</t>
      </text>
    </comment>
    <comment ref="AN22" authorId="0" shapeId="0">
      <text>
        <t>모델값 역산(implied): v / 매출액
매출액 × 판관비율 6.13%(최근 4분기 중위)</t>
      </text>
    </comment>
    <comment ref="AC23" authorId="0" shapeId="0">
      <text>
        <t>모델값 역산(implied): v / 매출액
매출액 × OPM(최근 8분기 OPM 중위 16.9% 유지)</t>
      </text>
    </comment>
    <comment ref="AD23" authorId="0" shapeId="0">
      <text>
        <t>모델값 역산(implied): v / 매출액
매출액 × OPM(최근 8분기 OPM 중위 16.9% 유지)</t>
      </text>
    </comment>
    <comment ref="AF23" authorId="0" shapeId="0">
      <text>
        <t>모델값 역산(implied): v / 매출액
매출액 × OPM(최근 8분기 OPM 중위 16.9% 유지)</t>
      </text>
    </comment>
    <comment ref="AG23" authorId="0" shapeId="0">
      <text>
        <t>모델값 역산(implied): v / 매출액
매출액 × OPM(최근 8분기 OPM 중위 16.9% 유지)</t>
      </text>
    </comment>
    <comment ref="AH23" authorId="0" shapeId="0">
      <text>
        <t>모델값 역산(implied): v / 매출액
매출액 × OPM(최근 8분기 OPM 중위 16.9% 유지)</t>
      </text>
    </comment>
    <comment ref="AI23" authorId="0" shapeId="0">
      <text>
        <t>모델값 역산(implied): v / 매출액
매출액 × OPM(최근 8분기 OPM 중위 16.9% 유지)</t>
      </text>
    </comment>
    <comment ref="AK23" authorId="0" shapeId="0">
      <text>
        <t>모델값 역산(implied): v / 매출액
매출액 × OPM(최근 8분기 OPM 중위 16.9% 유지)</t>
      </text>
    </comment>
    <comment ref="AL23" authorId="0" shapeId="0">
      <text>
        <t>모델값 역산(implied): v / 매출액
매출액 × OPM(최근 8분기 OPM 중위 16.9% 유지)</t>
      </text>
    </comment>
    <comment ref="AM23" authorId="0" shapeId="0">
      <text>
        <t>모델값 역산(implied): v / 매출액
매출액 × OPM(최근 8분기 OPM 중위 16.9% 유지)</t>
      </text>
    </comment>
    <comment ref="AN23" authorId="0" shapeId="0">
      <text>
        <t>모델값 역산(implied): v / 매출액
매출액 × OPM(최근 8분기 OPM 중위 16.9% 유지)</t>
      </text>
    </comment>
    <comment ref="AC24" authorId="0" shapeId="0">
      <text>
        <t>모델값 역산(implied): v / 전년동기 − 1
최근 8분기 OPM 중위 16.9% 유지</t>
      </text>
    </comment>
    <comment ref="AD24" authorId="0" shapeId="0">
      <text>
        <t>모델값 역산(implied): v / 전년동기 − 1
최근 8분기 OPM 중위 16.9% 유지</t>
      </text>
    </comment>
    <comment ref="AF24" authorId="0" shapeId="0">
      <text>
        <t>모델값 역산(implied): v / 전년동기 − 1
최근 8분기 OPM 중위 16.9% 유지</t>
      </text>
    </comment>
    <comment ref="AG24" authorId="0" shapeId="0">
      <text>
        <t>모델값 역산(implied): v / 전년동기 − 1
최근 8분기 OPM 중위 16.9% 유지</t>
      </text>
    </comment>
    <comment ref="AH24" authorId="0" shapeId="0">
      <text>
        <t>모델값 역산(implied): v / 전년동기 − 1
최근 8분기 OPM 중위 16.9% 유지</t>
      </text>
    </comment>
    <comment ref="AI24" authorId="0" shapeId="0">
      <text>
        <t>모델값 역산(implied): v / 전년동기 − 1
최근 8분기 OPM 중위 16.9% 유지</t>
      </text>
    </comment>
    <comment ref="AK24" authorId="0" shapeId="0">
      <text>
        <t>모델값 역산(implied): v / 전년동기 − 1
최근 8분기 OPM 중위 16.9% 유지</t>
      </text>
    </comment>
    <comment ref="AL24" authorId="0" shapeId="0">
      <text>
        <t>모델값 역산(implied): v / 전년동기 − 1
최근 8분기 OPM 중위 16.9% 유지</t>
      </text>
    </comment>
    <comment ref="AM24" authorId="0" shapeId="0">
      <text>
        <t>모델값 역산(implied): v / 전년동기 − 1
최근 8분기 OPM 중위 16.9% 유지</t>
      </text>
    </comment>
    <comment ref="AN24" authorId="0" shapeId="0">
      <text>
        <t>모델값 역산(implied): v / 전년동기 − 1
최근 8분기 OPM 중위 16.9% 유지</t>
      </text>
    </comment>
    <comment ref="AC25" authorId="0" shapeId="0">
      <text>
        <t>모델값 역산(implied): 모델 v 그대로
이자손익 = 이자발생자산 1386억 × 3.10% − 총차입금 2508억 × 2.90% (연율, CF 실측) ÷ 4; 환·평가손익 0 가정</t>
      </text>
    </comment>
    <comment ref="AD25" authorId="0" shapeId="0">
      <text>
        <t>모델값 역산(implied): 모델 v 그대로
이자손익 = 이자발생자산 1506억 × 3.10% − 총차입금 2508억 × 2.90% (연율, CF 실측) ÷ 4; 환·평가손익 0 가정</t>
      </text>
    </comment>
    <comment ref="AF25" authorId="0" shapeId="0">
      <text>
        <t>모델값 역산(implied): 모델 v 그대로
이자손익 = 이자발생자산 1692억 × 3.10% − 총차입금 2508억 × 2.90% (연율, CF 실측) ÷ 4; 환·평가손익 0 가정</t>
      </text>
    </comment>
    <comment ref="AG25" authorId="0" shapeId="0">
      <text>
        <t>모델값 역산(implied): 모델 v 그대로
이자손익 = 이자발생자산 1830억 × 3.10% − 총차입금 2508억 × 2.90% (연율, CF 실측) ÷ 4; 환·평가손익 0 가정</t>
      </text>
    </comment>
    <comment ref="AH25" authorId="0" shapeId="0">
      <text>
        <t>모델값 역산(implied): 모델 v 그대로
이자손익 = 이자발생자산 1870억 × 3.10% − 총차입금 2508억 × 2.90% (연율, CF 실측) ÷ 4; 환·평가손익 0 가정</t>
      </text>
    </comment>
    <comment ref="AI25" authorId="0" shapeId="0">
      <text>
        <t>모델값 역산(implied): 모델 v 그대로
이자손익 = 이자발생자산 2012억 × 3.10% − 총차입금 2508억 × 2.90% (연율, CF 실측) ÷ 4; 환·평가손익 0 가정</t>
      </text>
    </comment>
    <comment ref="AK25" authorId="0" shapeId="0">
      <text>
        <t>모델값 역산(implied): 모델 v 그대로
이자손익 = 이자발생자산 2217억 × 3.10% − 총차입금 2508억 × 2.90% (연율, CF 실측) ÷ 4; 환·평가손익 0 가정</t>
      </text>
    </comment>
    <comment ref="AL25" authorId="0" shapeId="0">
      <text>
        <t>모델값 역산(implied): 모델 v 그대로
이자손익 = 이자발생자산 2360억 × 3.10% − 총차입금 2508억 × 2.90% (연율, CF 실측) ÷ 4; 환·평가손익 0 가정</t>
      </text>
    </comment>
    <comment ref="AM25" authorId="0" shapeId="0">
      <text>
        <t>모델값 역산(implied): 모델 v 그대로
이자손익 = 이자발생자산 2400억 × 3.10% − 총차입금 2508억 × 2.90% (연율, CF 실측) ÷ 4; 환·평가손익 0 가정</t>
      </text>
    </comment>
    <comment ref="AN25" authorId="0" shapeId="0">
      <text>
        <t>모델값 역산(implied): 모델 v 그대로
이자손익 = 이자발생자산 2539억 × 3.10% − 총차입금 2508억 × 2.90%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19.1%(최근 12분기 유효세율 19.1% → 5~27% 클립)</t>
      </text>
    </comment>
    <comment ref="AD28" authorId="0" shapeId="0">
      <text>
        <t>모델값 역산(implied): v / 세전이익
max(세전, 0) × 세율 19.1%(최근 12분기 유효세율 19.1% → 5~27% 클립)</t>
      </text>
    </comment>
    <comment ref="AF28" authorId="0" shapeId="0">
      <text>
        <t>모델값 역산(implied): v / 세전이익
max(세전, 0) × 세율 19.1%(최근 12분기 유효세율 19.1% → 5~27% 클립)</t>
      </text>
    </comment>
    <comment ref="AG28" authorId="0" shapeId="0">
      <text>
        <t>모델값 역산(implied): v / 세전이익
max(세전, 0) × 세율 19.1%(최근 12분기 유효세율 19.1% → 5~27% 클립)</t>
      </text>
    </comment>
    <comment ref="AH28" authorId="0" shapeId="0">
      <text>
        <t>모델값 역산(implied): v / 세전이익
max(세전, 0) × 세율 19.1%(최근 12분기 유효세율 19.1% → 5~27% 클립)</t>
      </text>
    </comment>
    <comment ref="AI28" authorId="0" shapeId="0">
      <text>
        <t>모델값 역산(implied): v / 세전이익
max(세전, 0) × 세율 19.1%(최근 12분기 유효세율 19.1% → 5~27% 클립)</t>
      </text>
    </comment>
    <comment ref="AK28" authorId="0" shapeId="0">
      <text>
        <t>모델값 역산(implied): v / 세전이익
max(세전, 0) × 세율 19.1%(최근 12분기 유효세율 19.1% → 5~27% 클립)</t>
      </text>
    </comment>
    <comment ref="AL28" authorId="0" shapeId="0">
      <text>
        <t>모델값 역산(implied): v / 세전이익
max(세전, 0) × 세율 19.1%(최근 12분기 유효세율 19.1% → 5~27% 클립)</t>
      </text>
    </comment>
    <comment ref="AM28" authorId="0" shapeId="0">
      <text>
        <t>모델값 역산(implied): v / 세전이익
max(세전, 0) × 세율 19.1%(최근 12분기 유효세율 19.1% → 5~27% 클립)</t>
      </text>
    </comment>
    <comment ref="AN28" authorId="0" shapeId="0">
      <text>
        <t>모델값 역산(implied): v / 세전이익
max(세전, 0) × 세율 19.1%(최근 12분기 유효세율 19.1% → 5~27% 클립)</t>
      </text>
    </comment>
    <comment ref="AC29" authorId="0" shapeId="0">
      <text>
        <t>모델값 역산(implied): v / 당기순이익
당기순이익 × (1 − 비지배 비중 17.8%, 최근 8분기 실측)</t>
      </text>
    </comment>
    <comment ref="AD29" authorId="0" shapeId="0">
      <text>
        <t>모델값 역산(implied): v / 당기순이익
당기순이익 × (1 − 비지배 비중 17.8%, 최근 8분기 실측)</t>
      </text>
    </comment>
    <comment ref="AF29" authorId="0" shapeId="0">
      <text>
        <t>모델값 역산(implied): v / 당기순이익
당기순이익 × (1 − 비지배 비중 17.8%, 최근 8분기 실측)</t>
      </text>
    </comment>
    <comment ref="AG29" authorId="0" shapeId="0">
      <text>
        <t>모델값 역산(implied): v / 당기순이익
당기순이익 × (1 − 비지배 비중 17.8%, 최근 8분기 실측)</t>
      </text>
    </comment>
    <comment ref="AH29" authorId="0" shapeId="0">
      <text>
        <t>모델값 역산(implied): v / 당기순이익
당기순이익 × (1 − 비지배 비중 17.8%, 최근 8분기 실측)</t>
      </text>
    </comment>
    <comment ref="AI29" authorId="0" shapeId="0">
      <text>
        <t>모델값 역산(implied): v / 당기순이익
당기순이익 × (1 − 비지배 비중 17.8%, 최근 8분기 실측)</t>
      </text>
    </comment>
    <comment ref="AK29" authorId="0" shapeId="0">
      <text>
        <t>모델값 역산(implied): v / 당기순이익
당기순이익 × (1 − 비지배 비중 17.8%, 최근 8분기 실측)</t>
      </text>
    </comment>
    <comment ref="AL29" authorId="0" shapeId="0">
      <text>
        <t>모델값 역산(implied): v / 당기순이익
당기순이익 × (1 − 비지배 비중 17.8%, 최근 8분기 실측)</t>
      </text>
    </comment>
    <comment ref="AM29" authorId="0" shapeId="0">
      <text>
        <t>모델값 역산(implied): v / 당기순이익
당기순이익 × (1 − 비지배 비중 17.8%, 최근 8분기 실측)</t>
      </text>
    </comment>
    <comment ref="AN29" authorId="0" shapeId="0">
      <text>
        <t>모델값 역산(implied): v / 당기순이익
당기순이익 × (1 − 비지배 비중 17.8%,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225원 유지</t>
      </text>
    </comment>
    <comment ref="AI41" authorId="0" shapeId="0">
      <text>
        <t>모델값 역산(implied): v / 전년동기 − 1
직전 결산 DPS 225원 유지</t>
      </text>
    </comment>
    <comment ref="AN41" authorId="0" shapeId="0">
      <text>
        <t>모델값 역산(implied): v / 전년동기 − 1
직전 결산 DPS 225원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76883억 × 비례계수 0.0507 × 계절비중 Q3 0.216(계절비중 — 최근 3개 연도(2026, 2025, 2024) 분기/연간 비중 평균; 격자 lag0~4×창8/12/19×수준·YoY·4Q합 중 최대 r=0.91, n=8, 창 8)</t>
      </text>
    </comment>
    <comment ref="AD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80224억 × 비례계수 0.0507 × 계절비중 Q4 0.299(계절비중 — 최근 3개 연도(2026, 2025, 2024) 분기/연간 비중 평균; 격자 lag0~4×창8/12/19×수준·YoY·4Q합 중 최대 r=0.91, n=8, 창 8)</t>
      </text>
    </comment>
    <comment ref="AF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84957억 × 비례계수 0.0507 × 계절비중 Q1 0.224(계절비중 — 최근 3개 연도(2026, 2025, 2024) 분기/연간 비중 평균; 격자 lag0~4×창8/12/19×수준·YoY·4Q합 중 최대 r=0.91, n=8, 창 8)</t>
      </text>
    </comment>
    <comment ref="AG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87118억 × 비례계수 0.0507 × 계절비중 Q2 0.262(계절비중 — 최근 3개 연도(2026, 2025, 2024) 분기/연간 비중 평균; 격자 lag0~4×창8/12/19×수준·YoY·4Q합 중 최대 r=0.91, n=8, 창 8)</t>
      </text>
    </comment>
    <comment ref="AH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87836억 × 비례계수 0.0507 × 계절비중 Q3 0.216(계절비중 — 최근 3개 연도(2026, 2025, 2024) 분기/연간 비중 평균; 격자 lag0~4×창8/12/19×수준·YoY·4Q합 중 최대 r=0.91, n=8, 창 8)</t>
      </text>
    </comment>
    <comment ref="AI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87401억 × 비례계수 0.0507 × 계절비중 Q4 0.299(계절비중 — 최근 3개 연도(2026, 2025, 2024) 분기/연간 비중 평균; 격자 lag0~4×창8/12/19×수준·YoY·4Q합 중 최대 r=0.91, n=8, 창 8)</t>
      </text>
    </comment>
    <comment ref="AK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86661억 × 비례계수 0.0507 × 계절비중 Q1 0.224(계절비중 — 최근 3개 연도(2026, 2025, 2024) 분기/연간 비중 평균; 격자 lag0~4×창8/12/19×수준·YoY·4Q합 중 최대 r=0.91, n=8, 창 8)</t>
      </text>
    </comment>
    <comment ref="AL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85778억 × 비례계수 0.0507 × 계절비중 Q2 0.262(계절비중 — 최근 3개 연도(2026, 2025, 2024) 분기/연간 비중 평균; 격자 lag0~4×창8/12/19×수준·YoY·4Q합 중 최대 r=0.91, n=8, 창 8)</t>
      </text>
    </comment>
    <comment ref="AM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84735억 × 비례계수 0.0507 × 계절비중 Q3 0.216(계절비중 — 최근 3개 연도(2026, 2025, 2024) 분기/연간 비중 평균; 격자 lag0~4×창8/12/19×수준·YoY·4Q합 중 최대 r=0.91, n=8, 창 8)</t>
      </text>
    </comment>
    <comment ref="AN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83524억 × 비례계수 0.0507 × 계절비중 Q4 0.299(계절비중 — 최근 3개 연도(2026, 2025, 2024) 분기/연간 비중 평균; 격자 lag0~4×창8/12/19×수준·YoY·4Q합 중 최대 r=0.91, n=8, 창 8)</t>
      </text>
    </comment>
    <comment ref="AC45" authorId="0" shapeId="0">
      <text>
        <t>모델값 역산(implied): v / 매출조선기자재
별도 매출 × 별도 OPM 8분기 중위 15.7%</t>
      </text>
    </comment>
    <comment ref="AD45" authorId="0" shapeId="0">
      <text>
        <t>모델값 역산(implied): v / 매출조선기자재
별도 매출 × 별도 OPM 8분기 중위 15.7%</t>
      </text>
    </comment>
    <comment ref="AF45" authorId="0" shapeId="0">
      <text>
        <t>모델값 역산(implied): v / 매출조선기자재
별도 매출 × 별도 OPM 8분기 중위 15.7%</t>
      </text>
    </comment>
    <comment ref="AG45" authorId="0" shapeId="0">
      <text>
        <t>모델값 역산(implied): v / 매출조선기자재
별도 매출 × 별도 OPM 8분기 중위 15.7%</t>
      </text>
    </comment>
    <comment ref="AH45" authorId="0" shapeId="0">
      <text>
        <t>모델값 역산(implied): v / 매출조선기자재
별도 매출 × 별도 OPM 8분기 중위 15.7%</t>
      </text>
    </comment>
    <comment ref="AI45" authorId="0" shapeId="0">
      <text>
        <t>모델값 역산(implied): v / 매출조선기자재
별도 매출 × 별도 OPM 8분기 중위 15.7%</t>
      </text>
    </comment>
    <comment ref="AK45" authorId="0" shapeId="0">
      <text>
        <t>모델값 역산(implied): v / 매출조선기자재
별도 매출 × 별도 OPM 8분기 중위 15.7%</t>
      </text>
    </comment>
    <comment ref="AL45" authorId="0" shapeId="0">
      <text>
        <t>모델값 역산(implied): v / 매출조선기자재
별도 매출 × 별도 OPM 8분기 중위 15.7%</t>
      </text>
    </comment>
    <comment ref="AM45" authorId="0" shapeId="0">
      <text>
        <t>모델값 역산(implied): v / 매출조선기자재
별도 매출 × 별도 OPM 8분기 중위 15.7%</t>
      </text>
    </comment>
    <comment ref="AN45" authorId="0" shapeId="0">
      <text>
        <t>모델값 역산(implied): v / 매출조선기자재
별도 매출 × 별도 OPM 8분기 중위 15.7%</t>
      </text>
    </comment>
    <comment ref="AC46" authorId="0" shapeId="0">
      <text>
        <t>모델값 역산(implied): v / 매출액
일승·동방선기 모델 매출 합</t>
      </text>
    </comment>
    <comment ref="AD46" authorId="0" shapeId="0">
      <text>
        <t>모델값 역산(implied): v / 매출액
일승·동방선기 모델 매출 합</t>
      </text>
    </comment>
    <comment ref="AF46" authorId="0" shapeId="0">
      <text>
        <t>모델값 역산(implied): v / 매출액
일승·동방선기 모델 매출 합</t>
      </text>
    </comment>
    <comment ref="AG46" authorId="0" shapeId="0">
      <text>
        <t>모델값 역산(implied): v / 매출액
일승·동방선기 모델 매출 합</t>
      </text>
    </comment>
    <comment ref="AH46" authorId="0" shapeId="0">
      <text>
        <t>모델값 역산(implied): v / 매출액
일승·동방선기 모델 매출 합</t>
      </text>
    </comment>
    <comment ref="AI46" authorId="0" shapeId="0">
      <text>
        <t>모델값 역산(implied): v / 매출액
일승·동방선기 모델 매출 합</t>
      </text>
    </comment>
    <comment ref="AK46" authorId="0" shapeId="0">
      <text>
        <t>모델값 역산(implied): v / 매출액
일승·동방선기 모델 매출 합</t>
      </text>
    </comment>
    <comment ref="AL46" authorId="0" shapeId="0">
      <text>
        <t>모델값 역산(implied): v / 매출액
일승·동방선기 모델 매출 합</t>
      </text>
    </comment>
    <comment ref="AM46" authorId="0" shapeId="0">
      <text>
        <t>모델값 역산(implied): v / 매출액
일승·동방선기 모델 매출 합</t>
      </text>
    </comment>
    <comment ref="AN46" authorId="0" shapeId="0">
      <text>
        <t>모델값 역산(implied): v / 매출액
일승·동방선기 모델 매출 합</t>
      </text>
    </comment>
    <comment ref="AC47" authorId="0" shapeId="0">
      <text>
        <t>모델값 역산(implied): v / 매출종속사
일승·동방선기 모델 영업이익 합</t>
      </text>
    </comment>
    <comment ref="AD47" authorId="0" shapeId="0">
      <text>
        <t>모델값 역산(implied): v / 매출종속사
일승·동방선기 모델 영업이익 합</t>
      </text>
    </comment>
    <comment ref="AF47" authorId="0" shapeId="0">
      <text>
        <t>모델값 역산(implied): v / 매출종속사
일승·동방선기 모델 영업이익 합</t>
      </text>
    </comment>
    <comment ref="AG47" authorId="0" shapeId="0">
      <text>
        <t>모델값 역산(implied): v / 매출종속사
일승·동방선기 모델 영업이익 합</t>
      </text>
    </comment>
    <comment ref="AH47" authorId="0" shapeId="0">
      <text>
        <t>모델값 역산(implied): v / 매출종속사
일승·동방선기 모델 영업이익 합</t>
      </text>
    </comment>
    <comment ref="AI47" authorId="0" shapeId="0">
      <text>
        <t>모델값 역산(implied): v / 매출종속사
일승·동방선기 모델 영업이익 합</t>
      </text>
    </comment>
    <comment ref="AK47" authorId="0" shapeId="0">
      <text>
        <t>모델값 역산(implied): v / 매출종속사
일승·동방선기 모델 영업이익 합</t>
      </text>
    </comment>
    <comment ref="AL47" authorId="0" shapeId="0">
      <text>
        <t>모델값 역산(implied): v / 매출종속사
일승·동방선기 모델 영업이익 합</t>
      </text>
    </comment>
    <comment ref="AM47" authorId="0" shapeId="0">
      <text>
        <t>모델값 역산(implied): v / 매출종속사
일승·동방선기 모델 영업이익 합</t>
      </text>
    </comment>
    <comment ref="AN47" authorId="0" shapeId="0">
      <text>
        <t>모델값 역산(implied): v / 매출종속사
일승·동방선기 모델 영업이익 합</t>
      </text>
    </comment>
    <comment ref="AC48" authorId="0" shapeId="0">
      <text>
        <t>모델값 역산(implied): v / 매출액
최근 4분기 잔차 중위(내부거래·베트남)</t>
      </text>
    </comment>
    <comment ref="AD48" authorId="0" shapeId="0">
      <text>
        <t>모델값 역산(implied): v / 매출액
최근 4분기 잔차 중위(내부거래·베트남)</t>
      </text>
    </comment>
    <comment ref="AF48" authorId="0" shapeId="0">
      <text>
        <t>모델값 역산(implied): v / 매출액
최근 4분기 잔차 중위(내부거래·베트남)</t>
      </text>
    </comment>
    <comment ref="AG48" authorId="0" shapeId="0">
      <text>
        <t>모델값 역산(implied): v / 매출액
최근 4분기 잔차 중위(내부거래·베트남)</t>
      </text>
    </comment>
    <comment ref="AH48" authorId="0" shapeId="0">
      <text>
        <t>모델값 역산(implied): v / 매출액
최근 4분기 잔차 중위(내부거래·베트남)</t>
      </text>
    </comment>
    <comment ref="AI48" authorId="0" shapeId="0">
      <text>
        <t>모델값 역산(implied): v / 매출액
최근 4분기 잔차 중위(내부거래·베트남)</t>
      </text>
    </comment>
    <comment ref="AK48" authorId="0" shapeId="0">
      <text>
        <t>모델값 역산(implied): v / 매출액
최근 4분기 잔차 중위(내부거래·베트남)</t>
      </text>
    </comment>
    <comment ref="AL48" authorId="0" shapeId="0">
      <text>
        <t>모델값 역산(implied): v / 매출액
최근 4분기 잔차 중위(내부거래·베트남)</t>
      </text>
    </comment>
    <comment ref="AM48" authorId="0" shapeId="0">
      <text>
        <t>모델값 역산(implied): v / 매출액
최근 4분기 잔차 중위(내부거래·베트남)</t>
      </text>
    </comment>
    <comment ref="AN48" authorId="0" shapeId="0">
      <text>
        <t>모델값 역산(implied): v / 매출액
최근 4분기 잔차 중위(내부거래·베트남)</t>
      </text>
    </comment>
    <comment ref="AC49" authorId="0" shapeId="0">
      <text>
        <t>모델값 역산(implied): v / 매출연결조정
연결 OP − 별도 OP − 종속사 OP(잔차)</t>
      </text>
    </comment>
    <comment ref="AD49" authorId="0" shapeId="0">
      <text>
        <t>모델값 역산(implied): v / 매출연결조정
연결 OP − 별도 OP − 종속사 OP(잔차)</t>
      </text>
    </comment>
    <comment ref="AF49" authorId="0" shapeId="0">
      <text>
        <t>모델값 역산(implied): v / 매출연결조정
연결 OP − 별도 OP − 종속사 OP(잔차)</t>
      </text>
    </comment>
    <comment ref="AG49" authorId="0" shapeId="0">
      <text>
        <t>모델값 역산(implied): v / 매출연결조정
연결 OP − 별도 OP − 종속사 OP(잔차)</t>
      </text>
    </comment>
    <comment ref="AH49" authorId="0" shapeId="0">
      <text>
        <t>모델값 역산(implied): v / 매출연결조정
연결 OP − 별도 OP − 종속사 OP(잔차)</t>
      </text>
    </comment>
    <comment ref="AI49" authorId="0" shapeId="0">
      <text>
        <t>모델값 역산(implied): v / 매출연결조정
연결 OP − 별도 OP − 종속사 OP(잔차)</t>
      </text>
    </comment>
    <comment ref="AK49" authorId="0" shapeId="0">
      <text>
        <t>모델값 역산(implied): v / 매출연결조정
연결 OP − 별도 OP − 종속사 OP(잔차)</t>
      </text>
    </comment>
    <comment ref="AL49" authorId="0" shapeId="0">
      <text>
        <t>모델값 역산(implied): v / 매출연결조정
연결 OP − 별도 OP − 종속사 OP(잔차)</t>
      </text>
    </comment>
    <comment ref="AM49" authorId="0" shapeId="0">
      <text>
        <t>모델값 역산(implied): v / 매출연결조정
연결 OP − 별도 OP − 종속사 OP(잔차)</t>
      </text>
    </comment>
    <comment ref="AN49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841 + 종속사 250 + 연결조정 -166
[yoy]</t>
      </text>
    </comment>
    <comment ref="AD5" authorId="0" shapeId="0">
      <text>
        <t>추정: 별도(조선기자재) 1217 + 종속사 352 + 연결조정 -166
[yoy]</t>
      </text>
    </comment>
    <comment ref="AF5" authorId="0" shapeId="0">
      <text>
        <t>추정: 별도(조선기자재) 963 + 종속사 244 + 연결조정 -166
[yoy]</t>
      </text>
    </comment>
    <comment ref="AG5" authorId="0" shapeId="0">
      <text>
        <t>추정: 별도(조선기자재) 1155 + 종속사 266 + 연결조정 -166
[yoy]</t>
      </text>
    </comment>
    <comment ref="AH5" authorId="0" shapeId="0">
      <text>
        <t>추정: 별도(조선기자재) 961 + 종속사 273 + 연결조정 -166
[yoy]</t>
      </text>
    </comment>
    <comment ref="AI5" authorId="0" shapeId="0">
      <text>
        <t>추정: 별도(조선기자재) 1325 + 종속사 359 + 연결조정 -166
[yoy]</t>
      </text>
    </comment>
    <comment ref="AK5" authorId="0" shapeId="0">
      <text>
        <t>추정: 별도(조선기자재) 982 + 종속사 241 + 연결조정 -166
[yoy]</t>
      </text>
    </comment>
    <comment ref="AL5" authorId="0" shapeId="0">
      <text>
        <t>추정: 별도(조선기자재) 1138 + 종속사 257 + 연결조정 -166
[yoy]</t>
      </text>
    </comment>
    <comment ref="AM5" authorId="0" shapeId="0">
      <text>
        <t>추정: 별도(조선기자재) 927 + 종속사 261 + 연결조정 -166
[yoy]</t>
      </text>
    </comment>
    <comment ref="AN5" authorId="0" shapeId="0">
      <text>
        <t>추정: 별도(조선기자재) 1267 + 종속사 339 + 연결조정 -166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유지)
[ratio]</t>
      </text>
    </comment>
    <comment ref="AD9" authorId="0" shapeId="0">
      <text>
        <t>추정: 매출액 × OPM(최근 8분기 OPM 중위 16.9% 유지)
[ratio]</t>
      </text>
    </comment>
    <comment ref="AF9" authorId="0" shapeId="0">
      <text>
        <t>추정: 매출액 × OPM(최근 8분기 OPM 중위 16.9% 유지)
[ratio]</t>
      </text>
    </comment>
    <comment ref="AG9" authorId="0" shapeId="0">
      <text>
        <t>추정: 매출액 × OPM(최근 8분기 OPM 중위 16.9% 유지)
[ratio]</t>
      </text>
    </comment>
    <comment ref="AH9" authorId="0" shapeId="0">
      <text>
        <t>추정: 매출액 × OPM(최근 8분기 OPM 중위 16.9% 유지)
[ratio]</t>
      </text>
    </comment>
    <comment ref="AI9" authorId="0" shapeId="0">
      <text>
        <t>추정: 매출액 × OPM(최근 8분기 OPM 중위 16.9% 유지)
[ratio]</t>
      </text>
    </comment>
    <comment ref="AK9" authorId="0" shapeId="0">
      <text>
        <t>추정: 매출액 × OPM(최근 8분기 OPM 중위 16.9% 유지)
[ratio]</t>
      </text>
    </comment>
    <comment ref="AL9" authorId="0" shapeId="0">
      <text>
        <t>추정: 매출액 × OPM(최근 8분기 OPM 중위 16.9% 유지)
[ratio]</t>
      </text>
    </comment>
    <comment ref="AM9" authorId="0" shapeId="0">
      <text>
        <t>추정: 매출액 × OPM(최근 8분기 OPM 중위 16.9% 유지)
[ratio]</t>
      </text>
    </comment>
    <comment ref="AN9" authorId="0" shapeId="0">
      <text>
        <t>추정: 매출액 × OPM(최근 8분기 OPM 중위 16.9%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16.9% 유지
[yoy]</t>
      </text>
    </comment>
    <comment ref="AD10" authorId="0" shapeId="0">
      <text>
        <t>추정: 최근 8분기 OPM 중위 16.9% 유지
[yoy]</t>
      </text>
    </comment>
    <comment ref="AF10" authorId="0" shapeId="0">
      <text>
        <t>추정: 최근 8분기 OPM 중위 16.9% 유지
[yoy]</t>
      </text>
    </comment>
    <comment ref="AG10" authorId="0" shapeId="0">
      <text>
        <t>추정: 최근 8분기 OPM 중위 16.9% 유지
[yoy]</t>
      </text>
    </comment>
    <comment ref="AH10" authorId="0" shapeId="0">
      <text>
        <t>추정: 최근 8분기 OPM 중위 16.9% 유지
[yoy]</t>
      </text>
    </comment>
    <comment ref="AI10" authorId="0" shapeId="0">
      <text>
        <t>추정: 최근 8분기 OPM 중위 16.9% 유지
[yoy]</t>
      </text>
    </comment>
    <comment ref="AK10" authorId="0" shapeId="0">
      <text>
        <t>추정: 최근 8분기 OPM 중위 16.9% 유지
[yoy]</t>
      </text>
    </comment>
    <comment ref="AL10" authorId="0" shapeId="0">
      <text>
        <t>추정: 최근 8분기 OPM 중위 16.9% 유지
[yoy]</t>
      </text>
    </comment>
    <comment ref="AM10" authorId="0" shapeId="0">
      <text>
        <t>추정: 최근 8분기 OPM 중위 16.9% 유지
[yoy]</t>
      </text>
    </comment>
    <comment ref="AN10" authorId="0" shapeId="0">
      <text>
        <t>추정: 최근 8분기 OPM 중위 16.9% 유지
[yoy]</t>
      </text>
    </comment>
    <comment ref="AC11" authorId="0" shapeId="0">
      <text>
        <t>추정: 이자손익 = 이자발생자산 1386억 × 3.10% − 총차입금 2508억 × 2.90% (연율, CF 실측) ÷ 4; 환·평가손익 0 가정
[abs]</t>
      </text>
    </comment>
    <comment ref="AD11" authorId="0" shapeId="0">
      <text>
        <t>추정: 이자손익 = 이자발생자산 1506억 × 3.10% − 총차입금 2508억 × 2.90% (연율, CF 실측) ÷ 4; 환·평가손익 0 가정
[abs]</t>
      </text>
    </comment>
    <comment ref="AF11" authorId="0" shapeId="0">
      <text>
        <t>추정: 이자손익 = 이자발생자산 1692억 × 3.10% − 총차입금 2508억 × 2.90% (연율, CF 실측) ÷ 4; 환·평가손익 0 가정
[abs]</t>
      </text>
    </comment>
    <comment ref="AG11" authorId="0" shapeId="0">
      <text>
        <t>추정: 이자손익 = 이자발생자산 1830억 × 3.10% − 총차입금 2508억 × 2.90% (연율, CF 실측) ÷ 4; 환·평가손익 0 가정
[abs]</t>
      </text>
    </comment>
    <comment ref="AH11" authorId="0" shapeId="0">
      <text>
        <t>추정: 이자손익 = 이자발생자산 1870억 × 3.10% − 총차입금 2508억 × 2.90% (연율, CF 실측) ÷ 4; 환·평가손익 0 가정
[abs]</t>
      </text>
    </comment>
    <comment ref="AI11" authorId="0" shapeId="0">
      <text>
        <t>추정: 이자손익 = 이자발생자산 2012억 × 3.10% − 총차입금 2508억 × 2.90% (연율, CF 실측) ÷ 4; 환·평가손익 0 가정
[abs]</t>
      </text>
    </comment>
    <comment ref="AK11" authorId="0" shapeId="0">
      <text>
        <t>추정: 이자손익 = 이자발생자산 2217억 × 3.10% − 총차입금 2508억 × 2.90% (연율, CF 실측) ÷ 4; 환·평가손익 0 가정
[abs]</t>
      </text>
    </comment>
    <comment ref="AL11" authorId="0" shapeId="0">
      <text>
        <t>추정: 이자손익 = 이자발생자산 2360억 × 3.10% − 총차입금 2508억 × 2.90% (연율, CF 실측) ÷ 4; 환·평가손익 0 가정
[abs]</t>
      </text>
    </comment>
    <comment ref="AM11" authorId="0" shapeId="0">
      <text>
        <t>추정: 이자손익 = 이자발생자산 2400억 × 3.10% − 총차입금 2508억 × 2.90% (연율, CF 실측) ÷ 4; 환·평가손익 0 가정
[abs]</t>
      </text>
    </comment>
    <comment ref="AN11" authorId="0" shapeId="0">
      <text>
        <t>추정: 이자손익 = 이자발생자산 2539억 × 3.10% − 총차입금 2508억 × 2.90%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19.1%(최근 12분기 유효세율 19.1% → 5~27% 클립)
[ratio]</t>
      </text>
    </comment>
    <comment ref="AD15" authorId="0" shapeId="0">
      <text>
        <t>추정: max(세전, 0) × 세율 19.1%(최근 12분기 유효세율 19.1% → 5~27% 클립)
[ratio]</t>
      </text>
    </comment>
    <comment ref="AF15" authorId="0" shapeId="0">
      <text>
        <t>추정: max(세전, 0) × 세율 19.1%(최근 12분기 유효세율 19.1% → 5~27% 클립)
[ratio]</t>
      </text>
    </comment>
    <comment ref="AG15" authorId="0" shapeId="0">
      <text>
        <t>추정: max(세전, 0) × 세율 19.1%(최근 12분기 유효세율 19.1% → 5~27% 클립)
[ratio]</t>
      </text>
    </comment>
    <comment ref="AH15" authorId="0" shapeId="0">
      <text>
        <t>추정: max(세전, 0) × 세율 19.1%(최근 12분기 유효세율 19.1% → 5~27% 클립)
[ratio]</t>
      </text>
    </comment>
    <comment ref="AI15" authorId="0" shapeId="0">
      <text>
        <t>추정: max(세전, 0) × 세율 19.1%(최근 12분기 유효세율 19.1% → 5~27% 클립)
[ratio]</t>
      </text>
    </comment>
    <comment ref="AK15" authorId="0" shapeId="0">
      <text>
        <t>추정: max(세전, 0) × 세율 19.1%(최근 12분기 유효세율 19.1% → 5~27% 클립)
[ratio]</t>
      </text>
    </comment>
    <comment ref="AL15" authorId="0" shapeId="0">
      <text>
        <t>추정: max(세전, 0) × 세율 19.1%(최근 12분기 유효세율 19.1% → 5~27% 클립)
[ratio]</t>
      </text>
    </comment>
    <comment ref="AM15" authorId="0" shapeId="0">
      <text>
        <t>추정: max(세전, 0) × 세율 19.1%(최근 12분기 유효세율 19.1% → 5~27% 클립)
[ratio]</t>
      </text>
    </comment>
    <comment ref="AN15" authorId="0" shapeId="0">
      <text>
        <t>추정: max(세전, 0) × 세율 19.1%(최근 12분기 유효세율 19.1%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17.8%, 최근 8분기 실측)
[ratio]</t>
      </text>
    </comment>
    <comment ref="AD17" authorId="0" shapeId="0">
      <text>
        <t>추정: 당기순이익 × (1 − 비지배 비중 17.8%, 최근 8분기 실측)
[ratio]</t>
      </text>
    </comment>
    <comment ref="AF17" authorId="0" shapeId="0">
      <text>
        <t>추정: 당기순이익 × (1 − 비지배 비중 17.8%, 최근 8분기 실측)
[ratio]</t>
      </text>
    </comment>
    <comment ref="AG17" authorId="0" shapeId="0">
      <text>
        <t>추정: 당기순이익 × (1 − 비지배 비중 17.8%, 최근 8분기 실측)
[ratio]</t>
      </text>
    </comment>
    <comment ref="AH17" authorId="0" shapeId="0">
      <text>
        <t>추정: 당기순이익 × (1 − 비지배 비중 17.8%, 최근 8분기 실측)
[ratio]</t>
      </text>
    </comment>
    <comment ref="AI17" authorId="0" shapeId="0">
      <text>
        <t>추정: 당기순이익 × (1 − 비지배 비중 17.8%, 최근 8분기 실측)
[ratio]</t>
      </text>
    </comment>
    <comment ref="AK17" authorId="0" shapeId="0">
      <text>
        <t>추정: 당기순이익 × (1 − 비지배 비중 17.8%, 최근 8분기 실측)
[ratio]</t>
      </text>
    </comment>
    <comment ref="AL17" authorId="0" shapeId="0">
      <text>
        <t>추정: 당기순이익 × (1 − 비지배 비중 17.8%, 최근 8분기 실측)
[ratio]</t>
      </text>
    </comment>
    <comment ref="AM17" authorId="0" shapeId="0">
      <text>
        <t>추정: 당기순이익 × (1 − 비지배 비중 17.8%, 최근 8분기 실측)
[ratio]</t>
      </text>
    </comment>
    <comment ref="AN17" authorId="0" shapeId="0">
      <text>
        <t>추정: 당기순이익 × (1 − 비지배 비중 17.8%, 최근 8분기 실측)
[ratio]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225원 유지
[yoy]</t>
      </text>
    </comment>
    <comment ref="AI32" authorId="0" shapeId="0">
      <text>
        <t>추정: 직전 결산 DPS 225원 유지
[yoy]</t>
      </text>
    </comment>
    <comment ref="AN32" authorId="0" shapeId="0">
      <text>
        <t>추정: 직전 결산 DPS 225원 유지
[yoy]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fin.sep.is.매출액(수익) — 별도(조선기자재+풍력·플랜트 미분리)</t>
      </text>
    </comment>
    <comment ref="G35" authorId="0" shapeId="0">
      <text>
        <t>실측(계정 매핑 없음 — 모델값 직접) — fin.sep.is.매출액(수익) — 별도(조선기자재+풍력·플랜트 미분리)</t>
      </text>
    </comment>
    <comment ref="H35" authorId="0" shapeId="0">
      <text>
        <t>실측(계정 매핑 없음 — 모델값 직접) — fin.sep.is.매출액(수익) — 별도(조선기자재+풍력·플랜트 미분리)</t>
      </text>
    </comment>
    <comment ref="I35" authorId="0" shapeId="0">
      <text>
        <t>실측(계정 매핑 없음 — 모델값 직접) — fin.sep.is.매출액(수익) — 별도(조선기자재+풍력·플랜트 미분리)</t>
      </text>
    </comment>
    <comment ref="J35" authorId="0" shapeId="0">
      <text>
        <t>실측(계정 매핑 없음 — 모델값 직접) — fin.sep.is.매출액(수익) — 별도(조선기자재+풍력·플랜트 미분리)</t>
      </text>
    </comment>
    <comment ref="L35" authorId="0" shapeId="0">
      <text>
        <t>실측(계정 매핑 없음 — 모델값 직접) — fin.sep.is.매출액(수익) — 별도(조선기자재+풍력·플랜트 미분리)</t>
      </text>
    </comment>
    <comment ref="M35" authorId="0" shapeId="0">
      <text>
        <t>실측(계정 매핑 없음 — 모델값 직접) — fin.sep.is.매출액(수익) — 별도(조선기자재+풍력·플랜트 미분리)</t>
      </text>
    </comment>
    <comment ref="N35" authorId="0" shapeId="0">
      <text>
        <t>실측(계정 매핑 없음 — 모델값 직접) — fin.sep.is.매출액(수익) — 별도(조선기자재+풍력·플랜트 미분리)</t>
      </text>
    </comment>
    <comment ref="O35" authorId="0" shapeId="0">
      <text>
        <t>실측(계정 매핑 없음 — 모델값 직접) — fin.sep.is.매출액(수익) — 별도(조선기자재+풍력·플랜트 미분리)</t>
      </text>
    </comment>
    <comment ref="Q35" authorId="0" shapeId="0">
      <text>
        <t>실측(계정 매핑 없음 — 모델값 직접) — fin.sep.is.매출액(수익) — 별도(조선기자재+풍력·플랜트 미분리)</t>
      </text>
    </comment>
    <comment ref="R35" authorId="0" shapeId="0">
      <text>
        <t>실측(계정 매핑 없음 — 모델값 직접) — fin.sep.is.매출액(수익) — 별도(조선기자재+풍력·플랜트 미분리)</t>
      </text>
    </comment>
    <comment ref="S35" authorId="0" shapeId="0">
      <text>
        <t>실측(계정 매핑 없음 — 모델값 직접) — fin.sep.is.매출액(수익) — 별도(조선기자재+풍력·플랜트 미분리)</t>
      </text>
    </comment>
    <comment ref="T35" authorId="0" shapeId="0">
      <text>
        <t>실측(계정 매핑 없음 — 모델값 직접) — fin.sep.is.매출액(수익) — 별도(조선기자재+풍력·플랜트 미분리)</t>
      </text>
    </comment>
    <comment ref="V35" authorId="0" shapeId="0">
      <text>
        <t>실측(계정 매핑 없음 — 모델값 직접) — fin.sep.is.매출액(수익) — 별도(조선기자재+풍력·플랜트 미분리)</t>
      </text>
    </comment>
    <comment ref="W35" authorId="0" shapeId="0">
      <text>
        <t>실측(계정 매핑 없음 — 모델값 직접) — fin.sep.is.매출액(수익) — 별도(조선기자재+풍력·플랜트 미분리)</t>
      </text>
    </comment>
    <comment ref="X35" authorId="0" shapeId="0">
      <text>
        <t>실측(계정 매핑 없음 — 모델값 직접) — fin.sep.is.매출액(수익) — 별도(조선기자재+풍력·플랜트 미분리)</t>
      </text>
    </comment>
    <comment ref="Y35" authorId="0" shapeId="0">
      <text>
        <t>실측(계정 매핑 없음 — 모델값 직접) — fin.sep.is.매출액(수익) — 별도(조선기자재+풍력·플랜트 미분리)</t>
      </text>
    </comment>
    <comment ref="AA35" authorId="0" shapeId="0">
      <text>
        <t>실측(계정 매핑 없음 — 모델값 직접) — fin.sep.is.매출액(수익) — 별도(조선기자재+풍력·플랜트 미분리)</t>
      </text>
    </comment>
    <comment ref="AB35" authorId="0" shapeId="0">
      <text>
        <t>실측(계정 매핑 없음 — 모델값 직접) — fin.sep.is.매출액(수익) — 별도(조선기자재+풍력·플랜트 미분리)</t>
      </text>
    </comment>
    <comment ref="AC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76883억 × 비례계수 0.0507 × 계절비중 Q3 0.216(계절비중 — 최근 3개 연도(2026, 2025, 2024) 분기/연간 비중 평균; 격자 lag0~4×창8/12/19×수준·YoY·4Q합 중 최대 r=0.91, n=8, 창 8)
[ratio]</t>
      </text>
    </comment>
    <comment ref="AD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80224억 × 비례계수 0.0507 × 계절비중 Q4 0.299(계절비중 — 최근 3개 연도(2026, 2025, 2024) 분기/연간 비중 평균; 격자 lag0~4×창8/12/19×수준·YoY·4Q합 중 최대 r=0.91, n=8, 창 8)
[ratio]</t>
      </text>
    </comment>
    <comment ref="AF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84957억 × 비례계수 0.0507 × 계절비중 Q1 0.224(계절비중 — 최근 3개 연도(2026, 2025, 2024) 분기/연간 비중 평균; 격자 lag0~4×창8/12/19×수준·YoY·4Q합 중 최대 r=0.91, n=8, 창 8)
[ratio]</t>
      </text>
    </comment>
    <comment ref="AG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87118억 × 비례계수 0.0507 × 계절비중 Q2 0.262(계절비중 — 최근 3개 연도(2026, 2025, 2024) 분기/연간 비중 평균; 격자 lag0~4×창8/12/19×수준·YoY·4Q합 중 최대 r=0.91, n=8, 창 8)
[ratio]</t>
      </text>
    </comment>
    <comment ref="AH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87836억 × 비례계수 0.0507 × 계절비중 Q3 0.216(계절비중 — 최근 3개 연도(2026, 2025, 2024) 분기/연간 비중 평균; 격자 lag0~4×창8/12/19×수준·YoY·4Q합 중 최대 r=0.91, n=8, 창 8)
[ratio]</t>
      </text>
    </comment>
    <comment ref="AI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87401억 × 비례계수 0.0507 × 계절비중 Q4 0.299(계절비중 — 최근 3개 연도(2026, 2025, 2024) 분기/연간 비중 평균; 격자 lag0~4×창8/12/19×수준·YoY·4Q합 중 최대 r=0.91, n=8, 창 8)
[ratio]</t>
      </text>
    </comment>
    <comment ref="AK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86661억 × 비례계수 0.0507 × 계절비중 Q1 0.224(계절비중 — 최근 3개 연도(2026, 2025, 2024) 분기/연간 비중 평균; 격자 lag0~4×창8/12/19×수준·YoY·4Q합 중 최대 r=0.91, n=8, 창 8)
[ratio]</t>
      </text>
    </comment>
    <comment ref="AL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85778억 × 비례계수 0.0507 × 계절비중 Q2 0.262(계절비중 — 최근 3개 연도(2026, 2025, 2024) 분기/연간 비중 평균; 격자 lag0~4×창8/12/19×수준·YoY·4Q합 중 최대 r=0.91, n=8, 창 8)
[ratio]</t>
      </text>
    </comment>
    <comment ref="AM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84735억 × 비례계수 0.0507 × 계절비중 Q3 0.216(계절비중 — 최근 3개 연도(2026, 2025, 2024) 분기/연간 비중 평균; 격자 lag0~4×창8/12/19×수준·YoY·4Q합 중 최대 r=0.91, n=8, 창 8)
[ratio]</t>
      </text>
    </comment>
    <comment ref="AN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83524억 × 비례계수 0.0507 × 계절비중 Q4 0.299(계절비중 — 최근 3개 연도(2026, 2025, 2024) 분기/연간 비중 평균; 격자 lag0~4×창8/12/19×수준·YoY·4Q합 중 최대 r=0.91, n=8, 창 8)
[ratio]</t>
      </text>
    </comment>
    <comment ref="E36" authorId="0" shapeId="0">
      <text>
        <t>실측(계정 매핑 없음 — 모델값 직접) — fin.sep.is.영업이익</t>
      </text>
    </comment>
    <comment ref="G36" authorId="0" shapeId="0">
      <text>
        <t>실측(계정 매핑 없음 — 모델값 직접) — fin.sep.is.영업이익</t>
      </text>
    </comment>
    <comment ref="H36" authorId="0" shapeId="0">
      <text>
        <t>실측(계정 매핑 없음 — 모델값 직접) — fin.sep.is.영업이익</t>
      </text>
    </comment>
    <comment ref="I36" authorId="0" shapeId="0">
      <text>
        <t>실측(계정 매핑 없음 — 모델값 직접) — fin.sep.is.영업이익</t>
      </text>
    </comment>
    <comment ref="J36" authorId="0" shapeId="0">
      <text>
        <t>실측(계정 매핑 없음 — 모델값 직접) — fin.sep.is.영업이익</t>
      </text>
    </comment>
    <comment ref="L36" authorId="0" shapeId="0">
      <text>
        <t>실측(계정 매핑 없음 — 모델값 직접) — fin.sep.is.영업이익</t>
      </text>
    </comment>
    <comment ref="M36" authorId="0" shapeId="0">
      <text>
        <t>실측(계정 매핑 없음 — 모델값 직접) — fin.sep.is.영업이익</t>
      </text>
    </comment>
    <comment ref="N36" authorId="0" shapeId="0">
      <text>
        <t>실측(계정 매핑 없음 — 모델값 직접) — fin.sep.is.영업이익</t>
      </text>
    </comment>
    <comment ref="O36" authorId="0" shapeId="0">
      <text>
        <t>실측(계정 매핑 없음 — 모델값 직접) — fin.sep.is.영업이익</t>
      </text>
    </comment>
    <comment ref="Q36" authorId="0" shapeId="0">
      <text>
        <t>실측(계정 매핑 없음 — 모델값 직접) — fin.sep.is.영업이익</t>
      </text>
    </comment>
    <comment ref="R36" authorId="0" shapeId="0">
      <text>
        <t>실측(계정 매핑 없음 — 모델값 직접) — fin.sep.is.영업이익</t>
      </text>
    </comment>
    <comment ref="S36" authorId="0" shapeId="0">
      <text>
        <t>실측(계정 매핑 없음 — 모델값 직접) — fin.sep.is.영업이익</t>
      </text>
    </comment>
    <comment ref="T36" authorId="0" shapeId="0">
      <text>
        <t>실측(계정 매핑 없음 — 모델값 직접) — fin.sep.is.영업이익</t>
      </text>
    </comment>
    <comment ref="V36" authorId="0" shapeId="0">
      <text>
        <t>실측(계정 매핑 없음 — 모델값 직접) — fin.sep.is.영업이익</t>
      </text>
    </comment>
    <comment ref="W36" authorId="0" shapeId="0">
      <text>
        <t>실측(계정 매핑 없음 — 모델값 직접) — fin.sep.is.영업이익</t>
      </text>
    </comment>
    <comment ref="X36" authorId="0" shapeId="0">
      <text>
        <t>실측(계정 매핑 없음 — 모델값 직접) — fin.sep.is.영업이익</t>
      </text>
    </comment>
    <comment ref="Y36" authorId="0" shapeId="0">
      <text>
        <t>실측(계정 매핑 없음 — 모델값 직접) — fin.sep.is.영업이익</t>
      </text>
    </comment>
    <comment ref="AA36" authorId="0" shapeId="0">
      <text>
        <t>실측(계정 매핑 없음 — 모델값 직접) — fin.sep.is.영업이익</t>
      </text>
    </comment>
    <comment ref="AB36" authorId="0" shapeId="0">
      <text>
        <t>실측(계정 매핑 없음 — 모델값 직접) — fin.sep.is.영업이익</t>
      </text>
    </comment>
    <comment ref="AC36" authorId="0" shapeId="0">
      <text>
        <t>추정: 별도 매출 × 별도 OPM 8분기 중위 15.7%
[ratio]</t>
      </text>
    </comment>
    <comment ref="AD36" authorId="0" shapeId="0">
      <text>
        <t>추정: 별도 매출 × 별도 OPM 8분기 중위 15.7%
[ratio]</t>
      </text>
    </comment>
    <comment ref="AF36" authorId="0" shapeId="0">
      <text>
        <t>추정: 별도 매출 × 별도 OPM 8분기 중위 15.7%
[ratio]</t>
      </text>
    </comment>
    <comment ref="AG36" authorId="0" shapeId="0">
      <text>
        <t>추정: 별도 매출 × 별도 OPM 8분기 중위 15.7%
[ratio]</t>
      </text>
    </comment>
    <comment ref="AH36" authorId="0" shapeId="0">
      <text>
        <t>추정: 별도 매출 × 별도 OPM 8분기 중위 15.7%
[ratio]</t>
      </text>
    </comment>
    <comment ref="AI36" authorId="0" shapeId="0">
      <text>
        <t>추정: 별도 매출 × 별도 OPM 8분기 중위 15.7%
[ratio]</t>
      </text>
    </comment>
    <comment ref="AK36" authorId="0" shapeId="0">
      <text>
        <t>추정: 별도 매출 × 별도 OPM 8분기 중위 15.7%
[ratio]</t>
      </text>
    </comment>
    <comment ref="AL36" authorId="0" shapeId="0">
      <text>
        <t>추정: 별도 매출 × 별도 OPM 8분기 중위 15.7%
[ratio]</t>
      </text>
    </comment>
    <comment ref="AM36" authorId="0" shapeId="0">
      <text>
        <t>추정: 별도 매출 × 별도 OPM 8분기 중위 15.7%
[ratio]</t>
      </text>
    </comment>
    <comment ref="AN36" authorId="0" shapeId="0">
      <text>
        <t>추정: 별도 매출 × 별도 OPM 8분기 중위 15.7%
[ratio]</t>
      </text>
    </comment>
    <comment ref="E37" authorId="0" shapeId="0">
      <text>
        <t>실측(계정 매핑 없음 — 모델값 직접) — 일승·동방선기 fin 매출 합</t>
      </text>
    </comment>
    <comment ref="G37" authorId="0" shapeId="0">
      <text>
        <t>실측(계정 매핑 없음 — 모델값 직접) — 일승·동방선기 fin 매출 합</t>
      </text>
    </comment>
    <comment ref="H37" authorId="0" shapeId="0">
      <text>
        <t>실측(계정 매핑 없음 — 모델값 직접) — 일승·동방선기 fin 매출 합</t>
      </text>
    </comment>
    <comment ref="I37" authorId="0" shapeId="0">
      <text>
        <t>실측(계정 매핑 없음 — 모델값 직접) — 일승·동방선기 fin 매출 합</t>
      </text>
    </comment>
    <comment ref="J37" authorId="0" shapeId="0">
      <text>
        <t>실측(계정 매핑 없음 — 모델값 직접) — 일승·동방선기 fin 매출 합</t>
      </text>
    </comment>
    <comment ref="L37" authorId="0" shapeId="0">
      <text>
        <t>실측(계정 매핑 없음 — 모델값 직접) — 일승·동방선기 fin 매출 합</t>
      </text>
    </comment>
    <comment ref="M37" authorId="0" shapeId="0">
      <text>
        <t>실측(계정 매핑 없음 — 모델값 직접) — 일승·동방선기 fin 매출 합</t>
      </text>
    </comment>
    <comment ref="N37" authorId="0" shapeId="0">
      <text>
        <t>실측(계정 매핑 없음 — 모델값 직접) — 일승·동방선기 fin 매출 합</t>
      </text>
    </comment>
    <comment ref="O37" authorId="0" shapeId="0">
      <text>
        <t>실측(계정 매핑 없음 — 모델값 직접) — 일승·동방선기 fin 매출 합</t>
      </text>
    </comment>
    <comment ref="Q37" authorId="0" shapeId="0">
      <text>
        <t>실측(계정 매핑 없음 — 모델값 직접) — 일승·동방선기 fin 매출 합</t>
      </text>
    </comment>
    <comment ref="R37" authorId="0" shapeId="0">
      <text>
        <t>실측(계정 매핑 없음 — 모델값 직접) — 일승·동방선기 fin 매출 합</t>
      </text>
    </comment>
    <comment ref="S37" authorId="0" shapeId="0">
      <text>
        <t>실측(계정 매핑 없음 — 모델값 직접) — 일승·동방선기 fin 매출 합</t>
      </text>
    </comment>
    <comment ref="T37" authorId="0" shapeId="0">
      <text>
        <t>실측(계정 매핑 없음 — 모델값 직접) — 일승·동방선기 fin 매출 합</t>
      </text>
    </comment>
    <comment ref="V37" authorId="0" shapeId="0">
      <text>
        <t>실측(계정 매핑 없음 — 모델값 직접) — 일승·동방선기 fin 매출 합</t>
      </text>
    </comment>
    <comment ref="W37" authorId="0" shapeId="0">
      <text>
        <t>실측(계정 매핑 없음 — 모델값 직접) — 일승·동방선기 fin 매출 합</t>
      </text>
    </comment>
    <comment ref="X37" authorId="0" shapeId="0">
      <text>
        <t>실측(계정 매핑 없음 — 모델값 직접) — 일승·동방선기 fin 매출 합</t>
      </text>
    </comment>
    <comment ref="Y37" authorId="0" shapeId="0">
      <text>
        <t>실측(계정 매핑 없음 — 모델값 직접) — 일승·동방선기 fin 매출 합</t>
      </text>
    </comment>
    <comment ref="AA37" authorId="0" shapeId="0">
      <text>
        <t>실측(계정 매핑 없음 — 모델값 직접) — 일승·동방선기 fin 매출 합</t>
      </text>
    </comment>
    <comment ref="AB37" authorId="0" shapeId="0">
      <text>
        <t>실측(계정 매핑 없음 — 모델값 직접) — 일승·동방선기 fin 매출 합</t>
      </text>
    </comment>
    <comment ref="AC37" authorId="0" shapeId="0">
      <text>
        <t>추정: 일승·동방선기 모델 매출 합
[ratio]</t>
      </text>
    </comment>
    <comment ref="AD37" authorId="0" shapeId="0">
      <text>
        <t>추정: 일승·동방선기 모델 매출 합
[ratio]</t>
      </text>
    </comment>
    <comment ref="AF37" authorId="0" shapeId="0">
      <text>
        <t>추정: 일승·동방선기 모델 매출 합
[ratio]</t>
      </text>
    </comment>
    <comment ref="AG37" authorId="0" shapeId="0">
      <text>
        <t>추정: 일승·동방선기 모델 매출 합
[ratio]</t>
      </text>
    </comment>
    <comment ref="AH37" authorId="0" shapeId="0">
      <text>
        <t>추정: 일승·동방선기 모델 매출 합
[ratio]</t>
      </text>
    </comment>
    <comment ref="AI37" authorId="0" shapeId="0">
      <text>
        <t>추정: 일승·동방선기 모델 매출 합
[ratio]</t>
      </text>
    </comment>
    <comment ref="AK37" authorId="0" shapeId="0">
      <text>
        <t>추정: 일승·동방선기 모델 매출 합
[ratio]</t>
      </text>
    </comment>
    <comment ref="AL37" authorId="0" shapeId="0">
      <text>
        <t>추정: 일승·동방선기 모델 매출 합
[ratio]</t>
      </text>
    </comment>
    <comment ref="AM37" authorId="0" shapeId="0">
      <text>
        <t>추정: 일승·동방선기 모델 매출 합
[ratio]</t>
      </text>
    </comment>
    <comment ref="AN37" authorId="0" shapeId="0">
      <text>
        <t>추정: 일승·동방선기 모델 매출 합
[ratio]</t>
      </text>
    </comment>
    <comment ref="E38" authorId="0" shapeId="0">
      <text>
        <t>실측(계정 매핑 없음 — 모델값 직접) — 일승·동방선기 fin 영업이익 합</t>
      </text>
    </comment>
    <comment ref="G38" authorId="0" shapeId="0">
      <text>
        <t>실측(계정 매핑 없음 — 모델값 직접) — 일승·동방선기 fin 영업이익 합</t>
      </text>
    </comment>
    <comment ref="H38" authorId="0" shapeId="0">
      <text>
        <t>실측(계정 매핑 없음 — 모델값 직접) — 일승·동방선기 fin 영업이익 합</t>
      </text>
    </comment>
    <comment ref="I38" authorId="0" shapeId="0">
      <text>
        <t>실측(계정 매핑 없음 — 모델값 직접) — 일승·동방선기 fin 영업이익 합</t>
      </text>
    </comment>
    <comment ref="J38" authorId="0" shapeId="0">
      <text>
        <t>실측(계정 매핑 없음 — 모델값 직접) — 일승·동방선기 fin 영업이익 합</t>
      </text>
    </comment>
    <comment ref="L38" authorId="0" shapeId="0">
      <text>
        <t>실측(계정 매핑 없음 — 모델값 직접) — 일승·동방선기 fin 영업이익 합</t>
      </text>
    </comment>
    <comment ref="M38" authorId="0" shapeId="0">
      <text>
        <t>실측(계정 매핑 없음 — 모델값 직접) — 일승·동방선기 fin 영업이익 합</t>
      </text>
    </comment>
    <comment ref="N38" authorId="0" shapeId="0">
      <text>
        <t>실측(계정 매핑 없음 — 모델값 직접) — 일승·동방선기 fin 영업이익 합</t>
      </text>
    </comment>
    <comment ref="O38" authorId="0" shapeId="0">
      <text>
        <t>실측(계정 매핑 없음 — 모델값 직접) — 일승·동방선기 fin 영업이익 합</t>
      </text>
    </comment>
    <comment ref="Q38" authorId="0" shapeId="0">
      <text>
        <t>실측(계정 매핑 없음 — 모델값 직접) — 일승·동방선기 fin 영업이익 합</t>
      </text>
    </comment>
    <comment ref="R38" authorId="0" shapeId="0">
      <text>
        <t>실측(계정 매핑 없음 — 모델값 직접) — 일승·동방선기 fin 영업이익 합</t>
      </text>
    </comment>
    <comment ref="S38" authorId="0" shapeId="0">
      <text>
        <t>실측(계정 매핑 없음 — 모델값 직접) — 일승·동방선기 fin 영업이익 합</t>
      </text>
    </comment>
    <comment ref="T38" authorId="0" shapeId="0">
      <text>
        <t>실측(계정 매핑 없음 — 모델값 직접) — 일승·동방선기 fin 영업이익 합</t>
      </text>
    </comment>
    <comment ref="V38" authorId="0" shapeId="0">
      <text>
        <t>실측(계정 매핑 없음 — 모델값 직접) — 일승·동방선기 fin 영업이익 합</t>
      </text>
    </comment>
    <comment ref="W38" authorId="0" shapeId="0">
      <text>
        <t>실측(계정 매핑 없음 — 모델값 직접) — 일승·동방선기 fin 영업이익 합</t>
      </text>
    </comment>
    <comment ref="X38" authorId="0" shapeId="0">
      <text>
        <t>실측(계정 매핑 없음 — 모델값 직접) — 일승·동방선기 fin 영업이익 합</t>
      </text>
    </comment>
    <comment ref="Y38" authorId="0" shapeId="0">
      <text>
        <t>실측(계정 매핑 없음 — 모델값 직접) — 일승·동방선기 fin 영업이익 합</t>
      </text>
    </comment>
    <comment ref="AA38" authorId="0" shapeId="0">
      <text>
        <t>실측(계정 매핑 없음 — 모델값 직접) — 일승·동방선기 fin 영업이익 합</t>
      </text>
    </comment>
    <comment ref="AB38" authorId="0" shapeId="0">
      <text>
        <t>실측(계정 매핑 없음 — 모델값 직접) — 일승·동방선기 fin 영업이익 합</t>
      </text>
    </comment>
    <comment ref="AC38" authorId="0" shapeId="0">
      <text>
        <t>추정: 일승·동방선기 모델 영업이익 합
[ratio]</t>
      </text>
    </comment>
    <comment ref="AD38" authorId="0" shapeId="0">
      <text>
        <t>추정: 일승·동방선기 모델 영업이익 합
[ratio]</t>
      </text>
    </comment>
    <comment ref="AF38" authorId="0" shapeId="0">
      <text>
        <t>추정: 일승·동방선기 모델 영업이익 합
[ratio]</t>
      </text>
    </comment>
    <comment ref="AG38" authorId="0" shapeId="0">
      <text>
        <t>추정: 일승·동방선기 모델 영업이익 합
[ratio]</t>
      </text>
    </comment>
    <comment ref="AH38" authorId="0" shapeId="0">
      <text>
        <t>추정: 일승·동방선기 모델 영업이익 합
[ratio]</t>
      </text>
    </comment>
    <comment ref="AI38" authorId="0" shapeId="0">
      <text>
        <t>추정: 일승·동방선기 모델 영업이익 합
[ratio]</t>
      </text>
    </comment>
    <comment ref="AK38" authorId="0" shapeId="0">
      <text>
        <t>추정: 일승·동방선기 모델 영업이익 합
[ratio]</t>
      </text>
    </comment>
    <comment ref="AL38" authorId="0" shapeId="0">
      <text>
        <t>추정: 일승·동방선기 모델 영업이익 합
[ratio]</t>
      </text>
    </comment>
    <comment ref="AM38" authorId="0" shapeId="0">
      <text>
        <t>추정: 일승·동방선기 모델 영업이익 합
[ratio]</t>
      </text>
    </comment>
    <comment ref="AN38" authorId="0" shapeId="0">
      <text>
        <t>추정: 일승·동방선기 모델 영업이익 합
[ratio]</t>
      </text>
    </comment>
    <comment ref="E39" authorId="0" shapeId="0">
      <text>
        <t>실측(계정 매핑 없음 — 모델값 직접) — 연결 − 별도 − 종속사(베트남 종속·내부거래 잔차)</t>
      </text>
    </comment>
    <comment ref="G39" authorId="0" shapeId="0">
      <text>
        <t>실측(계정 매핑 없음 — 모델값 직접) — 연결 − 별도 − 종속사(베트남 종속·내부거래 잔차)</t>
      </text>
    </comment>
    <comment ref="H39" authorId="0" shapeId="0">
      <text>
        <t>실측(계정 매핑 없음 — 모델값 직접) — 연결 − 별도 − 종속사(베트남 종속·내부거래 잔차)</t>
      </text>
    </comment>
    <comment ref="I39" authorId="0" shapeId="0">
      <text>
        <t>실측(계정 매핑 없음 — 모델값 직접) — 연결 − 별도 − 종속사(베트남 종속·내부거래 잔차)</t>
      </text>
    </comment>
    <comment ref="J39" authorId="0" shapeId="0">
      <text>
        <t>실측(계정 매핑 없음 — 모델값 직접) — 연결 − 별도 − 종속사(베트남 종속·내부거래 잔차)</t>
      </text>
    </comment>
    <comment ref="L39" authorId="0" shapeId="0">
      <text>
        <t>실측(계정 매핑 없음 — 모델값 직접) — 연결 − 별도 − 종속사(베트남 종속·내부거래 잔차)</t>
      </text>
    </comment>
    <comment ref="M39" authorId="0" shapeId="0">
      <text>
        <t>실측(계정 매핑 없음 — 모델값 직접) — 연결 − 별도 − 종속사(베트남 종속·내부거래 잔차)</t>
      </text>
    </comment>
    <comment ref="N39" authorId="0" shapeId="0">
      <text>
        <t>실측(계정 매핑 없음 — 모델값 직접) — 연결 − 별도 − 종속사(베트남 종속·내부거래 잔차)</t>
      </text>
    </comment>
    <comment ref="O39" authorId="0" shapeId="0">
      <text>
        <t>실측(계정 매핑 없음 — 모델값 직접) — 연결 − 별도 − 종속사(베트남 종속·내부거래 잔차)</t>
      </text>
    </comment>
    <comment ref="Q39" authorId="0" shapeId="0">
      <text>
        <t>실측(계정 매핑 없음 — 모델값 직접) — 연결 − 별도 − 종속사(베트남 종속·내부거래 잔차)</t>
      </text>
    </comment>
    <comment ref="R39" authorId="0" shapeId="0">
      <text>
        <t>실측(계정 매핑 없음 — 모델값 직접) — 연결 − 별도 − 종속사(베트남 종속·내부거래 잔차)</t>
      </text>
    </comment>
    <comment ref="S39" authorId="0" shapeId="0">
      <text>
        <t>실측(계정 매핑 없음 — 모델값 직접) — 연결 − 별도 − 종속사(베트남 종속·내부거래 잔차)</t>
      </text>
    </comment>
    <comment ref="T39" authorId="0" shapeId="0">
      <text>
        <t>실측(계정 매핑 없음 — 모델값 직접) — 연결 − 별도 − 종속사(베트남 종속·내부거래 잔차)</t>
      </text>
    </comment>
    <comment ref="V39" authorId="0" shapeId="0">
      <text>
        <t>실측(계정 매핑 없음 — 모델값 직접) — 연결 − 별도 − 종속사(베트남 종속·내부거래 잔차)</t>
      </text>
    </comment>
    <comment ref="W39" authorId="0" shapeId="0">
      <text>
        <t>실측(계정 매핑 없음 — 모델값 직접) — 연결 − 별도 − 종속사(베트남 종속·내부거래 잔차)</t>
      </text>
    </comment>
    <comment ref="X39" authorId="0" shapeId="0">
      <text>
        <t>실측(계정 매핑 없음 — 모델값 직접) — 연결 − 별도 − 종속사(베트남 종속·내부거래 잔차)</t>
      </text>
    </comment>
    <comment ref="Y39" authorId="0" shapeId="0">
      <text>
        <t>실측(계정 매핑 없음 — 모델값 직접) — 연결 − 별도 − 종속사(베트남 종속·내부거래 잔차)</t>
      </text>
    </comment>
    <comment ref="AA39" authorId="0" shapeId="0">
      <text>
        <t>실측(계정 매핑 없음 — 모델값 직접) — 연결 − 별도 − 종속사(베트남 종속·내부거래 잔차)</t>
      </text>
    </comment>
    <comment ref="AB39" authorId="0" shapeId="0">
      <text>
        <t>실측(계정 매핑 없음 — 모델값 직접) — 연결 − 별도 − 종속사(베트남 종속·내부거래 잔차)</t>
      </text>
    </comment>
    <comment ref="AC39" authorId="0" shapeId="0">
      <text>
        <t>추정: 최근 4분기 잔차 중위(내부거래·베트남)
[ratio]</t>
      </text>
    </comment>
    <comment ref="AD39" authorId="0" shapeId="0">
      <text>
        <t>추정: 최근 4분기 잔차 중위(내부거래·베트남)
[ratio]</t>
      </text>
    </comment>
    <comment ref="AF39" authorId="0" shapeId="0">
      <text>
        <t>추정: 최근 4분기 잔차 중위(내부거래·베트남)
[ratio]</t>
      </text>
    </comment>
    <comment ref="AG39" authorId="0" shapeId="0">
      <text>
        <t>추정: 최근 4분기 잔차 중위(내부거래·베트남)
[ratio]</t>
      </text>
    </comment>
    <comment ref="AH39" authorId="0" shapeId="0">
      <text>
        <t>추정: 최근 4분기 잔차 중위(내부거래·베트남)
[ratio]</t>
      </text>
    </comment>
    <comment ref="AI39" authorId="0" shapeId="0">
      <text>
        <t>추정: 최근 4분기 잔차 중위(내부거래·베트남)
[ratio]</t>
      </text>
    </comment>
    <comment ref="AK39" authorId="0" shapeId="0">
      <text>
        <t>추정: 최근 4분기 잔차 중위(내부거래·베트남)
[ratio]</t>
      </text>
    </comment>
    <comment ref="AL39" authorId="0" shapeId="0">
      <text>
        <t>추정: 최근 4분기 잔차 중위(내부거래·베트남)
[ratio]</t>
      </text>
    </comment>
    <comment ref="AM39" authorId="0" shapeId="0">
      <text>
        <t>추정: 최근 4분기 잔차 중위(내부거래·베트남)
[ratio]</t>
      </text>
    </comment>
    <comment ref="AN39" authorId="0" shapeId="0">
      <text>
        <t>추정: 최근 4분기 잔차 중위(내부거래·베트남)
[ratio]</t>
      </text>
    </comment>
    <comment ref="E40" authorId="0" shapeId="0">
      <text>
        <t>실측(계정 매핑 없음 — 모델값 직접) — 연결 OP − 별도 OP − 종속사 OP(잔차)</t>
      </text>
    </comment>
    <comment ref="G40" authorId="0" shapeId="0">
      <text>
        <t>실측(계정 매핑 없음 — 모델값 직접) — 연결 OP − 별도 OP − 종속사 OP(잔차)</t>
      </text>
    </comment>
    <comment ref="H40" authorId="0" shapeId="0">
      <text>
        <t>실측(계정 매핑 없음 — 모델값 직접) — 연결 OP − 별도 OP − 종속사 OP(잔차)</t>
      </text>
    </comment>
    <comment ref="I40" authorId="0" shapeId="0">
      <text>
        <t>실측(계정 매핑 없음 — 모델값 직접) — 연결 OP − 별도 OP − 종속사 OP(잔차)</t>
      </text>
    </comment>
    <comment ref="J40" authorId="0" shapeId="0">
      <text>
        <t>실측(계정 매핑 없음 — 모델값 직접) — 연결 OP − 별도 OP − 종속사 OP(잔차)</t>
      </text>
    </comment>
    <comment ref="L40" authorId="0" shapeId="0">
      <text>
        <t>실측(계정 매핑 없음 — 모델값 직접) — 연결 OP − 별도 OP − 종속사 OP(잔차)</t>
      </text>
    </comment>
    <comment ref="M40" authorId="0" shapeId="0">
      <text>
        <t>실측(계정 매핑 없음 — 모델값 직접) — 연결 OP − 별도 OP − 종속사 OP(잔차)</t>
      </text>
    </comment>
    <comment ref="N40" authorId="0" shapeId="0">
      <text>
        <t>실측(계정 매핑 없음 — 모델값 직접) — 연결 OP − 별도 OP − 종속사 OP(잔차)</t>
      </text>
    </comment>
    <comment ref="O40" authorId="0" shapeId="0">
      <text>
        <t>실측(계정 매핑 없음 — 모델값 직접) — 연결 OP − 별도 OP − 종속사 OP(잔차)</t>
      </text>
    </comment>
    <comment ref="Q40" authorId="0" shapeId="0">
      <text>
        <t>실측(계정 매핑 없음 — 모델값 직접) — 연결 OP − 별도 OP − 종속사 OP(잔차)</t>
      </text>
    </comment>
    <comment ref="R40" authorId="0" shapeId="0">
      <text>
        <t>실측(계정 매핑 없음 — 모델값 직접) — 연결 OP − 별도 OP − 종속사 OP(잔차)</t>
      </text>
    </comment>
    <comment ref="S40" authorId="0" shapeId="0">
      <text>
        <t>실측(계정 매핑 없음 — 모델값 직접) — 연결 OP − 별도 OP − 종속사 OP(잔차)</t>
      </text>
    </comment>
    <comment ref="T40" authorId="0" shapeId="0">
      <text>
        <t>실측(계정 매핑 없음 — 모델값 직접) — 연결 OP − 별도 OP − 종속사 OP(잔차)</t>
      </text>
    </comment>
    <comment ref="V40" authorId="0" shapeId="0">
      <text>
        <t>실측(계정 매핑 없음 — 모델값 직접) — 연결 OP − 별도 OP − 종속사 OP(잔차)</t>
      </text>
    </comment>
    <comment ref="W40" authorId="0" shapeId="0">
      <text>
        <t>실측(계정 매핑 없음 — 모델값 직접) — 연결 OP − 별도 OP − 종속사 OP(잔차)</t>
      </text>
    </comment>
    <comment ref="X40" authorId="0" shapeId="0">
      <text>
        <t>실측(계정 매핑 없음 — 모델값 직접) — 연결 OP − 별도 OP − 종속사 OP(잔차)</t>
      </text>
    </comment>
    <comment ref="Y40" authorId="0" shapeId="0">
      <text>
        <t>실측(계정 매핑 없음 — 모델값 직접) — 연결 OP − 별도 OP − 종속사 OP(잔차)</t>
      </text>
    </comment>
    <comment ref="AA40" authorId="0" shapeId="0">
      <text>
        <t>실측(계정 매핑 없음 — 모델값 직접) — 연결 OP − 별도 OP − 종속사 OP(잔차)</t>
      </text>
    </comment>
    <comment ref="AB40" authorId="0" shapeId="0">
      <text>
        <t>실측(계정 매핑 없음 — 모델값 직접) — 연결 OP − 별도 OP − 종속사 OP(잔차)</t>
      </text>
    </comment>
    <comment ref="AC40" authorId="0" shapeId="0">
      <text>
        <t>추정: 연결 OP − 별도 OP − 종속사 OP(잔차)
[ratio]</t>
      </text>
    </comment>
    <comment ref="AD40" authorId="0" shapeId="0">
      <text>
        <t>추정: 연결 OP − 별도 OP − 종속사 OP(잔차)
[ratio]</t>
      </text>
    </comment>
    <comment ref="AF40" authorId="0" shapeId="0">
      <text>
        <t>추정: 연결 OP − 별도 OP − 종속사 OP(잔차)
[ratio]</t>
      </text>
    </comment>
    <comment ref="AG40" authorId="0" shapeId="0">
      <text>
        <t>추정: 연결 OP − 별도 OP − 종속사 OP(잔차)
[ratio]</t>
      </text>
    </comment>
    <comment ref="AH40" authorId="0" shapeId="0">
      <text>
        <t>추정: 연결 OP − 별도 OP − 종속사 OP(잔차)
[ratio]</t>
      </text>
    </comment>
    <comment ref="AI40" authorId="0" shapeId="0">
      <text>
        <t>추정: 연결 OP − 별도 OP − 종속사 OP(잔차)
[ratio]</t>
      </text>
    </comment>
    <comment ref="AK40" authorId="0" shapeId="0">
      <text>
        <t>추정: 연결 OP − 별도 OP − 종속사 OP(잔차)
[ratio]</t>
      </text>
    </comment>
    <comment ref="AL40" authorId="0" shapeId="0">
      <text>
        <t>추정: 연결 OP − 별도 OP − 종속사 OP(잔차)
[ratio]</t>
      </text>
    </comment>
    <comment ref="AM40" authorId="0" shapeId="0">
      <text>
        <t>추정: 연결 OP − 별도 OP − 종속사 OP(잔차)
[ratio]</t>
      </text>
    </comment>
    <comment ref="AN40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assets/models/075580.json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풍력/플랜트 부문 실적은 fin face 에서 분리 불가 → 별도 매출 전체를 조선기자재 지수로 추정. 풍력 레퍼런스 표는 모듈(합산 안 함) / 감가상각비가 face·CF 에 없음(주석 미파싱) → EBITDA·EV/EBITDA 미산출</t>
        </is>
      </c>
    </row>
    <row r="22">
      <c r="A22" t="inlineStr">
        <is>
          <t>백테스트: {"freeze": "2025Q2", "horizon": 4, "revenue_wape_pct": 11.7, "op_wape_pct": 52.6,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786.34, "rev_act": 903.68, "op_pred": 73.77, "op_act": 121.44}, {"q": "2025Q4", "rev_pred": 1188.52, "rev_act": 1156.51, "op_pred": 111.51, "op_act": 346.8}, {"q": "2026Q1", "rev_pred": 1054.55, "rev_act": 872.43, "op_pred": 98.94, "op_act": 136.39}, {"q": "2026Q2", "rev_pred": 1057.51, "rev_act": 934.98, "op_pred": 99.22,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6650</v>
      </c>
      <c r="W15" s="18" t="n">
        <v>11510</v>
      </c>
      <c r="X15" s="18" t="n">
        <v>21600</v>
      </c>
      <c r="Y15" s="18" t="n">
        <v>17400</v>
      </c>
      <c r="Z15" s="9" t="n"/>
      <c r="AA15" s="18" t="n">
        <v>15570</v>
      </c>
      <c r="AB15" s="19" t="n">
        <v>13370</v>
      </c>
      <c r="AC15" s="20" t="n">
        <v>9770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13150</v>
      </c>
      <c r="X16" s="18" t="n">
        <v>28000</v>
      </c>
      <c r="Y16" s="18" t="n">
        <v>25350</v>
      </c>
      <c r="Z16" s="9" t="n"/>
      <c r="AA16" s="18" t="n">
        <v>21200</v>
      </c>
      <c r="AB16" s="19" t="n">
        <v>22750</v>
      </c>
      <c r="AC16" s="20" t="n">
        <v>14570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8435.200000000001</v>
      </c>
      <c r="W18" s="18" t="n">
        <v>9890.299999999999</v>
      </c>
      <c r="X18" s="18" t="n">
        <v>15616.2</v>
      </c>
      <c r="Y18" s="18" t="n">
        <v>19573.9</v>
      </c>
      <c r="Z18" s="9" t="n"/>
      <c r="AA18" s="18" t="n">
        <v>18433.9</v>
      </c>
      <c r="AB18" s="19" t="n">
        <v>16859.5</v>
      </c>
      <c r="AC18" s="20" t="n">
        <v>10969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0.023918</v>
      </c>
      <c r="AD21" s="24" t="n">
        <v>0.212116</v>
      </c>
      <c r="AE21" s="25" t="n"/>
      <c r="AF21" s="24" t="n">
        <v>0.192782</v>
      </c>
      <c r="AG21" s="24" t="n">
        <v>0.342686</v>
      </c>
      <c r="AH21" s="24" t="n">
        <v>0.153746</v>
      </c>
      <c r="AI21" s="24" t="n">
        <v>0.082663</v>
      </c>
      <c r="AJ21" s="25" t="n"/>
      <c r="AK21" s="24" t="n">
        <v>0.014943</v>
      </c>
      <c r="AL21" s="24" t="n">
        <v>-0.021643</v>
      </c>
      <c r="AM21" s="24" t="n">
        <v>-0.043127</v>
      </c>
      <c r="AN21" s="24" t="n">
        <v>-0.051545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0.061321</v>
      </c>
      <c r="AD22" s="24" t="n">
        <v>0.06132</v>
      </c>
      <c r="AE22" s="25">
        <f>IFERROR(subQ!AE8/subQ!AE5,"")</f>
        <v/>
      </c>
      <c r="AF22" s="24" t="n">
        <v>0.061319</v>
      </c>
      <c r="AG22" s="24" t="n">
        <v>0.06132</v>
      </c>
      <c r="AH22" s="24" t="n">
        <v>0.061318</v>
      </c>
      <c r="AI22" s="24" t="n">
        <v>0.061316</v>
      </c>
      <c r="AJ22" s="25">
        <f>IFERROR(subQ!AJ8/subQ!AJ5,"")</f>
        <v/>
      </c>
      <c r="AK22" s="24" t="n">
        <v>0.061316</v>
      </c>
      <c r="AL22" s="24" t="n">
        <v>0.061316</v>
      </c>
      <c r="AM22" s="24" t="n">
        <v>0.061321</v>
      </c>
      <c r="AN22" s="24" t="n">
        <v>0.061321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0.168531</v>
      </c>
      <c r="AD23" s="24" t="n">
        <v>0.16853</v>
      </c>
      <c r="AE23" s="25">
        <f>IFERROR(subQ!AE9/subQ!AE5,"")</f>
        <v/>
      </c>
      <c r="AF23" s="24" t="n">
        <v>0.168525</v>
      </c>
      <c r="AG23" s="24" t="n">
        <v>0.168529</v>
      </c>
      <c r="AH23" s="24" t="n">
        <v>0.168526</v>
      </c>
      <c r="AI23" s="24" t="n">
        <v>0.16853</v>
      </c>
      <c r="AJ23" s="25">
        <f>IFERROR(subQ!AJ9/subQ!AJ5,"")</f>
        <v/>
      </c>
      <c r="AK23" s="24" t="n">
        <v>0.168524</v>
      </c>
      <c r="AL23" s="24" t="n">
        <v>0.168528</v>
      </c>
      <c r="AM23" s="24" t="n">
        <v>0.168525</v>
      </c>
      <c r="AN23" s="24" t="n">
        <v>0.168526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0.25372</v>
      </c>
      <c r="AD24" s="24" t="n">
        <v>-0.438146</v>
      </c>
      <c r="AE24" s="25" t="n"/>
      <c r="AF24" s="24" t="n">
        <v>0.078055</v>
      </c>
      <c r="AG24" s="24" t="n">
        <v>-0.226354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-7.42</v>
      </c>
      <c r="AD25" s="29" t="n">
        <v>-6.49</v>
      </c>
      <c r="AE25" s="30">
        <f>subQ!AE11</f>
        <v/>
      </c>
      <c r="AF25" s="29" t="n">
        <v>-5.05</v>
      </c>
      <c r="AG25" s="29" t="n">
        <v>-3.98</v>
      </c>
      <c r="AH25" s="29" t="n">
        <v>-3.67</v>
      </c>
      <c r="AI25" s="29" t="n">
        <v>-2.57</v>
      </c>
      <c r="AJ25" s="30">
        <f>subQ!AJ11</f>
        <v/>
      </c>
      <c r="AK25" s="29" t="n">
        <v>-0.98</v>
      </c>
      <c r="AL25" s="29" t="n">
        <v>0.13</v>
      </c>
      <c r="AM25" s="29" t="n">
        <v>0.44</v>
      </c>
      <c r="AN25" s="29" t="n">
        <v>1.52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-0.03</v>
      </c>
      <c r="AD27" s="29" t="n">
        <v>-0.03</v>
      </c>
      <c r="AE27" s="30">
        <f>subQ!AE13</f>
        <v/>
      </c>
      <c r="AF27" s="29" t="n">
        <v>-0.03</v>
      </c>
      <c r="AG27" s="29" t="n">
        <v>-0.03</v>
      </c>
      <c r="AH27" s="29" t="n">
        <v>-0.03</v>
      </c>
      <c r="AI27" s="29" t="n">
        <v>-0.03</v>
      </c>
      <c r="AJ27" s="30">
        <f>subQ!AJ13</f>
        <v/>
      </c>
      <c r="AK27" s="29" t="n">
        <v>-0.03</v>
      </c>
      <c r="AL27" s="29" t="n">
        <v>-0.03</v>
      </c>
      <c r="AM27" s="29" t="n">
        <v>-0.03</v>
      </c>
      <c r="AN27" s="29" t="n">
        <v>-0.03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0.191137</v>
      </c>
      <c r="AD28" s="24" t="n">
        <v>0.191137</v>
      </c>
      <c r="AE28" s="25">
        <f>IFERROR(subQ!AE15/subQ!AE14,"")</f>
        <v/>
      </c>
      <c r="AF28" s="24" t="n">
        <v>0.191145</v>
      </c>
      <c r="AG28" s="24" t="n">
        <v>0.191174</v>
      </c>
      <c r="AH28" s="24" t="n">
        <v>0.191136</v>
      </c>
      <c r="AI28" s="24" t="n">
        <v>0.191168</v>
      </c>
      <c r="AJ28" s="25">
        <f>IFERROR(subQ!AJ15/subQ!AJ14,"")</f>
        <v/>
      </c>
      <c r="AK28" s="24" t="n">
        <v>0.191152</v>
      </c>
      <c r="AL28" s="24" t="n">
        <v>0.191173</v>
      </c>
      <c r="AM28" s="24" t="n">
        <v>0.19118</v>
      </c>
      <c r="AN28" s="24" t="n">
        <v>0.191167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0.821732</v>
      </c>
      <c r="AD29" s="24" t="n">
        <v>0.821753</v>
      </c>
      <c r="AE29" s="25">
        <f>IFERROR(subQ!AE17/subQ!AE16,"")</f>
        <v/>
      </c>
      <c r="AF29" s="24" t="n">
        <v>0.821766</v>
      </c>
      <c r="AG29" s="24" t="n">
        <v>0.821777</v>
      </c>
      <c r="AH29" s="24" t="n">
        <v>0.821722</v>
      </c>
      <c r="AI29" s="24" t="n">
        <v>0.82176</v>
      </c>
      <c r="AJ29" s="25">
        <f>IFERROR(subQ!AJ17/subQ!AJ16,"")</f>
        <v/>
      </c>
      <c r="AK29" s="24" t="n">
        <v>0.8217950000000001</v>
      </c>
      <c r="AL29" s="24" t="n">
        <v>0.821791</v>
      </c>
      <c r="AM29" s="24" t="n">
        <v>0.82181</v>
      </c>
      <c r="AN29" s="24" t="n">
        <v>0.821751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0.0005</v>
      </c>
      <c r="AD32" s="29" t="n">
        <v>0</v>
      </c>
      <c r="AE32" s="30" t="n"/>
      <c r="AF32" s="29" t="n">
        <v>0</v>
      </c>
      <c r="AG32" s="29" t="n">
        <v>127.91</v>
      </c>
      <c r="AH32" s="29" t="n">
        <v>0</v>
      </c>
      <c r="AI32" s="29" t="n">
        <v>0</v>
      </c>
      <c r="AJ32" s="30" t="n"/>
      <c r="AK32" s="29" t="n">
        <v>0</v>
      </c>
      <c r="AL32" s="29" t="n">
        <v>127.91</v>
      </c>
      <c r="AM32" s="29" t="n">
        <v>0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-0.0077</v>
      </c>
      <c r="AD33" s="29" t="n">
        <v>0</v>
      </c>
      <c r="AE33" s="30" t="n"/>
      <c r="AF33" s="29" t="n">
        <v>0</v>
      </c>
      <c r="AG33" s="29" t="n">
        <v>127.92</v>
      </c>
      <c r="AH33" s="29" t="n">
        <v>-0</v>
      </c>
      <c r="AI33" s="29" t="n">
        <v>-0.01</v>
      </c>
      <c r="AJ33" s="30" t="n"/>
      <c r="AK33" s="29" t="n">
        <v>0.01</v>
      </c>
      <c r="AL33" s="29" t="n">
        <v>127.91</v>
      </c>
      <c r="AM33" s="29" t="n">
        <v>0.01</v>
      </c>
      <c r="AN33" s="29" t="n">
        <v>-0.01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-0.080803</v>
      </c>
      <c r="AD35" s="24" t="n">
        <v>-0.136001</v>
      </c>
      <c r="AE35" s="25" t="n"/>
      <c r="AF35" s="24" t="n">
        <v>-0.116686</v>
      </c>
      <c r="AG35" s="24" t="n">
        <v>-0.038334</v>
      </c>
      <c r="AH35" s="24" t="n">
        <v>-0.142133</v>
      </c>
      <c r="AI35" s="24" t="n">
        <v>-0.238073</v>
      </c>
      <c r="AJ35" s="25" t="n"/>
      <c r="AK35" s="24" t="n">
        <v>-0.218413</v>
      </c>
      <c r="AL35" s="24" t="n">
        <v>-0.07728500000000001</v>
      </c>
      <c r="AM35" s="24" t="n">
        <v>-0.29528</v>
      </c>
      <c r="AN35" s="24" t="n">
        <v>-0.592675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0.086644</v>
      </c>
      <c r="AD36" s="24" t="n">
        <v>0.123363</v>
      </c>
      <c r="AE36" s="25" t="n"/>
      <c r="AF36" s="24" t="n">
        <v>0.08140600000000001</v>
      </c>
      <c r="AG36" s="24" t="n">
        <v>0.021844</v>
      </c>
      <c r="AH36" s="24" t="n">
        <v>0.07623000000000001</v>
      </c>
      <c r="AI36" s="24" t="n">
        <v>0.101766</v>
      </c>
      <c r="AJ36" s="25" t="n"/>
      <c r="AK36" s="24" t="n">
        <v>0.064568</v>
      </c>
      <c r="AL36" s="24" t="n">
        <v>0.016774</v>
      </c>
      <c r="AM36" s="24" t="n">
        <v>0.058159</v>
      </c>
      <c r="AN36" s="24" t="n">
        <v>0.077748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-0.63354</v>
      </c>
      <c r="AD42" s="24" t="n">
        <v>-0.549636</v>
      </c>
      <c r="AE42" s="25" t="n"/>
      <c r="AF42" s="24" t="n">
        <v>-0.486166</v>
      </c>
      <c r="AG42" s="24" t="n">
        <v>-0.266711</v>
      </c>
      <c r="AH42" s="24" t="n">
        <v>0.280872</v>
      </c>
      <c r="AI42" s="24" t="n">
        <v>0.039434</v>
      </c>
      <c r="AJ42" s="25" t="n"/>
      <c r="AK42" s="24" t="n">
        <v>-0.020192</v>
      </c>
      <c r="AL42" s="24" t="n">
        <v>-0.070191</v>
      </c>
      <c r="AM42" s="24" t="n">
        <v>-0.031191</v>
      </c>
      <c r="AN42" s="24" t="n">
        <v>0.007782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-0.506849</v>
      </c>
      <c r="AD43" s="24" t="n">
        <v>-0.581109</v>
      </c>
      <c r="AE43" s="25" t="n"/>
      <c r="AF43" s="24" t="n">
        <v>-0.574236</v>
      </c>
      <c r="AG43" s="24" t="n">
        <v>-0.5</v>
      </c>
      <c r="AH43" s="24" t="n">
        <v>-0.134259</v>
      </c>
      <c r="AI43" s="24" t="n">
        <v>-0.132353</v>
      </c>
      <c r="AJ43" s="25" t="n"/>
      <c r="AK43" s="24" t="n">
        <v>-0.128205</v>
      </c>
      <c r="AL43" s="24" t="n">
        <v>-0.128205</v>
      </c>
      <c r="AM43" s="24" t="n">
        <v>-0.122995</v>
      </c>
      <c r="AN43" s="24" t="n">
        <v>-0.112994</v>
      </c>
      <c r="AO43" s="25" t="n"/>
    </row>
    <row r="44">
      <c r="A44" s="12" t="inlineStr">
        <is>
          <t>drv:매출조선기자재</t>
        </is>
      </c>
      <c r="B44" s="2" t="inlineStr">
        <is>
          <t>ratio</t>
        </is>
      </c>
      <c r="C44" t="inlineStr">
        <is>
          <t>매출조선기자재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0.909196</v>
      </c>
      <c r="AD44" s="24" t="n">
        <v>0.8678090000000001</v>
      </c>
      <c r="AE44" s="25">
        <f>IFERROR(subQ!AE35/subQ!AE5,"")</f>
        <v/>
      </c>
      <c r="AF44" s="24" t="n">
        <v>0.925179</v>
      </c>
      <c r="AG44" s="24" t="n">
        <v>0.92028</v>
      </c>
      <c r="AH44" s="24" t="n">
        <v>0.900304</v>
      </c>
      <c r="AI44" s="24" t="n">
        <v>0.87325</v>
      </c>
      <c r="AJ44" s="25">
        <f>IFERROR(subQ!AJ35/subQ!AJ5,"")</f>
        <v/>
      </c>
      <c r="AK44" s="24" t="n">
        <v>0.929841</v>
      </c>
      <c r="AL44" s="24" t="n">
        <v>0.9261779999999999</v>
      </c>
      <c r="AM44" s="24" t="n">
        <v>0.907666</v>
      </c>
      <c r="AN44" s="24" t="n">
        <v>0.879866</v>
      </c>
      <c r="AO44" s="25">
        <f>IFERROR(subQ!AO35/subQ!AO5,"")</f>
        <v/>
      </c>
    </row>
    <row r="45">
      <c r="A45" s="12" t="inlineStr">
        <is>
          <t>drv:OP조선기자재</t>
        </is>
      </c>
      <c r="B45" s="2" t="inlineStr">
        <is>
          <t>ratio</t>
        </is>
      </c>
      <c r="C45" t="inlineStr">
        <is>
          <t>OP조선기자재 마진(/매출조선기자재)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0.157274</v>
      </c>
      <c r="AD45" s="24" t="n">
        <v>0.157268</v>
      </c>
      <c r="AE45" s="25">
        <f>IFERROR(subQ!AE36/subQ!AE35,"")</f>
        <v/>
      </c>
      <c r="AF45" s="24" t="n">
        <v>0.157267</v>
      </c>
      <c r="AG45" s="24" t="n">
        <v>0.157274</v>
      </c>
      <c r="AH45" s="24" t="n">
        <v>0.157264</v>
      </c>
      <c r="AI45" s="24" t="n">
        <v>0.157273</v>
      </c>
      <c r="AJ45" s="25">
        <f>IFERROR(subQ!AJ36/subQ!AJ35,"")</f>
        <v/>
      </c>
      <c r="AK45" s="24" t="n">
        <v>0.15727</v>
      </c>
      <c r="AL45" s="24" t="n">
        <v>0.157268</v>
      </c>
      <c r="AM45" s="24" t="n">
        <v>0.157271</v>
      </c>
      <c r="AN45" s="24" t="n">
        <v>0.15727</v>
      </c>
      <c r="AO45" s="25">
        <f>IFERROR(subQ!AO36/subQ!AO35,"")</f>
        <v/>
      </c>
    </row>
    <row r="46">
      <c r="A46" s="12" t="inlineStr">
        <is>
          <t>drv:매출종속사</t>
        </is>
      </c>
      <c r="B46" s="2" t="inlineStr">
        <is>
          <t>ratio</t>
        </is>
      </c>
      <c r="C46" t="inlineStr">
        <is>
          <t>매출종속사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0.270672</v>
      </c>
      <c r="AD46" s="24" t="n">
        <v>0.250908</v>
      </c>
      <c r="AE46" s="25">
        <f>IFERROR(subQ!AE37/subQ!AE5,"")</f>
        <v/>
      </c>
      <c r="AF46" s="24" t="n">
        <v>0.234745</v>
      </c>
      <c r="AG46" s="24" t="n">
        <v>0.212285</v>
      </c>
      <c r="AH46" s="24" t="n">
        <v>0.255595</v>
      </c>
      <c r="AI46" s="24" t="n">
        <v>0.236402</v>
      </c>
      <c r="AJ46" s="25">
        <f>IFERROR(subQ!AJ37/subQ!AJ5,"")</f>
        <v/>
      </c>
      <c r="AK46" s="24" t="n">
        <v>0.227728</v>
      </c>
      <c r="AL46" s="24" t="n">
        <v>0.209319</v>
      </c>
      <c r="AM46" s="24" t="n">
        <v>0.255259</v>
      </c>
      <c r="AN46" s="24" t="n">
        <v>0.235745</v>
      </c>
      <c r="AO46" s="25">
        <f>IFERROR(subQ!AO37/subQ!AO5,"")</f>
        <v/>
      </c>
    </row>
    <row r="47">
      <c r="A47" s="12" t="inlineStr">
        <is>
          <t>drv:OP종속사</t>
        </is>
      </c>
      <c r="B47" s="2" t="inlineStr">
        <is>
          <t>ratio</t>
        </is>
      </c>
      <c r="C47" t="inlineStr">
        <is>
          <t>OP종속사 마진(/매출종속사)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0.188141</v>
      </c>
      <c r="AD47" s="24" t="n">
        <v>0.188213</v>
      </c>
      <c r="AE47" s="25">
        <f>IFERROR(subQ!AE38/subQ!AE37,"")</f>
        <v/>
      </c>
      <c r="AF47" s="24" t="n">
        <v>0.188718</v>
      </c>
      <c r="AG47" s="24" t="n">
        <v>0.188593</v>
      </c>
      <c r="AH47" s="24" t="n">
        <v>0.188155</v>
      </c>
      <c r="AI47" s="24" t="n">
        <v>0.188216</v>
      </c>
      <c r="AJ47" s="25">
        <f>IFERROR(subQ!AJ38/subQ!AJ37,"")</f>
        <v/>
      </c>
      <c r="AK47" s="24" t="n">
        <v>0.188716</v>
      </c>
      <c r="AL47" s="24" t="n">
        <v>0.188572</v>
      </c>
      <c r="AM47" s="24" t="n">
        <v>0.18815</v>
      </c>
      <c r="AN47" s="24" t="n">
        <v>0.188213</v>
      </c>
      <c r="AO47" s="25">
        <f>IFERROR(subQ!AO38/subQ!AO37,"")</f>
        <v/>
      </c>
    </row>
    <row r="48">
      <c r="A48" s="12" t="inlineStr">
        <is>
          <t>drv:매출연결조정</t>
        </is>
      </c>
      <c r="B48" s="2" t="inlineStr">
        <is>
          <t>ratio</t>
        </is>
      </c>
      <c r="C48" t="inlineStr">
        <is>
          <t>매출연결조정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-0.179857</v>
      </c>
      <c r="AD48" s="24" t="n">
        <v>-0.118716</v>
      </c>
      <c r="AE48" s="25">
        <f>IFERROR(subQ!AE39/subQ!AE5,"")</f>
        <v/>
      </c>
      <c r="AF48" s="24" t="n">
        <v>-0.159924</v>
      </c>
      <c r="AG48" s="24" t="n">
        <v>-0.132564</v>
      </c>
      <c r="AH48" s="24" t="n">
        <v>-0.15589</v>
      </c>
      <c r="AI48" s="24" t="n">
        <v>-0.109652</v>
      </c>
      <c r="AJ48" s="25">
        <f>IFERROR(subQ!AJ39/subQ!AJ5,"")</f>
        <v/>
      </c>
      <c r="AK48" s="24" t="n">
        <v>-0.157569</v>
      </c>
      <c r="AL48" s="24" t="n">
        <v>-0.135497</v>
      </c>
      <c r="AM48" s="24" t="n">
        <v>-0.162916</v>
      </c>
      <c r="AN48" s="24" t="n">
        <v>-0.115611</v>
      </c>
      <c r="AO48" s="25">
        <f>IFERROR(subQ!AO39/subQ!AO5,"")</f>
        <v/>
      </c>
    </row>
    <row r="49">
      <c r="A49" s="12" t="inlineStr">
        <is>
          <t>drv:OP연결조정</t>
        </is>
      </c>
      <c r="B49" s="2" t="inlineStr">
        <is>
          <t>ratio</t>
        </is>
      </c>
      <c r="C49" t="inlineStr">
        <is>
          <t>OP연결조정 마진(/매출연결조정)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0.141149</v>
      </c>
      <c r="AD49" s="24" t="n">
        <v>0.127809</v>
      </c>
      <c r="AE49" s="25">
        <f>IFERROR(subQ!AE40/subQ!AE39,"")</f>
        <v/>
      </c>
      <c r="AF49" s="24" t="n">
        <v>0.133037</v>
      </c>
      <c r="AG49" s="24" t="n">
        <v>0.122521</v>
      </c>
      <c r="AH49" s="24" t="n">
        <v>0.135681</v>
      </c>
      <c r="AI49" s="24" t="n">
        <v>0.12132</v>
      </c>
      <c r="AJ49" s="25">
        <f>IFERROR(subQ!AJ40/subQ!AJ39,"")</f>
        <v/>
      </c>
      <c r="AK49" s="24" t="n">
        <v>0.131234</v>
      </c>
      <c r="AL49" s="24" t="n">
        <v>0.122521</v>
      </c>
      <c r="AM49" s="24" t="n">
        <v>0.136522</v>
      </c>
      <c r="AN49" s="24" t="n">
        <v>0.123002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9700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19</v>
      </c>
      <c r="E55" s="2" t="inlineStr">
        <is>
          <t>PER 밴드 하단(배) — hist_quarterly(분기 평균가 ÷ TTM EPS, 15분기, 25/50/75 백분위)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22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27.4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0.1912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0.0613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0.2524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4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4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4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4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4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4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4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4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4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4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4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4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4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4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4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4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4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4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4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4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4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4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4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4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4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4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4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4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4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4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4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4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4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4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4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4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4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4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4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4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4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4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4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4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4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4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4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4" t="n">
        <v>0</v>
      </c>
      <c r="J15" s="18" t="n">
        <v>0</v>
      </c>
      <c r="K15" s="34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4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4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4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4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4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4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4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4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4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4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4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4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4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4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4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4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4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4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4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4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4" t="n">
        <v>0</v>
      </c>
      <c r="J20" s="18" t="n">
        <v>0</v>
      </c>
      <c r="K20" s="34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4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4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4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4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4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4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4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4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4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4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4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4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4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4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4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4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4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4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4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4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4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4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4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4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4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4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4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4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4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4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4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4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4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4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4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4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4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4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4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4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4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4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4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4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4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4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4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4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4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4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128557.62</v>
      </c>
      <c r="F31" s="34" t="n">
        <v>128557.62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4" t="n">
        <v>192606</v>
      </c>
      <c r="L31" s="18" t="n">
        <v>237604.41</v>
      </c>
      <c r="M31" s="18" t="n">
        <v>225067.06</v>
      </c>
      <c r="N31" s="18" t="n">
        <v>198039.55</v>
      </c>
      <c r="O31" s="18" t="n">
        <v>188602.04</v>
      </c>
      <c r="P31" s="34" t="n">
        <v>188602.04</v>
      </c>
      <c r="Q31" s="18" t="n">
        <v>180956.12</v>
      </c>
      <c r="R31" s="18" t="n">
        <v>175955.96</v>
      </c>
      <c r="S31" s="18" t="n">
        <v>224522.64</v>
      </c>
      <c r="T31" s="18" t="n">
        <v>222806</v>
      </c>
      <c r="U31" s="34" t="n">
        <v>222806</v>
      </c>
      <c r="V31" s="18" t="n">
        <v>222506</v>
      </c>
      <c r="W31" s="18" t="n">
        <v>224191</v>
      </c>
      <c r="X31" s="18" t="n">
        <v>144891</v>
      </c>
      <c r="Y31" s="18" t="n">
        <v>127381</v>
      </c>
      <c r="Z31" s="34" t="n">
        <v>127381</v>
      </c>
      <c r="AA31" s="18" t="n">
        <v>132331</v>
      </c>
      <c r="AB31" s="19" t="n">
        <v>131281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단기금융부채(face)</t>
        </is>
      </c>
      <c r="E32" s="18" t="n">
        <v>128557.62</v>
      </c>
      <c r="F32" s="34" t="n">
        <v>128557.62</v>
      </c>
      <c r="G32" s="18" t="n">
        <v>131028.21</v>
      </c>
      <c r="H32" s="18" t="n">
        <v>164542</v>
      </c>
      <c r="I32" s="18" t="n">
        <v>208983</v>
      </c>
      <c r="J32" s="18" t="n">
        <v>192606</v>
      </c>
      <c r="K32" s="34" t="n">
        <v>192606</v>
      </c>
      <c r="L32" s="18" t="n">
        <v>237604.41</v>
      </c>
      <c r="M32" s="18" t="n">
        <v>225067.06</v>
      </c>
      <c r="N32" s="18" t="n">
        <v>198039.55</v>
      </c>
      <c r="O32" s="18" t="n">
        <v>188602.04</v>
      </c>
      <c r="P32" s="34" t="n">
        <v>188602.04</v>
      </c>
      <c r="Q32" s="18" t="n">
        <v>180956.12</v>
      </c>
      <c r="R32" s="18" t="n">
        <v>175955.96</v>
      </c>
      <c r="S32" s="18" t="n">
        <v>224522.64</v>
      </c>
      <c r="T32" s="18" t="n">
        <v>222806</v>
      </c>
      <c r="U32" s="34" t="n">
        <v>222806</v>
      </c>
      <c r="V32" s="18" t="n">
        <v>222506</v>
      </c>
      <c r="W32" s="18" t="n">
        <v>224191</v>
      </c>
      <c r="X32" s="18" t="n">
        <v>144891</v>
      </c>
      <c r="Y32" s="18" t="n">
        <v>127381</v>
      </c>
      <c r="Z32" s="34" t="n">
        <v>127381</v>
      </c>
      <c r="AA32" s="18" t="n">
        <v>132331</v>
      </c>
      <c r="AB32" s="19" t="n">
        <v>131281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1419.51</v>
      </c>
      <c r="F33" s="34" t="n">
        <v>1419.51</v>
      </c>
      <c r="G33" s="18" t="n">
        <v>1212.16</v>
      </c>
      <c r="H33" s="18" t="n">
        <v>1044.11</v>
      </c>
      <c r="I33" s="18" t="n">
        <v>758.47</v>
      </c>
      <c r="J33" s="18" t="n">
        <v>751.6799999999999</v>
      </c>
      <c r="K33" s="34" t="n">
        <v>751.6799999999999</v>
      </c>
      <c r="L33" s="18" t="n">
        <v>765.63</v>
      </c>
      <c r="M33" s="18" t="n">
        <v>909.29</v>
      </c>
      <c r="N33" s="18" t="n">
        <v>1207.48</v>
      </c>
      <c r="O33" s="18" t="n">
        <v>1269.44</v>
      </c>
      <c r="P33" s="34" t="n">
        <v>1269.44</v>
      </c>
      <c r="Q33" s="18" t="n">
        <v>1561.82</v>
      </c>
      <c r="R33" s="18" t="n">
        <v>1306.15</v>
      </c>
      <c r="S33" s="18" t="n">
        <v>1039.39</v>
      </c>
      <c r="T33" s="18" t="n">
        <v>737.48</v>
      </c>
      <c r="U33" s="34" t="n">
        <v>737.48</v>
      </c>
      <c r="V33" s="18" t="n">
        <v>2861.5</v>
      </c>
      <c r="W33" s="18" t="n">
        <v>2770.68</v>
      </c>
      <c r="X33" s="18" t="n">
        <v>2613.53</v>
      </c>
      <c r="Y33" s="18" t="n">
        <v>2710.97</v>
      </c>
      <c r="Z33" s="34" t="n">
        <v>2710.97</v>
      </c>
      <c r="AA33" s="18" t="n">
        <v>2692.04</v>
      </c>
      <c r="AB33" s="19" t="n">
        <v>2674.43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4108.55</v>
      </c>
      <c r="F34" s="34" t="n">
        <v>4108.55</v>
      </c>
      <c r="G34" s="18" t="n">
        <v>3787.66</v>
      </c>
      <c r="H34" s="18" t="n">
        <v>3835.28</v>
      </c>
      <c r="I34" s="18" t="n">
        <v>3363.66</v>
      </c>
      <c r="J34" s="18" t="n">
        <v>3169.55</v>
      </c>
      <c r="K34" s="34" t="n">
        <v>3169.55</v>
      </c>
      <c r="L34" s="18" t="n">
        <v>3011.55</v>
      </c>
      <c r="M34" s="18" t="n">
        <v>3107.94</v>
      </c>
      <c r="N34" s="18" t="n">
        <v>3268.94</v>
      </c>
      <c r="O34" s="18" t="n">
        <v>3110.53</v>
      </c>
      <c r="P34" s="34" t="n">
        <v>3110.53</v>
      </c>
      <c r="Q34" s="18" t="n">
        <v>2814.26</v>
      </c>
      <c r="R34" s="18" t="n">
        <v>2494.19</v>
      </c>
      <c r="S34" s="18" t="n">
        <v>2187.64</v>
      </c>
      <c r="T34" s="18" t="n">
        <v>1866.15</v>
      </c>
      <c r="U34" s="34" t="n">
        <v>1866.15</v>
      </c>
      <c r="V34" s="18" t="n">
        <v>8328.18</v>
      </c>
      <c r="W34" s="18" t="n">
        <v>7807.67</v>
      </c>
      <c r="X34" s="18" t="n">
        <v>7217.57</v>
      </c>
      <c r="Y34" s="18" t="n">
        <v>7049.15</v>
      </c>
      <c r="Z34" s="34" t="n">
        <v>7049.15</v>
      </c>
      <c r="AA34" s="18" t="n">
        <v>6415.59</v>
      </c>
      <c r="AB34" s="19" t="n">
        <v>5782.16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1419.51</v>
      </c>
      <c r="F35" s="34" t="n">
        <v>1419.51</v>
      </c>
      <c r="G35" s="18" t="n">
        <v>1212.16</v>
      </c>
      <c r="H35" s="18" t="n">
        <v>1044.11</v>
      </c>
      <c r="I35" s="18" t="n">
        <v>758.47</v>
      </c>
      <c r="J35" s="18" t="n">
        <v>751.6799999999999</v>
      </c>
      <c r="K35" s="34" t="n">
        <v>751.6799999999999</v>
      </c>
      <c r="L35" s="18" t="n">
        <v>765.63</v>
      </c>
      <c r="M35" s="18" t="n">
        <v>909.29</v>
      </c>
      <c r="N35" s="18" t="n">
        <v>1207.48</v>
      </c>
      <c r="O35" s="18" t="n">
        <v>1269.44</v>
      </c>
      <c r="P35" s="34" t="n">
        <v>1269.44</v>
      </c>
      <c r="Q35" s="18" t="n">
        <v>1561.82</v>
      </c>
      <c r="R35" s="18" t="n">
        <v>1306.15</v>
      </c>
      <c r="S35" s="18" t="n">
        <v>1039.39</v>
      </c>
      <c r="T35" s="18" t="n">
        <v>737.48</v>
      </c>
      <c r="U35" s="34" t="n">
        <v>737.48</v>
      </c>
      <c r="V35" s="18" t="n">
        <v>2861.5</v>
      </c>
      <c r="W35" s="18" t="n">
        <v>2770.68</v>
      </c>
      <c r="X35" s="18" t="n">
        <v>2613.53</v>
      </c>
      <c r="Y35" s="18" t="n">
        <v>2710.97</v>
      </c>
      <c r="Z35" s="34" t="n">
        <v>2710.97</v>
      </c>
      <c r="AA35" s="18" t="n">
        <v>2692.04</v>
      </c>
      <c r="AB35" s="19" t="n">
        <v>2674.43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1103.18</v>
      </c>
      <c r="F36" s="34" t="n">
        <v>1103.18</v>
      </c>
      <c r="G36" s="18" t="n">
        <v>1091.13</v>
      </c>
      <c r="H36" s="18" t="n">
        <v>1578.01</v>
      </c>
      <c r="I36" s="18" t="n">
        <v>4553.21</v>
      </c>
      <c r="J36" s="18" t="n">
        <v>1348.72</v>
      </c>
      <c r="K36" s="34" t="n">
        <v>1348.72</v>
      </c>
      <c r="L36" s="18" t="n">
        <v>2344.38</v>
      </c>
      <c r="M36" s="18" t="n">
        <v>2234.05</v>
      </c>
      <c r="N36" s="18" t="n">
        <v>2615.58</v>
      </c>
      <c r="O36" s="18" t="n">
        <v>1722.79</v>
      </c>
      <c r="P36" s="34" t="n">
        <v>1722.79</v>
      </c>
      <c r="Q36" s="18" t="n">
        <v>717.9299999999999</v>
      </c>
      <c r="R36" s="18" t="n">
        <v>737.4299999999999</v>
      </c>
      <c r="S36" s="18" t="n">
        <v>1932.94</v>
      </c>
      <c r="T36" s="18" t="n">
        <v>1395.62</v>
      </c>
      <c r="U36" s="34" t="n">
        <v>1395.62</v>
      </c>
      <c r="V36" s="18" t="n">
        <v>903.11</v>
      </c>
      <c r="W36" s="18" t="n">
        <v>849.78</v>
      </c>
      <c r="X36" s="18" t="n">
        <v>2838.42</v>
      </c>
      <c r="Y36" s="18" t="n">
        <v>2690.95</v>
      </c>
      <c r="Z36" s="34" t="n">
        <v>2690.95</v>
      </c>
      <c r="AA36" s="18" t="n">
        <v>1665.49</v>
      </c>
      <c r="AB36" s="19" t="n">
        <v>1974.01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E37" s="18" t="n">
        <v>2050.39</v>
      </c>
      <c r="F37" s="34" t="n">
        <v>2050.39</v>
      </c>
      <c r="G37" s="18" t="n">
        <v>2256.2</v>
      </c>
      <c r="H37" s="18" t="n">
        <v>3073.46</v>
      </c>
      <c r="I37" s="18" t="n">
        <v>3081.32</v>
      </c>
      <c r="J37" s="18" t="n">
        <v>3079.97</v>
      </c>
      <c r="K37" s="34" t="n">
        <v>3079.97</v>
      </c>
      <c r="L37" s="18" t="n">
        <v>3250.86</v>
      </c>
      <c r="M37" s="18" t="n">
        <v>4033.88</v>
      </c>
      <c r="N37" s="18" t="n">
        <v>4206.11</v>
      </c>
      <c r="O37" s="18" t="n">
        <v>1759.64</v>
      </c>
      <c r="P37" s="34" t="n">
        <v>1759.64</v>
      </c>
      <c r="Q37" s="18" t="n">
        <v>1686.62</v>
      </c>
      <c r="R37" s="18" t="n">
        <v>1722.25</v>
      </c>
      <c r="S37" s="18" t="n">
        <v>1605.85</v>
      </c>
      <c r="T37" s="18" t="n">
        <v>1487.93</v>
      </c>
      <c r="U37" s="34" t="n">
        <v>1487.93</v>
      </c>
      <c r="V37" s="18" t="n">
        <v>1378.65</v>
      </c>
      <c r="W37" s="18" t="n">
        <v>1774.4</v>
      </c>
      <c r="X37" s="18" t="n">
        <v>1746.35</v>
      </c>
      <c r="Y37" s="18" t="n">
        <v>1679.11</v>
      </c>
      <c r="Z37" s="34" t="n">
        <v>1679.11</v>
      </c>
      <c r="AA37" s="18" t="n">
        <v>1422.41</v>
      </c>
      <c r="AB37" s="19" t="n">
        <v>1523.62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125834.4</v>
      </c>
      <c r="F38" s="34" t="n">
        <v>125834.4</v>
      </c>
      <c r="G38" s="18" t="n">
        <v>163866.34</v>
      </c>
      <c r="H38" s="18" t="n">
        <v>128168.67</v>
      </c>
      <c r="I38" s="18" t="n">
        <v>86288.69</v>
      </c>
      <c r="J38" s="18" t="n">
        <v>96565.64</v>
      </c>
      <c r="K38" s="34" t="n">
        <v>96565.64</v>
      </c>
      <c r="L38" s="18" t="n">
        <v>52401.27</v>
      </c>
      <c r="M38" s="18" t="n">
        <v>41036.83</v>
      </c>
      <c r="N38" s="18" t="n">
        <v>66650.73</v>
      </c>
      <c r="O38" s="18" t="n">
        <v>64882.07</v>
      </c>
      <c r="P38" s="34" t="n">
        <v>64882.07</v>
      </c>
      <c r="Q38" s="18" t="n">
        <v>71255.28</v>
      </c>
      <c r="R38" s="18" t="n">
        <v>70619.88</v>
      </c>
      <c r="S38" s="18" t="n">
        <v>60598.09</v>
      </c>
      <c r="T38" s="18" t="n">
        <v>63915.62</v>
      </c>
      <c r="U38" s="34" t="n">
        <v>63915.62</v>
      </c>
      <c r="V38" s="18" t="n">
        <v>68080.78999999999</v>
      </c>
      <c r="W38" s="18" t="n">
        <v>66994.50999999999</v>
      </c>
      <c r="X38" s="18" t="n">
        <v>146251.63</v>
      </c>
      <c r="Y38" s="18" t="n">
        <v>138044.91</v>
      </c>
      <c r="Z38" s="34" t="n">
        <v>138044.91</v>
      </c>
      <c r="AA38" s="18" t="n">
        <v>132119.06</v>
      </c>
      <c r="AB38" s="19" t="n">
        <v>131840.6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114928</v>
      </c>
      <c r="F39" s="34" t="n">
        <v>114928</v>
      </c>
      <c r="G39" s="18" t="n">
        <v>152828</v>
      </c>
      <c r="H39" s="18" t="n">
        <v>117228</v>
      </c>
      <c r="I39" s="18" t="n">
        <v>74800</v>
      </c>
      <c r="J39" s="18" t="n">
        <v>87200</v>
      </c>
      <c r="K39" s="34" t="n">
        <v>87200</v>
      </c>
      <c r="L39" s="18" t="n">
        <v>41991.59</v>
      </c>
      <c r="M39" s="18" t="n">
        <v>30228.94</v>
      </c>
      <c r="N39" s="18" t="n">
        <v>56066.45</v>
      </c>
      <c r="O39" s="18" t="n">
        <v>54903.96</v>
      </c>
      <c r="P39" s="34" t="n">
        <v>54903.96</v>
      </c>
      <c r="Q39" s="18" t="n">
        <v>61741.47</v>
      </c>
      <c r="R39" s="18" t="n">
        <v>60578.98</v>
      </c>
      <c r="S39" s="18" t="n">
        <v>50079.88</v>
      </c>
      <c r="T39" s="18" t="n">
        <v>56150</v>
      </c>
      <c r="U39" s="34" t="n">
        <v>56150</v>
      </c>
      <c r="V39" s="18" t="n">
        <v>55100</v>
      </c>
      <c r="W39" s="18" t="n">
        <v>54050</v>
      </c>
      <c r="X39" s="18" t="n">
        <v>133500</v>
      </c>
      <c r="Y39" s="18" t="n">
        <v>125500</v>
      </c>
      <c r="Z39" s="34" t="n">
        <v>125500</v>
      </c>
      <c r="AA39" s="18" t="n">
        <v>119500</v>
      </c>
      <c r="AB39" s="19" t="n">
        <v>119500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장기금융부채(face)</t>
        </is>
      </c>
      <c r="E40" s="18" t="n">
        <v>114928</v>
      </c>
      <c r="F40" s="34" t="n">
        <v>114928</v>
      </c>
      <c r="G40" s="18" t="n">
        <v>152828</v>
      </c>
      <c r="H40" s="18" t="n">
        <v>117228</v>
      </c>
      <c r="I40" s="18" t="n">
        <v>74800</v>
      </c>
      <c r="J40" s="18" t="n">
        <v>87200</v>
      </c>
      <c r="K40" s="34" t="n">
        <v>87200</v>
      </c>
      <c r="L40" s="18" t="n">
        <v>41991.59</v>
      </c>
      <c r="M40" s="18" t="n">
        <v>30228.94</v>
      </c>
      <c r="N40" s="18" t="n">
        <v>56066.45</v>
      </c>
      <c r="O40" s="18" t="n">
        <v>54903.96</v>
      </c>
      <c r="P40" s="34" t="n">
        <v>54903.96</v>
      </c>
      <c r="Q40" s="18" t="n">
        <v>61741.47</v>
      </c>
      <c r="R40" s="18" t="n">
        <v>60578.98</v>
      </c>
      <c r="S40" s="18" t="n">
        <v>50079.88</v>
      </c>
      <c r="T40" s="18" t="n">
        <v>56150</v>
      </c>
      <c r="U40" s="34" t="n">
        <v>56150</v>
      </c>
      <c r="V40" s="18" t="n">
        <v>55100</v>
      </c>
      <c r="W40" s="18" t="n">
        <v>54050</v>
      </c>
      <c r="X40" s="18" t="n">
        <v>133500</v>
      </c>
      <c r="Y40" s="18" t="n">
        <v>125500</v>
      </c>
      <c r="Z40" s="34" t="n">
        <v>125500</v>
      </c>
      <c r="AA40" s="18" t="n">
        <v>119500</v>
      </c>
      <c r="AB40" s="19" t="n">
        <v>119500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비유동리스부채</t>
        </is>
      </c>
      <c r="E41" s="18" t="n">
        <v>2689.04</v>
      </c>
      <c r="F41" s="34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4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4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4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4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2689.04</v>
      </c>
      <c r="F42" s="34" t="n">
        <v>2689.04</v>
      </c>
      <c r="G42" s="18" t="n">
        <v>2575.5</v>
      </c>
      <c r="H42" s="18" t="n">
        <v>2791.17</v>
      </c>
      <c r="I42" s="18" t="n">
        <v>2605.19</v>
      </c>
      <c r="J42" s="18" t="n">
        <v>2417.87</v>
      </c>
      <c r="K42" s="34" t="n">
        <v>2417.87</v>
      </c>
      <c r="L42" s="18" t="n">
        <v>2245.92</v>
      </c>
      <c r="M42" s="18" t="n">
        <v>2198.65</v>
      </c>
      <c r="N42" s="18" t="n">
        <v>2061.46</v>
      </c>
      <c r="O42" s="18" t="n">
        <v>1841.09</v>
      </c>
      <c r="P42" s="34" t="n">
        <v>1841.09</v>
      </c>
      <c r="Q42" s="18" t="n">
        <v>1252.44</v>
      </c>
      <c r="R42" s="18" t="n">
        <v>1188.04</v>
      </c>
      <c r="S42" s="18" t="n">
        <v>1148.25</v>
      </c>
      <c r="T42" s="18" t="n">
        <v>1128.67</v>
      </c>
      <c r="U42" s="34" t="n">
        <v>1128.67</v>
      </c>
      <c r="V42" s="18" t="n">
        <v>5466.68</v>
      </c>
      <c r="W42" s="18" t="n">
        <v>5036.99</v>
      </c>
      <c r="X42" s="18" t="n">
        <v>4604.04</v>
      </c>
      <c r="Y42" s="18" t="n">
        <v>4338.18</v>
      </c>
      <c r="Z42" s="34" t="n">
        <v>4338.18</v>
      </c>
      <c r="AA42" s="18" t="n">
        <v>3723.55</v>
      </c>
      <c r="AB42" s="19" t="n">
        <v>3107.73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576.55</v>
      </c>
      <c r="F43" s="34" t="n">
        <v>576.55</v>
      </c>
      <c r="G43" s="18" t="n">
        <v>541.6799999999999</v>
      </c>
      <c r="H43" s="18" t="n">
        <v>472.69</v>
      </c>
      <c r="I43" s="18" t="n">
        <v>423.04</v>
      </c>
      <c r="J43" s="18" t="n">
        <v>306.58</v>
      </c>
      <c r="K43" s="34" t="n">
        <v>306.58</v>
      </c>
      <c r="L43" s="18" t="n">
        <v>300.9</v>
      </c>
      <c r="M43" s="18" t="n">
        <v>295.36</v>
      </c>
      <c r="N43" s="18" t="n">
        <v>294.05</v>
      </c>
      <c r="O43" s="18" t="n">
        <v>253.15</v>
      </c>
      <c r="P43" s="34" t="n">
        <v>253.15</v>
      </c>
      <c r="Q43" s="18" t="n">
        <v>249.44</v>
      </c>
      <c r="R43" s="18" t="n">
        <v>336.21</v>
      </c>
      <c r="S43" s="18" t="n">
        <v>347.1</v>
      </c>
      <c r="T43" s="18" t="n">
        <v>529.14</v>
      </c>
      <c r="U43" s="34" t="n">
        <v>529.14</v>
      </c>
      <c r="V43" s="18" t="n">
        <v>552.89</v>
      </c>
      <c r="W43" s="18" t="n">
        <v>557.67</v>
      </c>
      <c r="X43" s="18" t="n">
        <v>572.04</v>
      </c>
      <c r="Y43" s="18" t="n">
        <v>475.44</v>
      </c>
      <c r="Z43" s="34" t="n">
        <v>475.44</v>
      </c>
      <c r="AA43" s="18" t="n">
        <v>468.36</v>
      </c>
      <c r="AB43" s="19" t="n">
        <v>455.8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확정급여부채</t>
        </is>
      </c>
      <c r="E44" s="18" t="n">
        <v>3121.92</v>
      </c>
      <c r="F44" s="34" t="n">
        <v>3121.92</v>
      </c>
      <c r="G44" s="18" t="n">
        <v>3255.8</v>
      </c>
      <c r="H44" s="18" t="n">
        <v>3008.05</v>
      </c>
      <c r="I44" s="18" t="n">
        <v>3675.53</v>
      </c>
      <c r="J44" s="18" t="n">
        <v>2312.44</v>
      </c>
      <c r="K44" s="34" t="n">
        <v>2312.44</v>
      </c>
      <c r="L44" s="18" t="n">
        <v>3420.8</v>
      </c>
      <c r="M44" s="18" t="n">
        <v>3527.26</v>
      </c>
      <c r="N44" s="18" t="n">
        <v>3609</v>
      </c>
      <c r="O44" s="18" t="n">
        <v>5275.8</v>
      </c>
      <c r="P44" s="34" t="n">
        <v>5275.8</v>
      </c>
      <c r="Q44" s="18" t="n">
        <v>5585.31</v>
      </c>
      <c r="R44" s="18" t="n">
        <v>6131.46</v>
      </c>
      <c r="S44" s="18" t="n">
        <v>6677.87</v>
      </c>
      <c r="T44" s="18" t="n">
        <v>4028.06</v>
      </c>
      <c r="U44" s="34" t="n">
        <v>4028.06</v>
      </c>
      <c r="V44" s="18" t="n">
        <v>4975.73</v>
      </c>
      <c r="W44" s="18" t="n">
        <v>5288.75</v>
      </c>
      <c r="X44" s="18" t="n">
        <v>5518.95</v>
      </c>
      <c r="Y44" s="18" t="n">
        <v>5445.18</v>
      </c>
      <c r="Z44" s="34" t="n">
        <v>5445.18</v>
      </c>
      <c r="AA44" s="18" t="n">
        <v>6150.08</v>
      </c>
      <c r="AB44" s="19" t="n">
        <v>6549.88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E45" s="18" t="n">
        <v>4518.89</v>
      </c>
      <c r="F45" s="34" t="n">
        <v>4518.89</v>
      </c>
      <c r="G45" s="18" t="n">
        <v>4665.37</v>
      </c>
      <c r="H45" s="18" t="n">
        <v>4668.76</v>
      </c>
      <c r="I45" s="18" t="n">
        <v>4784.93</v>
      </c>
      <c r="J45" s="18" t="n">
        <v>4328.76</v>
      </c>
      <c r="K45" s="34" t="n">
        <v>4328.76</v>
      </c>
      <c r="L45" s="18" t="n">
        <v>4442.06</v>
      </c>
      <c r="M45" s="18" t="n">
        <v>4786.63</v>
      </c>
      <c r="N45" s="18" t="n">
        <v>4619.77</v>
      </c>
      <c r="O45" s="18" t="n">
        <v>2608.08</v>
      </c>
      <c r="P45" s="34" t="n">
        <v>2608.08</v>
      </c>
      <c r="Q45" s="18" t="n">
        <v>2426.61</v>
      </c>
      <c r="R45" s="18" t="n">
        <v>2385.19</v>
      </c>
      <c r="S45" s="18" t="n">
        <v>2345</v>
      </c>
      <c r="T45" s="18" t="n">
        <v>2079.76</v>
      </c>
      <c r="U45" s="34" t="n">
        <v>2079.76</v>
      </c>
      <c r="V45" s="18" t="n">
        <v>1985.49</v>
      </c>
      <c r="W45" s="18" t="n">
        <v>2061.09</v>
      </c>
      <c r="X45" s="18" t="n">
        <v>2056.59</v>
      </c>
      <c r="Y45" s="18" t="n">
        <v>2286.12</v>
      </c>
      <c r="Z45" s="34" t="n">
        <v>2286.12</v>
      </c>
      <c r="AA45" s="18" t="n">
        <v>2277.06</v>
      </c>
      <c r="AB45" s="19" t="n">
        <v>2227.18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367209.56</v>
      </c>
      <c r="F46" s="34" t="n">
        <v>367209.56</v>
      </c>
      <c r="G46" s="18" t="n">
        <v>382497.04</v>
      </c>
      <c r="H46" s="18" t="n">
        <v>355843.56</v>
      </c>
      <c r="I46" s="18" t="n">
        <v>353172.53</v>
      </c>
      <c r="J46" s="18" t="n">
        <v>342503.86</v>
      </c>
      <c r="K46" s="34" t="n">
        <v>342503.86</v>
      </c>
      <c r="L46" s="18" t="n">
        <v>357192.58</v>
      </c>
      <c r="M46" s="18" t="n">
        <v>324858.97</v>
      </c>
      <c r="N46" s="18" t="n">
        <v>332476.16</v>
      </c>
      <c r="O46" s="18" t="n">
        <v>312332.84</v>
      </c>
      <c r="P46" s="34" t="n">
        <v>312332.84</v>
      </c>
      <c r="Q46" s="18" t="n">
        <v>350590.1</v>
      </c>
      <c r="R46" s="18" t="n">
        <v>325085.48</v>
      </c>
      <c r="S46" s="18" t="n">
        <v>358197.01</v>
      </c>
      <c r="T46" s="18" t="n">
        <v>371486.1</v>
      </c>
      <c r="U46" s="34" t="n">
        <v>371486.1</v>
      </c>
      <c r="V46" s="18" t="n">
        <v>378690.25</v>
      </c>
      <c r="W46" s="18" t="n">
        <v>370535.38</v>
      </c>
      <c r="X46" s="18" t="n">
        <v>373607.52</v>
      </c>
      <c r="Y46" s="18" t="n">
        <v>338269.57</v>
      </c>
      <c r="Z46" s="34" t="n">
        <v>338269.57</v>
      </c>
      <c r="AA46" s="18" t="n">
        <v>352356.96</v>
      </c>
      <c r="AB46" s="19" t="n">
        <v>337386.88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163506.32</v>
      </c>
      <c r="F47" s="34" t="n">
        <v>163506.32</v>
      </c>
      <c r="G47" s="18" t="n">
        <v>148149.91</v>
      </c>
      <c r="H47" s="18" t="n">
        <v>155705.97</v>
      </c>
      <c r="I47" s="18" t="n">
        <v>159282.33</v>
      </c>
      <c r="J47" s="18" t="n">
        <v>164310.21</v>
      </c>
      <c r="K47" s="34" t="n">
        <v>164310.21</v>
      </c>
      <c r="L47" s="18" t="n">
        <v>148728.05</v>
      </c>
      <c r="M47" s="18" t="n">
        <v>163451.89</v>
      </c>
      <c r="N47" s="18" t="n">
        <v>166023.24</v>
      </c>
      <c r="O47" s="18" t="n">
        <v>180743.61</v>
      </c>
      <c r="P47" s="34" t="n">
        <v>180743.61</v>
      </c>
      <c r="Q47" s="18" t="n">
        <v>181304.84</v>
      </c>
      <c r="R47" s="18" t="n">
        <v>177666.45</v>
      </c>
      <c r="S47" s="18" t="n">
        <v>174713.36</v>
      </c>
      <c r="T47" s="18" t="n">
        <v>187779.7</v>
      </c>
      <c r="U47" s="34" t="n">
        <v>187779.7</v>
      </c>
      <c r="V47" s="18" t="n">
        <v>189575.23</v>
      </c>
      <c r="W47" s="18" t="n">
        <v>194112.7</v>
      </c>
      <c r="X47" s="18" t="n">
        <v>202552</v>
      </c>
      <c r="Y47" s="18" t="n">
        <v>228470.6</v>
      </c>
      <c r="Z47" s="34" t="n">
        <v>228470.6</v>
      </c>
      <c r="AA47" s="18" t="n">
        <v>228759.96</v>
      </c>
      <c r="AB47" s="19" t="n">
        <v>245681.23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31224.73</v>
      </c>
      <c r="F48" s="34" t="n">
        <v>31224.73</v>
      </c>
      <c r="G48" s="18" t="n">
        <v>31224.73</v>
      </c>
      <c r="H48" s="18" t="n">
        <v>31224.73</v>
      </c>
      <c r="I48" s="18" t="n">
        <v>31224.73</v>
      </c>
      <c r="J48" s="18" t="n">
        <v>31224.73</v>
      </c>
      <c r="K48" s="34" t="n">
        <v>31224.73</v>
      </c>
      <c r="L48" s="18" t="n">
        <v>31224.73</v>
      </c>
      <c r="M48" s="18" t="n">
        <v>31224.73</v>
      </c>
      <c r="N48" s="18" t="n">
        <v>31224.73</v>
      </c>
      <c r="O48" s="18" t="n">
        <v>31224.73</v>
      </c>
      <c r="P48" s="34" t="n">
        <v>31224.73</v>
      </c>
      <c r="Q48" s="18" t="n">
        <v>31224.73</v>
      </c>
      <c r="R48" s="18" t="n">
        <v>31224.73</v>
      </c>
      <c r="S48" s="18" t="n">
        <v>31224.73</v>
      </c>
      <c r="T48" s="18" t="n">
        <v>31224.73</v>
      </c>
      <c r="U48" s="34" t="n">
        <v>31224.73</v>
      </c>
      <c r="V48" s="18" t="n">
        <v>31224.73</v>
      </c>
      <c r="W48" s="18" t="n">
        <v>31224.73</v>
      </c>
      <c r="X48" s="18" t="n">
        <v>31224.73</v>
      </c>
      <c r="Y48" s="18" t="n">
        <v>31224.73</v>
      </c>
      <c r="Z48" s="34" t="n">
        <v>31224.73</v>
      </c>
      <c r="AA48" s="18" t="n">
        <v>31224.73</v>
      </c>
      <c r="AB48" s="19" t="n">
        <v>31224.73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4696.51</v>
      </c>
      <c r="F49" s="34" t="n">
        <v>4696.51</v>
      </c>
      <c r="G49" s="18" t="n">
        <v>4879.74</v>
      </c>
      <c r="H49" s="18" t="n">
        <v>143.83</v>
      </c>
      <c r="I49" s="18" t="n">
        <v>143.83</v>
      </c>
      <c r="J49" s="18" t="n">
        <v>143.83</v>
      </c>
      <c r="K49" s="34" t="n">
        <v>143.83</v>
      </c>
      <c r="L49" s="18" t="n">
        <v>143.83</v>
      </c>
      <c r="M49" s="18" t="n">
        <v>143.83</v>
      </c>
      <c r="N49" s="18" t="n">
        <v>143.83</v>
      </c>
      <c r="O49" s="18" t="n">
        <v>143.83</v>
      </c>
      <c r="P49" s="34" t="n">
        <v>143.83</v>
      </c>
      <c r="Q49" s="18" t="n">
        <v>143.83</v>
      </c>
      <c r="R49" s="18" t="n">
        <v>143.83</v>
      </c>
      <c r="S49" s="18" t="n">
        <v>143.83</v>
      </c>
      <c r="T49" s="18" t="n">
        <v>143.83</v>
      </c>
      <c r="U49" s="34" t="n">
        <v>143.83</v>
      </c>
      <c r="V49" s="18" t="n">
        <v>143.83</v>
      </c>
      <c r="W49" s="18" t="n">
        <v>143.83</v>
      </c>
      <c r="X49" s="18" t="n">
        <v>143.83</v>
      </c>
      <c r="Y49" s="18" t="n">
        <v>1551.94</v>
      </c>
      <c r="Z49" s="34" t="n">
        <v>1551.94</v>
      </c>
      <c r="AA49" s="18" t="n">
        <v>1551.94</v>
      </c>
      <c r="AB49" s="19" t="n">
        <v>1551.94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-8240.690000000001</v>
      </c>
      <c r="F50" s="34" t="n">
        <v>-8240.690000000001</v>
      </c>
      <c r="G50" s="18" t="n">
        <v>-7936.6</v>
      </c>
      <c r="H50" s="18" t="n">
        <v>-6447.26</v>
      </c>
      <c r="I50" s="18" t="n">
        <v>-6447.26</v>
      </c>
      <c r="J50" s="18" t="n">
        <v>-6447.26</v>
      </c>
      <c r="K50" s="34" t="n">
        <v>-6447.26</v>
      </c>
      <c r="L50" s="18" t="n">
        <v>-6447.26</v>
      </c>
      <c r="M50" s="18" t="n">
        <v>-6447.26</v>
      </c>
      <c r="N50" s="18" t="n">
        <v>-6447.26</v>
      </c>
      <c r="O50" s="18" t="n">
        <v>2627.53</v>
      </c>
      <c r="P50" s="34" t="n">
        <v>2627.53</v>
      </c>
      <c r="Q50" s="18" t="n">
        <v>11450.2</v>
      </c>
      <c r="R50" s="18" t="n">
        <v>11450.2</v>
      </c>
      <c r="S50" s="18" t="n">
        <v>11414.12</v>
      </c>
      <c r="T50" s="18" t="n">
        <v>11414.12</v>
      </c>
      <c r="U50" s="34" t="n">
        <v>11414.12</v>
      </c>
      <c r="V50" s="18" t="n">
        <v>11414.12</v>
      </c>
      <c r="W50" s="18" t="n">
        <v>11414.12</v>
      </c>
      <c r="X50" s="18" t="n">
        <v>11414.12</v>
      </c>
      <c r="Y50" s="18" t="n">
        <v>9975.58</v>
      </c>
      <c r="Z50" s="34" t="n">
        <v>9975.58</v>
      </c>
      <c r="AA50" s="18" t="n">
        <v>9989.4</v>
      </c>
      <c r="AB50" s="19" t="n">
        <v>9989.4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E51" s="18" t="n">
        <v>-30.5</v>
      </c>
      <c r="F51" s="34" t="n">
        <v>-30.5</v>
      </c>
      <c r="G51" s="18" t="n">
        <v>250.01</v>
      </c>
      <c r="H51" s="18" t="n">
        <v>108.71</v>
      </c>
      <c r="I51" s="18" t="n">
        <v>460.18</v>
      </c>
      <c r="J51" s="18" t="n">
        <v>-92.52</v>
      </c>
      <c r="K51" s="34" t="n">
        <v>-92.52</v>
      </c>
      <c r="L51" s="18" t="n">
        <v>98.64</v>
      </c>
      <c r="M51" s="18" t="n">
        <v>678.4400000000001</v>
      </c>
      <c r="N51" s="18" t="n">
        <v>401.24</v>
      </c>
      <c r="O51" s="18" t="n">
        <v>280.44</v>
      </c>
      <c r="P51" s="34" t="n">
        <v>280.44</v>
      </c>
      <c r="Q51" s="18" t="n">
        <v>53.79</v>
      </c>
      <c r="R51" s="18" t="n">
        <v>-103.04</v>
      </c>
      <c r="S51" s="18" t="n">
        <v>-392.45</v>
      </c>
      <c r="T51" s="18" t="n">
        <v>-2165.87</v>
      </c>
      <c r="U51" s="34" t="n">
        <v>-2165.87</v>
      </c>
      <c r="V51" s="18" t="n">
        <v>-1697.38</v>
      </c>
      <c r="W51" s="18" t="n">
        <v>-1623.76</v>
      </c>
      <c r="X51" s="18" t="n">
        <v>-748.8200000000001</v>
      </c>
      <c r="Y51" s="18" t="n">
        <v>-1260.32</v>
      </c>
      <c r="Z51" s="34" t="n">
        <v>-1260.32</v>
      </c>
      <c r="AA51" s="18" t="n">
        <v>-2012.23</v>
      </c>
      <c r="AB51" s="19" t="n">
        <v>-1836.38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이익잉여금</t>
        </is>
      </c>
      <c r="E52" s="18" t="n">
        <v>135856.26</v>
      </c>
      <c r="F52" s="34" t="n">
        <v>135856.26</v>
      </c>
      <c r="G52" s="18" t="n">
        <v>119732.04</v>
      </c>
      <c r="H52" s="18" t="n">
        <v>130675.97</v>
      </c>
      <c r="I52" s="18" t="n">
        <v>133900.85</v>
      </c>
      <c r="J52" s="18" t="n">
        <v>139481.44</v>
      </c>
      <c r="K52" s="34" t="n">
        <v>139481.44</v>
      </c>
      <c r="L52" s="18" t="n">
        <v>123708.12</v>
      </c>
      <c r="M52" s="18" t="n">
        <v>137852.15</v>
      </c>
      <c r="N52" s="18" t="n">
        <v>140700.71</v>
      </c>
      <c r="O52" s="18" t="n">
        <v>146467.09</v>
      </c>
      <c r="P52" s="34" t="n">
        <v>146467.09</v>
      </c>
      <c r="Q52" s="18" t="n">
        <v>138432.29</v>
      </c>
      <c r="R52" s="18" t="n">
        <v>134950.73</v>
      </c>
      <c r="S52" s="18" t="n">
        <v>132323.12</v>
      </c>
      <c r="T52" s="18" t="n">
        <v>147162.89</v>
      </c>
      <c r="U52" s="34" t="n">
        <v>147162.89</v>
      </c>
      <c r="V52" s="18" t="n">
        <v>148489.93</v>
      </c>
      <c r="W52" s="18" t="n">
        <v>152953.78</v>
      </c>
      <c r="X52" s="18" t="n">
        <v>160518.15</v>
      </c>
      <c r="Y52" s="18" t="n">
        <v>186978.67</v>
      </c>
      <c r="Z52" s="34" t="n">
        <v>186978.67</v>
      </c>
      <c r="AA52" s="18" t="n">
        <v>188006.12</v>
      </c>
      <c r="AB52" s="19" t="n">
        <v>204751.54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E53" s="18" t="n">
        <v>39688.41</v>
      </c>
      <c r="F53" s="34" t="n">
        <v>39688.41</v>
      </c>
      <c r="G53" s="18" t="n">
        <v>39813.29</v>
      </c>
      <c r="H53" s="18" t="n">
        <v>43533.29</v>
      </c>
      <c r="I53" s="18" t="n">
        <v>44708.75</v>
      </c>
      <c r="J53" s="18" t="n">
        <v>45035.1</v>
      </c>
      <c r="K53" s="34" t="n">
        <v>45035.1</v>
      </c>
      <c r="L53" s="18" t="n">
        <v>45614.85</v>
      </c>
      <c r="M53" s="18" t="n">
        <v>46243.86</v>
      </c>
      <c r="N53" s="18" t="n">
        <v>46060.42</v>
      </c>
      <c r="O53" s="18" t="n">
        <v>50942.46</v>
      </c>
      <c r="P53" s="34" t="n">
        <v>50942.46</v>
      </c>
      <c r="Q53" s="18" t="n">
        <v>51795.49</v>
      </c>
      <c r="R53" s="18" t="n">
        <v>57027.68</v>
      </c>
      <c r="S53" s="18" t="n">
        <v>58219.05</v>
      </c>
      <c r="T53" s="18" t="n">
        <v>61611.75</v>
      </c>
      <c r="U53" s="34" t="n">
        <v>61611.75</v>
      </c>
      <c r="V53" s="18" t="n">
        <v>61799.41</v>
      </c>
      <c r="W53" s="18" t="n">
        <v>62485.87</v>
      </c>
      <c r="X53" s="18" t="n">
        <v>65334.21</v>
      </c>
      <c r="Y53" s="18" t="n">
        <v>71023.49000000001</v>
      </c>
      <c r="Z53" s="34" t="n">
        <v>71023.49000000001</v>
      </c>
      <c r="AA53" s="18" t="n">
        <v>72680.28</v>
      </c>
      <c r="AB53" s="19" t="n">
        <v>76740.82000000001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203194.73</v>
      </c>
      <c r="F54" s="34" t="n">
        <v>203194.73</v>
      </c>
      <c r="G54" s="18" t="n">
        <v>187963.2</v>
      </c>
      <c r="H54" s="18" t="n">
        <v>199239.26</v>
      </c>
      <c r="I54" s="18" t="n">
        <v>203991.08</v>
      </c>
      <c r="J54" s="18" t="n">
        <v>209345.31</v>
      </c>
      <c r="K54" s="34" t="n">
        <v>209345.31</v>
      </c>
      <c r="L54" s="18" t="n">
        <v>194342.89</v>
      </c>
      <c r="M54" s="18" t="n">
        <v>209695.75</v>
      </c>
      <c r="N54" s="18" t="n">
        <v>212083.66</v>
      </c>
      <c r="O54" s="18" t="n">
        <v>231686.08</v>
      </c>
      <c r="P54" s="34" t="n">
        <v>231686.08</v>
      </c>
      <c r="Q54" s="18" t="n">
        <v>233100.33</v>
      </c>
      <c r="R54" s="18" t="n">
        <v>234694.13</v>
      </c>
      <c r="S54" s="18" t="n">
        <v>232932.41</v>
      </c>
      <c r="T54" s="18" t="n">
        <v>249391.45</v>
      </c>
      <c r="U54" s="34" t="n">
        <v>249391.45</v>
      </c>
      <c r="V54" s="18" t="n">
        <v>251374.64</v>
      </c>
      <c r="W54" s="18" t="n">
        <v>256598.57</v>
      </c>
      <c r="X54" s="18" t="n">
        <v>267886.22</v>
      </c>
      <c r="Y54" s="18" t="n">
        <v>299494.09</v>
      </c>
      <c r="Z54" s="34" t="n">
        <v>299494.09</v>
      </c>
      <c r="AA54" s="18" t="n">
        <v>301440.24</v>
      </c>
      <c r="AB54" s="19" t="n">
        <v>322422.05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570404.3</v>
      </c>
      <c r="F55" s="34" t="n">
        <v>570404.3</v>
      </c>
      <c r="G55" s="18" t="n">
        <v>570460.24</v>
      </c>
      <c r="H55" s="18" t="n">
        <v>555082.8199999999</v>
      </c>
      <c r="I55" s="18" t="n">
        <v>557163.61</v>
      </c>
      <c r="J55" s="18" t="n">
        <v>551849.17</v>
      </c>
      <c r="K55" s="34" t="n">
        <v>551849.17</v>
      </c>
      <c r="L55" s="18" t="n">
        <v>551535.47</v>
      </c>
      <c r="M55" s="18" t="n">
        <v>534554.72</v>
      </c>
      <c r="N55" s="18" t="n">
        <v>544559.8199999999</v>
      </c>
      <c r="O55" s="18" t="n">
        <v>544018.92</v>
      </c>
      <c r="P55" s="34" t="n">
        <v>544018.92</v>
      </c>
      <c r="Q55" s="18" t="n">
        <v>583690.4300000001</v>
      </c>
      <c r="R55" s="18" t="n">
        <v>559779.61</v>
      </c>
      <c r="S55" s="18" t="n">
        <v>591129.42</v>
      </c>
      <c r="T55" s="18" t="n">
        <v>620877.55</v>
      </c>
      <c r="U55" s="34" t="n">
        <v>620877.55</v>
      </c>
      <c r="V55" s="18" t="n">
        <v>630064.89</v>
      </c>
      <c r="W55" s="18" t="n">
        <v>627133.95</v>
      </c>
      <c r="X55" s="18" t="n">
        <v>641493.74</v>
      </c>
      <c r="Y55" s="18" t="n">
        <v>637763.65</v>
      </c>
      <c r="Z55" s="34" t="n">
        <v>637763.65</v>
      </c>
      <c r="AA55" s="18" t="n">
        <v>653797.2</v>
      </c>
      <c r="AB55" s="19" t="n">
        <v>659808.9300000001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총차입금</t>
        </is>
      </c>
      <c r="E56" s="18" t="n">
        <v>243485.62</v>
      </c>
      <c r="F56" s="34" t="n">
        <v>243485.62</v>
      </c>
      <c r="G56" s="18" t="n">
        <v>283856.21</v>
      </c>
      <c r="H56" s="18" t="n">
        <v>281770</v>
      </c>
      <c r="I56" s="18" t="n">
        <v>283783</v>
      </c>
      <c r="J56" s="18" t="n">
        <v>279806</v>
      </c>
      <c r="K56" s="34" t="n">
        <v>279806</v>
      </c>
      <c r="L56" s="18" t="n">
        <v>279596</v>
      </c>
      <c r="M56" s="18" t="n">
        <v>255296</v>
      </c>
      <c r="N56" s="18" t="n">
        <v>254106</v>
      </c>
      <c r="O56" s="18" t="n">
        <v>243506</v>
      </c>
      <c r="P56" s="34" t="n">
        <v>243506</v>
      </c>
      <c r="Q56" s="18" t="n">
        <v>242697.59</v>
      </c>
      <c r="R56" s="18" t="n">
        <v>236534.94</v>
      </c>
      <c r="S56" s="18" t="n">
        <v>274602.52</v>
      </c>
      <c r="T56" s="18" t="n">
        <v>278956</v>
      </c>
      <c r="U56" s="34" t="n">
        <v>278956</v>
      </c>
      <c r="V56" s="18" t="n">
        <v>277606</v>
      </c>
      <c r="W56" s="18" t="n">
        <v>278241</v>
      </c>
      <c r="X56" s="18" t="n">
        <v>278391</v>
      </c>
      <c r="Y56" s="18" t="n">
        <v>252881</v>
      </c>
      <c r="Z56" s="34" t="n">
        <v>252881</v>
      </c>
      <c r="AA56" s="18" t="n">
        <v>251831</v>
      </c>
      <c r="AB56" s="19" t="n">
        <v>250781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순차입금</t>
        </is>
      </c>
      <c r="E57" s="18" t="n">
        <v>201841.45</v>
      </c>
      <c r="F57" s="34" t="n">
        <v>201841.45</v>
      </c>
      <c r="G57" s="18" t="n">
        <v>241456.51</v>
      </c>
      <c r="H57" s="18" t="n">
        <v>266993.56</v>
      </c>
      <c r="I57" s="18" t="n">
        <v>250624.03</v>
      </c>
      <c r="J57" s="18" t="n">
        <v>230655.27</v>
      </c>
      <c r="K57" s="34" t="n">
        <v>230655.27</v>
      </c>
      <c r="L57" s="18" t="n">
        <v>247489.71</v>
      </c>
      <c r="M57" s="18" t="n">
        <v>216164.27</v>
      </c>
      <c r="N57" s="18" t="n">
        <v>211527.64</v>
      </c>
      <c r="O57" s="18" t="n">
        <v>190742.81</v>
      </c>
      <c r="P57" s="34" t="n">
        <v>190742.81</v>
      </c>
      <c r="Q57" s="18" t="n">
        <v>170892.11</v>
      </c>
      <c r="R57" s="18" t="n">
        <v>188239.21</v>
      </c>
      <c r="S57" s="18" t="n">
        <v>192644.35</v>
      </c>
      <c r="T57" s="18" t="n">
        <v>199401.83</v>
      </c>
      <c r="U57" s="34" t="n">
        <v>199401.83</v>
      </c>
      <c r="V57" s="18" t="n">
        <v>203006.31</v>
      </c>
      <c r="W57" s="18" t="n">
        <v>183685.08</v>
      </c>
      <c r="X57" s="18" t="n">
        <v>164231.74</v>
      </c>
      <c r="Y57" s="18" t="n">
        <v>171051.95</v>
      </c>
      <c r="Z57" s="34" t="n">
        <v>171051.95</v>
      </c>
      <c r="AA57" s="18" t="n">
        <v>146628.52</v>
      </c>
      <c r="AB57" s="19" t="n">
        <v>148634.15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이자발생자산</t>
        </is>
      </c>
      <c r="E58" s="18" t="n">
        <v>49682.81</v>
      </c>
      <c r="F58" s="34" t="n">
        <v>49682.81</v>
      </c>
      <c r="G58" s="18" t="n">
        <v>51105.27</v>
      </c>
      <c r="H58" s="18" t="n">
        <v>42230.55</v>
      </c>
      <c r="I58" s="18" t="n">
        <v>43802.32</v>
      </c>
      <c r="J58" s="18" t="n">
        <v>58805.76</v>
      </c>
      <c r="K58" s="34" t="n">
        <v>58805.76</v>
      </c>
      <c r="L58" s="18" t="n">
        <v>46997.67</v>
      </c>
      <c r="M58" s="18" t="n">
        <v>55324.39</v>
      </c>
      <c r="N58" s="18" t="n">
        <v>58069.36</v>
      </c>
      <c r="O58" s="18" t="n">
        <v>68229.05</v>
      </c>
      <c r="P58" s="34" t="n">
        <v>68229.05</v>
      </c>
      <c r="Q58" s="18" t="n">
        <v>87124.28999999999</v>
      </c>
      <c r="R58" s="18" t="n">
        <v>69872.53999999999</v>
      </c>
      <c r="S58" s="18" t="n">
        <v>102458.5</v>
      </c>
      <c r="T58" s="18" t="n">
        <v>99441.36</v>
      </c>
      <c r="U58" s="34" t="n">
        <v>99441.36</v>
      </c>
      <c r="V58" s="18" t="n">
        <v>96119.59</v>
      </c>
      <c r="W58" s="18" t="n">
        <v>117114.1</v>
      </c>
      <c r="X58" s="18" t="n">
        <v>143953.29</v>
      </c>
      <c r="Y58" s="18" t="n">
        <v>112027.31</v>
      </c>
      <c r="Z58" s="34" t="n">
        <v>112027.31</v>
      </c>
      <c r="AA58" s="18" t="n">
        <v>136988.8</v>
      </c>
      <c r="AB58" s="19" t="n">
        <v>138611.11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4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81901.42</v>
      </c>
      <c r="F60" s="9" t="n"/>
      <c r="G60" s="18" t="n">
        <v>139922.87</v>
      </c>
      <c r="H60" s="18" t="n">
        <v>88872.42999999999</v>
      </c>
      <c r="I60" s="18" t="n">
        <v>79905</v>
      </c>
      <c r="J60" s="18" t="n">
        <v>101190.53</v>
      </c>
      <c r="K60" s="34" t="n">
        <v>409890.83</v>
      </c>
      <c r="L60" s="18" t="n">
        <v>71702.28</v>
      </c>
      <c r="M60" s="18" t="n">
        <v>120491.49</v>
      </c>
      <c r="N60" s="18" t="n">
        <v>81986.97</v>
      </c>
      <c r="O60" s="18" t="n">
        <v>110615.72</v>
      </c>
      <c r="P60" s="34" t="n">
        <v>384796.46</v>
      </c>
      <c r="Q60" s="18" t="n">
        <v>86078.31</v>
      </c>
      <c r="R60" s="18" t="n">
        <v>80837.89</v>
      </c>
      <c r="S60" s="18" t="n">
        <v>74151.66</v>
      </c>
      <c r="T60" s="18" t="n">
        <v>111308.71</v>
      </c>
      <c r="U60" s="34" t="n">
        <v>352376.57</v>
      </c>
      <c r="V60" s="18" t="n">
        <v>98495.97</v>
      </c>
      <c r="W60" s="18" t="n">
        <v>98171.23</v>
      </c>
      <c r="X60" s="18" t="n">
        <v>90367.62</v>
      </c>
      <c r="Y60" s="18" t="n">
        <v>115651.44</v>
      </c>
      <c r="Z60" s="34" t="n">
        <v>402686.26</v>
      </c>
      <c r="AA60" s="18" t="n">
        <v>87243.09</v>
      </c>
      <c r="AB60" s="19" t="n">
        <v>93498.44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86831.55</v>
      </c>
      <c r="F61" s="9" t="n"/>
      <c r="G61" s="18" t="n">
        <v>141186.13</v>
      </c>
      <c r="H61" s="18" t="n">
        <v>70635.39999999999</v>
      </c>
      <c r="I61" s="18" t="n">
        <v>69460.77</v>
      </c>
      <c r="J61" s="18" t="n">
        <v>81216.71000000001</v>
      </c>
      <c r="K61" s="34" t="n">
        <v>362499.01</v>
      </c>
      <c r="L61" s="18" t="n">
        <v>72913.55</v>
      </c>
      <c r="M61" s="18" t="n">
        <v>93810.07000000001</v>
      </c>
      <c r="N61" s="18" t="n">
        <v>82334.88</v>
      </c>
      <c r="O61" s="18" t="n">
        <v>79153.39999999999</v>
      </c>
      <c r="P61" s="34" t="n">
        <v>328211.9</v>
      </c>
      <c r="Q61" s="18" t="n">
        <v>76060.99000000001</v>
      </c>
      <c r="R61" s="18" t="n">
        <v>67462.41</v>
      </c>
      <c r="S61" s="18" t="n">
        <v>68006.92999999999</v>
      </c>
      <c r="T61" s="18" t="n">
        <v>82318.69</v>
      </c>
      <c r="U61" s="34" t="n">
        <v>293849.02</v>
      </c>
      <c r="V61" s="18" t="n">
        <v>74721.46000000001</v>
      </c>
      <c r="W61" s="18" t="n">
        <v>83099.11</v>
      </c>
      <c r="X61" s="18" t="n">
        <v>72766.24000000001</v>
      </c>
      <c r="Y61" s="18" t="n">
        <v>74138.25</v>
      </c>
      <c r="Z61" s="34" t="n">
        <v>304725.06</v>
      </c>
      <c r="AA61" s="18" t="n">
        <v>67090.32000000001</v>
      </c>
      <c r="AB61" s="19" t="n">
        <v>67311.53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-4930.13</v>
      </c>
      <c r="F62" s="9" t="n"/>
      <c r="G62" s="18" t="n">
        <v>-1263.26</v>
      </c>
      <c r="H62" s="18" t="n">
        <v>18237.04</v>
      </c>
      <c r="I62" s="18" t="n">
        <v>10444.23</v>
      </c>
      <c r="J62" s="18" t="n">
        <v>19973.82</v>
      </c>
      <c r="K62" s="34" t="n">
        <v>47391.83</v>
      </c>
      <c r="L62" s="18" t="n">
        <v>-1211.28</v>
      </c>
      <c r="M62" s="18" t="n">
        <v>26681.42</v>
      </c>
      <c r="N62" s="18" t="n">
        <v>-347.92</v>
      </c>
      <c r="O62" s="18" t="n">
        <v>31462.31</v>
      </c>
      <c r="P62" s="34" t="n">
        <v>56584.53</v>
      </c>
      <c r="Q62" s="18" t="n">
        <v>10017.32</v>
      </c>
      <c r="R62" s="18" t="n">
        <v>13375.48</v>
      </c>
      <c r="S62" s="18" t="n">
        <v>6144.73</v>
      </c>
      <c r="T62" s="18" t="n">
        <v>28990.02</v>
      </c>
      <c r="U62" s="34" t="n">
        <v>58527.55</v>
      </c>
      <c r="V62" s="18" t="n">
        <v>23774.51</v>
      </c>
      <c r="W62" s="18" t="n">
        <v>15072.12</v>
      </c>
      <c r="X62" s="18" t="n">
        <v>17601.38</v>
      </c>
      <c r="Y62" s="18" t="n">
        <v>41513.19</v>
      </c>
      <c r="Z62" s="34" t="n">
        <v>97961.2</v>
      </c>
      <c r="AA62" s="18" t="n">
        <v>20152.77</v>
      </c>
      <c r="AB62" s="19" t="n">
        <v>26186.91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5562.81</v>
      </c>
      <c r="F63" s="9" t="n"/>
      <c r="G63" s="18" t="n">
        <v>5929.56</v>
      </c>
      <c r="H63" s="18" t="n">
        <v>6069.34</v>
      </c>
      <c r="I63" s="18" t="n">
        <v>5843.83</v>
      </c>
      <c r="J63" s="18" t="n">
        <v>4596.74</v>
      </c>
      <c r="K63" s="34" t="n">
        <v>22439.47</v>
      </c>
      <c r="L63" s="18" t="n">
        <v>5208.53</v>
      </c>
      <c r="M63" s="18" t="n">
        <v>5487.14</v>
      </c>
      <c r="N63" s="18" t="n">
        <v>6299.83</v>
      </c>
      <c r="O63" s="18" t="n">
        <v>6034.31</v>
      </c>
      <c r="P63" s="34" t="n">
        <v>23029.81</v>
      </c>
      <c r="Q63" s="18" t="n">
        <v>5757.97</v>
      </c>
      <c r="R63" s="18" t="n">
        <v>5424</v>
      </c>
      <c r="S63" s="18" t="n">
        <v>5506.27</v>
      </c>
      <c r="T63" s="18" t="n">
        <v>5859.82</v>
      </c>
      <c r="U63" s="34" t="n">
        <v>22548.06</v>
      </c>
      <c r="V63" s="18" t="n">
        <v>5973.64</v>
      </c>
      <c r="W63" s="18" t="n">
        <v>6307.66</v>
      </c>
      <c r="X63" s="18" t="n">
        <v>5457.81</v>
      </c>
      <c r="Y63" s="18" t="n">
        <v>6833.45</v>
      </c>
      <c r="Z63" s="34" t="n">
        <v>24572.56</v>
      </c>
      <c r="AA63" s="18" t="n">
        <v>6513.94</v>
      </c>
      <c r="AB63" s="19" t="n">
        <v>5819.28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-10492.94</v>
      </c>
      <c r="F64" s="9" t="n"/>
      <c r="G64" s="18" t="n">
        <v>-7192.81</v>
      </c>
      <c r="H64" s="18" t="n">
        <v>12167.69</v>
      </c>
      <c r="I64" s="18" t="n">
        <v>4600.41</v>
      </c>
      <c r="J64" s="18" t="n">
        <v>15377.08</v>
      </c>
      <c r="K64" s="34" t="n">
        <v>24952.37</v>
      </c>
      <c r="L64" s="18" t="n">
        <v>-6419.81</v>
      </c>
      <c r="M64" s="18" t="n">
        <v>21194.28</v>
      </c>
      <c r="N64" s="18" t="n">
        <v>-6647.74</v>
      </c>
      <c r="O64" s="18" t="n">
        <v>25428</v>
      </c>
      <c r="P64" s="34" t="n">
        <v>33554.73</v>
      </c>
      <c r="Q64" s="18" t="n">
        <v>4259.35</v>
      </c>
      <c r="R64" s="18" t="n">
        <v>7951.48</v>
      </c>
      <c r="S64" s="18" t="n">
        <v>638.46</v>
      </c>
      <c r="T64" s="18" t="n">
        <v>23130.2</v>
      </c>
      <c r="U64" s="34" t="n">
        <v>35979.49</v>
      </c>
      <c r="V64" s="18" t="n">
        <v>17800.87</v>
      </c>
      <c r="W64" s="18" t="n">
        <v>8764.459999999999</v>
      </c>
      <c r="X64" s="18" t="n">
        <v>12143.57</v>
      </c>
      <c r="Y64" s="18" t="n">
        <v>34679.73</v>
      </c>
      <c r="Z64" s="34" t="n">
        <v>73388.63</v>
      </c>
      <c r="AA64" s="18" t="n">
        <v>13638.83</v>
      </c>
      <c r="AB64" s="19" t="n">
        <v>20367.63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-138.22</v>
      </c>
      <c r="F65" s="9" t="n"/>
      <c r="G65" s="18" t="n">
        <v>-13.94</v>
      </c>
      <c r="H65" s="18" t="n">
        <v>46.41</v>
      </c>
      <c r="I65" s="18" t="n">
        <v>877.05</v>
      </c>
      <c r="J65" s="18" t="n">
        <v>-1893.11</v>
      </c>
      <c r="K65" s="34" t="n">
        <v>-983.59</v>
      </c>
      <c r="L65" s="18" t="n">
        <v>603.25</v>
      </c>
      <c r="M65" s="18" t="n">
        <v>-877.5</v>
      </c>
      <c r="N65" s="18" t="n">
        <v>455.5</v>
      </c>
      <c r="O65" s="18" t="n">
        <v>1758.04</v>
      </c>
      <c r="P65" s="34" t="n">
        <v>1939.29</v>
      </c>
      <c r="Q65" s="18" t="n">
        <v>110.15</v>
      </c>
      <c r="R65" s="18" t="n">
        <v>304.78</v>
      </c>
      <c r="S65" s="18" t="n">
        <v>430.77</v>
      </c>
      <c r="T65" s="18" t="n">
        <v>188.74</v>
      </c>
      <c r="U65" s="34" t="n">
        <v>1034.44</v>
      </c>
      <c r="V65" s="18" t="n">
        <v>305.6</v>
      </c>
      <c r="W65" s="18" t="n">
        <v>209.74</v>
      </c>
      <c r="X65" s="18" t="n">
        <v>166.32</v>
      </c>
      <c r="Y65" s="18" t="n">
        <v>319.8</v>
      </c>
      <c r="Z65" s="34" t="n">
        <v>1001.46</v>
      </c>
      <c r="AA65" s="18" t="n">
        <v>113.32</v>
      </c>
      <c r="AB65" s="19" t="n">
        <v>381.7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995.98</v>
      </c>
      <c r="F66" s="9" t="n"/>
      <c r="G66" s="18" t="n">
        <v>111.15</v>
      </c>
      <c r="H66" s="18" t="n">
        <v>263.07</v>
      </c>
      <c r="I66" s="18" t="n">
        <v>1023.21</v>
      </c>
      <c r="J66" s="18" t="n">
        <v>37.09</v>
      </c>
      <c r="K66" s="34" t="n">
        <v>1434.52</v>
      </c>
      <c r="L66" s="18" t="n">
        <v>863.96</v>
      </c>
      <c r="M66" s="18" t="n">
        <v>-268.84</v>
      </c>
      <c r="N66" s="18" t="n">
        <v>488.68</v>
      </c>
      <c r="O66" s="18" t="n">
        <v>1756.02</v>
      </c>
      <c r="P66" s="34" t="n">
        <v>2839.82</v>
      </c>
      <c r="Q66" s="18" t="n">
        <v>476.88</v>
      </c>
      <c r="R66" s="18" t="n">
        <v>333.75</v>
      </c>
      <c r="S66" s="18" t="n">
        <v>423.85</v>
      </c>
      <c r="T66" s="18" t="n">
        <v>273.1</v>
      </c>
      <c r="U66" s="34" t="n">
        <v>1507.58</v>
      </c>
      <c r="V66" s="18" t="n">
        <v>476.15</v>
      </c>
      <c r="W66" s="18" t="n">
        <v>320.43</v>
      </c>
      <c r="X66" s="18" t="n">
        <v>194.42</v>
      </c>
      <c r="Y66" s="18" t="n">
        <v>253.39</v>
      </c>
      <c r="Z66" s="34" t="n">
        <v>1244.39</v>
      </c>
      <c r="AA66" s="18" t="n">
        <v>261.62</v>
      </c>
      <c r="AB66" s="19" t="n">
        <v>487.29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1134.2</v>
      </c>
      <c r="F67" s="9" t="n"/>
      <c r="G67" s="18" t="n">
        <v>125.09</v>
      </c>
      <c r="H67" s="18" t="n">
        <v>216.66</v>
      </c>
      <c r="I67" s="18" t="n">
        <v>146.17</v>
      </c>
      <c r="J67" s="18" t="n">
        <v>1930.21</v>
      </c>
      <c r="K67" s="34" t="n">
        <v>2418.13</v>
      </c>
      <c r="L67" s="18" t="n">
        <v>260.71</v>
      </c>
      <c r="M67" s="18" t="n">
        <v>608.66</v>
      </c>
      <c r="N67" s="18" t="n">
        <v>33.17</v>
      </c>
      <c r="O67" s="18" t="n">
        <v>-2.03</v>
      </c>
      <c r="P67" s="34" t="n">
        <v>900.51</v>
      </c>
      <c r="Q67" s="18" t="n">
        <v>366.73</v>
      </c>
      <c r="R67" s="18" t="n">
        <v>28.97</v>
      </c>
      <c r="S67" s="18" t="n">
        <v>-6.92</v>
      </c>
      <c r="T67" s="18" t="n">
        <v>84.37</v>
      </c>
      <c r="U67" s="34" t="n">
        <v>473.15</v>
      </c>
      <c r="V67" s="18" t="n">
        <v>170.55</v>
      </c>
      <c r="W67" s="18" t="n">
        <v>110.69</v>
      </c>
      <c r="X67" s="18" t="n">
        <v>28.1</v>
      </c>
      <c r="Y67" s="18" t="n">
        <v>-66.41</v>
      </c>
      <c r="Z67" s="34" t="n">
        <v>242.93</v>
      </c>
      <c r="AA67" s="18" t="n">
        <v>148.3</v>
      </c>
      <c r="AB67" s="19" t="n">
        <v>105.59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-622.78</v>
      </c>
      <c r="F68" s="9" t="n"/>
      <c r="G68" s="18" t="n">
        <v>-2875.26</v>
      </c>
      <c r="H68" s="18" t="n">
        <v>2001.45</v>
      </c>
      <c r="I68" s="18" t="n">
        <v>455.01</v>
      </c>
      <c r="J68" s="18" t="n">
        <v>-6405.57</v>
      </c>
      <c r="K68" s="34" t="n">
        <v>-6824.37</v>
      </c>
      <c r="L68" s="18" t="n">
        <v>-1767.94</v>
      </c>
      <c r="M68" s="18" t="n">
        <v>-2749.08</v>
      </c>
      <c r="N68" s="18" t="n">
        <v>-1724.77</v>
      </c>
      <c r="O68" s="18" t="n">
        <v>-2707.67</v>
      </c>
      <c r="P68" s="34" t="n">
        <v>-8949.459999999999</v>
      </c>
      <c r="Q68" s="18" t="n">
        <v>-1356.24</v>
      </c>
      <c r="R68" s="18" t="n">
        <v>-2509.73</v>
      </c>
      <c r="S68" s="18" t="n">
        <v>-2638.48</v>
      </c>
      <c r="T68" s="18" t="n">
        <v>-826.9</v>
      </c>
      <c r="U68" s="34" t="n">
        <v>-7331.35</v>
      </c>
      <c r="V68" s="18" t="n">
        <v>-652.14</v>
      </c>
      <c r="W68" s="18" t="n">
        <v>-2214.07</v>
      </c>
      <c r="X68" s="18" t="n">
        <v>472.9</v>
      </c>
      <c r="Y68" s="18" t="n">
        <v>1451.79</v>
      </c>
      <c r="Z68" s="34" t="n">
        <v>-941.52</v>
      </c>
      <c r="AA68" s="18" t="n">
        <v>6732.92</v>
      </c>
      <c r="AB68" s="19" t="n">
        <v>6121.02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881.61</v>
      </c>
      <c r="F69" s="9" t="n"/>
      <c r="G69" s="18" t="n">
        <v>1261.8</v>
      </c>
      <c r="H69" s="18" t="n">
        <v>2260.37</v>
      </c>
      <c r="I69" s="18" t="n">
        <v>2673.51</v>
      </c>
      <c r="J69" s="18" t="n">
        <v>206.25</v>
      </c>
      <c r="K69" s="34" t="n">
        <v>6401.93</v>
      </c>
      <c r="L69" s="18" t="n">
        <v>1665.89</v>
      </c>
      <c r="M69" s="18" t="n">
        <v>626.16</v>
      </c>
      <c r="N69" s="18" t="n">
        <v>1079.94</v>
      </c>
      <c r="O69" s="18" t="n">
        <v>802.35</v>
      </c>
      <c r="P69" s="34" t="n">
        <v>4174.34</v>
      </c>
      <c r="Q69" s="18" t="n">
        <v>1718.62</v>
      </c>
      <c r="R69" s="18" t="n">
        <v>1129.72</v>
      </c>
      <c r="S69" s="18" t="n">
        <v>1101.25</v>
      </c>
      <c r="T69" s="18" t="n">
        <v>2738.68</v>
      </c>
      <c r="U69" s="34" t="n">
        <v>6688.27</v>
      </c>
      <c r="V69" s="18" t="n">
        <v>2225.28</v>
      </c>
      <c r="W69" s="18" t="n">
        <v>1479.28</v>
      </c>
      <c r="X69" s="18" t="n">
        <v>2886.02</v>
      </c>
      <c r="Y69" s="18" t="n">
        <v>4825.26</v>
      </c>
      <c r="Z69" s="34" t="n">
        <v>11415.84</v>
      </c>
      <c r="AA69" s="18" t="n">
        <v>10861.67</v>
      </c>
      <c r="AB69" s="19" t="n">
        <v>8207.5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1504.4</v>
      </c>
      <c r="F70" s="9" t="n"/>
      <c r="G70" s="18" t="n">
        <v>4137.05</v>
      </c>
      <c r="H70" s="18" t="n">
        <v>258.92</v>
      </c>
      <c r="I70" s="18" t="n">
        <v>2218.51</v>
      </c>
      <c r="J70" s="18" t="n">
        <v>6611.82</v>
      </c>
      <c r="K70" s="34" t="n">
        <v>13226.3</v>
      </c>
      <c r="L70" s="18" t="n">
        <v>3433.83</v>
      </c>
      <c r="M70" s="18" t="n">
        <v>3375.24</v>
      </c>
      <c r="N70" s="18" t="n">
        <v>2804.71</v>
      </c>
      <c r="O70" s="18" t="n">
        <v>3510.02</v>
      </c>
      <c r="P70" s="34" t="n">
        <v>13123.8</v>
      </c>
      <c r="Q70" s="18" t="n">
        <v>3074.86</v>
      </c>
      <c r="R70" s="18" t="n">
        <v>3639.45</v>
      </c>
      <c r="S70" s="18" t="n">
        <v>3739.73</v>
      </c>
      <c r="T70" s="18" t="n">
        <v>3565.58</v>
      </c>
      <c r="U70" s="34" t="n">
        <v>14019.62</v>
      </c>
      <c r="V70" s="18" t="n">
        <v>2877.42</v>
      </c>
      <c r="W70" s="18" t="n">
        <v>3693.35</v>
      </c>
      <c r="X70" s="18" t="n">
        <v>2413.12</v>
      </c>
      <c r="Y70" s="18" t="n">
        <v>3373.47</v>
      </c>
      <c r="Z70" s="34" t="n">
        <v>12357.36</v>
      </c>
      <c r="AA70" s="18" t="n">
        <v>4128.76</v>
      </c>
      <c r="AB70" s="19" t="n">
        <v>2086.48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종속기업,공동지배기업및관계기업관련손익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-574.48</v>
      </c>
      <c r="K71" s="34" t="n">
        <v>-574.48</v>
      </c>
      <c r="L71" s="18" t="n">
        <v>-17.52</v>
      </c>
      <c r="M71" s="18" t="n">
        <v>-240.58</v>
      </c>
      <c r="N71" s="18" t="n">
        <v>-135.05</v>
      </c>
      <c r="O71" s="18" t="n">
        <v>-325.37</v>
      </c>
      <c r="P71" s="34" t="n">
        <v>-718.52</v>
      </c>
      <c r="Q71" s="18" t="n">
        <v>-129.75</v>
      </c>
      <c r="R71" s="18" t="n">
        <v>-124.23</v>
      </c>
      <c r="S71" s="18" t="n">
        <v>-134.75</v>
      </c>
      <c r="T71" s="18" t="n">
        <v>-246.38</v>
      </c>
      <c r="U71" s="34" t="n">
        <v>-635.11</v>
      </c>
      <c r="V71" s="18" t="n">
        <v>-100.49</v>
      </c>
      <c r="W71" s="18" t="n">
        <v>96.05</v>
      </c>
      <c r="X71" s="18" t="n">
        <v>-7.91</v>
      </c>
      <c r="Y71" s="18" t="n">
        <v>0.11</v>
      </c>
      <c r="Z71" s="34" t="n">
        <v>-12.24</v>
      </c>
      <c r="AA71" s="18" t="n">
        <v>13.82</v>
      </c>
      <c r="AB71" s="19" t="n">
        <v>-6.39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-11253.94</v>
      </c>
      <c r="F72" s="9" t="n"/>
      <c r="G72" s="18" t="n">
        <v>-10082.01</v>
      </c>
      <c r="H72" s="18" t="n">
        <v>14215.55</v>
      </c>
      <c r="I72" s="18" t="n">
        <v>5932.46</v>
      </c>
      <c r="J72" s="18" t="n">
        <v>6503.91</v>
      </c>
      <c r="K72" s="34" t="n">
        <v>16569.91</v>
      </c>
      <c r="L72" s="18" t="n">
        <v>-7602.02</v>
      </c>
      <c r="M72" s="18" t="n">
        <v>17327.11</v>
      </c>
      <c r="N72" s="18" t="n">
        <v>-8052.06</v>
      </c>
      <c r="O72" s="18" t="n">
        <v>24153.01</v>
      </c>
      <c r="P72" s="34" t="n">
        <v>25826.04</v>
      </c>
      <c r="Q72" s="18" t="n">
        <v>2883.5</v>
      </c>
      <c r="R72" s="18" t="n">
        <v>5622.3</v>
      </c>
      <c r="S72" s="18" t="n">
        <v>-1704</v>
      </c>
      <c r="T72" s="18" t="n">
        <v>22245.66</v>
      </c>
      <c r="U72" s="34" t="n">
        <v>29047.46</v>
      </c>
      <c r="V72" s="18" t="n">
        <v>17353.84</v>
      </c>
      <c r="W72" s="18" t="n">
        <v>6856.17</v>
      </c>
      <c r="X72" s="18" t="n">
        <v>12774.87</v>
      </c>
      <c r="Y72" s="18" t="n">
        <v>36451.44</v>
      </c>
      <c r="Z72" s="34" t="n">
        <v>73436.32000000001</v>
      </c>
      <c r="AA72" s="18" t="n">
        <v>20498.88</v>
      </c>
      <c r="AB72" s="19" t="n">
        <v>26863.97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-1548.57</v>
      </c>
      <c r="F73" s="9" t="n"/>
      <c r="G73" s="18" t="n">
        <v>-1956.87</v>
      </c>
      <c r="H73" s="18" t="n">
        <v>3468.26</v>
      </c>
      <c r="I73" s="18" t="n">
        <v>1736.26</v>
      </c>
      <c r="J73" s="18" t="n">
        <v>102.19</v>
      </c>
      <c r="K73" s="34" t="n">
        <v>3349.84</v>
      </c>
      <c r="L73" s="18" t="n">
        <v>-1547.49</v>
      </c>
      <c r="M73" s="18" t="n">
        <v>3858.12</v>
      </c>
      <c r="N73" s="18" t="n">
        <v>504</v>
      </c>
      <c r="O73" s="18" t="n">
        <v>-354.56</v>
      </c>
      <c r="P73" s="34" t="n">
        <v>2460.07</v>
      </c>
      <c r="Q73" s="18" t="n">
        <v>280.17</v>
      </c>
      <c r="R73" s="18" t="n">
        <v>3886.87</v>
      </c>
      <c r="S73" s="18" t="n">
        <v>-583.59</v>
      </c>
      <c r="T73" s="18" t="n">
        <v>3442.56</v>
      </c>
      <c r="U73" s="34" t="n">
        <v>7026.01</v>
      </c>
      <c r="V73" s="18" t="n">
        <v>4172.58</v>
      </c>
      <c r="W73" s="18" t="n">
        <v>2026.02</v>
      </c>
      <c r="X73" s="18" t="n">
        <v>2733.58</v>
      </c>
      <c r="Y73" s="18" t="n">
        <v>4659.68</v>
      </c>
      <c r="Z73" s="34" t="n">
        <v>13591.86</v>
      </c>
      <c r="AA73" s="18" t="n">
        <v>4714.27</v>
      </c>
      <c r="AB73" s="19" t="n">
        <v>6240.55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-9705.370000000001</v>
      </c>
      <c r="F74" s="9" t="n"/>
      <c r="G74" s="18" t="n">
        <v>-8125.14</v>
      </c>
      <c r="H74" s="18" t="n">
        <v>10747.3</v>
      </c>
      <c r="I74" s="18" t="n">
        <v>4196.2</v>
      </c>
      <c r="J74" s="18" t="n">
        <v>6401.72</v>
      </c>
      <c r="K74" s="34" t="n">
        <v>13220.08</v>
      </c>
      <c r="L74" s="18" t="n">
        <v>-6054.53</v>
      </c>
      <c r="M74" s="18" t="n">
        <v>13468.99</v>
      </c>
      <c r="N74" s="18" t="n">
        <v>3244.72</v>
      </c>
      <c r="O74" s="18" t="n">
        <v>12071.14</v>
      </c>
      <c r="P74" s="34" t="n">
        <v>22730.32</v>
      </c>
      <c r="Q74" s="18" t="n">
        <v>2603.33</v>
      </c>
      <c r="R74" s="18" t="n">
        <v>1735.43</v>
      </c>
      <c r="S74" s="18" t="n">
        <v>-1120.41</v>
      </c>
      <c r="T74" s="18" t="n">
        <v>18803.1</v>
      </c>
      <c r="U74" s="34" t="n">
        <v>22021.45</v>
      </c>
      <c r="V74" s="18" t="n">
        <v>13181.26</v>
      </c>
      <c r="W74" s="18" t="n">
        <v>4830.15</v>
      </c>
      <c r="X74" s="18" t="n">
        <v>10041.29</v>
      </c>
      <c r="Y74" s="18" t="n">
        <v>31791.76</v>
      </c>
      <c r="Z74" s="34" t="n">
        <v>59844.46</v>
      </c>
      <c r="AA74" s="18" t="n">
        <v>15784.61</v>
      </c>
      <c r="AB74" s="19" t="n">
        <v>20623.42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-10998.72</v>
      </c>
      <c r="F75" s="9" t="n"/>
      <c r="G75" s="18" t="n">
        <v>-7956.78</v>
      </c>
      <c r="H75" s="18" t="n">
        <v>10387.63</v>
      </c>
      <c r="I75" s="18" t="n">
        <v>3302.81</v>
      </c>
      <c r="J75" s="18" t="n">
        <v>5857.17</v>
      </c>
      <c r="K75" s="34" t="n">
        <v>11590.83</v>
      </c>
      <c r="L75" s="18" t="n">
        <v>-6547.57</v>
      </c>
      <c r="M75" s="18" t="n">
        <v>13311.95</v>
      </c>
      <c r="N75" s="18" t="n">
        <v>3198.49</v>
      </c>
      <c r="O75" s="18" t="n">
        <v>7158.84</v>
      </c>
      <c r="P75" s="34" t="n">
        <v>17121.71</v>
      </c>
      <c r="Q75" s="18" t="n">
        <v>2574.74</v>
      </c>
      <c r="R75" s="18" t="n">
        <v>-3529.64</v>
      </c>
      <c r="S75" s="18" t="n">
        <v>-2625.77</v>
      </c>
      <c r="T75" s="18" t="n">
        <v>14931.38</v>
      </c>
      <c r="U75" s="34" t="n">
        <v>11350.71</v>
      </c>
      <c r="V75" s="18" t="n">
        <v>12994.64</v>
      </c>
      <c r="W75" s="18" t="n">
        <v>4278.63</v>
      </c>
      <c r="X75" s="18" t="n">
        <v>7185.88</v>
      </c>
      <c r="Y75" s="18" t="n">
        <v>26221.8</v>
      </c>
      <c r="Z75" s="34" t="n">
        <v>50680.95</v>
      </c>
      <c r="AA75" s="18" t="n">
        <v>14098.17</v>
      </c>
      <c r="AB75" s="19" t="n">
        <v>16542.49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1293.34</v>
      </c>
      <c r="F76" s="9" t="n"/>
      <c r="G76" s="18" t="n">
        <v>-168.36</v>
      </c>
      <c r="H76" s="18" t="n">
        <v>359.66</v>
      </c>
      <c r="I76" s="18" t="n">
        <v>893.4</v>
      </c>
      <c r="J76" s="18" t="n">
        <v>544.55</v>
      </c>
      <c r="K76" s="34" t="n">
        <v>1629.25</v>
      </c>
      <c r="L76" s="18" t="n">
        <v>493.04</v>
      </c>
      <c r="M76" s="18" t="n">
        <v>157.04</v>
      </c>
      <c r="N76" s="18" t="n">
        <v>46.23</v>
      </c>
      <c r="O76" s="18" t="n">
        <v>4912.3</v>
      </c>
      <c r="P76" s="34" t="n">
        <v>5608.61</v>
      </c>
      <c r="Q76" s="18" t="n">
        <v>28.6</v>
      </c>
      <c r="R76" s="18" t="n">
        <v>5265.07</v>
      </c>
      <c r="S76" s="18" t="n">
        <v>1505.36</v>
      </c>
      <c r="T76" s="18" t="n">
        <v>3871.72</v>
      </c>
      <c r="U76" s="34" t="n">
        <v>10670.75</v>
      </c>
      <c r="V76" s="18" t="n">
        <v>186.62</v>
      </c>
      <c r="W76" s="18" t="n">
        <v>551.53</v>
      </c>
      <c r="X76" s="18" t="n">
        <v>2855.41</v>
      </c>
      <c r="Y76" s="18" t="n">
        <v>5569.96</v>
      </c>
      <c r="Z76" s="34" t="n">
        <v>9163.52</v>
      </c>
      <c r="AA76" s="18" t="n">
        <v>1686.45</v>
      </c>
      <c r="AB76" s="19" t="n">
        <v>4080.92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-9388.65</v>
      </c>
      <c r="F77" s="9" t="n"/>
      <c r="G77" s="18" t="n">
        <v>-7555.73</v>
      </c>
      <c r="H77" s="18" t="n">
        <v>11276.06</v>
      </c>
      <c r="I77" s="18" t="n">
        <v>4614.33</v>
      </c>
      <c r="J77" s="18" t="n">
        <v>5354.24</v>
      </c>
      <c r="K77" s="34" t="n">
        <v>13688.9</v>
      </c>
      <c r="L77" s="18" t="n">
        <v>-6165.28</v>
      </c>
      <c r="M77" s="18" t="n">
        <v>14750.38</v>
      </c>
      <c r="N77" s="18" t="n">
        <v>3023.56</v>
      </c>
      <c r="O77" s="18" t="n">
        <v>9891.959999999999</v>
      </c>
      <c r="P77" s="34" t="n">
        <v>21500.62</v>
      </c>
      <c r="Q77" s="18" t="n">
        <v>2599.78</v>
      </c>
      <c r="R77" s="18" t="n">
        <v>1593.8</v>
      </c>
      <c r="S77" s="18" t="n">
        <v>-1480.09</v>
      </c>
      <c r="T77" s="18" t="n">
        <v>16459.05</v>
      </c>
      <c r="U77" s="34" t="n">
        <v>19172.54</v>
      </c>
      <c r="V77" s="18" t="n">
        <v>13353.08</v>
      </c>
      <c r="W77" s="18" t="n">
        <v>5223.93</v>
      </c>
      <c r="X77" s="18" t="n">
        <v>11287.64</v>
      </c>
      <c r="Y77" s="18" t="n">
        <v>31638.3</v>
      </c>
      <c r="Z77" s="34" t="n">
        <v>61502.95</v>
      </c>
      <c r="AA77" s="18" t="n">
        <v>14737.28</v>
      </c>
      <c r="AB77" s="19" t="n">
        <v>20981.81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-9705.370000000001</v>
      </c>
      <c r="F78" s="9" t="n"/>
      <c r="G78" s="18" t="n">
        <v>-8125.14</v>
      </c>
      <c r="H78" s="18" t="n">
        <v>10747.3</v>
      </c>
      <c r="I78" s="18" t="n">
        <v>4196.2</v>
      </c>
      <c r="J78" s="18" t="n">
        <v>6401.72</v>
      </c>
      <c r="K78" s="34" t="n">
        <v>13220.08</v>
      </c>
      <c r="L78" s="18" t="n">
        <v>-6054.53</v>
      </c>
      <c r="M78" s="18" t="n">
        <v>13468.99</v>
      </c>
      <c r="N78" s="18" t="n">
        <v>-8556.049999999999</v>
      </c>
      <c r="O78" s="18" t="n">
        <v>24507.57</v>
      </c>
      <c r="P78" s="34" t="n">
        <v>23365.98</v>
      </c>
      <c r="Q78" s="18" t="n">
        <v>2603.33</v>
      </c>
      <c r="R78" s="18" t="n">
        <v>1735.43</v>
      </c>
      <c r="S78" s="18" t="n">
        <v>-1120.41</v>
      </c>
      <c r="T78" s="18" t="n">
        <v>18803.1</v>
      </c>
      <c r="U78" s="34" t="n">
        <v>22021.45</v>
      </c>
      <c r="V78" s="18" t="n">
        <v>13181.26</v>
      </c>
      <c r="W78" s="18" t="n">
        <v>4830.15</v>
      </c>
      <c r="X78" s="18" t="n">
        <v>10041.29</v>
      </c>
      <c r="Y78" s="18" t="n">
        <v>31791.76</v>
      </c>
      <c r="Z78" s="34" t="n">
        <v>59844.46</v>
      </c>
      <c r="AA78" s="18" t="n">
        <v>15784.61</v>
      </c>
      <c r="AB78" s="19" t="n">
        <v>20623.42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중단사업이익</t>
        </is>
      </c>
      <c r="F79" s="9" t="n"/>
      <c r="K79" s="9" t="n"/>
      <c r="N79" s="18" t="n">
        <v>11800.77</v>
      </c>
      <c r="O79" s="18" t="n">
        <v>-12436.42</v>
      </c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-11105</v>
      </c>
      <c r="F80" s="9" t="n"/>
      <c r="G80" s="18" t="n">
        <v>-20116.62</v>
      </c>
      <c r="H80" s="18" t="n">
        <v>7511.35</v>
      </c>
      <c r="I80" s="18" t="n">
        <v>4975.25</v>
      </c>
      <c r="J80" s="18" t="n">
        <v>27161.72</v>
      </c>
      <c r="K80" s="34" t="n">
        <v>19531.7</v>
      </c>
      <c r="L80" s="18" t="n">
        <v>-10890.66</v>
      </c>
      <c r="M80" s="18" t="n">
        <v>43778.46</v>
      </c>
      <c r="N80" s="18" t="n">
        <v>12798.55</v>
      </c>
      <c r="O80" s="18" t="n">
        <v>23379.42</v>
      </c>
      <c r="P80" s="34" t="n">
        <v>69065.77</v>
      </c>
      <c r="Q80" s="18" t="n">
        <v>13245.72</v>
      </c>
      <c r="R80" s="18" t="n">
        <v>6881.57</v>
      </c>
      <c r="S80" s="18" t="n">
        <v>2183.77</v>
      </c>
      <c r="T80" s="18" t="n">
        <v>9340.120000000001</v>
      </c>
      <c r="U80" s="34" t="n">
        <v>31651.18</v>
      </c>
      <c r="V80" s="18" t="n">
        <v>-711.8</v>
      </c>
      <c r="W80" s="18" t="n">
        <v>32230.31</v>
      </c>
      <c r="X80" s="18" t="n">
        <v>26686.46</v>
      </c>
      <c r="Y80" s="18" t="n">
        <v>-647.34</v>
      </c>
      <c r="Z80" s="34" t="n">
        <v>57557.63</v>
      </c>
      <c r="AA80" s="18" t="n">
        <v>26339.65</v>
      </c>
      <c r="AB80" s="19" t="n">
        <v>15768.09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-109.44</v>
      </c>
      <c r="F81" s="9" t="n"/>
      <c r="G81" s="18" t="n">
        <v>-5594.55</v>
      </c>
      <c r="H81" s="18" t="n">
        <v>-6715.09</v>
      </c>
      <c r="I81" s="18" t="n">
        <v>-245.73</v>
      </c>
      <c r="J81" s="18" t="n">
        <v>-30.65</v>
      </c>
      <c r="K81" s="34" t="n">
        <v>-12586.02</v>
      </c>
      <c r="L81" s="18" t="n">
        <v>-321.14</v>
      </c>
      <c r="M81" s="18" t="n">
        <v>295.05</v>
      </c>
      <c r="N81" s="18" t="n">
        <v>-1009.87</v>
      </c>
      <c r="O81" s="18" t="n">
        <v>-126.01</v>
      </c>
      <c r="P81" s="34" t="n">
        <v>-1161.97</v>
      </c>
      <c r="Q81" s="18" t="n">
        <v>-4239.15</v>
      </c>
      <c r="R81" s="18" t="n">
        <v>-4477.44</v>
      </c>
      <c r="S81" s="18" t="n">
        <v>-3440.63</v>
      </c>
      <c r="T81" s="18" t="n">
        <v>-262.34</v>
      </c>
      <c r="U81" s="34" t="n">
        <v>-12419.56</v>
      </c>
      <c r="V81" s="18" t="n">
        <v>-3859.35</v>
      </c>
      <c r="W81" s="18" t="n">
        <v>-3818.88</v>
      </c>
      <c r="X81" s="18" t="n">
        <v>-1758.81</v>
      </c>
      <c r="Y81" s="18" t="n">
        <v>-3544.68</v>
      </c>
      <c r="Z81" s="34" t="n">
        <v>-12981.72</v>
      </c>
      <c r="AA81" s="18" t="n">
        <v>-3576.28</v>
      </c>
      <c r="AB81" s="19" t="n">
        <v>-4050.64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-2757.98</v>
      </c>
      <c r="F82" s="9" t="n"/>
      <c r="G82" s="18" t="n">
        <v>-17566.38</v>
      </c>
      <c r="H82" s="18" t="n">
        <v>-24412.36</v>
      </c>
      <c r="I82" s="18" t="n">
        <v>10213.53</v>
      </c>
      <c r="J82" s="18" t="n">
        <v>-3443.48</v>
      </c>
      <c r="K82" s="34" t="n">
        <v>-35208.69</v>
      </c>
      <c r="L82" s="18" t="n">
        <v>-5697.75</v>
      </c>
      <c r="M82" s="18" t="n">
        <v>-4816.71</v>
      </c>
      <c r="N82" s="18" t="n">
        <v>-25873.48</v>
      </c>
      <c r="O82" s="18" t="n">
        <v>-2913.21</v>
      </c>
      <c r="P82" s="34" t="n">
        <v>-39301.15</v>
      </c>
      <c r="Q82" s="18" t="n">
        <v>-4372</v>
      </c>
      <c r="R82" s="18" t="n">
        <v>-15812.72</v>
      </c>
      <c r="S82" s="18" t="n">
        <v>-5703.87</v>
      </c>
      <c r="T82" s="18" t="n">
        <v>-14101.75</v>
      </c>
      <c r="U82" s="34" t="n">
        <v>-39990.34</v>
      </c>
      <c r="V82" s="18" t="n">
        <v>-2729.58</v>
      </c>
      <c r="W82" s="18" t="n">
        <v>-6725.99</v>
      </c>
      <c r="X82" s="18" t="n">
        <v>-19659.87</v>
      </c>
      <c r="Y82" s="18" t="n">
        <v>-15083.38</v>
      </c>
      <c r="Z82" s="34" t="n">
        <v>-44198.82</v>
      </c>
      <c r="AA82" s="18" t="n">
        <v>-8734.1</v>
      </c>
      <c r="AB82" s="19" t="n">
        <v>-26709.34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600</v>
      </c>
      <c r="F83" s="9" t="n"/>
      <c r="G83" s="18" t="n">
        <v>689.24</v>
      </c>
      <c r="I83" s="18" t="n">
        <v>0</v>
      </c>
      <c r="J83" s="18" t="n">
        <v>6.64</v>
      </c>
      <c r="K83" s="9" t="n"/>
      <c r="L83" s="18" t="n">
        <v>2343.53</v>
      </c>
      <c r="M83" s="18" t="n">
        <v>0</v>
      </c>
      <c r="N83" s="18" t="n">
        <v>0</v>
      </c>
      <c r="O83" s="18" t="n">
        <v>0</v>
      </c>
      <c r="P83" s="34" t="n">
        <v>2343.53</v>
      </c>
      <c r="Q83" s="18" t="n">
        <v>0</v>
      </c>
      <c r="R83" s="18" t="n">
        <v>0</v>
      </c>
      <c r="S83" s="18" t="n">
        <v>3.85</v>
      </c>
      <c r="T83" s="18" t="n">
        <v>4.78</v>
      </c>
      <c r="U83" s="34" t="n">
        <v>8.630000000000001</v>
      </c>
      <c r="X83" s="18" t="n">
        <v>0</v>
      </c>
      <c r="Y83" s="18" t="n">
        <v>0</v>
      </c>
      <c r="Z83" s="9" t="n"/>
      <c r="AA83" s="18" t="n">
        <v>71.92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3358.98</v>
      </c>
      <c r="F84" s="9" t="n"/>
      <c r="G84" s="18" t="n">
        <v>20235.93</v>
      </c>
      <c r="H84" s="18" t="n">
        <v>4364.11</v>
      </c>
      <c r="I84" s="18" t="n">
        <v>7451.05</v>
      </c>
      <c r="J84" s="18" t="n">
        <v>3313.77</v>
      </c>
      <c r="K84" s="34" t="n">
        <v>35364.86</v>
      </c>
      <c r="L84" s="18" t="n">
        <v>1587.33</v>
      </c>
      <c r="M84" s="18" t="n">
        <v>3576.4</v>
      </c>
      <c r="N84" s="18" t="n">
        <v>37664.9</v>
      </c>
      <c r="O84" s="18" t="n">
        <v>309.29</v>
      </c>
      <c r="P84" s="34" t="n">
        <v>43137.92</v>
      </c>
      <c r="Q84" s="18" t="n">
        <v>3303.81</v>
      </c>
      <c r="R84" s="18" t="n">
        <v>2728.52</v>
      </c>
      <c r="S84" s="18" t="n">
        <v>4862.79</v>
      </c>
      <c r="T84" s="18" t="n">
        <v>9277.129999999999</v>
      </c>
      <c r="U84" s="34" t="n">
        <v>20172.25</v>
      </c>
      <c r="V84" s="18" t="n">
        <v>2809.12</v>
      </c>
      <c r="W84" s="18" t="n">
        <v>1146.07</v>
      </c>
      <c r="X84" s="18" t="n">
        <v>1912.09</v>
      </c>
      <c r="Y84" s="18" t="n">
        <v>3630.81</v>
      </c>
      <c r="Z84" s="34" t="n">
        <v>9498.09</v>
      </c>
      <c r="AA84" s="18" t="n">
        <v>2342.4</v>
      </c>
      <c r="AB84" s="19" t="n">
        <v>6416.85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3408.48</v>
      </c>
      <c r="F85" s="9" t="n"/>
      <c r="G85" s="18" t="n">
        <v>20235.93</v>
      </c>
      <c r="H85" s="18" t="n">
        <v>4369.61</v>
      </c>
      <c r="I85" s="18" t="n">
        <v>7863.9</v>
      </c>
      <c r="J85" s="18" t="n">
        <v>3342.52</v>
      </c>
      <c r="K85" s="34" t="n">
        <v>35811.96</v>
      </c>
      <c r="L85" s="18" t="n">
        <v>1587.33</v>
      </c>
      <c r="M85" s="18" t="n">
        <v>3970.4</v>
      </c>
      <c r="N85" s="18" t="n">
        <v>37681.98</v>
      </c>
      <c r="O85" s="18" t="n">
        <v>309.29</v>
      </c>
      <c r="P85" s="34" t="n">
        <v>43549</v>
      </c>
      <c r="Q85" s="18" t="n">
        <v>3303.81</v>
      </c>
      <c r="R85" s="18" t="n">
        <v>2828.52</v>
      </c>
      <c r="S85" s="18" t="n">
        <v>4869.39</v>
      </c>
      <c r="T85" s="18" t="n">
        <v>9277.129999999999</v>
      </c>
      <c r="U85" s="34" t="n">
        <v>20278.85</v>
      </c>
      <c r="V85" s="18" t="n">
        <v>2809.12</v>
      </c>
      <c r="W85" s="18" t="n">
        <v>1146.07</v>
      </c>
      <c r="X85" s="18" t="n">
        <v>1912.09</v>
      </c>
      <c r="Y85" s="18" t="n">
        <v>3630.81</v>
      </c>
      <c r="Z85" s="34" t="n">
        <v>9498.09</v>
      </c>
      <c r="AA85" s="18" t="n">
        <v>2342.96</v>
      </c>
      <c r="AB85" s="19" t="n">
        <v>6416.85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49.5</v>
      </c>
      <c r="F86" s="9" t="n"/>
      <c r="I86" s="18" t="n">
        <v>412.85</v>
      </c>
      <c r="J86" s="18" t="n">
        <v>28.75</v>
      </c>
      <c r="K86" s="9" t="n"/>
      <c r="N86" s="18" t="n">
        <v>17.08</v>
      </c>
      <c r="O86" s="18" t="n">
        <v>0</v>
      </c>
      <c r="P86" s="9" t="n"/>
      <c r="S86" s="18" t="n">
        <v>6.6</v>
      </c>
      <c r="T86" s="18" t="n">
        <v>0</v>
      </c>
      <c r="U86" s="9" t="n"/>
      <c r="X86" s="18" t="n">
        <v>0</v>
      </c>
      <c r="Z86" s="9" t="n"/>
      <c r="AA86" s="18" t="n">
        <v>0.5600000000000001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19600.66</v>
      </c>
      <c r="F87" s="9" t="n"/>
      <c r="G87" s="18" t="n">
        <v>40002.33</v>
      </c>
      <c r="H87" s="18" t="n">
        <v>-10465.85</v>
      </c>
      <c r="I87" s="18" t="n">
        <v>2314.28</v>
      </c>
      <c r="J87" s="18" t="n">
        <v>-4511.02</v>
      </c>
      <c r="K87" s="34" t="n">
        <v>27339.74</v>
      </c>
      <c r="L87" s="18" t="n">
        <v>-867.58</v>
      </c>
      <c r="M87" s="18" t="n">
        <v>-31584.75</v>
      </c>
      <c r="N87" s="18" t="n">
        <v>16609.06</v>
      </c>
      <c r="O87" s="18" t="n">
        <v>-10151.79</v>
      </c>
      <c r="P87" s="34" t="n">
        <v>-25995.06</v>
      </c>
      <c r="Q87" s="18" t="n">
        <v>9557.9</v>
      </c>
      <c r="R87" s="18" t="n">
        <v>-13923.18</v>
      </c>
      <c r="S87" s="18" t="n">
        <v>37748.96</v>
      </c>
      <c r="T87" s="18" t="n">
        <v>3914.34</v>
      </c>
      <c r="U87" s="34" t="n">
        <v>37298.02</v>
      </c>
      <c r="V87" s="18" t="n">
        <v>-1631.27</v>
      </c>
      <c r="W87" s="18" t="n">
        <v>-11272.32</v>
      </c>
      <c r="X87" s="18" t="n">
        <v>1271.83</v>
      </c>
      <c r="Y87" s="18" t="n">
        <v>-25397.76</v>
      </c>
      <c r="Z87" s="34" t="n">
        <v>-37029.52</v>
      </c>
      <c r="AA87" s="18" t="n">
        <v>-1279.02</v>
      </c>
      <c r="AB87" s="19" t="n">
        <v>-14879.09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345</v>
      </c>
      <c r="F88" s="9" t="n"/>
      <c r="G88" s="18" t="n">
        <v>53975.2</v>
      </c>
      <c r="H88" s="18" t="n">
        <v>16880</v>
      </c>
      <c r="I88" s="18" t="n">
        <v>26394.06</v>
      </c>
      <c r="J88" s="18" t="n">
        <v>24204</v>
      </c>
      <c r="K88" s="34" t="n">
        <v>121453.26</v>
      </c>
      <c r="L88" s="18" t="n">
        <v>450</v>
      </c>
      <c r="M88" s="18" t="n">
        <v>57120</v>
      </c>
      <c r="N88" s="18" t="n">
        <v>37120</v>
      </c>
      <c r="O88" s="18" t="n">
        <v>5660</v>
      </c>
      <c r="P88" s="34" t="n">
        <v>100350</v>
      </c>
      <c r="Q88" s="18" t="n">
        <v>50520</v>
      </c>
      <c r="R88" s="18" t="n">
        <v>43540</v>
      </c>
      <c r="S88" s="18" t="n">
        <v>66880</v>
      </c>
      <c r="T88" s="18" t="n">
        <v>330</v>
      </c>
      <c r="U88" s="34" t="n">
        <v>161270</v>
      </c>
      <c r="V88" s="18" t="n">
        <v>71577.00999999999</v>
      </c>
      <c r="W88" s="18" t="n">
        <v>2072.99</v>
      </c>
      <c r="X88" s="18" t="n">
        <v>51230</v>
      </c>
      <c r="Y88" s="18" t="n">
        <v>1245</v>
      </c>
      <c r="Z88" s="34" t="n">
        <v>126125</v>
      </c>
      <c r="AA88" s="18" t="n">
        <v>45390</v>
      </c>
      <c r="AB88" s="19" t="n">
        <v>29610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20639</v>
      </c>
      <c r="F89" s="9" t="n"/>
      <c r="G89" s="18" t="n">
        <v>38500</v>
      </c>
      <c r="H89" s="18" t="n">
        <v>10000</v>
      </c>
      <c r="I89" s="18" t="n">
        <v>0</v>
      </c>
      <c r="J89" s="18" t="n">
        <v>28000</v>
      </c>
      <c r="K89" s="34" t="n">
        <v>76500</v>
      </c>
      <c r="L89" s="18" t="n">
        <v>0</v>
      </c>
      <c r="M89" s="18" t="n">
        <v>80</v>
      </c>
      <c r="N89" s="18" t="n">
        <v>39920</v>
      </c>
      <c r="O89" s="18" t="n">
        <v>100</v>
      </c>
      <c r="P89" s="34" t="n">
        <v>40100</v>
      </c>
      <c r="Q89" s="18" t="n">
        <v>8000</v>
      </c>
      <c r="R89" s="18" t="n">
        <v>0</v>
      </c>
      <c r="S89" s="18" t="n">
        <v>37455</v>
      </c>
      <c r="T89" s="18" t="n">
        <v>14145</v>
      </c>
      <c r="U89" s="34" t="n">
        <v>59600</v>
      </c>
      <c r="V89" s="18" t="n">
        <v>180</v>
      </c>
      <c r="W89" s="18" t="n">
        <v>105</v>
      </c>
      <c r="X89" s="18" t="n">
        <v>108180</v>
      </c>
      <c r="Y89" s="18" t="n">
        <v>20</v>
      </c>
      <c r="Z89" s="34" t="n">
        <v>108485</v>
      </c>
      <c r="AA89" s="18" t="n">
        <v>2010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35905.2</v>
      </c>
      <c r="H90" s="18" t="n">
        <v>17550</v>
      </c>
      <c r="I90" s="18" t="n">
        <v>21501.06</v>
      </c>
      <c r="J90" s="18" t="n">
        <v>27901</v>
      </c>
      <c r="K90" s="34" t="n">
        <v>102857.26</v>
      </c>
      <c r="L90" s="18" t="n">
        <v>0</v>
      </c>
      <c r="M90" s="18" t="n">
        <v>33700</v>
      </c>
      <c r="N90" s="18" t="n">
        <v>20390</v>
      </c>
      <c r="O90" s="18" t="n">
        <v>0</v>
      </c>
      <c r="P90" s="34" t="n">
        <v>54090</v>
      </c>
      <c r="Q90" s="18" t="n">
        <v>18000</v>
      </c>
      <c r="R90" s="18" t="n">
        <v>45000</v>
      </c>
      <c r="S90" s="18" t="n">
        <v>45200</v>
      </c>
      <c r="T90" s="18" t="n">
        <v>1100</v>
      </c>
      <c r="U90" s="34" t="n">
        <v>109300</v>
      </c>
      <c r="V90" s="18" t="n">
        <v>71700.33</v>
      </c>
      <c r="X90" s="18" t="n">
        <v>116200</v>
      </c>
      <c r="Y90" s="18" t="n">
        <v>24985</v>
      </c>
      <c r="Z90" s="9" t="n"/>
      <c r="AA90" s="18" t="n">
        <v>47000</v>
      </c>
      <c r="AB90" s="19" t="n">
        <v>30000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828.14</v>
      </c>
      <c r="F91" s="9" t="n"/>
      <c r="G91" s="18" t="n">
        <v>16129.05</v>
      </c>
      <c r="H91" s="18" t="n">
        <v>11086.22</v>
      </c>
      <c r="I91" s="18" t="n">
        <v>2100</v>
      </c>
      <c r="J91" s="18" t="n">
        <v>15600.35</v>
      </c>
      <c r="K91" s="34" t="n">
        <v>44915.62</v>
      </c>
      <c r="L91" s="18" t="n">
        <v>600</v>
      </c>
      <c r="M91" s="18" t="n">
        <v>32200</v>
      </c>
      <c r="N91" s="18" t="n">
        <v>26812</v>
      </c>
      <c r="O91" s="18" t="n">
        <v>15600</v>
      </c>
      <c r="P91" s="34" t="n">
        <v>75212</v>
      </c>
      <c r="Q91" s="18" t="n">
        <v>40600</v>
      </c>
      <c r="R91" s="18" t="n">
        <v>600</v>
      </c>
      <c r="S91" s="18" t="n">
        <v>15600</v>
      </c>
      <c r="T91" s="18" t="n">
        <v>2496.04</v>
      </c>
      <c r="U91" s="34" t="n">
        <v>59296.04</v>
      </c>
      <c r="V91" s="18" t="n">
        <v>1350</v>
      </c>
      <c r="W91" s="18" t="n">
        <v>1350</v>
      </c>
      <c r="X91" s="18" t="n">
        <v>41350</v>
      </c>
      <c r="Y91" s="18" t="n">
        <v>1050</v>
      </c>
      <c r="Z91" s="34" t="n">
        <v>45100</v>
      </c>
      <c r="AA91" s="18" t="n">
        <v>1050</v>
      </c>
      <c r="AB91" s="19" t="n">
        <v>1050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520.01</v>
      </c>
      <c r="F92" s="9" t="n"/>
      <c r="G92" s="18" t="n">
        <v>538.26</v>
      </c>
      <c r="H92" s="18" t="n">
        <v>486.52</v>
      </c>
      <c r="I92" s="18" t="n">
        <v>478.72</v>
      </c>
      <c r="J92" s="18" t="n">
        <v>174.02</v>
      </c>
      <c r="K92" s="34" t="n">
        <v>1677.52</v>
      </c>
      <c r="L92" s="18" t="n">
        <v>177.58</v>
      </c>
      <c r="M92" s="18" t="n">
        <v>190.08</v>
      </c>
      <c r="N92" s="18" t="n">
        <v>228.95</v>
      </c>
      <c r="O92" s="18" t="n">
        <v>311.78</v>
      </c>
      <c r="P92" s="34" t="n">
        <v>908.39</v>
      </c>
      <c r="Q92" s="18" t="n">
        <v>313.27</v>
      </c>
      <c r="R92" s="18" t="n">
        <v>320.97</v>
      </c>
      <c r="S92" s="18" t="n">
        <v>317</v>
      </c>
      <c r="T92" s="18" t="n">
        <v>319.13</v>
      </c>
      <c r="U92" s="34" t="n">
        <v>1270.37</v>
      </c>
      <c r="V92" s="18" t="n">
        <v>337.95</v>
      </c>
      <c r="W92" s="18" t="n">
        <v>915.74</v>
      </c>
      <c r="X92" s="18" t="n">
        <v>588.1799999999999</v>
      </c>
      <c r="Y92" s="18" t="n">
        <v>627.76</v>
      </c>
      <c r="Z92" s="34" t="n">
        <v>2469.63</v>
      </c>
      <c r="AA92" s="18" t="n">
        <v>629.02</v>
      </c>
      <c r="AB92" s="19" t="n">
        <v>637.96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0</v>
      </c>
      <c r="F93" s="9" t="n"/>
      <c r="G93" s="18" t="n">
        <v>0.36</v>
      </c>
      <c r="H93" s="18" t="n">
        <v>0</v>
      </c>
      <c r="I93" s="18" t="n">
        <v>0</v>
      </c>
      <c r="J93" s="18" t="n">
        <v>12999.64</v>
      </c>
      <c r="K93" s="34" t="n">
        <v>13000</v>
      </c>
      <c r="L93" s="18" t="n">
        <v>0</v>
      </c>
      <c r="M93" s="18" t="n">
        <v>0</v>
      </c>
      <c r="N93" s="18" t="n">
        <v>13000</v>
      </c>
      <c r="O93" s="18" t="n">
        <v>0</v>
      </c>
      <c r="P93" s="34" t="n">
        <v>13000</v>
      </c>
      <c r="Q93" s="18" t="n">
        <v>208.41</v>
      </c>
      <c r="R93" s="18" t="n">
        <v>562.65</v>
      </c>
      <c r="S93" s="18" t="n">
        <v>5187.42</v>
      </c>
      <c r="T93" s="18" t="n">
        <v>6645.48</v>
      </c>
      <c r="U93" s="34" t="n">
        <v>12603.96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G94" s="18" t="n">
        <v>0</v>
      </c>
      <c r="H94" s="18" t="n">
        <v>8223.120000000001</v>
      </c>
      <c r="I94" s="18" t="n">
        <v>0</v>
      </c>
      <c r="J94" s="18" t="n">
        <v>0</v>
      </c>
      <c r="K94" s="34" t="n">
        <v>8223.120000000001</v>
      </c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0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E95" s="18" t="n">
        <v>0</v>
      </c>
      <c r="F95" s="9" t="n"/>
      <c r="G95" s="18" t="n">
        <v>0</v>
      </c>
      <c r="J95" s="18" t="n">
        <v>0</v>
      </c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5662.39</v>
      </c>
      <c r="F96" s="9" t="n"/>
      <c r="G96" s="18" t="n">
        <v>2720.95</v>
      </c>
      <c r="H96" s="18" t="n">
        <v>-27623.26</v>
      </c>
      <c r="I96" s="18" t="n">
        <v>18377.33</v>
      </c>
      <c r="J96" s="18" t="n">
        <v>15993.43</v>
      </c>
      <c r="K96" s="34" t="n">
        <v>9468.450000000001</v>
      </c>
      <c r="L96" s="18" t="n">
        <v>-17003.88</v>
      </c>
      <c r="M96" s="18" t="n">
        <v>7033.05</v>
      </c>
      <c r="N96" s="18" t="n">
        <v>3879.46</v>
      </c>
      <c r="O96" s="18" t="n">
        <v>9752.02</v>
      </c>
      <c r="P96" s="34" t="n">
        <v>3660.65</v>
      </c>
      <c r="Q96" s="18" t="n">
        <v>19094.45</v>
      </c>
      <c r="R96" s="18" t="n">
        <v>-23560.38</v>
      </c>
      <c r="S96" s="18" t="n">
        <v>33662.45</v>
      </c>
      <c r="T96" s="18" t="n">
        <v>-405.76</v>
      </c>
      <c r="U96" s="34" t="n">
        <v>28790.76</v>
      </c>
      <c r="V96" s="18" t="n">
        <v>-4952.72</v>
      </c>
      <c r="W96" s="18" t="n">
        <v>14969.52</v>
      </c>
      <c r="X96" s="18" t="n">
        <v>8382.809999999999</v>
      </c>
      <c r="Y96" s="18" t="n">
        <v>-42888.22</v>
      </c>
      <c r="Z96" s="34" t="n">
        <v>-24488.61</v>
      </c>
      <c r="AA96" s="18" t="n">
        <v>14494.38</v>
      </c>
      <c r="AB96" s="19" t="n">
        <v>-26079.27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5662.38</v>
      </c>
      <c r="F97" s="9" t="n"/>
      <c r="G97" s="18" t="n">
        <v>40389.7</v>
      </c>
      <c r="H97" s="18" t="n">
        <v>-27623.26</v>
      </c>
      <c r="I97" s="18" t="n">
        <v>18377.33</v>
      </c>
      <c r="J97" s="18" t="n">
        <v>15993.42</v>
      </c>
      <c r="K97" s="34" t="n">
        <v>47137.19</v>
      </c>
      <c r="L97" s="18" t="n">
        <v>30087.12</v>
      </c>
      <c r="M97" s="18" t="n">
        <v>7033.05</v>
      </c>
      <c r="N97" s="18" t="n">
        <v>3448.19</v>
      </c>
      <c r="O97" s="18" t="n">
        <v>10183.3</v>
      </c>
      <c r="P97" s="34" t="n">
        <v>50751.66</v>
      </c>
      <c r="Q97" s="18" t="n">
        <v>69793.88</v>
      </c>
      <c r="R97" s="18" t="n">
        <v>-23508.15</v>
      </c>
      <c r="S97" s="18" t="n">
        <v>33662.44</v>
      </c>
      <c r="T97" s="18" t="n">
        <v>-405.75</v>
      </c>
      <c r="U97" s="34" t="n">
        <v>79542.42</v>
      </c>
      <c r="V97" s="18" t="n">
        <v>74589.69</v>
      </c>
      <c r="W97" s="18" t="n">
        <v>14969.53</v>
      </c>
      <c r="X97" s="18" t="n">
        <v>8382.809999999999</v>
      </c>
      <c r="Y97" s="18" t="n">
        <v>-42888.23</v>
      </c>
      <c r="Z97" s="34" t="n">
        <v>55053.8</v>
      </c>
      <c r="AA97" s="18" t="n">
        <v>69548.17999999999</v>
      </c>
      <c r="AB97" s="19" t="n">
        <v>-26079.27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F98" s="9" t="n"/>
      <c r="I98" s="18" t="n">
        <v>31.36</v>
      </c>
      <c r="J98" s="18" t="n">
        <v>0</v>
      </c>
      <c r="K98" s="9" t="n"/>
      <c r="L98" s="18" t="n">
        <v>0</v>
      </c>
      <c r="M98" s="18" t="n">
        <v>96.40000000000001</v>
      </c>
      <c r="N98" s="18" t="n">
        <v>0</v>
      </c>
      <c r="O98" s="18" t="n">
        <v>0</v>
      </c>
      <c r="P98" s="34" t="n">
        <v>96.40000000000001</v>
      </c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188.75</v>
      </c>
      <c r="P99" s="9" t="n"/>
      <c r="Q99" s="18" t="n">
        <v>493.48</v>
      </c>
      <c r="R99" s="18" t="n">
        <v>431.27</v>
      </c>
      <c r="S99" s="18" t="n">
        <v>866.21</v>
      </c>
      <c r="T99" s="18" t="n">
        <v>587.95</v>
      </c>
      <c r="U99" s="34" t="n">
        <v>2378.91</v>
      </c>
      <c r="V99" s="18" t="n">
        <v>621.75</v>
      </c>
      <c r="W99" s="18" t="n">
        <v>301.18</v>
      </c>
      <c r="X99" s="18" t="n">
        <v>561.72</v>
      </c>
      <c r="Y99" s="18" t="n">
        <v>1749.29</v>
      </c>
      <c r="Z99" s="34" t="n">
        <v>3233.94</v>
      </c>
      <c r="AA99" s="18" t="n">
        <v>1701.06</v>
      </c>
      <c r="AB99" s="19" t="n">
        <v>109.26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U100" s="9" t="n"/>
      <c r="V100" s="18" t="n">
        <v>-3362.94</v>
      </c>
      <c r="W100" s="18" t="n">
        <v>-2665.68</v>
      </c>
      <c r="X100" s="18" t="n">
        <v>-102.44</v>
      </c>
      <c r="Y100" s="18" t="n">
        <v>-2674.74</v>
      </c>
      <c r="Z100" s="34" t="n">
        <v>-8805.799999999999</v>
      </c>
      <c r="AA100" s="18" t="n">
        <v>-2347.47</v>
      </c>
      <c r="AB100" s="19" t="n">
        <v>-2365.97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4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4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4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4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4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4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4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4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4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4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4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4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4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4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4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4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4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4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4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4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4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4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4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4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4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4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4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4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4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4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4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4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4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4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4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4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4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4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4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4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4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4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4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4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4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4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4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4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4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4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4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4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4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4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4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4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4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4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4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4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4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4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4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4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4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4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4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4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4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4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4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4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4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4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4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4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4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4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4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4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4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4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4" t="n">
        <v>3484.69</v>
      </c>
      <c r="L22" s="18" t="n">
        <v>0</v>
      </c>
      <c r="N22" s="18" t="n">
        <v>0</v>
      </c>
      <c r="O22" s="18" t="n">
        <v>0</v>
      </c>
      <c r="P22" s="34" t="n">
        <v>0</v>
      </c>
      <c r="T22" s="18" t="n">
        <v>0</v>
      </c>
      <c r="U22" s="34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4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4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4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4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4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4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4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4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4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4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4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4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4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4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4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4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4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4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4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4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4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4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4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4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4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4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4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4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4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4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4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4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4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4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4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4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4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4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4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4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4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4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4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4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4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4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4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4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4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4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4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4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4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4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4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4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4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4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4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4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4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4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4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4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4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4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4" t="n">
        <v>107300</v>
      </c>
      <c r="G37" s="18" t="n">
        <v>136700</v>
      </c>
      <c r="H37" s="18" t="n">
        <v>101100</v>
      </c>
      <c r="J37" s="18" t="n">
        <v>73700</v>
      </c>
      <c r="K37" s="34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4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4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4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4" t="n">
        <v>107300</v>
      </c>
      <c r="G38" s="18" t="n">
        <v>136700</v>
      </c>
      <c r="H38" s="18" t="n">
        <v>101100</v>
      </c>
      <c r="J38" s="18" t="n">
        <v>73700</v>
      </c>
      <c r="K38" s="34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4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4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4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4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4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4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4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4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4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4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4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4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4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4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4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4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4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4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4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4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4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4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4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4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4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4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4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4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4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4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4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4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4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4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4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4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4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4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4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4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4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4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4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4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4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4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4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4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4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4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4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4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4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4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4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4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4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4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4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4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4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4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4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4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4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4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4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4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4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4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4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4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4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4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4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4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4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4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4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4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4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4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4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4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4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4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4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4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4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4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4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4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4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4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4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4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4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4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4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4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4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4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4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4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4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4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4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4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4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4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4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4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4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4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4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4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4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4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4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4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4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4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4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4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4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4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4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4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4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4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4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4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4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4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4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4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4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4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4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4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4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4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4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4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4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4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4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4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4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4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4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4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4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4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4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4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4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4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4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4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4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4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4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4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4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4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4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4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4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4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4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4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4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4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4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4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4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4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4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4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4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4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4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4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4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4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4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4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4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4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4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4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4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4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4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4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4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4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4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4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4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4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4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4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4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4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4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4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4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4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-0.1281</v>
      </c>
      <c r="F10" s="34" t="n"/>
      <c r="G10" s="18" t="n">
        <v>-0.0514</v>
      </c>
      <c r="H10" s="18" t="n">
        <v>0.1369</v>
      </c>
      <c r="I10" s="18" t="n">
        <v>0.0576</v>
      </c>
      <c r="J10" s="18" t="n">
        <v>0.152</v>
      </c>
      <c r="K10" s="34">
        <f>SUM(G10:J10)</f>
        <v/>
      </c>
      <c r="L10" s="18" t="n">
        <v>-0.0895</v>
      </c>
      <c r="M10" s="18" t="n">
        <v>0.1759</v>
      </c>
      <c r="N10" s="18" t="n">
        <v>-0.08110000000000001</v>
      </c>
      <c r="O10" s="18" t="n">
        <v>0.2299</v>
      </c>
      <c r="P10" s="34">
        <f>SUM(L10:O10)</f>
        <v/>
      </c>
      <c r="Q10" s="18" t="n">
        <v>0.0495</v>
      </c>
      <c r="R10" s="18" t="n">
        <v>0.0984</v>
      </c>
      <c r="S10" s="18" t="n">
        <v>0.0086</v>
      </c>
      <c r="T10" s="18" t="n">
        <v>0.2078</v>
      </c>
      <c r="U10" s="34">
        <f>SUM(Q10:T10)</f>
        <v/>
      </c>
      <c r="V10" s="18" t="n">
        <v>0.1807</v>
      </c>
      <c r="W10" s="18" t="n">
        <v>0.0893</v>
      </c>
      <c r="X10" s="18" t="n">
        <v>0.1344</v>
      </c>
      <c r="Y10" s="18" t="n">
        <v>0.2999</v>
      </c>
      <c r="Z10" s="34">
        <f>SUM(V10:Y10)</f>
        <v/>
      </c>
      <c r="AA10" s="18" t="n">
        <v>0.1563</v>
      </c>
      <c r="AB10" s="19" t="n">
        <v>0.2178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>
        <v>118.01</v>
      </c>
      <c r="O18" s="18" t="n">
        <v>-124.36</v>
      </c>
      <c r="P18" s="34">
        <f>SUM(L18:O18)</f>
        <v/>
      </c>
      <c r="Q18" s="18" t="n"/>
      <c r="R18" s="18" t="n"/>
      <c r="S18" s="18" t="n">
        <v>0</v>
      </c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-111.05</v>
      </c>
      <c r="F28" s="34" t="n"/>
      <c r="G28" s="18" t="n">
        <v>-201.17</v>
      </c>
      <c r="H28" s="18" t="n">
        <v>75.11</v>
      </c>
      <c r="I28" s="18" t="n">
        <v>49.75</v>
      </c>
      <c r="J28" s="18" t="n">
        <v>271.62</v>
      </c>
      <c r="K28" s="34">
        <f>SUM(G28:J28)</f>
        <v/>
      </c>
      <c r="L28" s="18" t="n">
        <v>-108.91</v>
      </c>
      <c r="M28" s="18" t="n">
        <v>437.78</v>
      </c>
      <c r="N28" s="18" t="n">
        <v>127.99</v>
      </c>
      <c r="O28" s="18" t="n">
        <v>233.79</v>
      </c>
      <c r="P28" s="34">
        <f>SUM(L28:O28)</f>
        <v/>
      </c>
      <c r="Q28" s="18" t="n">
        <v>132.46</v>
      </c>
      <c r="R28" s="18" t="n">
        <v>68.81999999999999</v>
      </c>
      <c r="S28" s="18" t="n">
        <v>21.84</v>
      </c>
      <c r="T28" s="18" t="n">
        <v>93.40000000000001</v>
      </c>
      <c r="U28" s="34">
        <f>SUM(Q28:T28)</f>
        <v/>
      </c>
      <c r="V28" s="18" t="n">
        <v>-7.12</v>
      </c>
      <c r="W28" s="18" t="n">
        <v>322.3</v>
      </c>
      <c r="X28" s="18" t="n">
        <v>266.86</v>
      </c>
      <c r="Y28" s="18" t="n">
        <v>-6.47</v>
      </c>
      <c r="Z28" s="34">
        <f>SUM(V28:Y28)</f>
        <v/>
      </c>
      <c r="AA28" s="18" t="n">
        <v>263.4</v>
      </c>
      <c r="AB28" s="19" t="n">
        <v>157.68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54.821</v>
      </c>
      <c r="F29" s="27">
        <f>E29</f>
        <v/>
      </c>
      <c r="G29" s="26" t="n">
        <v>54.898</v>
      </c>
      <c r="H29" s="26" t="n">
        <v>54.898</v>
      </c>
      <c r="I29" s="26" t="n">
        <v>54.898</v>
      </c>
      <c r="J29" s="26" t="n">
        <v>54.898</v>
      </c>
      <c r="K29" s="27">
        <f>J29</f>
        <v/>
      </c>
      <c r="L29" s="26" t="n">
        <v>54.898</v>
      </c>
      <c r="M29" s="26" t="n">
        <v>54.898</v>
      </c>
      <c r="N29" s="26" t="n">
        <v>54.898</v>
      </c>
      <c r="O29" s="26" t="n">
        <v>54.898</v>
      </c>
      <c r="P29" s="27">
        <f>O29</f>
        <v/>
      </c>
      <c r="Q29" s="26" t="n">
        <v>56.849</v>
      </c>
      <c r="R29" s="26" t="n">
        <v>56.849</v>
      </c>
      <c r="S29" s="26" t="n">
        <v>56.849</v>
      </c>
      <c r="T29" s="26" t="n">
        <v>56.849</v>
      </c>
      <c r="U29" s="27">
        <f>T29</f>
        <v/>
      </c>
      <c r="V29" s="26" t="n">
        <v>56.849</v>
      </c>
      <c r="W29" s="26" t="n">
        <v>56.849</v>
      </c>
      <c r="X29" s="26" t="n">
        <v>56.849</v>
      </c>
      <c r="Y29" s="26" t="n">
        <v>56.849</v>
      </c>
      <c r="Z29" s="27">
        <f>Y29</f>
        <v/>
      </c>
      <c r="AA29" s="26" t="n">
        <v>56.849</v>
      </c>
      <c r="AB29" s="28" t="n">
        <v>56.849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150</v>
      </c>
      <c r="F32" s="34" t="n">
        <v>150</v>
      </c>
      <c r="G32" s="18" t="n"/>
      <c r="H32" s="18" t="n"/>
      <c r="I32" s="18" t="n"/>
      <c r="J32" s="18" t="n">
        <v>150</v>
      </c>
      <c r="K32" s="34">
        <f>SUM(G32:J32)</f>
        <v/>
      </c>
      <c r="L32" s="18" t="n"/>
      <c r="M32" s="18" t="n"/>
      <c r="N32" s="18" t="n"/>
      <c r="O32" s="18" t="n">
        <v>200</v>
      </c>
      <c r="P32" s="34">
        <f>SUM(L32:O32)</f>
        <v/>
      </c>
      <c r="Q32" s="18" t="n"/>
      <c r="R32" s="18" t="n"/>
      <c r="S32" s="18" t="n"/>
      <c r="T32" s="18" t="n">
        <v>200</v>
      </c>
      <c r="U32" s="34">
        <f>SUM(Q32:T32)</f>
        <v/>
      </c>
      <c r="V32" s="18" t="n"/>
      <c r="W32" s="18" t="n"/>
      <c r="X32" s="18" t="n"/>
      <c r="Y32" s="18" t="n">
        <v>225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>
        <v>27.37</v>
      </c>
      <c r="K33" s="34">
        <f>SUM(G33:J33)</f>
        <v/>
      </c>
      <c r="L33" s="18" t="n">
        <v>24.33</v>
      </c>
      <c r="M33" s="18" t="n">
        <v>22.24</v>
      </c>
      <c r="N33" s="18" t="n">
        <v>21.32</v>
      </c>
      <c r="O33" s="18" t="n">
        <v>14.72</v>
      </c>
      <c r="P33" s="34">
        <f>SUM(L33:O33)</f>
        <v/>
      </c>
      <c r="Q33" s="18" t="n">
        <v>11.68</v>
      </c>
      <c r="R33" s="18" t="n">
        <v>43.2</v>
      </c>
      <c r="S33" s="18" t="n">
        <v>123.61</v>
      </c>
      <c r="T33" s="18" t="n">
        <v>38.04</v>
      </c>
      <c r="U33" s="34">
        <f>SUM(Q33:T33)</f>
        <v/>
      </c>
      <c r="V33" s="18" t="n">
        <v>22.03</v>
      </c>
      <c r="W33" s="18" t="n">
        <v>19.01</v>
      </c>
      <c r="X33" s="18" t="n">
        <v>22.54</v>
      </c>
      <c r="Y33" s="18" t="n">
        <v>21.96</v>
      </c>
      <c r="Z33" s="34">
        <f>SUM(V33:Y33)</f>
        <v/>
      </c>
      <c r="AA33" s="18" t="n">
        <v>20.24</v>
      </c>
      <c r="AB33" s="19" t="n">
        <v>14.96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2.02</v>
      </c>
      <c r="F34" s="34" t="n">
        <v>1.98</v>
      </c>
      <c r="G34" s="18" t="n">
        <v>2.51</v>
      </c>
      <c r="H34" s="18" t="n">
        <v>2.35</v>
      </c>
      <c r="I34" s="18" t="n">
        <v>2.36</v>
      </c>
      <c r="J34" s="18" t="n">
        <v>1.93</v>
      </c>
      <c r="K34" s="34">
        <f>SUM(G34:J34)</f>
        <v/>
      </c>
      <c r="L34" s="18" t="n">
        <v>2.13</v>
      </c>
      <c r="M34" s="18" t="n">
        <v>2.17</v>
      </c>
      <c r="N34" s="18" t="n">
        <v>2.03</v>
      </c>
      <c r="O34" s="18" t="n">
        <v>1.39</v>
      </c>
      <c r="P34" s="34">
        <f>SUM(L34:O34)</f>
        <v/>
      </c>
      <c r="Q34" s="18" t="n">
        <v>1.74</v>
      </c>
      <c r="R34" s="18" t="n">
        <v>2.38</v>
      </c>
      <c r="S34" s="18" t="n">
        <v>2.71</v>
      </c>
      <c r="T34" s="18" t="n">
        <v>2.3</v>
      </c>
      <c r="U34" s="34">
        <f>SUM(Q34:T34)</f>
        <v/>
      </c>
      <c r="V34" s="18" t="n">
        <v>2.53</v>
      </c>
      <c r="W34" s="18" t="n">
        <v>2.9</v>
      </c>
      <c r="X34" s="18" t="n">
        <v>4.38</v>
      </c>
      <c r="Y34" s="18" t="n">
        <v>4.87</v>
      </c>
      <c r="Z34" s="34">
        <f>SUM(V34:Y34)</f>
        <v/>
      </c>
      <c r="AA34" s="18" t="n">
        <v>4.58</v>
      </c>
      <c r="AB34" s="19" t="n">
        <v>3.9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매출조선기자재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조선기자재(별도 매출 — 풍력·플랜트 부문 미분리)</t>
        </is>
      </c>
      <c r="E35" s="18" t="n">
        <v>645.58</v>
      </c>
      <c r="F35" s="34" t="n"/>
      <c r="G35" s="18" t="n">
        <v>1287.2</v>
      </c>
      <c r="H35" s="18" t="n">
        <v>802.74</v>
      </c>
      <c r="I35" s="18" t="n">
        <v>688.05</v>
      </c>
      <c r="J35" s="18" t="n">
        <v>852.67</v>
      </c>
      <c r="K35" s="34">
        <f>SUM(G35:J35)</f>
        <v/>
      </c>
      <c r="L35" s="18" t="n">
        <v>601.48</v>
      </c>
      <c r="M35" s="18" t="n">
        <v>1101.28</v>
      </c>
      <c r="N35" s="18" t="n">
        <v>755.83</v>
      </c>
      <c r="O35" s="18" t="n">
        <v>1019.8</v>
      </c>
      <c r="P35" s="34">
        <f>SUM(L35:O35)</f>
        <v/>
      </c>
      <c r="Q35" s="18" t="n">
        <v>784.4</v>
      </c>
      <c r="R35" s="18" t="n">
        <v>708.48</v>
      </c>
      <c r="S35" s="18" t="n">
        <v>654.66</v>
      </c>
      <c r="T35" s="18" t="n">
        <v>969.02</v>
      </c>
      <c r="U35" s="34">
        <f>SUM(Q35:T35)</f>
        <v/>
      </c>
      <c r="V35" s="18" t="n">
        <v>900.48</v>
      </c>
      <c r="W35" s="18" t="n">
        <v>881.54</v>
      </c>
      <c r="X35" s="18" t="n">
        <v>805.89</v>
      </c>
      <c r="Y35" s="18" t="n">
        <v>1073.39</v>
      </c>
      <c r="Z35" s="34">
        <f>SUM(V35:Y35)</f>
        <v/>
      </c>
      <c r="AA35" s="18" t="n">
        <v>781.64</v>
      </c>
      <c r="AB35" s="19" t="n">
        <v>833.67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OP조선기자재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조선기자재(별도 매출 — 풍력·플랜트 부문 미분리)</t>
        </is>
      </c>
      <c r="E36" s="18" t="n">
        <v>-122.1</v>
      </c>
      <c r="F36" s="34" t="n"/>
      <c r="G36" s="18" t="n">
        <v>-64.47</v>
      </c>
      <c r="H36" s="18" t="n">
        <v>115.68</v>
      </c>
      <c r="I36" s="18" t="n">
        <v>24.32</v>
      </c>
      <c r="J36" s="18" t="n">
        <v>147.02</v>
      </c>
      <c r="K36" s="34">
        <f>SUM(G36:J36)</f>
        <v/>
      </c>
      <c r="L36" s="18" t="n">
        <v>-55.41</v>
      </c>
      <c r="M36" s="18" t="n">
        <v>189.21</v>
      </c>
      <c r="N36" s="18" t="n">
        <v>-58.23</v>
      </c>
      <c r="O36" s="18" t="n">
        <v>209.24</v>
      </c>
      <c r="P36" s="34">
        <f>SUM(L36:O36)</f>
        <v/>
      </c>
      <c r="Q36" s="18" t="n">
        <v>39.94</v>
      </c>
      <c r="R36" s="18" t="n">
        <v>69.86</v>
      </c>
      <c r="S36" s="18" t="n">
        <v>-21.82</v>
      </c>
      <c r="T36" s="18" t="n">
        <v>204.25</v>
      </c>
      <c r="U36" s="34">
        <f>SUM(Q36:T36)</f>
        <v/>
      </c>
      <c r="V36" s="18" t="n">
        <v>170.94</v>
      </c>
      <c r="W36" s="18" t="n">
        <v>78.79000000000001</v>
      </c>
      <c r="X36" s="18" t="n">
        <v>86.94</v>
      </c>
      <c r="Y36" s="18" t="n">
        <v>301.24</v>
      </c>
      <c r="Z36" s="34">
        <f>SUM(V36:Y36)</f>
        <v/>
      </c>
      <c r="AA36" s="18" t="n">
        <v>106.39</v>
      </c>
      <c r="AB36" s="19" t="n">
        <v>148.75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A37" s="12" t="inlineStr">
        <is>
          <t>매출종속사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종속사 일승·동방선기</t>
        </is>
      </c>
      <c r="E37" s="18" t="n">
        <v>306.45</v>
      </c>
      <c r="F37" s="34" t="n"/>
      <c r="G37" s="18" t="n">
        <v>211.01</v>
      </c>
      <c r="H37" s="18" t="n">
        <v>207.75</v>
      </c>
      <c r="I37" s="18" t="n">
        <v>232.53</v>
      </c>
      <c r="J37" s="18" t="n">
        <v>247.67</v>
      </c>
      <c r="K37" s="34">
        <f>SUM(G37:J37)</f>
        <v/>
      </c>
      <c r="L37" s="18" t="n">
        <v>214.07</v>
      </c>
      <c r="M37" s="18" t="n">
        <v>204.64</v>
      </c>
      <c r="N37" s="18" t="n">
        <v>153.64</v>
      </c>
      <c r="O37" s="18" t="n">
        <v>230.45</v>
      </c>
      <c r="P37" s="34">
        <f>SUM(L37:O37)</f>
        <v/>
      </c>
      <c r="Q37" s="18" t="n">
        <v>155.7</v>
      </c>
      <c r="R37" s="18" t="n">
        <v>191.76</v>
      </c>
      <c r="S37" s="18" t="n">
        <v>217.32</v>
      </c>
      <c r="T37" s="18" t="n">
        <v>310.31</v>
      </c>
      <c r="U37" s="34">
        <f>SUM(Q37:T37)</f>
        <v/>
      </c>
      <c r="V37" s="18" t="n">
        <v>184.98</v>
      </c>
      <c r="W37" s="18" t="n">
        <v>204.57</v>
      </c>
      <c r="X37" s="18" t="n">
        <v>253.05</v>
      </c>
      <c r="Y37" s="18" t="n">
        <v>282.95</v>
      </c>
      <c r="Z37" s="34">
        <f>SUM(V37:Y37)</f>
        <v/>
      </c>
      <c r="AA37" s="18" t="n">
        <v>212.76</v>
      </c>
      <c r="AB37" s="19" t="n">
        <v>278.89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OP종속사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종속사 일승·동방선기</t>
        </is>
      </c>
      <c r="E38" s="18" t="n">
        <v>29.26</v>
      </c>
      <c r="F38" s="34" t="n"/>
      <c r="G38" s="18" t="n">
        <v>-7.71</v>
      </c>
      <c r="H38" s="18" t="n">
        <v>10.59</v>
      </c>
      <c r="I38" s="18" t="n">
        <v>28.43</v>
      </c>
      <c r="J38" s="18" t="n">
        <v>14.97</v>
      </c>
      <c r="K38" s="34">
        <f>SUM(G38:J38)</f>
        <v/>
      </c>
      <c r="L38" s="18" t="n">
        <v>11.48</v>
      </c>
      <c r="M38" s="18" t="n">
        <v>13.17</v>
      </c>
      <c r="N38" s="18" t="n">
        <v>0</v>
      </c>
      <c r="O38" s="18" t="n">
        <v>62.42</v>
      </c>
      <c r="P38" s="34">
        <f>SUM(L38:O38)</f>
        <v/>
      </c>
      <c r="Q38" s="18" t="n">
        <v>-1.09</v>
      </c>
      <c r="R38" s="18" t="n">
        <v>17.45</v>
      </c>
      <c r="S38" s="18" t="n">
        <v>34.81</v>
      </c>
      <c r="T38" s="18" t="n">
        <v>58.79</v>
      </c>
      <c r="U38" s="34">
        <f>SUM(Q38:T38)</f>
        <v/>
      </c>
      <c r="V38" s="18" t="n">
        <v>11.24</v>
      </c>
      <c r="W38" s="18" t="n">
        <v>19.79</v>
      </c>
      <c r="X38" s="18" t="n">
        <v>63.72</v>
      </c>
      <c r="Y38" s="18" t="n">
        <v>106.78</v>
      </c>
      <c r="Z38" s="34">
        <f>SUM(V38:Y38)</f>
        <v/>
      </c>
      <c r="AA38" s="18" t="n">
        <v>38.59</v>
      </c>
      <c r="AB38" s="19" t="n">
        <v>98.38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A39" s="12" t="inlineStr">
        <is>
          <t>매출연결조정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연결조정(세진베트남·내부거래 잔차)</t>
        </is>
      </c>
      <c r="E39" s="18" t="n">
        <v>-133.01</v>
      </c>
      <c r="F39" s="34" t="n"/>
      <c r="G39" s="18" t="n">
        <v>-98.98</v>
      </c>
      <c r="H39" s="18" t="n">
        <v>-121.76</v>
      </c>
      <c r="I39" s="18" t="n">
        <v>-121.53</v>
      </c>
      <c r="J39" s="18" t="n">
        <v>-88.43000000000001</v>
      </c>
      <c r="K39" s="34">
        <f>SUM(G39:J39)</f>
        <v/>
      </c>
      <c r="L39" s="18" t="n">
        <v>-98.53</v>
      </c>
      <c r="M39" s="18" t="n">
        <v>-101</v>
      </c>
      <c r="N39" s="18" t="n">
        <v>-89.59999999999999</v>
      </c>
      <c r="O39" s="18" t="n">
        <v>-144.1</v>
      </c>
      <c r="P39" s="34">
        <f>SUM(L39:O39)</f>
        <v/>
      </c>
      <c r="Q39" s="18" t="n">
        <v>-79.31999999999999</v>
      </c>
      <c r="R39" s="18" t="n">
        <v>-91.86</v>
      </c>
      <c r="S39" s="18" t="n">
        <v>-130.47</v>
      </c>
      <c r="T39" s="18" t="n">
        <v>-166.24</v>
      </c>
      <c r="U39" s="34">
        <f>SUM(Q39:T39)</f>
        <v/>
      </c>
      <c r="V39" s="18" t="n">
        <v>-100.5</v>
      </c>
      <c r="W39" s="18" t="n">
        <v>-104.4</v>
      </c>
      <c r="X39" s="18" t="n">
        <v>-155.26</v>
      </c>
      <c r="Y39" s="18" t="n">
        <v>-199.82</v>
      </c>
      <c r="Z39" s="34">
        <f>SUM(V39:Y39)</f>
        <v/>
      </c>
      <c r="AA39" s="18" t="n">
        <v>-121.97</v>
      </c>
      <c r="AB39" s="19" t="n">
        <v>-177.58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OP연결조정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연결조정(세진베트남·내부거래 잔차)</t>
        </is>
      </c>
      <c r="E40" s="18" t="n">
        <v>-12.09</v>
      </c>
      <c r="F40" s="34" t="n"/>
      <c r="G40" s="18" t="n">
        <v>0.25</v>
      </c>
      <c r="H40" s="18" t="n">
        <v>-4.6</v>
      </c>
      <c r="I40" s="18" t="n">
        <v>-6.75</v>
      </c>
      <c r="J40" s="18" t="n">
        <v>-8.220000000000001</v>
      </c>
      <c r="K40" s="34">
        <f>SUM(G40:J40)</f>
        <v/>
      </c>
      <c r="L40" s="18" t="n">
        <v>-20.27</v>
      </c>
      <c r="M40" s="18" t="n">
        <v>9.57</v>
      </c>
      <c r="N40" s="18" t="n">
        <v>-8.25</v>
      </c>
      <c r="O40" s="18" t="n">
        <v>-17.38</v>
      </c>
      <c r="P40" s="34">
        <f>SUM(L40:O40)</f>
        <v/>
      </c>
      <c r="Q40" s="18" t="n">
        <v>3.75</v>
      </c>
      <c r="R40" s="18" t="n">
        <v>-7.8</v>
      </c>
      <c r="S40" s="18" t="n">
        <v>-6.6</v>
      </c>
      <c r="T40" s="18" t="n">
        <v>-31.74</v>
      </c>
      <c r="U40" s="34">
        <f>SUM(Q40:T40)</f>
        <v/>
      </c>
      <c r="V40" s="18" t="n">
        <v>-4.17</v>
      </c>
      <c r="W40" s="18" t="n">
        <v>-10.93</v>
      </c>
      <c r="X40" s="18" t="n">
        <v>-29.23</v>
      </c>
      <c r="Y40" s="18" t="n">
        <v>-61.22</v>
      </c>
      <c r="Z40" s="34">
        <f>SUM(V40:Y40)</f>
        <v/>
      </c>
      <c r="AA40" s="18" t="n">
        <v>-8.59</v>
      </c>
      <c r="AB40" s="19" t="n">
        <v>-43.45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IFERROR(E17/E5,"")</f>
        <v/>
      </c>
      <c r="F43" s="22">
        <f>IFERROR(F17/F5,"")</f>
        <v/>
      </c>
      <c r="G43" s="21">
        <f>IFERROR(G17/G5,"")</f>
        <v/>
      </c>
      <c r="H43" s="21">
        <f>IFERROR(H17/H5,"")</f>
        <v/>
      </c>
      <c r="I43" s="21">
        <f>IFERROR(I17/I5,"")</f>
        <v/>
      </c>
      <c r="J43" s="21">
        <f>IFERROR(J17/J5,"")</f>
        <v/>
      </c>
      <c r="K43" s="22">
        <f>IFERROR(K17/K5,"")</f>
        <v/>
      </c>
      <c r="L43" s="21">
        <f>IFERROR(L17/L5,"")</f>
        <v/>
      </c>
      <c r="M43" s="21">
        <f>IFERROR(M17/M5,"")</f>
        <v/>
      </c>
      <c r="N43" s="21">
        <f>IFERROR(N17/N5,"")</f>
        <v/>
      </c>
      <c r="O43" s="21">
        <f>IFERROR(O17/O5,"")</f>
        <v/>
      </c>
      <c r="P43" s="22">
        <f>IFERROR(P17/P5,"")</f>
        <v/>
      </c>
      <c r="Q43" s="21">
        <f>IFERROR(Q17/Q5,"")</f>
        <v/>
      </c>
      <c r="R43" s="21">
        <f>IFERROR(R17/R5,"")</f>
        <v/>
      </c>
      <c r="S43" s="21">
        <f>IFERROR(S17/S5,"")</f>
        <v/>
      </c>
      <c r="T43" s="21">
        <f>IFERROR(T17/T5,"")</f>
        <v/>
      </c>
      <c r="U43" s="22">
        <f>IFERROR(U17/U5,"")</f>
        <v/>
      </c>
      <c r="V43" s="21">
        <f>IFERROR(V17/V5,"")</f>
        <v/>
      </c>
      <c r="W43" s="21">
        <f>IFERROR(W17/W5,"")</f>
        <v/>
      </c>
      <c r="X43" s="21">
        <f>IFERROR(X17/X5,"")</f>
        <v/>
      </c>
      <c r="Y43" s="21">
        <f>IFERROR(Y17/Y5,"")</f>
        <v/>
      </c>
      <c r="Z43" s="22">
        <f>IFERROR(Z17/Z5,"")</f>
        <v/>
      </c>
      <c r="AA43" s="21">
        <f>IFERROR(AA17/AA5,"")</f>
        <v/>
      </c>
      <c r="AB43" s="23">
        <f>IFERROR(AB17/AB5,"")</f>
        <v/>
      </c>
      <c r="AC43" s="31">
        <f>IFERROR(AC17/AC5,"")</f>
        <v/>
      </c>
      <c r="AD43" s="31">
        <f>IFERROR(AD17/AD5,"")</f>
        <v/>
      </c>
      <c r="AE43" s="25">
        <f>IFERROR(AE17/AE5,"")</f>
        <v/>
      </c>
      <c r="AF43" s="31">
        <f>IFERROR(AF17/AF5,"")</f>
        <v/>
      </c>
      <c r="AG43" s="31">
        <f>IFERROR(AG17/AG5,"")</f>
        <v/>
      </c>
      <c r="AH43" s="31">
        <f>IFERROR(AH17/AH5,"")</f>
        <v/>
      </c>
      <c r="AI43" s="31">
        <f>IFERROR(AI17/AI5,"")</f>
        <v/>
      </c>
      <c r="AJ43" s="25">
        <f>IFERROR(AJ17/AJ5,"")</f>
        <v/>
      </c>
      <c r="AK43" s="31">
        <f>IFERROR(AK17/AK5,"")</f>
        <v/>
      </c>
      <c r="AL43" s="31">
        <f>IFERROR(AL17/AL5,"")</f>
        <v/>
      </c>
      <c r="AM43" s="31">
        <f>IFERROR(AM17/AM5,"")</f>
        <v/>
      </c>
      <c r="AN43" s="31">
        <f>IFERROR(AN17/AN5,"")</f>
        <v/>
      </c>
      <c r="AO43" s="25">
        <f>IFERROR(AO17/AO5,"")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매출조선기자재</t>
        </is>
      </c>
      <c r="D35" t="inlineStr">
        <is>
          <t>매출 조선기자재(별도 매출 — 풍력·플랜트 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OP조선기자재</t>
        </is>
      </c>
      <c r="D36" t="inlineStr">
        <is>
          <t>OP 조선기자재(별도 매출 — 풍력·플랜트 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매출종속사</t>
        </is>
      </c>
      <c r="D37" t="inlineStr">
        <is>
          <t>매출 종속사 일승·동방선기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OP종속사</t>
        </is>
      </c>
      <c r="D38" t="inlineStr">
        <is>
          <t>OP 종속사 일승·동방선기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매출연결조정</t>
        </is>
      </c>
      <c r="D39" t="inlineStr">
        <is>
          <t>매출 연결조정(세진베트남·내부거래 잔차)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OP연결조정</t>
        </is>
      </c>
      <c r="D40" t="inlineStr">
        <is>
          <t>OP 연결조정(세진베트남·내부거래 잔차)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IFERROR(I17/E17-1,"")</f>
        <v/>
      </c>
      <c r="J45" s="21">
        <f>IFERROR(J17/F17-1,"")</f>
        <v/>
      </c>
      <c r="K45" s="21">
        <f>IFERROR(K17/G17-1,"")</f>
        <v/>
      </c>
      <c r="L45" s="21">
        <f>IFERROR(L17/H17-1,"")</f>
        <v/>
      </c>
      <c r="M45" s="21">
        <f>IFERROR(M17/I17-1,"")</f>
        <v/>
      </c>
      <c r="N45" s="21">
        <f>IFERROR(N17/J17-1,"")</f>
        <v/>
      </c>
      <c r="O45" s="21">
        <f>IFERROR(O17/K17-1,"")</f>
        <v/>
      </c>
      <c r="P45" s="21">
        <f>IFERROR(P17/L17-1,"")</f>
        <v/>
      </c>
      <c r="Q45" s="21">
        <f>IFERROR(Q17/M17-1,"")</f>
        <v/>
      </c>
      <c r="R45" s="21">
        <f>IFERROR(R17/N17-1,"")</f>
        <v/>
      </c>
      <c r="S45" s="21">
        <f>IFERROR(S17/O17-1,"")</f>
        <v/>
      </c>
      <c r="T45" s="21">
        <f>IFERROR(T17/P17-1,"")</f>
        <v/>
      </c>
      <c r="U45" s="21">
        <f>IFERROR(U17/Q17-1,"")</f>
        <v/>
      </c>
      <c r="V45" s="21">
        <f>IFERROR(V17/R17-1,"")</f>
        <v/>
      </c>
      <c r="W45" s="42">
        <f>IFERROR(W17/S17-1,"")</f>
        <v/>
      </c>
      <c r="X45" s="31">
        <f>IFERROR(X17/T17-1,"")</f>
        <v/>
      </c>
      <c r="Y45" s="31">
        <f>IFERROR(Y17/U17-1,"")</f>
        <v/>
      </c>
      <c r="Z45" s="31">
        <f>IFERROR(Z17/V17-1,"")</f>
        <v/>
      </c>
      <c r="AA45" s="31">
        <f>IFERROR(AA17/W17-1,"")</f>
        <v/>
      </c>
      <c r="AB45" s="31">
        <f>IFERROR(AB17/X17-1,"")</f>
        <v/>
      </c>
      <c r="AC45" s="31">
        <f>IFERROR(AC17/Y17-1,"")</f>
        <v/>
      </c>
      <c r="AD45" s="31">
        <f>IFERROR(AD17/Z17-1,"")</f>
        <v/>
      </c>
      <c r="AE45" s="31">
        <f>IFERROR(AE17/AA17-1,"")</f>
        <v/>
      </c>
      <c r="AF45" s="31">
        <f>IFERROR(AF17/AB17-1,"")</f>
        <v/>
      </c>
      <c r="AG45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매출조선기자재</t>
        </is>
      </c>
      <c r="D35" t="inlineStr">
        <is>
          <t>매출 조선기자재(별도 매출 — 풍력·플랜트 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OP조선기자재</t>
        </is>
      </c>
      <c r="D36" t="inlineStr">
        <is>
          <t>OP 조선기자재(별도 매출 — 풍력·플랜트 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매출종속사</t>
        </is>
      </c>
      <c r="D37" t="inlineStr">
        <is>
          <t>매출 종속사 일승·동방선기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OP종속사</t>
        </is>
      </c>
      <c r="D38" t="inlineStr">
        <is>
          <t>OP 종속사 일승·동방선기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매출연결조정</t>
        </is>
      </c>
      <c r="D39" t="inlineStr">
        <is>
          <t>매출 연결조정(세진베트남·내부거래 잔차)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OP연결조정</t>
        </is>
      </c>
      <c r="D40" t="inlineStr">
        <is>
          <t>OP 연결조정(세진베트남·내부거래 잔차)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IFERROR(F17/E17-1,"")</f>
        <v/>
      </c>
      <c r="G45" s="21">
        <f>IFERROR(G17/F17-1,"")</f>
        <v/>
      </c>
      <c r="H45" s="21">
        <f>IFERROR(H17/G17-1,"")</f>
        <v/>
      </c>
      <c r="I45" s="42">
        <f>IFERROR(I17/H17-1,"")</f>
        <v/>
      </c>
      <c r="J45" s="31">
        <f>IFERROR(J17/I17-1,"")</f>
        <v/>
      </c>
      <c r="K45" s="31">
        <f>IFERROR(K17/J17-1,"")</f>
        <v/>
      </c>
      <c r="L45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884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10.97</v>
      </c>
    </row>
    <row r="32">
      <c r="C32" s="2" t="inlineStr">
        <is>
          <t>pbr_now</t>
        </is>
      </c>
      <c r="D32" t="n">
        <v>2.24</v>
      </c>
    </row>
    <row r="33">
      <c r="C33" s="2" t="inlineStr">
        <is>
          <t>roe_fwd</t>
        </is>
      </c>
      <c r="D33" t="n">
        <v>0.2046</v>
      </c>
    </row>
    <row r="34">
      <c r="C34" s="2" t="inlineStr">
        <is>
          <t>fair_pbr</t>
        </is>
      </c>
      <c r="D34" t="n">
        <v>2.27</v>
      </c>
    </row>
    <row r="35">
      <c r="C35" s="2" t="inlineStr">
        <is>
          <t>fair_value_pbr</t>
        </is>
      </c>
      <c r="D35" t="n">
        <v>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