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351억 × 잔차/종속사 매출 최근 4분기(2025Q3~2026Q2) 중위 -0.6252(내부거래·베트남)</t>
      </text>
    </comment>
    <comment ref="AF43" authorId="0" shapeId="0">
      <text>
        <t>모델값 역산(implied): v / 매출종속사
종속사 매출 246억 × 잔차/종속사 매출 최근 4분기(2025Q3~2026Q2) 중위 -0.6252(내부거래·베트남)</t>
      </text>
    </comment>
    <comment ref="AG43" authorId="0" shapeId="0">
      <text>
        <t>모델값 역산(implied): v / 매출종속사
종속사 매출 275억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412억 × 잔차/종속사 매출 최근 4분기(2025Q3~2026Q2) 중위 -0.6252(내부거래·베트남)</t>
      </text>
    </comment>
    <comment ref="AK43" authorId="0" shapeId="0">
      <text>
        <t>모델값 역산(implied): v / 매출종속사
종속사 매출 296억 × 잔차/종속사 매출 최근 4분기(2025Q3~2026Q2) 중위 -0.6252(내부거래·베트남)</t>
      </text>
    </comment>
    <comment ref="AL43" authorId="0" shapeId="0">
      <text>
        <t>모델값 역산(implied): v / 매출종속사
종속사 매출 340억 × 잔차/종속사 매출 최근 4분기(2025Q3~2026Q2) 중위 -0.6252(내부거래·베트남)</t>
      </text>
    </comment>
    <comment ref="AM43" authorId="0" shapeId="0">
      <text>
        <t>모델값 역산(implied): v / 매출종속사
종속사 매출 370억 × 잔차/종속사 매출 최근 4분기(2025Q3~2026Q2) 중위 -0.6252(내부거래·베트남)</t>
      </text>
    </comment>
    <comment ref="AN43" authorId="0" shapeId="0">
      <text>
        <t>모델값 역산(implied): v / 매출종속사
종속사 매출 515억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[identity]</t>
      </text>
    </comment>
    <comment ref="AD5" authorId="0" shapeId="0">
      <text>
        <t>추정: 별도(조선기자재) 1101 + 종속사 351 + 연결조정 -219
[identity]</t>
      </text>
    </comment>
    <comment ref="AF5" authorId="0" shapeId="0">
      <text>
        <t>추정: 별도(조선기자재) 802 + 종속사 246 + 연결조정 -154
[identity]</t>
      </text>
    </comment>
    <comment ref="AG5" authorId="0" shapeId="0">
      <text>
        <t>추정: 별도(조선기자재) 855 + 종속사 275 + 연결조정 -172
[identity]</t>
      </text>
    </comment>
    <comment ref="AH5" authorId="0" shapeId="0">
      <text>
        <t>추정: 별도(조선기자재) 838 + 종속사 295 + 연결조정 -184
[identity]</t>
      </text>
    </comment>
    <comment ref="AI5" authorId="0" shapeId="0">
      <text>
        <t>추정: 별도(조선기자재) 1116 + 종속사 412 + 연결조정 -258
[identity]</t>
      </text>
    </comment>
    <comment ref="AK5" authorId="0" shapeId="0">
      <text>
        <t>추정: 별도(조선기자재) 813 + 종속사 296 + 연결조정 -185
[identity]</t>
      </text>
    </comment>
    <comment ref="AL5" authorId="0" shapeId="0">
      <text>
        <t>추정: 별도(조선기자재) 867 + 종속사 340 + 연결조정 -213
[identity]</t>
      </text>
    </comment>
    <comment ref="AM5" authorId="0" shapeId="0">
      <text>
        <t>추정: 별도(조선기자재) 843 + 종속사 370 + 연결조정 -232
[identity]</t>
      </text>
    </comment>
    <comment ref="AN5" authorId="0" shapeId="0">
      <text>
        <t>추정: 별도(조선기자재) 1123 + 종속사 515 + 연결조정 -322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275억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412억 × 잔차/종속사 매출 최근 4분기(2025Q3~2026Q2) 중위 -0.6252(내부거래·베트남)
[ratio]</t>
      </text>
    </comment>
    <comment ref="AK41" authorId="0" shapeId="0">
      <text>
        <t>추정: 종속사 매출 296억 × 잔차/종속사 매출 최근 4분기(2025Q3~2026Q2) 중위 -0.6252(내부거래·베트남)
[ratio]</t>
      </text>
    </comment>
    <comment ref="AL41" authorId="0" shapeId="0">
      <text>
        <t>추정: 종속사 매출 340억 × 잔차/종속사 매출 최근 4분기(2025Q3~2026Q2) 중위 -0.6252(내부거래·베트남)
[ratio]</t>
      </text>
    </comment>
    <comment ref="AM41" authorId="0" shapeId="0">
      <text>
        <t>추정: 종속사 매출 370억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0.001335022</v>
      </c>
      <c r="AD29" s="29" t="n">
        <v>0.004677742</v>
      </c>
      <c r="AE29" s="30" t="n"/>
      <c r="AF29" s="29" t="n">
        <v>-0.00291662</v>
      </c>
      <c r="AG29" s="29" t="n">
        <v>127.909777243</v>
      </c>
      <c r="AH29" s="29" t="n">
        <v>0.005691791</v>
      </c>
      <c r="AI29" s="29" t="n">
        <v>-0.00593104</v>
      </c>
      <c r="AJ29" s="30" t="n"/>
      <c r="AK29" s="29" t="n">
        <v>0.006522139</v>
      </c>
      <c r="AL29" s="29" t="n">
        <v>127.906947917</v>
      </c>
      <c r="AM29" s="29" t="n">
        <v>0.007278873</v>
      </c>
      <c r="AN29" s="29" t="n">
        <v>-0.002883059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0.002654398</v>
      </c>
      <c r="AD30" s="29" t="n">
        <v>0.003724228</v>
      </c>
      <c r="AE30" s="30" t="n"/>
      <c r="AF30" s="29" t="n">
        <v>-0.002869747</v>
      </c>
      <c r="AG30" s="29" t="n">
        <v>127.908105695</v>
      </c>
      <c r="AH30" s="29" t="n">
        <v>-0.008565776000000001</v>
      </c>
      <c r="AI30" s="29" t="n">
        <v>0.004322267</v>
      </c>
      <c r="AJ30" s="30" t="n"/>
      <c r="AK30" s="29" t="n">
        <v>-0.005065962</v>
      </c>
      <c r="AL30" s="29" t="n">
        <v>127.911834566</v>
      </c>
      <c r="AM30" s="29" t="n">
        <v>0.002660519</v>
      </c>
      <c r="AN30" s="29" t="n">
        <v>-0.002717642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-0.07801807299999999</v>
      </c>
      <c r="AD32" s="32" t="n">
        <v>-0.116303507</v>
      </c>
      <c r="AE32" s="25" t="n"/>
      <c r="AF32" s="32" t="n">
        <v>-0.09445086699999999</v>
      </c>
      <c r="AG32" s="32" t="n">
        <v>0.003565501</v>
      </c>
      <c r="AH32" s="32" t="n">
        <v>-0.111346351</v>
      </c>
      <c r="AI32" s="32" t="n">
        <v>-0.171106044</v>
      </c>
      <c r="AJ32" s="25" t="n"/>
      <c r="AK32" s="32" t="n">
        <v>-0.149633011</v>
      </c>
      <c r="AL32" s="32" t="n">
        <v>-0.005642997</v>
      </c>
      <c r="AM32" s="32" t="n">
        <v>-0.189916261</v>
      </c>
      <c r="AN32" s="32" t="n">
        <v>-0.3181458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0.083657724</v>
      </c>
      <c r="AD33" s="32" t="n">
        <v>0.106106906</v>
      </c>
      <c r="AE33" s="25" t="n"/>
      <c r="AF33" s="32" t="n">
        <v>0.06884949899999999</v>
      </c>
      <c r="AG33" s="32" t="n">
        <v>-0.002207406</v>
      </c>
      <c r="AH33" s="32" t="n">
        <v>0.069156621</v>
      </c>
      <c r="AI33" s="32" t="n">
        <v>0.088336518</v>
      </c>
      <c r="AJ33" s="25" t="n"/>
      <c r="AK33" s="32" t="n">
        <v>0.058826953</v>
      </c>
      <c r="AL33" s="32" t="n">
        <v>0.00178645</v>
      </c>
      <c r="AM33" s="32" t="n">
        <v>0.05951989</v>
      </c>
      <c r="AN33" s="32" t="n">
        <v>0.076239551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-0.012566686</v>
      </c>
      <c r="AD41" s="32" t="n">
        <v>0.240113094</v>
      </c>
      <c r="AE41" s="25" t="n"/>
      <c r="AF41" s="32" t="n">
        <v>0.157172401</v>
      </c>
      <c r="AG41" s="32" t="n">
        <v>-0.012513894</v>
      </c>
      <c r="AH41" s="32" t="n">
        <v>0.180253732</v>
      </c>
      <c r="AI41" s="32" t="n">
        <v>0.175097609</v>
      </c>
      <c r="AJ41" s="25" t="n"/>
      <c r="AK41" s="32" t="n">
        <v>0.203533712</v>
      </c>
      <c r="AL41" s="32" t="n">
        <v>0.235984023</v>
      </c>
      <c r="AM41" s="32" t="n">
        <v>0.255942491</v>
      </c>
      <c r="AN41" s="32" t="n">
        <v>0.248684306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0.188177852</v>
      </c>
      <c r="AD42" s="32" t="n">
        <v>0.18820713</v>
      </c>
      <c r="AE42" s="25">
        <f>IFERROR(subQ!AE40/subQ!AE39,"")</f>
        <v/>
      </c>
      <c r="AF42" s="32" t="n">
        <v>0.188748985</v>
      </c>
      <c r="AG42" s="32" t="n">
        <v>0.188598402</v>
      </c>
      <c r="AH42" s="32" t="n">
        <v>0.188159099</v>
      </c>
      <c r="AI42" s="32" t="n">
        <v>0.188223025</v>
      </c>
      <c r="AJ42" s="25">
        <f>IFERROR(subQ!AJ40/subQ!AJ39,"")</f>
        <v/>
      </c>
      <c r="AK42" s="32" t="n">
        <v>0.188721272</v>
      </c>
      <c r="AL42" s="32" t="n">
        <v>0.188577808</v>
      </c>
      <c r="AM42" s="32" t="n">
        <v>0.188153028</v>
      </c>
      <c r="AN42" s="32" t="n">
        <v>0.188202847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-0.625165086</v>
      </c>
      <c r="AD43" s="32" t="n">
        <v>-0.625153182</v>
      </c>
      <c r="AE43" s="25">
        <f>IFERROR(subQ!AE41/subQ!AE39,"")</f>
        <v/>
      </c>
      <c r="AF43" s="32" t="n">
        <v>-0.625142161</v>
      </c>
      <c r="AG43" s="32" t="n">
        <v>-0.625163399</v>
      </c>
      <c r="AH43" s="32" t="n">
        <v>-0.625139873</v>
      </c>
      <c r="AI43" s="32" t="n">
        <v>-0.625154609</v>
      </c>
      <c r="AJ43" s="25">
        <f>IFERROR(subQ!AJ41/subQ!AJ39,"")</f>
        <v/>
      </c>
      <c r="AK43" s="32" t="n">
        <v>-0.625156087</v>
      </c>
      <c r="AL43" s="32" t="n">
        <v>-0.6251652519999999</v>
      </c>
      <c r="AM43" s="32" t="n">
        <v>-0.625151867</v>
      </c>
      <c r="AN43" s="32" t="n">
        <v>-0.625148096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0.140323923</v>
      </c>
      <c r="AD44" s="32" t="n">
        <v>0.143462801</v>
      </c>
      <c r="AE44" s="25">
        <f>IFERROR(subQ!AE42/subQ!AE41,"")</f>
        <v/>
      </c>
      <c r="AF44" s="32" t="n">
        <v>0.142225976</v>
      </c>
      <c r="AG44" s="32" t="n">
        <v>0.144682581</v>
      </c>
      <c r="AH44" s="32" t="n">
        <v>0.148784986</v>
      </c>
      <c r="AI44" s="32" t="n">
        <v>0.151297668</v>
      </c>
      <c r="AJ44" s="25">
        <f>IFERROR(subQ!AJ42/subQ!AJ41,"")</f>
        <v/>
      </c>
      <c r="AK44" s="32" t="n">
        <v>0.151425178</v>
      </c>
      <c r="AL44" s="32" t="n">
        <v>0.154746241</v>
      </c>
      <c r="AM44" s="32" t="n">
        <v>0.158928957</v>
      </c>
      <c r="AN44" s="32" t="n">
        <v>0.16071706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9310</v>
      </c>
      <c r="E47" s="2" t="inlineStr">
        <is>
          <t>원 — 네이버 정규장 종가(aik 확정종가 대조 · aik 10,010원)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0.1911555344643492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0.06131805761342098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0.8217460177769955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0.03609109701823326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0.03869594437146839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7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7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7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7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7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7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7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7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7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7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7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7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7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7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7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7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7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7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7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7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7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7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7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7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7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7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7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7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7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7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7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7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7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7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7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7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7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7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7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7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7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7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7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7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7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7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7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7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7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7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7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7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7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7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7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7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7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7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7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7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7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7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7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7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7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7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7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7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7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7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7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7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7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7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7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7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7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7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7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7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7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7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7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7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7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7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7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7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7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7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7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7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7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7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7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7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7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7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7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7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7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7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7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7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7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7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7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7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7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7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7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7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7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7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7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7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7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7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7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7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7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7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7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7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7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7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7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7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7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7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7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7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7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7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7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7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7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7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7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7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7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7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7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7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7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7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7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7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7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7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7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7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7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7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7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7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7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7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7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7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7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7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7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7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7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7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7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7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7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7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7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7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7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7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7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7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7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7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7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7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7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7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7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7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7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7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7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7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7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7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7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7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7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7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7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7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7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7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7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7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7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7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7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7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7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7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7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7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7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7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7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7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7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7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7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7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7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7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7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7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7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7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7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7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7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7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7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7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7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7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7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7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7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7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7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7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7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7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7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7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742.5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12.54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