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353억 × 잔차/종속사 매출 최근 4분기(2025Q3~2026Q2) 중위 -0.6252(내부거래·베트남)</t>
      </text>
    </comment>
    <comment ref="AF43" authorId="0" shapeId="0">
      <text>
        <t>모델값 역산(implied): v / 매출종속사
종속사 매출 248억 × 잔차/종속사 매출 최근 4분기(2025Q3~2026Q2) 중위 -0.6252(내부거래·베트남)</t>
      </text>
    </comment>
    <comment ref="AG43" authorId="0" shapeId="0">
      <text>
        <t>모델값 역산(implied): v / 매출종속사
종속사 매출 277억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295억 × 잔차/종속사 매출 최근 4분기(2025Q3~2026Q2) 중위 -0.6252(내부거래·베트남)</t>
      </text>
    </comment>
    <comment ref="AL43" authorId="0" shapeId="0">
      <text>
        <t>모델값 역산(implied): v / 매출종속사
종속사 매출 338억 × 잔차/종속사 매출 최근 4분기(2025Q3~2026Q2) 중위 -0.6252(내부거래·베트남)</t>
      </text>
    </comment>
    <comment ref="AM43" authorId="0" shapeId="0">
      <text>
        <t>모델값 역산(implied): v / 매출종속사
종속사 매출 368억 × 잔차/종속사 매출 최근 4분기(2025Q3~2026Q2) 중위 -0.6252(내부거래·베트남)</t>
      </text>
    </comment>
    <comment ref="AN43" authorId="0" shapeId="0">
      <text>
        <t>모델값 역산(implied): v / 매출종속사
종속사 매출 512억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353 + 연결조정 -220
[identity]</t>
      </text>
    </comment>
    <comment ref="AF5" authorId="0" shapeId="0">
      <text>
        <t>추정: 별도(조선기자재) 802 + 종속사 248 + 연결조정 -155
[identity]</t>
      </text>
    </comment>
    <comment ref="AG5" authorId="0" shapeId="0">
      <text>
        <t>추정: 별도(조선기자재) 855 + 종속사 277 + 연결조정 -173
[identity]</t>
      </text>
    </comment>
    <comment ref="AH5" authorId="0" shapeId="0">
      <text>
        <t>추정: 별도(조선기자재) 838 + 종속사 295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295 + 연결조정 -184
[identity]</t>
      </text>
    </comment>
    <comment ref="AL5" authorId="0" shapeId="0">
      <text>
        <t>추정: 별도(조선기자재) 867 + 종속사 338 + 연결조정 -211
[identity]</t>
      </text>
    </comment>
    <comment ref="AM5" authorId="0" shapeId="0">
      <text>
        <t>추정: 별도(조선기자재) 843 + 종속사 368 + 연결조정 -230
[identity]</t>
      </text>
    </comment>
    <comment ref="AN5" authorId="0" shapeId="0">
      <text>
        <t>추정: 별도(조선기자재) 1123 + 종속사 512 + 연결조정 -320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353억 × 잔차/종속사 매출 최근 4분기(2025Q3~2026Q2) 중위 -0.6252(내부거래·베트남)
[ratio]</t>
      </text>
    </comment>
    <comment ref="AF41" authorId="0" shapeId="0">
      <text>
        <t>추정: 종속사 매출 248억 × 잔차/종속사 매출 최근 4분기(2025Q3~2026Q2) 중위 -0.6252(내부거래·베트남)
[ratio]</t>
      </text>
    </comment>
    <comment ref="AG41" authorId="0" shapeId="0">
      <text>
        <t>추정: 종속사 매출 277억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295억 × 잔차/종속사 매출 최근 4분기(2025Q3~2026Q2) 중위 -0.6252(내부거래·베트남)
[ratio]</t>
      </text>
    </comment>
    <comment ref="AL41" authorId="0" shapeId="0">
      <text>
        <t>추정: 종속사 매출 338억 × 잔차/종속사 매출 최근 4분기(2025Q3~2026Q2) 중위 -0.6252(내부거래·베트남)
[ratio]</t>
      </text>
    </comment>
    <comment ref="AM41" authorId="0" shapeId="0">
      <text>
        <t>추정: 종속사 매출 368억 × 잔차/종속사 매출 최근 4분기(2025Q3~2026Q2) 중위 -0.6252(내부거래·베트남)
[ratio]</t>
      </text>
    </comment>
    <comment ref="AN41" authorId="0" shapeId="0">
      <text>
        <t>추정: 종속사 매출 512억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9310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-0.004745846</v>
      </c>
      <c r="AD29" s="29" t="n">
        <v>0.003166362</v>
      </c>
      <c r="AE29" s="30" t="n"/>
      <c r="AF29" s="29" t="n">
        <v>0.000747268</v>
      </c>
      <c r="AG29" s="29" t="n">
        <v>127.913976859</v>
      </c>
      <c r="AH29" s="29" t="n">
        <v>0.001884205</v>
      </c>
      <c r="AI29" s="29" t="n">
        <v>-0.000694683</v>
      </c>
      <c r="AJ29" s="30" t="n"/>
      <c r="AK29" s="29" t="n">
        <v>-0.000389381</v>
      </c>
      <c r="AL29" s="29" t="n">
        <v>127.915209983</v>
      </c>
      <c r="AM29" s="29" t="n">
        <v>0.006599894</v>
      </c>
      <c r="AN29" s="29" t="n">
        <v>-0.009077514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-0.005677755</v>
      </c>
      <c r="AD30" s="29" t="n">
        <v>0.009206343000000001</v>
      </c>
      <c r="AE30" s="30" t="n"/>
      <c r="AF30" s="29" t="n">
        <v>-0.000350788</v>
      </c>
      <c r="AG30" s="29" t="n">
        <v>127.911231508</v>
      </c>
      <c r="AH30" s="29" t="n">
        <v>-0.004915576</v>
      </c>
      <c r="AI30" s="29" t="n">
        <v>0.012223017</v>
      </c>
      <c r="AJ30" s="30" t="n"/>
      <c r="AK30" s="29" t="n">
        <v>-0.004382108</v>
      </c>
      <c r="AL30" s="29" t="n">
        <v>127.912299344</v>
      </c>
      <c r="AM30" s="29" t="n">
        <v>0.005749598</v>
      </c>
      <c r="AN30" s="29" t="n">
        <v>0.000210204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-0.11637173</v>
      </c>
      <c r="AE32" s="25" t="n"/>
      <c r="AF32" s="32" t="n">
        <v>-0.094526295</v>
      </c>
      <c r="AG32" s="32" t="n">
        <v>0.003511428</v>
      </c>
      <c r="AH32" s="32" t="n">
        <v>-0.111399929</v>
      </c>
      <c r="AI32" s="32" t="n">
        <v>-0.171105656</v>
      </c>
      <c r="AJ32" s="25" t="n"/>
      <c r="AK32" s="32" t="n">
        <v>-0.149566269</v>
      </c>
      <c r="AL32" s="32" t="n">
        <v>-0.00548462</v>
      </c>
      <c r="AM32" s="32" t="n">
        <v>-0.189737679</v>
      </c>
      <c r="AN32" s="32" t="n">
        <v>-0.317842159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0.106164703</v>
      </c>
      <c r="AE33" s="25" t="n"/>
      <c r="AF33" s="32" t="n">
        <v>0.068886655</v>
      </c>
      <c r="AG33" s="32" t="n">
        <v>-0.002167756</v>
      </c>
      <c r="AH33" s="32" t="n">
        <v>0.069169046</v>
      </c>
      <c r="AI33" s="32" t="n">
        <v>0.088285588</v>
      </c>
      <c r="AJ33" s="25" t="n"/>
      <c r="AK33" s="32" t="n">
        <v>0.058781595</v>
      </c>
      <c r="AL33" s="32" t="n">
        <v>0.001731364</v>
      </c>
      <c r="AM33" s="32" t="n">
        <v>0.059464205</v>
      </c>
      <c r="AN33" s="32" t="n">
        <v>0.07618209099999999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0.246368616</v>
      </c>
      <c r="AE41" s="25" t="n"/>
      <c r="AF41" s="32" t="n">
        <v>0.163846588</v>
      </c>
      <c r="AG41" s="32" t="n">
        <v>-0.007493994</v>
      </c>
      <c r="AH41" s="32" t="n">
        <v>0.179357157</v>
      </c>
      <c r="AI41" s="32" t="n">
        <v>0.165825441</v>
      </c>
      <c r="AJ41" s="25" t="n"/>
      <c r="AK41" s="32" t="n">
        <v>0.1899685</v>
      </c>
      <c r="AL41" s="32" t="n">
        <v>0.221459538</v>
      </c>
      <c r="AM41" s="32" t="n">
        <v>0.245691844</v>
      </c>
      <c r="AN41" s="32" t="n">
        <v>0.245463832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0.188226621</v>
      </c>
      <c r="AE42" s="25">
        <f>IFERROR(subQ!AE40/subQ!AE39,"")</f>
        <v/>
      </c>
      <c r="AF42" s="32" t="n">
        <v>0.188716582</v>
      </c>
      <c r="AG42" s="32" t="n">
        <v>0.188583815</v>
      </c>
      <c r="AH42" s="32" t="n">
        <v>0.188170769</v>
      </c>
      <c r="AI42" s="32" t="n">
        <v>0.188208396</v>
      </c>
      <c r="AJ42" s="25">
        <f>IFERROR(subQ!AJ40/subQ!AJ39,"")</f>
        <v/>
      </c>
      <c r="AK42" s="32" t="n">
        <v>0.188725989</v>
      </c>
      <c r="AL42" s="32" t="n">
        <v>0.188583259</v>
      </c>
      <c r="AM42" s="32" t="n">
        <v>0.188155678</v>
      </c>
      <c r="AN42" s="32" t="n">
        <v>0.18822013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-0.625163047</v>
      </c>
      <c r="AE43" s="25">
        <f>IFERROR(subQ!AE41/subQ!AE39,"")</f>
        <v/>
      </c>
      <c r="AF43" s="32" t="n">
        <v>-0.6251514419999999</v>
      </c>
      <c r="AG43" s="32" t="n">
        <v>-0.625144509</v>
      </c>
      <c r="AH43" s="32" t="n">
        <v>-0.625148119</v>
      </c>
      <c r="AI43" s="32" t="n">
        <v>-0.625164178</v>
      </c>
      <c r="AJ43" s="25">
        <f>IFERROR(subQ!AJ41/subQ!AJ39,"")</f>
        <v/>
      </c>
      <c r="AK43" s="32" t="n">
        <v>-0.625161203</v>
      </c>
      <c r="AL43" s="32" t="n">
        <v>-0.625170068</v>
      </c>
      <c r="AM43" s="32" t="n">
        <v>-0.625156275</v>
      </c>
      <c r="AN43" s="32" t="n">
        <v>-0.625161114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0.143783735</v>
      </c>
      <c r="AE44" s="25">
        <f>IFERROR(subQ!AE42/subQ!AE41,"")</f>
        <v/>
      </c>
      <c r="AF44" s="32" t="n">
        <v>0.14250646</v>
      </c>
      <c r="AG44" s="32" t="n">
        <v>0.144937587</v>
      </c>
      <c r="AH44" s="32" t="n">
        <v>0.148876252</v>
      </c>
      <c r="AI44" s="32" t="n">
        <v>0.151110765</v>
      </c>
      <c r="AJ44" s="25">
        <f>IFERROR(subQ!AJ42/subQ!AJ41,"")</f>
        <v/>
      </c>
      <c r="AK44" s="32" t="n">
        <v>0.151186146</v>
      </c>
      <c r="AL44" s="32" t="n">
        <v>0.154421157</v>
      </c>
      <c r="AM44" s="32" t="n">
        <v>0.158638379</v>
      </c>
      <c r="AN44" s="32" t="n">
        <v>0.16053355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9310</v>
      </c>
      <c r="E47" s="2" t="inlineStr">
        <is>
          <t>원 — 네이버 정규장 종가(aik 확정종가 대조 · aik 9,810원)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0.1911646919923347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0.06131815203522122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0.8217633682975135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0.03609686562459834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0.03869722625608072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12.53</v>
      </c>
    </row>
    <row r="32">
      <c r="C32" s="2" t="inlineStr">
        <is>
          <t>pbr_now</t>
        </is>
      </c>
      <c r="D32" t="n">
        <v>2.15</v>
      </c>
    </row>
    <row r="33">
      <c r="C33" s="2" t="inlineStr">
        <is>
          <t>roe_fwd</t>
        </is>
      </c>
      <c r="D33" t="n">
        <v>0.1719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