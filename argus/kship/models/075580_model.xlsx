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296억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294억 × 잔차/종속사 매출 최근 4분기(2025Q3~2026Q2) 중위 -0.6252(내부거래·베트남)</t>
      </text>
    </comment>
    <comment ref="AL43" authorId="0" shapeId="0">
      <text>
        <t>모델값 역산(implied): v / 매출종속사
종속사 매출 337억 × 잔차/종속사 매출 최근 4분기(2025Q3~2026Q2) 중위 -0.6252(내부거래·베트남)</t>
      </text>
    </comment>
    <comment ref="AM43" authorId="0" shapeId="0">
      <text>
        <t>모델값 역산(implied): v / 매출종속사
종속사 매출 366억 × 잔차/종속사 매출 최근 4분기(2025Q3~2026Q2) 중위 -0.6252(내부거래·베트남)</t>
      </text>
    </comment>
    <comment ref="AN43" authorId="0" shapeId="0">
      <text>
        <t>모델값 역산(implied): v / 매출종속사
종속사 매출 510억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-221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296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294 + 연결조정 -184
[identity]</t>
      </text>
    </comment>
    <comment ref="AL5" authorId="0" shapeId="0">
      <text>
        <t>추정: 별도(조선기자재) 867 + 종속사 337 + 연결조정 -211
[identity]</t>
      </text>
    </comment>
    <comment ref="AM5" authorId="0" shapeId="0">
      <text>
        <t>추정: 별도(조선기자재) 843 + 종속사 366 + 연결조정 -229
[identity]</t>
      </text>
    </comment>
    <comment ref="AN5" authorId="0" shapeId="0">
      <text>
        <t>추정: 별도(조선기자재) 1123 + 종속사 510 + 연결조정 -319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296억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294억 × 잔차/종속사 매출 최근 4분기(2025Q3~2026Q2) 중위 -0.6252(내부거래·베트남)
[ratio]</t>
      </text>
    </comment>
    <comment ref="AL41" authorId="0" shapeId="0">
      <text>
        <t>추정: 종속사 매출 337억 × 잔차/종속사 매출 최근 4분기(2025Q3~2026Q2) 중위 -0.6252(내부거래·베트남)
[ratio]</t>
      </text>
    </comment>
    <comment ref="AM41" authorId="0" shapeId="0">
      <text>
        <t>추정: 종속사 매출 366억 × 잔차/종속사 매출 최근 4분기(2025Q3~2026Q2) 중위 -0.6252(내부거래·베트남)
[ratio]</t>
      </text>
    </comment>
    <comment ref="AN41" authorId="0" shapeId="0">
      <text>
        <t>추정: 종속사 매출 510억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8410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7830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9064.5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-0.00385175</v>
      </c>
      <c r="AD29" s="29" t="n">
        <v>0.008790164</v>
      </c>
      <c r="AE29" s="30" t="n"/>
      <c r="AF29" s="29" t="n">
        <v>0.004158579</v>
      </c>
      <c r="AG29" s="29" t="n">
        <v>127.907720771</v>
      </c>
      <c r="AH29" s="29" t="n">
        <v>0.007815545</v>
      </c>
      <c r="AI29" s="29" t="n">
        <v>0.005345672</v>
      </c>
      <c r="AJ29" s="30" t="n"/>
      <c r="AK29" s="29" t="n">
        <v>-0.009071355</v>
      </c>
      <c r="AL29" s="29" t="n">
        <v>127.922093923</v>
      </c>
      <c r="AM29" s="29" t="n">
        <v>-0.003147549</v>
      </c>
      <c r="AN29" s="29" t="n">
        <v>-0.003176859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-0.005819443</v>
      </c>
      <c r="AD30" s="29" t="n">
        <v>0.009057823</v>
      </c>
      <c r="AE30" s="30" t="n"/>
      <c r="AF30" s="29" t="n">
        <v>-0.003759749</v>
      </c>
      <c r="AG30" s="29" t="n">
        <v>127.918023299</v>
      </c>
      <c r="AH30" s="29" t="n">
        <v>-0.004532538</v>
      </c>
      <c r="AI30" s="29" t="n">
        <v>0.009487508</v>
      </c>
      <c r="AJ30" s="30" t="n"/>
      <c r="AK30" s="29" t="n">
        <v>-0.007085141</v>
      </c>
      <c r="AL30" s="29" t="n">
        <v>127.919438226</v>
      </c>
      <c r="AM30" s="29" t="n">
        <v>-0.000766075</v>
      </c>
      <c r="AN30" s="29" t="n">
        <v>0.003332192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-0.116386325</v>
      </c>
      <c r="AE32" s="25" t="n"/>
      <c r="AF32" s="32" t="n">
        <v>-0.094552632</v>
      </c>
      <c r="AG32" s="32" t="n">
        <v>0.003475104</v>
      </c>
      <c r="AH32" s="32" t="n">
        <v>-0.111427221</v>
      </c>
      <c r="AI32" s="32" t="n">
        <v>-0.171104451</v>
      </c>
      <c r="AJ32" s="25" t="n"/>
      <c r="AK32" s="32" t="n">
        <v>-0.149545858</v>
      </c>
      <c r="AL32" s="32" t="n">
        <v>-0.005383521</v>
      </c>
      <c r="AM32" s="32" t="n">
        <v>-0.189632785</v>
      </c>
      <c r="AN32" s="32" t="n">
        <v>-0.31758034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0.106178017</v>
      </c>
      <c r="AE33" s="25" t="n"/>
      <c r="AF33" s="32" t="n">
        <v>0.068903881</v>
      </c>
      <c r="AG33" s="32" t="n">
        <v>-0.002145174</v>
      </c>
      <c r="AH33" s="32" t="n">
        <v>0.069171176</v>
      </c>
      <c r="AI33" s="32" t="n">
        <v>0.08828092799999999</v>
      </c>
      <c r="AJ33" s="25" t="n"/>
      <c r="AK33" s="32" t="n">
        <v>0.058759347</v>
      </c>
      <c r="AL33" s="32" t="n">
        <v>0.001703835</v>
      </c>
      <c r="AM33" s="32" t="n">
        <v>0.059427626</v>
      </c>
      <c r="AN33" s="32" t="n">
        <v>0.07613724600000001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0.248100371</v>
      </c>
      <c r="AE41" s="25" t="n"/>
      <c r="AF41" s="32" t="n">
        <v>0.16643166</v>
      </c>
      <c r="AG41" s="32" t="n">
        <v>-0.005270895</v>
      </c>
      <c r="AH41" s="32" t="n">
        <v>0.181193851</v>
      </c>
      <c r="AI41" s="32" t="n">
        <v>0.163414979</v>
      </c>
      <c r="AJ41" s="25" t="n"/>
      <c r="AK41" s="32" t="n">
        <v>0.184228553</v>
      </c>
      <c r="AL41" s="32" t="n">
        <v>0.214151828</v>
      </c>
      <c r="AM41" s="32" t="n">
        <v>0.23858297</v>
      </c>
      <c r="AN41" s="32" t="n">
        <v>0.2412744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0.188191986</v>
      </c>
      <c r="AE42" s="25">
        <f>IFERROR(subQ!AE40/subQ!AE39,"")</f>
        <v/>
      </c>
      <c r="AF42" s="32" t="n">
        <v>0.188741588</v>
      </c>
      <c r="AG42" s="32" t="n">
        <v>0.188558864</v>
      </c>
      <c r="AH42" s="32" t="n">
        <v>0.188148599</v>
      </c>
      <c r="AI42" s="32" t="n">
        <v>0.188214964</v>
      </c>
      <c r="AJ42" s="25">
        <f>IFERROR(subQ!AJ40/subQ!AJ39,"")</f>
        <v/>
      </c>
      <c r="AK42" s="32" t="n">
        <v>0.188710062</v>
      </c>
      <c r="AL42" s="32" t="n">
        <v>0.188581777</v>
      </c>
      <c r="AM42" s="32" t="n">
        <v>0.188149887</v>
      </c>
      <c r="AN42" s="32" t="n">
        <v>0.188219377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-0.6251451220000001</v>
      </c>
      <c r="AE43" s="25">
        <f>IFERROR(subQ!AE41/subQ!AE39,"")</f>
        <v/>
      </c>
      <c r="AF43" s="32" t="n">
        <v>-0.6251359950000001</v>
      </c>
      <c r="AG43" s="32" t="n">
        <v>-0.625153197</v>
      </c>
      <c r="AH43" s="32" t="n">
        <v>-0.62515634</v>
      </c>
      <c r="AI43" s="32" t="n">
        <v>-0.62515212</v>
      </c>
      <c r="AJ43" s="25">
        <f>IFERROR(subQ!AJ41/subQ!AJ39,"")</f>
        <v/>
      </c>
      <c r="AK43" s="32" t="n">
        <v>-0.625165878</v>
      </c>
      <c r="AL43" s="32" t="n">
        <v>-0.625152154</v>
      </c>
      <c r="AM43" s="32" t="n">
        <v>-0.625146694</v>
      </c>
      <c r="AN43" s="32" t="n">
        <v>-0.625149513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0.14381483</v>
      </c>
      <c r="AE44" s="25">
        <f>IFERROR(subQ!AE42/subQ!AE41,"")</f>
        <v/>
      </c>
      <c r="AF44" s="32" t="n">
        <v>0.142645353</v>
      </c>
      <c r="AG44" s="32" t="n">
        <v>0.14501528</v>
      </c>
      <c r="AH44" s="32" t="n">
        <v>0.148913161</v>
      </c>
      <c r="AI44" s="32" t="n">
        <v>0.151099864</v>
      </c>
      <c r="AJ44" s="25">
        <f>IFERROR(subQ!AJ42/subQ!AJ41,"")</f>
        <v/>
      </c>
      <c r="AK44" s="32" t="n">
        <v>0.151036848</v>
      </c>
      <c r="AL44" s="32" t="n">
        <v>0.154247994</v>
      </c>
      <c r="AM44" s="32" t="n">
        <v>0.158473762</v>
      </c>
      <c r="AN44" s="32" t="n">
        <v>0.160372624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8410</v>
      </c>
      <c r="E47" s="2" t="inlineStr">
        <is>
          <t>원 — 네이버 정규장 종가(aik 확정종가 대조 · aik 7,960원)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0.1911563132317077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0.06131769525482933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0.8217558119915195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0.03609746561647491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0.03869816405745791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743.2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11.32</v>
      </c>
    </row>
    <row r="32">
      <c r="C32" s="2" t="inlineStr">
        <is>
          <t>pbr_now</t>
        </is>
      </c>
      <c r="D32" t="n">
        <v>1.95</v>
      </c>
    </row>
    <row r="33">
      <c r="C33" s="2" t="inlineStr">
        <is>
          <t>roe_fwd</t>
        </is>
      </c>
      <c r="D33" t="n">
        <v>0.172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