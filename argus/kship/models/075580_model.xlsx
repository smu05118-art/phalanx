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BS별도!$C$5:$AO$95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351억 × 잔차/종속사 매출 최근 4분기(2025Q3~2026Q2) 중위 -0.6252(내부거래·베트남)</t>
      </text>
    </comment>
    <comment ref="AF43" authorId="0" shapeId="0">
      <text>
        <t>모델값 역산(implied): v / 매출종속사
종속사 매출 246억 × 잔차/종속사 매출 최근 4분기(2025Q3~2026Q2) 중위 -0.6252(내부거래·베트남)</t>
      </text>
    </comment>
    <comment ref="AG43" authorId="0" shapeId="0">
      <text>
        <t>모델값 역산(implied): v / 매출종속사
종속사 매출 275억 × 잔차/종속사 매출 최근 4분기(2025Q3~2026Q2) 중위 -0.6252(내부거래·베트남)</t>
      </text>
    </comment>
    <comment ref="AH43" authorId="0" shapeId="0">
      <text>
        <t>모델값 역산(implied): v / 매출종속사
종속사 매출 295억 × 잔차/종속사 매출 최근 4분기(2025Q3~2026Q2) 중위 -0.6252(내부거래·베트남)</t>
      </text>
    </comment>
    <comment ref="AI43" authorId="0" shapeId="0">
      <text>
        <t>모델값 역산(implied): v / 매출종속사
종속사 매출 412억 × 잔차/종속사 매출 최근 4분기(2025Q3~2026Q2) 중위 -0.6252(내부거래·베트남)</t>
      </text>
    </comment>
    <comment ref="AK43" authorId="0" shapeId="0">
      <text>
        <t>모델값 역산(implied): v / 매출종속사
종속사 매출 296억 × 잔차/종속사 매출 최근 4분기(2025Q3~2026Q2) 중위 -0.6252(내부거래·베트남)</t>
      </text>
    </comment>
    <comment ref="AL43" authorId="0" shapeId="0">
      <text>
        <t>모델값 역산(implied): v / 매출종속사
종속사 매출 340억 × 잔차/종속사 매출 최근 4분기(2025Q3~2026Q2) 중위 -0.6252(내부거래·베트남)</t>
      </text>
    </comment>
    <comment ref="AM43" authorId="0" shapeId="0">
      <text>
        <t>모델값 역산(implied): v / 매출종속사
종속사 매출 370억 × 잔차/종속사 매출 최근 4분기(2025Q3~2026Q2) 중위 -0.6252(내부거래·베트남)</t>
      </text>
    </comment>
    <comment ref="AN43" authorId="0" shapeId="0">
      <text>
        <t>모델값 역산(implied): v / 매출종속사
종속사 매출 515억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-156
[identity]</t>
      </text>
    </comment>
    <comment ref="AD5" authorId="0" shapeId="0">
      <text>
        <t>추정: 별도(조선기자재) 1101 + 종속사 351 + 연결조정 -219
[identity]</t>
      </text>
    </comment>
    <comment ref="AF5" authorId="0" shapeId="0">
      <text>
        <t>추정: 별도(조선기자재) 802 + 종속사 246 + 연결조정 -154
[identity]</t>
      </text>
    </comment>
    <comment ref="AG5" authorId="0" shapeId="0">
      <text>
        <t>추정: 별도(조선기자재) 855 + 종속사 275 + 연결조정 -172
[identity]</t>
      </text>
    </comment>
    <comment ref="AH5" authorId="0" shapeId="0">
      <text>
        <t>추정: 별도(조선기자재) 838 + 종속사 295 + 연결조정 -184
[identity]</t>
      </text>
    </comment>
    <comment ref="AI5" authorId="0" shapeId="0">
      <text>
        <t>추정: 별도(조선기자재) 1116 + 종속사 412 + 연결조정 -258
[identity]</t>
      </text>
    </comment>
    <comment ref="AK5" authorId="0" shapeId="0">
      <text>
        <t>추정: 별도(조선기자재) 813 + 종속사 296 + 연결조정 -185
[identity]</t>
      </text>
    </comment>
    <comment ref="AL5" authorId="0" shapeId="0">
      <text>
        <t>추정: 별도(조선기자재) 867 + 종속사 340 + 연결조정 -213
[identity]</t>
      </text>
    </comment>
    <comment ref="AM5" authorId="0" shapeId="0">
      <text>
        <t>추정: 별도(조선기자재) 843 + 종속사 370 + 연결조정 -232
[identity]</t>
      </text>
    </comment>
    <comment ref="AN5" authorId="0" shapeId="0">
      <text>
        <t>추정: 별도(조선기자재) 1123 + 종속사 515 + 연결조정 -322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1661억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1894억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1661억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1894억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351억 × 잔차/종속사 매출 최근 4분기(2025Q3~2026Q2) 중위 -0.6252(내부거래·베트남)
[ratio]</t>
      </text>
    </comment>
    <comment ref="AF41" authorId="0" shapeId="0">
      <text>
        <t>추정: 종속사 매출 246억 × 잔차/종속사 매출 최근 4분기(2025Q3~2026Q2) 중위 -0.6252(내부거래·베트남)
[ratio]</t>
      </text>
    </comment>
    <comment ref="AG41" authorId="0" shapeId="0">
      <text>
        <t>추정: 종속사 매출 275억 × 잔차/종속사 매출 최근 4분기(2025Q3~2026Q2) 중위 -0.6252(내부거래·베트남)
[ratio]</t>
      </text>
    </comment>
    <comment ref="AH41" authorId="0" shapeId="0">
      <text>
        <t>추정: 종속사 매출 295억 × 잔차/종속사 매출 최근 4분기(2025Q3~2026Q2) 중위 -0.6252(내부거래·베트남)
[ratio]</t>
      </text>
    </comment>
    <comment ref="AI41" authorId="0" shapeId="0">
      <text>
        <t>추정: 종속사 매출 412억 × 잔차/종속사 매출 최근 4분기(2025Q3~2026Q2) 중위 -0.6252(내부거래·베트남)
[ratio]</t>
      </text>
    </comment>
    <comment ref="AK41" authorId="0" shapeId="0">
      <text>
        <t>추정: 종속사 매출 296억 × 잔차/종속사 매출 최근 4분기(2025Q3~2026Q2) 중위 -0.6252(내부거래·베트남)
[ratio]</t>
      </text>
    </comment>
    <comment ref="AL41" authorId="0" shapeId="0">
      <text>
        <t>추정: 종속사 매출 340억 × 잔차/종속사 매출 최근 4분기(2025Q3~2026Q2) 중위 -0.6252(내부거래·베트남)
[ratio]</t>
      </text>
    </comment>
    <comment ref="AM41" authorId="0" shapeId="0">
      <text>
        <t>추정: 종속사 매출 370억 × 잔차/종속사 매출 최근 4분기(2025Q3~2026Q2) 중위 -0.6252(내부거래·베트남)
[ratio]</t>
      </text>
    </comment>
    <comment ref="AN41" authorId="0" shapeId="0">
      <text>
        <t>추정: 종속사 매출 515억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9820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9610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9955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0.001339457</v>
      </c>
      <c r="AD29" s="29" t="n">
        <v>0.004677872</v>
      </c>
      <c r="AE29" s="30" t="n"/>
      <c r="AF29" s="29" t="n">
        <v>-0.002922923</v>
      </c>
      <c r="AG29" s="29" t="n">
        <v>127.90976647</v>
      </c>
      <c r="AH29" s="29" t="n">
        <v>0.005681342</v>
      </c>
      <c r="AI29" s="29" t="n">
        <v>-0.005873596</v>
      </c>
      <c r="AJ29" s="30" t="n"/>
      <c r="AK29" s="29" t="n">
        <v>0.006500226</v>
      </c>
      <c r="AL29" s="29" t="n">
        <v>127.906921261</v>
      </c>
      <c r="AM29" s="29" t="n">
        <v>-0.002747917</v>
      </c>
      <c r="AN29" s="29" t="n">
        <v>0.007158055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0.002658042</v>
      </c>
      <c r="AD30" s="29" t="n">
        <v>0.003724336</v>
      </c>
      <c r="AE30" s="30" t="n"/>
      <c r="AF30" s="29" t="n">
        <v>-0.002874927</v>
      </c>
      <c r="AG30" s="29" t="n">
        <v>127.908096842</v>
      </c>
      <c r="AH30" s="29" t="n">
        <v>-0.008574362</v>
      </c>
      <c r="AI30" s="29" t="n">
        <v>0.004369471</v>
      </c>
      <c r="AJ30" s="30" t="n"/>
      <c r="AK30" s="29" t="n">
        <v>-0.005083969</v>
      </c>
      <c r="AL30" s="29" t="n">
        <v>127.911812662</v>
      </c>
      <c r="AM30" s="29" t="n">
        <v>0.002638505</v>
      </c>
      <c r="AN30" s="29" t="n">
        <v>-0.012683857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-0.07801807299999999</v>
      </c>
      <c r="AD32" s="32" t="n">
        <v>-0.116303507</v>
      </c>
      <c r="AE32" s="25" t="n"/>
      <c r="AF32" s="32" t="n">
        <v>-0.094459125</v>
      </c>
      <c r="AG32" s="32" t="n">
        <v>0.003574653</v>
      </c>
      <c r="AH32" s="32" t="n">
        <v>-0.111346351</v>
      </c>
      <c r="AI32" s="32" t="n">
        <v>-0.171116269</v>
      </c>
      <c r="AJ32" s="25" t="n"/>
      <c r="AK32" s="32" t="n">
        <v>-0.14962252</v>
      </c>
      <c r="AL32" s="32" t="n">
        <v>-0.005657503</v>
      </c>
      <c r="AM32" s="32" t="n">
        <v>-0.189904442</v>
      </c>
      <c r="AN32" s="32" t="n">
        <v>-0.3181458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0.083657724</v>
      </c>
      <c r="AD33" s="32" t="n">
        <v>0.106106906</v>
      </c>
      <c r="AE33" s="25" t="n"/>
      <c r="AF33" s="32" t="n">
        <v>0.06884949899999999</v>
      </c>
      <c r="AG33" s="32" t="n">
        <v>-0.002207406</v>
      </c>
      <c r="AH33" s="32" t="n">
        <v>0.069162265</v>
      </c>
      <c r="AI33" s="32" t="n">
        <v>0.088330773</v>
      </c>
      <c r="AJ33" s="25" t="n"/>
      <c r="AK33" s="32" t="n">
        <v>0.058826953</v>
      </c>
      <c r="AL33" s="32" t="n">
        <v>0.00178645</v>
      </c>
      <c r="AM33" s="32" t="n">
        <v>0.059524463</v>
      </c>
      <c r="AN33" s="32" t="n">
        <v>0.076239222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-0.012566686</v>
      </c>
      <c r="AD41" s="32" t="n">
        <v>0.240148436</v>
      </c>
      <c r="AE41" s="25" t="n"/>
      <c r="AF41" s="32" t="n">
        <v>0.157172401</v>
      </c>
      <c r="AG41" s="32" t="n">
        <v>-0.012478038</v>
      </c>
      <c r="AH41" s="32" t="n">
        <v>0.180333774</v>
      </c>
      <c r="AI41" s="32" t="n">
        <v>0.175092619</v>
      </c>
      <c r="AJ41" s="25" t="n"/>
      <c r="AK41" s="32" t="n">
        <v>0.203533712</v>
      </c>
      <c r="AL41" s="32" t="n">
        <v>0.235939145</v>
      </c>
      <c r="AM41" s="32" t="n">
        <v>0.255857322</v>
      </c>
      <c r="AN41" s="32" t="n">
        <v>0.248654023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0.188177852</v>
      </c>
      <c r="AD42" s="32" t="n">
        <v>0.188201767</v>
      </c>
      <c r="AE42" s="25">
        <f>IFERROR(subQ!AE40/subQ!AE39,"")</f>
        <v/>
      </c>
      <c r="AF42" s="32" t="n">
        <v>0.188748985</v>
      </c>
      <c r="AG42" s="32" t="n">
        <v>0.188591554</v>
      </c>
      <c r="AH42" s="32" t="n">
        <v>0.18814634</v>
      </c>
      <c r="AI42" s="32" t="n">
        <v>0.18821846</v>
      </c>
      <c r="AJ42" s="25">
        <f>IFERROR(subQ!AJ40/subQ!AJ39,"")</f>
        <v/>
      </c>
      <c r="AK42" s="32" t="n">
        <v>0.188721272</v>
      </c>
      <c r="AL42" s="32" t="n">
        <v>0.188577808</v>
      </c>
      <c r="AM42" s="32" t="n">
        <v>0.188153028</v>
      </c>
      <c r="AN42" s="32" t="n">
        <v>0.188202847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-0.625165086</v>
      </c>
      <c r="AD43" s="32" t="n">
        <v>-0.625163864</v>
      </c>
      <c r="AE43" s="25">
        <f>IFERROR(subQ!AE41/subQ!AE39,"")</f>
        <v/>
      </c>
      <c r="AF43" s="32" t="n">
        <v>-0.625142161</v>
      </c>
      <c r="AG43" s="32" t="n">
        <v>-0.625140699</v>
      </c>
      <c r="AH43" s="32" t="n">
        <v>-0.625165293</v>
      </c>
      <c r="AI43" s="32" t="n">
        <v>-0.6251637</v>
      </c>
      <c r="AJ43" s="25">
        <f>IFERROR(subQ!AJ41/subQ!AJ39,"")</f>
        <v/>
      </c>
      <c r="AK43" s="32" t="n">
        <v>-0.625156087</v>
      </c>
      <c r="AL43" s="32" t="n">
        <v>-0.6251652519999999</v>
      </c>
      <c r="AM43" s="32" t="n">
        <v>-0.625151867</v>
      </c>
      <c r="AN43" s="32" t="n">
        <v>-0.625148096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0.140323923</v>
      </c>
      <c r="AD44" s="32" t="n">
        <v>0.143456261</v>
      </c>
      <c r="AE44" s="25">
        <f>IFERROR(subQ!AE42/subQ!AE41,"")</f>
        <v/>
      </c>
      <c r="AF44" s="32" t="n">
        <v>0.142225976</v>
      </c>
      <c r="AG44" s="32" t="n">
        <v>0.144682581</v>
      </c>
      <c r="AH44" s="32" t="n">
        <v>0.148768847</v>
      </c>
      <c r="AI44" s="32" t="n">
        <v>0.151291799</v>
      </c>
      <c r="AJ44" s="25">
        <f>IFERROR(subQ!AJ42/subQ!AJ41,"")</f>
        <v/>
      </c>
      <c r="AK44" s="32" t="n">
        <v>0.151425178</v>
      </c>
      <c r="AL44" s="32" t="n">
        <v>0.154746241</v>
      </c>
      <c r="AM44" s="32" t="n">
        <v>0.158928957</v>
      </c>
      <c r="AN44" s="32" t="n">
        <v>0.16071706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9820</v>
      </c>
      <c r="E47" s="2" t="inlineStr">
        <is>
          <t>원 — 네이버 정규장 종가(aik 확정종가 대조 · aik 10,020원)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20261007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0.1911555344643492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0.06131794015701576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0.8217460177769955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0.03609090415933141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0.03869582903030195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131028.21</v>
      </c>
      <c r="H31" s="18" t="n">
        <v>164542</v>
      </c>
      <c r="I31" s="18" t="n">
        <v>208983</v>
      </c>
      <c r="J31" s="18" t="n">
        <v>192606</v>
      </c>
      <c r="K31" s="37" t="n">
        <v>192606</v>
      </c>
      <c r="L31" s="18" t="n">
        <v>237604.41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114928</v>
      </c>
      <c r="F38" s="37" t="n">
        <v>114928</v>
      </c>
      <c r="G38" s="18" t="n">
        <v>152828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114928</v>
      </c>
      <c r="F39" s="37" t="n">
        <v>114928</v>
      </c>
      <c r="G39" s="18" t="n">
        <v>152828</v>
      </c>
      <c r="K39" s="9" t="n"/>
      <c r="P39" s="9" t="n"/>
      <c r="S39" s="18" t="n">
        <v>50079.88</v>
      </c>
      <c r="U39" s="9" t="n"/>
      <c r="Z39" s="9" t="n"/>
      <c r="AA39" s="18" t="n">
        <v>119500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2689.04</v>
      </c>
      <c r="F41" s="37" t="n">
        <v>2689.04</v>
      </c>
      <c r="G41" s="18" t="n">
        <v>2575.5</v>
      </c>
      <c r="H41" s="18" t="n">
        <v>2791.17</v>
      </c>
      <c r="I41" s="18" t="n">
        <v>2605.19</v>
      </c>
      <c r="J41" s="18" t="n">
        <v>2417.87</v>
      </c>
      <c r="K41" s="37" t="n">
        <v>2417.87</v>
      </c>
      <c r="L41" s="18" t="n">
        <v>2245.92</v>
      </c>
      <c r="M41" s="18" t="n">
        <v>2198.65</v>
      </c>
      <c r="N41" s="18" t="n">
        <v>2061.46</v>
      </c>
      <c r="O41" s="18" t="n">
        <v>1841.09</v>
      </c>
      <c r="P41" s="37" t="n">
        <v>1841.09</v>
      </c>
      <c r="Q41" s="18" t="n">
        <v>1252.44</v>
      </c>
      <c r="R41" s="18" t="n">
        <v>1188.04</v>
      </c>
      <c r="S41" s="18" t="n">
        <v>1148.25</v>
      </c>
      <c r="T41" s="18" t="n">
        <v>1128.67</v>
      </c>
      <c r="U41" s="37" t="n">
        <v>1128.67</v>
      </c>
      <c r="V41" s="18" t="n">
        <v>5466.68</v>
      </c>
      <c r="W41" s="18" t="n">
        <v>5036.99</v>
      </c>
      <c r="X41" s="18" t="n">
        <v>4604.04</v>
      </c>
      <c r="Y41" s="18" t="n">
        <v>4338.18</v>
      </c>
      <c r="Z41" s="37" t="n">
        <v>4338.18</v>
      </c>
      <c r="AA41" s="18" t="n">
        <v>3723.55</v>
      </c>
      <c r="AB41" s="19" t="n">
        <v>3107.73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576.55</v>
      </c>
      <c r="F42" s="37" t="n">
        <v>576.55</v>
      </c>
      <c r="G42" s="18" t="n">
        <v>541.6799999999999</v>
      </c>
      <c r="H42" s="18" t="n">
        <v>472.69</v>
      </c>
      <c r="I42" s="18" t="n">
        <v>423.04</v>
      </c>
      <c r="J42" s="18" t="n">
        <v>306.58</v>
      </c>
      <c r="K42" s="37" t="n">
        <v>306.58</v>
      </c>
      <c r="L42" s="18" t="n">
        <v>300.9</v>
      </c>
      <c r="M42" s="18" t="n">
        <v>295.36</v>
      </c>
      <c r="N42" s="18" t="n">
        <v>294.05</v>
      </c>
      <c r="O42" s="18" t="n">
        <v>253.15</v>
      </c>
      <c r="P42" s="37" t="n">
        <v>253.15</v>
      </c>
      <c r="Q42" s="18" t="n">
        <v>249.44</v>
      </c>
      <c r="R42" s="18" t="n">
        <v>336.21</v>
      </c>
      <c r="S42" s="18" t="n">
        <v>347.1</v>
      </c>
      <c r="T42" s="18" t="n">
        <v>529.14</v>
      </c>
      <c r="U42" s="37" t="n">
        <v>529.14</v>
      </c>
      <c r="V42" s="18" t="n">
        <v>552.89</v>
      </c>
      <c r="W42" s="18" t="n">
        <v>557.67</v>
      </c>
      <c r="X42" s="18" t="n">
        <v>572.04</v>
      </c>
      <c r="Y42" s="18" t="n">
        <v>475.44</v>
      </c>
      <c r="Z42" s="37" t="n">
        <v>475.44</v>
      </c>
      <c r="AA42" s="18" t="n">
        <v>468.36</v>
      </c>
      <c r="AB42" s="19" t="n">
        <v>455.8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3121.92</v>
      </c>
      <c r="F43" s="37" t="n">
        <v>3121.92</v>
      </c>
      <c r="G43" s="18" t="n">
        <v>3255.8</v>
      </c>
      <c r="H43" s="18" t="n">
        <v>3008.05</v>
      </c>
      <c r="I43" s="18" t="n">
        <v>3675.53</v>
      </c>
      <c r="J43" s="18" t="n">
        <v>2312.44</v>
      </c>
      <c r="K43" s="37" t="n">
        <v>2312.44</v>
      </c>
      <c r="L43" s="18" t="n">
        <v>3420.8</v>
      </c>
      <c r="M43" s="18" t="n">
        <v>3527.26</v>
      </c>
      <c r="N43" s="18" t="n">
        <v>3609</v>
      </c>
      <c r="O43" s="18" t="n">
        <v>5275.8</v>
      </c>
      <c r="P43" s="37" t="n">
        <v>5275.8</v>
      </c>
      <c r="Q43" s="18" t="n">
        <v>5585.31</v>
      </c>
      <c r="R43" s="18" t="n">
        <v>6131.46</v>
      </c>
      <c r="S43" s="18" t="n">
        <v>6677.87</v>
      </c>
      <c r="T43" s="18" t="n">
        <v>4028.06</v>
      </c>
      <c r="U43" s="37" t="n">
        <v>4028.06</v>
      </c>
      <c r="V43" s="18" t="n">
        <v>4975.73</v>
      </c>
      <c r="W43" s="18" t="n">
        <v>5288.75</v>
      </c>
      <c r="X43" s="18" t="n">
        <v>5518.95</v>
      </c>
      <c r="Y43" s="18" t="n">
        <v>5445.18</v>
      </c>
      <c r="Z43" s="37" t="n">
        <v>5445.18</v>
      </c>
      <c r="AA43" s="18" t="n">
        <v>6150.08</v>
      </c>
      <c r="AB43" s="19" t="n">
        <v>6549.88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4518.89</v>
      </c>
      <c r="F44" s="37" t="n">
        <v>4518.89</v>
      </c>
      <c r="G44" s="18" t="n">
        <v>4665.37</v>
      </c>
      <c r="H44" s="18" t="n">
        <v>4668.76</v>
      </c>
      <c r="I44" s="18" t="n">
        <v>4784.93</v>
      </c>
      <c r="J44" s="18" t="n">
        <v>4328.76</v>
      </c>
      <c r="K44" s="37" t="n">
        <v>4328.76</v>
      </c>
      <c r="L44" s="18" t="n">
        <v>4442.06</v>
      </c>
      <c r="M44" s="18" t="n">
        <v>4786.63</v>
      </c>
      <c r="N44" s="18" t="n">
        <v>4619.77</v>
      </c>
      <c r="O44" s="18" t="n">
        <v>2608.08</v>
      </c>
      <c r="P44" s="37" t="n">
        <v>2608.08</v>
      </c>
      <c r="Q44" s="18" t="n">
        <v>2426.61</v>
      </c>
      <c r="R44" s="18" t="n">
        <v>2385.19</v>
      </c>
      <c r="S44" s="18" t="n">
        <v>2345</v>
      </c>
      <c r="T44" s="18" t="n">
        <v>2079.76</v>
      </c>
      <c r="U44" s="37" t="n">
        <v>2079.76</v>
      </c>
      <c r="V44" s="18" t="n">
        <v>1985.49</v>
      </c>
      <c r="W44" s="18" t="n">
        <v>2061.09</v>
      </c>
      <c r="X44" s="18" t="n">
        <v>2056.59</v>
      </c>
      <c r="Y44" s="18" t="n">
        <v>2286.12</v>
      </c>
      <c r="Z44" s="37" t="n">
        <v>2286.12</v>
      </c>
      <c r="AA44" s="18" t="n">
        <v>2277.06</v>
      </c>
      <c r="AB44" s="19" t="n">
        <v>2227.18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367209.56</v>
      </c>
      <c r="F45" s="37" t="n">
        <v>367209.56</v>
      </c>
      <c r="G45" s="18" t="n">
        <v>382497.04</v>
      </c>
      <c r="H45" s="18" t="n">
        <v>355843.56</v>
      </c>
      <c r="I45" s="18" t="n">
        <v>353172.53</v>
      </c>
      <c r="J45" s="18" t="n">
        <v>342503.86</v>
      </c>
      <c r="K45" s="37" t="n">
        <v>342503.86</v>
      </c>
      <c r="L45" s="18" t="n">
        <v>357192.58</v>
      </c>
      <c r="M45" s="18" t="n">
        <v>324858.97</v>
      </c>
      <c r="N45" s="18" t="n">
        <v>332476.16</v>
      </c>
      <c r="O45" s="18" t="n">
        <v>312332.84</v>
      </c>
      <c r="P45" s="37" t="n">
        <v>312332.84</v>
      </c>
      <c r="Q45" s="18" t="n">
        <v>350590.1</v>
      </c>
      <c r="R45" s="18" t="n">
        <v>325085.48</v>
      </c>
      <c r="S45" s="18" t="n">
        <v>358197.01</v>
      </c>
      <c r="T45" s="18" t="n">
        <v>371486.1</v>
      </c>
      <c r="U45" s="37" t="n">
        <v>371486.1</v>
      </c>
      <c r="V45" s="18" t="n">
        <v>378690.25</v>
      </c>
      <c r="W45" s="18" t="n">
        <v>370535.38</v>
      </c>
      <c r="X45" s="18" t="n">
        <v>373607.52</v>
      </c>
      <c r="Y45" s="18" t="n">
        <v>338269.57</v>
      </c>
      <c r="Z45" s="37" t="n">
        <v>338269.57</v>
      </c>
      <c r="AA45" s="18" t="n">
        <v>352356.96</v>
      </c>
      <c r="AB45" s="19" t="n">
        <v>337386.88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163506.32</v>
      </c>
      <c r="F46" s="37" t="n">
        <v>163506.32</v>
      </c>
      <c r="G46" s="18" t="n">
        <v>148149.91</v>
      </c>
      <c r="H46" s="18" t="n">
        <v>155705.97</v>
      </c>
      <c r="I46" s="18" t="n">
        <v>159282.33</v>
      </c>
      <c r="J46" s="18" t="n">
        <v>164310.21</v>
      </c>
      <c r="K46" s="37" t="n">
        <v>164310.21</v>
      </c>
      <c r="L46" s="18" t="n">
        <v>148728.05</v>
      </c>
      <c r="M46" s="18" t="n">
        <v>163451.89</v>
      </c>
      <c r="N46" s="18" t="n">
        <v>166023.24</v>
      </c>
      <c r="O46" s="18" t="n">
        <v>180743.61</v>
      </c>
      <c r="P46" s="37" t="n">
        <v>180743.61</v>
      </c>
      <c r="Q46" s="18" t="n">
        <v>181304.84</v>
      </c>
      <c r="R46" s="18" t="n">
        <v>177666.45</v>
      </c>
      <c r="S46" s="18" t="n">
        <v>174713.36</v>
      </c>
      <c r="T46" s="18" t="n">
        <v>187779.7</v>
      </c>
      <c r="U46" s="37" t="n">
        <v>187779.7</v>
      </c>
      <c r="V46" s="18" t="n">
        <v>189575.23</v>
      </c>
      <c r="W46" s="18" t="n">
        <v>194112.7</v>
      </c>
      <c r="X46" s="18" t="n">
        <v>202552</v>
      </c>
      <c r="Y46" s="18" t="n">
        <v>228470.6</v>
      </c>
      <c r="Z46" s="37" t="n">
        <v>228470.6</v>
      </c>
      <c r="AA46" s="18" t="n">
        <v>228759.96</v>
      </c>
      <c r="AB46" s="19" t="n">
        <v>245681.23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31224.73</v>
      </c>
      <c r="F47" s="37" t="n">
        <v>31224.73</v>
      </c>
      <c r="G47" s="18" t="n">
        <v>31224.73</v>
      </c>
      <c r="H47" s="18" t="n">
        <v>31224.73</v>
      </c>
      <c r="I47" s="18" t="n">
        <v>31224.73</v>
      </c>
      <c r="J47" s="18" t="n">
        <v>31224.73</v>
      </c>
      <c r="K47" s="37" t="n">
        <v>31224.73</v>
      </c>
      <c r="L47" s="18" t="n">
        <v>31224.73</v>
      </c>
      <c r="M47" s="18" t="n">
        <v>31224.73</v>
      </c>
      <c r="N47" s="18" t="n">
        <v>31224.73</v>
      </c>
      <c r="O47" s="18" t="n">
        <v>31224.73</v>
      </c>
      <c r="P47" s="37" t="n">
        <v>31224.73</v>
      </c>
      <c r="Q47" s="18" t="n">
        <v>31224.73</v>
      </c>
      <c r="R47" s="18" t="n">
        <v>31224.73</v>
      </c>
      <c r="S47" s="18" t="n">
        <v>31224.73</v>
      </c>
      <c r="T47" s="18" t="n">
        <v>31224.73</v>
      </c>
      <c r="U47" s="37" t="n">
        <v>31224.73</v>
      </c>
      <c r="V47" s="18" t="n">
        <v>31224.73</v>
      </c>
      <c r="W47" s="18" t="n">
        <v>31224.73</v>
      </c>
      <c r="X47" s="18" t="n">
        <v>31224.73</v>
      </c>
      <c r="Y47" s="18" t="n">
        <v>31224.73</v>
      </c>
      <c r="Z47" s="37" t="n">
        <v>31224.73</v>
      </c>
      <c r="AA47" s="18" t="n">
        <v>31224.73</v>
      </c>
      <c r="AB47" s="19" t="n">
        <v>31224.73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4696.51</v>
      </c>
      <c r="F48" s="37" t="n">
        <v>4696.51</v>
      </c>
      <c r="G48" s="18" t="n">
        <v>4879.74</v>
      </c>
      <c r="H48" s="18" t="n">
        <v>143.83</v>
      </c>
      <c r="I48" s="18" t="n">
        <v>143.83</v>
      </c>
      <c r="J48" s="18" t="n">
        <v>143.83</v>
      </c>
      <c r="K48" s="37" t="n">
        <v>143.83</v>
      </c>
      <c r="L48" s="18" t="n">
        <v>143.83</v>
      </c>
      <c r="M48" s="18" t="n">
        <v>143.83</v>
      </c>
      <c r="N48" s="18" t="n">
        <v>143.83</v>
      </c>
      <c r="O48" s="18" t="n">
        <v>143.83</v>
      </c>
      <c r="P48" s="37" t="n">
        <v>143.83</v>
      </c>
      <c r="Q48" s="18" t="n">
        <v>143.83</v>
      </c>
      <c r="R48" s="18" t="n">
        <v>143.83</v>
      </c>
      <c r="S48" s="18" t="n">
        <v>143.83</v>
      </c>
      <c r="T48" s="18" t="n">
        <v>143.83</v>
      </c>
      <c r="U48" s="37" t="n">
        <v>143.83</v>
      </c>
      <c r="V48" s="18" t="n">
        <v>143.83</v>
      </c>
      <c r="W48" s="18" t="n">
        <v>143.83</v>
      </c>
      <c r="X48" s="18" t="n">
        <v>143.83</v>
      </c>
      <c r="Y48" s="18" t="n">
        <v>1551.94</v>
      </c>
      <c r="Z48" s="37" t="n">
        <v>1551.94</v>
      </c>
      <c r="AA48" s="18" t="n">
        <v>1551.94</v>
      </c>
      <c r="AB48" s="19" t="n">
        <v>1551.94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-8240.690000000001</v>
      </c>
      <c r="F49" s="37" t="n">
        <v>-8240.690000000001</v>
      </c>
      <c r="G49" s="18" t="n">
        <v>-7936.6</v>
      </c>
      <c r="H49" s="18" t="n">
        <v>-6447.26</v>
      </c>
      <c r="I49" s="18" t="n">
        <v>-6447.26</v>
      </c>
      <c r="J49" s="18" t="n">
        <v>-6447.26</v>
      </c>
      <c r="K49" s="37" t="n">
        <v>-6447.26</v>
      </c>
      <c r="L49" s="18" t="n">
        <v>-6447.26</v>
      </c>
      <c r="M49" s="18" t="n">
        <v>-6447.26</v>
      </c>
      <c r="N49" s="18" t="n">
        <v>-6447.26</v>
      </c>
      <c r="O49" s="18" t="n">
        <v>2627.53</v>
      </c>
      <c r="P49" s="37" t="n">
        <v>2627.53</v>
      </c>
      <c r="Q49" s="18" t="n">
        <v>11450.2</v>
      </c>
      <c r="R49" s="18" t="n">
        <v>11450.2</v>
      </c>
      <c r="S49" s="18" t="n">
        <v>11414.12</v>
      </c>
      <c r="T49" s="18" t="n">
        <v>11414.12</v>
      </c>
      <c r="U49" s="37" t="n">
        <v>11414.12</v>
      </c>
      <c r="V49" s="18" t="n">
        <v>11414.12</v>
      </c>
      <c r="W49" s="18" t="n">
        <v>11414.12</v>
      </c>
      <c r="X49" s="18" t="n">
        <v>11414.12</v>
      </c>
      <c r="Y49" s="18" t="n">
        <v>9975.58</v>
      </c>
      <c r="Z49" s="37" t="n">
        <v>9975.58</v>
      </c>
      <c r="AA49" s="18" t="n">
        <v>9989.4</v>
      </c>
      <c r="AB49" s="19" t="n">
        <v>9989.4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18" t="n">
        <v>-30.5</v>
      </c>
      <c r="F50" s="37" t="n">
        <v>-30.5</v>
      </c>
      <c r="G50" s="18" t="n">
        <v>250.01</v>
      </c>
      <c r="H50" s="18" t="n">
        <v>108.71</v>
      </c>
      <c r="I50" s="18" t="n">
        <v>460.18</v>
      </c>
      <c r="J50" s="18" t="n">
        <v>-92.52</v>
      </c>
      <c r="K50" s="37" t="n">
        <v>-92.52</v>
      </c>
      <c r="L50" s="18" t="n">
        <v>98.64</v>
      </c>
      <c r="M50" s="18" t="n">
        <v>678.4400000000001</v>
      </c>
      <c r="N50" s="18" t="n">
        <v>401.24</v>
      </c>
      <c r="O50" s="18" t="n">
        <v>280.44</v>
      </c>
      <c r="P50" s="37" t="n">
        <v>280.44</v>
      </c>
      <c r="Q50" s="18" t="n">
        <v>53.79</v>
      </c>
      <c r="R50" s="18" t="n">
        <v>-103.04</v>
      </c>
      <c r="S50" s="18" t="n">
        <v>-392.45</v>
      </c>
      <c r="T50" s="18" t="n">
        <v>-2165.87</v>
      </c>
      <c r="U50" s="37" t="n">
        <v>-2165.87</v>
      </c>
      <c r="V50" s="18" t="n">
        <v>-1697.38</v>
      </c>
      <c r="W50" s="18" t="n">
        <v>-1623.76</v>
      </c>
      <c r="X50" s="18" t="n">
        <v>-748.8200000000001</v>
      </c>
      <c r="Y50" s="18" t="n">
        <v>-1260.32</v>
      </c>
      <c r="Z50" s="37" t="n">
        <v>-1260.32</v>
      </c>
      <c r="AA50" s="18" t="n">
        <v>-2012.23</v>
      </c>
      <c r="AB50" s="19" t="n">
        <v>-1836.38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18" t="n">
        <v>135856.26</v>
      </c>
      <c r="F51" s="37" t="n">
        <v>135856.26</v>
      </c>
      <c r="G51" s="18" t="n">
        <v>119732.04</v>
      </c>
      <c r="H51" s="18" t="n">
        <v>130675.97</v>
      </c>
      <c r="I51" s="18" t="n">
        <v>133900.85</v>
      </c>
      <c r="J51" s="18" t="n">
        <v>139481.44</v>
      </c>
      <c r="K51" s="37" t="n">
        <v>139481.44</v>
      </c>
      <c r="L51" s="18" t="n">
        <v>123708.12</v>
      </c>
      <c r="M51" s="18" t="n">
        <v>137852.15</v>
      </c>
      <c r="N51" s="18" t="n">
        <v>140700.71</v>
      </c>
      <c r="O51" s="18" t="n">
        <v>146467.09</v>
      </c>
      <c r="P51" s="37" t="n">
        <v>146467.09</v>
      </c>
      <c r="Q51" s="18" t="n">
        <v>138432.29</v>
      </c>
      <c r="R51" s="18" t="n">
        <v>134950.73</v>
      </c>
      <c r="S51" s="18" t="n">
        <v>132323.12</v>
      </c>
      <c r="T51" s="18" t="n">
        <v>147162.89</v>
      </c>
      <c r="U51" s="37" t="n">
        <v>147162.89</v>
      </c>
      <c r="V51" s="18" t="n">
        <v>148489.93</v>
      </c>
      <c r="W51" s="18" t="n">
        <v>152953.78</v>
      </c>
      <c r="X51" s="18" t="n">
        <v>160518.15</v>
      </c>
      <c r="Y51" s="18" t="n">
        <v>186978.67</v>
      </c>
      <c r="Z51" s="37" t="n">
        <v>186978.67</v>
      </c>
      <c r="AA51" s="18" t="n">
        <v>188006.12</v>
      </c>
      <c r="AB51" s="19" t="n">
        <v>204751.54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39688.41</v>
      </c>
      <c r="F52" s="37" t="n">
        <v>39688.41</v>
      </c>
      <c r="G52" s="18" t="n">
        <v>39813.29</v>
      </c>
      <c r="H52" s="18" t="n">
        <v>43533.29</v>
      </c>
      <c r="I52" s="18" t="n">
        <v>44708.75</v>
      </c>
      <c r="J52" s="18" t="n">
        <v>45035.1</v>
      </c>
      <c r="K52" s="37" t="n">
        <v>45035.1</v>
      </c>
      <c r="L52" s="18" t="n">
        <v>45614.85</v>
      </c>
      <c r="M52" s="18" t="n">
        <v>46243.86</v>
      </c>
      <c r="N52" s="18" t="n">
        <v>46060.42</v>
      </c>
      <c r="O52" s="18" t="n">
        <v>50942.46</v>
      </c>
      <c r="P52" s="37" t="n">
        <v>50942.46</v>
      </c>
      <c r="Q52" s="18" t="n">
        <v>51795.49</v>
      </c>
      <c r="R52" s="18" t="n">
        <v>57027.68</v>
      </c>
      <c r="S52" s="18" t="n">
        <v>58219.05</v>
      </c>
      <c r="T52" s="18" t="n">
        <v>61611.75</v>
      </c>
      <c r="U52" s="37" t="n">
        <v>61611.75</v>
      </c>
      <c r="V52" s="18" t="n">
        <v>61799.41</v>
      </c>
      <c r="W52" s="18" t="n">
        <v>62485.87</v>
      </c>
      <c r="X52" s="18" t="n">
        <v>65334.21</v>
      </c>
      <c r="Y52" s="18" t="n">
        <v>71023.49000000001</v>
      </c>
      <c r="Z52" s="37" t="n">
        <v>71023.49000000001</v>
      </c>
      <c r="AA52" s="18" t="n">
        <v>72680.28</v>
      </c>
      <c r="AB52" s="19" t="n">
        <v>76740.82000000001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203194.73</v>
      </c>
      <c r="F53" s="37" t="n">
        <v>203194.73</v>
      </c>
      <c r="G53" s="18" t="n">
        <v>187963.2</v>
      </c>
      <c r="H53" s="18" t="n">
        <v>199239.26</v>
      </c>
      <c r="I53" s="18" t="n">
        <v>203991.08</v>
      </c>
      <c r="J53" s="18" t="n">
        <v>209345.31</v>
      </c>
      <c r="K53" s="37" t="n">
        <v>209345.31</v>
      </c>
      <c r="L53" s="18" t="n">
        <v>194342.89</v>
      </c>
      <c r="M53" s="18" t="n">
        <v>209695.75</v>
      </c>
      <c r="N53" s="18" t="n">
        <v>212083.66</v>
      </c>
      <c r="O53" s="18" t="n">
        <v>231686.08</v>
      </c>
      <c r="P53" s="37" t="n">
        <v>231686.08</v>
      </c>
      <c r="Q53" s="18" t="n">
        <v>233100.33</v>
      </c>
      <c r="R53" s="18" t="n">
        <v>234694.13</v>
      </c>
      <c r="S53" s="18" t="n">
        <v>232932.41</v>
      </c>
      <c r="T53" s="18" t="n">
        <v>249391.45</v>
      </c>
      <c r="U53" s="37" t="n">
        <v>249391.45</v>
      </c>
      <c r="V53" s="18" t="n">
        <v>251374.64</v>
      </c>
      <c r="W53" s="18" t="n">
        <v>256598.57</v>
      </c>
      <c r="X53" s="18" t="n">
        <v>267886.22</v>
      </c>
      <c r="Y53" s="18" t="n">
        <v>299494.09</v>
      </c>
      <c r="Z53" s="37" t="n">
        <v>299494.09</v>
      </c>
      <c r="AA53" s="18" t="n">
        <v>301440.24</v>
      </c>
      <c r="AB53" s="19" t="n">
        <v>322422.05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570404.3</v>
      </c>
      <c r="F54" s="37" t="n">
        <v>570404.3</v>
      </c>
      <c r="G54" s="18" t="n">
        <v>570460.24</v>
      </c>
      <c r="H54" s="18" t="n">
        <v>555082.8199999999</v>
      </c>
      <c r="I54" s="18" t="n">
        <v>557163.61</v>
      </c>
      <c r="J54" s="18" t="n">
        <v>551849.17</v>
      </c>
      <c r="K54" s="37" t="n">
        <v>551849.17</v>
      </c>
      <c r="L54" s="18" t="n">
        <v>551535.47</v>
      </c>
      <c r="M54" s="18" t="n">
        <v>534554.72</v>
      </c>
      <c r="N54" s="18" t="n">
        <v>544559.8199999999</v>
      </c>
      <c r="O54" s="18" t="n">
        <v>544018.92</v>
      </c>
      <c r="P54" s="37" t="n">
        <v>544018.92</v>
      </c>
      <c r="Q54" s="18" t="n">
        <v>583690.4300000001</v>
      </c>
      <c r="R54" s="18" t="n">
        <v>559779.61</v>
      </c>
      <c r="S54" s="18" t="n">
        <v>591129.42</v>
      </c>
      <c r="T54" s="18" t="n">
        <v>620877.55</v>
      </c>
      <c r="U54" s="37" t="n">
        <v>620877.55</v>
      </c>
      <c r="V54" s="18" t="n">
        <v>630064.89</v>
      </c>
      <c r="W54" s="18" t="n">
        <v>627133.95</v>
      </c>
      <c r="X54" s="18" t="n">
        <v>641493.74</v>
      </c>
      <c r="Y54" s="18" t="n">
        <v>637763.65</v>
      </c>
      <c r="Z54" s="37" t="n">
        <v>637763.65</v>
      </c>
      <c r="AA54" s="18" t="n">
        <v>653797.2</v>
      </c>
      <c r="AB54" s="19" t="n">
        <v>659808.9300000001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243485.62</v>
      </c>
      <c r="F55" s="37" t="n">
        <v>243485.62</v>
      </c>
      <c r="G55" s="18" t="n">
        <v>283856.21</v>
      </c>
      <c r="H55" s="18" t="n">
        <v>281770</v>
      </c>
      <c r="I55" s="18" t="n">
        <v>283783</v>
      </c>
      <c r="J55" s="18" t="n">
        <v>279806</v>
      </c>
      <c r="K55" s="37" t="n">
        <v>279806</v>
      </c>
      <c r="L55" s="18" t="n">
        <v>279596</v>
      </c>
      <c r="M55" s="18" t="n">
        <v>255296</v>
      </c>
      <c r="N55" s="18" t="n">
        <v>254106</v>
      </c>
      <c r="O55" s="18" t="n">
        <v>243506</v>
      </c>
      <c r="P55" s="37" t="n">
        <v>243506</v>
      </c>
      <c r="Q55" s="18" t="n">
        <v>242697.59</v>
      </c>
      <c r="R55" s="18" t="n">
        <v>236534.94</v>
      </c>
      <c r="S55" s="18" t="n">
        <v>274602.52</v>
      </c>
      <c r="T55" s="18" t="n">
        <v>278956</v>
      </c>
      <c r="U55" s="37" t="n">
        <v>278956</v>
      </c>
      <c r="V55" s="18" t="n">
        <v>277606</v>
      </c>
      <c r="W55" s="18" t="n">
        <v>278241</v>
      </c>
      <c r="X55" s="18" t="n">
        <v>278391</v>
      </c>
      <c r="Y55" s="18" t="n">
        <v>252881</v>
      </c>
      <c r="Z55" s="37" t="n">
        <v>252881</v>
      </c>
      <c r="AA55" s="18" t="n">
        <v>251831</v>
      </c>
      <c r="AB55" s="19" t="n">
        <v>250781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201841.45</v>
      </c>
      <c r="F56" s="37" t="n">
        <v>201841.45</v>
      </c>
      <c r="G56" s="18" t="n">
        <v>241456.51</v>
      </c>
      <c r="H56" s="18" t="n">
        <v>266993.56</v>
      </c>
      <c r="I56" s="18" t="n">
        <v>250624.03</v>
      </c>
      <c r="J56" s="18" t="n">
        <v>230655.27</v>
      </c>
      <c r="K56" s="37" t="n">
        <v>230655.27</v>
      </c>
      <c r="L56" s="18" t="n">
        <v>247489.71</v>
      </c>
      <c r="M56" s="18" t="n">
        <v>216164.27</v>
      </c>
      <c r="N56" s="18" t="n">
        <v>211527.64</v>
      </c>
      <c r="O56" s="18" t="n">
        <v>190742.81</v>
      </c>
      <c r="P56" s="37" t="n">
        <v>190742.81</v>
      </c>
      <c r="Q56" s="18" t="n">
        <v>170892.11</v>
      </c>
      <c r="R56" s="18" t="n">
        <v>188239.21</v>
      </c>
      <c r="S56" s="18" t="n">
        <v>192644.35</v>
      </c>
      <c r="T56" s="18" t="n">
        <v>199401.83</v>
      </c>
      <c r="U56" s="37" t="n">
        <v>199401.83</v>
      </c>
      <c r="V56" s="18" t="n">
        <v>203006.31</v>
      </c>
      <c r="W56" s="18" t="n">
        <v>183685.08</v>
      </c>
      <c r="X56" s="18" t="n">
        <v>164231.74</v>
      </c>
      <c r="Y56" s="18" t="n">
        <v>171051.95</v>
      </c>
      <c r="Z56" s="37" t="n">
        <v>171051.95</v>
      </c>
      <c r="AA56" s="18" t="n">
        <v>146628.52</v>
      </c>
      <c r="AB56" s="19" t="n">
        <v>148634.15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49682.81</v>
      </c>
      <c r="F57" s="37" t="n">
        <v>49682.81</v>
      </c>
      <c r="G57" s="18" t="n">
        <v>51105.27</v>
      </c>
      <c r="H57" s="18" t="n">
        <v>42230.55</v>
      </c>
      <c r="I57" s="18" t="n">
        <v>43802.32</v>
      </c>
      <c r="J57" s="18" t="n">
        <v>58805.76</v>
      </c>
      <c r="K57" s="37" t="n">
        <v>58805.76</v>
      </c>
      <c r="L57" s="18" t="n">
        <v>46997.67</v>
      </c>
      <c r="M57" s="18" t="n">
        <v>55324.39</v>
      </c>
      <c r="N57" s="18" t="n">
        <v>58069.36</v>
      </c>
      <c r="O57" s="18" t="n">
        <v>68229.05</v>
      </c>
      <c r="P57" s="37" t="n">
        <v>68229.05</v>
      </c>
      <c r="Q57" s="18" t="n">
        <v>87124.28999999999</v>
      </c>
      <c r="R57" s="18" t="n">
        <v>69872.53999999999</v>
      </c>
      <c r="S57" s="18" t="n">
        <v>102458.5</v>
      </c>
      <c r="T57" s="18" t="n">
        <v>99441.36</v>
      </c>
      <c r="U57" s="37" t="n">
        <v>99441.36</v>
      </c>
      <c r="V57" s="18" t="n">
        <v>96119.59</v>
      </c>
      <c r="W57" s="18" t="n">
        <v>117114.1</v>
      </c>
      <c r="X57" s="18" t="n">
        <v>143953.29</v>
      </c>
      <c r="Y57" s="18" t="n">
        <v>112027.31</v>
      </c>
      <c r="Z57" s="37" t="n">
        <v>112027.31</v>
      </c>
      <c r="AA57" s="18" t="n">
        <v>136988.8</v>
      </c>
      <c r="AB57" s="19" t="n">
        <v>138611.11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K58" s="9" t="n"/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G59" s="18" t="n">
        <v>131028.21</v>
      </c>
      <c r="H59" s="18" t="n">
        <v>164542</v>
      </c>
      <c r="I59" s="18" t="n">
        <v>208983</v>
      </c>
      <c r="J59" s="18" t="n">
        <v>192606</v>
      </c>
      <c r="K59" s="37" t="n">
        <v>192606</v>
      </c>
      <c r="L59" s="18" t="n">
        <v>237604.41</v>
      </c>
      <c r="P59" s="9" t="n"/>
      <c r="U59" s="9" t="n"/>
      <c r="Z59" s="9" t="n"/>
      <c r="AA59" s="18" t="n">
        <v>132331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P60" s="9" t="n"/>
      <c r="U60" s="9" t="n"/>
      <c r="Y60" s="18" t="n">
        <v>8169.29</v>
      </c>
      <c r="Z60" s="37" t="n">
        <v>8169.29</v>
      </c>
      <c r="AA60" s="18" t="n">
        <v>8169.29</v>
      </c>
      <c r="AB60" s="19" t="n">
        <v>8169.29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81901.42</v>
      </c>
      <c r="F61" s="9" t="n"/>
      <c r="G61" s="18" t="n">
        <v>139922.87</v>
      </c>
      <c r="H61" s="18" t="n">
        <v>88872.42999999999</v>
      </c>
      <c r="I61" s="18" t="n">
        <v>79905</v>
      </c>
      <c r="J61" s="18" t="n">
        <v>101190.53</v>
      </c>
      <c r="K61" s="37" t="n">
        <v>409890.83</v>
      </c>
      <c r="L61" s="18" t="n">
        <v>71702.28</v>
      </c>
      <c r="M61" s="18" t="n">
        <v>120491.49</v>
      </c>
      <c r="N61" s="18" t="n">
        <v>81986.97</v>
      </c>
      <c r="O61" s="18" t="n">
        <v>110615.72</v>
      </c>
      <c r="P61" s="37" t="n">
        <v>384796.46</v>
      </c>
      <c r="Q61" s="18" t="n">
        <v>86078.31</v>
      </c>
      <c r="R61" s="18" t="n">
        <v>80837.89</v>
      </c>
      <c r="S61" s="18" t="n">
        <v>74151.66</v>
      </c>
      <c r="T61" s="18" t="n">
        <v>111308.71</v>
      </c>
      <c r="U61" s="37" t="n">
        <v>352376.57</v>
      </c>
      <c r="V61" s="18" t="n">
        <v>98495.97</v>
      </c>
      <c r="W61" s="18" t="n">
        <v>98171.23</v>
      </c>
      <c r="X61" s="18" t="n">
        <v>90367.62</v>
      </c>
      <c r="Y61" s="18" t="n">
        <v>115651.44</v>
      </c>
      <c r="Z61" s="37" t="n">
        <v>402686.26</v>
      </c>
      <c r="AA61" s="18" t="n">
        <v>87243.09</v>
      </c>
      <c r="AB61" s="19" t="n">
        <v>93498.44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86831.55</v>
      </c>
      <c r="F62" s="9" t="n"/>
      <c r="G62" s="18" t="n">
        <v>141186.13</v>
      </c>
      <c r="H62" s="18" t="n">
        <v>70635.39999999999</v>
      </c>
      <c r="I62" s="18" t="n">
        <v>69460.77</v>
      </c>
      <c r="J62" s="18" t="n">
        <v>81216.71000000001</v>
      </c>
      <c r="K62" s="37" t="n">
        <v>362499.01</v>
      </c>
      <c r="L62" s="18" t="n">
        <v>72913.55</v>
      </c>
      <c r="M62" s="18" t="n">
        <v>93810.07000000001</v>
      </c>
      <c r="N62" s="18" t="n">
        <v>82334.88</v>
      </c>
      <c r="O62" s="18" t="n">
        <v>79153.39999999999</v>
      </c>
      <c r="P62" s="37" t="n">
        <v>328211.9</v>
      </c>
      <c r="Q62" s="18" t="n">
        <v>76060.99000000001</v>
      </c>
      <c r="R62" s="18" t="n">
        <v>67462.41</v>
      </c>
      <c r="S62" s="18" t="n">
        <v>68006.92999999999</v>
      </c>
      <c r="T62" s="18" t="n">
        <v>82318.69</v>
      </c>
      <c r="U62" s="37" t="n">
        <v>293849.02</v>
      </c>
      <c r="V62" s="18" t="n">
        <v>74721.46000000001</v>
      </c>
      <c r="W62" s="18" t="n">
        <v>83099.11</v>
      </c>
      <c r="X62" s="18" t="n">
        <v>72766.24000000001</v>
      </c>
      <c r="Y62" s="18" t="n">
        <v>74138.25</v>
      </c>
      <c r="Z62" s="37" t="n">
        <v>304725.06</v>
      </c>
      <c r="AA62" s="18" t="n">
        <v>67090.32000000001</v>
      </c>
      <c r="AB62" s="19" t="n">
        <v>67311.53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-4930.13</v>
      </c>
      <c r="F63" s="9" t="n"/>
      <c r="G63" s="18" t="n">
        <v>-1263.26</v>
      </c>
      <c r="H63" s="18" t="n">
        <v>18237.04</v>
      </c>
      <c r="I63" s="18" t="n">
        <v>10444.23</v>
      </c>
      <c r="J63" s="18" t="n">
        <v>19973.82</v>
      </c>
      <c r="K63" s="37" t="n">
        <v>47391.83</v>
      </c>
      <c r="L63" s="18" t="n">
        <v>-1211.28</v>
      </c>
      <c r="M63" s="18" t="n">
        <v>26681.42</v>
      </c>
      <c r="N63" s="18" t="n">
        <v>-347.92</v>
      </c>
      <c r="O63" s="18" t="n">
        <v>31462.31</v>
      </c>
      <c r="P63" s="37" t="n">
        <v>56584.53</v>
      </c>
      <c r="Q63" s="18" t="n">
        <v>10017.32</v>
      </c>
      <c r="R63" s="18" t="n">
        <v>13375.48</v>
      </c>
      <c r="S63" s="18" t="n">
        <v>6144.73</v>
      </c>
      <c r="T63" s="18" t="n">
        <v>28990.02</v>
      </c>
      <c r="U63" s="37" t="n">
        <v>58527.55</v>
      </c>
      <c r="V63" s="18" t="n">
        <v>23774.51</v>
      </c>
      <c r="W63" s="18" t="n">
        <v>15072.12</v>
      </c>
      <c r="X63" s="18" t="n">
        <v>17601.38</v>
      </c>
      <c r="Y63" s="18" t="n">
        <v>41513.19</v>
      </c>
      <c r="Z63" s="37" t="n">
        <v>97961.2</v>
      </c>
      <c r="AA63" s="18" t="n">
        <v>20152.77</v>
      </c>
      <c r="AB63" s="19" t="n">
        <v>26186.91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5562.81</v>
      </c>
      <c r="F64" s="9" t="n"/>
      <c r="G64" s="18" t="n">
        <v>5929.56</v>
      </c>
      <c r="H64" s="18" t="n">
        <v>6069.34</v>
      </c>
      <c r="I64" s="18" t="n">
        <v>5843.83</v>
      </c>
      <c r="J64" s="18" t="n">
        <v>4596.74</v>
      </c>
      <c r="K64" s="37" t="n">
        <v>22439.47</v>
      </c>
      <c r="L64" s="18" t="n">
        <v>5208.53</v>
      </c>
      <c r="M64" s="18" t="n">
        <v>5487.14</v>
      </c>
      <c r="N64" s="18" t="n">
        <v>6299.83</v>
      </c>
      <c r="O64" s="18" t="n">
        <v>6034.31</v>
      </c>
      <c r="P64" s="37" t="n">
        <v>23029.81</v>
      </c>
      <c r="Q64" s="18" t="n">
        <v>5757.97</v>
      </c>
      <c r="R64" s="18" t="n">
        <v>5424</v>
      </c>
      <c r="S64" s="18" t="n">
        <v>5506.27</v>
      </c>
      <c r="T64" s="18" t="n">
        <v>5859.82</v>
      </c>
      <c r="U64" s="37" t="n">
        <v>22548.06</v>
      </c>
      <c r="V64" s="18" t="n">
        <v>5973.64</v>
      </c>
      <c r="W64" s="18" t="n">
        <v>6307.66</v>
      </c>
      <c r="X64" s="18" t="n">
        <v>5457.81</v>
      </c>
      <c r="Y64" s="18" t="n">
        <v>6833.45</v>
      </c>
      <c r="Z64" s="37" t="n">
        <v>24572.56</v>
      </c>
      <c r="AA64" s="18" t="n">
        <v>6513.94</v>
      </c>
      <c r="AB64" s="19" t="n">
        <v>5819.28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-10492.94</v>
      </c>
      <c r="F65" s="9" t="n"/>
      <c r="G65" s="18" t="n">
        <v>-7192.81</v>
      </c>
      <c r="H65" s="18" t="n">
        <v>12167.69</v>
      </c>
      <c r="I65" s="18" t="n">
        <v>4600.41</v>
      </c>
      <c r="J65" s="18" t="n">
        <v>15377.08</v>
      </c>
      <c r="K65" s="37" t="n">
        <v>24952.37</v>
      </c>
      <c r="L65" s="18" t="n">
        <v>-6419.81</v>
      </c>
      <c r="M65" s="18" t="n">
        <v>21194.28</v>
      </c>
      <c r="N65" s="18" t="n">
        <v>-6647.74</v>
      </c>
      <c r="O65" s="18" t="n">
        <v>25428</v>
      </c>
      <c r="P65" s="37" t="n">
        <v>33554.73</v>
      </c>
      <c r="Q65" s="18" t="n">
        <v>4259.35</v>
      </c>
      <c r="R65" s="18" t="n">
        <v>7951.48</v>
      </c>
      <c r="S65" s="18" t="n">
        <v>638.46</v>
      </c>
      <c r="T65" s="18" t="n">
        <v>23130.2</v>
      </c>
      <c r="U65" s="37" t="n">
        <v>35979.49</v>
      </c>
      <c r="V65" s="18" t="n">
        <v>17800.87</v>
      </c>
      <c r="W65" s="18" t="n">
        <v>8764.459999999999</v>
      </c>
      <c r="X65" s="18" t="n">
        <v>12143.57</v>
      </c>
      <c r="Y65" s="18" t="n">
        <v>34679.73</v>
      </c>
      <c r="Z65" s="37" t="n">
        <v>73388.63</v>
      </c>
      <c r="AA65" s="18" t="n">
        <v>13638.83</v>
      </c>
      <c r="AB65" s="19" t="n">
        <v>20367.63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-138.22</v>
      </c>
      <c r="F66" s="9" t="n"/>
      <c r="G66" s="18" t="n">
        <v>-13.94</v>
      </c>
      <c r="H66" s="18" t="n">
        <v>46.41</v>
      </c>
      <c r="I66" s="18" t="n">
        <v>877.05</v>
      </c>
      <c r="J66" s="18" t="n">
        <v>-1893.11</v>
      </c>
      <c r="K66" s="37" t="n">
        <v>-983.59</v>
      </c>
      <c r="L66" s="18" t="n">
        <v>603.25</v>
      </c>
      <c r="M66" s="18" t="n">
        <v>-877.5</v>
      </c>
      <c r="N66" s="18" t="n">
        <v>455.5</v>
      </c>
      <c r="O66" s="18" t="n">
        <v>1758.04</v>
      </c>
      <c r="P66" s="37" t="n">
        <v>1939.29</v>
      </c>
      <c r="Q66" s="18" t="n">
        <v>110.15</v>
      </c>
      <c r="R66" s="18" t="n">
        <v>304.78</v>
      </c>
      <c r="S66" s="18" t="n">
        <v>430.77</v>
      </c>
      <c r="T66" s="18" t="n">
        <v>188.74</v>
      </c>
      <c r="U66" s="37" t="n">
        <v>1034.44</v>
      </c>
      <c r="V66" s="18" t="n">
        <v>305.6</v>
      </c>
      <c r="W66" s="18" t="n">
        <v>209.74</v>
      </c>
      <c r="X66" s="18" t="n">
        <v>166.32</v>
      </c>
      <c r="Y66" s="18" t="n">
        <v>319.8</v>
      </c>
      <c r="Z66" s="37" t="n">
        <v>1001.46</v>
      </c>
      <c r="AA66" s="18" t="n">
        <v>113.32</v>
      </c>
      <c r="AB66" s="19" t="n">
        <v>381.7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995.98</v>
      </c>
      <c r="F67" s="9" t="n"/>
      <c r="G67" s="18" t="n">
        <v>111.15</v>
      </c>
      <c r="H67" s="18" t="n">
        <v>263.07</v>
      </c>
      <c r="I67" s="18" t="n">
        <v>1023.21</v>
      </c>
      <c r="J67" s="18" t="n">
        <v>37.09</v>
      </c>
      <c r="K67" s="37" t="n">
        <v>1434.52</v>
      </c>
      <c r="L67" s="18" t="n">
        <v>863.96</v>
      </c>
      <c r="M67" s="18" t="n">
        <v>-268.84</v>
      </c>
      <c r="N67" s="18" t="n">
        <v>488.68</v>
      </c>
      <c r="O67" s="18" t="n">
        <v>1756.02</v>
      </c>
      <c r="P67" s="37" t="n">
        <v>2839.82</v>
      </c>
      <c r="Q67" s="18" t="n">
        <v>476.88</v>
      </c>
      <c r="R67" s="18" t="n">
        <v>333.75</v>
      </c>
      <c r="S67" s="18" t="n">
        <v>423.85</v>
      </c>
      <c r="T67" s="18" t="n">
        <v>273.1</v>
      </c>
      <c r="U67" s="37" t="n">
        <v>1507.58</v>
      </c>
      <c r="V67" s="18" t="n">
        <v>476.15</v>
      </c>
      <c r="W67" s="18" t="n">
        <v>320.43</v>
      </c>
      <c r="X67" s="18" t="n">
        <v>194.42</v>
      </c>
      <c r="Y67" s="18" t="n">
        <v>253.39</v>
      </c>
      <c r="Z67" s="37" t="n">
        <v>1244.39</v>
      </c>
      <c r="AA67" s="18" t="n">
        <v>261.62</v>
      </c>
      <c r="AB67" s="19" t="n">
        <v>487.29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1134.2</v>
      </c>
      <c r="F68" s="9" t="n"/>
      <c r="G68" s="18" t="n">
        <v>125.09</v>
      </c>
      <c r="H68" s="18" t="n">
        <v>216.66</v>
      </c>
      <c r="I68" s="18" t="n">
        <v>146.17</v>
      </c>
      <c r="J68" s="18" t="n">
        <v>1930.21</v>
      </c>
      <c r="K68" s="37" t="n">
        <v>2418.13</v>
      </c>
      <c r="L68" s="18" t="n">
        <v>260.71</v>
      </c>
      <c r="M68" s="18" t="n">
        <v>608.66</v>
      </c>
      <c r="N68" s="18" t="n">
        <v>33.17</v>
      </c>
      <c r="O68" s="18" t="n">
        <v>-2.03</v>
      </c>
      <c r="P68" s="37" t="n">
        <v>900.51</v>
      </c>
      <c r="Q68" s="18" t="n">
        <v>366.73</v>
      </c>
      <c r="R68" s="18" t="n">
        <v>28.97</v>
      </c>
      <c r="S68" s="18" t="n">
        <v>-6.92</v>
      </c>
      <c r="T68" s="18" t="n">
        <v>84.37</v>
      </c>
      <c r="U68" s="37" t="n">
        <v>473.15</v>
      </c>
      <c r="V68" s="18" t="n">
        <v>170.55</v>
      </c>
      <c r="W68" s="18" t="n">
        <v>110.69</v>
      </c>
      <c r="X68" s="18" t="n">
        <v>28.1</v>
      </c>
      <c r="Y68" s="18" t="n">
        <v>-66.41</v>
      </c>
      <c r="Z68" s="37" t="n">
        <v>242.93</v>
      </c>
      <c r="AA68" s="18" t="n">
        <v>148.3</v>
      </c>
      <c r="AB68" s="19" t="n">
        <v>105.59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-622.78</v>
      </c>
      <c r="F69" s="9" t="n"/>
      <c r="G69" s="18" t="n">
        <v>-2875.26</v>
      </c>
      <c r="H69" s="18" t="n">
        <v>2001.45</v>
      </c>
      <c r="I69" s="18" t="n">
        <v>455.01</v>
      </c>
      <c r="J69" s="18" t="n">
        <v>-6405.57</v>
      </c>
      <c r="K69" s="37" t="n">
        <v>-6824.37</v>
      </c>
      <c r="L69" s="18" t="n">
        <v>-1767.94</v>
      </c>
      <c r="M69" s="18" t="n">
        <v>-2749.08</v>
      </c>
      <c r="N69" s="18" t="n">
        <v>-1724.77</v>
      </c>
      <c r="O69" s="18" t="n">
        <v>-2707.67</v>
      </c>
      <c r="P69" s="37" t="n">
        <v>-8949.459999999999</v>
      </c>
      <c r="Q69" s="18" t="n">
        <v>-1356.24</v>
      </c>
      <c r="R69" s="18" t="n">
        <v>-2509.73</v>
      </c>
      <c r="S69" s="18" t="n">
        <v>-2638.48</v>
      </c>
      <c r="T69" s="18" t="n">
        <v>-826.9</v>
      </c>
      <c r="U69" s="37" t="n">
        <v>-7331.35</v>
      </c>
      <c r="V69" s="18" t="n">
        <v>-652.14</v>
      </c>
      <c r="W69" s="18" t="n">
        <v>-2214.07</v>
      </c>
      <c r="X69" s="18" t="n">
        <v>472.9</v>
      </c>
      <c r="Y69" s="18" t="n">
        <v>1451.79</v>
      </c>
      <c r="Z69" s="37" t="n">
        <v>-941.52</v>
      </c>
      <c r="AA69" s="18" t="n">
        <v>6732.92</v>
      </c>
      <c r="AB69" s="19" t="n">
        <v>6121.02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881.61</v>
      </c>
      <c r="F70" s="9" t="n"/>
      <c r="G70" s="18" t="n">
        <v>1261.8</v>
      </c>
      <c r="H70" s="18" t="n">
        <v>2260.37</v>
      </c>
      <c r="I70" s="18" t="n">
        <v>2673.51</v>
      </c>
      <c r="J70" s="18" t="n">
        <v>206.25</v>
      </c>
      <c r="K70" s="37" t="n">
        <v>6401.93</v>
      </c>
      <c r="L70" s="18" t="n">
        <v>1665.89</v>
      </c>
      <c r="M70" s="18" t="n">
        <v>626.16</v>
      </c>
      <c r="N70" s="18" t="n">
        <v>1079.94</v>
      </c>
      <c r="O70" s="18" t="n">
        <v>802.35</v>
      </c>
      <c r="P70" s="37" t="n">
        <v>4174.34</v>
      </c>
      <c r="Q70" s="18" t="n">
        <v>1718.62</v>
      </c>
      <c r="R70" s="18" t="n">
        <v>1129.72</v>
      </c>
      <c r="S70" s="18" t="n">
        <v>1101.25</v>
      </c>
      <c r="T70" s="18" t="n">
        <v>2738.68</v>
      </c>
      <c r="U70" s="37" t="n">
        <v>6688.27</v>
      </c>
      <c r="V70" s="18" t="n">
        <v>2225.28</v>
      </c>
      <c r="W70" s="18" t="n">
        <v>1479.28</v>
      </c>
      <c r="X70" s="18" t="n">
        <v>2886.02</v>
      </c>
      <c r="Y70" s="18" t="n">
        <v>4825.26</v>
      </c>
      <c r="Z70" s="37" t="n">
        <v>11415.84</v>
      </c>
      <c r="AA70" s="18" t="n">
        <v>10861.67</v>
      </c>
      <c r="AB70" s="19" t="n">
        <v>8207.5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1504.4</v>
      </c>
      <c r="F71" s="9" t="n"/>
      <c r="G71" s="18" t="n">
        <v>4137.05</v>
      </c>
      <c r="H71" s="18" t="n">
        <v>258.92</v>
      </c>
      <c r="I71" s="18" t="n">
        <v>2218.51</v>
      </c>
      <c r="J71" s="18" t="n">
        <v>6611.82</v>
      </c>
      <c r="K71" s="37" t="n">
        <v>13226.3</v>
      </c>
      <c r="L71" s="18" t="n">
        <v>3433.83</v>
      </c>
      <c r="M71" s="18" t="n">
        <v>3375.24</v>
      </c>
      <c r="N71" s="18" t="n">
        <v>2804.71</v>
      </c>
      <c r="O71" s="18" t="n">
        <v>3510.02</v>
      </c>
      <c r="P71" s="37" t="n">
        <v>13123.8</v>
      </c>
      <c r="Q71" s="18" t="n">
        <v>3074.86</v>
      </c>
      <c r="R71" s="18" t="n">
        <v>3639.45</v>
      </c>
      <c r="S71" s="18" t="n">
        <v>3739.73</v>
      </c>
      <c r="T71" s="18" t="n">
        <v>3565.58</v>
      </c>
      <c r="U71" s="37" t="n">
        <v>14019.62</v>
      </c>
      <c r="V71" s="18" t="n">
        <v>2877.42</v>
      </c>
      <c r="W71" s="18" t="n">
        <v>3693.35</v>
      </c>
      <c r="X71" s="18" t="n">
        <v>2413.12</v>
      </c>
      <c r="Y71" s="18" t="n">
        <v>3373.47</v>
      </c>
      <c r="Z71" s="37" t="n">
        <v>12357.36</v>
      </c>
      <c r="AA71" s="18" t="n">
        <v>4128.76</v>
      </c>
      <c r="AB71" s="19" t="n">
        <v>2086.48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종속기업,공동지배기업및관계기업관련손익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-574.48</v>
      </c>
      <c r="K72" s="37" t="n">
        <v>-574.48</v>
      </c>
      <c r="L72" s="18" t="n">
        <v>-17.52</v>
      </c>
      <c r="M72" s="18" t="n">
        <v>-240.58</v>
      </c>
      <c r="N72" s="18" t="n">
        <v>-135.05</v>
      </c>
      <c r="O72" s="18" t="n">
        <v>-325.37</v>
      </c>
      <c r="P72" s="37" t="n">
        <v>-718.52</v>
      </c>
      <c r="Q72" s="18" t="n">
        <v>-129.75</v>
      </c>
      <c r="R72" s="18" t="n">
        <v>-124.23</v>
      </c>
      <c r="S72" s="18" t="n">
        <v>-134.75</v>
      </c>
      <c r="T72" s="18" t="n">
        <v>-246.38</v>
      </c>
      <c r="U72" s="37" t="n">
        <v>-635.11</v>
      </c>
      <c r="V72" s="18" t="n">
        <v>-100.49</v>
      </c>
      <c r="W72" s="18" t="n">
        <v>96.05</v>
      </c>
      <c r="X72" s="18" t="n">
        <v>-7.91</v>
      </c>
      <c r="Y72" s="18" t="n">
        <v>0.11</v>
      </c>
      <c r="Z72" s="37" t="n">
        <v>-12.24</v>
      </c>
      <c r="AA72" s="18" t="n">
        <v>13.82</v>
      </c>
      <c r="AB72" s="19" t="n">
        <v>-6.39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-11253.94</v>
      </c>
      <c r="F73" s="9" t="n"/>
      <c r="G73" s="18" t="n">
        <v>-10082.01</v>
      </c>
      <c r="H73" s="18" t="n">
        <v>14215.55</v>
      </c>
      <c r="I73" s="18" t="n">
        <v>5932.46</v>
      </c>
      <c r="J73" s="18" t="n">
        <v>6503.91</v>
      </c>
      <c r="K73" s="37" t="n">
        <v>16569.91</v>
      </c>
      <c r="L73" s="18" t="n">
        <v>-7602.02</v>
      </c>
      <c r="M73" s="18" t="n">
        <v>17327.11</v>
      </c>
      <c r="N73" s="18" t="n">
        <v>-8052.06</v>
      </c>
      <c r="O73" s="18" t="n">
        <v>24153.01</v>
      </c>
      <c r="P73" s="37" t="n">
        <v>25826.04</v>
      </c>
      <c r="Q73" s="18" t="n">
        <v>2883.5</v>
      </c>
      <c r="R73" s="18" t="n">
        <v>5622.3</v>
      </c>
      <c r="S73" s="18" t="n">
        <v>-1704</v>
      </c>
      <c r="T73" s="18" t="n">
        <v>22245.66</v>
      </c>
      <c r="U73" s="37" t="n">
        <v>29047.46</v>
      </c>
      <c r="V73" s="18" t="n">
        <v>17353.84</v>
      </c>
      <c r="W73" s="18" t="n">
        <v>6856.17</v>
      </c>
      <c r="X73" s="18" t="n">
        <v>12774.87</v>
      </c>
      <c r="Y73" s="18" t="n">
        <v>36451.44</v>
      </c>
      <c r="Z73" s="37" t="n">
        <v>73436.32000000001</v>
      </c>
      <c r="AA73" s="18" t="n">
        <v>20498.88</v>
      </c>
      <c r="AB73" s="19" t="n">
        <v>26863.97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-1548.57</v>
      </c>
      <c r="F74" s="9" t="n"/>
      <c r="G74" s="18" t="n">
        <v>-1956.87</v>
      </c>
      <c r="H74" s="18" t="n">
        <v>3468.26</v>
      </c>
      <c r="I74" s="18" t="n">
        <v>1736.26</v>
      </c>
      <c r="J74" s="18" t="n">
        <v>102.19</v>
      </c>
      <c r="K74" s="37" t="n">
        <v>3349.84</v>
      </c>
      <c r="L74" s="18" t="n">
        <v>-1547.49</v>
      </c>
      <c r="M74" s="18" t="n">
        <v>3858.12</v>
      </c>
      <c r="N74" s="18" t="n">
        <v>504</v>
      </c>
      <c r="O74" s="18" t="n">
        <v>-354.56</v>
      </c>
      <c r="P74" s="37" t="n">
        <v>2460.07</v>
      </c>
      <c r="Q74" s="18" t="n">
        <v>280.17</v>
      </c>
      <c r="R74" s="18" t="n">
        <v>3886.87</v>
      </c>
      <c r="S74" s="18" t="n">
        <v>-583.59</v>
      </c>
      <c r="T74" s="18" t="n">
        <v>3442.56</v>
      </c>
      <c r="U74" s="37" t="n">
        <v>7026.01</v>
      </c>
      <c r="V74" s="18" t="n">
        <v>4172.58</v>
      </c>
      <c r="W74" s="18" t="n">
        <v>2026.02</v>
      </c>
      <c r="X74" s="18" t="n">
        <v>2733.58</v>
      </c>
      <c r="Y74" s="18" t="n">
        <v>4659.68</v>
      </c>
      <c r="Z74" s="37" t="n">
        <v>13591.86</v>
      </c>
      <c r="AA74" s="18" t="n">
        <v>4714.27</v>
      </c>
      <c r="AB74" s="19" t="n">
        <v>6240.55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-9705.370000000001</v>
      </c>
      <c r="F75" s="9" t="n"/>
      <c r="G75" s="18" t="n">
        <v>-8125.14</v>
      </c>
      <c r="H75" s="18" t="n">
        <v>10747.3</v>
      </c>
      <c r="I75" s="18" t="n">
        <v>4196.2</v>
      </c>
      <c r="J75" s="18" t="n">
        <v>6401.72</v>
      </c>
      <c r="K75" s="37" t="n">
        <v>13220.08</v>
      </c>
      <c r="L75" s="18" t="n">
        <v>-6054.53</v>
      </c>
      <c r="M75" s="18" t="n">
        <v>13468.99</v>
      </c>
      <c r="N75" s="18" t="n">
        <v>3244.72</v>
      </c>
      <c r="O75" s="18" t="n">
        <v>12071.14</v>
      </c>
      <c r="P75" s="37" t="n">
        <v>22730.32</v>
      </c>
      <c r="Q75" s="18" t="n">
        <v>2603.33</v>
      </c>
      <c r="R75" s="18" t="n">
        <v>1735.43</v>
      </c>
      <c r="S75" s="18" t="n">
        <v>-1120.41</v>
      </c>
      <c r="T75" s="18" t="n">
        <v>18803.1</v>
      </c>
      <c r="U75" s="37" t="n">
        <v>22021.45</v>
      </c>
      <c r="V75" s="18" t="n">
        <v>13181.26</v>
      </c>
      <c r="W75" s="18" t="n">
        <v>4830.15</v>
      </c>
      <c r="X75" s="18" t="n">
        <v>10041.29</v>
      </c>
      <c r="Y75" s="18" t="n">
        <v>31791.76</v>
      </c>
      <c r="Z75" s="37" t="n">
        <v>59844.46</v>
      </c>
      <c r="AA75" s="18" t="n">
        <v>15784.61</v>
      </c>
      <c r="AB75" s="19" t="n">
        <v>20623.42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-10998.72</v>
      </c>
      <c r="F76" s="9" t="n"/>
      <c r="G76" s="18" t="n">
        <v>-7956.78</v>
      </c>
      <c r="H76" s="18" t="n">
        <v>10387.63</v>
      </c>
      <c r="I76" s="18" t="n">
        <v>3302.81</v>
      </c>
      <c r="J76" s="18" t="n">
        <v>5857.17</v>
      </c>
      <c r="K76" s="37" t="n">
        <v>11590.83</v>
      </c>
      <c r="L76" s="18" t="n">
        <v>-6547.57</v>
      </c>
      <c r="M76" s="18" t="n">
        <v>13311.95</v>
      </c>
      <c r="N76" s="18" t="n">
        <v>3198.49</v>
      </c>
      <c r="O76" s="18" t="n">
        <v>7158.84</v>
      </c>
      <c r="P76" s="37" t="n">
        <v>17121.71</v>
      </c>
      <c r="Q76" s="18" t="n">
        <v>2574.74</v>
      </c>
      <c r="R76" s="18" t="n">
        <v>-3529.64</v>
      </c>
      <c r="S76" s="18" t="n">
        <v>-2625.77</v>
      </c>
      <c r="T76" s="18" t="n">
        <v>14931.38</v>
      </c>
      <c r="U76" s="37" t="n">
        <v>11350.71</v>
      </c>
      <c r="V76" s="18" t="n">
        <v>12994.64</v>
      </c>
      <c r="W76" s="18" t="n">
        <v>4278.63</v>
      </c>
      <c r="X76" s="18" t="n">
        <v>7185.88</v>
      </c>
      <c r="Y76" s="18" t="n">
        <v>26221.8</v>
      </c>
      <c r="Z76" s="37" t="n">
        <v>50680.95</v>
      </c>
      <c r="AA76" s="18" t="n">
        <v>14098.17</v>
      </c>
      <c r="AB76" s="19" t="n">
        <v>16542.49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(비지배주주지분)당기순이익</t>
        </is>
      </c>
      <c r="E77" s="18" t="n">
        <v>1293.34</v>
      </c>
      <c r="F77" s="9" t="n"/>
      <c r="G77" s="18" t="n">
        <v>-168.36</v>
      </c>
      <c r="H77" s="18" t="n">
        <v>359.66</v>
      </c>
      <c r="I77" s="18" t="n">
        <v>893.4</v>
      </c>
      <c r="J77" s="18" t="n">
        <v>544.55</v>
      </c>
      <c r="K77" s="37" t="n">
        <v>1629.25</v>
      </c>
      <c r="L77" s="18" t="n">
        <v>493.04</v>
      </c>
      <c r="M77" s="18" t="n">
        <v>157.04</v>
      </c>
      <c r="N77" s="18" t="n">
        <v>46.23</v>
      </c>
      <c r="O77" s="18" t="n">
        <v>4912.3</v>
      </c>
      <c r="P77" s="37" t="n">
        <v>5608.61</v>
      </c>
      <c r="Q77" s="18" t="n">
        <v>28.6</v>
      </c>
      <c r="R77" s="18" t="n">
        <v>5265.07</v>
      </c>
      <c r="S77" s="18" t="n">
        <v>1505.36</v>
      </c>
      <c r="T77" s="18" t="n">
        <v>3871.72</v>
      </c>
      <c r="U77" s="37" t="n">
        <v>10670.75</v>
      </c>
      <c r="V77" s="18" t="n">
        <v>186.62</v>
      </c>
      <c r="W77" s="18" t="n">
        <v>551.53</v>
      </c>
      <c r="X77" s="18" t="n">
        <v>2855.41</v>
      </c>
      <c r="Y77" s="18" t="n">
        <v>5569.96</v>
      </c>
      <c r="Z77" s="37" t="n">
        <v>9163.52</v>
      </c>
      <c r="AA77" s="18" t="n">
        <v>1686.45</v>
      </c>
      <c r="AB77" s="19" t="n">
        <v>4080.92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-9388.65</v>
      </c>
      <c r="F78" s="9" t="n"/>
      <c r="G78" s="18" t="n">
        <v>-7555.73</v>
      </c>
      <c r="H78" s="18" t="n">
        <v>11276.06</v>
      </c>
      <c r="I78" s="18" t="n">
        <v>4614.33</v>
      </c>
      <c r="J78" s="18" t="n">
        <v>5354.24</v>
      </c>
      <c r="K78" s="37" t="n">
        <v>13688.9</v>
      </c>
      <c r="L78" s="18" t="n">
        <v>-6165.28</v>
      </c>
      <c r="M78" s="18" t="n">
        <v>14750.38</v>
      </c>
      <c r="N78" s="18" t="n">
        <v>3023.56</v>
      </c>
      <c r="O78" s="18" t="n">
        <v>9891.959999999999</v>
      </c>
      <c r="P78" s="37" t="n">
        <v>21500.62</v>
      </c>
      <c r="Q78" s="18" t="n">
        <v>2599.78</v>
      </c>
      <c r="R78" s="18" t="n">
        <v>1593.8</v>
      </c>
      <c r="S78" s="18" t="n">
        <v>-1480.09</v>
      </c>
      <c r="T78" s="18" t="n">
        <v>16459.05</v>
      </c>
      <c r="U78" s="37" t="n">
        <v>19172.54</v>
      </c>
      <c r="V78" s="18" t="n">
        <v>13353.08</v>
      </c>
      <c r="W78" s="18" t="n">
        <v>5223.93</v>
      </c>
      <c r="X78" s="18" t="n">
        <v>11287.64</v>
      </c>
      <c r="Y78" s="18" t="n">
        <v>31638.3</v>
      </c>
      <c r="Z78" s="37" t="n">
        <v>61502.95</v>
      </c>
      <c r="AA78" s="18" t="n">
        <v>14737.28</v>
      </c>
      <c r="AB78" s="19" t="n">
        <v>20981.81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-9705.370000000001</v>
      </c>
      <c r="F79" s="9" t="n"/>
      <c r="G79" s="18" t="n">
        <v>-8125.14</v>
      </c>
      <c r="H79" s="18" t="n">
        <v>10747.3</v>
      </c>
      <c r="I79" s="18" t="n">
        <v>4196.2</v>
      </c>
      <c r="J79" s="18" t="n">
        <v>6401.72</v>
      </c>
      <c r="K79" s="37" t="n">
        <v>13220.08</v>
      </c>
      <c r="L79" s="18" t="n">
        <v>-6054.53</v>
      </c>
      <c r="M79" s="18" t="n">
        <v>13468.99</v>
      </c>
      <c r="N79" s="18" t="n">
        <v>-8556.049999999999</v>
      </c>
      <c r="O79" s="18" t="n">
        <v>24507.57</v>
      </c>
      <c r="P79" s="37" t="n">
        <v>23365.98</v>
      </c>
      <c r="Q79" s="18" t="n">
        <v>2603.33</v>
      </c>
      <c r="R79" s="18" t="n">
        <v>1735.43</v>
      </c>
      <c r="S79" s="18" t="n">
        <v>-1120.41</v>
      </c>
      <c r="T79" s="18" t="n">
        <v>18803.1</v>
      </c>
      <c r="U79" s="37" t="n">
        <v>22021.45</v>
      </c>
      <c r="V79" s="18" t="n">
        <v>13181.26</v>
      </c>
      <c r="W79" s="18" t="n">
        <v>4830.15</v>
      </c>
      <c r="X79" s="18" t="n">
        <v>10041.29</v>
      </c>
      <c r="Y79" s="18" t="n">
        <v>31791.76</v>
      </c>
      <c r="Z79" s="37" t="n">
        <v>59844.46</v>
      </c>
      <c r="AA79" s="18" t="n">
        <v>15784.61</v>
      </c>
      <c r="AB79" s="19" t="n">
        <v>20623.42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중단사업이익</t>
        </is>
      </c>
      <c r="F80" s="9" t="n"/>
      <c r="K80" s="9" t="n"/>
      <c r="N80" s="18" t="n">
        <v>11800.77</v>
      </c>
      <c r="O80" s="18" t="n">
        <v>-12436.42</v>
      </c>
      <c r="P80" s="9" t="n"/>
      <c r="S80" s="18" t="n">
        <v>0</v>
      </c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이자수익</t>
        </is>
      </c>
      <c r="F81" s="9" t="n"/>
      <c r="K81" s="9" t="n"/>
      <c r="P81" s="9" t="n"/>
      <c r="Q81" s="18" t="n">
        <v>641.92</v>
      </c>
      <c r="R81" s="18" t="n">
        <v>345.4</v>
      </c>
      <c r="S81" s="18" t="n">
        <v>1033.99</v>
      </c>
      <c r="T81" s="18" t="n">
        <v>845.59</v>
      </c>
      <c r="U81" s="37" t="n">
        <v>2866.9</v>
      </c>
      <c r="V81" s="18" t="n">
        <v>509.9</v>
      </c>
      <c r="W81" s="18" t="n">
        <v>1472.31</v>
      </c>
      <c r="X81" s="18" t="n">
        <v>515.16</v>
      </c>
      <c r="Y81" s="18" t="n">
        <v>1897.15</v>
      </c>
      <c r="Z81" s="37" t="n">
        <v>4394.52</v>
      </c>
      <c r="AB81" s="19" t="n">
        <v>731.79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K82" s="9" t="n"/>
      <c r="P82" s="9" t="n"/>
      <c r="Q82" s="18" t="n">
        <v>3045.6</v>
      </c>
      <c r="R82" s="18" t="n">
        <v>2950.03</v>
      </c>
      <c r="S82" s="18" t="n">
        <v>2959.84</v>
      </c>
      <c r="T82" s="18" t="n">
        <v>2990.47</v>
      </c>
      <c r="U82" s="37" t="n">
        <v>11945.94</v>
      </c>
      <c r="V82" s="18" t="n">
        <v>2820.49</v>
      </c>
      <c r="W82" s="18" t="n">
        <v>2880.27</v>
      </c>
      <c r="X82" s="18" t="n">
        <v>2649.45</v>
      </c>
      <c r="Y82" s="18" t="n">
        <v>2486.17</v>
      </c>
      <c r="Z82" s="37" t="n">
        <v>10836.38</v>
      </c>
      <c r="AB82" s="19" t="n">
        <v>2239.9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외환차익</t>
        </is>
      </c>
      <c r="F83" s="9" t="n"/>
      <c r="K83" s="9" t="n"/>
      <c r="P83" s="9" t="n"/>
      <c r="Q83" s="18" t="n">
        <v>697.64</v>
      </c>
      <c r="R83" s="18" t="n">
        <v>619.5</v>
      </c>
      <c r="S83" s="18" t="n">
        <v>62.69</v>
      </c>
      <c r="T83" s="18" t="n">
        <v>1391.84</v>
      </c>
      <c r="U83" s="37" t="n">
        <v>2771.67</v>
      </c>
      <c r="V83" s="18" t="n">
        <v>294.04</v>
      </c>
      <c r="W83" s="18" t="n">
        <v>176</v>
      </c>
      <c r="X83" s="18" t="n">
        <v>50.1</v>
      </c>
      <c r="Y83" s="18" t="n">
        <v>502.38</v>
      </c>
      <c r="Z83" s="37" t="n">
        <v>1022.52</v>
      </c>
      <c r="AB83" s="19" t="n">
        <v>507.94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K84" s="9" t="n"/>
      <c r="P84" s="9" t="n"/>
      <c r="Q84" s="18" t="n">
        <v>10.47</v>
      </c>
      <c r="R84" s="18" t="n">
        <v>6.94</v>
      </c>
      <c r="S84" s="18" t="n">
        <v>103.68</v>
      </c>
      <c r="T84" s="18" t="n">
        <v>290.21</v>
      </c>
      <c r="U84" s="37" t="n">
        <v>411.3</v>
      </c>
      <c r="V84" s="18" t="n">
        <v>43.62</v>
      </c>
      <c r="W84" s="18" t="n">
        <v>162.47</v>
      </c>
      <c r="X84" s="18" t="n">
        <v>409.97</v>
      </c>
      <c r="Y84" s="18" t="n">
        <v>338.99</v>
      </c>
      <c r="Z84" s="37" t="n">
        <v>955.05</v>
      </c>
      <c r="AB84" s="19" t="n">
        <v>16.19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외화환산이익</t>
        </is>
      </c>
      <c r="F85" s="9" t="n"/>
      <c r="K85" s="9" t="n"/>
      <c r="P85" s="9" t="n"/>
      <c r="Q85" s="18" t="n">
        <v>208.61</v>
      </c>
      <c r="R85" s="18" t="n">
        <v>-173.75</v>
      </c>
      <c r="S85" s="18" t="n">
        <v>13.84</v>
      </c>
      <c r="T85" s="18" t="n">
        <v>178.28</v>
      </c>
      <c r="U85" s="37" t="n">
        <v>226.98</v>
      </c>
      <c r="V85" s="18" t="n">
        <v>1420.51</v>
      </c>
      <c r="W85" s="18" t="n">
        <v>-550.5700000000001</v>
      </c>
      <c r="X85" s="18" t="n">
        <v>1503.87</v>
      </c>
      <c r="Y85" s="18" t="n">
        <v>-15.1</v>
      </c>
      <c r="Z85" s="37" t="n">
        <v>2358.71</v>
      </c>
      <c r="AB85" s="19" t="n">
        <v>1238.84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외화환산손실</t>
        </is>
      </c>
      <c r="F86" s="9" t="n"/>
      <c r="K86" s="9" t="n"/>
      <c r="P86" s="9" t="n"/>
      <c r="Q86" s="18" t="n">
        <v>18.8</v>
      </c>
      <c r="R86" s="18" t="n">
        <v>682.48</v>
      </c>
      <c r="S86" s="18" t="n">
        <v>676.2</v>
      </c>
      <c r="T86" s="18" t="n">
        <v>284.9</v>
      </c>
      <c r="U86" s="37" t="n">
        <v>1662.38</v>
      </c>
      <c r="V86" s="18" t="n">
        <v>13.31</v>
      </c>
      <c r="W86" s="18" t="n">
        <v>650.62</v>
      </c>
      <c r="X86" s="18" t="n">
        <v>-646.3099999999999</v>
      </c>
      <c r="Y86" s="18" t="n">
        <v>10.82</v>
      </c>
      <c r="Z86" s="37" t="n">
        <v>28.44</v>
      </c>
      <c r="AB86" s="19" t="n">
        <v>14.61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Q87" s="18" t="n">
        <v>-2403.68</v>
      </c>
      <c r="R87" s="18" t="n">
        <v>-2604.63</v>
      </c>
      <c r="S87" s="18" t="n">
        <v>-1925.85</v>
      </c>
      <c r="T87" s="18" t="n">
        <v>-2144.88</v>
      </c>
      <c r="U87" s="37" t="n">
        <v>-9079.040000000001</v>
      </c>
      <c r="V87" s="18" t="n">
        <v>-2310.59</v>
      </c>
      <c r="W87" s="18" t="n">
        <v>-1407.96</v>
      </c>
      <c r="X87" s="18" t="n">
        <v>-2134.29</v>
      </c>
      <c r="Y87" s="18" t="n">
        <v>-589.02</v>
      </c>
      <c r="Z87" s="37" t="n">
        <v>-6441.86</v>
      </c>
      <c r="AB87" s="19" t="n">
        <v>-1508.11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배당금수익</t>
        </is>
      </c>
      <c r="F88" s="9" t="n"/>
      <c r="K88" s="9" t="n"/>
      <c r="P88" s="9" t="n"/>
      <c r="S88" s="18" t="n">
        <v>0</v>
      </c>
      <c r="T88" s="18" t="n">
        <v>0</v>
      </c>
      <c r="U88" s="9" t="n"/>
      <c r="X88" s="18" t="n">
        <v>10.64</v>
      </c>
      <c r="Y88" s="18" t="n">
        <v>24.85</v>
      </c>
      <c r="Z88" s="9" t="n"/>
      <c r="AB88" s="19" t="n">
        <v>340.68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-11105</v>
      </c>
      <c r="F89" s="9" t="n"/>
      <c r="G89" s="18" t="n">
        <v>-20116.62</v>
      </c>
      <c r="H89" s="18" t="n">
        <v>7511.35</v>
      </c>
      <c r="I89" s="18" t="n">
        <v>4975.25</v>
      </c>
      <c r="J89" s="18" t="n">
        <v>27161.72</v>
      </c>
      <c r="K89" s="37" t="n">
        <v>19531.7</v>
      </c>
      <c r="L89" s="18" t="n">
        <v>-10890.66</v>
      </c>
      <c r="M89" s="18" t="n">
        <v>43778.46</v>
      </c>
      <c r="N89" s="18" t="n">
        <v>12798.55</v>
      </c>
      <c r="O89" s="18" t="n">
        <v>23379.42</v>
      </c>
      <c r="P89" s="37" t="n">
        <v>69065.77</v>
      </c>
      <c r="Q89" s="18" t="n">
        <v>13245.72</v>
      </c>
      <c r="R89" s="18" t="n">
        <v>6881.57</v>
      </c>
      <c r="S89" s="18" t="n">
        <v>2183.77</v>
      </c>
      <c r="T89" s="18" t="n">
        <v>9340.120000000001</v>
      </c>
      <c r="U89" s="37" t="n">
        <v>31651.18</v>
      </c>
      <c r="V89" s="18" t="n">
        <v>-711.8</v>
      </c>
      <c r="W89" s="18" t="n">
        <v>32230.31</v>
      </c>
      <c r="X89" s="18" t="n">
        <v>26686.46</v>
      </c>
      <c r="Y89" s="18" t="n">
        <v>-647.34</v>
      </c>
      <c r="Z89" s="37" t="n">
        <v>57557.63</v>
      </c>
      <c r="AA89" s="18" t="n">
        <v>26339.65</v>
      </c>
      <c r="AB89" s="19" t="n">
        <v>15768.09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-109.44</v>
      </c>
      <c r="F90" s="9" t="n"/>
      <c r="G90" s="18" t="n">
        <v>-5594.55</v>
      </c>
      <c r="H90" s="18" t="n">
        <v>-6715.09</v>
      </c>
      <c r="I90" s="18" t="n">
        <v>-245.73</v>
      </c>
      <c r="J90" s="18" t="n">
        <v>-30.65</v>
      </c>
      <c r="K90" s="37" t="n">
        <v>-12586.02</v>
      </c>
      <c r="L90" s="18" t="n">
        <v>-321.14</v>
      </c>
      <c r="M90" s="18" t="n">
        <v>295.05</v>
      </c>
      <c r="N90" s="18" t="n">
        <v>-1009.87</v>
      </c>
      <c r="O90" s="18" t="n">
        <v>-126.01</v>
      </c>
      <c r="P90" s="37" t="n">
        <v>-1161.97</v>
      </c>
      <c r="Q90" s="18" t="n">
        <v>-4239.15</v>
      </c>
      <c r="R90" s="18" t="n">
        <v>-4477.44</v>
      </c>
      <c r="S90" s="18" t="n">
        <v>-3440.63</v>
      </c>
      <c r="T90" s="18" t="n">
        <v>-262.34</v>
      </c>
      <c r="U90" s="37" t="n">
        <v>-12419.56</v>
      </c>
      <c r="V90" s="18" t="n">
        <v>-3859.35</v>
      </c>
      <c r="W90" s="18" t="n">
        <v>-3818.88</v>
      </c>
      <c r="X90" s="18" t="n">
        <v>-1758.81</v>
      </c>
      <c r="Y90" s="18" t="n">
        <v>-3544.68</v>
      </c>
      <c r="Z90" s="37" t="n">
        <v>-12981.72</v>
      </c>
      <c r="AA90" s="18" t="n">
        <v>-3576.28</v>
      </c>
      <c r="AB90" s="19" t="n">
        <v>-4050.64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-2757.98</v>
      </c>
      <c r="F91" s="9" t="n"/>
      <c r="G91" s="18" t="n">
        <v>-17566.38</v>
      </c>
      <c r="H91" s="18" t="n">
        <v>-24412.36</v>
      </c>
      <c r="I91" s="18" t="n">
        <v>10213.53</v>
      </c>
      <c r="J91" s="18" t="n">
        <v>-3443.48</v>
      </c>
      <c r="K91" s="37" t="n">
        <v>-35208.69</v>
      </c>
      <c r="L91" s="18" t="n">
        <v>-5697.75</v>
      </c>
      <c r="M91" s="18" t="n">
        <v>-4816.71</v>
      </c>
      <c r="N91" s="18" t="n">
        <v>-25873.48</v>
      </c>
      <c r="O91" s="18" t="n">
        <v>-2913.21</v>
      </c>
      <c r="P91" s="37" t="n">
        <v>-39301.15</v>
      </c>
      <c r="Q91" s="18" t="n">
        <v>-4372</v>
      </c>
      <c r="R91" s="18" t="n">
        <v>-15812.72</v>
      </c>
      <c r="S91" s="18" t="n">
        <v>-5703.87</v>
      </c>
      <c r="T91" s="18" t="n">
        <v>-14101.75</v>
      </c>
      <c r="U91" s="37" t="n">
        <v>-39990.34</v>
      </c>
      <c r="V91" s="18" t="n">
        <v>-2729.58</v>
      </c>
      <c r="W91" s="18" t="n">
        <v>-6725.99</v>
      </c>
      <c r="X91" s="18" t="n">
        <v>-19659.87</v>
      </c>
      <c r="Y91" s="18" t="n">
        <v>-15083.38</v>
      </c>
      <c r="Z91" s="37" t="n">
        <v>-44198.82</v>
      </c>
      <c r="AA91" s="18" t="n">
        <v>-8734.1</v>
      </c>
      <c r="AB91" s="19" t="n">
        <v>-26709.34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600</v>
      </c>
      <c r="F92" s="9" t="n"/>
      <c r="G92" s="18" t="n">
        <v>689.24</v>
      </c>
      <c r="I92" s="18" t="n">
        <v>0</v>
      </c>
      <c r="J92" s="18" t="n">
        <v>6.64</v>
      </c>
      <c r="K92" s="9" t="n"/>
      <c r="L92" s="18" t="n">
        <v>2343.53</v>
      </c>
      <c r="M92" s="18" t="n">
        <v>0</v>
      </c>
      <c r="N92" s="18" t="n">
        <v>0</v>
      </c>
      <c r="O92" s="18" t="n">
        <v>0</v>
      </c>
      <c r="P92" s="37" t="n">
        <v>2343.53</v>
      </c>
      <c r="Q92" s="18" t="n">
        <v>0</v>
      </c>
      <c r="R92" s="18" t="n">
        <v>0</v>
      </c>
      <c r="S92" s="18" t="n">
        <v>3.85</v>
      </c>
      <c r="T92" s="18" t="n">
        <v>4.78</v>
      </c>
      <c r="U92" s="37" t="n">
        <v>8.630000000000001</v>
      </c>
      <c r="X92" s="18" t="n">
        <v>0</v>
      </c>
      <c r="Y92" s="18" t="n">
        <v>0</v>
      </c>
      <c r="Z92" s="9" t="n"/>
      <c r="AA92" s="18" t="n">
        <v>71.92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3358.98</v>
      </c>
      <c r="F93" s="9" t="n"/>
      <c r="G93" s="18" t="n">
        <v>20235.93</v>
      </c>
      <c r="H93" s="18" t="n">
        <v>4364.11</v>
      </c>
      <c r="I93" s="18" t="n">
        <v>7451.05</v>
      </c>
      <c r="J93" s="18" t="n">
        <v>3313.77</v>
      </c>
      <c r="K93" s="37" t="n">
        <v>35364.86</v>
      </c>
      <c r="L93" s="18" t="n">
        <v>1587.33</v>
      </c>
      <c r="M93" s="18" t="n">
        <v>3576.4</v>
      </c>
      <c r="N93" s="18" t="n">
        <v>37664.9</v>
      </c>
      <c r="O93" s="18" t="n">
        <v>309.29</v>
      </c>
      <c r="P93" s="37" t="n">
        <v>43137.92</v>
      </c>
      <c r="Q93" s="18" t="n">
        <v>3303.81</v>
      </c>
      <c r="R93" s="18" t="n">
        <v>2728.52</v>
      </c>
      <c r="S93" s="18" t="n">
        <v>4862.79</v>
      </c>
      <c r="T93" s="18" t="n">
        <v>9277.129999999999</v>
      </c>
      <c r="U93" s="37" t="n">
        <v>20172.25</v>
      </c>
      <c r="V93" s="18" t="n">
        <v>2809.12</v>
      </c>
      <c r="W93" s="18" t="n">
        <v>1146.07</v>
      </c>
      <c r="X93" s="18" t="n">
        <v>1912.09</v>
      </c>
      <c r="Y93" s="18" t="n">
        <v>3630.81</v>
      </c>
      <c r="Z93" s="37" t="n">
        <v>9498.09</v>
      </c>
      <c r="AA93" s="18" t="n">
        <v>2342.4</v>
      </c>
      <c r="AB93" s="19" t="n">
        <v>6416.85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3408.48</v>
      </c>
      <c r="F94" s="9" t="n"/>
      <c r="G94" s="18" t="n">
        <v>20235.93</v>
      </c>
      <c r="H94" s="18" t="n">
        <v>4369.61</v>
      </c>
      <c r="I94" s="18" t="n">
        <v>7863.9</v>
      </c>
      <c r="J94" s="18" t="n">
        <v>3342.52</v>
      </c>
      <c r="K94" s="37" t="n">
        <v>35811.96</v>
      </c>
      <c r="L94" s="18" t="n">
        <v>1587.33</v>
      </c>
      <c r="M94" s="18" t="n">
        <v>3970.4</v>
      </c>
      <c r="N94" s="18" t="n">
        <v>37681.98</v>
      </c>
      <c r="O94" s="18" t="n">
        <v>309.29</v>
      </c>
      <c r="P94" s="37" t="n">
        <v>43549</v>
      </c>
      <c r="Q94" s="18" t="n">
        <v>3303.81</v>
      </c>
      <c r="R94" s="18" t="n">
        <v>2828.52</v>
      </c>
      <c r="S94" s="18" t="n">
        <v>4869.39</v>
      </c>
      <c r="T94" s="18" t="n">
        <v>9277.129999999999</v>
      </c>
      <c r="U94" s="37" t="n">
        <v>20278.85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2342.96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49.5</v>
      </c>
      <c r="F95" s="9" t="n"/>
      <c r="I95" s="18" t="n">
        <v>412.85</v>
      </c>
      <c r="J95" s="18" t="n">
        <v>28.75</v>
      </c>
      <c r="K95" s="9" t="n"/>
      <c r="N95" s="18" t="n">
        <v>17.08</v>
      </c>
      <c r="O95" s="18" t="n">
        <v>0</v>
      </c>
      <c r="P95" s="9" t="n"/>
      <c r="S95" s="18" t="n">
        <v>6.6</v>
      </c>
      <c r="T95" s="18" t="n">
        <v>0</v>
      </c>
      <c r="U95" s="9" t="n"/>
      <c r="X95" s="18" t="n">
        <v>0</v>
      </c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19600.66</v>
      </c>
      <c r="F96" s="9" t="n"/>
      <c r="G96" s="18" t="n">
        <v>40002.33</v>
      </c>
      <c r="H96" s="18" t="n">
        <v>-10465.85</v>
      </c>
      <c r="I96" s="18" t="n">
        <v>2314.28</v>
      </c>
      <c r="J96" s="18" t="n">
        <v>-4511.02</v>
      </c>
      <c r="K96" s="37" t="n">
        <v>27339.74</v>
      </c>
      <c r="L96" s="18" t="n">
        <v>-867.58</v>
      </c>
      <c r="M96" s="18" t="n">
        <v>-31584.75</v>
      </c>
      <c r="N96" s="18" t="n">
        <v>16609.06</v>
      </c>
      <c r="O96" s="18" t="n">
        <v>-10151.79</v>
      </c>
      <c r="P96" s="37" t="n">
        <v>-25995.06</v>
      </c>
      <c r="Q96" s="18" t="n">
        <v>9557.9</v>
      </c>
      <c r="R96" s="18" t="n">
        <v>-13923.18</v>
      </c>
      <c r="S96" s="18" t="n">
        <v>37748.96</v>
      </c>
      <c r="T96" s="18" t="n">
        <v>3914.34</v>
      </c>
      <c r="U96" s="37" t="n">
        <v>37298.02</v>
      </c>
      <c r="V96" s="18" t="n">
        <v>-1631.27</v>
      </c>
      <c r="W96" s="18" t="n">
        <v>-11272.32</v>
      </c>
      <c r="X96" s="18" t="n">
        <v>1271.83</v>
      </c>
      <c r="Y96" s="18" t="n">
        <v>-25397.76</v>
      </c>
      <c r="Z96" s="37" t="n">
        <v>-37029.52</v>
      </c>
      <c r="AA96" s="18" t="n">
        <v>-1279.02</v>
      </c>
      <c r="AB96" s="19" t="n">
        <v>-14879.09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345</v>
      </c>
      <c r="F97" s="9" t="n"/>
      <c r="G97" s="18" t="n">
        <v>53975.2</v>
      </c>
      <c r="H97" s="18" t="n">
        <v>16880</v>
      </c>
      <c r="I97" s="18" t="n">
        <v>26394.06</v>
      </c>
      <c r="J97" s="18" t="n">
        <v>24204</v>
      </c>
      <c r="K97" s="37" t="n">
        <v>121453.26</v>
      </c>
      <c r="L97" s="18" t="n">
        <v>450</v>
      </c>
      <c r="M97" s="18" t="n">
        <v>57120</v>
      </c>
      <c r="N97" s="18" t="n">
        <v>37120</v>
      </c>
      <c r="O97" s="18" t="n">
        <v>5660</v>
      </c>
      <c r="P97" s="37" t="n">
        <v>100350</v>
      </c>
      <c r="Q97" s="18" t="n">
        <v>50520</v>
      </c>
      <c r="R97" s="18" t="n">
        <v>43540</v>
      </c>
      <c r="S97" s="18" t="n">
        <v>66880</v>
      </c>
      <c r="T97" s="18" t="n">
        <v>330</v>
      </c>
      <c r="U97" s="37" t="n">
        <v>161270</v>
      </c>
      <c r="V97" s="18" t="n">
        <v>71577.00999999999</v>
      </c>
      <c r="W97" s="18" t="n">
        <v>2072.99</v>
      </c>
      <c r="X97" s="18" t="n">
        <v>51230</v>
      </c>
      <c r="Y97" s="18" t="n">
        <v>1245</v>
      </c>
      <c r="Z97" s="37" t="n">
        <v>126125</v>
      </c>
      <c r="AA97" s="18" t="n">
        <v>45390</v>
      </c>
      <c r="AB97" s="19" t="n">
        <v>29610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E98" s="18" t="n">
        <v>20639</v>
      </c>
      <c r="F98" s="9" t="n"/>
      <c r="G98" s="18" t="n">
        <v>38500</v>
      </c>
      <c r="H98" s="18" t="n">
        <v>10000</v>
      </c>
      <c r="I98" s="18" t="n">
        <v>0</v>
      </c>
      <c r="J98" s="18" t="n">
        <v>28000</v>
      </c>
      <c r="K98" s="37" t="n">
        <v>76500</v>
      </c>
      <c r="L98" s="18" t="n">
        <v>0</v>
      </c>
      <c r="M98" s="18" t="n">
        <v>80</v>
      </c>
      <c r="N98" s="18" t="n">
        <v>39920</v>
      </c>
      <c r="O98" s="18" t="n">
        <v>100</v>
      </c>
      <c r="P98" s="37" t="n">
        <v>40100</v>
      </c>
      <c r="Q98" s="18" t="n">
        <v>8000</v>
      </c>
      <c r="R98" s="18" t="n">
        <v>0</v>
      </c>
      <c r="S98" s="18" t="n">
        <v>37455</v>
      </c>
      <c r="T98" s="18" t="n">
        <v>14145</v>
      </c>
      <c r="U98" s="37" t="n">
        <v>59600</v>
      </c>
      <c r="V98" s="18" t="n">
        <v>180</v>
      </c>
      <c r="W98" s="18" t="n">
        <v>105</v>
      </c>
      <c r="X98" s="18" t="n">
        <v>108180</v>
      </c>
      <c r="Y98" s="18" t="n">
        <v>20</v>
      </c>
      <c r="Z98" s="37" t="n">
        <v>108485</v>
      </c>
      <c r="AA98" s="18" t="n">
        <v>2010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0</v>
      </c>
      <c r="F99" s="9" t="n"/>
      <c r="G99" s="18" t="n">
        <v>35905.2</v>
      </c>
      <c r="H99" s="18" t="n">
        <v>17550</v>
      </c>
      <c r="I99" s="18" t="n">
        <v>21501.06</v>
      </c>
      <c r="J99" s="18" t="n">
        <v>27901</v>
      </c>
      <c r="K99" s="37" t="n">
        <v>102857.26</v>
      </c>
      <c r="L99" s="18" t="n">
        <v>0</v>
      </c>
      <c r="M99" s="18" t="n">
        <v>33700</v>
      </c>
      <c r="N99" s="18" t="n">
        <v>20390</v>
      </c>
      <c r="O99" s="18" t="n">
        <v>0</v>
      </c>
      <c r="P99" s="37" t="n">
        <v>54090</v>
      </c>
      <c r="Q99" s="18" t="n">
        <v>18000</v>
      </c>
      <c r="R99" s="18" t="n">
        <v>45000</v>
      </c>
      <c r="S99" s="18" t="n">
        <v>45200</v>
      </c>
      <c r="T99" s="18" t="n">
        <v>1100</v>
      </c>
      <c r="U99" s="37" t="n">
        <v>109300</v>
      </c>
      <c r="V99" s="18" t="n">
        <v>71700.33</v>
      </c>
      <c r="X99" s="18" t="n">
        <v>116200</v>
      </c>
      <c r="Y99" s="18" t="n">
        <v>24985</v>
      </c>
      <c r="Z99" s="9" t="n"/>
      <c r="AA99" s="18" t="n">
        <v>47000</v>
      </c>
      <c r="AB99" s="19" t="n">
        <v>30000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828.14</v>
      </c>
      <c r="F100" s="9" t="n"/>
      <c r="G100" s="18" t="n">
        <v>16129.05</v>
      </c>
      <c r="H100" s="18" t="n">
        <v>11086.22</v>
      </c>
      <c r="I100" s="18" t="n">
        <v>2100</v>
      </c>
      <c r="J100" s="18" t="n">
        <v>15600.35</v>
      </c>
      <c r="K100" s="37" t="n">
        <v>44915.62</v>
      </c>
      <c r="L100" s="18" t="n">
        <v>600</v>
      </c>
      <c r="M100" s="18" t="n">
        <v>32200</v>
      </c>
      <c r="N100" s="18" t="n">
        <v>26812</v>
      </c>
      <c r="O100" s="18" t="n">
        <v>15600</v>
      </c>
      <c r="P100" s="37" t="n">
        <v>75212</v>
      </c>
      <c r="Q100" s="18" t="n">
        <v>40600</v>
      </c>
      <c r="R100" s="18" t="n">
        <v>600</v>
      </c>
      <c r="S100" s="18" t="n">
        <v>15600</v>
      </c>
      <c r="T100" s="18" t="n">
        <v>2496.04</v>
      </c>
      <c r="U100" s="37" t="n">
        <v>59296.04</v>
      </c>
      <c r="V100" s="18" t="n">
        <v>1350</v>
      </c>
      <c r="W100" s="18" t="n">
        <v>1350</v>
      </c>
      <c r="X100" s="18" t="n">
        <v>41350</v>
      </c>
      <c r="Y100" s="18" t="n">
        <v>1050</v>
      </c>
      <c r="Z100" s="37" t="n">
        <v>45100</v>
      </c>
      <c r="AA100" s="18" t="n">
        <v>1050</v>
      </c>
      <c r="AB100" s="19" t="n">
        <v>1050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520.01</v>
      </c>
      <c r="F101" s="9" t="n"/>
      <c r="G101" s="18" t="n">
        <v>538.26</v>
      </c>
      <c r="H101" s="18" t="n">
        <v>486.52</v>
      </c>
      <c r="I101" s="18" t="n">
        <v>478.72</v>
      </c>
      <c r="J101" s="18" t="n">
        <v>174.02</v>
      </c>
      <c r="K101" s="37" t="n">
        <v>1677.52</v>
      </c>
      <c r="L101" s="18" t="n">
        <v>177.58</v>
      </c>
      <c r="M101" s="18" t="n">
        <v>190.08</v>
      </c>
      <c r="N101" s="18" t="n">
        <v>228.95</v>
      </c>
      <c r="O101" s="18" t="n">
        <v>311.78</v>
      </c>
      <c r="P101" s="37" t="n">
        <v>908.39</v>
      </c>
      <c r="Q101" s="18" t="n">
        <v>313.27</v>
      </c>
      <c r="R101" s="18" t="n">
        <v>320.97</v>
      </c>
      <c r="S101" s="18" t="n">
        <v>317</v>
      </c>
      <c r="T101" s="18" t="n">
        <v>319.13</v>
      </c>
      <c r="U101" s="37" t="n">
        <v>1270.37</v>
      </c>
      <c r="V101" s="18" t="n">
        <v>337.95</v>
      </c>
      <c r="W101" s="18" t="n">
        <v>915.74</v>
      </c>
      <c r="X101" s="18" t="n">
        <v>588.1799999999999</v>
      </c>
      <c r="Y101" s="18" t="n">
        <v>627.76</v>
      </c>
      <c r="Z101" s="37" t="n">
        <v>2469.63</v>
      </c>
      <c r="AA101" s="18" t="n">
        <v>629.02</v>
      </c>
      <c r="AB101" s="19" t="n">
        <v>637.96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0</v>
      </c>
      <c r="F102" s="9" t="n"/>
      <c r="G102" s="18" t="n">
        <v>0.36</v>
      </c>
      <c r="H102" s="18" t="n">
        <v>0</v>
      </c>
      <c r="I102" s="18" t="n">
        <v>0</v>
      </c>
      <c r="J102" s="18" t="n">
        <v>12999.64</v>
      </c>
      <c r="K102" s="37" t="n">
        <v>13000</v>
      </c>
      <c r="L102" s="18" t="n">
        <v>0</v>
      </c>
      <c r="M102" s="18" t="n">
        <v>0</v>
      </c>
      <c r="N102" s="18" t="n">
        <v>13000</v>
      </c>
      <c r="O102" s="18" t="n">
        <v>0</v>
      </c>
      <c r="P102" s="37" t="n">
        <v>13000</v>
      </c>
      <c r="Q102" s="18" t="n">
        <v>208.41</v>
      </c>
      <c r="R102" s="18" t="n">
        <v>562.65</v>
      </c>
      <c r="S102" s="18" t="n">
        <v>5187.42</v>
      </c>
      <c r="T102" s="18" t="n">
        <v>6645.48</v>
      </c>
      <c r="U102" s="37" t="n">
        <v>12603.96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배당금지급</t>
        </is>
      </c>
      <c r="E103" s="18" t="n">
        <v>0</v>
      </c>
      <c r="F103" s="9" t="n"/>
      <c r="G103" s="18" t="n">
        <v>0</v>
      </c>
      <c r="H103" s="18" t="n">
        <v>8223.120000000001</v>
      </c>
      <c r="I103" s="18" t="n">
        <v>0</v>
      </c>
      <c r="J103" s="18" t="n">
        <v>0</v>
      </c>
      <c r="K103" s="37" t="n">
        <v>8223.120000000001</v>
      </c>
      <c r="N103" s="18" t="n">
        <v>0</v>
      </c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E104" s="18" t="n">
        <v>0</v>
      </c>
      <c r="F104" s="9" t="n"/>
      <c r="G104" s="18" t="n">
        <v>0</v>
      </c>
      <c r="J104" s="18" t="n">
        <v>0</v>
      </c>
      <c r="K104" s="9" t="n"/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현금및현금성자산의증감</t>
        </is>
      </c>
      <c r="E105" s="18" t="n">
        <v>5662.39</v>
      </c>
      <c r="F105" s="9" t="n"/>
      <c r="G105" s="18" t="n">
        <v>2720.95</v>
      </c>
      <c r="H105" s="18" t="n">
        <v>-27623.26</v>
      </c>
      <c r="I105" s="18" t="n">
        <v>18377.33</v>
      </c>
      <c r="J105" s="18" t="n">
        <v>15993.43</v>
      </c>
      <c r="K105" s="37" t="n">
        <v>9468.450000000001</v>
      </c>
      <c r="L105" s="18" t="n">
        <v>-17003.88</v>
      </c>
      <c r="M105" s="18" t="n">
        <v>7033.05</v>
      </c>
      <c r="N105" s="18" t="n">
        <v>3879.46</v>
      </c>
      <c r="O105" s="18" t="n">
        <v>9752.02</v>
      </c>
      <c r="P105" s="37" t="n">
        <v>3660.65</v>
      </c>
      <c r="Q105" s="18" t="n">
        <v>19094.45</v>
      </c>
      <c r="R105" s="18" t="n">
        <v>-23560.38</v>
      </c>
      <c r="S105" s="18" t="n">
        <v>33662.45</v>
      </c>
      <c r="T105" s="18" t="n">
        <v>-405.76</v>
      </c>
      <c r="U105" s="37" t="n">
        <v>28790.76</v>
      </c>
      <c r="V105" s="18" t="n">
        <v>-4952.72</v>
      </c>
      <c r="W105" s="18" t="n">
        <v>14969.52</v>
      </c>
      <c r="X105" s="18" t="n">
        <v>8382.809999999999</v>
      </c>
      <c r="Y105" s="18" t="n">
        <v>-42888.22</v>
      </c>
      <c r="Z105" s="37" t="n">
        <v>-24488.61</v>
      </c>
      <c r="AA105" s="18" t="n">
        <v>14494.38</v>
      </c>
      <c r="AB105" s="19" t="n">
        <v>-26079.27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기말현금및현금성자산</t>
        </is>
      </c>
      <c r="E106" s="18" t="n">
        <v>5662.38</v>
      </c>
      <c r="F106" s="9" t="n"/>
      <c r="G106" s="18" t="n">
        <v>40389.7</v>
      </c>
      <c r="H106" s="18" t="n">
        <v>-27623.26</v>
      </c>
      <c r="I106" s="18" t="n">
        <v>18377.33</v>
      </c>
      <c r="J106" s="18" t="n">
        <v>15993.42</v>
      </c>
      <c r="K106" s="37" t="n">
        <v>47137.19</v>
      </c>
      <c r="L106" s="18" t="n">
        <v>30087.12</v>
      </c>
      <c r="M106" s="18" t="n">
        <v>7033.05</v>
      </c>
      <c r="N106" s="18" t="n">
        <v>3448.19</v>
      </c>
      <c r="O106" s="18" t="n">
        <v>10183.3</v>
      </c>
      <c r="P106" s="37" t="n">
        <v>50751.66</v>
      </c>
      <c r="Q106" s="18" t="n">
        <v>69793.88</v>
      </c>
      <c r="R106" s="18" t="n">
        <v>-23508.15</v>
      </c>
      <c r="S106" s="18" t="n">
        <v>33662.44</v>
      </c>
      <c r="T106" s="18" t="n">
        <v>-405.75</v>
      </c>
      <c r="U106" s="37" t="n">
        <v>79542.42</v>
      </c>
      <c r="V106" s="18" t="n">
        <v>74589.69</v>
      </c>
      <c r="W106" s="18" t="n">
        <v>14969.53</v>
      </c>
      <c r="X106" s="18" t="n">
        <v>8382.809999999999</v>
      </c>
      <c r="Y106" s="18" t="n">
        <v>-42888.23</v>
      </c>
      <c r="Z106" s="37" t="n">
        <v>55053.8</v>
      </c>
      <c r="AA106" s="18" t="n">
        <v>69548.17999999999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배당금수취(CF)</t>
        </is>
      </c>
      <c r="F107" s="9" t="n"/>
      <c r="I107" s="18" t="n">
        <v>31.36</v>
      </c>
      <c r="J107" s="18" t="n">
        <v>0</v>
      </c>
      <c r="K107" s="9" t="n"/>
      <c r="L107" s="18" t="n">
        <v>0</v>
      </c>
      <c r="M107" s="18" t="n">
        <v>96.40000000000001</v>
      </c>
      <c r="N107" s="18" t="n">
        <v>0</v>
      </c>
      <c r="O107" s="18" t="n">
        <v>0</v>
      </c>
      <c r="P107" s="37" t="n">
        <v>96.40000000000001</v>
      </c>
      <c r="S107" s="18" t="n">
        <v>0</v>
      </c>
      <c r="T107" s="18" t="n">
        <v>0</v>
      </c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K108" s="9" t="n"/>
      <c r="O108" s="18" t="n">
        <v>188.75</v>
      </c>
      <c r="P108" s="9" t="n"/>
      <c r="Q108" s="18" t="n">
        <v>493.48</v>
      </c>
      <c r="R108" s="18" t="n">
        <v>431.27</v>
      </c>
      <c r="S108" s="18" t="n">
        <v>866.21</v>
      </c>
      <c r="T108" s="18" t="n">
        <v>587.95</v>
      </c>
      <c r="U108" s="37" t="n">
        <v>2378.91</v>
      </c>
      <c r="V108" s="18" t="n">
        <v>621.75</v>
      </c>
      <c r="W108" s="18" t="n">
        <v>301.18</v>
      </c>
      <c r="X108" s="18" t="n">
        <v>561.72</v>
      </c>
      <c r="Y108" s="18" t="n">
        <v>1749.29</v>
      </c>
      <c r="Z108" s="37" t="n">
        <v>3233.94</v>
      </c>
      <c r="AA108" s="18" t="n">
        <v>1701.06</v>
      </c>
      <c r="AB108" s="19" t="n">
        <v>109.26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K109" s="9" t="n"/>
      <c r="P109" s="9" t="n"/>
      <c r="U109" s="9" t="n"/>
      <c r="V109" s="18" t="n">
        <v>-3362.94</v>
      </c>
      <c r="W109" s="18" t="n">
        <v>-2665.68</v>
      </c>
      <c r="X109" s="18" t="n">
        <v>-102.44</v>
      </c>
      <c r="Y109" s="18" t="n">
        <v>-2674.74</v>
      </c>
      <c r="Z109" s="37" t="n">
        <v>-8805.799999999999</v>
      </c>
      <c r="AA109" s="18" t="n">
        <v>-2347.47</v>
      </c>
      <c r="AB109" s="19" t="n">
        <v>-2365.97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7" t="n">
        <v>107300</v>
      </c>
      <c r="G37" s="18" t="n">
        <v>136700</v>
      </c>
      <c r="H37" s="18" t="n">
        <v>101100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7" t="n">
        <v>107300</v>
      </c>
      <c r="G38" s="18" t="n">
        <v>136700</v>
      </c>
      <c r="H38" s="18" t="n">
        <v>101100</v>
      </c>
      <c r="J38" s="18" t="n">
        <v>73700</v>
      </c>
      <c r="K38" s="37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7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7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7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7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7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7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7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7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7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7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7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7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7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7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7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7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7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7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7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7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7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7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7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7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7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7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7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7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7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7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7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7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7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7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7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7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7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7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7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7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7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7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7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7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7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7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7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7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7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7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7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7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7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7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7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7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7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7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7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7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7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7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7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7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7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7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7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7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7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7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7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7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7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7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7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7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7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7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7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7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7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7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7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7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7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7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7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7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7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7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7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7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7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7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7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7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7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7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7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7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7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7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7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7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7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7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7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7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7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7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7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7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7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7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7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7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7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7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7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7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7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7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7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7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7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7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7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7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7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7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7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7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7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7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7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7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7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7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7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7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7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7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7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7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7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7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7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7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7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7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7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7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7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7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7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7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7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7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7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7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7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7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7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7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7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7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7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7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7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7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7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7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7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7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7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7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7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7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7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7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7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7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7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7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7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7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7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7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7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7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7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7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742.5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13.23</v>
      </c>
    </row>
    <row r="32">
      <c r="C32" s="2" t="inlineStr">
        <is>
          <t>pbr_now</t>
        </is>
      </c>
      <c r="D32" t="n">
        <v>2.27</v>
      </c>
    </row>
    <row r="33">
      <c r="C33" s="2" t="inlineStr">
        <is>
          <t>roe_fwd</t>
        </is>
      </c>
      <c r="D33" t="n">
        <v>0.1718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