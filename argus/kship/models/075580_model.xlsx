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294억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294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294억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8520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8120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9475.700000000001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-0.003575811</v>
      </c>
      <c r="AD29" s="29" t="n">
        <v>0.004854239</v>
      </c>
      <c r="AE29" s="30" t="n"/>
      <c r="AF29" s="29" t="n">
        <v>0.002016771</v>
      </c>
      <c r="AG29" s="29" t="n">
        <v>127.907309787</v>
      </c>
      <c r="AH29" s="29" t="n">
        <v>0.005199222</v>
      </c>
      <c r="AI29" s="29" t="n">
        <v>0.004920042</v>
      </c>
      <c r="AJ29" s="30" t="n"/>
      <c r="AK29" s="29" t="n">
        <v>-0.007186162</v>
      </c>
      <c r="AL29" s="29" t="n">
        <v>127.918577479</v>
      </c>
      <c r="AM29" s="29" t="n">
        <v>0.009878022</v>
      </c>
      <c r="AN29" s="29" t="n">
        <v>-0.005316086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-0.004775327</v>
      </c>
      <c r="AD30" s="29" t="n">
        <v>0.01051217</v>
      </c>
      <c r="AE30" s="30" t="n"/>
      <c r="AF30" s="29" t="n">
        <v>0.000634156</v>
      </c>
      <c r="AG30" s="29" t="n">
        <v>127.90568958</v>
      </c>
      <c r="AH30" s="29" t="n">
        <v>0.009528534999999999</v>
      </c>
      <c r="AI30" s="29" t="n">
        <v>0.000316545</v>
      </c>
      <c r="AJ30" s="30" t="n"/>
      <c r="AK30" s="29" t="n">
        <v>-2.9173e-05</v>
      </c>
      <c r="AL30" s="29" t="n">
        <v>127.916781936</v>
      </c>
      <c r="AM30" s="29" t="n">
        <v>0.000159585</v>
      </c>
      <c r="AN30" s="29" t="n">
        <v>0.004993693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-0.11139084</v>
      </c>
      <c r="AI32" s="32" t="n">
        <v>-0.17108345</v>
      </c>
      <c r="AJ32" s="25" t="n"/>
      <c r="AK32" s="32" t="n">
        <v>-0.149560732</v>
      </c>
      <c r="AL32" s="32" t="n">
        <v>-0.005469872</v>
      </c>
      <c r="AM32" s="32" t="n">
        <v>-0.189712018</v>
      </c>
      <c r="AN32" s="32" t="n">
        <v>-0.317777538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-0.002167756</v>
      </c>
      <c r="AH33" s="32" t="n">
        <v>0.06915776</v>
      </c>
      <c r="AI33" s="32" t="n">
        <v>0.088281242</v>
      </c>
      <c r="AJ33" s="25" t="n"/>
      <c r="AK33" s="32" t="n">
        <v>0.05878245</v>
      </c>
      <c r="AL33" s="32" t="n">
        <v>0.001726807</v>
      </c>
      <c r="AM33" s="32" t="n">
        <v>0.05946072</v>
      </c>
      <c r="AN33" s="32" t="n">
        <v>0.076179419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0.246333274</v>
      </c>
      <c r="AE41" s="25" t="n"/>
      <c r="AF41" s="32" t="n">
        <v>0.163658582</v>
      </c>
      <c r="AG41" s="32" t="n">
        <v>-0.007780845</v>
      </c>
      <c r="AH41" s="32" t="n">
        <v>0.178798163</v>
      </c>
      <c r="AI41" s="32" t="n">
        <v>0.165206295</v>
      </c>
      <c r="AJ41" s="25" t="n"/>
      <c r="AK41" s="32" t="n">
        <v>0.1895145</v>
      </c>
      <c r="AL41" s="32" t="n">
        <v>0.221198323</v>
      </c>
      <c r="AM41" s="32" t="n">
        <v>0.245740609</v>
      </c>
      <c r="AN41" s="32" t="n">
        <v>0.245674235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0.188231958</v>
      </c>
      <c r="AE42" s="25">
        <f>IFERROR(subQ!AE40/subQ!AE39,"")</f>
        <v/>
      </c>
      <c r="AF42" s="32" t="n">
        <v>0.188747072</v>
      </c>
      <c r="AG42" s="32" t="n">
        <v>0.18856606</v>
      </c>
      <c r="AH42" s="32" t="n">
        <v>0.188158385</v>
      </c>
      <c r="AI42" s="32" t="n">
        <v>0.188216398</v>
      </c>
      <c r="AJ42" s="25">
        <f>IFERROR(subQ!AJ40/subQ!AJ39,"")</f>
        <v/>
      </c>
      <c r="AK42" s="32" t="n">
        <v>0.188726655</v>
      </c>
      <c r="AL42" s="32" t="n">
        <v>0.188589353</v>
      </c>
      <c r="AM42" s="32" t="n">
        <v>0.188155963</v>
      </c>
      <c r="AN42" s="32" t="n">
        <v>0.188215528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-0.625152417</v>
      </c>
      <c r="AE43" s="25">
        <f>IFERROR(subQ!AE41/subQ!AE39,"")</f>
        <v/>
      </c>
      <c r="AF43" s="32" t="n">
        <v>-0.625171662</v>
      </c>
      <c r="AG43" s="32" t="n">
        <v>-0.62514455</v>
      </c>
      <c r="AH43" s="32" t="n">
        <v>-0.625139722</v>
      </c>
      <c r="AI43" s="32" t="n">
        <v>-0.625149059</v>
      </c>
      <c r="AJ43" s="25">
        <f>IFERROR(subQ!AJ41/subQ!AJ39,"")</f>
        <v/>
      </c>
      <c r="AK43" s="32" t="n">
        <v>-0.62516129</v>
      </c>
      <c r="AL43" s="32" t="n">
        <v>-0.625159057</v>
      </c>
      <c r="AM43" s="32" t="n">
        <v>-0.625156343</v>
      </c>
      <c r="AN43" s="32" t="n">
        <v>-0.625151409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0.143790257</v>
      </c>
      <c r="AE44" s="25">
        <f>IFERROR(subQ!AE42/subQ!AE41,"")</f>
        <v/>
      </c>
      <c r="AF44" s="32" t="n">
        <v>0.142524874</v>
      </c>
      <c r="AG44" s="32" t="n">
        <v>0.144921672</v>
      </c>
      <c r="AH44" s="32" t="n">
        <v>0.148840485</v>
      </c>
      <c r="AI44" s="32" t="n">
        <v>0.151121146</v>
      </c>
      <c r="AJ44" s="25">
        <f>IFERROR(subQ!AJ42/subQ!AJ41,"")</f>
        <v/>
      </c>
      <c r="AK44" s="32" t="n">
        <v>0.151159633</v>
      </c>
      <c r="AL44" s="32" t="n">
        <v>0.154406892</v>
      </c>
      <c r="AM44" s="32" t="n">
        <v>0.15862039</v>
      </c>
      <c r="AN44" s="32" t="n">
        <v>0.160505016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8520</v>
      </c>
      <c r="E47" s="2" t="inlineStr">
        <is>
          <t>원 — 네이버 정규장 종가(aik 확정종가 대조 · aik 9,300원)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20261013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0.1911559661332717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0.06131684601479298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0.8217628590710369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0.03609894589546821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0.03869853624089498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11.47</v>
      </c>
    </row>
    <row r="32">
      <c r="C32" s="2" t="inlineStr">
        <is>
          <t>pbr_now</t>
        </is>
      </c>
      <c r="D32" t="n">
        <v>1.97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