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BS연결!$C$5:$AO$110</definedName>
    <definedName name="BS별도H">BS별도!$C$1:$AO$1</definedName>
    <definedName name="BS별도">BS별도!$C$5:$AO$95</definedName>
    <definedName name="SUBQH">subQ!$A$1:$AO$1</definedName>
    <definedName name="subQ">subQ!$A$5:$AO$46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6" borderId="0" pivotButton="0" quotePrefix="0" xfId="0"/>
    <xf numFmtId="164" fontId="1" fillId="5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3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3절 스칼라 '판관비율' 참조 — 숫자로 덮어쓰면 이 분기만 바뀐다
매출액 × 판관비율 6.13%(최근 4분기 중위)</t>
      </text>
    </comment>
    <comment ref="AD21" authorId="0" shapeId="0">
      <text>
        <t>3절 스칼라 '판관비율' 참조 — 숫자로 덮어쓰면 이 분기만 바뀐다
매출액 × 판관비율 6.13%(최근 4분기 중위)</t>
      </text>
    </comment>
    <comment ref="AF21" authorId="0" shapeId="0">
      <text>
        <t>3절 스칼라 '판관비율' 참조 — 숫자로 덮어쓰면 이 분기만 바뀐다
매출액 × 판관비율 6.13%(최근 4분기 중위)</t>
      </text>
    </comment>
    <comment ref="AG21" authorId="0" shapeId="0">
      <text>
        <t>3절 스칼라 '판관비율' 참조 — 숫자로 덮어쓰면 이 분기만 바뀐다
매출액 × 판관비율 6.13%(최근 4분기 중위)</t>
      </text>
    </comment>
    <comment ref="AH21" authorId="0" shapeId="0">
      <text>
        <t>3절 스칼라 '판관비율' 참조 — 숫자로 덮어쓰면 이 분기만 바뀐다
매출액 × 판관비율 6.13%(최근 4분기 중위)</t>
      </text>
    </comment>
    <comment ref="AI21" authorId="0" shapeId="0">
      <text>
        <t>3절 스칼라 '판관비율' 참조 — 숫자로 덮어쓰면 이 분기만 바뀐다
매출액 × 판관비율 6.13%(최근 4분기 중위)</t>
      </text>
    </comment>
    <comment ref="AK21" authorId="0" shapeId="0">
      <text>
        <t>3절 스칼라 '판관비율' 참조 — 숫자로 덮어쓰면 이 분기만 바뀐다
매출액 × 판관비율 6.13%(최근 4분기 중위)</t>
      </text>
    </comment>
    <comment ref="AL21" authorId="0" shapeId="0">
      <text>
        <t>3절 스칼라 '판관비율' 참조 — 숫자로 덮어쓰면 이 분기만 바뀐다
매출액 × 판관비율 6.13%(최근 4분기 중위)</t>
      </text>
    </comment>
    <comment ref="AM21" authorId="0" shapeId="0">
      <text>
        <t>3절 스칼라 '판관비율' 참조 — 숫자로 덮어쓰면 이 분기만 바뀐다
매출액 × 판관비율 6.13%(최근 4분기 중위)</t>
      </text>
    </comment>
    <comment ref="AN21" authorId="0" shapeId="0">
      <text>
        <t>3절 스칼라 '판관비율' 참조 — 숫자로 덮어쓰면 이 분기만 바뀐다
매출액 × 판관비율 6.13%(최근 4분기 중위)</t>
      </text>
    </comment>
    <comment ref="AC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2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3" authorId="0" shapeId="0">
      <text>
        <t>모델값 역산(implied): 모델 v 그대로
일회성 미가정 → 0</t>
      </text>
    </comment>
    <comment ref="AD23" authorId="0" shapeId="0">
      <text>
        <t>모델값 역산(implied): 모델 v 그대로
일회성 미가정 → 0</t>
      </text>
    </comment>
    <comment ref="AF23" authorId="0" shapeId="0">
      <text>
        <t>모델값 역산(implied): 모델 v 그대로
일회성 미가정 → 0</t>
      </text>
    </comment>
    <comment ref="AG23" authorId="0" shapeId="0">
      <text>
        <t>모델값 역산(implied): 모델 v 그대로
일회성 미가정 → 0</t>
      </text>
    </comment>
    <comment ref="AH23" authorId="0" shapeId="0">
      <text>
        <t>모델값 역산(implied): 모델 v 그대로
일회성 미가정 → 0</t>
      </text>
    </comment>
    <comment ref="AI23" authorId="0" shapeId="0">
      <text>
        <t>모델값 역산(implied): 모델 v 그대로
일회성 미가정 → 0</t>
      </text>
    </comment>
    <comment ref="AK23" authorId="0" shapeId="0">
      <text>
        <t>모델값 역산(implied): 모델 v 그대로
일회성 미가정 → 0</t>
      </text>
    </comment>
    <comment ref="AL23" authorId="0" shapeId="0">
      <text>
        <t>모델값 역산(implied): 모델 v 그대로
일회성 미가정 → 0</t>
      </text>
    </comment>
    <comment ref="AM23" authorId="0" shapeId="0">
      <text>
        <t>모델값 역산(implied): 모델 v 그대로
일회성 미가정 → 0</t>
      </text>
    </comment>
    <comment ref="AN23" authorId="0" shapeId="0">
      <text>
        <t>모델값 역산(implied): 모델 v 그대로
일회성 미가정 → 0</t>
      </text>
    </comment>
    <comment ref="AC24" authorId="0" shapeId="0">
      <text>
        <t>모델값 역산(implied): 모델 v 그대로
최근 4분기 중위</t>
      </text>
    </comment>
    <comment ref="AD24" authorId="0" shapeId="0">
      <text>
        <t>모델값 역산(implied): 모델 v 그대로
최근 4분기 중위</t>
      </text>
    </comment>
    <comment ref="AF24" authorId="0" shapeId="0">
      <text>
        <t>모델값 역산(implied): 모델 v 그대로
최근 4분기 중위</t>
      </text>
    </comment>
    <comment ref="AG24" authorId="0" shapeId="0">
      <text>
        <t>모델값 역산(implied): 모델 v 그대로
최근 4분기 중위</t>
      </text>
    </comment>
    <comment ref="AH24" authorId="0" shapeId="0">
      <text>
        <t>모델값 역산(implied): 모델 v 그대로
최근 4분기 중위</t>
      </text>
    </comment>
    <comment ref="AI24" authorId="0" shapeId="0">
      <text>
        <t>모델값 역산(implied): 모델 v 그대로
최근 4분기 중위</t>
      </text>
    </comment>
    <comment ref="AK24" authorId="0" shapeId="0">
      <text>
        <t>모델값 역산(implied): 모델 v 그대로
최근 4분기 중위</t>
      </text>
    </comment>
    <comment ref="AL24" authorId="0" shapeId="0">
      <text>
        <t>모델값 역산(implied): 모델 v 그대로
최근 4분기 중위</t>
      </text>
    </comment>
    <comment ref="AM24" authorId="0" shapeId="0">
      <text>
        <t>모델값 역산(implied): 모델 v 그대로
최근 4분기 중위</t>
      </text>
    </comment>
    <comment ref="AN24" authorId="0" shapeId="0">
      <text>
        <t>모델값 역산(implied): 모델 v 그대로
최근 4분기 중위</t>
      </text>
    </comment>
    <comment ref="AC25" authorId="0" shapeId="0">
      <text>
        <t>3절 스칼라 '세율' 참조 — 숫자로 덮어쓰면 이 분기만 바뀐다
max(세전, 0) × 세율 19.1%(최근 12분기 유효세율 19.1%(5~27% 안 — 그대로))</t>
      </text>
    </comment>
    <comment ref="AD25" authorId="0" shapeId="0">
      <text>
        <t>3절 스칼라 '세율' 참조 — 숫자로 덮어쓰면 이 분기만 바뀐다
max(세전, 0) × 세율 19.1%(최근 12분기 유효세율 19.1%(5~27% 안 — 그대로))</t>
      </text>
    </comment>
    <comment ref="AF25" authorId="0" shapeId="0">
      <text>
        <t>3절 스칼라 '세율' 참조 — 숫자로 덮어쓰면 이 분기만 바뀐다
max(세전, 0) × 세율 19.1%(최근 12분기 유효세율 19.1%(5~27% 안 — 그대로))</t>
      </text>
    </comment>
    <comment ref="AG25" authorId="0" shapeId="0">
      <text>
        <t>3절 스칼라 '세율' 참조 — 숫자로 덮어쓰면 이 분기만 바뀐다
max(세전, 0) × 세율 19.1%(최근 12분기 유효세율 19.1%(5~27% 안 — 그대로))</t>
      </text>
    </comment>
    <comment ref="AH25" authorId="0" shapeId="0">
      <text>
        <t>3절 스칼라 '세율' 참조 — 숫자로 덮어쓰면 이 분기만 바뀐다
max(세전, 0) × 세율 19.1%(최근 12분기 유효세율 19.1%(5~27% 안 — 그대로))</t>
      </text>
    </comment>
    <comment ref="AI25" authorId="0" shapeId="0">
      <text>
        <t>3절 스칼라 '세율' 참조 — 숫자로 덮어쓰면 이 분기만 바뀐다
max(세전, 0) × 세율 19.1%(최근 12분기 유효세율 19.1%(5~27% 안 — 그대로))</t>
      </text>
    </comment>
    <comment ref="AK25" authorId="0" shapeId="0">
      <text>
        <t>3절 스칼라 '세율' 참조 — 숫자로 덮어쓰면 이 분기만 바뀐다
max(세전, 0) × 세율 19.1%(최근 12분기 유효세율 19.1%(5~27% 안 — 그대로))</t>
      </text>
    </comment>
    <comment ref="AL25" authorId="0" shapeId="0">
      <text>
        <t>3절 스칼라 '세율' 참조 — 숫자로 덮어쓰면 이 분기만 바뀐다
max(세전, 0) × 세율 19.1%(최근 12분기 유효세율 19.1%(5~27% 안 — 그대로))</t>
      </text>
    </comment>
    <comment ref="AM25" authorId="0" shapeId="0">
      <text>
        <t>3절 스칼라 '세율' 참조 — 숫자로 덮어쓰면 이 분기만 바뀐다
max(세전, 0) × 세율 19.1%(최근 12분기 유효세율 19.1%(5~27% 안 — 그대로))</t>
      </text>
    </comment>
    <comment ref="AN25" authorId="0" shapeId="0">
      <text>
        <t>3절 스칼라 '세율' 참조 — 숫자로 덮어쓰면 이 분기만 바뀐다
max(세전, 0) × 세율 19.1%(최근 12분기 유효세율 19.1%(5~27% 안 — 그대로))</t>
      </text>
    </comment>
    <comment ref="AC26" authorId="0" shapeId="0">
      <text>
        <t>3절 스칼라 '지배주주비중' 참조 — 숫자로 덮어쓰면 이 분기만 바뀐다
당기순이익 × (1 − 비지배 비중 17.8%, 최근 8분기 실측)</t>
      </text>
    </comment>
    <comment ref="AD26" authorId="0" shapeId="0">
      <text>
        <t>3절 스칼라 '지배주주비중' 참조 — 숫자로 덮어쓰면 이 분기만 바뀐다
당기순이익 × (1 − 비지배 비중 17.8%, 최근 8분기 실측)</t>
      </text>
    </comment>
    <comment ref="AF26" authorId="0" shapeId="0">
      <text>
        <t>3절 스칼라 '지배주주비중' 참조 — 숫자로 덮어쓰면 이 분기만 바뀐다
당기순이익 × (1 − 비지배 비중 17.8%, 최근 8분기 실측)</t>
      </text>
    </comment>
    <comment ref="AG26" authorId="0" shapeId="0">
      <text>
        <t>3절 스칼라 '지배주주비중' 참조 — 숫자로 덮어쓰면 이 분기만 바뀐다
당기순이익 × (1 − 비지배 비중 17.8%, 최근 8분기 실측)</t>
      </text>
    </comment>
    <comment ref="AH26" authorId="0" shapeId="0">
      <text>
        <t>3절 스칼라 '지배주주비중' 참조 — 숫자로 덮어쓰면 이 분기만 바뀐다
당기순이익 × (1 − 비지배 비중 17.8%, 최근 8분기 실측)</t>
      </text>
    </comment>
    <comment ref="AI26" authorId="0" shapeId="0">
      <text>
        <t>3절 스칼라 '지배주주비중' 참조 — 숫자로 덮어쓰면 이 분기만 바뀐다
당기순이익 × (1 − 비지배 비중 17.8%, 최근 8분기 실측)</t>
      </text>
    </comment>
    <comment ref="AK26" authorId="0" shapeId="0">
      <text>
        <t>3절 스칼라 '지배주주비중' 참조 — 숫자로 덮어쓰면 이 분기만 바뀐다
당기순이익 × (1 − 비지배 비중 17.8%, 최근 8분기 실측)</t>
      </text>
    </comment>
    <comment ref="AL26" authorId="0" shapeId="0">
      <text>
        <t>3절 스칼라 '지배주주비중' 참조 — 숫자로 덮어쓰면 이 분기만 바뀐다
당기순이익 × (1 − 비지배 비중 17.8%, 최근 8분기 실측)</t>
      </text>
    </comment>
    <comment ref="AM26" authorId="0" shapeId="0">
      <text>
        <t>3절 스칼라 '지배주주비중' 참조 — 숫자로 덮어쓰면 이 분기만 바뀐다
당기순이익 × (1 − 비지배 비중 17.8%, 최근 8분기 실측)</t>
      </text>
    </comment>
    <comment ref="AN26" authorId="0" shapeId="0">
      <text>
        <t>3절 스칼라 '지배주주비중' 참조 — 숫자로 덮어쓰면 이 분기만 바뀐다
당기순이익 × (1 − 비지배 비중 17.8%, 최근 8분기 실측)</t>
      </text>
    </comment>
    <comment ref="AC28" authorId="0" shapeId="0">
      <text>
        <t>모델값 역산(implied): v / 전분기 − 1
마지막 실적 유지(가정)</t>
      </text>
    </comment>
    <comment ref="AD28" authorId="0" shapeId="0">
      <text>
        <t>모델값 역산(implied): v / 전분기 − 1
마지막 실적 유지(가정)</t>
      </text>
    </comment>
    <comment ref="AF28" authorId="0" shapeId="0">
      <text>
        <t>모델값 역산(implied): v / 전분기 − 1
마지막 실적 유지(가정)</t>
      </text>
    </comment>
    <comment ref="AG28" authorId="0" shapeId="0">
      <text>
        <t>모델값 역산(implied): v / 전분기 − 1
마지막 실적 유지(가정)</t>
      </text>
    </comment>
    <comment ref="AH28" authorId="0" shapeId="0">
      <text>
        <t>모델값 역산(implied): v / 전분기 − 1
마지막 실적 유지(가정)</t>
      </text>
    </comment>
    <comment ref="AI28" authorId="0" shapeId="0">
      <text>
        <t>모델값 역산(implied): v / 전분기 − 1
마지막 실적 유지(가정)</t>
      </text>
    </comment>
    <comment ref="AK28" authorId="0" shapeId="0">
      <text>
        <t>모델값 역산(implied): v / 전분기 − 1
마지막 실적 유지(가정)</t>
      </text>
    </comment>
    <comment ref="AL28" authorId="0" shapeId="0">
      <text>
        <t>모델값 역산(implied): v / 전분기 − 1
마지막 실적 유지(가정)</t>
      </text>
    </comment>
    <comment ref="AM28" authorId="0" shapeId="0">
      <text>
        <t>모델값 역산(implied): v / 전분기 − 1
마지막 실적 유지(가정)</t>
      </text>
    </comment>
    <comment ref="AN28" authorId="0" shapeId="0">
      <text>
        <t>모델값 역산(implied): v / 전분기 − 1
마지막 실적 유지(가정)</t>
      </text>
    </comment>
    <comment ref="AC29" authorId="0" shapeId="0">
      <text>
        <t>모델값 역산(implied): 전분기(시트값) + 당기순이익(시트 수식값) − v
전분기 + 당기순이익 − 배당(Q2 지급 가정)</t>
      </text>
    </comment>
    <comment ref="AD29" authorId="0" shapeId="0">
      <text>
        <t>모델값 역산(implied): 전분기(시트값) + 당기순이익(시트 수식값) − v
전분기 + 당기순이익 − 배당(Q2 지급 가정)</t>
      </text>
    </comment>
    <comment ref="AF29" authorId="0" shapeId="0">
      <text>
        <t>모델값 역산(implied): 전분기(시트값) + 당기순이익(시트 수식값) − v
전분기 + 당기순이익 − 배당(Q2 지급 가정)</t>
      </text>
    </comment>
    <comment ref="AG29" authorId="0" shapeId="0">
      <text>
        <t>모델값 역산(implied): 전분기(시트값) + 당기순이익(시트 수식값) − v
전분기 + 당기순이익 − 배당(Q2 지급 가정)</t>
      </text>
    </comment>
    <comment ref="AH29" authorId="0" shapeId="0">
      <text>
        <t>모델값 역산(implied): 전분기(시트값) + 당기순이익(시트 수식값) − v
전분기 + 당기순이익 − 배당(Q2 지급 가정)</t>
      </text>
    </comment>
    <comment ref="AI29" authorId="0" shapeId="0">
      <text>
        <t>모델값 역산(implied): 전분기(시트값) + 당기순이익(시트 수식값) − v
전분기 + 당기순이익 − 배당(Q2 지급 가정)</t>
      </text>
    </comment>
    <comment ref="AK29" authorId="0" shapeId="0">
      <text>
        <t>모델값 역산(implied): 전분기(시트값) + 당기순이익(시트 수식값) − v
전분기 + 당기순이익 − 배당(Q2 지급 가정)</t>
      </text>
    </comment>
    <comment ref="AL29" authorId="0" shapeId="0">
      <text>
        <t>모델값 역산(implied): 전분기(시트값) + 당기순이익(시트 수식값) − v
전분기 + 당기순이익 − 배당(Q2 지급 가정)</t>
      </text>
    </comment>
    <comment ref="AM29" authorId="0" shapeId="0">
      <text>
        <t>모델값 역산(implied): 전분기(시트값) + 당기순이익(시트 수식값) − v
전분기 + 당기순이익 − 배당(Q2 지급 가정)</t>
      </text>
    </comment>
    <comment ref="AN29" authorId="0" shapeId="0">
      <text>
        <t>모델값 역산(implied): 전분기(시트값) + 당기순이익(시트 수식값) − v
전분기 + 당기순이익 − 배당(Q2 지급 가정)</t>
      </text>
    </comment>
    <comment ref="AC30" authorId="0" shapeId="0">
      <text>
        <t>모델값 역산(implied): 전분기(시트값) + 지배주주순이익(시트 수식값) − v
전분기 + 지배주주순이익 − 배당</t>
      </text>
    </comment>
    <comment ref="AD30" authorId="0" shapeId="0">
      <text>
        <t>모델값 역산(implied): 전분기(시트값) + 지배주주순이익(시트 수식값) − v
전분기 + 지배주주순이익 − 배당</t>
      </text>
    </comment>
    <comment ref="AF30" authorId="0" shapeId="0">
      <text>
        <t>모델값 역산(implied): 전분기(시트값) + 지배주주순이익(시트 수식값) − v
전분기 + 지배주주순이익 − 배당</t>
      </text>
    </comment>
    <comment ref="AG30" authorId="0" shapeId="0">
      <text>
        <t>모델값 역산(implied): 전분기(시트값) + 지배주주순이익(시트 수식값) − v
전분기 + 지배주주순이익 − 배당</t>
      </text>
    </comment>
    <comment ref="AH30" authorId="0" shapeId="0">
      <text>
        <t>모델값 역산(implied): 전분기(시트값) + 지배주주순이익(시트 수식값) − v
전분기 + 지배주주순이익 − 배당</t>
      </text>
    </comment>
    <comment ref="AI30" authorId="0" shapeId="0">
      <text>
        <t>모델값 역산(implied): 전분기(시트값) + 지배주주순이익(시트 수식값) − v
전분기 + 지배주주순이익 − 배당</t>
      </text>
    </comment>
    <comment ref="AK30" authorId="0" shapeId="0">
      <text>
        <t>모델값 역산(implied): 전분기(시트값) + 지배주주순이익(시트 수식값) − v
전분기 + 지배주주순이익 − 배당</t>
      </text>
    </comment>
    <comment ref="AL30" authorId="0" shapeId="0">
      <text>
        <t>모델값 역산(implied): 전분기(시트값) + 지배주주순이익(시트 수식값) − v
전분기 + 지배주주순이익 − 배당</t>
      </text>
    </comment>
    <comment ref="AM30" authorId="0" shapeId="0">
      <text>
        <t>모델값 역산(implied): 전분기(시트값) + 지배주주순이익(시트 수식값) − v
전분기 + 지배주주순이익 − 배당</t>
      </text>
    </comment>
    <comment ref="AN30" authorId="0" shapeId="0">
      <text>
        <t>모델값 역산(implied): 전분기(시트값) + 지배주주순이익(시트 수식값) − v
전분기 + 지배주주순이익 − 배당</t>
      </text>
    </comment>
    <comment ref="AC31" authorId="0" shapeId="0">
      <text>
        <t>모델값 역산(implied): v / 전분기 − 1
마지막 실적 유지(가정)</t>
      </text>
    </comment>
    <comment ref="AD31" authorId="0" shapeId="0">
      <text>
        <t>모델값 역산(implied): v / 전분기 − 1
마지막 실적 유지(가정)</t>
      </text>
    </comment>
    <comment ref="AF31" authorId="0" shapeId="0">
      <text>
        <t>모델값 역산(implied): v / 전분기 − 1
마지막 실적 유지(가정)</t>
      </text>
    </comment>
    <comment ref="AG31" authorId="0" shapeId="0">
      <text>
        <t>모델값 역산(implied): v / 전분기 − 1
마지막 실적 유지(가정)</t>
      </text>
    </comment>
    <comment ref="AH31" authorId="0" shapeId="0">
      <text>
        <t>모델값 역산(implied): v / 전분기 − 1
마지막 실적 유지(가정)</t>
      </text>
    </comment>
    <comment ref="AI31" authorId="0" shapeId="0">
      <text>
        <t>모델값 역산(implied): v / 전분기 − 1
마지막 실적 유지(가정)</t>
      </text>
    </comment>
    <comment ref="AK31" authorId="0" shapeId="0">
      <text>
        <t>모델값 역산(implied): v / 전분기 − 1
마지막 실적 유지(가정)</t>
      </text>
    </comment>
    <comment ref="AL31" authorId="0" shapeId="0">
      <text>
        <t>모델값 역산(implied): v / 전분기 − 1
마지막 실적 유지(가정)</t>
      </text>
    </comment>
    <comment ref="AM31" authorId="0" shapeId="0">
      <text>
        <t>모델값 역산(implied): v / 전분기 − 1
마지막 실적 유지(가정)</t>
      </text>
    </comment>
    <comment ref="AN31" authorId="0" shapeId="0">
      <text>
        <t>모델값 역산(implied): v / 전분기 − 1
마지막 실적 유지(가정)</t>
      </text>
    </comment>
    <comment ref="AC32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D32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F32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G32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H32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I32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K32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L32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M32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N32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C33" authorId="0" shapeId="0">
      <text>
        <t>모델값 역산(implied): v / 전분기 − 1
전분기 + FCF 근사 — 순차입금 롤과 같은 가정</t>
      </text>
    </comment>
    <comment ref="AD33" authorId="0" shapeId="0">
      <text>
        <t>모델값 역산(implied): v / 전분기 − 1
전분기 + FCF 근사 — 순차입금 롤과 같은 가정</t>
      </text>
    </comment>
    <comment ref="AF33" authorId="0" shapeId="0">
      <text>
        <t>모델값 역산(implied): v / 전분기 − 1
전분기 + FCF 근사 — 순차입금 롤과 같은 가정</t>
      </text>
    </comment>
    <comment ref="AG33" authorId="0" shapeId="0">
      <text>
        <t>모델값 역산(implied): v / 전분기 − 1
전분기 + FCF 근사 — 순차입금 롤과 같은 가정</t>
      </text>
    </comment>
    <comment ref="AH33" authorId="0" shapeId="0">
      <text>
        <t>모델값 역산(implied): v / 전분기 − 1
전분기 + FCF 근사 — 순차입금 롤과 같은 가정</t>
      </text>
    </comment>
    <comment ref="AI33" authorId="0" shapeId="0">
      <text>
        <t>모델값 역산(implied): v / 전분기 − 1
전분기 + FCF 근사 — 순차입금 롤과 같은 가정</t>
      </text>
    </comment>
    <comment ref="AK33" authorId="0" shapeId="0">
      <text>
        <t>모델값 역산(implied): v / 전분기 − 1
전분기 + FCF 근사 — 순차입금 롤과 같은 가정</t>
      </text>
    </comment>
    <comment ref="AL33" authorId="0" shapeId="0">
      <text>
        <t>모델값 역산(implied): v / 전분기 − 1
전분기 + FCF 근사 — 순차입금 롤과 같은 가정</t>
      </text>
    </comment>
    <comment ref="AM33" authorId="0" shapeId="0">
      <text>
        <t>모델값 역산(implied): v / 전분기 − 1
전분기 + FCF 근사 — 순차입금 롤과 같은 가정</t>
      </text>
    </comment>
    <comment ref="AN33" authorId="0" shapeId="0">
      <text>
        <t>모델값 역산(implied): v / 전분기 − 1
전분기 + FCF 근사 — 순차입금 롤과 같은 가정</t>
      </text>
    </comment>
    <comment ref="AC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D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F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G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H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I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K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L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M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N35" authorId="0" shapeId="0">
      <text>
        <t>모델값 역산(implied): v / 전년동기 − 1
최근 4분기(2025Q3~2026Q2) CAPEX 중위 유지 — 순차입금 롤에 미반영(감가상각비 없음 → CAPEX≈감가 가정)</t>
      </text>
    </comment>
    <comment ref="AC37" authorId="0" shapeId="0">
      <text>
        <t>모델값 역산(implied): v / 전분기 − 1
유통주식수 유지 — fin.shares.common_outstanding(2026Q2)</t>
      </text>
    </comment>
    <comment ref="AD37" authorId="0" shapeId="0">
      <text>
        <t>모델값 역산(implied): v / 전분기 − 1
유통주식수 유지 — fin.shares.common_outstanding(2026Q2)</t>
      </text>
    </comment>
    <comment ref="AF37" authorId="0" shapeId="0">
      <text>
        <t>모델값 역산(implied): v / 전분기 − 1
유통주식수 유지 — fin.shares.common_outstanding(2026Q2)</t>
      </text>
    </comment>
    <comment ref="AG37" authorId="0" shapeId="0">
      <text>
        <t>모델값 역산(implied): v / 전분기 − 1
유통주식수 유지 — fin.shares.common_outstanding(2026Q2)</t>
      </text>
    </comment>
    <comment ref="AH37" authorId="0" shapeId="0">
      <text>
        <t>모델값 역산(implied): v / 전분기 − 1
유통주식수 유지 — fin.shares.common_outstanding(2026Q2)</t>
      </text>
    </comment>
    <comment ref="AI37" authorId="0" shapeId="0">
      <text>
        <t>모델값 역산(implied): v / 전분기 − 1
유통주식수 유지 — fin.shares.common_outstanding(2026Q2)</t>
      </text>
    </comment>
    <comment ref="AK37" authorId="0" shapeId="0">
      <text>
        <t>모델값 역산(implied): v / 전분기 − 1
유통주식수 유지 — fin.shares.common_outstanding(2026Q2)</t>
      </text>
    </comment>
    <comment ref="AL37" authorId="0" shapeId="0">
      <text>
        <t>모델값 역산(implied): v / 전분기 − 1
유통주식수 유지 — fin.shares.common_outstanding(2026Q2)</t>
      </text>
    </comment>
    <comment ref="AM37" authorId="0" shapeId="0">
      <text>
        <t>모델값 역산(implied): v / 전분기 − 1
유통주식수 유지 — fin.shares.common_outstanding(2026Q2)</t>
      </text>
    </comment>
    <comment ref="AN37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모델 v 그대로
직전 결산 DPS 225원 유지</t>
      </text>
    </comment>
    <comment ref="AI38" authorId="0" shapeId="0">
      <text>
        <t>모델값 역산(implied): 모델 v 그대로
직전 결산 DPS 225원 유지</t>
      </text>
    </comment>
    <comment ref="AN38" authorId="0" shapeId="0">
      <text>
        <t>모델값 역산(implied): 모델 v 그대로
직전 결산 DPS 225원 유지</t>
      </text>
    </comment>
    <comment ref="AC39" authorId="0" shapeId="0">
      <text>
        <t>모델값 역산(implied): v / 전년동기 − 1
별도 매출 추세+계절성(폴백: 전년동기 × (1+2.6%) — g=최근 4분기 합 YoY 2.6% 클립(−30~+50%), 연차별 절반 감쇠(가정))</t>
      </text>
    </comment>
    <comment ref="AD39" authorId="0" shapeId="0">
      <text>
        <t>모델값 역산(implied): v / 전년동기 − 1
별도 매출 추세+계절성(폴백: 전년동기 × (1+2.6%) — g=최근 4분기 합 YoY 2.6% 클립(−30~+50%), 연차별 절반 감쇠(가정))</t>
      </text>
    </comment>
    <comment ref="AF39" authorId="0" shapeId="0">
      <text>
        <t>모델값 역산(implied): v / 전년동기 − 1
별도 매출 추세+계절성(폴백: 전년동기 × (1+2.6%) — g=최근 4분기 합 YoY 2.6% 클립(−30~+50%), 연차별 절반 감쇠(가정))</t>
      </text>
    </comment>
    <comment ref="AG39" authorId="0" shapeId="0">
      <text>
        <t>모델값 역산(implied): v / 전년동기 − 1
별도 매출 추세+계절성(폴백: 전년동기 × (1+2.6%) — g=최근 4분기 합 YoY 2.6% 클립(−30~+50%), 연차별 절반 감쇠(가정))</t>
      </text>
    </comment>
    <comment ref="AH39" authorId="0" shapeId="0">
      <text>
        <t>모델값 역산(implied): v / 전년동기 − 1
별도 매출 추세+계절성(폴백: 전년동기 × (1+1.3%) — g=최근 4분기 합 YoY 2.6% 클립(−30~+50%), 연차별 절반 감쇠(가정))</t>
      </text>
    </comment>
    <comment ref="AI39" authorId="0" shapeId="0">
      <text>
        <t>모델값 역산(implied): v / 전년동기 − 1
별도 매출 추세+계절성(폴백: 전년동기 × (1+1.3%) — g=최근 4분기 합 YoY 2.6% 클립(−30~+50%), 연차별 절반 감쇠(가정))</t>
      </text>
    </comment>
    <comment ref="AK39" authorId="0" shapeId="0">
      <text>
        <t>모델값 역산(implied): v / 전년동기 − 1
별도 매출 추세+계절성(폴백: 전년동기 × (1+1.3%) — g=최근 4분기 합 YoY 2.6% 클립(−30~+50%), 연차별 절반 감쇠(가정))</t>
      </text>
    </comment>
    <comment ref="AL39" authorId="0" shapeId="0">
      <text>
        <t>모델값 역산(implied): v / 전년동기 − 1
별도 매출 추세+계절성(폴백: 전년동기 × (1+1.3%) — g=최근 4분기 합 YoY 2.6% 클립(−30~+50%), 연차별 절반 감쇠(가정))</t>
      </text>
    </comment>
    <comment ref="AM39" authorId="0" shapeId="0">
      <text>
        <t>모델값 역산(implied): v / 전년동기 − 1
별도 매출 추세+계절성(폴백: 전년동기 × (1+0.7%) — g=최근 4분기 합 YoY 2.6% 클립(−30~+50%), 연차별 절반 감쇠(가정))</t>
      </text>
    </comment>
    <comment ref="AN39" authorId="0" shapeId="0">
      <text>
        <t>모델값 역산(implied): v / 전년동기 − 1
별도 매출 추세+계절성(폴백: 전년동기 × (1+0.7%) — g=최근 4분기 합 YoY 2.6% 클립(−30~+50%), 연차별 절반 감쇠(가정))</t>
      </text>
    </comment>
    <comment ref="AC40" authorId="0" shapeId="0">
      <text>
        <t>모델값 역산(implied): v / 매출조선기자재
별도 매출 × 별도 OPM 8분기 중위 15.7%</t>
      </text>
    </comment>
    <comment ref="AD40" authorId="0" shapeId="0">
      <text>
        <t>모델값 역산(implied): v / 매출조선기자재
별도 매출 × 별도 OPM 8분기 중위 15.7%</t>
      </text>
    </comment>
    <comment ref="AF40" authorId="0" shapeId="0">
      <text>
        <t>모델값 역산(implied): v / 매출조선기자재
별도 매출 × 별도 OPM 8분기 중위 15.7%</t>
      </text>
    </comment>
    <comment ref="AG40" authorId="0" shapeId="0">
      <text>
        <t>모델값 역산(implied): v / 매출조선기자재
별도 매출 × 별도 OPM 8분기 중위 15.7%</t>
      </text>
    </comment>
    <comment ref="AH40" authorId="0" shapeId="0">
      <text>
        <t>모델값 역산(implied): v / 매출조선기자재
별도 매출 × 별도 OPM 8분기 중위 15.7%</t>
      </text>
    </comment>
    <comment ref="AI40" authorId="0" shapeId="0">
      <text>
        <t>모델값 역산(implied): v / 매출조선기자재
별도 매출 × 별도 OPM 8분기 중위 15.7%</t>
      </text>
    </comment>
    <comment ref="AK40" authorId="0" shapeId="0">
      <text>
        <t>모델값 역산(implied): v / 매출조선기자재
별도 매출 × 별도 OPM 8분기 중위 15.7%</t>
      </text>
    </comment>
    <comment ref="AL40" authorId="0" shapeId="0">
      <text>
        <t>모델값 역산(implied): v / 매출조선기자재
별도 매출 × 별도 OPM 8분기 중위 15.7%</t>
      </text>
    </comment>
    <comment ref="AM40" authorId="0" shapeId="0">
      <text>
        <t>모델값 역산(implied): v / 매출조선기자재
별도 매출 × 별도 OPM 8분기 중위 15.7%</t>
      </text>
    </comment>
    <comment ref="AN40" authorId="0" shapeId="0">
      <text>
        <t>모델값 역산(implied): v / 매출조선기자재
별도 매출 × 별도 OPM 8분기 중위 15.7%</t>
      </text>
    </comment>
    <comment ref="AC41" authorId="0" shapeId="0">
      <text>
        <t>모델값 역산(implied): v / 전년동기 − 1
일승·동방선기 모델 매출 합</t>
      </text>
    </comment>
    <comment ref="AD41" authorId="0" shapeId="0">
      <text>
        <t>모델값 역산(implied): v / 전년동기 − 1
일승·동방선기 모델 매출 합</t>
      </text>
    </comment>
    <comment ref="AF41" authorId="0" shapeId="0">
      <text>
        <t>모델값 역산(implied): v / 전년동기 − 1
일승·동방선기 모델 매출 합</t>
      </text>
    </comment>
    <comment ref="AG41" authorId="0" shapeId="0">
      <text>
        <t>모델값 역산(implied): v / 전년동기 − 1
일승·동방선기 모델 매출 합</t>
      </text>
    </comment>
    <comment ref="AH41" authorId="0" shapeId="0">
      <text>
        <t>모델값 역산(implied): v / 전년동기 − 1
일승·동방선기 모델 매출 합</t>
      </text>
    </comment>
    <comment ref="AI41" authorId="0" shapeId="0">
      <text>
        <t>모델값 역산(implied): v / 전년동기 − 1
일승·동방선기 모델 매출 합</t>
      </text>
    </comment>
    <comment ref="AK41" authorId="0" shapeId="0">
      <text>
        <t>모델값 역산(implied): v / 전년동기 − 1
일승·동방선기 모델 매출 합</t>
      </text>
    </comment>
    <comment ref="AL41" authorId="0" shapeId="0">
      <text>
        <t>모델값 역산(implied): v / 전년동기 − 1
일승·동방선기 모델 매출 합</t>
      </text>
    </comment>
    <comment ref="AM41" authorId="0" shapeId="0">
      <text>
        <t>모델값 역산(implied): v / 전년동기 − 1
일승·동방선기 모델 매출 합</t>
      </text>
    </comment>
    <comment ref="AN41" authorId="0" shapeId="0">
      <text>
        <t>모델값 역산(implied): v / 전년동기 − 1
일승·동방선기 모델 매출 합</t>
      </text>
    </comment>
    <comment ref="AC42" authorId="0" shapeId="0">
      <text>
        <t>모델값 역산(implied): v / 매출종속사
일승·동방선기 모델 영업이익 합</t>
      </text>
    </comment>
    <comment ref="AD42" authorId="0" shapeId="0">
      <text>
        <t>모델값 역산(implied): v / 매출종속사
일승·동방선기 모델 영업이익 합</t>
      </text>
    </comment>
    <comment ref="AF42" authorId="0" shapeId="0">
      <text>
        <t>모델값 역산(implied): v / 매출종속사
일승·동방선기 모델 영업이익 합</t>
      </text>
    </comment>
    <comment ref="AG42" authorId="0" shapeId="0">
      <text>
        <t>모델값 역산(implied): v / 매출종속사
일승·동방선기 모델 영업이익 합</t>
      </text>
    </comment>
    <comment ref="AH42" authorId="0" shapeId="0">
      <text>
        <t>모델값 역산(implied): v / 매출종속사
일승·동방선기 모델 영업이익 합</t>
      </text>
    </comment>
    <comment ref="AI42" authorId="0" shapeId="0">
      <text>
        <t>모델값 역산(implied): v / 매출종속사
일승·동방선기 모델 영업이익 합</t>
      </text>
    </comment>
    <comment ref="AK42" authorId="0" shapeId="0">
      <text>
        <t>모델값 역산(implied): v / 매출종속사
일승·동방선기 모델 영업이익 합</t>
      </text>
    </comment>
    <comment ref="AL42" authorId="0" shapeId="0">
      <text>
        <t>모델값 역산(implied): v / 매출종속사
일승·동방선기 모델 영업이익 합</t>
      </text>
    </comment>
    <comment ref="AM42" authorId="0" shapeId="0">
      <text>
        <t>모델값 역산(implied): v / 매출종속사
일승·동방선기 모델 영업이익 합</t>
      </text>
    </comment>
    <comment ref="AN42" authorId="0" shapeId="0">
      <text>
        <t>모델값 역산(implied): v / 매출종속사
일승·동방선기 모델 영업이익 합</t>
      </text>
    </comment>
    <comment ref="AC43" authorId="0" shapeId="0">
      <text>
        <t>모델값 역산(implied): v / 매출종속사
종속사 매출 250억 × 잔차/종속사 매출 최근 4분기(2025Q3~2026Q2) 중위 -0.6252(내부거래·베트남)</t>
      </text>
    </comment>
    <comment ref="AD43" authorId="0" shapeId="0">
      <text>
        <t>모델값 역산(implied): v / 매출종속사
종속사 매출 353억 × 잔차/종속사 매출 최근 4분기(2025Q3~2026Q2) 중위 -0.6252(내부거래·베트남)</t>
      </text>
    </comment>
    <comment ref="AF43" authorId="0" shapeId="0">
      <text>
        <t>모델값 역산(implied): v / 매출종속사
종속사 매출 248억 × 잔차/종속사 매출 최근 4분기(2025Q3~2026Q2) 중위 -0.6252(내부거래·베트남)</t>
      </text>
    </comment>
    <comment ref="AG43" authorId="0" shapeId="0">
      <text>
        <t>모델값 역산(implied): v / 매출종속사
종속사 매출 277억 × 잔차/종속사 매출 최근 4분기(2025Q3~2026Q2) 중위 -0.6252(내부거래·베트남)</t>
      </text>
    </comment>
    <comment ref="AH43" authorId="0" shapeId="0">
      <text>
        <t>모델값 역산(implied): v / 매출종속사
종속사 매출 295억 × 잔차/종속사 매출 최근 4분기(2025Q3~2026Q2) 중위 -0.6252(내부거래·베트남)</t>
      </text>
    </comment>
    <comment ref="AI43" authorId="0" shapeId="0">
      <text>
        <t>모델값 역산(implied): v / 매출종속사
종속사 매출 411억 × 잔차/종속사 매출 최근 4분기(2025Q3~2026Q2) 중위 -0.6252(내부거래·베트남)</t>
      </text>
    </comment>
    <comment ref="AK43" authorId="0" shapeId="0">
      <text>
        <t>모델값 역산(implied): v / 매출종속사
종속사 매출 295억 × 잔차/종속사 매출 최근 4분기(2025Q3~2026Q2) 중위 -0.6252(내부거래·베트남)</t>
      </text>
    </comment>
    <comment ref="AL43" authorId="0" shapeId="0">
      <text>
        <t>모델값 역산(implied): v / 매출종속사
종속사 매출 338억 × 잔차/종속사 매출 최근 4분기(2025Q3~2026Q2) 중위 -0.6252(내부거래·베트남)</t>
      </text>
    </comment>
    <comment ref="AM43" authorId="0" shapeId="0">
      <text>
        <t>모델값 역산(implied): v / 매출종속사
종속사 매출 368억 × 잔차/종속사 매출 최근 4분기(2025Q3~2026Q2) 중위 -0.6252(내부거래·베트남)</t>
      </text>
    </comment>
    <comment ref="AN43" authorId="0" shapeId="0">
      <text>
        <t>모델값 역산(implied): v / 매출종속사
종속사 매출 512억 × 잔차/종속사 매출 최근 4분기(2025Q3~2026Q2) 중위 -0.6252(내부거래·베트남)</t>
      </text>
    </comment>
    <comment ref="AC44" authorId="0" shapeId="0">
      <text>
        <t>모델값 역산(implied): v / 매출연결조정
연결 OP − 별도 OP − 종속사 OP(잔차)</t>
      </text>
    </comment>
    <comment ref="AD44" authorId="0" shapeId="0">
      <text>
        <t>모델값 역산(implied): v / 매출연결조정
연결 OP − 별도 OP − 종속사 OP(잔차)</t>
      </text>
    </comment>
    <comment ref="AF44" authorId="0" shapeId="0">
      <text>
        <t>모델값 역산(implied): v / 매출연결조정
연결 OP − 별도 OP − 종속사 OP(잔차)</t>
      </text>
    </comment>
    <comment ref="AG44" authorId="0" shapeId="0">
      <text>
        <t>모델값 역산(implied): v / 매출연결조정
연결 OP − 별도 OP − 종속사 OP(잔차)</t>
      </text>
    </comment>
    <comment ref="AH44" authorId="0" shapeId="0">
      <text>
        <t>모델값 역산(implied): v / 매출연결조정
연결 OP − 별도 OP − 종속사 OP(잔차)</t>
      </text>
    </comment>
    <comment ref="AI44" authorId="0" shapeId="0">
      <text>
        <t>모델값 역산(implied): v / 매출연결조정
연결 OP − 별도 OP − 종속사 OP(잔차)</t>
      </text>
    </comment>
    <comment ref="AK44" authorId="0" shapeId="0">
      <text>
        <t>모델값 역산(implied): v / 매출연결조정
연결 OP − 별도 OP − 종속사 OP(잔차)</t>
      </text>
    </comment>
    <comment ref="AL44" authorId="0" shapeId="0">
      <text>
        <t>모델값 역산(implied): v / 매출연결조정
연결 OP − 별도 OP − 종속사 OP(잔차)</t>
      </text>
    </comment>
    <comment ref="AM44" authorId="0" shapeId="0">
      <text>
        <t>모델값 역산(implied): v / 매출연결조정
연결 OP − 별도 OP − 종속사 OP(잔차)</t>
      </text>
    </comment>
    <comment ref="AN44" authorId="0" shapeId="0">
      <text>
        <t>모델값 역산(implied): v / 매출연결조정
연결 OP − 별도 OP − 종속사 OP(잔차)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별도(조선기자재) 827 + 종속사 250 + 연결조정 -157
[identity]</t>
      </text>
    </comment>
    <comment ref="AD5" authorId="0" shapeId="0">
      <text>
        <t>추정: 별도(조선기자재) 1101 + 종속사 353 + 연결조정 -220
[identity]</t>
      </text>
    </comment>
    <comment ref="AF5" authorId="0" shapeId="0">
      <text>
        <t>추정: 별도(조선기자재) 802 + 종속사 248 + 연결조정 -155
[identity]</t>
      </text>
    </comment>
    <comment ref="AG5" authorId="0" shapeId="0">
      <text>
        <t>추정: 별도(조선기자재) 855 + 종속사 277 + 연결조정 -173
[identity]</t>
      </text>
    </comment>
    <comment ref="AH5" authorId="0" shapeId="0">
      <text>
        <t>추정: 별도(조선기자재) 838 + 종속사 295 + 연결조정 -185
[identity]</t>
      </text>
    </comment>
    <comment ref="AI5" authorId="0" shapeId="0">
      <text>
        <t>추정: 별도(조선기자재) 1116 + 종속사 411 + 연결조정 -257
[identity]</t>
      </text>
    </comment>
    <comment ref="AK5" authorId="0" shapeId="0">
      <text>
        <t>추정: 별도(조선기자재) 813 + 종속사 295 + 연결조정 -184
[identity]</t>
      </text>
    </comment>
    <comment ref="AL5" authorId="0" shapeId="0">
      <text>
        <t>추정: 별도(조선기자재) 867 + 종속사 338 + 연결조정 -211
[identity]</t>
      </text>
    </comment>
    <comment ref="AM5" authorId="0" shapeId="0">
      <text>
        <t>추정: 별도(조선기자재) 843 + 종속사 368 + 연결조정 -230
[identity]</t>
      </text>
    </comment>
    <comment ref="AN5" authorId="0" shapeId="0">
      <text>
        <t>추정: 별도(조선기자재) 1123 + 종속사 512 + 연결조정 -320
[identity]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6.13%(최근 4분기 중위)
[ratio]</t>
      </text>
    </comment>
    <comment ref="AD8" authorId="0" shapeId="0">
      <text>
        <t>추정: 매출액 × 판관비율 6.13%(최근 4분기 중위)
[ratio]</t>
      </text>
    </comment>
    <comment ref="AF8" authorId="0" shapeId="0">
      <text>
        <t>추정: 매출액 × 판관비율 6.13%(최근 4분기 중위)
[ratio]</t>
      </text>
    </comment>
    <comment ref="AG8" authorId="0" shapeId="0">
      <text>
        <t>추정: 매출액 × 판관비율 6.13%(최근 4분기 중위)
[ratio]</t>
      </text>
    </comment>
    <comment ref="AH8" authorId="0" shapeId="0">
      <text>
        <t>추정: 매출액 × 판관비율 6.13%(최근 4분기 중위)
[ratio]</t>
      </text>
    </comment>
    <comment ref="AI8" authorId="0" shapeId="0">
      <text>
        <t>추정: 매출액 × 판관비율 6.13%(최근 4분기 중위)
[ratio]</t>
      </text>
    </comment>
    <comment ref="AK8" authorId="0" shapeId="0">
      <text>
        <t>추정: 매출액 × 판관비율 6.13%(최근 4분기 중위)
[ratio]</t>
      </text>
    </comment>
    <comment ref="AL8" authorId="0" shapeId="0">
      <text>
        <t>추정: 매출액 × 판관비율 6.13%(최근 4분기 중위)
[ratio]</t>
      </text>
    </comment>
    <comment ref="AM8" authorId="0" shapeId="0">
      <text>
        <t>추정: 매출액 × 판관비율 6.13%(최근 4분기 중위)
[ratio]</t>
      </text>
    </comment>
    <comment ref="AN8" authorId="0" shapeId="0">
      <text>
        <t>추정: 매출액 × 판관비율 6.13%(최근 4분기 중위)
[ratio]</t>
      </text>
    </comment>
    <comment ref="AC9" authorId="0" shapeId="0">
      <text>
        <t>추정: 매출액 × OPM(최근 8분기 OPM 중위 16.9% 유지(클립 −20~40%))
[identity]</t>
      </text>
    </comment>
    <comment ref="AD9" authorId="0" shapeId="0">
      <text>
        <t>추정: 매출액 × OPM(최근 8분기 OPM 중위 16.9% 유지(클립 −20~40%))
[identity]</t>
      </text>
    </comment>
    <comment ref="AF9" authorId="0" shapeId="0">
      <text>
        <t>추정: 매출액 × OPM(최근 8분기 OPM 중위 16.9% 유지(클립 −20~40%))
[identity]</t>
      </text>
    </comment>
    <comment ref="AG9" authorId="0" shapeId="0">
      <text>
        <t>추정: 매출액 × OPM(최근 8분기 OPM 중위 16.9% 유지(클립 −20~40%))
[identity]</t>
      </text>
    </comment>
    <comment ref="AH9" authorId="0" shapeId="0">
      <text>
        <t>추정: 매출액 × OPM(최근 8분기 OPM 중위 16.9% 유지(클립 −20~40%))
[identity]</t>
      </text>
    </comment>
    <comment ref="AI9" authorId="0" shapeId="0">
      <text>
        <t>추정: 매출액 × OPM(최근 8분기 OPM 중위 16.9% 유지(클립 −20~40%))
[identity]</t>
      </text>
    </comment>
    <comment ref="AK9" authorId="0" shapeId="0">
      <text>
        <t>추정: 매출액 × OPM(최근 8분기 OPM 중위 16.9% 유지(클립 −20~40%))
[identity]</t>
      </text>
    </comment>
    <comment ref="AL9" authorId="0" shapeId="0">
      <text>
        <t>추정: 매출액 × OPM(최근 8분기 OPM 중위 16.9% 유지(클립 −20~40%))
[identity]</t>
      </text>
    </comment>
    <comment ref="AM9" authorId="0" shapeId="0">
      <text>
        <t>추정: 매출액 × OPM(최근 8분기 OPM 중위 16.9% 유지(클립 −20~40%))
[identity]</t>
      </text>
    </comment>
    <comment ref="AN9" authorId="0" shapeId="0">
      <text>
        <t>추정: 매출액 × OPM(최근 8분기 OPM 중위 16.9% 유지(클립 −20~40%))
[identity]</t>
      </text>
    </comment>
    <comment ref="AC10" authorId="0" shapeId="0">
      <text>
        <t>추정: 최근 8분기 OPM 중위 16.9% 유지(클립 −20~40%)
[divide]</t>
      </text>
    </comment>
    <comment ref="AD10" authorId="0" shapeId="0">
      <text>
        <t>추정: 최근 8분기 OPM 중위 16.9% 유지(클립 −20~40%)
[divide]</t>
      </text>
    </comment>
    <comment ref="AF10" authorId="0" shapeId="0">
      <text>
        <t>추정: 최근 8분기 OPM 중위 16.9% 유지(클립 −20~40%)
[divide]</t>
      </text>
    </comment>
    <comment ref="AG10" authorId="0" shapeId="0">
      <text>
        <t>추정: 최근 8분기 OPM 중위 16.9% 유지(클립 −20~40%)
[divide]</t>
      </text>
    </comment>
    <comment ref="AH10" authorId="0" shapeId="0">
      <text>
        <t>추정: 최근 8분기 OPM 중위 16.9% 유지(클립 −20~40%)
[divide]</t>
      </text>
    </comment>
    <comment ref="AI10" authorId="0" shapeId="0">
      <text>
        <t>추정: 최근 8분기 OPM 중위 16.9% 유지(클립 −20~40%)
[divide]</t>
      </text>
    </comment>
    <comment ref="AK10" authorId="0" shapeId="0">
      <text>
        <t>추정: 최근 8분기 OPM 중위 16.9% 유지(클립 −20~40%)
[divide]</t>
      </text>
    </comment>
    <comment ref="AL10" authorId="0" shapeId="0">
      <text>
        <t>추정: 최근 8분기 OPM 중위 16.9% 유지(클립 −20~40%)
[divide]</t>
      </text>
    </comment>
    <comment ref="AM10" authorId="0" shapeId="0">
      <text>
        <t>추정: 최근 8분기 OPM 중위 16.9% 유지(클립 −20~40%)
[divide]</t>
      </text>
    </comment>
    <comment ref="AN10" authorId="0" shapeId="0">
      <text>
        <t>추정: 최근 8분기 OPM 중위 16.9%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1386억 × 3.61%(주석 이자수익 ÷ 평균 이자발생자산(2025Q2~2026Q2)) − 총차입금 2508억 × 3.87%(주석 이자비용 ÷ 평균 총차입금(2025Q2~2026Q2))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1502억 × 3.61%(주석 이자수익 ÷ 평균 이자발생자산(2025Q2~2026Q2)) − 총차입금 2508억 × 3.87%(주석 이자비용 ÷ 평균 총차입금(2025Q2~2026Q2))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1662억 × 3.61%(주석 이자수익 ÷ 평균 이자발생자산(2025Q2~2026Q2)) − 총차입금 2508억 × 3.87%(주석 이자비용 ÷ 평균 총차입금(2025Q2~2026Q2))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1776억 × 3.61%(주석 이자수익 ÷ 평균 이자발생자산(2025Q2~2026Q2)) − 총차입금 2508억 × 3.87%(주석 이자비용 ÷ 평균 총차입금(2025Q2~2026Q2))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1772억 × 3.61%(주석 이자수익 ÷ 평균 이자발생자산(2025Q2~2026Q2)) − 총차입금 2508억 × 3.87%(주석 이자비용 ÷ 평균 총차입금(2025Q2~2026Q2))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1895억 × 3.61%(주석 이자수익 ÷ 평균 이자발생자산(2025Q2~2026Q2)) − 총차입금 2508억 × 3.87%(주석 이자비용 ÷ 평균 총차입금(2025Q2~2026Q2))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2062억 × 3.61%(주석 이자수익 ÷ 평균 이자발생자산(2025Q2~2026Q2)) − 총차입금 2508억 × 3.87%(주석 이자비용 ÷ 평균 총차입금(2025Q2~2026Q2))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2183억 × 3.61%(주석 이자수익 ÷ 평균 이자발생자산(2025Q2~2026Q2)) − 총차입금 2508억 × 3.87%(주석 이자비용 ÷ 평균 총차입금(2025Q2~2026Q2))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2187억 × 3.61%(주석 이자수익 ÷ 평균 이자발생자산(2025Q2~2026Q2)) − 총차입금 2508억 × 3.87%(주석 이자비용 ÷ 평균 총차입금(2025Q2~2026Q2))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2317억 × 3.61%(주석 이자수익 ÷ 평균 이자발생자산(2025Q2~2026Q2)) − 총차입금 2508억 × 3.87%(주석 이자비용 ÷ 평균 총차입금(2025Q2~2026Q2)) (연율) ÷ 4; 환율 효과는 환관련손익 행 별도
[identity]</t>
      </text>
    </comment>
    <comment ref="AC12" authorId="0" shapeId="0">
      <text>
        <t>추정: 이자발생자산 1386억 × 3.61%(주석 이자수익 ÷ 평균 이자발생자산(2025Q2~2026Q2)) − 총차입금 2508억 × 3.87%(주석 이자비용 ÷ 평균 총차입금(2025Q2~2026Q2)) (연율) ÷ 4
[interest]</t>
      </text>
    </comment>
    <comment ref="AD12" authorId="0" shapeId="0">
      <text>
        <t>추정: 이자발생자산 1502억 × 3.61%(주석 이자수익 ÷ 평균 이자발생자산(2025Q2~2026Q2)) − 총차입금 2508억 × 3.87%(주석 이자비용 ÷ 평균 총차입금(2025Q2~2026Q2)) (연율) ÷ 4
[interest]</t>
      </text>
    </comment>
    <comment ref="AF12" authorId="0" shapeId="0">
      <text>
        <t>추정: 이자발생자산 1662억 × 3.61%(주석 이자수익 ÷ 평균 이자발생자산(2025Q2~2026Q2)) − 총차입금 2508억 × 3.87%(주석 이자비용 ÷ 평균 총차입금(2025Q2~2026Q2)) (연율) ÷ 4
[interest]</t>
      </text>
    </comment>
    <comment ref="AG12" authorId="0" shapeId="0">
      <text>
        <t>추정: 이자발생자산 1776억 × 3.61%(주석 이자수익 ÷ 평균 이자발생자산(2025Q2~2026Q2)) − 총차입금 2508억 × 3.87%(주석 이자비용 ÷ 평균 총차입금(2025Q2~2026Q2)) (연율) ÷ 4
[interest]</t>
      </text>
    </comment>
    <comment ref="AH12" authorId="0" shapeId="0">
      <text>
        <t>추정: 이자발생자산 1772억 × 3.61%(주석 이자수익 ÷ 평균 이자발생자산(2025Q2~2026Q2)) − 총차입금 2508억 × 3.87%(주석 이자비용 ÷ 평균 총차입금(2025Q2~2026Q2)) (연율) ÷ 4
[interest]</t>
      </text>
    </comment>
    <comment ref="AI12" authorId="0" shapeId="0">
      <text>
        <t>추정: 이자발생자산 1895억 × 3.61%(주석 이자수익 ÷ 평균 이자발생자산(2025Q2~2026Q2)) − 총차입금 2508억 × 3.87%(주석 이자비용 ÷ 평균 총차입금(2025Q2~2026Q2)) (연율) ÷ 4
[interest]</t>
      </text>
    </comment>
    <comment ref="AK12" authorId="0" shapeId="0">
      <text>
        <t>추정: 이자발생자산 2062억 × 3.61%(주석 이자수익 ÷ 평균 이자발생자산(2025Q2~2026Q2)) − 총차입금 2508억 × 3.87%(주석 이자비용 ÷ 평균 총차입금(2025Q2~2026Q2)) (연율) ÷ 4
[interest]</t>
      </text>
    </comment>
    <comment ref="AL12" authorId="0" shapeId="0">
      <text>
        <t>추정: 이자발생자산 2183억 × 3.61%(주석 이자수익 ÷ 평균 이자발생자산(2025Q2~2026Q2)) − 총차입금 2508억 × 3.87%(주석 이자비용 ÷ 평균 총차입금(2025Q2~2026Q2)) (연율) ÷ 4
[interest]</t>
      </text>
    </comment>
    <comment ref="AM12" authorId="0" shapeId="0">
      <text>
        <t>추정: 이자발생자산 2187억 × 3.61%(주석 이자수익 ÷ 평균 이자발생자산(2025Q2~2026Q2)) − 총차입금 2508억 × 3.87%(주석 이자비용 ÷ 평균 총차입금(2025Q2~2026Q2)) (연율) ÷ 4
[interest]</t>
      </text>
    </comment>
    <comment ref="AN12" authorId="0" shapeId="0">
      <text>
        <t>추정: 이자발생자산 2317억 × 3.61%(주석 이자수익 ÷ 평균 이자발생자산(2025Q2~2026Q2)) − 총차입금 2508억 × 3.87%(주석 이자비용 ÷ 평균 총차입금(2025Q2~2026Q2)) (연율) ÷ 4
[interest]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C14" authorId="0" shapeId="0">
      <text>
        <t>추정: 일회성 미가정 → 0
[abs]</t>
      </text>
    </comment>
    <comment ref="AD14" authorId="0" shapeId="0">
      <text>
        <t>추정: 일회성 미가정 → 0
[abs]</t>
      </text>
    </comment>
    <comment ref="AF14" authorId="0" shapeId="0">
      <text>
        <t>추정: 일회성 미가정 → 0
[abs]</t>
      </text>
    </comment>
    <comment ref="AG14" authorId="0" shapeId="0">
      <text>
        <t>추정: 일회성 미가정 → 0
[abs]</t>
      </text>
    </comment>
    <comment ref="AH14" authorId="0" shapeId="0">
      <text>
        <t>추정: 일회성 미가정 → 0
[abs]</t>
      </text>
    </comment>
    <comment ref="AI14" authorId="0" shapeId="0">
      <text>
        <t>추정: 일회성 미가정 → 0
[abs]</t>
      </text>
    </comment>
    <comment ref="AK14" authorId="0" shapeId="0">
      <text>
        <t>추정: 일회성 미가정 → 0
[abs]</t>
      </text>
    </comment>
    <comment ref="AL14" authorId="0" shapeId="0">
      <text>
        <t>추정: 일회성 미가정 → 0
[abs]</t>
      </text>
    </comment>
    <comment ref="AM14" authorId="0" shapeId="0">
      <text>
        <t>추정: 일회성 미가정 → 0
[abs]</t>
      </text>
    </comment>
    <comment ref="AN14" authorId="0" shapeId="0">
      <text>
        <t>추정: 일회성 미가정 → 0
[abs]</t>
      </text>
    </comment>
    <comment ref="AC15" authorId="0" shapeId="0">
      <text>
        <t>추정: 최근 4분기 중위
[abs]</t>
      </text>
    </comment>
    <comment ref="AD15" authorId="0" shapeId="0">
      <text>
        <t>추정: 최근 4분기 중위
[abs]</t>
      </text>
    </comment>
    <comment ref="AF15" authorId="0" shapeId="0">
      <text>
        <t>추정: 최근 4분기 중위
[abs]</t>
      </text>
    </comment>
    <comment ref="AG15" authorId="0" shapeId="0">
      <text>
        <t>추정: 최근 4분기 중위
[abs]</t>
      </text>
    </comment>
    <comment ref="AH15" authorId="0" shapeId="0">
      <text>
        <t>추정: 최근 4분기 중위
[abs]</t>
      </text>
    </comment>
    <comment ref="AI15" authorId="0" shapeId="0">
      <text>
        <t>추정: 최근 4분기 중위
[abs]</t>
      </text>
    </comment>
    <comment ref="AK15" authorId="0" shapeId="0">
      <text>
        <t>추정: 최근 4분기 중위
[abs]</t>
      </text>
    </comment>
    <comment ref="AL15" authorId="0" shapeId="0">
      <text>
        <t>추정: 최근 4분기 중위
[abs]</t>
      </text>
    </comment>
    <comment ref="AM15" authorId="0" shapeId="0">
      <text>
        <t>추정: 최근 4분기 중위
[abs]</t>
      </text>
    </comment>
    <comment ref="AN15" authorId="0" shapeId="0">
      <text>
        <t>추정: 최근 4분기 중위
[abs]</t>
      </text>
    </comment>
    <comment ref="AC16" authorId="0" shapeId="0">
      <text>
        <t>추정: 영업이익 + 금융손익 + 기타영업외 + 지분법 + 환관련(항등식)
[identity]</t>
      </text>
    </comment>
    <comment ref="AD16" authorId="0" shapeId="0">
      <text>
        <t>추정: 영업이익 + 금융손익 + 기타영업외 + 지분법 + 환관련(항등식)
[identity]</t>
      </text>
    </comment>
    <comment ref="AF16" authorId="0" shapeId="0">
      <text>
        <t>추정: 영업이익 + 금융손익 + 기타영업외 + 지분법 + 환관련(항등식)
[identity]</t>
      </text>
    </comment>
    <comment ref="AG16" authorId="0" shapeId="0">
      <text>
        <t>추정: 영업이익 + 금융손익 + 기타영업외 + 지분법 + 환관련(항등식)
[identity]</t>
      </text>
    </comment>
    <comment ref="AH16" authorId="0" shapeId="0">
      <text>
        <t>추정: 영업이익 + 금융손익 + 기타영업외 + 지분법 + 환관련(항등식)
[identity]</t>
      </text>
    </comment>
    <comment ref="AI16" authorId="0" shapeId="0">
      <text>
        <t>추정: 영업이익 + 금융손익 + 기타영업외 + 지분법 + 환관련(항등식)
[identity]</t>
      </text>
    </comment>
    <comment ref="AK16" authorId="0" shapeId="0">
      <text>
        <t>추정: 영업이익 + 금융손익 + 기타영업외 + 지분법 + 환관련(항등식)
[identity]</t>
      </text>
    </comment>
    <comment ref="AL16" authorId="0" shapeId="0">
      <text>
        <t>추정: 영업이익 + 금융손익 + 기타영업외 + 지분법 + 환관련(항등식)
[identity]</t>
      </text>
    </comment>
    <comment ref="AM16" authorId="0" shapeId="0">
      <text>
        <t>추정: 영업이익 + 금융손익 + 기타영업외 + 지분법 + 환관련(항등식)
[identity]</t>
      </text>
    </comment>
    <comment ref="AN16" authorId="0" shapeId="0">
      <text>
        <t>추정: 영업이익 + 금융손익 + 기타영업외 + 지분법 + 환관련(항등식)
[identity]</t>
      </text>
    </comment>
    <comment ref="AC17" authorId="0" shapeId="0">
      <text>
        <t>추정: max(세전, 0) × 세율 19.1%(최근 12분기 유효세율 19.1%(5~27% 안 — 그대로))
[tax]</t>
      </text>
    </comment>
    <comment ref="AD17" authorId="0" shapeId="0">
      <text>
        <t>추정: max(세전, 0) × 세율 19.1%(최근 12분기 유효세율 19.1%(5~27% 안 — 그대로))
[tax]</t>
      </text>
    </comment>
    <comment ref="AF17" authorId="0" shapeId="0">
      <text>
        <t>추정: max(세전, 0) × 세율 19.1%(최근 12분기 유효세율 19.1%(5~27% 안 — 그대로))
[tax]</t>
      </text>
    </comment>
    <comment ref="AG17" authorId="0" shapeId="0">
      <text>
        <t>추정: max(세전, 0) × 세율 19.1%(최근 12분기 유효세율 19.1%(5~27% 안 — 그대로))
[tax]</t>
      </text>
    </comment>
    <comment ref="AH17" authorId="0" shapeId="0">
      <text>
        <t>추정: max(세전, 0) × 세율 19.1%(최근 12분기 유효세율 19.1%(5~27% 안 — 그대로))
[tax]</t>
      </text>
    </comment>
    <comment ref="AI17" authorId="0" shapeId="0">
      <text>
        <t>추정: max(세전, 0) × 세율 19.1%(최근 12분기 유효세율 19.1%(5~27% 안 — 그대로))
[tax]</t>
      </text>
    </comment>
    <comment ref="AK17" authorId="0" shapeId="0">
      <text>
        <t>추정: max(세전, 0) × 세율 19.1%(최근 12분기 유효세율 19.1%(5~27% 안 — 그대로))
[tax]</t>
      </text>
    </comment>
    <comment ref="AL17" authorId="0" shapeId="0">
      <text>
        <t>추정: max(세전, 0) × 세율 19.1%(최근 12분기 유효세율 19.1%(5~27% 안 — 그대로))
[tax]</t>
      </text>
    </comment>
    <comment ref="AM17" authorId="0" shapeId="0">
      <text>
        <t>추정: max(세전, 0) × 세율 19.1%(최근 12분기 유효세율 19.1%(5~27% 안 — 그대로))
[tax]</t>
      </text>
    </comment>
    <comment ref="AN17" authorId="0" shapeId="0">
      <text>
        <t>추정: max(세전, 0) × 세율 19.1%(최근 12분기 유효세율 19.1%(5~27% 안 — 그대로))
[tax]</t>
      </text>
    </comment>
    <comment ref="AC18" authorId="0" shapeId="0">
      <text>
        <t>추정: 세전이익 − 법인세비용(항등식)
[identity]</t>
      </text>
    </comment>
    <comment ref="AD18" authorId="0" shapeId="0">
      <text>
        <t>추정: 세전이익 − 법인세비용(항등식)
[identity]</t>
      </text>
    </comment>
    <comment ref="AF18" authorId="0" shapeId="0">
      <text>
        <t>추정: 세전이익 − 법인세비용(항등식)
[identity]</t>
      </text>
    </comment>
    <comment ref="AG18" authorId="0" shapeId="0">
      <text>
        <t>추정: 세전이익 − 법인세비용(항등식)
[identity]</t>
      </text>
    </comment>
    <comment ref="AH18" authorId="0" shapeId="0">
      <text>
        <t>추정: 세전이익 − 법인세비용(항등식)
[identity]</t>
      </text>
    </comment>
    <comment ref="AI18" authorId="0" shapeId="0">
      <text>
        <t>추정: 세전이익 − 법인세비용(항등식)
[identity]</t>
      </text>
    </comment>
    <comment ref="AK18" authorId="0" shapeId="0">
      <text>
        <t>추정: 세전이익 − 법인세비용(항등식)
[identity]</t>
      </text>
    </comment>
    <comment ref="AL18" authorId="0" shapeId="0">
      <text>
        <t>추정: 세전이익 − 법인세비용(항등식)
[identity]</t>
      </text>
    </comment>
    <comment ref="AM18" authorId="0" shapeId="0">
      <text>
        <t>추정: 세전이익 − 법인세비용(항등식)
[identity]</t>
      </text>
    </comment>
    <comment ref="AN18" authorId="0" shapeId="0">
      <text>
        <t>추정: 세전이익 − 법인세비용(항등식)
[identity]</t>
      </text>
    </comment>
    <comment ref="AC19" authorId="0" shapeId="0">
      <text>
        <t>추정: 당기순이익 × (1 − 비지배 비중 17.8%, 최근 8분기 실측)
[ratio]</t>
      </text>
    </comment>
    <comment ref="AD19" authorId="0" shapeId="0">
      <text>
        <t>추정: 당기순이익 × (1 − 비지배 비중 17.8%, 최근 8분기 실측)
[ratio]</t>
      </text>
    </comment>
    <comment ref="AF19" authorId="0" shapeId="0">
      <text>
        <t>추정: 당기순이익 × (1 − 비지배 비중 17.8%, 최근 8분기 실측)
[ratio]</t>
      </text>
    </comment>
    <comment ref="AG19" authorId="0" shapeId="0">
      <text>
        <t>추정: 당기순이익 × (1 − 비지배 비중 17.8%, 최근 8분기 실측)
[ratio]</t>
      </text>
    </comment>
    <comment ref="AH19" authorId="0" shapeId="0">
      <text>
        <t>추정: 당기순이익 × (1 − 비지배 비중 17.8%, 최근 8분기 실측)
[ratio]</t>
      </text>
    </comment>
    <comment ref="AI19" authorId="0" shapeId="0">
      <text>
        <t>추정: 당기순이익 × (1 − 비지배 비중 17.8%, 최근 8분기 실측)
[ratio]</t>
      </text>
    </comment>
    <comment ref="AK19" authorId="0" shapeId="0">
      <text>
        <t>추정: 당기순이익 × (1 − 비지배 비중 17.8%, 최근 8분기 실측)
[ratio]</t>
      </text>
    </comment>
    <comment ref="AL19" authorId="0" shapeId="0">
      <text>
        <t>추정: 당기순이익 × (1 − 비지배 비중 17.8%, 최근 8분기 실측)
[ratio]</t>
      </text>
    </comment>
    <comment ref="AM19" authorId="0" shapeId="0">
      <text>
        <t>추정: 당기순이익 × (1 − 비지배 비중 17.8%, 최근 8분기 실측)
[ratio]</t>
      </text>
    </comment>
    <comment ref="AN19" authorId="0" shapeId="0">
      <text>
        <t>추정: 당기순이익 × (1 − 비지배 비중 17.8%, 최근 8분기 실측)
[ratio]</t>
      </text>
    </comment>
    <comment ref="AC21" authorId="0" shapeId="0">
      <text>
        <t>추정: 부채총계 + 자본총계(항등식)
[identity]</t>
      </text>
    </comment>
    <comment ref="AD21" authorId="0" shapeId="0">
      <text>
        <t>추정: 부채총계 + 자본총계(항등식)
[identity]</t>
      </text>
    </comment>
    <comment ref="AF21" authorId="0" shapeId="0">
      <text>
        <t>추정: 부채총계 + 자본총계(항등식)
[identity]</t>
      </text>
    </comment>
    <comment ref="AG21" authorId="0" shapeId="0">
      <text>
        <t>추정: 부채총계 + 자본총계(항등식)
[identity]</t>
      </text>
    </comment>
    <comment ref="AH21" authorId="0" shapeId="0">
      <text>
        <t>추정: 부채총계 + 자본총계(항등식)
[identity]</t>
      </text>
    </comment>
    <comment ref="AI21" authorId="0" shapeId="0">
      <text>
        <t>추정: 부채총계 + 자본총계(항등식)
[identity]</t>
      </text>
    </comment>
    <comment ref="AK21" authorId="0" shapeId="0">
      <text>
        <t>추정: 부채총계 + 자본총계(항등식)
[identity]</t>
      </text>
    </comment>
    <comment ref="AL21" authorId="0" shapeId="0">
      <text>
        <t>추정: 부채총계 + 자본총계(항등식)
[identity]</t>
      </text>
    </comment>
    <comment ref="AM21" authorId="0" shapeId="0">
      <text>
        <t>추정: 부채총계 + 자본총계(항등식)
[identity]</t>
      </text>
    </comment>
    <comment ref="AN21" authorId="0" shapeId="0">
      <text>
        <t>추정: 부채총계 + 자본총계(항등식)
[identity]</t>
      </text>
    </comment>
    <comment ref="AC22" authorId="0" shapeId="0">
      <text>
        <t>추정: 마지막 실적 유지(가정)
[qoq]</t>
      </text>
    </comment>
    <comment ref="AD22" authorId="0" shapeId="0">
      <text>
        <t>추정: 마지막 실적 유지(가정)
[qoq]</t>
      </text>
    </comment>
    <comment ref="AF22" authorId="0" shapeId="0">
      <text>
        <t>추정: 마지막 실적 유지(가정)
[qoq]</t>
      </text>
    </comment>
    <comment ref="AG22" authorId="0" shapeId="0">
      <text>
        <t>추정: 마지막 실적 유지(가정)
[qoq]</t>
      </text>
    </comment>
    <comment ref="AH22" authorId="0" shapeId="0">
      <text>
        <t>추정: 마지막 실적 유지(가정)
[qoq]</t>
      </text>
    </comment>
    <comment ref="AI22" authorId="0" shapeId="0">
      <text>
        <t>추정: 마지막 실적 유지(가정)
[qoq]</t>
      </text>
    </comment>
    <comment ref="AK22" authorId="0" shapeId="0">
      <text>
        <t>추정: 마지막 실적 유지(가정)
[qoq]</t>
      </text>
    </comment>
    <comment ref="AL22" authorId="0" shapeId="0">
      <text>
        <t>추정: 마지막 실적 유지(가정)
[qoq]</t>
      </text>
    </comment>
    <comment ref="AM22" authorId="0" shapeId="0">
      <text>
        <t>추정: 마지막 실적 유지(가정)
[qoq]</t>
      </text>
    </comment>
    <comment ref="AN22" authorId="0" shapeId="0">
      <text>
        <t>추정: 마지막 실적 유지(가정)
[qoq]</t>
      </text>
    </comment>
    <comment ref="AC23" authorId="0" shapeId="0">
      <text>
        <t>추정: 전분기 + 당기순이익 − 배당(Q2 지급 가정)
[roll]</t>
      </text>
    </comment>
    <comment ref="AD23" authorId="0" shapeId="0">
      <text>
        <t>추정: 전분기 + 당기순이익 − 배당(Q2 지급 가정)
[roll]</t>
      </text>
    </comment>
    <comment ref="AF23" authorId="0" shapeId="0">
      <text>
        <t>추정: 전분기 + 당기순이익 − 배당(Q2 지급 가정)
[roll]</t>
      </text>
    </comment>
    <comment ref="AG23" authorId="0" shapeId="0">
      <text>
        <t>추정: 전분기 + 당기순이익 − 배당(Q2 지급 가정)
[roll]</t>
      </text>
    </comment>
    <comment ref="AH23" authorId="0" shapeId="0">
      <text>
        <t>추정: 전분기 + 당기순이익 − 배당(Q2 지급 가정)
[roll]</t>
      </text>
    </comment>
    <comment ref="AI23" authorId="0" shapeId="0">
      <text>
        <t>추정: 전분기 + 당기순이익 − 배당(Q2 지급 가정)
[roll]</t>
      </text>
    </comment>
    <comment ref="AK23" authorId="0" shapeId="0">
      <text>
        <t>추정: 전분기 + 당기순이익 − 배당(Q2 지급 가정)
[roll]</t>
      </text>
    </comment>
    <comment ref="AL23" authorId="0" shapeId="0">
      <text>
        <t>추정: 전분기 + 당기순이익 − 배당(Q2 지급 가정)
[roll]</t>
      </text>
    </comment>
    <comment ref="AM23" authorId="0" shapeId="0">
      <text>
        <t>추정: 전분기 + 당기순이익 − 배당(Q2 지급 가정)
[roll]</t>
      </text>
    </comment>
    <comment ref="AN23" authorId="0" shapeId="0">
      <text>
        <t>추정: 전분기 + 당기순이익 − 배당(Q2 지급 가정)
[roll]</t>
      </text>
    </comment>
    <comment ref="AC24" authorId="0" shapeId="0">
      <text>
        <t>추정: 전분기 + 지배주주순이익 − 배당
[roll]</t>
      </text>
    </comment>
    <comment ref="AD24" authorId="0" shapeId="0">
      <text>
        <t>추정: 전분기 + 지배주주순이익 − 배당
[roll]</t>
      </text>
    </comment>
    <comment ref="AF24" authorId="0" shapeId="0">
      <text>
        <t>추정: 전분기 + 지배주주순이익 − 배당
[roll]</t>
      </text>
    </comment>
    <comment ref="AG24" authorId="0" shapeId="0">
      <text>
        <t>추정: 전분기 + 지배주주순이익 − 배당
[roll]</t>
      </text>
    </comment>
    <comment ref="AH24" authorId="0" shapeId="0">
      <text>
        <t>추정: 전분기 + 지배주주순이익 − 배당
[roll]</t>
      </text>
    </comment>
    <comment ref="AI24" authorId="0" shapeId="0">
      <text>
        <t>추정: 전분기 + 지배주주순이익 − 배당
[roll]</t>
      </text>
    </comment>
    <comment ref="AK24" authorId="0" shapeId="0">
      <text>
        <t>추정: 전분기 + 지배주주순이익 − 배당
[roll]</t>
      </text>
    </comment>
    <comment ref="AL24" authorId="0" shapeId="0">
      <text>
        <t>추정: 전분기 + 지배주주순이익 − 배당
[roll]</t>
      </text>
    </comment>
    <comment ref="AM24" authorId="0" shapeId="0">
      <text>
        <t>추정: 전분기 + 지배주주순이익 − 배당
[roll]</t>
      </text>
    </comment>
    <comment ref="AN24" authorId="0" shapeId="0">
      <text>
        <t>추정: 전분기 + 지배주주순이익 − 배당
[roll]</t>
      </text>
    </comment>
    <comment ref="AC25" authorId="0" shapeId="0">
      <text>
        <t>추정: 마지막 실적 유지(가정)
[qoq]</t>
      </text>
    </comment>
    <comment ref="AD25" authorId="0" shapeId="0">
      <text>
        <t>추정: 마지막 실적 유지(가정)
[qoq]</t>
      </text>
    </comment>
    <comment ref="AF25" authorId="0" shapeId="0">
      <text>
        <t>추정: 마지막 실적 유지(가정)
[qoq]</t>
      </text>
    </comment>
    <comment ref="AG25" authorId="0" shapeId="0">
      <text>
        <t>추정: 마지막 실적 유지(가정)
[qoq]</t>
      </text>
    </comment>
    <comment ref="AH25" authorId="0" shapeId="0">
      <text>
        <t>추정: 마지막 실적 유지(가정)
[qoq]</t>
      </text>
    </comment>
    <comment ref="AI25" authorId="0" shapeId="0">
      <text>
        <t>추정: 마지막 실적 유지(가정)
[qoq]</t>
      </text>
    </comment>
    <comment ref="AK25" authorId="0" shapeId="0">
      <text>
        <t>추정: 마지막 실적 유지(가정)
[qoq]</t>
      </text>
    </comment>
    <comment ref="AL25" authorId="0" shapeId="0">
      <text>
        <t>추정: 마지막 실적 유지(가정)
[qoq]</t>
      </text>
    </comment>
    <comment ref="AM25" authorId="0" shapeId="0">
      <text>
        <t>추정: 마지막 실적 유지(가정)
[qoq]</t>
      </text>
    </comment>
    <comment ref="AN25" authorId="0" shapeId="0">
      <text>
        <t>추정: 마지막 실적 유지(가정)
[qoq]</t>
      </text>
    </comment>
    <comment ref="AC26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D26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F26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G26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H26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I26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K26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L26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M26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N26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C27" authorId="0" shapeId="0">
      <text>
        <t>추정: 전분기 + FCF 근사 — 순차입금 롤과 같은 가정
[qoq]</t>
      </text>
    </comment>
    <comment ref="AD27" authorId="0" shapeId="0">
      <text>
        <t>추정: 전분기 + FCF 근사 — 순차입금 롤과 같은 가정
[qoq]</t>
      </text>
    </comment>
    <comment ref="AF27" authorId="0" shapeId="0">
      <text>
        <t>추정: 전분기 + FCF 근사 — 순차입금 롤과 같은 가정
[qoq]</t>
      </text>
    </comment>
    <comment ref="AG27" authorId="0" shapeId="0">
      <text>
        <t>추정: 전분기 + FCF 근사 — 순차입금 롤과 같은 가정
[qoq]</t>
      </text>
    </comment>
    <comment ref="AH27" authorId="0" shapeId="0">
      <text>
        <t>추정: 전분기 + FCF 근사 — 순차입금 롤과 같은 가정
[qoq]</t>
      </text>
    </comment>
    <comment ref="AI27" authorId="0" shapeId="0">
      <text>
        <t>추정: 전분기 + FCF 근사 — 순차입금 롤과 같은 가정
[qoq]</t>
      </text>
    </comment>
    <comment ref="AK27" authorId="0" shapeId="0">
      <text>
        <t>추정: 전분기 + FCF 근사 — 순차입금 롤과 같은 가정
[qoq]</t>
      </text>
    </comment>
    <comment ref="AL27" authorId="0" shapeId="0">
      <text>
        <t>추정: 전분기 + FCF 근사 — 순차입금 롤과 같은 가정
[qoq]</t>
      </text>
    </comment>
    <comment ref="AM27" authorId="0" shapeId="0">
      <text>
        <t>추정: 전분기 + FCF 근사 — 순차입금 롤과 같은 가정
[qoq]</t>
      </text>
    </comment>
    <comment ref="AN27" authorId="0" shapeId="0">
      <text>
        <t>추정: 전분기 + FCF 근사 — 순차입금 롤과 같은 가정
[qoq]</t>
      </text>
    </comment>
    <comment ref="AC29" authorId="0" shapeId="0">
      <text>
        <t>추정: 최근 4분기(2025Q3~2026Q2) CAPEX 중위 유지 — 순차입금 롤에 미반영(감가상각비 없음 → CAPEX≈감가 가정)
[yoy]</t>
      </text>
    </comment>
    <comment ref="AD29" authorId="0" shapeId="0">
      <text>
        <t>추정: 최근 4분기(2025Q3~2026Q2) CAPEX 중위 유지 — 순차입금 롤에 미반영(감가상각비 없음 → CAPEX≈감가 가정)
[yoy]</t>
      </text>
    </comment>
    <comment ref="AF29" authorId="0" shapeId="0">
      <text>
        <t>추정: 최근 4분기(2025Q3~2026Q2) CAPEX 중위 유지 — 순차입금 롤에 미반영(감가상각비 없음 → CAPEX≈감가 가정)
[yoy]</t>
      </text>
    </comment>
    <comment ref="AG29" authorId="0" shapeId="0">
      <text>
        <t>추정: 최근 4분기(2025Q3~2026Q2) CAPEX 중위 유지 — 순차입금 롤에 미반영(감가상각비 없음 → CAPEX≈감가 가정)
[yoy]</t>
      </text>
    </comment>
    <comment ref="AH29" authorId="0" shapeId="0">
      <text>
        <t>추정: 최근 4분기(2025Q3~2026Q2) CAPEX 중위 유지 — 순차입금 롤에 미반영(감가상각비 없음 → CAPEX≈감가 가정)
[yoy]</t>
      </text>
    </comment>
    <comment ref="AI29" authorId="0" shapeId="0">
      <text>
        <t>추정: 최근 4분기(2025Q3~2026Q2) CAPEX 중위 유지 — 순차입금 롤에 미반영(감가상각비 없음 → CAPEX≈감가 가정)
[yoy]</t>
      </text>
    </comment>
    <comment ref="AK29" authorId="0" shapeId="0">
      <text>
        <t>추정: 최근 4분기(2025Q3~2026Q2) CAPEX 중위 유지 — 순차입금 롤에 미반영(감가상각비 없음 → CAPEX≈감가 가정)
[yoy]</t>
      </text>
    </comment>
    <comment ref="AL29" authorId="0" shapeId="0">
      <text>
        <t>추정: 최근 4분기(2025Q3~2026Q2) CAPEX 중위 유지 — 순차입금 롤에 미반영(감가상각비 없음 → CAPEX≈감가 가정)
[yoy]</t>
      </text>
    </comment>
    <comment ref="AM29" authorId="0" shapeId="0">
      <text>
        <t>추정: 최근 4분기(2025Q3~2026Q2) CAPEX 중위 유지 — 순차입금 롤에 미반영(감가상각비 없음 → CAPEX≈감가 가정)
[yoy]</t>
      </text>
    </comment>
    <comment ref="AN29" authorId="0" shapeId="0">
      <text>
        <t>추정: 최근 4분기(2025Q3~2026Q2) CAPEX 중위 유지 — 순차입금 롤에 미반영(감가상각비 없음 → CAPEX≈감가 가정)
[yoy]</t>
      </text>
    </comment>
    <comment ref="E31" authorId="0" shapeId="0">
      <text>
        <t>실측(계정 매핑 없음(파생·부문·시세 행) — 모델값 직접) — fin.shares.common_outstanding</t>
      </text>
    </comment>
    <comment ref="G31" authorId="0" shapeId="0">
      <text>
        <t>실측(계정 매핑 없음(파생·부문·시세 행) — 모델값 직접) — fin.shares.common_outstanding</t>
      </text>
    </comment>
    <comment ref="H31" authorId="0" shapeId="0">
      <text>
        <t>실측(계정 매핑 없음(파생·부문·시세 행) — 모델값 직접) — fin.shares.common_outstanding</t>
      </text>
    </comment>
    <comment ref="I31" authorId="0" shapeId="0">
      <text>
        <t>실측(계정 매핑 없음(파생·부문·시세 행) — 모델값 직접) — fin.shares.common_outstanding</t>
      </text>
    </comment>
    <comment ref="J31" authorId="0" shapeId="0">
      <text>
        <t>실측(계정 매핑 없음(파생·부문·시세 행) — 모델값 직접) — fin.shares.common_outstanding</t>
      </text>
    </comment>
    <comment ref="L31" authorId="0" shapeId="0">
      <text>
        <t>실측(계정 매핑 없음(파생·부문·시세 행) — 모델값 직접) — fin.shares.common_outstanding</t>
      </text>
    </comment>
    <comment ref="M31" authorId="0" shapeId="0">
      <text>
        <t>실측(계정 매핑 없음(파생·부문·시세 행) — 모델값 직접) — fin.shares.common_outstanding</t>
      </text>
    </comment>
    <comment ref="N31" authorId="0" shapeId="0">
      <text>
        <t>실측(계정 매핑 없음(파생·부문·시세 행) — 모델값 직접) — fin.shares.common_outstanding</t>
      </text>
    </comment>
    <comment ref="O31" authorId="0" shapeId="0">
      <text>
        <t>실측(계정 매핑 없음(파생·부문·시세 행) — 모델값 직접) — fin.shares.common_outstanding</t>
      </text>
    </comment>
    <comment ref="Q31" authorId="0" shapeId="0">
      <text>
        <t>실측(계정 매핑 없음(파생·부문·시세 행) — 모델값 직접) — fin.shares.common_outstanding</t>
      </text>
    </comment>
    <comment ref="R31" authorId="0" shapeId="0">
      <text>
        <t>실측(계정 매핑 없음(파생·부문·시세 행) — 모델값 직접) — fin.shares.common_outstanding</t>
      </text>
    </comment>
    <comment ref="S31" authorId="0" shapeId="0">
      <text>
        <t>실측(계정 매핑 없음(파생·부문·시세 행) — 모델값 직접) — fin.shares.common_outstanding</t>
      </text>
    </comment>
    <comment ref="T31" authorId="0" shapeId="0">
      <text>
        <t>실측(계정 매핑 없음(파생·부문·시세 행) — 모델값 직접) — fin.shares.common_outstanding</t>
      </text>
    </comment>
    <comment ref="V31" authorId="0" shapeId="0">
      <text>
        <t>실측(계정 매핑 없음(파생·부문·시세 행) — 모델값 직접) — fin.shares.common_outstanding</t>
      </text>
    </comment>
    <comment ref="W31" authorId="0" shapeId="0">
      <text>
        <t>실측(계정 매핑 없음(파생·부문·시세 행) — 모델값 직접) — fin.shares.common_outstanding</t>
      </text>
    </comment>
    <comment ref="X31" authorId="0" shapeId="0">
      <text>
        <t>실측(계정 매핑 없음(파생·부문·시세 행) — 모델값 직접) — fin.shares.common_outstanding</t>
      </text>
    </comment>
    <comment ref="Y31" authorId="0" shapeId="0">
      <text>
        <t>실측(계정 매핑 없음(파생·부문·시세 행) — 모델값 직접) — fin.shares.common_outstanding</t>
      </text>
    </comment>
    <comment ref="AA31" authorId="0" shapeId="0">
      <text>
        <t>실측(계정 매핑 없음(파생·부문·시세 행) — 모델값 직접) — fin.shares.common_outstanding</t>
      </text>
    </comment>
    <comment ref="AB31" authorId="0" shapeId="0">
      <text>
        <t>실측(계정 매핑 없음(파생·부문·시세 행) — 모델값 직접) — fin.shares.common_outstanding</t>
      </text>
    </comment>
    <comment ref="AC31" authorId="0" shapeId="0">
      <text>
        <t>추정: 유통주식수 유지 — fin.shares.common_outstanding(2026Q2)
[qoq]</t>
      </text>
    </comment>
    <comment ref="AD31" authorId="0" shapeId="0">
      <text>
        <t>추정: 유통주식수 유지 — fin.shares.common_outstanding(2026Q2)
[qoq]</t>
      </text>
    </comment>
    <comment ref="AF31" authorId="0" shapeId="0">
      <text>
        <t>추정: 유통주식수 유지 — fin.shares.common_outstanding(2026Q2)
[qoq]</t>
      </text>
    </comment>
    <comment ref="AG31" authorId="0" shapeId="0">
      <text>
        <t>추정: 유통주식수 유지 — fin.shares.common_outstanding(2026Q2)
[qoq]</t>
      </text>
    </comment>
    <comment ref="AH31" authorId="0" shapeId="0">
      <text>
        <t>추정: 유통주식수 유지 — fin.shares.common_outstanding(2026Q2)
[qoq]</t>
      </text>
    </comment>
    <comment ref="AI31" authorId="0" shapeId="0">
      <text>
        <t>추정: 유통주식수 유지 — fin.shares.common_outstanding(2026Q2)
[qoq]</t>
      </text>
    </comment>
    <comment ref="AK31" authorId="0" shapeId="0">
      <text>
        <t>추정: 유통주식수 유지 — fin.shares.common_outstanding(2026Q2)
[qoq]</t>
      </text>
    </comment>
    <comment ref="AL31" authorId="0" shapeId="0">
      <text>
        <t>추정: 유통주식수 유지 — fin.shares.common_outstanding(2026Q2)
[qoq]</t>
      </text>
    </comment>
    <comment ref="AM31" authorId="0" shapeId="0">
      <text>
        <t>추정: 유통주식수 유지 — fin.shares.common_outstanding(2026Q2)
[qoq]</t>
      </text>
    </comment>
    <comment ref="AN31" authorId="0" shapeId="0">
      <text>
        <t>추정: 유통주식수 유지 — fin.shares.common_outstanding(2026Q2)
[qoq]</t>
      </text>
    </comment>
    <comment ref="AC32" authorId="0" shapeId="0">
      <text>
        <t>추정: 지배주주순이익 ÷ 유통주식수
[per_share]</t>
      </text>
    </comment>
    <comment ref="AD32" authorId="0" shapeId="0">
      <text>
        <t>추정: 지배주주순이익 ÷ 유통주식수
[per_share]</t>
      </text>
    </comment>
    <comment ref="AF32" authorId="0" shapeId="0">
      <text>
        <t>추정: 지배주주순이익 ÷ 유통주식수
[per_share]</t>
      </text>
    </comment>
    <comment ref="AG32" authorId="0" shapeId="0">
      <text>
        <t>추정: 지배주주순이익 ÷ 유통주식수
[per_share]</t>
      </text>
    </comment>
    <comment ref="AH32" authorId="0" shapeId="0">
      <text>
        <t>추정: 지배주주순이익 ÷ 유통주식수
[per_share]</t>
      </text>
    </comment>
    <comment ref="AI32" authorId="0" shapeId="0">
      <text>
        <t>추정: 지배주주순이익 ÷ 유통주식수
[per_share]</t>
      </text>
    </comment>
    <comment ref="AK32" authorId="0" shapeId="0">
      <text>
        <t>추정: 지배주주순이익 ÷ 유통주식수
[per_share]</t>
      </text>
    </comment>
    <comment ref="AL32" authorId="0" shapeId="0">
      <text>
        <t>추정: 지배주주순이익 ÷ 유통주식수
[per_share]</t>
      </text>
    </comment>
    <comment ref="AM32" authorId="0" shapeId="0">
      <text>
        <t>추정: 지배주주순이익 ÷ 유통주식수
[per_share]</t>
      </text>
    </comment>
    <comment ref="AN32" authorId="0" shapeId="0">
      <text>
        <t>추정: 지배주주순이익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AK33" authorId="0" shapeId="0">
      <text>
        <t>추정: 지배주주지분 ÷ 유통주식수
[per_share]</t>
      </text>
    </comment>
    <comment ref="AL33" authorId="0" shapeId="0">
      <text>
        <t>추정: 지배주주지분 ÷ 유통주식수
[per_share]</t>
      </text>
    </comment>
    <comment ref="AM33" authorId="0" shapeId="0">
      <text>
        <t>추정: 지배주주지분 ÷ 유통주식수
[per_share]</t>
      </text>
    </comment>
    <comment ref="AN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실측(계정 매핑 없음(파생·부문·시세 행) — 모델값 직접) — fin.dividend.dps_common(연간, Q4 에 표기)</t>
      </text>
    </comment>
    <comment ref="AD34" authorId="0" shapeId="0">
      <text>
        <t>추정: 직전 결산 DPS 225원 유지
[abs]</t>
      </text>
    </comment>
    <comment ref="AI34" authorId="0" shapeId="0">
      <text>
        <t>추정: 직전 결산 DPS 225원 유지
[abs]</t>
      </text>
    </comment>
    <comment ref="AN34" authorId="0" shapeId="0">
      <text>
        <t>추정: 직전 결산 DPS 225원 유지
[abs]</t>
      </text>
    </comment>
    <comment ref="AC35" authorId="0" shapeId="0">
      <text>
        <t>추정: 현재 종가 ÷ TTM EPS(추정 포함)
[valuation]</t>
      </text>
    </comment>
    <comment ref="AD35" authorId="0" shapeId="0">
      <text>
        <t>추정: 현재 종가 ÷ TTM EPS(추정 포함)
[valuation]</t>
      </text>
    </comment>
    <comment ref="AF35" authorId="0" shapeId="0">
      <text>
        <t>추정: 현재 종가 ÷ TTM EPS(추정 포함)
[valuation]</t>
      </text>
    </comment>
    <comment ref="AG35" authorId="0" shapeId="0">
      <text>
        <t>추정: 현재 종가 ÷ TTM EPS(추정 포함)
[valuation]</t>
      </text>
    </comment>
    <comment ref="AH35" authorId="0" shapeId="0">
      <text>
        <t>추정: 현재 종가 ÷ TTM EPS(추정 포함)
[valuation]</t>
      </text>
    </comment>
    <comment ref="AI35" authorId="0" shapeId="0">
      <text>
        <t>추정: 현재 종가 ÷ TTM EPS(추정 포함)
[valuation]</t>
      </text>
    </comment>
    <comment ref="AK35" authorId="0" shapeId="0">
      <text>
        <t>추정: 현재 종가 ÷ TTM EPS(추정 포함)
[valuation]</t>
      </text>
    </comment>
    <comment ref="AL35" authorId="0" shapeId="0">
      <text>
        <t>추정: 현재 종가 ÷ TTM EPS(추정 포함)
[valuation]</t>
      </text>
    </comment>
    <comment ref="AM35" authorId="0" shapeId="0">
      <text>
        <t>추정: 현재 종가 ÷ TTM EPS(추정 포함)
[valuation]</t>
      </text>
    </comment>
    <comment ref="AN35" authorId="0" shapeId="0">
      <text>
        <t>추정: 현재 종가 ÷ TTM EPS(추정 포함)
[valuation]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AK36" authorId="0" shapeId="0">
      <text>
        <t>추정: 현재 종가 ÷ BPS(추정 포함)
[valuation]</t>
      </text>
    </comment>
    <comment ref="AL36" authorId="0" shapeId="0">
      <text>
        <t>추정: 현재 종가 ÷ BPS(추정 포함)
[valuation]</t>
      </text>
    </comment>
    <comment ref="AM36" authorId="0" shapeId="0">
      <text>
        <t>추정: 현재 종가 ÷ BPS(추정 포함)
[valuation]</t>
      </text>
    </comment>
    <comment ref="AN36" authorId="0" shapeId="0">
      <text>
        <t>추정: 현재 종가 ÷ BPS(추정 포함)
[valuation]</t>
      </text>
    </comment>
    <comment ref="E37" authorId="0" shapeId="0">
      <text>
        <t>실측(계정 매핑 없음(파생·부문·시세 행) — 모델값 직접) — fin.sep.is.매출액(수익) — 별도(조선기자재+풍력·플랜트 미분리)</t>
      </text>
    </comment>
    <comment ref="G37" authorId="0" shapeId="0">
      <text>
        <t>실측(계정 매핑 없음(파생·부문·시세 행) — 모델값 직접) — fin.sep.is.매출액(수익) — 별도(조선기자재+풍력·플랜트 미분리)</t>
      </text>
    </comment>
    <comment ref="H37" authorId="0" shapeId="0">
      <text>
        <t>실측(계정 매핑 없음(파생·부문·시세 행) — 모델값 직접) — fin.sep.is.매출액(수익) — 별도(조선기자재+풍력·플랜트 미분리)</t>
      </text>
    </comment>
    <comment ref="I37" authorId="0" shapeId="0">
      <text>
        <t>실측(계정 매핑 없음(파생·부문·시세 행) — 모델값 직접) — fin.sep.is.매출액(수익) — 별도(조선기자재+풍력·플랜트 미분리)</t>
      </text>
    </comment>
    <comment ref="J37" authorId="0" shapeId="0">
      <text>
        <t>실측(계정 매핑 없음(파생·부문·시세 행) — 모델값 직접) — fin.sep.is.매출액(수익) — 별도(조선기자재+풍력·플랜트 미분리)</t>
      </text>
    </comment>
    <comment ref="L37" authorId="0" shapeId="0">
      <text>
        <t>실측(계정 매핑 없음(파생·부문·시세 행) — 모델값 직접) — fin.sep.is.매출액(수익) — 별도(조선기자재+풍력·플랜트 미분리)</t>
      </text>
    </comment>
    <comment ref="M37" authorId="0" shapeId="0">
      <text>
        <t>실측(계정 매핑 없음(파생·부문·시세 행) — 모델값 직접) — fin.sep.is.매출액(수익) — 별도(조선기자재+풍력·플랜트 미분리)</t>
      </text>
    </comment>
    <comment ref="N37" authorId="0" shapeId="0">
      <text>
        <t>실측(계정 매핑 없음(파생·부문·시세 행) — 모델값 직접) — fin.sep.is.매출액(수익) — 별도(조선기자재+풍력·플랜트 미분리)</t>
      </text>
    </comment>
    <comment ref="O37" authorId="0" shapeId="0">
      <text>
        <t>실측(계정 매핑 없음(파생·부문·시세 행) — 모델값 직접) — fin.sep.is.매출액(수익) — 별도(조선기자재+풍력·플랜트 미분리)</t>
      </text>
    </comment>
    <comment ref="Q37" authorId="0" shapeId="0">
      <text>
        <t>실측(계정 매핑 없음(파생·부문·시세 행) — 모델값 직접) — fin.sep.is.매출액(수익) — 별도(조선기자재+풍력·플랜트 미분리)</t>
      </text>
    </comment>
    <comment ref="R37" authorId="0" shapeId="0">
      <text>
        <t>실측(계정 매핑 없음(파생·부문·시세 행) — 모델값 직접) — fin.sep.is.매출액(수익) — 별도(조선기자재+풍력·플랜트 미분리)</t>
      </text>
    </comment>
    <comment ref="S37" authorId="0" shapeId="0">
      <text>
        <t>실측(계정 매핑 없음(파생·부문·시세 행) — 모델값 직접) — fin.sep.is.매출액(수익) — 별도(조선기자재+풍력·플랜트 미분리)</t>
      </text>
    </comment>
    <comment ref="T37" authorId="0" shapeId="0">
      <text>
        <t>실측(계정 매핑 없음(파생·부문·시세 행) — 모델값 직접) — fin.sep.is.매출액(수익) — 별도(조선기자재+풍력·플랜트 미분리)</t>
      </text>
    </comment>
    <comment ref="V37" authorId="0" shapeId="0">
      <text>
        <t>실측(계정 매핑 없음(파생·부문·시세 행) — 모델값 직접) — fin.sep.is.매출액(수익) — 별도(조선기자재+풍력·플랜트 미분리)</t>
      </text>
    </comment>
    <comment ref="W37" authorId="0" shapeId="0">
      <text>
        <t>실측(계정 매핑 없음(파생·부문·시세 행) — 모델값 직접) — fin.sep.is.매출액(수익) — 별도(조선기자재+풍력·플랜트 미분리)</t>
      </text>
    </comment>
    <comment ref="X37" authorId="0" shapeId="0">
      <text>
        <t>실측(계정 매핑 없음(파생·부문·시세 행) — 모델값 직접) — fin.sep.is.매출액(수익) — 별도(조선기자재+풍력·플랜트 미분리)</t>
      </text>
    </comment>
    <comment ref="Y37" authorId="0" shapeId="0">
      <text>
        <t>실측(계정 매핑 없음(파생·부문·시세 행) — 모델값 직접) — fin.sep.is.매출액(수익) — 별도(조선기자재+풍력·플랜트 미분리)</t>
      </text>
    </comment>
    <comment ref="AA37" authorId="0" shapeId="0">
      <text>
        <t>실측(계정 매핑 없음(파생·부문·시세 행) — 모델값 직접) — fin.sep.is.매출액(수익) — 별도(조선기자재+풍력·플랜트 미분리)</t>
      </text>
    </comment>
    <comment ref="AB37" authorId="0" shapeId="0">
      <text>
        <t>실측(계정 매핑 없음(파생·부문·시세 행) — 모델값 직접) — fin.sep.is.매출액(수익) — 별도(조선기자재+풍력·플랜트 미분리)</t>
      </text>
    </comment>
    <comment ref="AC37" authorId="0" shapeId="0">
      <text>
        <t>추정: 별도 매출 추세+계절성(폴백: 전년동기 × (1+2.6%) — g=최근 4분기 합 YoY 2.6% 클립(−30~+50%), 연차별 절반 감쇠(가정))
[yoy]</t>
      </text>
    </comment>
    <comment ref="AD37" authorId="0" shapeId="0">
      <text>
        <t>추정: 별도 매출 추세+계절성(폴백: 전년동기 × (1+2.6%) — g=최근 4분기 합 YoY 2.6% 클립(−30~+50%), 연차별 절반 감쇠(가정))
[yoy]</t>
      </text>
    </comment>
    <comment ref="AF37" authorId="0" shapeId="0">
      <text>
        <t>추정: 별도 매출 추세+계절성(폴백: 전년동기 × (1+2.6%) — g=최근 4분기 합 YoY 2.6% 클립(−30~+50%), 연차별 절반 감쇠(가정))
[yoy]</t>
      </text>
    </comment>
    <comment ref="AG37" authorId="0" shapeId="0">
      <text>
        <t>추정: 별도 매출 추세+계절성(폴백: 전년동기 × (1+2.6%) — g=최근 4분기 합 YoY 2.6% 클립(−30~+50%), 연차별 절반 감쇠(가정))
[yoy]</t>
      </text>
    </comment>
    <comment ref="AH37" authorId="0" shapeId="0">
      <text>
        <t>추정: 별도 매출 추세+계절성(폴백: 전년동기 × (1+1.3%) — g=최근 4분기 합 YoY 2.6% 클립(−30~+50%), 연차별 절반 감쇠(가정))
[yoy]</t>
      </text>
    </comment>
    <comment ref="AI37" authorId="0" shapeId="0">
      <text>
        <t>추정: 별도 매출 추세+계절성(폴백: 전년동기 × (1+1.3%) — g=최근 4분기 합 YoY 2.6% 클립(−30~+50%), 연차별 절반 감쇠(가정))
[yoy]</t>
      </text>
    </comment>
    <comment ref="AK37" authorId="0" shapeId="0">
      <text>
        <t>추정: 별도 매출 추세+계절성(폴백: 전년동기 × (1+1.3%) — g=최근 4분기 합 YoY 2.6% 클립(−30~+50%), 연차별 절반 감쇠(가정))
[yoy]</t>
      </text>
    </comment>
    <comment ref="AL37" authorId="0" shapeId="0">
      <text>
        <t>추정: 별도 매출 추세+계절성(폴백: 전년동기 × (1+1.3%) — g=최근 4분기 합 YoY 2.6% 클립(−30~+50%), 연차별 절반 감쇠(가정))
[yoy]</t>
      </text>
    </comment>
    <comment ref="AM37" authorId="0" shapeId="0">
      <text>
        <t>추정: 별도 매출 추세+계절성(폴백: 전년동기 × (1+0.7%) — g=최근 4분기 합 YoY 2.6% 클립(−30~+50%), 연차별 절반 감쇠(가정))
[yoy]</t>
      </text>
    </comment>
    <comment ref="AN37" authorId="0" shapeId="0">
      <text>
        <t>추정: 별도 매출 추세+계절성(폴백: 전년동기 × (1+0.7%) — g=최근 4분기 합 YoY 2.6% 클립(−30~+50%), 연차별 절반 감쇠(가정))
[yoy]</t>
      </text>
    </comment>
    <comment ref="E38" authorId="0" shapeId="0">
      <text>
        <t>실측(계정 매핑 없음(파생·부문·시세 행) — 모델값 직접) — fin.sep.is.영업이익</t>
      </text>
    </comment>
    <comment ref="G38" authorId="0" shapeId="0">
      <text>
        <t>실측(계정 매핑 없음(파생·부문·시세 행) — 모델값 직접) — fin.sep.is.영업이익</t>
      </text>
    </comment>
    <comment ref="H38" authorId="0" shapeId="0">
      <text>
        <t>실측(계정 매핑 없음(파생·부문·시세 행) — 모델값 직접) — fin.sep.is.영업이익</t>
      </text>
    </comment>
    <comment ref="I38" authorId="0" shapeId="0">
      <text>
        <t>실측(계정 매핑 없음(파생·부문·시세 행) — 모델값 직접) — fin.sep.is.영업이익</t>
      </text>
    </comment>
    <comment ref="J38" authorId="0" shapeId="0">
      <text>
        <t>실측(계정 매핑 없음(파생·부문·시세 행) — 모델값 직접) — fin.sep.is.영업이익</t>
      </text>
    </comment>
    <comment ref="L38" authorId="0" shapeId="0">
      <text>
        <t>실측(계정 매핑 없음(파생·부문·시세 행) — 모델값 직접) — fin.sep.is.영업이익</t>
      </text>
    </comment>
    <comment ref="M38" authorId="0" shapeId="0">
      <text>
        <t>실측(계정 매핑 없음(파생·부문·시세 행) — 모델값 직접) — fin.sep.is.영업이익</t>
      </text>
    </comment>
    <comment ref="N38" authorId="0" shapeId="0">
      <text>
        <t>실측(계정 매핑 없음(파생·부문·시세 행) — 모델값 직접) — fin.sep.is.영업이익</t>
      </text>
    </comment>
    <comment ref="O38" authorId="0" shapeId="0">
      <text>
        <t>실측(계정 매핑 없음(파생·부문·시세 행) — 모델값 직접) — fin.sep.is.영업이익</t>
      </text>
    </comment>
    <comment ref="Q38" authorId="0" shapeId="0">
      <text>
        <t>실측(계정 매핑 없음(파생·부문·시세 행) — 모델값 직접) — fin.sep.is.영업이익</t>
      </text>
    </comment>
    <comment ref="R38" authorId="0" shapeId="0">
      <text>
        <t>실측(계정 매핑 없음(파생·부문·시세 행) — 모델값 직접) — fin.sep.is.영업이익</t>
      </text>
    </comment>
    <comment ref="S38" authorId="0" shapeId="0">
      <text>
        <t>실측(계정 매핑 없음(파생·부문·시세 행) — 모델값 직접) — fin.sep.is.영업이익</t>
      </text>
    </comment>
    <comment ref="T38" authorId="0" shapeId="0">
      <text>
        <t>실측(계정 매핑 없음(파생·부문·시세 행) — 모델값 직접) — fin.sep.is.영업이익</t>
      </text>
    </comment>
    <comment ref="V38" authorId="0" shapeId="0">
      <text>
        <t>실측(계정 매핑 없음(파생·부문·시세 행) — 모델값 직접) — fin.sep.is.영업이익</t>
      </text>
    </comment>
    <comment ref="W38" authorId="0" shapeId="0">
      <text>
        <t>실측(계정 매핑 없음(파생·부문·시세 행) — 모델값 직접) — fin.sep.is.영업이익</t>
      </text>
    </comment>
    <comment ref="X38" authorId="0" shapeId="0">
      <text>
        <t>실측(계정 매핑 없음(파생·부문·시세 행) — 모델값 직접) — fin.sep.is.영업이익</t>
      </text>
    </comment>
    <comment ref="Y38" authorId="0" shapeId="0">
      <text>
        <t>실측(계정 매핑 없음(파생·부문·시세 행) — 모델값 직접) — fin.sep.is.영업이익</t>
      </text>
    </comment>
    <comment ref="AA38" authorId="0" shapeId="0">
      <text>
        <t>실측(계정 매핑 없음(파생·부문·시세 행) — 모델값 직접) — fin.sep.is.영업이익</t>
      </text>
    </comment>
    <comment ref="AB38" authorId="0" shapeId="0">
      <text>
        <t>실측(계정 매핑 없음(파생·부문·시세 행) — 모델값 직접) — fin.sep.is.영업이익</t>
      </text>
    </comment>
    <comment ref="AC38" authorId="0" shapeId="0">
      <text>
        <t>추정: 별도 매출 × 별도 OPM 8분기 중위 15.7%
[ratio]</t>
      </text>
    </comment>
    <comment ref="AD38" authorId="0" shapeId="0">
      <text>
        <t>추정: 별도 매출 × 별도 OPM 8분기 중위 15.7%
[ratio]</t>
      </text>
    </comment>
    <comment ref="AF38" authorId="0" shapeId="0">
      <text>
        <t>추정: 별도 매출 × 별도 OPM 8분기 중위 15.7%
[ratio]</t>
      </text>
    </comment>
    <comment ref="AG38" authorId="0" shapeId="0">
      <text>
        <t>추정: 별도 매출 × 별도 OPM 8분기 중위 15.7%
[ratio]</t>
      </text>
    </comment>
    <comment ref="AH38" authorId="0" shapeId="0">
      <text>
        <t>추정: 별도 매출 × 별도 OPM 8분기 중위 15.7%
[ratio]</t>
      </text>
    </comment>
    <comment ref="AI38" authorId="0" shapeId="0">
      <text>
        <t>추정: 별도 매출 × 별도 OPM 8분기 중위 15.7%
[ratio]</t>
      </text>
    </comment>
    <comment ref="AK38" authorId="0" shapeId="0">
      <text>
        <t>추정: 별도 매출 × 별도 OPM 8분기 중위 15.7%
[ratio]</t>
      </text>
    </comment>
    <comment ref="AL38" authorId="0" shapeId="0">
      <text>
        <t>추정: 별도 매출 × 별도 OPM 8분기 중위 15.7%
[ratio]</t>
      </text>
    </comment>
    <comment ref="AM38" authorId="0" shapeId="0">
      <text>
        <t>추정: 별도 매출 × 별도 OPM 8분기 중위 15.7%
[ratio]</t>
      </text>
    </comment>
    <comment ref="AN38" authorId="0" shapeId="0">
      <text>
        <t>추정: 별도 매출 × 별도 OPM 8분기 중위 15.7%
[ratio]</t>
      </text>
    </comment>
    <comment ref="E39" authorId="0" shapeId="0">
      <text>
        <t>실측(계정 매핑 없음(파생·부문·시세 행) — 모델값 직접) — 일승·동방선기 fin 매출 합</t>
      </text>
    </comment>
    <comment ref="G39" authorId="0" shapeId="0">
      <text>
        <t>실측(계정 매핑 없음(파생·부문·시세 행) — 모델값 직접) — 일승·동방선기 fin 매출 합</t>
      </text>
    </comment>
    <comment ref="H39" authorId="0" shapeId="0">
      <text>
        <t>실측(계정 매핑 없음(파생·부문·시세 행) — 모델값 직접) — 일승·동방선기 fin 매출 합</t>
      </text>
    </comment>
    <comment ref="I39" authorId="0" shapeId="0">
      <text>
        <t>실측(계정 매핑 없음(파생·부문·시세 행) — 모델값 직접) — 일승·동방선기 fin 매출 합</t>
      </text>
    </comment>
    <comment ref="J39" authorId="0" shapeId="0">
      <text>
        <t>실측(계정 매핑 없음(파생·부문·시세 행) — 모델값 직접) — 일승·동방선기 fin 매출 합</t>
      </text>
    </comment>
    <comment ref="L39" authorId="0" shapeId="0">
      <text>
        <t>실측(계정 매핑 없음(파생·부문·시세 행) — 모델값 직접) — 일승·동방선기 fin 매출 합</t>
      </text>
    </comment>
    <comment ref="M39" authorId="0" shapeId="0">
      <text>
        <t>실측(계정 매핑 없음(파생·부문·시세 행) — 모델값 직접) — 일승·동방선기 fin 매출 합</t>
      </text>
    </comment>
    <comment ref="N39" authorId="0" shapeId="0">
      <text>
        <t>실측(계정 매핑 없음(파생·부문·시세 행) — 모델값 직접) — 일승·동방선기 fin 매출 합</t>
      </text>
    </comment>
    <comment ref="O39" authorId="0" shapeId="0">
      <text>
        <t>실측(계정 매핑 없음(파생·부문·시세 행) — 모델값 직접) — 일승·동방선기 fin 매출 합</t>
      </text>
    </comment>
    <comment ref="Q39" authorId="0" shapeId="0">
      <text>
        <t>실측(계정 매핑 없음(파생·부문·시세 행) — 모델값 직접) — 일승·동방선기 fin 매출 합</t>
      </text>
    </comment>
    <comment ref="R39" authorId="0" shapeId="0">
      <text>
        <t>실측(계정 매핑 없음(파생·부문·시세 행) — 모델값 직접) — 일승·동방선기 fin 매출 합</t>
      </text>
    </comment>
    <comment ref="S39" authorId="0" shapeId="0">
      <text>
        <t>실측(계정 매핑 없음(파생·부문·시세 행) — 모델값 직접) — 일승·동방선기 fin 매출 합</t>
      </text>
    </comment>
    <comment ref="T39" authorId="0" shapeId="0">
      <text>
        <t>실측(계정 매핑 없음(파생·부문·시세 행) — 모델값 직접) — 일승·동방선기 fin 매출 합</t>
      </text>
    </comment>
    <comment ref="V39" authorId="0" shapeId="0">
      <text>
        <t>실측(계정 매핑 없음(파생·부문·시세 행) — 모델값 직접) — 일승·동방선기 fin 매출 합</t>
      </text>
    </comment>
    <comment ref="W39" authorId="0" shapeId="0">
      <text>
        <t>실측(계정 매핑 없음(파생·부문·시세 행) — 모델값 직접) — 일승·동방선기 fin 매출 합</t>
      </text>
    </comment>
    <comment ref="X39" authorId="0" shapeId="0">
      <text>
        <t>실측(계정 매핑 없음(파생·부문·시세 행) — 모델값 직접) — 일승·동방선기 fin 매출 합</t>
      </text>
    </comment>
    <comment ref="Y39" authorId="0" shapeId="0">
      <text>
        <t>실측(계정 매핑 없음(파생·부문·시세 행) — 모델값 직접) — 일승·동방선기 fin 매출 합</t>
      </text>
    </comment>
    <comment ref="AA39" authorId="0" shapeId="0">
      <text>
        <t>실측(계정 매핑 없음(파생·부문·시세 행) — 모델값 직접) — 일승·동방선기 fin 매출 합</t>
      </text>
    </comment>
    <comment ref="AB39" authorId="0" shapeId="0">
      <text>
        <t>실측(계정 매핑 없음(파생·부문·시세 행) — 모델값 직접) — 일승·동방선기 fin 매출 합</t>
      </text>
    </comment>
    <comment ref="AC39" authorId="0" shapeId="0">
      <text>
        <t>추정: 일승·동방선기 모델 매출 합
[yoy]</t>
      </text>
    </comment>
    <comment ref="AD39" authorId="0" shapeId="0">
      <text>
        <t>추정: 일승·동방선기 모델 매출 합
[yoy]</t>
      </text>
    </comment>
    <comment ref="AF39" authorId="0" shapeId="0">
      <text>
        <t>추정: 일승·동방선기 모델 매출 합
[yoy]</t>
      </text>
    </comment>
    <comment ref="AG39" authorId="0" shapeId="0">
      <text>
        <t>추정: 일승·동방선기 모델 매출 합
[yoy]</t>
      </text>
    </comment>
    <comment ref="AH39" authorId="0" shapeId="0">
      <text>
        <t>추정: 일승·동방선기 모델 매출 합
[yoy]</t>
      </text>
    </comment>
    <comment ref="AI39" authorId="0" shapeId="0">
      <text>
        <t>추정: 일승·동방선기 모델 매출 합
[yoy]</t>
      </text>
    </comment>
    <comment ref="AK39" authorId="0" shapeId="0">
      <text>
        <t>추정: 일승·동방선기 모델 매출 합
[yoy]</t>
      </text>
    </comment>
    <comment ref="AL39" authorId="0" shapeId="0">
      <text>
        <t>추정: 일승·동방선기 모델 매출 합
[yoy]</t>
      </text>
    </comment>
    <comment ref="AM39" authorId="0" shapeId="0">
      <text>
        <t>추정: 일승·동방선기 모델 매출 합
[yoy]</t>
      </text>
    </comment>
    <comment ref="AN39" authorId="0" shapeId="0">
      <text>
        <t>추정: 일승·동방선기 모델 매출 합
[yoy]</t>
      </text>
    </comment>
    <comment ref="E40" authorId="0" shapeId="0">
      <text>
        <t>실측(계정 매핑 없음(파생·부문·시세 행) — 모델값 직접) — 일승·동방선기 fin 영업이익 합</t>
      </text>
    </comment>
    <comment ref="G40" authorId="0" shapeId="0">
      <text>
        <t>실측(계정 매핑 없음(파생·부문·시세 행) — 모델값 직접) — 일승·동방선기 fin 영업이익 합</t>
      </text>
    </comment>
    <comment ref="H40" authorId="0" shapeId="0">
      <text>
        <t>실측(계정 매핑 없음(파생·부문·시세 행) — 모델값 직접) — 일승·동방선기 fin 영업이익 합</t>
      </text>
    </comment>
    <comment ref="I40" authorId="0" shapeId="0">
      <text>
        <t>실측(계정 매핑 없음(파생·부문·시세 행) — 모델값 직접) — 일승·동방선기 fin 영업이익 합</t>
      </text>
    </comment>
    <comment ref="J40" authorId="0" shapeId="0">
      <text>
        <t>실측(계정 매핑 없음(파생·부문·시세 행) — 모델값 직접) — 일승·동방선기 fin 영업이익 합</t>
      </text>
    </comment>
    <comment ref="L40" authorId="0" shapeId="0">
      <text>
        <t>실측(계정 매핑 없음(파생·부문·시세 행) — 모델값 직접) — 일승·동방선기 fin 영업이익 합</t>
      </text>
    </comment>
    <comment ref="M40" authorId="0" shapeId="0">
      <text>
        <t>실측(계정 매핑 없음(파생·부문·시세 행) — 모델값 직접) — 일승·동방선기 fin 영업이익 합</t>
      </text>
    </comment>
    <comment ref="N40" authorId="0" shapeId="0">
      <text>
        <t>실측(계정 매핑 없음(파생·부문·시세 행) — 모델값 직접) — 일승·동방선기 fin 영업이익 합</t>
      </text>
    </comment>
    <comment ref="O40" authorId="0" shapeId="0">
      <text>
        <t>실측(계정 매핑 없음(파생·부문·시세 행) — 모델값 직접) — 일승·동방선기 fin 영업이익 합</t>
      </text>
    </comment>
    <comment ref="Q40" authorId="0" shapeId="0">
      <text>
        <t>실측(계정 매핑 없음(파생·부문·시세 행) — 모델값 직접) — 일승·동방선기 fin 영업이익 합</t>
      </text>
    </comment>
    <comment ref="R40" authorId="0" shapeId="0">
      <text>
        <t>실측(계정 매핑 없음(파생·부문·시세 행) — 모델값 직접) — 일승·동방선기 fin 영업이익 합</t>
      </text>
    </comment>
    <comment ref="S40" authorId="0" shapeId="0">
      <text>
        <t>실측(계정 매핑 없음(파생·부문·시세 행) — 모델값 직접) — 일승·동방선기 fin 영업이익 합</t>
      </text>
    </comment>
    <comment ref="T40" authorId="0" shapeId="0">
      <text>
        <t>실측(계정 매핑 없음(파생·부문·시세 행) — 모델값 직접) — 일승·동방선기 fin 영업이익 합</t>
      </text>
    </comment>
    <comment ref="V40" authorId="0" shapeId="0">
      <text>
        <t>실측(계정 매핑 없음(파생·부문·시세 행) — 모델값 직접) — 일승·동방선기 fin 영업이익 합</t>
      </text>
    </comment>
    <comment ref="W40" authorId="0" shapeId="0">
      <text>
        <t>실측(계정 매핑 없음(파생·부문·시세 행) — 모델값 직접) — 일승·동방선기 fin 영업이익 합</t>
      </text>
    </comment>
    <comment ref="X40" authorId="0" shapeId="0">
      <text>
        <t>실측(계정 매핑 없음(파생·부문·시세 행) — 모델값 직접) — 일승·동방선기 fin 영업이익 합</t>
      </text>
    </comment>
    <comment ref="Y40" authorId="0" shapeId="0">
      <text>
        <t>실측(계정 매핑 없음(파생·부문·시세 행) — 모델값 직접) — 일승·동방선기 fin 영업이익 합</t>
      </text>
    </comment>
    <comment ref="AA40" authorId="0" shapeId="0">
      <text>
        <t>실측(계정 매핑 없음(파생·부문·시세 행) — 모델값 직접) — 일승·동방선기 fin 영업이익 합</t>
      </text>
    </comment>
    <comment ref="AB40" authorId="0" shapeId="0">
      <text>
        <t>실측(계정 매핑 없음(파생·부문·시세 행) — 모델값 직접) — 일승·동방선기 fin 영업이익 합</t>
      </text>
    </comment>
    <comment ref="AC40" authorId="0" shapeId="0">
      <text>
        <t>추정: 일승·동방선기 모델 영업이익 합
[ratio]</t>
      </text>
    </comment>
    <comment ref="AD40" authorId="0" shapeId="0">
      <text>
        <t>추정: 일승·동방선기 모델 영업이익 합
[ratio]</t>
      </text>
    </comment>
    <comment ref="AF40" authorId="0" shapeId="0">
      <text>
        <t>추정: 일승·동방선기 모델 영업이익 합
[ratio]</t>
      </text>
    </comment>
    <comment ref="AG40" authorId="0" shapeId="0">
      <text>
        <t>추정: 일승·동방선기 모델 영업이익 합
[ratio]</t>
      </text>
    </comment>
    <comment ref="AH40" authorId="0" shapeId="0">
      <text>
        <t>추정: 일승·동방선기 모델 영업이익 합
[ratio]</t>
      </text>
    </comment>
    <comment ref="AI40" authorId="0" shapeId="0">
      <text>
        <t>추정: 일승·동방선기 모델 영업이익 합
[ratio]</t>
      </text>
    </comment>
    <comment ref="AK40" authorId="0" shapeId="0">
      <text>
        <t>추정: 일승·동방선기 모델 영업이익 합
[ratio]</t>
      </text>
    </comment>
    <comment ref="AL40" authorId="0" shapeId="0">
      <text>
        <t>추정: 일승·동방선기 모델 영업이익 합
[ratio]</t>
      </text>
    </comment>
    <comment ref="AM40" authorId="0" shapeId="0">
      <text>
        <t>추정: 일승·동방선기 모델 영업이익 합
[ratio]</t>
      </text>
    </comment>
    <comment ref="AN40" authorId="0" shapeId="0">
      <text>
        <t>추정: 일승·동방선기 모델 영업이익 합
[ratio]</t>
      </text>
    </comment>
    <comment ref="E41" authorId="0" shapeId="0">
      <text>
        <t>실측(계정 매핑 없음(파생·부문·시세 행) — 모델값 직접) — 연결 − 별도 − 종속사(베트남 종속·내부거래 잔차)</t>
      </text>
    </comment>
    <comment ref="G41" authorId="0" shapeId="0">
      <text>
        <t>실측(계정 매핑 없음(파생·부문·시세 행) — 모델값 직접) — 연결 − 별도 − 종속사(베트남 종속·내부거래 잔차)</t>
      </text>
    </comment>
    <comment ref="H41" authorId="0" shapeId="0">
      <text>
        <t>실측(계정 매핑 없음(파생·부문·시세 행) — 모델값 직접) — 연결 − 별도 − 종속사(베트남 종속·내부거래 잔차)</t>
      </text>
    </comment>
    <comment ref="I41" authorId="0" shapeId="0">
      <text>
        <t>실측(계정 매핑 없음(파생·부문·시세 행) — 모델값 직접) — 연결 − 별도 − 종속사(베트남 종속·내부거래 잔차)</t>
      </text>
    </comment>
    <comment ref="J41" authorId="0" shapeId="0">
      <text>
        <t>실측(계정 매핑 없음(파생·부문·시세 행) — 모델값 직접) — 연결 − 별도 − 종속사(베트남 종속·내부거래 잔차)</t>
      </text>
    </comment>
    <comment ref="L41" authorId="0" shapeId="0">
      <text>
        <t>실측(계정 매핑 없음(파생·부문·시세 행) — 모델값 직접) — 연결 − 별도 − 종속사(베트남 종속·내부거래 잔차)</t>
      </text>
    </comment>
    <comment ref="M41" authorId="0" shapeId="0">
      <text>
        <t>실측(계정 매핑 없음(파생·부문·시세 행) — 모델값 직접) — 연결 − 별도 − 종속사(베트남 종속·내부거래 잔차)</t>
      </text>
    </comment>
    <comment ref="N41" authorId="0" shapeId="0">
      <text>
        <t>실측(계정 매핑 없음(파생·부문·시세 행) — 모델값 직접) — 연결 − 별도 − 종속사(베트남 종속·내부거래 잔차)</t>
      </text>
    </comment>
    <comment ref="O41" authorId="0" shapeId="0">
      <text>
        <t>실측(계정 매핑 없음(파생·부문·시세 행) — 모델값 직접) — 연결 − 별도 − 종속사(베트남 종속·내부거래 잔차)</t>
      </text>
    </comment>
    <comment ref="Q41" authorId="0" shapeId="0">
      <text>
        <t>실측(계정 매핑 없음(파생·부문·시세 행) — 모델값 직접) — 연결 − 별도 − 종속사(베트남 종속·내부거래 잔차)</t>
      </text>
    </comment>
    <comment ref="R41" authorId="0" shapeId="0">
      <text>
        <t>실측(계정 매핑 없음(파생·부문·시세 행) — 모델값 직접) — 연결 − 별도 − 종속사(베트남 종속·내부거래 잔차)</t>
      </text>
    </comment>
    <comment ref="S41" authorId="0" shapeId="0">
      <text>
        <t>실측(계정 매핑 없음(파생·부문·시세 행) — 모델값 직접) — 연결 − 별도 − 종속사(베트남 종속·내부거래 잔차)</t>
      </text>
    </comment>
    <comment ref="T41" authorId="0" shapeId="0">
      <text>
        <t>실측(계정 매핑 없음(파생·부문·시세 행) — 모델값 직접) — 연결 − 별도 − 종속사(베트남 종속·내부거래 잔차)</t>
      </text>
    </comment>
    <comment ref="V41" authorId="0" shapeId="0">
      <text>
        <t>실측(계정 매핑 없음(파생·부문·시세 행) — 모델값 직접) — 연결 − 별도 − 종속사(베트남 종속·내부거래 잔차)</t>
      </text>
    </comment>
    <comment ref="W41" authorId="0" shapeId="0">
      <text>
        <t>실측(계정 매핑 없음(파생·부문·시세 행) — 모델값 직접) — 연결 − 별도 − 종속사(베트남 종속·내부거래 잔차)</t>
      </text>
    </comment>
    <comment ref="X41" authorId="0" shapeId="0">
      <text>
        <t>실측(계정 매핑 없음(파생·부문·시세 행) — 모델값 직접) — 연결 − 별도 − 종속사(베트남 종속·내부거래 잔차)</t>
      </text>
    </comment>
    <comment ref="Y41" authorId="0" shapeId="0">
      <text>
        <t>실측(계정 매핑 없음(파생·부문·시세 행) — 모델값 직접) — 연결 − 별도 − 종속사(베트남 종속·내부거래 잔차)</t>
      </text>
    </comment>
    <comment ref="AA41" authorId="0" shapeId="0">
      <text>
        <t>실측(계정 매핑 없음(파생·부문·시세 행) — 모델값 직접) — 연결 − 별도 − 종속사(베트남 종속·내부거래 잔차)</t>
      </text>
    </comment>
    <comment ref="AB41" authorId="0" shapeId="0">
      <text>
        <t>실측(계정 매핑 없음(파생·부문·시세 행) — 모델값 직접) — 연결 − 별도 − 종속사(베트남 종속·내부거래 잔차)</t>
      </text>
    </comment>
    <comment ref="AC41" authorId="0" shapeId="0">
      <text>
        <t>추정: 종속사 매출 250억 × 잔차/종속사 매출 최근 4분기(2025Q3~2026Q2) 중위 -0.6252(내부거래·베트남)
[ratio]</t>
      </text>
    </comment>
    <comment ref="AD41" authorId="0" shapeId="0">
      <text>
        <t>추정: 종속사 매출 353억 × 잔차/종속사 매출 최근 4분기(2025Q3~2026Q2) 중위 -0.6252(내부거래·베트남)
[ratio]</t>
      </text>
    </comment>
    <comment ref="AF41" authorId="0" shapeId="0">
      <text>
        <t>추정: 종속사 매출 248억 × 잔차/종속사 매출 최근 4분기(2025Q3~2026Q2) 중위 -0.6252(내부거래·베트남)
[ratio]</t>
      </text>
    </comment>
    <comment ref="AG41" authorId="0" shapeId="0">
      <text>
        <t>추정: 종속사 매출 277억 × 잔차/종속사 매출 최근 4분기(2025Q3~2026Q2) 중위 -0.6252(내부거래·베트남)
[ratio]</t>
      </text>
    </comment>
    <comment ref="AH41" authorId="0" shapeId="0">
      <text>
        <t>추정: 종속사 매출 295억 × 잔차/종속사 매출 최근 4분기(2025Q3~2026Q2) 중위 -0.6252(내부거래·베트남)
[ratio]</t>
      </text>
    </comment>
    <comment ref="AI41" authorId="0" shapeId="0">
      <text>
        <t>추정: 종속사 매출 411억 × 잔차/종속사 매출 최근 4분기(2025Q3~2026Q2) 중위 -0.6252(내부거래·베트남)
[ratio]</t>
      </text>
    </comment>
    <comment ref="AK41" authorId="0" shapeId="0">
      <text>
        <t>추정: 종속사 매출 295억 × 잔차/종속사 매출 최근 4분기(2025Q3~2026Q2) 중위 -0.6252(내부거래·베트남)
[ratio]</t>
      </text>
    </comment>
    <comment ref="AL41" authorId="0" shapeId="0">
      <text>
        <t>추정: 종속사 매출 338억 × 잔차/종속사 매출 최근 4분기(2025Q3~2026Q2) 중위 -0.6252(내부거래·베트남)
[ratio]</t>
      </text>
    </comment>
    <comment ref="AM41" authorId="0" shapeId="0">
      <text>
        <t>추정: 종속사 매출 368억 × 잔차/종속사 매출 최근 4분기(2025Q3~2026Q2) 중위 -0.6252(내부거래·베트남)
[ratio]</t>
      </text>
    </comment>
    <comment ref="AN41" authorId="0" shapeId="0">
      <text>
        <t>추정: 종속사 매출 512억 × 잔차/종속사 매출 최근 4분기(2025Q3~2026Q2) 중위 -0.6252(내부거래·베트남)
[ratio]</t>
      </text>
    </comment>
    <comment ref="E42" authorId="0" shapeId="0">
      <text>
        <t>실측(계정 매핑 없음(파생·부문·시세 행) — 모델값 직접) — 연결 OP − 별도 OP − 종속사 OP(잔차)</t>
      </text>
    </comment>
    <comment ref="G42" authorId="0" shapeId="0">
      <text>
        <t>실측(계정 매핑 없음(파생·부문·시세 행) — 모델값 직접) — 연결 OP − 별도 OP − 종속사 OP(잔차)</t>
      </text>
    </comment>
    <comment ref="H42" authorId="0" shapeId="0">
      <text>
        <t>실측(계정 매핑 없음(파생·부문·시세 행) — 모델값 직접) — 연결 OP − 별도 OP − 종속사 OP(잔차)</t>
      </text>
    </comment>
    <comment ref="I42" authorId="0" shapeId="0">
      <text>
        <t>실측(계정 매핑 없음(파생·부문·시세 행) — 모델값 직접) — 연결 OP − 별도 OP − 종속사 OP(잔차)</t>
      </text>
    </comment>
    <comment ref="J42" authorId="0" shapeId="0">
      <text>
        <t>실측(계정 매핑 없음(파생·부문·시세 행) — 모델값 직접) — 연결 OP − 별도 OP − 종속사 OP(잔차)</t>
      </text>
    </comment>
    <comment ref="L42" authorId="0" shapeId="0">
      <text>
        <t>실측(계정 매핑 없음(파생·부문·시세 행) — 모델값 직접) — 연결 OP − 별도 OP − 종속사 OP(잔차)</t>
      </text>
    </comment>
    <comment ref="M42" authorId="0" shapeId="0">
      <text>
        <t>실측(계정 매핑 없음(파생·부문·시세 행) — 모델값 직접) — 연결 OP − 별도 OP − 종속사 OP(잔차)</t>
      </text>
    </comment>
    <comment ref="N42" authorId="0" shapeId="0">
      <text>
        <t>실측(계정 매핑 없음(파생·부문·시세 행) — 모델값 직접) — 연결 OP − 별도 OP − 종속사 OP(잔차)</t>
      </text>
    </comment>
    <comment ref="O42" authorId="0" shapeId="0">
      <text>
        <t>실측(계정 매핑 없음(파생·부문·시세 행) — 모델값 직접) — 연결 OP − 별도 OP − 종속사 OP(잔차)</t>
      </text>
    </comment>
    <comment ref="Q42" authorId="0" shapeId="0">
      <text>
        <t>실측(계정 매핑 없음(파생·부문·시세 행) — 모델값 직접) — 연결 OP − 별도 OP − 종속사 OP(잔차)</t>
      </text>
    </comment>
    <comment ref="R42" authorId="0" shapeId="0">
      <text>
        <t>실측(계정 매핑 없음(파생·부문·시세 행) — 모델값 직접) — 연결 OP − 별도 OP − 종속사 OP(잔차)</t>
      </text>
    </comment>
    <comment ref="S42" authorId="0" shapeId="0">
      <text>
        <t>실측(계정 매핑 없음(파생·부문·시세 행) — 모델값 직접) — 연결 OP − 별도 OP − 종속사 OP(잔차)</t>
      </text>
    </comment>
    <comment ref="T42" authorId="0" shapeId="0">
      <text>
        <t>실측(계정 매핑 없음(파생·부문·시세 행) — 모델값 직접) — 연결 OP − 별도 OP − 종속사 OP(잔차)</t>
      </text>
    </comment>
    <comment ref="V42" authorId="0" shapeId="0">
      <text>
        <t>실측(계정 매핑 없음(파생·부문·시세 행) — 모델값 직접) — 연결 OP − 별도 OP − 종속사 OP(잔차)</t>
      </text>
    </comment>
    <comment ref="W42" authorId="0" shapeId="0">
      <text>
        <t>실측(계정 매핑 없음(파생·부문·시세 행) — 모델값 직접) — 연결 OP − 별도 OP − 종속사 OP(잔차)</t>
      </text>
    </comment>
    <comment ref="X42" authorId="0" shapeId="0">
      <text>
        <t>실측(계정 매핑 없음(파생·부문·시세 행) — 모델값 직접) — 연결 OP − 별도 OP − 종속사 OP(잔차)</t>
      </text>
    </comment>
    <comment ref="Y42" authorId="0" shapeId="0">
      <text>
        <t>실측(계정 매핑 없음(파생·부문·시세 행) — 모델값 직접) — 연결 OP − 별도 OP − 종속사 OP(잔차)</t>
      </text>
    </comment>
    <comment ref="AA42" authorId="0" shapeId="0">
      <text>
        <t>실측(계정 매핑 없음(파생·부문·시세 행) — 모델값 직접) — 연결 OP − 별도 OP − 종속사 OP(잔차)</t>
      </text>
    </comment>
    <comment ref="AB42" authorId="0" shapeId="0">
      <text>
        <t>실측(계정 매핑 없음(파생·부문·시세 행) — 모델값 직접) — 연결 OP − 별도 OP − 종속사 OP(잔차)</t>
      </text>
    </comment>
    <comment ref="AC42" authorId="0" shapeId="0">
      <text>
        <t>추정: 연결 OP − 별도 OP − 종속사 OP(잔차)
[ratio]</t>
      </text>
    </comment>
    <comment ref="AD42" authorId="0" shapeId="0">
      <text>
        <t>추정: 연결 OP − 별도 OP − 종속사 OP(잔차)
[ratio]</t>
      </text>
    </comment>
    <comment ref="AF42" authorId="0" shapeId="0">
      <text>
        <t>추정: 연결 OP − 별도 OP − 종속사 OP(잔차)
[ratio]</t>
      </text>
    </comment>
    <comment ref="AG42" authorId="0" shapeId="0">
      <text>
        <t>추정: 연결 OP − 별도 OP − 종속사 OP(잔차)
[ratio]</t>
      </text>
    </comment>
    <comment ref="AH42" authorId="0" shapeId="0">
      <text>
        <t>추정: 연결 OP − 별도 OP − 종속사 OP(잔차)
[ratio]</t>
      </text>
    </comment>
    <comment ref="AI42" authorId="0" shapeId="0">
      <text>
        <t>추정: 연결 OP − 별도 OP − 종속사 OP(잔차)
[ratio]</t>
      </text>
    </comment>
    <comment ref="AK42" authorId="0" shapeId="0">
      <text>
        <t>추정: 연결 OP − 별도 OP − 종속사 OP(잔차)
[ratio]</t>
      </text>
    </comment>
    <comment ref="AL42" authorId="0" shapeId="0">
      <text>
        <t>추정: 연결 OP − 별도 OP − 종속사 OP(잔차)
[ratio]</t>
      </text>
    </comment>
    <comment ref="AM42" authorId="0" shapeId="0">
      <text>
        <t>추정: 연결 OP − 별도 OP − 종속사 OP(잔차)
[ratio]</t>
      </text>
    </comment>
    <comment ref="AN42" authorId="0" shapeId="0">
      <text>
        <t>추정: 연결 OP − 별도 OP − 종속사 OP(잔차)
[ratio]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세진중공업(075580) 실적 모델 — ARGUS 한국조선</t>
        </is>
      </c>
    </row>
    <row r="2">
      <c r="A2" t="inlineStr">
        <is>
          <t>기준 분기 2026Q2 · 마지막 실적 2026Q2 · 생성 2026-10-14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19.12% — 법인세 = MAX(세전,0) × 세율, 추정 전 분기 연결(Σ법인세/Σmax(세전,0) 역산, 재현 오차 ≤ 0.05억). 모델 가정 19.12% · 근거: 최근 12분기 유효세율 19.1%(5~27% 안 — 그대로)</t>
        </is>
      </c>
    </row>
    <row r="23">
      <c r="A23" t="inlineStr">
        <is>
          <t>· 판관비율 6.13% — 판관비 = 매출액 × 판관비율, 추정 전 분기 연결</t>
        </is>
      </c>
    </row>
    <row r="24">
      <c r="A24" t="inlineStr">
        <is>
          <t>· 지배주주 비중 82.2% — 지배주주순이익 = 당기순이익 × 비중, 추정 전 분기 연결</t>
        </is>
      </c>
    </row>
    <row r="25">
      <c r="A25" t="inlineStr">
        <is>
          <t>· 이자율 자산 3.61% / 부채 3.87% — 이자손익 = (전분기 이자발생자산 × 자산이자율 − 전분기 총차입금 × 부채이자율)/4, 최소자승 역산(모델 assumptions [0.0361, 0.0387] 는 4자리 반올림이라 그대로 쓰면 ±1억 어긋남) · 출처: {"asset": "주석 이자수익 ÷ 평균 이자발생자산(2025Q2~2026Q2)", "debt": "주석 이자비용 ÷ 평균 총차입금(2025Q2~2026Q2)"}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19.0/22.0/27.4배(hist_quarterly(분기 평균가 ÷ TTM EPS, 15분기,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assets/models/075580.json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매출 드라이버 폴백(고객 연동 OOS 기각 — 동결 2025Q2 이후 4분기 매출 WAPE 연동 17.6% &gt; 추세 12.3% × 1.10 (ref_base·시차 1·4분기 이동합·창 8, r=0.91 유의)): 전년동기 × (1+g) 추세 / 풍력/플랜트 부문 실적은 fin face 에서 분리 불가 → 별도 매출 전체를 조선기자재 지수로 추정. 풍력 레퍼런스 표는 모듈(합산 안 함) / 감가상각비가 face·CF 에 없음(주석 미파싱) → EBITDA·EV/EBITDA 미산출 / 금융손익 실적→추정 단절: 최근 4분기 실적 +5/+15/+67/+61(중위 +38억) → 추정 2026Q3 -12억(차 -50억, -131%)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10.5, "op_wape_pct": 53.4, "n": 4, "note": "단일 회사 4분기 — 통계 아님", "driver_at_freeze": "trend_seasonal", "selection_oos_at_freeze": {"wape_link": null, "wape_trend": null, "adopted": false, "decision": "rejected", "note": "유의성 조건 미달 → OOS 비교 전 기각"},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784.2, "rev_act": 903.68, "op_pred": 73.57, "op_act": 121.44}, {"q": "2025Q4", "rev_pred": 1146.12, "rev_act": 1156.51, "op_pred": 107.53, "op_act": 346.8}, {"q": "2026Q1", "rev_pred": 1045.89, "rev_act": 872.43, "op_pred": 98.13, "op_act": 136.39}, {"q": "2026Q2", "rev_pred": 1036.62, "rev_act": 934.98, "op_pred": 97.26, "op_act": 203.68}]}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1343.39</v>
      </c>
      <c r="AE6" s="17" t="n">
        <v>1456.01</v>
      </c>
      <c r="AF6" s="16" t="n">
        <v>1341.45</v>
      </c>
      <c r="AG6" s="16" t="n">
        <v>1341.45</v>
      </c>
      <c r="AH6" s="16" t="n">
        <v>1341.45</v>
      </c>
      <c r="AI6" s="16" t="n">
        <v>1341.45</v>
      </c>
      <c r="AJ6" s="11" t="n"/>
      <c r="AK6" s="16" t="n">
        <v>1341.45</v>
      </c>
      <c r="AL6" s="16" t="n">
        <v>1341.45</v>
      </c>
      <c r="AM6" s="16" t="n">
        <v>1341.45</v>
      </c>
      <c r="AN6" s="16" t="n">
        <v>1341.45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1341.45</v>
      </c>
      <c r="AE7" s="17" t="n">
        <v>1341.45</v>
      </c>
      <c r="AF7" s="16" t="n">
        <v>1341.45</v>
      </c>
      <c r="AG7" s="16" t="n">
        <v>1341.45</v>
      </c>
      <c r="AH7" s="16" t="n">
        <v>1341.45</v>
      </c>
      <c r="AI7" s="16" t="n">
        <v>1341.45</v>
      </c>
      <c r="AJ7" s="11" t="n"/>
      <c r="AK7" s="16" t="n">
        <v>1341.45</v>
      </c>
      <c r="AL7" s="16" t="n">
        <v>1341.45</v>
      </c>
      <c r="AM7" s="16" t="n">
        <v>1341.45</v>
      </c>
      <c r="AN7" s="16" t="n">
        <v>1341.45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849.39</v>
      </c>
      <c r="AE8" s="17" t="n">
        <v>918.46</v>
      </c>
      <c r="AF8" s="16" t="n">
        <v>848.37</v>
      </c>
      <c r="AG8" s="16" t="n">
        <v>848.37</v>
      </c>
      <c r="AH8" s="16" t="n">
        <v>848.37</v>
      </c>
      <c r="AI8" s="16" t="n">
        <v>848.37</v>
      </c>
      <c r="AJ8" s="11" t="n"/>
      <c r="AK8" s="16" t="n">
        <v>848.37</v>
      </c>
      <c r="AL8" s="16" t="n">
        <v>848.37</v>
      </c>
      <c r="AM8" s="16" t="n">
        <v>848.37</v>
      </c>
      <c r="AN8" s="16" t="n">
        <v>848.37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848.37</v>
      </c>
      <c r="AE9" s="17" t="n">
        <v>848.37</v>
      </c>
      <c r="AF9" s="16" t="n">
        <v>848.37</v>
      </c>
      <c r="AG9" s="16" t="n">
        <v>848.37</v>
      </c>
      <c r="AH9" s="16" t="n">
        <v>848.37</v>
      </c>
      <c r="AI9" s="16" t="n">
        <v>848.37</v>
      </c>
      <c r="AJ9" s="11" t="n"/>
      <c r="AK9" s="16" t="n">
        <v>848.37</v>
      </c>
      <c r="AL9" s="16" t="n">
        <v>848.37</v>
      </c>
      <c r="AM9" s="16" t="n">
        <v>848.37</v>
      </c>
      <c r="AN9" s="16" t="n">
        <v>848.37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1506.62</v>
      </c>
      <c r="AE10" s="17" t="n">
        <v>1688.01</v>
      </c>
      <c r="AF10" s="16" t="n">
        <v>1500.82</v>
      </c>
      <c r="AG10" s="16" t="n">
        <v>1500.82</v>
      </c>
      <c r="AH10" s="16" t="n">
        <v>1500.82</v>
      </c>
      <c r="AI10" s="16" t="n">
        <v>1500.82</v>
      </c>
      <c r="AJ10" s="11" t="n"/>
      <c r="AK10" s="16" t="n">
        <v>1500.82</v>
      </c>
      <c r="AL10" s="16" t="n">
        <v>1500.82</v>
      </c>
      <c r="AM10" s="16" t="n">
        <v>1500.82</v>
      </c>
      <c r="AN10" s="16" t="n">
        <v>1500.82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1500.82</v>
      </c>
      <c r="AE11" s="17" t="n">
        <v>1500.82</v>
      </c>
      <c r="AF11" s="16" t="n">
        <v>1500.82</v>
      </c>
      <c r="AG11" s="16" t="n">
        <v>1500.82</v>
      </c>
      <c r="AH11" s="16" t="n">
        <v>1500.82</v>
      </c>
      <c r="AI11" s="16" t="n">
        <v>1500.82</v>
      </c>
      <c r="AJ11" s="11" t="n"/>
      <c r="AK11" s="16" t="n">
        <v>1500.82</v>
      </c>
      <c r="AL11" s="16" t="n">
        <v>1500.82</v>
      </c>
      <c r="AM11" s="16" t="n">
        <v>1500.82</v>
      </c>
      <c r="AN11" s="16" t="n">
        <v>1500.82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200.49</v>
      </c>
      <c r="AE12" s="17" t="n">
        <v>213.61</v>
      </c>
      <c r="AF12" s="16" t="n">
        <v>200.4</v>
      </c>
      <c r="AG12" s="16" t="n">
        <v>200.4</v>
      </c>
      <c r="AH12" s="16" t="n">
        <v>200.4</v>
      </c>
      <c r="AI12" s="16" t="n">
        <v>200.4</v>
      </c>
      <c r="AJ12" s="11" t="n"/>
      <c r="AK12" s="16" t="n">
        <v>200.4</v>
      </c>
      <c r="AL12" s="16" t="n">
        <v>200.4</v>
      </c>
      <c r="AM12" s="16" t="n">
        <v>200.4</v>
      </c>
      <c r="AN12" s="16" t="n">
        <v>200.4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</v>
      </c>
      <c r="AE13" s="17" t="n">
        <v>200.4</v>
      </c>
      <c r="AF13" s="16" t="n">
        <v>200.4</v>
      </c>
      <c r="AG13" s="16" t="n">
        <v>200.4</v>
      </c>
      <c r="AH13" s="16" t="n">
        <v>200.4</v>
      </c>
      <c r="AI13" s="16" t="n">
        <v>200.4</v>
      </c>
      <c r="AJ13" s="11" t="n"/>
      <c r="AK13" s="16" t="n">
        <v>200.4</v>
      </c>
      <c r="AL13" s="16" t="n">
        <v>200.4</v>
      </c>
      <c r="AM13" s="16" t="n">
        <v>200.4</v>
      </c>
      <c r="AN13" s="16" t="n">
        <v>200.4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5900</v>
      </c>
      <c r="F15" s="9" t="n"/>
      <c r="G15" s="18" t="n">
        <v>6840</v>
      </c>
      <c r="H15" s="18" t="n">
        <v>6500</v>
      </c>
      <c r="I15" s="18" t="n">
        <v>6210</v>
      </c>
      <c r="J15" s="18" t="n">
        <v>5150</v>
      </c>
      <c r="K15" s="9" t="n"/>
      <c r="L15" s="18" t="n">
        <v>5810</v>
      </c>
      <c r="M15" s="18" t="n">
        <v>6510</v>
      </c>
      <c r="N15" s="18" t="n">
        <v>5160</v>
      </c>
      <c r="O15" s="18" t="n">
        <v>4755</v>
      </c>
      <c r="P15" s="9" t="n"/>
      <c r="Q15" s="18" t="n">
        <v>6400</v>
      </c>
      <c r="R15" s="18" t="n">
        <v>10040</v>
      </c>
      <c r="S15" s="18" t="n">
        <v>7350</v>
      </c>
      <c r="T15" s="18" t="n">
        <v>8440</v>
      </c>
      <c r="U15" s="9" t="n"/>
      <c r="V15" s="18" t="n">
        <v>6580</v>
      </c>
      <c r="W15" s="18" t="n">
        <v>11440</v>
      </c>
      <c r="X15" s="18" t="n">
        <v>21600</v>
      </c>
      <c r="Y15" s="18" t="n">
        <v>17400</v>
      </c>
      <c r="Z15" s="9" t="n"/>
      <c r="AA15" s="18" t="n">
        <v>15520</v>
      </c>
      <c r="AB15" s="19" t="n">
        <v>13210</v>
      </c>
      <c r="AC15" s="20" t="n">
        <v>9770</v>
      </c>
      <c r="AD15" s="20" t="n">
        <v>8710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6880</v>
      </c>
      <c r="F16" s="9" t="n"/>
      <c r="G16" s="18" t="n">
        <v>7740</v>
      </c>
      <c r="H16" s="18" t="n">
        <v>7640</v>
      </c>
      <c r="I16" s="18" t="n">
        <v>8900</v>
      </c>
      <c r="J16" s="18" t="n">
        <v>6580</v>
      </c>
      <c r="K16" s="9" t="n"/>
      <c r="L16" s="18" t="n">
        <v>6390</v>
      </c>
      <c r="M16" s="18" t="n">
        <v>7310</v>
      </c>
      <c r="N16" s="18" t="n">
        <v>7330</v>
      </c>
      <c r="O16" s="18" t="n">
        <v>5160</v>
      </c>
      <c r="P16" s="9" t="n"/>
      <c r="Q16" s="18" t="n">
        <v>6700</v>
      </c>
      <c r="R16" s="18" t="n">
        <v>10680</v>
      </c>
      <c r="S16" s="18" t="n">
        <v>10920</v>
      </c>
      <c r="T16" s="18" t="n">
        <v>8880</v>
      </c>
      <c r="U16" s="9" t="n"/>
      <c r="V16" s="18" t="n">
        <v>9600</v>
      </c>
      <c r="W16" s="18" t="n">
        <v>12950</v>
      </c>
      <c r="X16" s="18" t="n">
        <v>27400</v>
      </c>
      <c r="Y16" s="18" t="n">
        <v>25350</v>
      </c>
      <c r="Z16" s="9" t="n"/>
      <c r="AA16" s="18" t="n">
        <v>20900</v>
      </c>
      <c r="AB16" s="19" t="n">
        <v>22100</v>
      </c>
      <c r="AC16" s="20" t="n">
        <v>14570</v>
      </c>
      <c r="AD16" s="20" t="n">
        <v>10080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5230</v>
      </c>
      <c r="F17" s="9" t="n"/>
      <c r="G17" s="18" t="n">
        <v>5850</v>
      </c>
      <c r="H17" s="18" t="n">
        <v>5560</v>
      </c>
      <c r="I17" s="18" t="n">
        <v>5030</v>
      </c>
      <c r="J17" s="18" t="n">
        <v>5030</v>
      </c>
      <c r="K17" s="9" t="n"/>
      <c r="L17" s="18" t="n">
        <v>4945</v>
      </c>
      <c r="M17" s="18" t="n">
        <v>5810</v>
      </c>
      <c r="N17" s="18" t="n">
        <v>5010</v>
      </c>
      <c r="O17" s="18" t="n">
        <v>4195</v>
      </c>
      <c r="P17" s="9" t="n"/>
      <c r="Q17" s="18" t="n">
        <v>4655</v>
      </c>
      <c r="R17" s="18" t="n">
        <v>6310</v>
      </c>
      <c r="S17" s="18" t="n">
        <v>6670</v>
      </c>
      <c r="T17" s="18" t="n">
        <v>6380</v>
      </c>
      <c r="U17" s="9" t="n"/>
      <c r="V17" s="18" t="n">
        <v>6570</v>
      </c>
      <c r="W17" s="18" t="n">
        <v>6410</v>
      </c>
      <c r="X17" s="18" t="n">
        <v>10280</v>
      </c>
      <c r="Y17" s="18" t="n">
        <v>16750</v>
      </c>
      <c r="Z17" s="9" t="n"/>
      <c r="AA17" s="18" t="n">
        <v>14710</v>
      </c>
      <c r="AB17" s="19" t="n">
        <v>12600</v>
      </c>
      <c r="AC17" s="20" t="n">
        <v>8500</v>
      </c>
      <c r="AD17" s="20" t="n">
        <v>8120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6025.2</v>
      </c>
      <c r="F18" s="9" t="n"/>
      <c r="G18" s="18" t="n">
        <v>6785.4</v>
      </c>
      <c r="H18" s="18" t="n">
        <v>6666.8</v>
      </c>
      <c r="I18" s="18" t="n">
        <v>6841.6</v>
      </c>
      <c r="J18" s="18" t="n">
        <v>5779.7</v>
      </c>
      <c r="K18" s="9" t="n"/>
      <c r="L18" s="18" t="n">
        <v>5762.3</v>
      </c>
      <c r="M18" s="18" t="n">
        <v>6450.5</v>
      </c>
      <c r="N18" s="18" t="n">
        <v>6145.2</v>
      </c>
      <c r="O18" s="18" t="n">
        <v>4592.2</v>
      </c>
      <c r="P18" s="9" t="n"/>
      <c r="Q18" s="18" t="n">
        <v>5564.7</v>
      </c>
      <c r="R18" s="18" t="n">
        <v>7426.2</v>
      </c>
      <c r="S18" s="18" t="n">
        <v>8331.1</v>
      </c>
      <c r="T18" s="18" t="n">
        <v>7593</v>
      </c>
      <c r="U18" s="9" t="n"/>
      <c r="V18" s="18" t="n">
        <v>8434</v>
      </c>
      <c r="W18" s="18" t="n">
        <v>9865.299999999999</v>
      </c>
      <c r="X18" s="18" t="n">
        <v>15614.6</v>
      </c>
      <c r="Y18" s="18" t="n">
        <v>19573.9</v>
      </c>
      <c r="Z18" s="9" t="n"/>
      <c r="AA18" s="18" t="n">
        <v>18365.4</v>
      </c>
      <c r="AB18" s="19" t="n">
        <v>16779.2</v>
      </c>
      <c r="AC18" s="20" t="n">
        <v>10929</v>
      </c>
      <c r="AD18" s="20" t="n">
        <v>9386.200000000001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drv:판관비</t>
        </is>
      </c>
      <c r="B21" s="2" t="inlineStr">
        <is>
          <t>ratio</t>
        </is>
      </c>
      <c r="C21" t="inlineStr">
        <is>
          <t>판관비율(/매출)</t>
        </is>
      </c>
      <c r="E21" s="21">
        <f>IFERROR(subQ!E8/subQ!E5,"")</f>
        <v/>
      </c>
      <c r="F21" s="22">
        <f>IFERROR(subQ!F8/subQ!F5,"")</f>
        <v/>
      </c>
      <c r="G21" s="21">
        <f>IFERROR(subQ!G8/subQ!G5,"")</f>
        <v/>
      </c>
      <c r="H21" s="21">
        <f>IFERROR(subQ!H8/subQ!H5,"")</f>
        <v/>
      </c>
      <c r="I21" s="21">
        <f>IFERROR(subQ!I8/subQ!I5,"")</f>
        <v/>
      </c>
      <c r="J21" s="21">
        <f>IFERROR(subQ!J8/subQ!J5,"")</f>
        <v/>
      </c>
      <c r="K21" s="22">
        <f>IFERROR(subQ!K8/subQ!K5,"")</f>
        <v/>
      </c>
      <c r="L21" s="21">
        <f>IFERROR(subQ!L8/subQ!L5,"")</f>
        <v/>
      </c>
      <c r="M21" s="21">
        <f>IFERROR(subQ!M8/subQ!M5,"")</f>
        <v/>
      </c>
      <c r="N21" s="21">
        <f>IFERROR(subQ!N8/subQ!N5,"")</f>
        <v/>
      </c>
      <c r="O21" s="21">
        <f>IFERROR(subQ!O8/subQ!O5,"")</f>
        <v/>
      </c>
      <c r="P21" s="22">
        <f>IFERROR(subQ!P8/subQ!P5,"")</f>
        <v/>
      </c>
      <c r="Q21" s="21">
        <f>IFERROR(subQ!Q8/subQ!Q5,"")</f>
        <v/>
      </c>
      <c r="R21" s="21">
        <f>IFERROR(subQ!R8/subQ!R5,"")</f>
        <v/>
      </c>
      <c r="S21" s="21">
        <f>IFERROR(subQ!S8/subQ!S5,"")</f>
        <v/>
      </c>
      <c r="T21" s="21">
        <f>IFERROR(subQ!T8/subQ!T5,"")</f>
        <v/>
      </c>
      <c r="U21" s="22">
        <f>IFERROR(subQ!U8/subQ!U5,"")</f>
        <v/>
      </c>
      <c r="V21" s="21">
        <f>IFERROR(subQ!V8/subQ!V5,"")</f>
        <v/>
      </c>
      <c r="W21" s="21">
        <f>IFERROR(subQ!W8/subQ!W5,"")</f>
        <v/>
      </c>
      <c r="X21" s="21">
        <f>IFERROR(subQ!X8/subQ!X5,"")</f>
        <v/>
      </c>
      <c r="Y21" s="21">
        <f>IFERROR(subQ!Y8/subQ!Y5,"")</f>
        <v/>
      </c>
      <c r="Z21" s="22">
        <f>IFERROR(subQ!Z8/subQ!Z5,"")</f>
        <v/>
      </c>
      <c r="AA21" s="21">
        <f>IFERROR(subQ!AA8/subQ!AA5,"")</f>
        <v/>
      </c>
      <c r="AB21" s="23">
        <f>IFERROR(subQ!AB8/subQ!AB5,"")</f>
        <v/>
      </c>
      <c r="AC21" s="24">
        <f>$D$55</f>
        <v/>
      </c>
      <c r="AD21" s="24">
        <f>$D$55</f>
        <v/>
      </c>
      <c r="AE21" s="25">
        <f>IFERROR(subQ!AE8/subQ!AE5,"")</f>
        <v/>
      </c>
      <c r="AF21" s="24">
        <f>$D$55</f>
        <v/>
      </c>
      <c r="AG21" s="24">
        <f>$D$55</f>
        <v/>
      </c>
      <c r="AH21" s="24">
        <f>$D$55</f>
        <v/>
      </c>
      <c r="AI21" s="24">
        <f>$D$55</f>
        <v/>
      </c>
      <c r="AJ21" s="25">
        <f>IFERROR(subQ!AJ8/subQ!AJ5,"")</f>
        <v/>
      </c>
      <c r="AK21" s="24">
        <f>$D$55</f>
        <v/>
      </c>
      <c r="AL21" s="24">
        <f>$D$55</f>
        <v/>
      </c>
      <c r="AM21" s="24">
        <f>$D$55</f>
        <v/>
      </c>
      <c r="AN21" s="24">
        <f>$D$55</f>
        <v/>
      </c>
      <c r="AO21" s="25">
        <f>IFERROR(subQ!AO8/subQ!AO5,"")</f>
        <v/>
      </c>
    </row>
    <row r="22">
      <c r="A22" s="12" t="inlineStr">
        <is>
          <t>drv:외환손익</t>
        </is>
      </c>
      <c r="B22" s="2" t="inlineStr">
        <is>
          <t>abs</t>
        </is>
      </c>
      <c r="C22" t="inlineStr">
        <is>
          <t>외환손익 (가정, 억원)</t>
        </is>
      </c>
      <c r="E22" s="26">
        <f>subQ!E13</f>
        <v/>
      </c>
      <c r="F22" s="27">
        <f>subQ!F13</f>
        <v/>
      </c>
      <c r="G22" s="26">
        <f>subQ!G13</f>
        <v/>
      </c>
      <c r="H22" s="26">
        <f>subQ!H13</f>
        <v/>
      </c>
      <c r="I22" s="26">
        <f>subQ!I13</f>
        <v/>
      </c>
      <c r="J22" s="26">
        <f>subQ!J13</f>
        <v/>
      </c>
      <c r="K22" s="27">
        <f>subQ!K13</f>
        <v/>
      </c>
      <c r="L22" s="26">
        <f>subQ!L13</f>
        <v/>
      </c>
      <c r="M22" s="26">
        <f>subQ!M13</f>
        <v/>
      </c>
      <c r="N22" s="26">
        <f>subQ!N13</f>
        <v/>
      </c>
      <c r="O22" s="26">
        <f>subQ!O13</f>
        <v/>
      </c>
      <c r="P22" s="27">
        <f>subQ!P13</f>
        <v/>
      </c>
      <c r="Q22" s="26">
        <f>subQ!Q13</f>
        <v/>
      </c>
      <c r="R22" s="26">
        <f>subQ!R13</f>
        <v/>
      </c>
      <c r="S22" s="26">
        <f>subQ!S13</f>
        <v/>
      </c>
      <c r="T22" s="26">
        <f>subQ!T13</f>
        <v/>
      </c>
      <c r="U22" s="27">
        <f>subQ!U13</f>
        <v/>
      </c>
      <c r="V22" s="26">
        <f>subQ!V13</f>
        <v/>
      </c>
      <c r="W22" s="26">
        <f>subQ!W13</f>
        <v/>
      </c>
      <c r="X22" s="26">
        <f>subQ!X13</f>
        <v/>
      </c>
      <c r="Y22" s="26">
        <f>subQ!Y13</f>
        <v/>
      </c>
      <c r="Z22" s="27">
        <f>subQ!Z13</f>
        <v/>
      </c>
      <c r="AA22" s="26">
        <f>subQ!AA13</f>
        <v/>
      </c>
      <c r="AB22" s="28">
        <f>subQ!AB13</f>
        <v/>
      </c>
      <c r="AC22" s="29" t="n">
        <v>0</v>
      </c>
      <c r="AD22" s="29" t="n">
        <v>0</v>
      </c>
      <c r="AE22" s="30">
        <f>subQ!AE13</f>
        <v/>
      </c>
      <c r="AF22" s="29" t="n">
        <v>0</v>
      </c>
      <c r="AG22" s="29" t="n">
        <v>0</v>
      </c>
      <c r="AH22" s="29" t="n">
        <v>0</v>
      </c>
      <c r="AI22" s="29" t="n">
        <v>0</v>
      </c>
      <c r="AJ22" s="30">
        <f>subQ!AJ13</f>
        <v/>
      </c>
      <c r="AK22" s="29" t="n">
        <v>0</v>
      </c>
      <c r="AL22" s="29" t="n">
        <v>0</v>
      </c>
      <c r="AM22" s="29" t="n">
        <v>0</v>
      </c>
      <c r="AN22" s="29" t="n">
        <v>0</v>
      </c>
      <c r="AO22" s="30">
        <f>subQ!AO13</f>
        <v/>
      </c>
    </row>
    <row r="23">
      <c r="A23" s="12" t="inlineStr">
        <is>
          <t>drv:기타영업외손익</t>
        </is>
      </c>
      <c r="B23" s="2" t="inlineStr">
        <is>
          <t>abs</t>
        </is>
      </c>
      <c r="C23" t="inlineStr">
        <is>
          <t>기타영업외손익 (가정, 억원)</t>
        </is>
      </c>
      <c r="E23" s="26">
        <f>subQ!E14</f>
        <v/>
      </c>
      <c r="F23" s="27">
        <f>subQ!F14</f>
        <v/>
      </c>
      <c r="G23" s="26">
        <f>subQ!G14</f>
        <v/>
      </c>
      <c r="H23" s="26">
        <f>subQ!H14</f>
        <v/>
      </c>
      <c r="I23" s="26">
        <f>subQ!I14</f>
        <v/>
      </c>
      <c r="J23" s="26">
        <f>subQ!J14</f>
        <v/>
      </c>
      <c r="K23" s="27">
        <f>subQ!K14</f>
        <v/>
      </c>
      <c r="L23" s="26">
        <f>subQ!L14</f>
        <v/>
      </c>
      <c r="M23" s="26">
        <f>subQ!M14</f>
        <v/>
      </c>
      <c r="N23" s="26">
        <f>subQ!N14</f>
        <v/>
      </c>
      <c r="O23" s="26">
        <f>subQ!O14</f>
        <v/>
      </c>
      <c r="P23" s="27">
        <f>subQ!P14</f>
        <v/>
      </c>
      <c r="Q23" s="26">
        <f>subQ!Q14</f>
        <v/>
      </c>
      <c r="R23" s="26">
        <f>subQ!R14</f>
        <v/>
      </c>
      <c r="S23" s="26">
        <f>subQ!S14</f>
        <v/>
      </c>
      <c r="T23" s="26">
        <f>subQ!T14</f>
        <v/>
      </c>
      <c r="U23" s="27">
        <f>subQ!U14</f>
        <v/>
      </c>
      <c r="V23" s="26">
        <f>subQ!V14</f>
        <v/>
      </c>
      <c r="W23" s="26">
        <f>subQ!W14</f>
        <v/>
      </c>
      <c r="X23" s="26">
        <f>subQ!X14</f>
        <v/>
      </c>
      <c r="Y23" s="26">
        <f>subQ!Y14</f>
        <v/>
      </c>
      <c r="Z23" s="27">
        <f>subQ!Z14</f>
        <v/>
      </c>
      <c r="AA23" s="26">
        <f>subQ!AA14</f>
        <v/>
      </c>
      <c r="AB23" s="28">
        <f>subQ!AB14</f>
        <v/>
      </c>
      <c r="AC23" s="29" t="n">
        <v>0</v>
      </c>
      <c r="AD23" s="29" t="n">
        <v>0</v>
      </c>
      <c r="AE23" s="30">
        <f>subQ!AE14</f>
        <v/>
      </c>
      <c r="AF23" s="29" t="n">
        <v>0</v>
      </c>
      <c r="AG23" s="29" t="n">
        <v>0</v>
      </c>
      <c r="AH23" s="29" t="n">
        <v>0</v>
      </c>
      <c r="AI23" s="29" t="n">
        <v>0</v>
      </c>
      <c r="AJ23" s="30">
        <f>subQ!AJ14</f>
        <v/>
      </c>
      <c r="AK23" s="29" t="n">
        <v>0</v>
      </c>
      <c r="AL23" s="29" t="n">
        <v>0</v>
      </c>
      <c r="AM23" s="29" t="n">
        <v>0</v>
      </c>
      <c r="AN23" s="29" t="n">
        <v>0</v>
      </c>
      <c r="AO23" s="30">
        <f>subQ!AO14</f>
        <v/>
      </c>
    </row>
    <row r="24">
      <c r="A24" s="12" t="inlineStr">
        <is>
          <t>drv:지분법손익</t>
        </is>
      </c>
      <c r="B24" s="2" t="inlineStr">
        <is>
          <t>abs</t>
        </is>
      </c>
      <c r="C24" t="inlineStr">
        <is>
          <t>지분법손익 (가정, 억원)</t>
        </is>
      </c>
      <c r="E24" s="26">
        <f>subQ!E15</f>
        <v/>
      </c>
      <c r="F24" s="27">
        <f>subQ!F15</f>
        <v/>
      </c>
      <c r="G24" s="26">
        <f>subQ!G15</f>
        <v/>
      </c>
      <c r="H24" s="26">
        <f>subQ!H15</f>
        <v/>
      </c>
      <c r="I24" s="26">
        <f>subQ!I15</f>
        <v/>
      </c>
      <c r="J24" s="26">
        <f>subQ!J15</f>
        <v/>
      </c>
      <c r="K24" s="27">
        <f>subQ!K15</f>
        <v/>
      </c>
      <c r="L24" s="26">
        <f>subQ!L15</f>
        <v/>
      </c>
      <c r="M24" s="26">
        <f>subQ!M15</f>
        <v/>
      </c>
      <c r="N24" s="26">
        <f>subQ!N15</f>
        <v/>
      </c>
      <c r="O24" s="26">
        <f>subQ!O15</f>
        <v/>
      </c>
      <c r="P24" s="27">
        <f>subQ!P15</f>
        <v/>
      </c>
      <c r="Q24" s="26">
        <f>subQ!Q15</f>
        <v/>
      </c>
      <c r="R24" s="26">
        <f>subQ!R15</f>
        <v/>
      </c>
      <c r="S24" s="26">
        <f>subQ!S15</f>
        <v/>
      </c>
      <c r="T24" s="26">
        <f>subQ!T15</f>
        <v/>
      </c>
      <c r="U24" s="27">
        <f>subQ!U15</f>
        <v/>
      </c>
      <c r="V24" s="26">
        <f>subQ!V15</f>
        <v/>
      </c>
      <c r="W24" s="26">
        <f>subQ!W15</f>
        <v/>
      </c>
      <c r="X24" s="26">
        <f>subQ!X15</f>
        <v/>
      </c>
      <c r="Y24" s="26">
        <f>subQ!Y15</f>
        <v/>
      </c>
      <c r="Z24" s="27">
        <f>subQ!Z15</f>
        <v/>
      </c>
      <c r="AA24" s="26">
        <f>subQ!AA15</f>
        <v/>
      </c>
      <c r="AB24" s="28">
        <f>subQ!AB15</f>
        <v/>
      </c>
      <c r="AC24" s="29" t="n">
        <v>-0.03</v>
      </c>
      <c r="AD24" s="29" t="n">
        <v>-0.03</v>
      </c>
      <c r="AE24" s="30">
        <f>subQ!AE15</f>
        <v/>
      </c>
      <c r="AF24" s="29" t="n">
        <v>-0.03</v>
      </c>
      <c r="AG24" s="29" t="n">
        <v>-0.03</v>
      </c>
      <c r="AH24" s="29" t="n">
        <v>-0.03</v>
      </c>
      <c r="AI24" s="29" t="n">
        <v>-0.03</v>
      </c>
      <c r="AJ24" s="30">
        <f>subQ!AJ15</f>
        <v/>
      </c>
      <c r="AK24" s="29" t="n">
        <v>-0.03</v>
      </c>
      <c r="AL24" s="29" t="n">
        <v>-0.03</v>
      </c>
      <c r="AM24" s="29" t="n">
        <v>-0.03</v>
      </c>
      <c r="AN24" s="29" t="n">
        <v>-0.03</v>
      </c>
      <c r="AO24" s="30">
        <f>subQ!AO15</f>
        <v/>
      </c>
    </row>
    <row r="25">
      <c r="A25" s="12" t="inlineStr">
        <is>
          <t>drv:법인세비용</t>
        </is>
      </c>
      <c r="B25" s="2" t="inlineStr">
        <is>
          <t>tax</t>
        </is>
      </c>
      <c r="C25" t="inlineStr">
        <is>
          <t>법인세율(/세전) — 법인세 = MAX(세전,0) × 세율</t>
        </is>
      </c>
      <c r="E25" s="21">
        <f>IFERROR(subQ!E17/subQ!E16,"")</f>
        <v/>
      </c>
      <c r="F25" s="22">
        <f>IFERROR(subQ!F17/subQ!F16,"")</f>
        <v/>
      </c>
      <c r="G25" s="21">
        <f>IFERROR(subQ!G17/subQ!G16,"")</f>
        <v/>
      </c>
      <c r="H25" s="21">
        <f>IFERROR(subQ!H17/subQ!H16,"")</f>
        <v/>
      </c>
      <c r="I25" s="21">
        <f>IFERROR(subQ!I17/subQ!I16,"")</f>
        <v/>
      </c>
      <c r="J25" s="21">
        <f>IFERROR(subQ!J17/subQ!J16,"")</f>
        <v/>
      </c>
      <c r="K25" s="22">
        <f>IFERROR(subQ!K17/subQ!K16,"")</f>
        <v/>
      </c>
      <c r="L25" s="21">
        <f>IFERROR(subQ!L17/subQ!L16,"")</f>
        <v/>
      </c>
      <c r="M25" s="21">
        <f>IFERROR(subQ!M17/subQ!M16,"")</f>
        <v/>
      </c>
      <c r="N25" s="21">
        <f>IFERROR(subQ!N17/subQ!N16,"")</f>
        <v/>
      </c>
      <c r="O25" s="21">
        <f>IFERROR(subQ!O17/subQ!O16,"")</f>
        <v/>
      </c>
      <c r="P25" s="22">
        <f>IFERROR(subQ!P17/subQ!P16,"")</f>
        <v/>
      </c>
      <c r="Q25" s="21">
        <f>IFERROR(subQ!Q17/subQ!Q16,"")</f>
        <v/>
      </c>
      <c r="R25" s="21">
        <f>IFERROR(subQ!R17/subQ!R16,"")</f>
        <v/>
      </c>
      <c r="S25" s="21">
        <f>IFERROR(subQ!S17/subQ!S16,"")</f>
        <v/>
      </c>
      <c r="T25" s="21">
        <f>IFERROR(subQ!T17/subQ!T16,"")</f>
        <v/>
      </c>
      <c r="U25" s="22">
        <f>IFERROR(subQ!U17/subQ!U16,"")</f>
        <v/>
      </c>
      <c r="V25" s="21">
        <f>IFERROR(subQ!V17/subQ!V16,"")</f>
        <v/>
      </c>
      <c r="W25" s="21">
        <f>IFERROR(subQ!W17/subQ!W16,"")</f>
        <v/>
      </c>
      <c r="X25" s="21">
        <f>IFERROR(subQ!X17/subQ!X16,"")</f>
        <v/>
      </c>
      <c r="Y25" s="21">
        <f>IFERROR(subQ!Y17/subQ!Y16,"")</f>
        <v/>
      </c>
      <c r="Z25" s="22">
        <f>IFERROR(subQ!Z17/subQ!Z16,"")</f>
        <v/>
      </c>
      <c r="AA25" s="21">
        <f>IFERROR(subQ!AA17/subQ!AA16,"")</f>
        <v/>
      </c>
      <c r="AB25" s="23">
        <f>IFERROR(subQ!AB17/subQ!AB16,"")</f>
        <v/>
      </c>
      <c r="AC25" s="24">
        <f>$D$54</f>
        <v/>
      </c>
      <c r="AD25" s="24">
        <f>$D$54</f>
        <v/>
      </c>
      <c r="AE25" s="25">
        <f>IFERROR(subQ!AE17/subQ!AE16,"")</f>
        <v/>
      </c>
      <c r="AF25" s="24">
        <f>$D$54</f>
        <v/>
      </c>
      <c r="AG25" s="24">
        <f>$D$54</f>
        <v/>
      </c>
      <c r="AH25" s="24">
        <f>$D$54</f>
        <v/>
      </c>
      <c r="AI25" s="24">
        <f>$D$54</f>
        <v/>
      </c>
      <c r="AJ25" s="25">
        <f>IFERROR(subQ!AJ17/subQ!AJ16,"")</f>
        <v/>
      </c>
      <c r="AK25" s="24">
        <f>$D$54</f>
        <v/>
      </c>
      <c r="AL25" s="24">
        <f>$D$54</f>
        <v/>
      </c>
      <c r="AM25" s="24">
        <f>$D$54</f>
        <v/>
      </c>
      <c r="AN25" s="24">
        <f>$D$54</f>
        <v/>
      </c>
      <c r="AO25" s="25">
        <f>IFERROR(subQ!AO17/subQ!AO16,"")</f>
        <v/>
      </c>
    </row>
    <row r="26">
      <c r="A26" s="12" t="inlineStr">
        <is>
          <t>drv:지배주주순이익</t>
        </is>
      </c>
      <c r="B26" s="2" t="inlineStr">
        <is>
          <t>ratio</t>
        </is>
      </c>
      <c r="C26" t="inlineStr">
        <is>
          <t>지배주주 비중(/당기순이익)</t>
        </is>
      </c>
      <c r="E26" s="21">
        <f>IFERROR(subQ!E19/subQ!E18,"")</f>
        <v/>
      </c>
      <c r="F26" s="22">
        <f>IFERROR(subQ!F19/subQ!F18,"")</f>
        <v/>
      </c>
      <c r="G26" s="21">
        <f>IFERROR(subQ!G19/subQ!G18,"")</f>
        <v/>
      </c>
      <c r="H26" s="21">
        <f>IFERROR(subQ!H19/subQ!H18,"")</f>
        <v/>
      </c>
      <c r="I26" s="21">
        <f>IFERROR(subQ!I19/subQ!I18,"")</f>
        <v/>
      </c>
      <c r="J26" s="21">
        <f>IFERROR(subQ!J19/subQ!J18,"")</f>
        <v/>
      </c>
      <c r="K26" s="22">
        <f>IFERROR(subQ!K19/subQ!K18,"")</f>
        <v/>
      </c>
      <c r="L26" s="21">
        <f>IFERROR(subQ!L19/subQ!L18,"")</f>
        <v/>
      </c>
      <c r="M26" s="21">
        <f>IFERROR(subQ!M19/subQ!M18,"")</f>
        <v/>
      </c>
      <c r="N26" s="21">
        <f>IFERROR(subQ!N19/subQ!N18,"")</f>
        <v/>
      </c>
      <c r="O26" s="21">
        <f>IFERROR(subQ!O19/subQ!O18,"")</f>
        <v/>
      </c>
      <c r="P26" s="22">
        <f>IFERROR(subQ!P19/subQ!P18,"")</f>
        <v/>
      </c>
      <c r="Q26" s="21">
        <f>IFERROR(subQ!Q19/subQ!Q18,"")</f>
        <v/>
      </c>
      <c r="R26" s="21">
        <f>IFERROR(subQ!R19/subQ!R18,"")</f>
        <v/>
      </c>
      <c r="S26" s="21">
        <f>IFERROR(subQ!S19/subQ!S18,"")</f>
        <v/>
      </c>
      <c r="T26" s="21">
        <f>IFERROR(subQ!T19/subQ!T18,"")</f>
        <v/>
      </c>
      <c r="U26" s="22">
        <f>IFERROR(subQ!U19/subQ!U18,"")</f>
        <v/>
      </c>
      <c r="V26" s="21">
        <f>IFERROR(subQ!V19/subQ!V18,"")</f>
        <v/>
      </c>
      <c r="W26" s="21">
        <f>IFERROR(subQ!W19/subQ!W18,"")</f>
        <v/>
      </c>
      <c r="X26" s="21">
        <f>IFERROR(subQ!X19/subQ!X18,"")</f>
        <v/>
      </c>
      <c r="Y26" s="21">
        <f>IFERROR(subQ!Y19/subQ!Y18,"")</f>
        <v/>
      </c>
      <c r="Z26" s="22">
        <f>IFERROR(subQ!Z19/subQ!Z18,"")</f>
        <v/>
      </c>
      <c r="AA26" s="21">
        <f>IFERROR(subQ!AA19/subQ!AA18,"")</f>
        <v/>
      </c>
      <c r="AB26" s="23">
        <f>IFERROR(subQ!AB19/subQ!AB18,"")</f>
        <v/>
      </c>
      <c r="AC26" s="24">
        <f>$D$56</f>
        <v/>
      </c>
      <c r="AD26" s="24">
        <f>$D$56</f>
        <v/>
      </c>
      <c r="AE26" s="25">
        <f>IFERROR(subQ!AE19/subQ!AE18,"")</f>
        <v/>
      </c>
      <c r="AF26" s="24">
        <f>$D$56</f>
        <v/>
      </c>
      <c r="AG26" s="24">
        <f>$D$56</f>
        <v/>
      </c>
      <c r="AH26" s="24">
        <f>$D$56</f>
        <v/>
      </c>
      <c r="AI26" s="24">
        <f>$D$56</f>
        <v/>
      </c>
      <c r="AJ26" s="25">
        <f>IFERROR(subQ!AJ19/subQ!AJ18,"")</f>
        <v/>
      </c>
      <c r="AK26" s="24">
        <f>$D$56</f>
        <v/>
      </c>
      <c r="AL26" s="24">
        <f>$D$56</f>
        <v/>
      </c>
      <c r="AM26" s="24">
        <f>$D$56</f>
        <v/>
      </c>
      <c r="AN26" s="24">
        <f>$D$56</f>
        <v/>
      </c>
      <c r="AO26" s="25">
        <f>IFERROR(subQ!AO19/subQ!AO18,"")</f>
        <v/>
      </c>
    </row>
    <row r="27">
      <c r="A27" s="12" t="inlineStr">
        <is>
          <t>drv:중단사업이익</t>
        </is>
      </c>
      <c r="B27" s="2" t="inlineStr">
        <is>
          <t>abs</t>
        </is>
      </c>
      <c r="C27" t="inlineStr">
        <is>
          <t>중단사업이익 (가정, 억원)</t>
        </is>
      </c>
      <c r="E27" s="26">
        <f>subQ!E20</f>
        <v/>
      </c>
      <c r="F27" s="27">
        <f>subQ!F20</f>
        <v/>
      </c>
      <c r="G27" s="26">
        <f>subQ!G20</f>
        <v/>
      </c>
      <c r="H27" s="26">
        <f>subQ!H20</f>
        <v/>
      </c>
      <c r="I27" s="26">
        <f>subQ!I20</f>
        <v/>
      </c>
      <c r="J27" s="26">
        <f>subQ!J20</f>
        <v/>
      </c>
      <c r="K27" s="27">
        <f>subQ!K20</f>
        <v/>
      </c>
      <c r="L27" s="26">
        <f>subQ!L20</f>
        <v/>
      </c>
      <c r="M27" s="26">
        <f>subQ!M20</f>
        <v/>
      </c>
      <c r="N27" s="26">
        <f>subQ!N20</f>
        <v/>
      </c>
      <c r="O27" s="26">
        <f>subQ!O20</f>
        <v/>
      </c>
      <c r="P27" s="27">
        <f>subQ!P20</f>
        <v/>
      </c>
      <c r="Q27" s="26">
        <f>subQ!Q20</f>
        <v/>
      </c>
      <c r="R27" s="26">
        <f>subQ!R20</f>
        <v/>
      </c>
      <c r="S27" s="26">
        <f>subQ!S20</f>
        <v/>
      </c>
      <c r="T27" s="26">
        <f>subQ!T20</f>
        <v/>
      </c>
      <c r="U27" s="27">
        <f>subQ!U20</f>
        <v/>
      </c>
      <c r="V27" s="26">
        <f>subQ!V20</f>
        <v/>
      </c>
      <c r="W27" s="26">
        <f>subQ!W20</f>
        <v/>
      </c>
      <c r="X27" s="26">
        <f>subQ!X20</f>
        <v/>
      </c>
      <c r="Y27" s="26">
        <f>subQ!Y20</f>
        <v/>
      </c>
      <c r="Z27" s="27">
        <f>subQ!Z20</f>
        <v/>
      </c>
      <c r="AA27" s="26">
        <f>subQ!AA20</f>
        <v/>
      </c>
      <c r="AB27" s="28">
        <f>subQ!AB20</f>
        <v/>
      </c>
      <c r="AC27" s="31" t="n"/>
      <c r="AD27" s="31" t="n"/>
      <c r="AE27" s="30">
        <f>subQ!AE20</f>
        <v/>
      </c>
      <c r="AF27" s="31" t="n"/>
      <c r="AG27" s="31" t="n"/>
      <c r="AH27" s="31" t="n"/>
      <c r="AI27" s="31" t="n"/>
      <c r="AJ27" s="30">
        <f>subQ!AJ20</f>
        <v/>
      </c>
      <c r="AK27" s="31" t="n"/>
      <c r="AL27" s="31" t="n"/>
      <c r="AM27" s="31" t="n"/>
      <c r="AN27" s="31" t="n"/>
      <c r="AO27" s="30">
        <f>subQ!AO20</f>
        <v/>
      </c>
    </row>
    <row r="28">
      <c r="A28" s="12" t="inlineStr">
        <is>
          <t>drv:부채총계</t>
        </is>
      </c>
      <c r="B28" s="2" t="inlineStr">
        <is>
          <t>qoq</t>
        </is>
      </c>
      <c r="C28" t="inlineStr">
        <is>
          <t>부채총계 QoQ</t>
        </is>
      </c>
      <c r="E28" s="21" t="n"/>
      <c r="F28" s="22" t="n"/>
      <c r="G28" s="21">
        <f>IFERROR(subQ!G22/subQ!E22-1,"")</f>
        <v/>
      </c>
      <c r="H28" s="21">
        <f>IFERROR(subQ!H22/subQ!G22-1,"")</f>
        <v/>
      </c>
      <c r="I28" s="21">
        <f>IFERROR(subQ!I22/subQ!H22-1,"")</f>
        <v/>
      </c>
      <c r="J28" s="21">
        <f>IFERROR(subQ!J22/subQ!I22-1,"")</f>
        <v/>
      </c>
      <c r="K28" s="22" t="n"/>
      <c r="L28" s="21">
        <f>IFERROR(subQ!L22/subQ!J22-1,"")</f>
        <v/>
      </c>
      <c r="M28" s="21">
        <f>IFERROR(subQ!M22/subQ!L22-1,"")</f>
        <v/>
      </c>
      <c r="N28" s="21">
        <f>IFERROR(subQ!N22/subQ!M22-1,"")</f>
        <v/>
      </c>
      <c r="O28" s="21">
        <f>IFERROR(subQ!O22/subQ!N22-1,"")</f>
        <v/>
      </c>
      <c r="P28" s="22" t="n"/>
      <c r="Q28" s="21">
        <f>IFERROR(subQ!Q22/subQ!O22-1,"")</f>
        <v/>
      </c>
      <c r="R28" s="21">
        <f>IFERROR(subQ!R22/subQ!Q22-1,"")</f>
        <v/>
      </c>
      <c r="S28" s="21">
        <f>IFERROR(subQ!S22/subQ!R22-1,"")</f>
        <v/>
      </c>
      <c r="T28" s="21">
        <f>IFERROR(subQ!T22/subQ!S22-1,"")</f>
        <v/>
      </c>
      <c r="U28" s="22" t="n"/>
      <c r="V28" s="21">
        <f>IFERROR(subQ!V22/subQ!T22-1,"")</f>
        <v/>
      </c>
      <c r="W28" s="21">
        <f>IFERROR(subQ!W22/subQ!V22-1,"")</f>
        <v/>
      </c>
      <c r="X28" s="21">
        <f>IFERROR(subQ!X22/subQ!W22-1,"")</f>
        <v/>
      </c>
      <c r="Y28" s="21">
        <f>IFERROR(subQ!Y22/subQ!X22-1,"")</f>
        <v/>
      </c>
      <c r="Z28" s="22" t="n"/>
      <c r="AA28" s="21">
        <f>IFERROR(subQ!AA22/subQ!Y22-1,"")</f>
        <v/>
      </c>
      <c r="AB28" s="23">
        <f>IFERROR(subQ!AB22/subQ!AA22-1,"")</f>
        <v/>
      </c>
      <c r="AC28" s="32" t="n">
        <v>3.56e-07</v>
      </c>
      <c r="AD28" s="32" t="n">
        <v>0</v>
      </c>
      <c r="AE28" s="25" t="n"/>
      <c r="AF28" s="32" t="n">
        <v>0</v>
      </c>
      <c r="AG28" s="32" t="n">
        <v>0</v>
      </c>
      <c r="AH28" s="32" t="n">
        <v>0</v>
      </c>
      <c r="AI28" s="32" t="n">
        <v>0</v>
      </c>
      <c r="AJ28" s="25" t="n"/>
      <c r="AK28" s="32" t="n">
        <v>0</v>
      </c>
      <c r="AL28" s="32" t="n">
        <v>0</v>
      </c>
      <c r="AM28" s="32" t="n">
        <v>0</v>
      </c>
      <c r="AN28" s="32" t="n">
        <v>0</v>
      </c>
      <c r="AO28" s="25" t="n"/>
    </row>
    <row r="29">
      <c r="A29" s="12" t="inlineStr">
        <is>
          <t>drv:자본총계</t>
        </is>
      </c>
      <c r="B29" s="2" t="inlineStr">
        <is>
          <t>roll</t>
        </is>
      </c>
      <c r="C29" t="inlineStr">
        <is>
          <t>자본총계 기타변동(배당 등, 억원)</t>
        </is>
      </c>
      <c r="E29" s="26" t="n"/>
      <c r="F29" s="27" t="n"/>
      <c r="G29" s="26">
        <f>IFERROR(subQ!E23+subQ!G18-subQ!G23,"")</f>
        <v/>
      </c>
      <c r="H29" s="26">
        <f>IFERROR(subQ!G23+subQ!H18-subQ!H23,"")</f>
        <v/>
      </c>
      <c r="I29" s="26">
        <f>IFERROR(subQ!H23+subQ!I18-subQ!I23,"")</f>
        <v/>
      </c>
      <c r="J29" s="26">
        <f>IFERROR(subQ!I23+subQ!J18-subQ!J23,"")</f>
        <v/>
      </c>
      <c r="K29" s="27" t="n"/>
      <c r="L29" s="26">
        <f>IFERROR(subQ!J23+subQ!L18-subQ!L23,"")</f>
        <v/>
      </c>
      <c r="M29" s="26">
        <f>IFERROR(subQ!L23+subQ!M18-subQ!M23,"")</f>
        <v/>
      </c>
      <c r="N29" s="26">
        <f>IFERROR(subQ!M23+subQ!N18-subQ!N23,"")</f>
        <v/>
      </c>
      <c r="O29" s="26">
        <f>IFERROR(subQ!N23+subQ!O18-subQ!O23,"")</f>
        <v/>
      </c>
      <c r="P29" s="27" t="n"/>
      <c r="Q29" s="26">
        <f>IFERROR(subQ!O23+subQ!Q18-subQ!Q23,"")</f>
        <v/>
      </c>
      <c r="R29" s="26">
        <f>IFERROR(subQ!Q23+subQ!R18-subQ!R23,"")</f>
        <v/>
      </c>
      <c r="S29" s="26">
        <f>IFERROR(subQ!R23+subQ!S18-subQ!S23,"")</f>
        <v/>
      </c>
      <c r="T29" s="26">
        <f>IFERROR(subQ!S23+subQ!T18-subQ!T23,"")</f>
        <v/>
      </c>
      <c r="U29" s="27" t="n"/>
      <c r="V29" s="26">
        <f>IFERROR(subQ!T23+subQ!V18-subQ!V23,"")</f>
        <v/>
      </c>
      <c r="W29" s="26">
        <f>IFERROR(subQ!V23+subQ!W18-subQ!W23,"")</f>
        <v/>
      </c>
      <c r="X29" s="26">
        <f>IFERROR(subQ!W23+subQ!X18-subQ!X23,"")</f>
        <v/>
      </c>
      <c r="Y29" s="26">
        <f>IFERROR(subQ!X23+subQ!Y18-subQ!Y23,"")</f>
        <v/>
      </c>
      <c r="Z29" s="27" t="n"/>
      <c r="AA29" s="26">
        <f>IFERROR(subQ!Y23+subQ!AA18-subQ!AA23,"")</f>
        <v/>
      </c>
      <c r="AB29" s="28">
        <f>IFERROR(subQ!AA23+subQ!AB18-subQ!AB23,"")</f>
        <v/>
      </c>
      <c r="AC29" s="29" t="n">
        <v>-0.004051246</v>
      </c>
      <c r="AD29" s="29" t="n">
        <v>0.004119066</v>
      </c>
      <c r="AE29" s="30" t="n"/>
      <c r="AF29" s="29" t="n">
        <v>0.001433243</v>
      </c>
      <c r="AG29" s="29" t="n">
        <v>127.914720028</v>
      </c>
      <c r="AH29" s="29" t="n">
        <v>0.002618455</v>
      </c>
      <c r="AI29" s="29" t="n">
        <v>0.002143904</v>
      </c>
      <c r="AJ29" s="30" t="n"/>
      <c r="AK29" s="29" t="n">
        <v>-0.009662611</v>
      </c>
      <c r="AL29" s="29" t="n">
        <v>127.917910697</v>
      </c>
      <c r="AM29" s="29" t="n">
        <v>0.007379189</v>
      </c>
      <c r="AN29" s="29" t="n">
        <v>-0.008022117</v>
      </c>
      <c r="AO29" s="30" t="n"/>
    </row>
    <row r="30">
      <c r="A30" s="12" t="inlineStr">
        <is>
          <t>drv:지배주주지분</t>
        </is>
      </c>
      <c r="B30" s="2" t="inlineStr">
        <is>
          <t>roll</t>
        </is>
      </c>
      <c r="C30" t="inlineStr">
        <is>
          <t>지배주주지분 기타변동(배당 등, 억원)</t>
        </is>
      </c>
      <c r="E30" s="26" t="n"/>
      <c r="F30" s="27" t="n"/>
      <c r="G30" s="26">
        <f>IFERROR(subQ!E24+subQ!G19-subQ!G24,"")</f>
        <v/>
      </c>
      <c r="H30" s="26">
        <f>IFERROR(subQ!G24+subQ!H19-subQ!H24,"")</f>
        <v/>
      </c>
      <c r="I30" s="26">
        <f>IFERROR(subQ!H24+subQ!I19-subQ!I24,"")</f>
        <v/>
      </c>
      <c r="J30" s="26">
        <f>IFERROR(subQ!I24+subQ!J19-subQ!J24,"")</f>
        <v/>
      </c>
      <c r="K30" s="27" t="n"/>
      <c r="L30" s="26">
        <f>IFERROR(subQ!J24+subQ!L19-subQ!L24,"")</f>
        <v/>
      </c>
      <c r="M30" s="26">
        <f>IFERROR(subQ!L24+subQ!M19-subQ!M24,"")</f>
        <v/>
      </c>
      <c r="N30" s="26">
        <f>IFERROR(subQ!M24+subQ!N19-subQ!N24,"")</f>
        <v/>
      </c>
      <c r="O30" s="26">
        <f>IFERROR(subQ!N24+subQ!O19-subQ!O24,"")</f>
        <v/>
      </c>
      <c r="P30" s="27" t="n"/>
      <c r="Q30" s="26">
        <f>IFERROR(subQ!O24+subQ!Q19-subQ!Q24,"")</f>
        <v/>
      </c>
      <c r="R30" s="26">
        <f>IFERROR(subQ!Q24+subQ!R19-subQ!R24,"")</f>
        <v/>
      </c>
      <c r="S30" s="26">
        <f>IFERROR(subQ!R24+subQ!S19-subQ!S24,"")</f>
        <v/>
      </c>
      <c r="T30" s="26">
        <f>IFERROR(subQ!S24+subQ!T19-subQ!T24,"")</f>
        <v/>
      </c>
      <c r="U30" s="27" t="n"/>
      <c r="V30" s="26">
        <f>IFERROR(subQ!T24+subQ!V19-subQ!V24,"")</f>
        <v/>
      </c>
      <c r="W30" s="26">
        <f>IFERROR(subQ!V24+subQ!W19-subQ!W24,"")</f>
        <v/>
      </c>
      <c r="X30" s="26">
        <f>IFERROR(subQ!W24+subQ!X19-subQ!X24,"")</f>
        <v/>
      </c>
      <c r="Y30" s="26">
        <f>IFERROR(subQ!X24+subQ!Y19-subQ!Y24,"")</f>
        <v/>
      </c>
      <c r="Z30" s="27" t="n"/>
      <c r="AA30" s="26">
        <f>IFERROR(subQ!Y24+subQ!AA19-subQ!AA24,"")</f>
        <v/>
      </c>
      <c r="AB30" s="28">
        <f>IFERROR(subQ!AA24+subQ!AB19-subQ!AB24,"")</f>
        <v/>
      </c>
      <c r="AC30" s="29" t="n">
        <v>-0.004407822</v>
      </c>
      <c r="AD30" s="29" t="n">
        <v>0.010950517</v>
      </c>
      <c r="AE30" s="30" t="n"/>
      <c r="AF30" s="29" t="n">
        <v>0.000902872</v>
      </c>
      <c r="AG30" s="29" t="n">
        <v>127.912590054</v>
      </c>
      <c r="AH30" s="29" t="n">
        <v>0.006426646</v>
      </c>
      <c r="AI30" s="29" t="n">
        <v>-0.002653627</v>
      </c>
      <c r="AJ30" s="30" t="n"/>
      <c r="AK30" s="29" t="n">
        <v>-0.003054244</v>
      </c>
      <c r="AL30" s="29" t="n">
        <v>127.917094847</v>
      </c>
      <c r="AM30" s="29" t="n">
        <v>0.007173953</v>
      </c>
      <c r="AN30" s="29" t="n">
        <v>0.002141468</v>
      </c>
      <c r="AO30" s="30" t="n"/>
    </row>
    <row r="31">
      <c r="A31" s="12" t="inlineStr">
        <is>
          <t>drv:총차입금</t>
        </is>
      </c>
      <c r="B31" s="2" t="inlineStr">
        <is>
          <t>qoq</t>
        </is>
      </c>
      <c r="C31" t="inlineStr">
        <is>
          <t>총차입금 QoQ</t>
        </is>
      </c>
      <c r="E31" s="21" t="n"/>
      <c r="F31" s="22" t="n"/>
      <c r="G31" s="21">
        <f>IFERROR(subQ!G25/subQ!E25-1,"")</f>
        <v/>
      </c>
      <c r="H31" s="21">
        <f>IFERROR(subQ!H25/subQ!G25-1,"")</f>
        <v/>
      </c>
      <c r="I31" s="21">
        <f>IFERROR(subQ!I25/subQ!H25-1,"")</f>
        <v/>
      </c>
      <c r="J31" s="21">
        <f>IFERROR(subQ!J25/subQ!I25-1,"")</f>
        <v/>
      </c>
      <c r="K31" s="22" t="n"/>
      <c r="L31" s="21">
        <f>IFERROR(subQ!L25/subQ!J25-1,"")</f>
        <v/>
      </c>
      <c r="M31" s="21">
        <f>IFERROR(subQ!M25/subQ!L25-1,"")</f>
        <v/>
      </c>
      <c r="N31" s="21">
        <f>IFERROR(subQ!N25/subQ!M25-1,"")</f>
        <v/>
      </c>
      <c r="O31" s="21">
        <f>IFERROR(subQ!O25/subQ!N25-1,"")</f>
        <v/>
      </c>
      <c r="P31" s="22" t="n"/>
      <c r="Q31" s="21">
        <f>IFERROR(subQ!Q25/subQ!O25-1,"")</f>
        <v/>
      </c>
      <c r="R31" s="21">
        <f>IFERROR(subQ!R25/subQ!Q25-1,"")</f>
        <v/>
      </c>
      <c r="S31" s="21">
        <f>IFERROR(subQ!S25/subQ!R25-1,"")</f>
        <v/>
      </c>
      <c r="T31" s="21">
        <f>IFERROR(subQ!T25/subQ!S25-1,"")</f>
        <v/>
      </c>
      <c r="U31" s="22" t="n"/>
      <c r="V31" s="21">
        <f>IFERROR(subQ!V25/subQ!T25-1,"")</f>
        <v/>
      </c>
      <c r="W31" s="21">
        <f>IFERROR(subQ!W25/subQ!V25-1,"")</f>
        <v/>
      </c>
      <c r="X31" s="21">
        <f>IFERROR(subQ!X25/subQ!W25-1,"")</f>
        <v/>
      </c>
      <c r="Y31" s="21">
        <f>IFERROR(subQ!Y25/subQ!X25-1,"")</f>
        <v/>
      </c>
      <c r="Z31" s="22" t="n"/>
      <c r="AA31" s="21">
        <f>IFERROR(subQ!AA25/subQ!Y25-1,"")</f>
        <v/>
      </c>
      <c r="AB31" s="23">
        <f>IFERROR(subQ!AB25/subQ!AA25-1,"")</f>
        <v/>
      </c>
      <c r="AC31" s="32" t="n">
        <v>0</v>
      </c>
      <c r="AD31" s="32" t="n">
        <v>0</v>
      </c>
      <c r="AE31" s="25" t="n"/>
      <c r="AF31" s="32" t="n">
        <v>0</v>
      </c>
      <c r="AG31" s="32" t="n">
        <v>0</v>
      </c>
      <c r="AH31" s="32" t="n">
        <v>0</v>
      </c>
      <c r="AI31" s="32" t="n">
        <v>0</v>
      </c>
      <c r="AJ31" s="25" t="n"/>
      <c r="AK31" s="32" t="n">
        <v>0</v>
      </c>
      <c r="AL31" s="32" t="n">
        <v>0</v>
      </c>
      <c r="AM31" s="32" t="n">
        <v>0</v>
      </c>
      <c r="AN31" s="32" t="n">
        <v>0</v>
      </c>
      <c r="AO31" s="25" t="n"/>
    </row>
    <row r="32">
      <c r="A32" s="12" t="inlineStr">
        <is>
          <t>drv:순차입금</t>
        </is>
      </c>
      <c r="B32" s="2" t="inlineStr">
        <is>
          <t>qoq</t>
        </is>
      </c>
      <c r="C32" t="inlineStr">
        <is>
          <t>순차입금 QoQ</t>
        </is>
      </c>
      <c r="E32" s="21" t="n"/>
      <c r="F32" s="22" t="n"/>
      <c r="G32" s="21">
        <f>IFERROR(subQ!G26/subQ!E26-1,"")</f>
        <v/>
      </c>
      <c r="H32" s="21">
        <f>IFERROR(subQ!H26/subQ!G26-1,"")</f>
        <v/>
      </c>
      <c r="I32" s="21">
        <f>IFERROR(subQ!I26/subQ!H26-1,"")</f>
        <v/>
      </c>
      <c r="J32" s="21">
        <f>IFERROR(subQ!J26/subQ!I26-1,"")</f>
        <v/>
      </c>
      <c r="K32" s="22" t="n"/>
      <c r="L32" s="21">
        <f>IFERROR(subQ!L26/subQ!J26-1,"")</f>
        <v/>
      </c>
      <c r="M32" s="21">
        <f>IFERROR(subQ!M26/subQ!L26-1,"")</f>
        <v/>
      </c>
      <c r="N32" s="21">
        <f>IFERROR(subQ!N26/subQ!M26-1,"")</f>
        <v/>
      </c>
      <c r="O32" s="21">
        <f>IFERROR(subQ!O26/subQ!N26-1,"")</f>
        <v/>
      </c>
      <c r="P32" s="22" t="n"/>
      <c r="Q32" s="21">
        <f>IFERROR(subQ!Q26/subQ!O26-1,"")</f>
        <v/>
      </c>
      <c r="R32" s="21">
        <f>IFERROR(subQ!R26/subQ!Q26-1,"")</f>
        <v/>
      </c>
      <c r="S32" s="21">
        <f>IFERROR(subQ!S26/subQ!R26-1,"")</f>
        <v/>
      </c>
      <c r="T32" s="21">
        <f>IFERROR(subQ!T26/subQ!S26-1,"")</f>
        <v/>
      </c>
      <c r="U32" s="22" t="n"/>
      <c r="V32" s="21">
        <f>IFERROR(subQ!V26/subQ!T26-1,"")</f>
        <v/>
      </c>
      <c r="W32" s="21">
        <f>IFERROR(subQ!W26/subQ!V26-1,"")</f>
        <v/>
      </c>
      <c r="X32" s="21">
        <f>IFERROR(subQ!X26/subQ!W26-1,"")</f>
        <v/>
      </c>
      <c r="Y32" s="21">
        <f>IFERROR(subQ!Y26/subQ!X26-1,"")</f>
        <v/>
      </c>
      <c r="Z32" s="22" t="n"/>
      <c r="AA32" s="21">
        <f>IFERROR(subQ!AA26/subQ!Y26-1,"")</f>
        <v/>
      </c>
      <c r="AB32" s="23">
        <f>IFERROR(subQ!AB26/subQ!AA26-1,"")</f>
        <v/>
      </c>
      <c r="AC32" s="32" t="n">
        <v>-0.078038257</v>
      </c>
      <c r="AD32" s="32" t="n">
        <v>-0.11637173</v>
      </c>
      <c r="AE32" s="25" t="n"/>
      <c r="AF32" s="32" t="n">
        <v>-0.094526295</v>
      </c>
      <c r="AG32" s="32" t="n">
        <v>0.003511428</v>
      </c>
      <c r="AH32" s="32" t="n">
        <v>-0.111399929</v>
      </c>
      <c r="AI32" s="32" t="n">
        <v>-0.171095428</v>
      </c>
      <c r="AJ32" s="25" t="n"/>
      <c r="AK32" s="32" t="n">
        <v>-0.149576763</v>
      </c>
      <c r="AL32" s="32" t="n">
        <v>-0.00547011</v>
      </c>
      <c r="AM32" s="32" t="n">
        <v>-0.189734911</v>
      </c>
      <c r="AN32" s="32" t="n">
        <v>-0.317836436</v>
      </c>
      <c r="AO32" s="25" t="n"/>
    </row>
    <row r="33">
      <c r="A33" s="12" t="inlineStr">
        <is>
          <t>drv:이자발생자산</t>
        </is>
      </c>
      <c r="B33" s="2" t="inlineStr">
        <is>
          <t>qoq</t>
        </is>
      </c>
      <c r="C33" t="inlineStr">
        <is>
          <t>이자발생자산 QoQ</t>
        </is>
      </c>
      <c r="E33" s="21" t="n"/>
      <c r="F33" s="22" t="n"/>
      <c r="G33" s="21">
        <f>IFERROR(subQ!G27/subQ!E27-1,"")</f>
        <v/>
      </c>
      <c r="H33" s="21">
        <f>IFERROR(subQ!H27/subQ!G27-1,"")</f>
        <v/>
      </c>
      <c r="I33" s="21">
        <f>IFERROR(subQ!I27/subQ!H27-1,"")</f>
        <v/>
      </c>
      <c r="J33" s="21">
        <f>IFERROR(subQ!J27/subQ!I27-1,"")</f>
        <v/>
      </c>
      <c r="K33" s="22" t="n"/>
      <c r="L33" s="21">
        <f>IFERROR(subQ!L27/subQ!J27-1,"")</f>
        <v/>
      </c>
      <c r="M33" s="21">
        <f>IFERROR(subQ!M27/subQ!L27-1,"")</f>
        <v/>
      </c>
      <c r="N33" s="21">
        <f>IFERROR(subQ!N27/subQ!M27-1,"")</f>
        <v/>
      </c>
      <c r="O33" s="21">
        <f>IFERROR(subQ!O27/subQ!N27-1,"")</f>
        <v/>
      </c>
      <c r="P33" s="22" t="n"/>
      <c r="Q33" s="21">
        <f>IFERROR(subQ!Q27/subQ!O27-1,"")</f>
        <v/>
      </c>
      <c r="R33" s="21">
        <f>IFERROR(subQ!R27/subQ!Q27-1,"")</f>
        <v/>
      </c>
      <c r="S33" s="21">
        <f>IFERROR(subQ!S27/subQ!R27-1,"")</f>
        <v/>
      </c>
      <c r="T33" s="21">
        <f>IFERROR(subQ!T27/subQ!S27-1,"")</f>
        <v/>
      </c>
      <c r="U33" s="22" t="n"/>
      <c r="V33" s="21">
        <f>IFERROR(subQ!V27/subQ!T27-1,"")</f>
        <v/>
      </c>
      <c r="W33" s="21">
        <f>IFERROR(subQ!W27/subQ!V27-1,"")</f>
        <v/>
      </c>
      <c r="X33" s="21">
        <f>IFERROR(subQ!X27/subQ!W27-1,"")</f>
        <v/>
      </c>
      <c r="Y33" s="21">
        <f>IFERROR(subQ!Y27/subQ!X27-1,"")</f>
        <v/>
      </c>
      <c r="Z33" s="22" t="n"/>
      <c r="AA33" s="21">
        <f>IFERROR(subQ!AA27/subQ!Y27-1,"")</f>
        <v/>
      </c>
      <c r="AB33" s="23">
        <f>IFERROR(subQ!AB27/subQ!AA27-1,"")</f>
        <v/>
      </c>
      <c r="AC33" s="32" t="n">
        <v>0.083679367</v>
      </c>
      <c r="AD33" s="32" t="n">
        <v>0.106164703</v>
      </c>
      <c r="AE33" s="25" t="n"/>
      <c r="AF33" s="32" t="n">
        <v>0.068886655</v>
      </c>
      <c r="AG33" s="32" t="n">
        <v>-0.002167756</v>
      </c>
      <c r="AH33" s="32" t="n">
        <v>0.069163403</v>
      </c>
      <c r="AI33" s="32" t="n">
        <v>0.088291331</v>
      </c>
      <c r="AJ33" s="25" t="n"/>
      <c r="AK33" s="32" t="n">
        <v>0.058781595</v>
      </c>
      <c r="AL33" s="32" t="n">
        <v>0.001731364</v>
      </c>
      <c r="AM33" s="32" t="n">
        <v>0.059464205</v>
      </c>
      <c r="AN33" s="32" t="n">
        <v>0.076177775</v>
      </c>
      <c r="AO33" s="25" t="n"/>
    </row>
    <row r="34">
      <c r="A34" s="12" t="inlineStr">
        <is>
          <t>drv:현금및현금성자산</t>
        </is>
      </c>
      <c r="B34" s="2" t="inlineStr">
        <is>
          <t>qoq</t>
        </is>
      </c>
      <c r="C34" t="inlineStr">
        <is>
          <t>현금및현금성자산 QoQ</t>
        </is>
      </c>
      <c r="E34" s="21" t="n"/>
      <c r="F34" s="22" t="n"/>
      <c r="G34" s="21">
        <f>IFERROR(subQ!G28/subQ!E28-1,"")</f>
        <v/>
      </c>
      <c r="H34" s="21">
        <f>IFERROR(subQ!H28/subQ!G28-1,"")</f>
        <v/>
      </c>
      <c r="I34" s="21">
        <f>IFERROR(subQ!I28/subQ!H28-1,"")</f>
        <v/>
      </c>
      <c r="J34" s="21">
        <f>IFERROR(subQ!J28/subQ!I28-1,"")</f>
        <v/>
      </c>
      <c r="K34" s="22" t="n"/>
      <c r="L34" s="21">
        <f>IFERROR(subQ!L28/subQ!J28-1,"")</f>
        <v/>
      </c>
      <c r="M34" s="21">
        <f>IFERROR(subQ!M28/subQ!L28-1,"")</f>
        <v/>
      </c>
      <c r="N34" s="21">
        <f>IFERROR(subQ!N28/subQ!M28-1,"")</f>
        <v/>
      </c>
      <c r="O34" s="21">
        <f>IFERROR(subQ!O28/subQ!N28-1,"")</f>
        <v/>
      </c>
      <c r="P34" s="22" t="n"/>
      <c r="Q34" s="21">
        <f>IFERROR(subQ!Q28/subQ!O28-1,"")</f>
        <v/>
      </c>
      <c r="R34" s="21">
        <f>IFERROR(subQ!R28/subQ!Q28-1,"")</f>
        <v/>
      </c>
      <c r="S34" s="21">
        <f>IFERROR(subQ!S28/subQ!R28-1,"")</f>
        <v/>
      </c>
      <c r="T34" s="21">
        <f>IFERROR(subQ!T28/subQ!S28-1,"")</f>
        <v/>
      </c>
      <c r="U34" s="22" t="n"/>
      <c r="V34" s="21">
        <f>IFERROR(subQ!V28/subQ!T28-1,"")</f>
        <v/>
      </c>
      <c r="W34" s="21">
        <f>IFERROR(subQ!W28/subQ!V28-1,"")</f>
        <v/>
      </c>
      <c r="X34" s="21">
        <f>IFERROR(subQ!X28/subQ!W28-1,"")</f>
        <v/>
      </c>
      <c r="Y34" s="21">
        <f>IFERROR(subQ!Y28/subQ!X28-1,"")</f>
        <v/>
      </c>
      <c r="Z34" s="22" t="n"/>
      <c r="AA34" s="21">
        <f>IFERROR(subQ!AA28/subQ!Y28-1,"")</f>
        <v/>
      </c>
      <c r="AB34" s="23">
        <f>IFERROR(subQ!AB28/subQ!AA28-1,"")</f>
        <v/>
      </c>
      <c r="AC34" s="33" t="n"/>
      <c r="AD34" s="33" t="n"/>
      <c r="AE34" s="25" t="n"/>
      <c r="AF34" s="33" t="n"/>
      <c r="AG34" s="33" t="n"/>
      <c r="AH34" s="33" t="n"/>
      <c r="AI34" s="33" t="n"/>
      <c r="AJ34" s="25" t="n"/>
      <c r="AK34" s="33" t="n"/>
      <c r="AL34" s="33" t="n"/>
      <c r="AM34" s="33" t="n"/>
      <c r="AN34" s="33" t="n"/>
      <c r="AO34" s="25" t="n"/>
    </row>
    <row r="35">
      <c r="A35" s="12" t="inlineStr">
        <is>
          <t>drv:CAPEX</t>
        </is>
      </c>
      <c r="B35" s="2" t="inlineStr">
        <is>
          <t>yoy</t>
        </is>
      </c>
      <c r="C35" t="inlineStr">
        <is>
          <t>CAPEX YoY</t>
        </is>
      </c>
      <c r="E35" s="21" t="n"/>
      <c r="F35" s="22" t="n"/>
      <c r="G35" s="21" t="n"/>
      <c r="H35" s="21" t="n"/>
      <c r="I35" s="21" t="n"/>
      <c r="J35" s="21">
        <f>IFERROR(subQ!J29/subQ!E29-1,"")</f>
        <v/>
      </c>
      <c r="K35" s="22" t="n"/>
      <c r="L35" s="21">
        <f>IFERROR(subQ!L29/subQ!G29-1,"")</f>
        <v/>
      </c>
      <c r="M35" s="21">
        <f>IFERROR(subQ!M29/subQ!H29-1,"")</f>
        <v/>
      </c>
      <c r="N35" s="21">
        <f>IFERROR(subQ!N29/subQ!I29-1,"")</f>
        <v/>
      </c>
      <c r="O35" s="21">
        <f>IFERROR(subQ!O29/subQ!J29-1,"")</f>
        <v/>
      </c>
      <c r="P35" s="22" t="n"/>
      <c r="Q35" s="21">
        <f>IFERROR(subQ!Q29/subQ!L29-1,"")</f>
        <v/>
      </c>
      <c r="R35" s="21">
        <f>IFERROR(subQ!R29/subQ!M29-1,"")</f>
        <v/>
      </c>
      <c r="S35" s="21">
        <f>IFERROR(subQ!S29/subQ!N29-1,"")</f>
        <v/>
      </c>
      <c r="T35" s="21">
        <f>IFERROR(subQ!T29/subQ!O29-1,"")</f>
        <v/>
      </c>
      <c r="U35" s="22" t="n"/>
      <c r="V35" s="21">
        <f>IFERROR(subQ!V29/subQ!Q29-1,"")</f>
        <v/>
      </c>
      <c r="W35" s="21">
        <f>IFERROR(subQ!W29/subQ!R29-1,"")</f>
        <v/>
      </c>
      <c r="X35" s="21">
        <f>IFERROR(subQ!X29/subQ!S29-1,"")</f>
        <v/>
      </c>
      <c r="Y35" s="21">
        <f>IFERROR(subQ!Y29/subQ!T29-1,"")</f>
        <v/>
      </c>
      <c r="Z35" s="22" t="n"/>
      <c r="AA35" s="21">
        <f>IFERROR(subQ!AA29/subQ!V29-1,"")</f>
        <v/>
      </c>
      <c r="AB35" s="23">
        <f>IFERROR(subQ!AB29/subQ!W29-1,"")</f>
        <v/>
      </c>
      <c r="AC35" s="32" t="n">
        <v>0.562164961</v>
      </c>
      <c r="AD35" s="32" t="n">
        <v>-0.17731856</v>
      </c>
      <c r="AE35" s="25" t="n"/>
      <c r="AF35" s="32" t="n">
        <v>0.274883054</v>
      </c>
      <c r="AG35" s="32" t="n">
        <v>-0.534506806</v>
      </c>
      <c r="AH35" s="32" t="n">
        <v>0</v>
      </c>
      <c r="AI35" s="32" t="n">
        <v>0</v>
      </c>
      <c r="AJ35" s="25" t="n"/>
      <c r="AK35" s="32" t="n">
        <v>0</v>
      </c>
      <c r="AL35" s="32" t="n">
        <v>0</v>
      </c>
      <c r="AM35" s="32" t="n">
        <v>0</v>
      </c>
      <c r="AN35" s="32" t="n">
        <v>0</v>
      </c>
      <c r="AO35" s="25" t="n"/>
    </row>
    <row r="36">
      <c r="A36" s="12" t="inlineStr">
        <is>
          <t>drv:영업활동현금흐름</t>
        </is>
      </c>
      <c r="B36" s="2" t="inlineStr">
        <is>
          <t>yoy</t>
        </is>
      </c>
      <c r="C36" t="inlineStr">
        <is>
          <t>영업활동현금흐름 YoY</t>
        </is>
      </c>
      <c r="E36" s="21" t="n"/>
      <c r="F36" s="22" t="n"/>
      <c r="G36" s="21" t="n"/>
      <c r="H36" s="21" t="n"/>
      <c r="I36" s="21" t="n"/>
      <c r="J36" s="21">
        <f>IFERROR(subQ!J30/subQ!E30-1,"")</f>
        <v/>
      </c>
      <c r="K36" s="22" t="n"/>
      <c r="L36" s="21">
        <f>IFERROR(subQ!L30/subQ!G30-1,"")</f>
        <v/>
      </c>
      <c r="M36" s="21">
        <f>IFERROR(subQ!M30/subQ!H30-1,"")</f>
        <v/>
      </c>
      <c r="N36" s="21">
        <f>IFERROR(subQ!N30/subQ!I30-1,"")</f>
        <v/>
      </c>
      <c r="O36" s="21">
        <f>IFERROR(subQ!O30/subQ!J30-1,"")</f>
        <v/>
      </c>
      <c r="P36" s="22" t="n"/>
      <c r="Q36" s="21">
        <f>IFERROR(subQ!Q30/subQ!L30-1,"")</f>
        <v/>
      </c>
      <c r="R36" s="21">
        <f>IFERROR(subQ!R30/subQ!M30-1,"")</f>
        <v/>
      </c>
      <c r="S36" s="21">
        <f>IFERROR(subQ!S30/subQ!N30-1,"")</f>
        <v/>
      </c>
      <c r="T36" s="21">
        <f>IFERROR(subQ!T30/subQ!O30-1,"")</f>
        <v/>
      </c>
      <c r="U36" s="22" t="n"/>
      <c r="V36" s="21">
        <f>IFERROR(subQ!V30/subQ!Q30-1,"")</f>
        <v/>
      </c>
      <c r="W36" s="21">
        <f>IFERROR(subQ!W30/subQ!R30-1,"")</f>
        <v/>
      </c>
      <c r="X36" s="21">
        <f>IFERROR(subQ!X30/subQ!S30-1,"")</f>
        <v/>
      </c>
      <c r="Y36" s="21">
        <f>IFERROR(subQ!Y30/subQ!T30-1,"")</f>
        <v/>
      </c>
      <c r="Z36" s="22" t="n"/>
      <c r="AA36" s="21">
        <f>IFERROR(subQ!AA30/subQ!V30-1,"")</f>
        <v/>
      </c>
      <c r="AB36" s="23">
        <f>IFERROR(subQ!AB30/subQ!W30-1,"")</f>
        <v/>
      </c>
      <c r="AC36" s="33" t="n"/>
      <c r="AD36" s="33" t="n"/>
      <c r="AE36" s="25" t="n"/>
      <c r="AF36" s="33" t="n"/>
      <c r="AG36" s="33" t="n"/>
      <c r="AH36" s="33" t="n"/>
      <c r="AI36" s="33" t="n"/>
      <c r="AJ36" s="25" t="n"/>
      <c r="AK36" s="33" t="n"/>
      <c r="AL36" s="33" t="n"/>
      <c r="AM36" s="33" t="n"/>
      <c r="AN36" s="33" t="n"/>
      <c r="AO36" s="25" t="n"/>
    </row>
    <row r="37">
      <c r="A37" s="12" t="inlineStr">
        <is>
          <t>drv:주식수</t>
        </is>
      </c>
      <c r="B37" s="2" t="inlineStr">
        <is>
          <t>qoq</t>
        </is>
      </c>
      <c r="C37" t="inlineStr">
        <is>
          <t>주식수 QoQ</t>
        </is>
      </c>
      <c r="E37" s="21" t="n"/>
      <c r="F37" s="22" t="n"/>
      <c r="G37" s="21">
        <f>IFERROR(subQ!G31/subQ!E31-1,"")</f>
        <v/>
      </c>
      <c r="H37" s="21">
        <f>IFERROR(subQ!H31/subQ!G31-1,"")</f>
        <v/>
      </c>
      <c r="I37" s="21">
        <f>IFERROR(subQ!I31/subQ!H31-1,"")</f>
        <v/>
      </c>
      <c r="J37" s="21">
        <f>IFERROR(subQ!J31/subQ!I31-1,"")</f>
        <v/>
      </c>
      <c r="K37" s="22" t="n"/>
      <c r="L37" s="21">
        <f>IFERROR(subQ!L31/subQ!J31-1,"")</f>
        <v/>
      </c>
      <c r="M37" s="21">
        <f>IFERROR(subQ!M31/subQ!L31-1,"")</f>
        <v/>
      </c>
      <c r="N37" s="21">
        <f>IFERROR(subQ!N31/subQ!M31-1,"")</f>
        <v/>
      </c>
      <c r="O37" s="21">
        <f>IFERROR(subQ!O31/subQ!N31-1,"")</f>
        <v/>
      </c>
      <c r="P37" s="22" t="n"/>
      <c r="Q37" s="21">
        <f>IFERROR(subQ!Q31/subQ!O31-1,"")</f>
        <v/>
      </c>
      <c r="R37" s="21">
        <f>IFERROR(subQ!R31/subQ!Q31-1,"")</f>
        <v/>
      </c>
      <c r="S37" s="21">
        <f>IFERROR(subQ!S31/subQ!R31-1,"")</f>
        <v/>
      </c>
      <c r="T37" s="21">
        <f>IFERROR(subQ!T31/subQ!S31-1,"")</f>
        <v/>
      </c>
      <c r="U37" s="22" t="n"/>
      <c r="V37" s="21">
        <f>IFERROR(subQ!V31/subQ!T31-1,"")</f>
        <v/>
      </c>
      <c r="W37" s="21">
        <f>IFERROR(subQ!W31/subQ!V31-1,"")</f>
        <v/>
      </c>
      <c r="X37" s="21">
        <f>IFERROR(subQ!X31/subQ!W31-1,"")</f>
        <v/>
      </c>
      <c r="Y37" s="21">
        <f>IFERROR(subQ!Y31/subQ!X31-1,"")</f>
        <v/>
      </c>
      <c r="Z37" s="22" t="n"/>
      <c r="AA37" s="21">
        <f>IFERROR(subQ!AA31/subQ!Y31-1,"")</f>
        <v/>
      </c>
      <c r="AB37" s="23">
        <f>IFERROR(subQ!AB31/subQ!AA31-1,"")</f>
        <v/>
      </c>
      <c r="AC37" s="32" t="n">
        <v>0</v>
      </c>
      <c r="AD37" s="32" t="n">
        <v>0</v>
      </c>
      <c r="AE37" s="25" t="n"/>
      <c r="AF37" s="32" t="n">
        <v>0</v>
      </c>
      <c r="AG37" s="32" t="n">
        <v>0</v>
      </c>
      <c r="AH37" s="32" t="n">
        <v>0</v>
      </c>
      <c r="AI37" s="32" t="n">
        <v>0</v>
      </c>
      <c r="AJ37" s="25" t="n"/>
      <c r="AK37" s="32" t="n">
        <v>0</v>
      </c>
      <c r="AL37" s="32" t="n">
        <v>0</v>
      </c>
      <c r="AM37" s="32" t="n">
        <v>0</v>
      </c>
      <c r="AN37" s="32" t="n">
        <v>0</v>
      </c>
      <c r="AO37" s="25" t="n"/>
    </row>
    <row r="38">
      <c r="A38" s="12" t="inlineStr">
        <is>
          <t>drv:DPS</t>
        </is>
      </c>
      <c r="B38" s="2" t="inlineStr">
        <is>
          <t>abs</t>
        </is>
      </c>
      <c r="C38" t="inlineStr">
        <is>
          <t>DPS (가정, 원)</t>
        </is>
      </c>
      <c r="E38" s="26">
        <f>subQ!E34</f>
        <v/>
      </c>
      <c r="F38" s="27">
        <f>subQ!F34</f>
        <v/>
      </c>
      <c r="G38" s="26">
        <f>subQ!G34</f>
        <v/>
      </c>
      <c r="H38" s="26">
        <f>subQ!H34</f>
        <v/>
      </c>
      <c r="I38" s="26">
        <f>subQ!I34</f>
        <v/>
      </c>
      <c r="J38" s="26">
        <f>subQ!J34</f>
        <v/>
      </c>
      <c r="K38" s="27">
        <f>subQ!K34</f>
        <v/>
      </c>
      <c r="L38" s="26">
        <f>subQ!L34</f>
        <v/>
      </c>
      <c r="M38" s="26">
        <f>subQ!M34</f>
        <v/>
      </c>
      <c r="N38" s="26">
        <f>subQ!N34</f>
        <v/>
      </c>
      <c r="O38" s="26">
        <f>subQ!O34</f>
        <v/>
      </c>
      <c r="P38" s="27">
        <f>subQ!P34</f>
        <v/>
      </c>
      <c r="Q38" s="26">
        <f>subQ!Q34</f>
        <v/>
      </c>
      <c r="R38" s="26">
        <f>subQ!R34</f>
        <v/>
      </c>
      <c r="S38" s="26">
        <f>subQ!S34</f>
        <v/>
      </c>
      <c r="T38" s="26">
        <f>subQ!T34</f>
        <v/>
      </c>
      <c r="U38" s="27">
        <f>subQ!U34</f>
        <v/>
      </c>
      <c r="V38" s="26">
        <f>subQ!V34</f>
        <v/>
      </c>
      <c r="W38" s="26">
        <f>subQ!W34</f>
        <v/>
      </c>
      <c r="X38" s="26">
        <f>subQ!X34</f>
        <v/>
      </c>
      <c r="Y38" s="26">
        <f>subQ!Y34</f>
        <v/>
      </c>
      <c r="Z38" s="27">
        <f>subQ!Z34</f>
        <v/>
      </c>
      <c r="AA38" s="26">
        <f>subQ!AA34</f>
        <v/>
      </c>
      <c r="AB38" s="28">
        <f>subQ!AB34</f>
        <v/>
      </c>
      <c r="AC38" s="31" t="n"/>
      <c r="AD38" s="29" t="n">
        <v>225</v>
      </c>
      <c r="AE38" s="30">
        <f>subQ!AE34</f>
        <v/>
      </c>
      <c r="AF38" s="31" t="n"/>
      <c r="AG38" s="31" t="n"/>
      <c r="AH38" s="31" t="n"/>
      <c r="AI38" s="29" t="n">
        <v>225</v>
      </c>
      <c r="AJ38" s="30">
        <f>subQ!AJ34</f>
        <v/>
      </c>
      <c r="AK38" s="31" t="n"/>
      <c r="AL38" s="31" t="n"/>
      <c r="AM38" s="31" t="n"/>
      <c r="AN38" s="29" t="n">
        <v>225</v>
      </c>
      <c r="AO38" s="30">
        <f>subQ!AO34</f>
        <v/>
      </c>
    </row>
    <row r="39">
      <c r="A39" s="12" t="inlineStr">
        <is>
          <t>drv:매출조선기자재</t>
        </is>
      </c>
      <c r="B39" s="2" t="inlineStr">
        <is>
          <t>yoy</t>
        </is>
      </c>
      <c r="C39" t="inlineStr">
        <is>
          <t>매출조선기자재 YoY</t>
        </is>
      </c>
      <c r="E39" s="21" t="n"/>
      <c r="F39" s="22" t="n"/>
      <c r="G39" s="21" t="n"/>
      <c r="H39" s="21" t="n"/>
      <c r="I39" s="21" t="n"/>
      <c r="J39" s="21">
        <f>IFERROR(subQ!J37/subQ!E37-1,"")</f>
        <v/>
      </c>
      <c r="K39" s="22" t="n"/>
      <c r="L39" s="21">
        <f>IFERROR(subQ!L37/subQ!G37-1,"")</f>
        <v/>
      </c>
      <c r="M39" s="21">
        <f>IFERROR(subQ!M37/subQ!H37-1,"")</f>
        <v/>
      </c>
      <c r="N39" s="21">
        <f>IFERROR(subQ!N37/subQ!I37-1,"")</f>
        <v/>
      </c>
      <c r="O39" s="21">
        <f>IFERROR(subQ!O37/subQ!J37-1,"")</f>
        <v/>
      </c>
      <c r="P39" s="22" t="n"/>
      <c r="Q39" s="21">
        <f>IFERROR(subQ!Q37/subQ!L37-1,"")</f>
        <v/>
      </c>
      <c r="R39" s="21">
        <f>IFERROR(subQ!R37/subQ!M37-1,"")</f>
        <v/>
      </c>
      <c r="S39" s="21">
        <f>IFERROR(subQ!S37/subQ!N37-1,"")</f>
        <v/>
      </c>
      <c r="T39" s="21">
        <f>IFERROR(subQ!T37/subQ!O37-1,"")</f>
        <v/>
      </c>
      <c r="U39" s="22" t="n"/>
      <c r="V39" s="21">
        <f>IFERROR(subQ!V37/subQ!Q37-1,"")</f>
        <v/>
      </c>
      <c r="W39" s="21">
        <f>IFERROR(subQ!W37/subQ!R37-1,"")</f>
        <v/>
      </c>
      <c r="X39" s="21">
        <f>IFERROR(subQ!X37/subQ!S37-1,"")</f>
        <v/>
      </c>
      <c r="Y39" s="21">
        <f>IFERROR(subQ!Y37/subQ!T37-1,"")</f>
        <v/>
      </c>
      <c r="Z39" s="22" t="n"/>
      <c r="AA39" s="21">
        <f>IFERROR(subQ!AA37/subQ!V37-1,"")</f>
        <v/>
      </c>
      <c r="AB39" s="23">
        <f>IFERROR(subQ!AB37/subQ!W37-1,"")</f>
        <v/>
      </c>
      <c r="AC39" s="32" t="n">
        <v>0.026095373</v>
      </c>
      <c r="AD39" s="32" t="n">
        <v>0.026094896</v>
      </c>
      <c r="AE39" s="25" t="n"/>
      <c r="AF39" s="32" t="n">
        <v>0.026111765</v>
      </c>
      <c r="AG39" s="32" t="n">
        <v>0.026101455</v>
      </c>
      <c r="AH39" s="32" t="n">
        <v>0.013060514</v>
      </c>
      <c r="AI39" s="32" t="n">
        <v>0.01305611</v>
      </c>
      <c r="AJ39" s="25" t="n"/>
      <c r="AK39" s="32" t="n">
        <v>0.013041581</v>
      </c>
      <c r="AL39" s="32" t="n">
        <v>0.01305776</v>
      </c>
      <c r="AM39" s="32" t="n">
        <v>0.006517691</v>
      </c>
      <c r="AN39" s="32" t="n">
        <v>0.006524584</v>
      </c>
      <c r="AO39" s="25" t="n"/>
    </row>
    <row r="40">
      <c r="A40" s="12" t="inlineStr">
        <is>
          <t>drv:OP조선기자재</t>
        </is>
      </c>
      <c r="B40" s="2" t="inlineStr">
        <is>
          <t>ratio</t>
        </is>
      </c>
      <c r="C40" t="inlineStr">
        <is>
          <t>OP조선기자재 마진(/매출조선기자재)</t>
        </is>
      </c>
      <c r="E40" s="21">
        <f>IFERROR(subQ!E38/subQ!E37,"")</f>
        <v/>
      </c>
      <c r="F40" s="22">
        <f>IFERROR(subQ!F38/subQ!F37,"")</f>
        <v/>
      </c>
      <c r="G40" s="21">
        <f>IFERROR(subQ!G38/subQ!G37,"")</f>
        <v/>
      </c>
      <c r="H40" s="21">
        <f>IFERROR(subQ!H38/subQ!H37,"")</f>
        <v/>
      </c>
      <c r="I40" s="21">
        <f>IFERROR(subQ!I38/subQ!I37,"")</f>
        <v/>
      </c>
      <c r="J40" s="21">
        <f>IFERROR(subQ!J38/subQ!J37,"")</f>
        <v/>
      </c>
      <c r="K40" s="22">
        <f>IFERROR(subQ!K38/subQ!K37,"")</f>
        <v/>
      </c>
      <c r="L40" s="21">
        <f>IFERROR(subQ!L38/subQ!L37,"")</f>
        <v/>
      </c>
      <c r="M40" s="21">
        <f>IFERROR(subQ!M38/subQ!M37,"")</f>
        <v/>
      </c>
      <c r="N40" s="21">
        <f>IFERROR(subQ!N38/subQ!N37,"")</f>
        <v/>
      </c>
      <c r="O40" s="21">
        <f>IFERROR(subQ!O38/subQ!O37,"")</f>
        <v/>
      </c>
      <c r="P40" s="22">
        <f>IFERROR(subQ!P38/subQ!P37,"")</f>
        <v/>
      </c>
      <c r="Q40" s="21">
        <f>IFERROR(subQ!Q38/subQ!Q37,"")</f>
        <v/>
      </c>
      <c r="R40" s="21">
        <f>IFERROR(subQ!R38/subQ!R37,"")</f>
        <v/>
      </c>
      <c r="S40" s="21">
        <f>IFERROR(subQ!S38/subQ!S37,"")</f>
        <v/>
      </c>
      <c r="T40" s="21">
        <f>IFERROR(subQ!T38/subQ!T37,"")</f>
        <v/>
      </c>
      <c r="U40" s="22">
        <f>IFERROR(subQ!U38/subQ!U37,"")</f>
        <v/>
      </c>
      <c r="V40" s="21">
        <f>IFERROR(subQ!V38/subQ!V37,"")</f>
        <v/>
      </c>
      <c r="W40" s="21">
        <f>IFERROR(subQ!W38/subQ!W37,"")</f>
        <v/>
      </c>
      <c r="X40" s="21">
        <f>IFERROR(subQ!X38/subQ!X37,"")</f>
        <v/>
      </c>
      <c r="Y40" s="21">
        <f>IFERROR(subQ!Y38/subQ!Y37,"")</f>
        <v/>
      </c>
      <c r="Z40" s="22">
        <f>IFERROR(subQ!Z38/subQ!Z37,"")</f>
        <v/>
      </c>
      <c r="AA40" s="21">
        <f>IFERROR(subQ!AA38/subQ!AA37,"")</f>
        <v/>
      </c>
      <c r="AB40" s="23">
        <f>IFERROR(subQ!AB38/subQ!AB37,"")</f>
        <v/>
      </c>
      <c r="AC40" s="32" t="n">
        <v>0.157270353</v>
      </c>
      <c r="AD40" s="32" t="n">
        <v>0.157272562</v>
      </c>
      <c r="AE40" s="25">
        <f>IFERROR(subQ!AE38/subQ!AE37,"")</f>
        <v/>
      </c>
      <c r="AF40" s="32" t="n">
        <v>0.157271991</v>
      </c>
      <c r="AG40" s="32" t="n">
        <v>0.157265936</v>
      </c>
      <c r="AH40" s="32" t="n">
        <v>0.15727212</v>
      </c>
      <c r="AI40" s="32" t="n">
        <v>0.157271147</v>
      </c>
      <c r="AJ40" s="25">
        <f>IFERROR(subQ!AJ38/subQ!AJ37,"")</f>
        <v/>
      </c>
      <c r="AK40" s="32" t="n">
        <v>0.157265757</v>
      </c>
      <c r="AL40" s="32" t="n">
        <v>0.15726979</v>
      </c>
      <c r="AM40" s="32" t="n">
        <v>0.157273654</v>
      </c>
      <c r="AN40" s="32" t="n">
        <v>0.157266753</v>
      </c>
      <c r="AO40" s="25">
        <f>IFERROR(subQ!AO38/subQ!AO37,"")</f>
        <v/>
      </c>
    </row>
    <row r="41">
      <c r="A41" s="12" t="inlineStr">
        <is>
          <t>drv:매출종속사</t>
        </is>
      </c>
      <c r="B41" s="2" t="inlineStr">
        <is>
          <t>yoy</t>
        </is>
      </c>
      <c r="C41" t="inlineStr">
        <is>
          <t>매출종속사 YoY</t>
        </is>
      </c>
      <c r="E41" s="21" t="n"/>
      <c r="F41" s="22" t="n"/>
      <c r="G41" s="21" t="n"/>
      <c r="H41" s="21" t="n"/>
      <c r="I41" s="21" t="n"/>
      <c r="J41" s="21">
        <f>IFERROR(subQ!J39/subQ!E39-1,"")</f>
        <v/>
      </c>
      <c r="K41" s="22" t="n"/>
      <c r="L41" s="21">
        <f>IFERROR(subQ!L39/subQ!G39-1,"")</f>
        <v/>
      </c>
      <c r="M41" s="21">
        <f>IFERROR(subQ!M39/subQ!H39-1,"")</f>
        <v/>
      </c>
      <c r="N41" s="21">
        <f>IFERROR(subQ!N39/subQ!I39-1,"")</f>
        <v/>
      </c>
      <c r="O41" s="21">
        <f>IFERROR(subQ!O39/subQ!J39-1,"")</f>
        <v/>
      </c>
      <c r="P41" s="22" t="n"/>
      <c r="Q41" s="21">
        <f>IFERROR(subQ!Q39/subQ!L39-1,"")</f>
        <v/>
      </c>
      <c r="R41" s="21">
        <f>IFERROR(subQ!R39/subQ!M39-1,"")</f>
        <v/>
      </c>
      <c r="S41" s="21">
        <f>IFERROR(subQ!S39/subQ!N39-1,"")</f>
        <v/>
      </c>
      <c r="T41" s="21">
        <f>IFERROR(subQ!T39/subQ!O39-1,"")</f>
        <v/>
      </c>
      <c r="U41" s="22" t="n"/>
      <c r="V41" s="21">
        <f>IFERROR(subQ!V39/subQ!Q39-1,"")</f>
        <v/>
      </c>
      <c r="W41" s="21">
        <f>IFERROR(subQ!W39/subQ!R39-1,"")</f>
        <v/>
      </c>
      <c r="X41" s="21">
        <f>IFERROR(subQ!X39/subQ!S39-1,"")</f>
        <v/>
      </c>
      <c r="Y41" s="21">
        <f>IFERROR(subQ!Y39/subQ!T39-1,"")</f>
        <v/>
      </c>
      <c r="Z41" s="22" t="n"/>
      <c r="AA41" s="21">
        <f>IFERROR(subQ!AA39/subQ!V39-1,"")</f>
        <v/>
      </c>
      <c r="AB41" s="23">
        <f>IFERROR(subQ!AB39/subQ!W39-1,"")</f>
        <v/>
      </c>
      <c r="AC41" s="32" t="n">
        <v>-0.010274649</v>
      </c>
      <c r="AD41" s="32" t="n">
        <v>0.246333274</v>
      </c>
      <c r="AE41" s="25" t="n"/>
      <c r="AF41" s="32" t="n">
        <v>0.163799586</v>
      </c>
      <c r="AG41" s="32" t="n">
        <v>-0.00752985</v>
      </c>
      <c r="AH41" s="32" t="n">
        <v>0.179277301</v>
      </c>
      <c r="AI41" s="32" t="n">
        <v>0.16577343</v>
      </c>
      <c r="AJ41" s="25" t="n"/>
      <c r="AK41" s="32" t="n">
        <v>0.189935786</v>
      </c>
      <c r="AL41" s="32" t="n">
        <v>0.221395282</v>
      </c>
      <c r="AM41" s="32" t="n">
        <v>0.245674623</v>
      </c>
      <c r="AN41" s="32" t="n">
        <v>0.245481745</v>
      </c>
      <c r="AO41" s="25" t="n"/>
    </row>
    <row r="42">
      <c r="A42" s="12" t="inlineStr">
        <is>
          <t>drv:OP종속사</t>
        </is>
      </c>
      <c r="B42" s="2" t="inlineStr">
        <is>
          <t>ratio</t>
        </is>
      </c>
      <c r="C42" t="inlineStr">
        <is>
          <t>OP종속사 마진(/매출종속사)</t>
        </is>
      </c>
      <c r="E42" s="21">
        <f>IFERROR(subQ!E40/subQ!E39,"")</f>
        <v/>
      </c>
      <c r="F42" s="22">
        <f>IFERROR(subQ!F40/subQ!F39,"")</f>
        <v/>
      </c>
      <c r="G42" s="21">
        <f>IFERROR(subQ!G40/subQ!G39,"")</f>
        <v/>
      </c>
      <c r="H42" s="21">
        <f>IFERROR(subQ!H40/subQ!H39,"")</f>
        <v/>
      </c>
      <c r="I42" s="21">
        <f>IFERROR(subQ!I40/subQ!I39,"")</f>
        <v/>
      </c>
      <c r="J42" s="21">
        <f>IFERROR(subQ!J40/subQ!J39,"")</f>
        <v/>
      </c>
      <c r="K42" s="22">
        <f>IFERROR(subQ!K40/subQ!K39,"")</f>
        <v/>
      </c>
      <c r="L42" s="21">
        <f>IFERROR(subQ!L40/subQ!L39,"")</f>
        <v/>
      </c>
      <c r="M42" s="21">
        <f>IFERROR(subQ!M40/subQ!M39,"")</f>
        <v/>
      </c>
      <c r="N42" s="21">
        <f>IFERROR(subQ!N40/subQ!N39,"")</f>
        <v/>
      </c>
      <c r="O42" s="21">
        <f>IFERROR(subQ!O40/subQ!O39,"")</f>
        <v/>
      </c>
      <c r="P42" s="22">
        <f>IFERROR(subQ!P40/subQ!P39,"")</f>
        <v/>
      </c>
      <c r="Q42" s="21">
        <f>IFERROR(subQ!Q40/subQ!Q39,"")</f>
        <v/>
      </c>
      <c r="R42" s="21">
        <f>IFERROR(subQ!R40/subQ!R39,"")</f>
        <v/>
      </c>
      <c r="S42" s="21">
        <f>IFERROR(subQ!S40/subQ!S39,"")</f>
        <v/>
      </c>
      <c r="T42" s="21">
        <f>IFERROR(subQ!T40/subQ!T39,"")</f>
        <v/>
      </c>
      <c r="U42" s="22">
        <f>IFERROR(subQ!U40/subQ!U39,"")</f>
        <v/>
      </c>
      <c r="V42" s="21">
        <f>IFERROR(subQ!V40/subQ!V39,"")</f>
        <v/>
      </c>
      <c r="W42" s="21">
        <f>IFERROR(subQ!W40/subQ!W39,"")</f>
        <v/>
      </c>
      <c r="X42" s="21">
        <f>IFERROR(subQ!X40/subQ!X39,"")</f>
        <v/>
      </c>
      <c r="Y42" s="21">
        <f>IFERROR(subQ!Y40/subQ!Y39,"")</f>
        <v/>
      </c>
      <c r="Z42" s="22">
        <f>IFERROR(subQ!Z40/subQ!Z39,"")</f>
        <v/>
      </c>
      <c r="AA42" s="21">
        <f>IFERROR(subQ!AA40/subQ!AA39,"")</f>
        <v/>
      </c>
      <c r="AB42" s="23">
        <f>IFERROR(subQ!AB40/subQ!AB39,"")</f>
        <v/>
      </c>
      <c r="AC42" s="32" t="n">
        <v>0.188141346</v>
      </c>
      <c r="AD42" s="32" t="n">
        <v>0.188231958</v>
      </c>
      <c r="AE42" s="25">
        <f>IFERROR(subQ!AE40/subQ!AE39,"")</f>
        <v/>
      </c>
      <c r="AF42" s="32" t="n">
        <v>0.188724203</v>
      </c>
      <c r="AG42" s="32" t="n">
        <v>0.188590628</v>
      </c>
      <c r="AH42" s="32" t="n">
        <v>0.188149653</v>
      </c>
      <c r="AI42" s="32" t="n">
        <v>0.188197806</v>
      </c>
      <c r="AJ42" s="25">
        <f>IFERROR(subQ!AJ40/subQ!AJ39,"")</f>
        <v/>
      </c>
      <c r="AK42" s="32" t="n">
        <v>0.1887388</v>
      </c>
      <c r="AL42" s="32" t="n">
        <v>0.188570414</v>
      </c>
      <c r="AM42" s="32" t="n">
        <v>0.18814384</v>
      </c>
      <c r="AN42" s="32" t="n">
        <v>0.188211628</v>
      </c>
      <c r="AO42" s="25">
        <f>IFERROR(subQ!AO40/subQ!AO39,"")</f>
        <v/>
      </c>
    </row>
    <row r="43">
      <c r="A43" s="12" t="inlineStr">
        <is>
          <t>drv:매출연결조정</t>
        </is>
      </c>
      <c r="B43" s="2" t="inlineStr">
        <is>
          <t>ratio</t>
        </is>
      </c>
      <c r="C43" t="inlineStr">
        <is>
          <t>매출연결조정 비율(/매출종속사 — 내부거래·잔차)</t>
        </is>
      </c>
      <c r="E43" s="21">
        <f>IFERROR(subQ!E41/subQ!E39,"")</f>
        <v/>
      </c>
      <c r="F43" s="22">
        <f>IFERROR(subQ!F41/subQ!F39,"")</f>
        <v/>
      </c>
      <c r="G43" s="21">
        <f>IFERROR(subQ!G41/subQ!G39,"")</f>
        <v/>
      </c>
      <c r="H43" s="21">
        <f>IFERROR(subQ!H41/subQ!H39,"")</f>
        <v/>
      </c>
      <c r="I43" s="21">
        <f>IFERROR(subQ!I41/subQ!I39,"")</f>
        <v/>
      </c>
      <c r="J43" s="21">
        <f>IFERROR(subQ!J41/subQ!J39,"")</f>
        <v/>
      </c>
      <c r="K43" s="22">
        <f>IFERROR(subQ!K41/subQ!K39,"")</f>
        <v/>
      </c>
      <c r="L43" s="21">
        <f>IFERROR(subQ!L41/subQ!L39,"")</f>
        <v/>
      </c>
      <c r="M43" s="21">
        <f>IFERROR(subQ!M41/subQ!M39,"")</f>
        <v/>
      </c>
      <c r="N43" s="21">
        <f>IFERROR(subQ!N41/subQ!N39,"")</f>
        <v/>
      </c>
      <c r="O43" s="21">
        <f>IFERROR(subQ!O41/subQ!O39,"")</f>
        <v/>
      </c>
      <c r="P43" s="22">
        <f>IFERROR(subQ!P41/subQ!P39,"")</f>
        <v/>
      </c>
      <c r="Q43" s="21">
        <f>IFERROR(subQ!Q41/subQ!Q39,"")</f>
        <v/>
      </c>
      <c r="R43" s="21">
        <f>IFERROR(subQ!R41/subQ!R39,"")</f>
        <v/>
      </c>
      <c r="S43" s="21">
        <f>IFERROR(subQ!S41/subQ!S39,"")</f>
        <v/>
      </c>
      <c r="T43" s="21">
        <f>IFERROR(subQ!T41/subQ!T39,"")</f>
        <v/>
      </c>
      <c r="U43" s="22">
        <f>IFERROR(subQ!U41/subQ!U39,"")</f>
        <v/>
      </c>
      <c r="V43" s="21">
        <f>IFERROR(subQ!V41/subQ!V39,"")</f>
        <v/>
      </c>
      <c r="W43" s="21">
        <f>IFERROR(subQ!W41/subQ!W39,"")</f>
        <v/>
      </c>
      <c r="X43" s="21">
        <f>IFERROR(subQ!X41/subQ!X39,"")</f>
        <v/>
      </c>
      <c r="Y43" s="21">
        <f>IFERROR(subQ!Y41/subQ!Y39,"")</f>
        <v/>
      </c>
      <c r="Z43" s="22">
        <f>IFERROR(subQ!Z41/subQ!Z39,"")</f>
        <v/>
      </c>
      <c r="AA43" s="21">
        <f>IFERROR(subQ!AA41/subQ!AA39,"")</f>
        <v/>
      </c>
      <c r="AB43" s="23">
        <f>IFERROR(subQ!AB41/subQ!AB39,"")</f>
        <v/>
      </c>
      <c r="AC43" s="32" t="n">
        <v>-0.625154722</v>
      </c>
      <c r="AD43" s="32" t="n">
        <v>-0.625152417</v>
      </c>
      <c r="AE43" s="25">
        <f>IFERROR(subQ!AE41/subQ!AE39,"")</f>
        <v/>
      </c>
      <c r="AF43" s="32" t="n">
        <v>-0.625136303</v>
      </c>
      <c r="AG43" s="32" t="n">
        <v>-0.625167094</v>
      </c>
      <c r="AH43" s="32" t="n">
        <v>-0.625156594</v>
      </c>
      <c r="AI43" s="32" t="n">
        <v>-0.625161149</v>
      </c>
      <c r="AJ43" s="25">
        <f>IFERROR(subQ!AJ41/subQ!AJ39,"")</f>
        <v/>
      </c>
      <c r="AK43" s="32" t="n">
        <v>-0.625169699</v>
      </c>
      <c r="AL43" s="32" t="n">
        <v>-0.625166386</v>
      </c>
      <c r="AM43" s="32" t="n">
        <v>-0.625152891</v>
      </c>
      <c r="AN43" s="32" t="n">
        <v>-0.625158682</v>
      </c>
      <c r="AO43" s="25">
        <f>IFERROR(subQ!AO41/subQ!AO39,"")</f>
        <v/>
      </c>
    </row>
    <row r="44">
      <c r="A44" s="12" t="inlineStr">
        <is>
          <t>drv:OP연결조정</t>
        </is>
      </c>
      <c r="B44" s="2" t="inlineStr">
        <is>
          <t>ratio</t>
        </is>
      </c>
      <c r="C44" t="inlineStr">
        <is>
          <t>OP연결조정 마진(/매출연결조정)</t>
        </is>
      </c>
      <c r="E44" s="21">
        <f>IFERROR(subQ!E42/subQ!E41,"")</f>
        <v/>
      </c>
      <c r="F44" s="22">
        <f>IFERROR(subQ!F42/subQ!F41,"")</f>
        <v/>
      </c>
      <c r="G44" s="21">
        <f>IFERROR(subQ!G42/subQ!G41,"")</f>
        <v/>
      </c>
      <c r="H44" s="21">
        <f>IFERROR(subQ!H42/subQ!H41,"")</f>
        <v/>
      </c>
      <c r="I44" s="21">
        <f>IFERROR(subQ!I42/subQ!I41,"")</f>
        <v/>
      </c>
      <c r="J44" s="21">
        <f>IFERROR(subQ!J42/subQ!J41,"")</f>
        <v/>
      </c>
      <c r="K44" s="22">
        <f>IFERROR(subQ!K42/subQ!K41,"")</f>
        <v/>
      </c>
      <c r="L44" s="21">
        <f>IFERROR(subQ!L42/subQ!L41,"")</f>
        <v/>
      </c>
      <c r="M44" s="21">
        <f>IFERROR(subQ!M42/subQ!M41,"")</f>
        <v/>
      </c>
      <c r="N44" s="21">
        <f>IFERROR(subQ!N42/subQ!N41,"")</f>
        <v/>
      </c>
      <c r="O44" s="21">
        <f>IFERROR(subQ!O42/subQ!O41,"")</f>
        <v/>
      </c>
      <c r="P44" s="22">
        <f>IFERROR(subQ!P42/subQ!P41,"")</f>
        <v/>
      </c>
      <c r="Q44" s="21">
        <f>IFERROR(subQ!Q42/subQ!Q41,"")</f>
        <v/>
      </c>
      <c r="R44" s="21">
        <f>IFERROR(subQ!R42/subQ!R41,"")</f>
        <v/>
      </c>
      <c r="S44" s="21">
        <f>IFERROR(subQ!S42/subQ!S41,"")</f>
        <v/>
      </c>
      <c r="T44" s="21">
        <f>IFERROR(subQ!T42/subQ!T41,"")</f>
        <v/>
      </c>
      <c r="U44" s="22">
        <f>IFERROR(subQ!U42/subQ!U41,"")</f>
        <v/>
      </c>
      <c r="V44" s="21">
        <f>IFERROR(subQ!V42/subQ!V41,"")</f>
        <v/>
      </c>
      <c r="W44" s="21">
        <f>IFERROR(subQ!W42/subQ!W41,"")</f>
        <v/>
      </c>
      <c r="X44" s="21">
        <f>IFERROR(subQ!X42/subQ!X41,"")</f>
        <v/>
      </c>
      <c r="Y44" s="21">
        <f>IFERROR(subQ!Y42/subQ!Y41,"")</f>
        <v/>
      </c>
      <c r="Z44" s="22">
        <f>IFERROR(subQ!Z42/subQ!Z41,"")</f>
        <v/>
      </c>
      <c r="AA44" s="21">
        <f>IFERROR(subQ!AA42/subQ!AA41,"")</f>
        <v/>
      </c>
      <c r="AB44" s="23">
        <f>IFERROR(subQ!AB42/subQ!AB41,"")</f>
        <v/>
      </c>
      <c r="AC44" s="32" t="n">
        <v>0.140448362</v>
      </c>
      <c r="AD44" s="32" t="n">
        <v>0.143790257</v>
      </c>
      <c r="AE44" s="25">
        <f>IFERROR(subQ!AE42/subQ!AE41,"")</f>
        <v/>
      </c>
      <c r="AF44" s="32" t="n">
        <v>0.142515666</v>
      </c>
      <c r="AG44" s="32" t="n">
        <v>0.144937587</v>
      </c>
      <c r="AH44" s="32" t="n">
        <v>0.148830156</v>
      </c>
      <c r="AI44" s="32" t="n">
        <v>0.151122524</v>
      </c>
      <c r="AJ44" s="25">
        <f>IFERROR(subQ!AJ42/subQ!AJ41,"")</f>
        <v/>
      </c>
      <c r="AK44" s="32" t="n">
        <v>0.151194354</v>
      </c>
      <c r="AL44" s="32" t="n">
        <v>0.15443577</v>
      </c>
      <c r="AM44" s="32" t="n">
        <v>0.158608696</v>
      </c>
      <c r="AN44" s="32" t="n">
        <v>0.16051234</v>
      </c>
      <c r="AO44" s="25">
        <f>IFERROR(subQ!AO42/subQ!AO41,"")</f>
        <v/>
      </c>
    </row>
    <row r="45"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B46" s="1" t="inlineStr">
        <is>
          <t>3. 밸류에이션·스칼라</t>
        </is>
      </c>
      <c r="C46" s="2" t="inlineStr">
        <is>
          <t>노란 셀 = 가정. '연결' 표시는 추정 전 분기 수식이 이 셀을 참조한다는 뜻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sc:종가</t>
        </is>
      </c>
      <c r="C47" t="inlineStr">
        <is>
          <t>종가</t>
        </is>
      </c>
      <c r="D47" s="34" t="n">
        <v>8710</v>
      </c>
      <c r="E47" s="2" t="inlineStr">
        <is>
          <t>원 — 네이버 정규장 종가(aik 확정종가 대조 · aik 8,640원)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sc:기준일</t>
        </is>
      </c>
      <c r="C48" t="inlineStr">
        <is>
          <t>기준일</t>
        </is>
      </c>
      <c r="D48" s="35" t="inlineStr">
        <is>
          <t>20261014</t>
        </is>
      </c>
      <c r="E48" s="2" t="inlineStr">
        <is>
          <t>종가 기준일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sc:COE</t>
        </is>
      </c>
      <c r="C49" t="inlineStr">
        <is>
          <t>COE</t>
        </is>
      </c>
      <c r="D49" s="32" t="n">
        <v>0.09</v>
      </c>
      <c r="E49" s="2" t="inlineStr">
        <is>
          <t>자기자본비용(가정) — TP 적정 PBR = ROE/COE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sc:PER_lo</t>
        </is>
      </c>
      <c r="C50" t="inlineStr">
        <is>
          <t>PER_lo</t>
        </is>
      </c>
      <c r="D50" s="29" t="n">
        <v>19</v>
      </c>
      <c r="E50" s="2" t="inlineStr">
        <is>
          <t>PER 밴드 하단(배) — hist_quarterly(분기 평균가 ÷ TTM EPS, 15분기, 25/50/75 백분위)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sc:PER_mid</t>
        </is>
      </c>
      <c r="C51" t="inlineStr">
        <is>
          <t>PER_mid</t>
        </is>
      </c>
      <c r="D51" s="29" t="n">
        <v>22</v>
      </c>
      <c r="E51" s="2" t="inlineStr">
        <is>
          <t>PER 밴드 중단(배)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sc:PER_hi</t>
        </is>
      </c>
      <c r="C52" t="inlineStr">
        <is>
          <t>PER_hi</t>
        </is>
      </c>
      <c r="D52" s="29" t="n">
        <v>27.4</v>
      </c>
      <c r="E52" s="2" t="inlineStr">
        <is>
          <t>PER 밴드 상단(배)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sc:EPS_Y1가중</t>
        </is>
      </c>
      <c r="C53" t="inlineStr">
        <is>
          <t>EPS_Y1가중</t>
        </is>
      </c>
      <c r="D53" s="32" t="n">
        <v>0.5</v>
      </c>
      <c r="E53" s="2" t="inlineStr">
        <is>
          <t>12M fwd EPS = FY(last_actual연도)E × w + FY+1E × (1−w) — 기준 분기 2Q 이면 0.5(가정)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sc:세율</t>
        </is>
      </c>
      <c r="C54" t="inlineStr">
        <is>
          <t>세율</t>
        </is>
      </c>
      <c r="D54" s="36" t="n">
        <v>0.1911598932067636</v>
      </c>
      <c r="E54" s="2" t="inlineStr">
        <is>
          <t>연결 — 법인세 = MAX(세전,0) × 세율(역산, 재현 오차 ≤ 0.05억 · 모델 assumptions 0.1912) · 최근 12분기 유효세율 19.1%(5~27% 안 — 그대로)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sc:판관비율</t>
        </is>
      </c>
      <c r="C55" t="inlineStr">
        <is>
          <t>판관비율</t>
        </is>
      </c>
      <c r="D55" s="36" t="n">
        <v>0.06131748779349964</v>
      </c>
      <c r="E55" s="2" t="inlineStr">
        <is>
          <t>연결 — 판관비 = 매출액 × 판관비율(역산, 재현 오차 ≤ 0.05억 · 모델 assumptions 0.0613)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sc:지배주주비중</t>
        </is>
      </c>
      <c r="C56" t="inlineStr">
        <is>
          <t>지배주주비중</t>
        </is>
      </c>
      <c r="D56" s="36" t="n">
        <v>0.8217693960932745</v>
      </c>
      <c r="E56" s="2" t="inlineStr">
        <is>
          <t>연결 — 지배주주순이익 = 당기순이익 × 비중(역산, 재현 오차 ≤ 0.05억)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sc:이자율_자산</t>
        </is>
      </c>
      <c r="C57" t="inlineStr">
        <is>
          <t>이자율_자산</t>
        </is>
      </c>
      <c r="D57" s="36" t="n">
        <v>0.0360968740530241</v>
      </c>
      <c r="E57" s="2" t="inlineStr">
        <is>
          <t>연결 — 이자손익 = (전분기 이자발생자산 × 자산이자율 − 전분기 총차입금 × 부채이자율)/4(역산, 재현 오차 ≤ 0.05억 · 모델 assumptions 0.0361)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sc:이자율_부채</t>
        </is>
      </c>
      <c r="C58" t="inlineStr">
        <is>
          <t>이자율_부채</t>
        </is>
      </c>
      <c r="D58" s="36" t="n">
        <v>0.0386972181612924</v>
      </c>
      <c r="E58" s="2" t="inlineStr">
        <is>
          <t>연결 — 같은 수식의 부채 쪽(총차입금 행이 없으면 0)(역산, 재현 오차 ≤ 0.05억 · 모델 assumptions 0.0387)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sc:배당성향</t>
        </is>
      </c>
      <c r="C59" t="inlineStr">
        <is>
          <t>배당성향</t>
        </is>
      </c>
      <c r="D59" s="32" t="n">
        <v>0.2524</v>
      </c>
      <c r="E59" s="2" t="inlineStr">
        <is>
          <t>배당성향(참고 — 모델은 직전 DPS 유지·Q2 지급 가정)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s="12" t="inlineStr">
        <is>
          <t>sc:외화순노출_백만$</t>
        </is>
      </c>
      <c r="C60" t="inlineStr">
        <is>
          <t>외화순노출_백만$</t>
        </is>
      </c>
      <c r="D60" s="29" t="n"/>
      <c r="E60" s="2" t="inlineStr">
        <is>
          <t>외화 순노출 × Δ기말환율 (외화 시트 방식) — 외화 순노출 미공시(face) → 0 + 표기</t>
        </is>
      </c>
      <c r="F60" s="9" t="n"/>
      <c r="K60" s="9" t="n"/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s="12" t="inlineStr">
        <is>
          <t>sc:헤지비율</t>
        </is>
      </c>
      <c r="C61" t="inlineStr">
        <is>
          <t>헤지비율</t>
        </is>
      </c>
      <c r="D61" s="32" t="n"/>
      <c r="E61" s="2" t="inlineStr">
        <is>
          <t>sls 없음</t>
        </is>
      </c>
      <c r="F61" s="9" t="n"/>
      <c r="K61" s="9" t="n"/>
      <c r="P61" s="9" t="n"/>
      <c r="U61" s="9" t="n"/>
      <c r="Z61" s="9" t="n"/>
      <c r="AB61" s="5" t="n"/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s="12" t="inlineStr">
        <is>
          <t>sc:헤지환율_약정</t>
        </is>
      </c>
      <c r="C62" t="inlineStr">
        <is>
          <t>헤지환율_약정</t>
        </is>
      </c>
      <c r="D62" s="16" t="n"/>
      <c r="E62" s="2" t="inlineStr">
        <is>
          <t>sls 없음</t>
        </is>
      </c>
      <c r="F62" s="9" t="n"/>
      <c r="K62" s="9" t="n"/>
      <c r="P62" s="9" t="n"/>
      <c r="U62" s="9" t="n"/>
      <c r="Z62" s="9" t="n"/>
      <c r="AB62" s="5" t="n"/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세진중공업(연)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199499.6</v>
      </c>
      <c r="F5" s="37" t="n">
        <v>199499.6</v>
      </c>
      <c r="G5" s="18" t="n">
        <v>178998.74</v>
      </c>
      <c r="H5" s="18" t="n">
        <v>145458.76</v>
      </c>
      <c r="I5" s="18" t="n">
        <v>159282.22</v>
      </c>
      <c r="J5" s="18" t="n">
        <v>154824.32</v>
      </c>
      <c r="K5" s="37" t="n">
        <v>154824.32</v>
      </c>
      <c r="L5" s="18" t="n">
        <v>150175.35</v>
      </c>
      <c r="M5" s="18" t="n">
        <v>131074.64</v>
      </c>
      <c r="N5" s="18" t="n">
        <v>126481.93</v>
      </c>
      <c r="O5" s="18" t="n">
        <v>125520.79</v>
      </c>
      <c r="P5" s="37" t="n">
        <v>125520.79</v>
      </c>
      <c r="Q5" s="18" t="n">
        <v>163955.01</v>
      </c>
      <c r="R5" s="18" t="n">
        <v>132666.8</v>
      </c>
      <c r="S5" s="18" t="n">
        <v>160199.03</v>
      </c>
      <c r="T5" s="18" t="n">
        <v>179641.93</v>
      </c>
      <c r="U5" s="37" t="n">
        <v>179641.93</v>
      </c>
      <c r="V5" s="18" t="n">
        <v>182158.07</v>
      </c>
      <c r="W5" s="18" t="n">
        <v>166651.69</v>
      </c>
      <c r="X5" s="18" t="n">
        <v>174398.44</v>
      </c>
      <c r="Y5" s="18" t="n">
        <v>164044.5</v>
      </c>
      <c r="Z5" s="37" t="n">
        <v>164044.5</v>
      </c>
      <c r="AA5" s="18" t="n">
        <v>177482.15</v>
      </c>
      <c r="AB5" s="19" t="n">
        <v>177209.19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37668.74</v>
      </c>
      <c r="F6" s="37" t="n">
        <v>37668.74</v>
      </c>
      <c r="G6" s="18" t="n">
        <v>40389.7</v>
      </c>
      <c r="H6" s="18" t="n">
        <v>12766.44</v>
      </c>
      <c r="I6" s="18" t="n">
        <v>31143.77</v>
      </c>
      <c r="J6" s="18" t="n">
        <v>47137.19</v>
      </c>
      <c r="K6" s="37" t="n">
        <v>47137.19</v>
      </c>
      <c r="L6" s="18" t="n">
        <v>30087.12</v>
      </c>
      <c r="M6" s="18" t="n">
        <v>37120.17</v>
      </c>
      <c r="N6" s="18" t="n">
        <v>40568.36</v>
      </c>
      <c r="O6" s="18" t="n">
        <v>50751.66</v>
      </c>
      <c r="P6" s="37" t="n">
        <v>50751.66</v>
      </c>
      <c r="Q6" s="18" t="n">
        <v>69793.88</v>
      </c>
      <c r="R6" s="18" t="n">
        <v>46285.73</v>
      </c>
      <c r="S6" s="18" t="n">
        <v>79948.17</v>
      </c>
      <c r="T6" s="18" t="n">
        <v>79542.42</v>
      </c>
      <c r="U6" s="37" t="n">
        <v>79542.42</v>
      </c>
      <c r="V6" s="18" t="n">
        <v>74589.69</v>
      </c>
      <c r="W6" s="18" t="n">
        <v>89559.22</v>
      </c>
      <c r="X6" s="18" t="n">
        <v>97942.03</v>
      </c>
      <c r="Y6" s="18" t="n">
        <v>55053.8</v>
      </c>
      <c r="Z6" s="37" t="n">
        <v>55053.8</v>
      </c>
      <c r="AA6" s="18" t="n">
        <v>69548.17999999999</v>
      </c>
      <c r="AB6" s="19" t="n">
        <v>43468.91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단기투자자산(공정가치)</t>
        </is>
      </c>
      <c r="E7" s="18" t="n">
        <v>414.25</v>
      </c>
      <c r="F7" s="37" t="n">
        <v>414.25</v>
      </c>
      <c r="G7" s="18" t="n">
        <v>436.36</v>
      </c>
      <c r="H7" s="18" t="n">
        <v>386.91</v>
      </c>
      <c r="I7" s="18" t="n">
        <v>382.89</v>
      </c>
      <c r="J7" s="18" t="n">
        <v>394.77</v>
      </c>
      <c r="K7" s="37" t="n">
        <v>394.77</v>
      </c>
      <c r="L7" s="18" t="n">
        <v>406.03</v>
      </c>
      <c r="M7" s="18" t="n">
        <v>415.68</v>
      </c>
      <c r="N7" s="18" t="n">
        <v>450.65</v>
      </c>
      <c r="O7" s="18" t="n">
        <v>476.78</v>
      </c>
      <c r="P7" s="37" t="n">
        <v>476.78</v>
      </c>
      <c r="Q7" s="18" t="n">
        <v>0</v>
      </c>
      <c r="U7" s="9" t="n"/>
      <c r="Z7" s="9" t="n"/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단기금융상품</t>
        </is>
      </c>
      <c r="E8" s="18" t="n">
        <v>3975.43</v>
      </c>
      <c r="F8" s="37" t="n">
        <v>3975.43</v>
      </c>
      <c r="G8" s="18" t="n">
        <v>2010</v>
      </c>
      <c r="H8" s="18" t="n">
        <v>2010</v>
      </c>
      <c r="I8" s="18" t="n">
        <v>2015.2</v>
      </c>
      <c r="J8" s="18" t="n">
        <v>2013.54</v>
      </c>
      <c r="K8" s="37" t="n">
        <v>2013.54</v>
      </c>
      <c r="L8" s="18" t="n">
        <v>2019.17</v>
      </c>
      <c r="M8" s="18" t="n">
        <v>2011.56</v>
      </c>
      <c r="N8" s="18" t="n">
        <v>2010</v>
      </c>
      <c r="O8" s="18" t="n">
        <v>2011.53</v>
      </c>
      <c r="P8" s="37" t="n">
        <v>2011.53</v>
      </c>
      <c r="Q8" s="18" t="n">
        <v>2011.6</v>
      </c>
      <c r="R8" s="18" t="n">
        <v>2010</v>
      </c>
      <c r="S8" s="18" t="n">
        <v>2010</v>
      </c>
      <c r="T8" s="18" t="n">
        <v>11.75</v>
      </c>
      <c r="U8" s="37" t="n">
        <v>11.75</v>
      </c>
      <c r="V8" s="18" t="n">
        <v>10</v>
      </c>
      <c r="W8" s="18" t="n">
        <v>4996.7</v>
      </c>
      <c r="X8" s="18" t="n">
        <v>16217.23</v>
      </c>
      <c r="Y8" s="18" t="n">
        <v>26775.25</v>
      </c>
      <c r="Z8" s="37" t="n">
        <v>26775.25</v>
      </c>
      <c r="AA8" s="18" t="n">
        <v>35654.3</v>
      </c>
      <c r="AB8" s="19" t="n">
        <v>58677.94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단기금융자산</t>
        </is>
      </c>
      <c r="E9" s="18" t="n">
        <v>3975.43</v>
      </c>
      <c r="F9" s="37" t="n">
        <v>3975.43</v>
      </c>
      <c r="G9" s="18" t="n">
        <v>2010</v>
      </c>
      <c r="H9" s="18" t="n">
        <v>2010</v>
      </c>
      <c r="I9" s="18" t="n">
        <v>2015.2</v>
      </c>
      <c r="J9" s="18" t="n">
        <v>2013.54</v>
      </c>
      <c r="K9" s="37" t="n">
        <v>2013.54</v>
      </c>
      <c r="L9" s="18" t="n">
        <v>2019.17</v>
      </c>
      <c r="M9" s="18" t="n">
        <v>2011.56</v>
      </c>
      <c r="N9" s="18" t="n">
        <v>2010</v>
      </c>
      <c r="O9" s="18" t="n">
        <v>2011.53</v>
      </c>
      <c r="P9" s="37" t="n">
        <v>2011.53</v>
      </c>
      <c r="Q9" s="18" t="n">
        <v>2011.6</v>
      </c>
      <c r="R9" s="18" t="n">
        <v>2010</v>
      </c>
      <c r="S9" s="18" t="n">
        <v>2010</v>
      </c>
      <c r="T9" s="18" t="n">
        <v>11.75</v>
      </c>
      <c r="U9" s="37" t="n">
        <v>11.75</v>
      </c>
      <c r="V9" s="18" t="n">
        <v>10</v>
      </c>
      <c r="W9" s="18" t="n">
        <v>4996.7</v>
      </c>
      <c r="X9" s="18" t="n">
        <v>16217.23</v>
      </c>
      <c r="Y9" s="18" t="n">
        <v>26775.25</v>
      </c>
      <c r="Z9" s="37" t="n">
        <v>26775.25</v>
      </c>
      <c r="AA9" s="18" t="n">
        <v>35654.3</v>
      </c>
      <c r="AB9" s="19" t="n">
        <v>58677.94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매출채권및기타채권</t>
        </is>
      </c>
      <c r="E10" s="18" t="n">
        <v>32200.79</v>
      </c>
      <c r="F10" s="37" t="n">
        <v>32200.79</v>
      </c>
      <c r="G10" s="18" t="n">
        <v>56949.79</v>
      </c>
      <c r="H10" s="18" t="n">
        <v>43764.56</v>
      </c>
      <c r="I10" s="18" t="n">
        <v>30744.95</v>
      </c>
      <c r="J10" s="18" t="n">
        <v>29976.11</v>
      </c>
      <c r="K10" s="37" t="n">
        <v>29976.11</v>
      </c>
      <c r="L10" s="18" t="n">
        <v>39667.71</v>
      </c>
      <c r="M10" s="18" t="n">
        <v>39739.61</v>
      </c>
      <c r="N10" s="18" t="n">
        <v>28237.24</v>
      </c>
      <c r="O10" s="18" t="n">
        <v>29868.82</v>
      </c>
      <c r="P10" s="37" t="n">
        <v>29868.82</v>
      </c>
      <c r="Q10" s="18" t="n">
        <v>48163.6</v>
      </c>
      <c r="R10" s="18" t="n">
        <v>35810.35</v>
      </c>
      <c r="S10" s="18" t="n">
        <v>23892.82</v>
      </c>
      <c r="T10" s="18" t="n">
        <v>51576.69</v>
      </c>
      <c r="U10" s="37" t="n">
        <v>51576.69</v>
      </c>
      <c r="V10" s="18" t="n">
        <v>61521.1</v>
      </c>
      <c r="W10" s="18" t="n">
        <v>25806.6</v>
      </c>
      <c r="X10" s="18" t="n">
        <v>16031.6</v>
      </c>
      <c r="Y10" s="18" t="n">
        <v>38555.76</v>
      </c>
      <c r="Z10" s="37" t="n">
        <v>38555.76</v>
      </c>
      <c r="AA10" s="18" t="n">
        <v>24497.43</v>
      </c>
      <c r="AB10" s="19" t="n">
        <v>26230.92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계약자산</t>
        </is>
      </c>
      <c r="E11" s="18" t="n">
        <v>1962.36</v>
      </c>
      <c r="F11" s="37" t="n">
        <v>1962.36</v>
      </c>
      <c r="G11" s="18" t="n">
        <v>1165.39</v>
      </c>
      <c r="H11" s="18" t="n">
        <v>4726.92</v>
      </c>
      <c r="I11" s="18" t="n">
        <v>5004.79</v>
      </c>
      <c r="J11" s="18" t="n">
        <v>391.95</v>
      </c>
      <c r="K11" s="37" t="n">
        <v>391.95</v>
      </c>
      <c r="L11" s="18" t="n">
        <v>847.9400000000001</v>
      </c>
      <c r="M11" s="18" t="n">
        <v>406.02</v>
      </c>
      <c r="N11" s="18" t="n">
        <v>0</v>
      </c>
      <c r="O11" s="18" t="n">
        <v>190.13</v>
      </c>
      <c r="P11" s="37" t="n">
        <v>190.13</v>
      </c>
      <c r="Q11" s="18" t="n">
        <v>193.98</v>
      </c>
      <c r="R11" s="18" t="n">
        <v>192.44</v>
      </c>
      <c r="S11" s="18" t="n">
        <v>192.44</v>
      </c>
      <c r="T11" s="18" t="n">
        <v>5177.82</v>
      </c>
      <c r="U11" s="37" t="n">
        <v>5177.82</v>
      </c>
      <c r="V11" s="18" t="n">
        <v>192.44</v>
      </c>
      <c r="W11" s="18" t="n">
        <v>3878.74</v>
      </c>
      <c r="X11" s="18" t="n">
        <v>0</v>
      </c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10619.74</v>
      </c>
      <c r="F12" s="37" t="n">
        <v>10619.74</v>
      </c>
      <c r="G12" s="18" t="n">
        <v>7458.66</v>
      </c>
      <c r="H12" s="18" t="n">
        <v>5760.64</v>
      </c>
      <c r="I12" s="18" t="n">
        <v>6019.22</v>
      </c>
      <c r="J12" s="18" t="n">
        <v>5232.07</v>
      </c>
      <c r="K12" s="37" t="n">
        <v>5232.07</v>
      </c>
      <c r="L12" s="18" t="n">
        <v>5726.46</v>
      </c>
      <c r="M12" s="18" t="n">
        <v>3762.84</v>
      </c>
      <c r="N12" s="18" t="n">
        <v>6340.32</v>
      </c>
      <c r="O12" s="18" t="n">
        <v>6147.61</v>
      </c>
      <c r="P12" s="37" t="n">
        <v>6147.61</v>
      </c>
      <c r="Q12" s="18" t="n">
        <v>6158.9</v>
      </c>
      <c r="R12" s="18" t="n">
        <v>8248.57</v>
      </c>
      <c r="S12" s="18" t="n">
        <v>13467.6</v>
      </c>
      <c r="T12" s="18" t="n">
        <v>11970.72</v>
      </c>
      <c r="U12" s="37" t="n">
        <v>11970.72</v>
      </c>
      <c r="V12" s="18" t="n">
        <v>11509.09</v>
      </c>
      <c r="W12" s="18" t="n">
        <v>8875.870000000001</v>
      </c>
      <c r="X12" s="18" t="n">
        <v>7883.43</v>
      </c>
      <c r="Y12" s="18" t="n">
        <v>12008.7</v>
      </c>
      <c r="Z12" s="37" t="n">
        <v>12008.7</v>
      </c>
      <c r="AA12" s="18" t="n">
        <v>11523.03</v>
      </c>
      <c r="AB12" s="19" t="n">
        <v>13635.84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당기법인세자산(선급법인세)</t>
        </is>
      </c>
      <c r="E13" s="18" t="n">
        <v>20.99</v>
      </c>
      <c r="F13" s="37" t="n">
        <v>20.99</v>
      </c>
      <c r="G13" s="18" t="n">
        <v>8.31</v>
      </c>
      <c r="H13" s="18" t="n">
        <v>7.1</v>
      </c>
      <c r="I13" s="18" t="n">
        <v>8.26</v>
      </c>
      <c r="J13" s="18" t="n">
        <v>10.08</v>
      </c>
      <c r="K13" s="37" t="n">
        <v>10.08</v>
      </c>
      <c r="L13" s="18" t="n">
        <v>11.04</v>
      </c>
      <c r="M13" s="18" t="n">
        <v>1.95</v>
      </c>
      <c r="N13" s="18" t="n">
        <v>85.61</v>
      </c>
      <c r="O13" s="18" t="n">
        <v>3.98</v>
      </c>
      <c r="P13" s="37" t="n">
        <v>3.98</v>
      </c>
      <c r="Q13" s="18" t="n">
        <v>5.09</v>
      </c>
      <c r="R13" s="18" t="n">
        <v>2.2</v>
      </c>
      <c r="S13" s="18" t="n">
        <v>7.18</v>
      </c>
      <c r="T13" s="18" t="n">
        <v>68.65000000000001</v>
      </c>
      <c r="U13" s="37" t="n">
        <v>68.65000000000001</v>
      </c>
      <c r="V13" s="18" t="n">
        <v>69.58</v>
      </c>
      <c r="W13" s="18" t="n">
        <v>0.02</v>
      </c>
      <c r="X13" s="18" t="n">
        <v>0.03</v>
      </c>
      <c r="Y13" s="18" t="n">
        <v>0.05</v>
      </c>
      <c r="Z13" s="37" t="n">
        <v>0.05</v>
      </c>
      <c r="AA13" s="18" t="n">
        <v>0.06</v>
      </c>
      <c r="AB13" s="19" t="n">
        <v>0.02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재고자산</t>
        </is>
      </c>
      <c r="E14" s="18" t="n">
        <v>112637.3</v>
      </c>
      <c r="F14" s="37" t="n">
        <v>112637.3</v>
      </c>
      <c r="G14" s="18" t="n">
        <v>70580.53</v>
      </c>
      <c r="H14" s="18" t="n">
        <v>76036.19</v>
      </c>
      <c r="I14" s="18" t="n">
        <v>83963.14</v>
      </c>
      <c r="J14" s="18" t="n">
        <v>69668.60000000001</v>
      </c>
      <c r="K14" s="37" t="n">
        <v>69668.60000000001</v>
      </c>
      <c r="L14" s="18" t="n">
        <v>71409.88</v>
      </c>
      <c r="M14" s="18" t="n">
        <v>47616.81</v>
      </c>
      <c r="N14" s="18" t="n">
        <v>48789.74</v>
      </c>
      <c r="O14" s="18" t="n">
        <v>36070.27</v>
      </c>
      <c r="P14" s="37" t="n">
        <v>36070.27</v>
      </c>
      <c r="Q14" s="18" t="n">
        <v>37627.96</v>
      </c>
      <c r="R14" s="18" t="n">
        <v>40117.5</v>
      </c>
      <c r="S14" s="18" t="n">
        <v>40680.81</v>
      </c>
      <c r="T14" s="18" t="n">
        <v>31293.87</v>
      </c>
      <c r="U14" s="37" t="n">
        <v>31293.87</v>
      </c>
      <c r="V14" s="18" t="n">
        <v>34266.17</v>
      </c>
      <c r="W14" s="18" t="n">
        <v>33534.54</v>
      </c>
      <c r="X14" s="18" t="n">
        <v>36324.12</v>
      </c>
      <c r="Y14" s="18" t="n">
        <v>31650.95</v>
      </c>
      <c r="Z14" s="37" t="n">
        <v>31650.95</v>
      </c>
      <c r="AA14" s="18" t="n">
        <v>36259.16</v>
      </c>
      <c r="AB14" s="19" t="n">
        <v>34209.31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매각예정비유동자산및처분자산</t>
        </is>
      </c>
      <c r="E15" s="18" t="n">
        <v>0</v>
      </c>
      <c r="F15" s="37" t="n">
        <v>0</v>
      </c>
      <c r="J15" s="18" t="n">
        <v>0</v>
      </c>
      <c r="K15" s="37" t="n">
        <v>0</v>
      </c>
      <c r="P15" s="9" t="n"/>
      <c r="U15" s="9" t="n"/>
      <c r="Z15" s="9" t="n"/>
      <c r="AB15" s="19" t="n">
        <v>986.25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비유동자산</t>
        </is>
      </c>
      <c r="E16" s="18" t="n">
        <v>370904.7</v>
      </c>
      <c r="F16" s="37" t="n">
        <v>370904.7</v>
      </c>
      <c r="G16" s="18" t="n">
        <v>391461.51</v>
      </c>
      <c r="H16" s="18" t="n">
        <v>409624.06</v>
      </c>
      <c r="I16" s="18" t="n">
        <v>397881.39</v>
      </c>
      <c r="J16" s="18" t="n">
        <v>397024.86</v>
      </c>
      <c r="K16" s="37" t="n">
        <v>397024.86</v>
      </c>
      <c r="L16" s="18" t="n">
        <v>401360.12</v>
      </c>
      <c r="M16" s="18" t="n">
        <v>403480.08</v>
      </c>
      <c r="N16" s="18" t="n">
        <v>418077.89</v>
      </c>
      <c r="O16" s="18" t="n">
        <v>418498.12</v>
      </c>
      <c r="P16" s="37" t="n">
        <v>418498.12</v>
      </c>
      <c r="Q16" s="18" t="n">
        <v>419735.43</v>
      </c>
      <c r="R16" s="18" t="n">
        <v>427112.82</v>
      </c>
      <c r="S16" s="18" t="n">
        <v>430930.39</v>
      </c>
      <c r="T16" s="18" t="n">
        <v>441235.63</v>
      </c>
      <c r="U16" s="37" t="n">
        <v>441235.63</v>
      </c>
      <c r="V16" s="18" t="n">
        <v>447906.82</v>
      </c>
      <c r="W16" s="18" t="n">
        <v>460482.26</v>
      </c>
      <c r="X16" s="18" t="n">
        <v>467095.3</v>
      </c>
      <c r="Y16" s="18" t="n">
        <v>473719.16</v>
      </c>
      <c r="Z16" s="37" t="n">
        <v>473719.16</v>
      </c>
      <c r="AA16" s="18" t="n">
        <v>476315.05</v>
      </c>
      <c r="AB16" s="19" t="n">
        <v>482599.75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장기매출채권및기타채권</t>
        </is>
      </c>
      <c r="E17" s="18" t="n">
        <v>872.5700000000001</v>
      </c>
      <c r="F17" s="37" t="n">
        <v>872.5700000000001</v>
      </c>
      <c r="G17" s="18" t="n">
        <v>861.53</v>
      </c>
      <c r="H17" s="18" t="n">
        <v>542.5599999999999</v>
      </c>
      <c r="I17" s="18" t="n">
        <v>693.24</v>
      </c>
      <c r="J17" s="18" t="n">
        <v>838.04</v>
      </c>
      <c r="K17" s="37" t="n">
        <v>838.04</v>
      </c>
      <c r="L17" s="18" t="n">
        <v>1218.02</v>
      </c>
      <c r="M17" s="18" t="n">
        <v>775.8</v>
      </c>
      <c r="N17" s="18" t="n">
        <v>2377.67</v>
      </c>
      <c r="O17" s="18" t="n">
        <v>1700.85</v>
      </c>
      <c r="P17" s="37" t="n">
        <v>1700.85</v>
      </c>
      <c r="Q17" s="18" t="n">
        <v>1906.73</v>
      </c>
      <c r="R17" s="18" t="n">
        <v>1472.64</v>
      </c>
      <c r="S17" s="18" t="n">
        <v>1353.7</v>
      </c>
      <c r="T17" s="18" t="n">
        <v>1147.73</v>
      </c>
      <c r="U17" s="37" t="n">
        <v>1147.73</v>
      </c>
      <c r="V17" s="18" t="n">
        <v>1178.58</v>
      </c>
      <c r="W17" s="18" t="n">
        <v>14525.28</v>
      </c>
      <c r="X17" s="18" t="n">
        <v>15549.92</v>
      </c>
      <c r="Y17" s="18" t="n">
        <v>19687.52</v>
      </c>
      <c r="Z17" s="37" t="n">
        <v>19687.52</v>
      </c>
      <c r="AA17" s="18" t="n">
        <v>20801.3</v>
      </c>
      <c r="AB17" s="19" t="n">
        <v>21136.61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장기금융자산</t>
        </is>
      </c>
      <c r="E18" s="18" t="n">
        <v>8038.64</v>
      </c>
      <c r="F18" s="37" t="n">
        <v>8038.64</v>
      </c>
      <c r="G18" s="18" t="n">
        <v>8705.57</v>
      </c>
      <c r="H18" s="18" t="n">
        <v>27454.11</v>
      </c>
      <c r="I18" s="18" t="n">
        <v>10643.35</v>
      </c>
      <c r="J18" s="18" t="n">
        <v>9655.030000000001</v>
      </c>
      <c r="K18" s="37" t="n">
        <v>9655.030000000001</v>
      </c>
      <c r="L18" s="18" t="n">
        <v>14891.38</v>
      </c>
      <c r="M18" s="18" t="n">
        <v>16192.66</v>
      </c>
      <c r="N18" s="18" t="n">
        <v>15491</v>
      </c>
      <c r="O18" s="18" t="n">
        <v>15465.86</v>
      </c>
      <c r="P18" s="37" t="n">
        <v>15465.86</v>
      </c>
      <c r="Q18" s="18" t="n">
        <v>15318.81</v>
      </c>
      <c r="R18" s="18" t="n">
        <v>21576.81</v>
      </c>
      <c r="S18" s="18" t="n">
        <v>20500.33</v>
      </c>
      <c r="T18" s="18" t="n">
        <v>19887.19</v>
      </c>
      <c r="U18" s="37" t="n">
        <v>19887.19</v>
      </c>
      <c r="V18" s="18" t="n">
        <v>21519.9</v>
      </c>
      <c r="W18" s="18" t="n">
        <v>22558.18</v>
      </c>
      <c r="X18" s="18" t="n">
        <v>29794.03</v>
      </c>
      <c r="Y18" s="18" t="n">
        <v>30198.26</v>
      </c>
      <c r="Z18" s="37" t="n">
        <v>30198.26</v>
      </c>
      <c r="AA18" s="18" t="n">
        <v>31786.32</v>
      </c>
      <c r="AB18" s="19" t="n">
        <v>36464.26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투자자산</t>
        </is>
      </c>
      <c r="E19" s="18" t="n">
        <v>8038.64</v>
      </c>
      <c r="F19" s="37" t="n">
        <v>8038.64</v>
      </c>
      <c r="G19" s="18" t="n">
        <v>8705.57</v>
      </c>
      <c r="H19" s="18" t="n">
        <v>27454.11</v>
      </c>
      <c r="I19" s="18" t="n">
        <v>10643.35</v>
      </c>
      <c r="J19" s="18" t="n">
        <v>9655.030000000001</v>
      </c>
      <c r="K19" s="37" t="n">
        <v>9655.030000000001</v>
      </c>
      <c r="L19" s="18" t="n">
        <v>14891.38</v>
      </c>
      <c r="M19" s="18" t="n">
        <v>16192.66</v>
      </c>
      <c r="N19" s="18" t="n">
        <v>15491</v>
      </c>
      <c r="O19" s="18" t="n">
        <v>15465.86</v>
      </c>
      <c r="P19" s="37" t="n">
        <v>15465.86</v>
      </c>
      <c r="Q19" s="18" t="n">
        <v>15318.81</v>
      </c>
      <c r="R19" s="18" t="n">
        <v>21576.81</v>
      </c>
      <c r="S19" s="18" t="n">
        <v>20500.33</v>
      </c>
      <c r="T19" s="18" t="n">
        <v>19887.19</v>
      </c>
      <c r="U19" s="37" t="n">
        <v>19887.19</v>
      </c>
      <c r="V19" s="18" t="n">
        <v>21519.9</v>
      </c>
      <c r="W19" s="18" t="n">
        <v>22558.18</v>
      </c>
      <c r="X19" s="18" t="n">
        <v>29794.03</v>
      </c>
      <c r="Y19" s="18" t="n">
        <v>30198.26</v>
      </c>
      <c r="Z19" s="37" t="n">
        <v>30198.26</v>
      </c>
      <c r="AA19" s="18" t="n">
        <v>31786.32</v>
      </c>
      <c r="AB19" s="19" t="n">
        <v>36464.26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종속기업및관계기업투자</t>
        </is>
      </c>
      <c r="E20" s="18" t="n">
        <v>0</v>
      </c>
      <c r="F20" s="37" t="n">
        <v>0</v>
      </c>
      <c r="J20" s="18" t="n">
        <v>0</v>
      </c>
      <c r="K20" s="37" t="n">
        <v>0</v>
      </c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유형자산</t>
        </is>
      </c>
      <c r="E21" s="18" t="n">
        <v>339118.58</v>
      </c>
      <c r="F21" s="37" t="n">
        <v>339118.58</v>
      </c>
      <c r="G21" s="18" t="n">
        <v>357299.42</v>
      </c>
      <c r="H21" s="18" t="n">
        <v>359959.38</v>
      </c>
      <c r="I21" s="18" t="n">
        <v>365692.01</v>
      </c>
      <c r="J21" s="18" t="n">
        <v>366038.15</v>
      </c>
      <c r="K21" s="37" t="n">
        <v>366038.15</v>
      </c>
      <c r="L21" s="18" t="n">
        <v>363344.23</v>
      </c>
      <c r="M21" s="18" t="n">
        <v>365127.41</v>
      </c>
      <c r="N21" s="18" t="n">
        <v>378722.38</v>
      </c>
      <c r="O21" s="18" t="n">
        <v>377377.93</v>
      </c>
      <c r="P21" s="37" t="n">
        <v>377377.93</v>
      </c>
      <c r="Q21" s="18" t="n">
        <v>378946.66</v>
      </c>
      <c r="R21" s="18" t="n">
        <v>379986.41</v>
      </c>
      <c r="S21" s="18" t="n">
        <v>383107.34</v>
      </c>
      <c r="T21" s="18" t="n">
        <v>393056.78</v>
      </c>
      <c r="U21" s="37" t="n">
        <v>393056.78</v>
      </c>
      <c r="V21" s="18" t="n">
        <v>392782.08</v>
      </c>
      <c r="W21" s="18" t="n">
        <v>391661.56</v>
      </c>
      <c r="X21" s="18" t="n">
        <v>391418.12</v>
      </c>
      <c r="Y21" s="18" t="n">
        <v>384127.19</v>
      </c>
      <c r="Z21" s="37" t="n">
        <v>384127.19</v>
      </c>
      <c r="AA21" s="18" t="n">
        <v>384477.73</v>
      </c>
      <c r="AB21" s="19" t="n">
        <v>387603.68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사용권자산</t>
        </is>
      </c>
      <c r="E22" s="18" t="n">
        <v>4220.09</v>
      </c>
      <c r="F22" s="37" t="n">
        <v>4220.09</v>
      </c>
      <c r="G22" s="18" t="n">
        <v>4041.95</v>
      </c>
      <c r="H22" s="18" t="n">
        <v>4569.46</v>
      </c>
      <c r="I22" s="18" t="n">
        <v>4239.45</v>
      </c>
      <c r="J22" s="18" t="n">
        <v>4060.19</v>
      </c>
      <c r="K22" s="37" t="n">
        <v>4060.19</v>
      </c>
      <c r="L22" s="18" t="n">
        <v>3904.97</v>
      </c>
      <c r="M22" s="18" t="n">
        <v>4054.65</v>
      </c>
      <c r="N22" s="18" t="n">
        <v>4197.24</v>
      </c>
      <c r="O22" s="18" t="n">
        <v>4046.92</v>
      </c>
      <c r="P22" s="37" t="n">
        <v>4046.92</v>
      </c>
      <c r="Q22" s="18" t="n">
        <v>3755.16</v>
      </c>
      <c r="R22" s="18" t="n">
        <v>3446.25</v>
      </c>
      <c r="S22" s="18" t="n">
        <v>3155.02</v>
      </c>
      <c r="T22" s="18" t="n">
        <v>2849.77</v>
      </c>
      <c r="U22" s="37" t="n">
        <v>2849.77</v>
      </c>
      <c r="V22" s="18" t="n">
        <v>9282.09</v>
      </c>
      <c r="W22" s="18" t="n">
        <v>8737.65</v>
      </c>
      <c r="X22" s="18" t="n">
        <v>8130.05</v>
      </c>
      <c r="Y22" s="18" t="n">
        <v>8009.74</v>
      </c>
      <c r="Z22" s="37" t="n">
        <v>8009.74</v>
      </c>
      <c r="AA22" s="18" t="n">
        <v>7357.28</v>
      </c>
      <c r="AB22" s="19" t="n">
        <v>6710.03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기타비유동자산</t>
        </is>
      </c>
      <c r="E23" s="18" t="n">
        <v>4220.09</v>
      </c>
      <c r="F23" s="37" t="n">
        <v>4220.09</v>
      </c>
      <c r="G23" s="18" t="n">
        <v>4041.95</v>
      </c>
      <c r="H23" s="18" t="n">
        <v>4569.46</v>
      </c>
      <c r="I23" s="18" t="n">
        <v>4239.45</v>
      </c>
      <c r="J23" s="18" t="n">
        <v>4060.19</v>
      </c>
      <c r="K23" s="37" t="n">
        <v>4060.19</v>
      </c>
      <c r="L23" s="18" t="n">
        <v>3904.97</v>
      </c>
      <c r="M23" s="18" t="n">
        <v>4054.65</v>
      </c>
      <c r="N23" s="18" t="n">
        <v>4197.24</v>
      </c>
      <c r="O23" s="18" t="n">
        <v>4046.92</v>
      </c>
      <c r="P23" s="37" t="n">
        <v>4046.92</v>
      </c>
      <c r="Q23" s="18" t="n">
        <v>3755.16</v>
      </c>
      <c r="R23" s="18" t="n">
        <v>3446.25</v>
      </c>
      <c r="S23" s="18" t="n">
        <v>3155.02</v>
      </c>
      <c r="T23" s="18" t="n">
        <v>2849.77</v>
      </c>
      <c r="U23" s="37" t="n">
        <v>2849.77</v>
      </c>
      <c r="V23" s="18" t="n">
        <v>9282.09</v>
      </c>
      <c r="W23" s="18" t="n">
        <v>8737.65</v>
      </c>
      <c r="X23" s="18" t="n">
        <v>8130.05</v>
      </c>
      <c r="Y23" s="18" t="n">
        <v>8009.74</v>
      </c>
      <c r="Z23" s="37" t="n">
        <v>8009.74</v>
      </c>
      <c r="AA23" s="18" t="n">
        <v>7357.28</v>
      </c>
      <c r="AB23" s="19" t="n">
        <v>6710.03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무형자산</t>
        </is>
      </c>
      <c r="E24" s="18" t="n">
        <v>12903.86</v>
      </c>
      <c r="F24" s="37" t="n">
        <v>12903.86</v>
      </c>
      <c r="G24" s="18" t="n">
        <v>12881.58</v>
      </c>
      <c r="H24" s="18" t="n">
        <v>12864.7</v>
      </c>
      <c r="I24" s="18" t="n">
        <v>13254.99</v>
      </c>
      <c r="J24" s="18" t="n">
        <v>13260.69</v>
      </c>
      <c r="K24" s="37" t="n">
        <v>13260.69</v>
      </c>
      <c r="L24" s="18" t="n">
        <v>13240.65</v>
      </c>
      <c r="M24" s="18" t="n">
        <v>13612.61</v>
      </c>
      <c r="N24" s="18" t="n">
        <v>13606.5</v>
      </c>
      <c r="O24" s="18" t="n">
        <v>13583.04</v>
      </c>
      <c r="P24" s="37" t="n">
        <v>13583.04</v>
      </c>
      <c r="Q24" s="18" t="n">
        <v>13565.09</v>
      </c>
      <c r="R24" s="18" t="n">
        <v>13647.45</v>
      </c>
      <c r="S24" s="18" t="n">
        <v>13636.69</v>
      </c>
      <c r="T24" s="18" t="n">
        <v>13619.33</v>
      </c>
      <c r="U24" s="37" t="n">
        <v>13619.33</v>
      </c>
      <c r="V24" s="18" t="n">
        <v>13606.87</v>
      </c>
      <c r="W24" s="18" t="n">
        <v>13594.64</v>
      </c>
      <c r="X24" s="18" t="n">
        <v>13582.88</v>
      </c>
      <c r="Y24" s="18" t="n">
        <v>13571.13</v>
      </c>
      <c r="Z24" s="37" t="n">
        <v>13571.13</v>
      </c>
      <c r="AA24" s="18" t="n">
        <v>13568.75</v>
      </c>
      <c r="AB24" s="19" t="n">
        <v>13565.79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이연법인세자산</t>
        </is>
      </c>
      <c r="E25" s="18" t="n">
        <v>5750.95</v>
      </c>
      <c r="F25" s="37" t="n">
        <v>5750.95</v>
      </c>
      <c r="G25" s="18" t="n">
        <v>7671.46</v>
      </c>
      <c r="H25" s="18" t="n">
        <v>4233.84</v>
      </c>
      <c r="I25" s="18" t="n">
        <v>3358.35</v>
      </c>
      <c r="J25" s="18" t="n">
        <v>3172.76</v>
      </c>
      <c r="K25" s="37" t="n">
        <v>3172.76</v>
      </c>
      <c r="L25" s="18" t="n">
        <v>4760.87</v>
      </c>
      <c r="M25" s="18" t="n">
        <v>3716.96</v>
      </c>
      <c r="N25" s="18" t="n">
        <v>3683.09</v>
      </c>
      <c r="O25" s="18" t="n">
        <v>6323.53</v>
      </c>
      <c r="P25" s="37" t="n">
        <v>6323.53</v>
      </c>
      <c r="Q25" s="18" t="n">
        <v>6242.98</v>
      </c>
      <c r="R25" s="18" t="n">
        <v>6983.25</v>
      </c>
      <c r="S25" s="18" t="n">
        <v>9177.309999999999</v>
      </c>
      <c r="T25" s="18" t="n">
        <v>10674.83</v>
      </c>
      <c r="U25" s="37" t="n">
        <v>10674.83</v>
      </c>
      <c r="V25" s="18" t="n">
        <v>9537.299999999999</v>
      </c>
      <c r="W25" s="18" t="n">
        <v>9404.959999999999</v>
      </c>
      <c r="X25" s="18" t="n">
        <v>8620.290000000001</v>
      </c>
      <c r="Y25" s="18" t="n">
        <v>9956.040000000001</v>
      </c>
      <c r="Z25" s="37" t="n">
        <v>9956.040000000001</v>
      </c>
      <c r="AA25" s="18" t="n">
        <v>10154.37</v>
      </c>
      <c r="AB25" s="19" t="n">
        <v>8950.08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자산총계</t>
        </is>
      </c>
      <c r="E26" s="18" t="n">
        <v>570404.3</v>
      </c>
      <c r="F26" s="37" t="n">
        <v>570404.3</v>
      </c>
      <c r="G26" s="18" t="n">
        <v>570460.24</v>
      </c>
      <c r="H26" s="18" t="n">
        <v>555082.8199999999</v>
      </c>
      <c r="I26" s="18" t="n">
        <v>557163.61</v>
      </c>
      <c r="J26" s="18" t="n">
        <v>551849.17</v>
      </c>
      <c r="K26" s="37" t="n">
        <v>551849.17</v>
      </c>
      <c r="L26" s="18" t="n">
        <v>551535.47</v>
      </c>
      <c r="M26" s="18" t="n">
        <v>534554.72</v>
      </c>
      <c r="N26" s="18" t="n">
        <v>544559.8199999999</v>
      </c>
      <c r="O26" s="18" t="n">
        <v>544018.92</v>
      </c>
      <c r="P26" s="37" t="n">
        <v>544018.92</v>
      </c>
      <c r="Q26" s="18" t="n">
        <v>583690.4300000001</v>
      </c>
      <c r="R26" s="18" t="n">
        <v>559779.61</v>
      </c>
      <c r="S26" s="18" t="n">
        <v>591129.42</v>
      </c>
      <c r="T26" s="18" t="n">
        <v>620877.55</v>
      </c>
      <c r="U26" s="37" t="n">
        <v>620877.55</v>
      </c>
      <c r="V26" s="18" t="n">
        <v>630064.89</v>
      </c>
      <c r="W26" s="18" t="n">
        <v>627133.95</v>
      </c>
      <c r="X26" s="18" t="n">
        <v>641493.74</v>
      </c>
      <c r="Y26" s="18" t="n">
        <v>637763.65</v>
      </c>
      <c r="Z26" s="37" t="n">
        <v>637763.65</v>
      </c>
      <c r="AA26" s="18" t="n">
        <v>653797.2</v>
      </c>
      <c r="AB26" s="19" t="n">
        <v>659808.9300000001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유동부채</t>
        </is>
      </c>
      <c r="E27" s="18" t="n">
        <v>241375.17</v>
      </c>
      <c r="F27" s="37" t="n">
        <v>241375.17</v>
      </c>
      <c r="G27" s="18" t="n">
        <v>218630.7</v>
      </c>
      <c r="H27" s="18" t="n">
        <v>227674.89</v>
      </c>
      <c r="I27" s="18" t="n">
        <v>266883.85</v>
      </c>
      <c r="J27" s="18" t="n">
        <v>245938.22</v>
      </c>
      <c r="K27" s="37" t="n">
        <v>245938.22</v>
      </c>
      <c r="L27" s="18" t="n">
        <v>304791.31</v>
      </c>
      <c r="M27" s="18" t="n">
        <v>283822.14</v>
      </c>
      <c r="N27" s="18" t="n">
        <v>265825.43</v>
      </c>
      <c r="O27" s="18" t="n">
        <v>247450.77</v>
      </c>
      <c r="P27" s="37" t="n">
        <v>247450.77</v>
      </c>
      <c r="Q27" s="18" t="n">
        <v>279334.83</v>
      </c>
      <c r="R27" s="18" t="n">
        <v>254465.61</v>
      </c>
      <c r="S27" s="18" t="n">
        <v>297598.92</v>
      </c>
      <c r="T27" s="18" t="n">
        <v>307570.48</v>
      </c>
      <c r="U27" s="37" t="n">
        <v>307570.48</v>
      </c>
      <c r="V27" s="18" t="n">
        <v>310609.46</v>
      </c>
      <c r="W27" s="18" t="n">
        <v>303540.87</v>
      </c>
      <c r="X27" s="18" t="n">
        <v>227355.89</v>
      </c>
      <c r="Y27" s="18" t="n">
        <v>200224.65</v>
      </c>
      <c r="Z27" s="37" t="n">
        <v>200224.65</v>
      </c>
      <c r="AA27" s="18" t="n">
        <v>220237.9</v>
      </c>
      <c r="AB27" s="19" t="n">
        <v>205546.29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매입채무및기타채무</t>
        </is>
      </c>
      <c r="E28" s="18" t="n">
        <v>56550.61</v>
      </c>
      <c r="F28" s="37" t="n">
        <v>56550.61</v>
      </c>
      <c r="G28" s="18" t="n">
        <v>59034.34</v>
      </c>
      <c r="H28" s="18" t="n">
        <v>44457.98</v>
      </c>
      <c r="I28" s="18" t="n">
        <v>37900.98</v>
      </c>
      <c r="J28" s="18" t="n">
        <v>29354.6</v>
      </c>
      <c r="K28" s="37" t="n">
        <v>29354.6</v>
      </c>
      <c r="L28" s="18" t="n">
        <v>48683.56</v>
      </c>
      <c r="M28" s="18" t="n">
        <v>43355.95</v>
      </c>
      <c r="N28" s="18" t="n">
        <v>51938.46</v>
      </c>
      <c r="O28" s="18" t="n">
        <v>41683.14</v>
      </c>
      <c r="P28" s="37" t="n">
        <v>41683.14</v>
      </c>
      <c r="Q28" s="18" t="n">
        <v>76014.84</v>
      </c>
      <c r="R28" s="18" t="n">
        <v>55300.82</v>
      </c>
      <c r="S28" s="18" t="n">
        <v>48495.62</v>
      </c>
      <c r="T28" s="18" t="n">
        <v>59526.84</v>
      </c>
      <c r="U28" s="37" t="n">
        <v>59526.84</v>
      </c>
      <c r="V28" s="18" t="n">
        <v>69662.71000000001</v>
      </c>
      <c r="W28" s="18" t="n">
        <v>63036.54</v>
      </c>
      <c r="X28" s="18" t="n">
        <v>54729.31</v>
      </c>
      <c r="Y28" s="18" t="n">
        <v>52099.38</v>
      </c>
      <c r="Z28" s="37" t="n">
        <v>52099.38</v>
      </c>
      <c r="AA28" s="18" t="n">
        <v>71940.42999999999</v>
      </c>
      <c r="AB28" s="19" t="n">
        <v>53203.34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계약부채</t>
        </is>
      </c>
      <c r="E29" s="18" t="n">
        <v>39485.15</v>
      </c>
      <c r="F29" s="37" t="n">
        <v>39485.15</v>
      </c>
      <c r="G29" s="18" t="n">
        <v>17379.57</v>
      </c>
      <c r="H29" s="18" t="n">
        <v>12905.83</v>
      </c>
      <c r="I29" s="18" t="n">
        <v>11004.26</v>
      </c>
      <c r="J29" s="18" t="n">
        <v>18123.98</v>
      </c>
      <c r="K29" s="37" t="n">
        <v>18123.98</v>
      </c>
      <c r="L29" s="18" t="n">
        <v>11773.52</v>
      </c>
      <c r="M29" s="18" t="n">
        <v>4814.15</v>
      </c>
      <c r="N29" s="18" t="n">
        <v>4759.15</v>
      </c>
      <c r="O29" s="18" t="n">
        <v>3172.67</v>
      </c>
      <c r="P29" s="37" t="n">
        <v>3172.67</v>
      </c>
      <c r="Q29" s="18" t="n">
        <v>12619.59</v>
      </c>
      <c r="R29" s="18" t="n">
        <v>13529.6</v>
      </c>
      <c r="S29" s="18" t="n">
        <v>15959.13</v>
      </c>
      <c r="T29" s="18" t="n">
        <v>13291.26</v>
      </c>
      <c r="U29" s="37" t="n">
        <v>13291.26</v>
      </c>
      <c r="V29" s="18" t="n">
        <v>5643.76</v>
      </c>
      <c r="W29" s="18" t="n">
        <v>5175</v>
      </c>
      <c r="X29" s="18" t="n">
        <v>17894.37</v>
      </c>
      <c r="Y29" s="18" t="n">
        <v>5175</v>
      </c>
      <c r="Z29" s="37" t="n">
        <v>5175</v>
      </c>
      <c r="AA29" s="18" t="n">
        <v>725.22</v>
      </c>
      <c r="AB29" s="19" t="n">
        <v>4286.67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당기법인세부채(미지급법인세)</t>
        </is>
      </c>
      <c r="E30" s="18" t="n">
        <v>12208.71</v>
      </c>
      <c r="F30" s="37" t="n">
        <v>12208.71</v>
      </c>
      <c r="G30" s="18" t="n">
        <v>6629.09</v>
      </c>
      <c r="H30" s="18" t="n">
        <v>73.5</v>
      </c>
      <c r="I30" s="18" t="n">
        <v>602.61</v>
      </c>
      <c r="J30" s="18" t="n">
        <v>673.26</v>
      </c>
      <c r="K30" s="37" t="n">
        <v>673.26</v>
      </c>
      <c r="L30" s="18" t="n">
        <v>368.95</v>
      </c>
      <c r="M30" s="18" t="n">
        <v>3407.76</v>
      </c>
      <c r="N30" s="18" t="n">
        <v>3059.1</v>
      </c>
      <c r="O30" s="18" t="n">
        <v>9241.059999999999</v>
      </c>
      <c r="P30" s="37" t="n">
        <v>9241.059999999999</v>
      </c>
      <c r="Q30" s="18" t="n">
        <v>5777.9</v>
      </c>
      <c r="R30" s="18" t="n">
        <v>5913.41</v>
      </c>
      <c r="S30" s="18" t="n">
        <v>4043.35</v>
      </c>
      <c r="T30" s="18" t="n">
        <v>8325.35</v>
      </c>
      <c r="U30" s="37" t="n">
        <v>8325.35</v>
      </c>
      <c r="V30" s="18" t="n">
        <v>7653.73</v>
      </c>
      <c r="W30" s="18" t="n">
        <v>5743.46</v>
      </c>
      <c r="X30" s="18" t="n">
        <v>2642.92</v>
      </c>
      <c r="Y30" s="18" t="n">
        <v>8488.24</v>
      </c>
      <c r="Z30" s="37" t="n">
        <v>8488.24</v>
      </c>
      <c r="AA30" s="18" t="n">
        <v>9461.33</v>
      </c>
      <c r="AB30" s="19" t="n">
        <v>10603.22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단기차입금</t>
        </is>
      </c>
      <c r="E31" s="18" t="n">
        <v>36740.57</v>
      </c>
      <c r="F31" s="37" t="n">
        <v>36740.57</v>
      </c>
      <c r="G31" s="18" t="n">
        <v>54740.57</v>
      </c>
      <c r="H31" s="18" t="n">
        <v>53740.57</v>
      </c>
      <c r="I31" s="18" t="n">
        <v>57853.57</v>
      </c>
      <c r="J31" s="18" t="n">
        <v>54476.57</v>
      </c>
      <c r="K31" s="37" t="n">
        <v>54476.57</v>
      </c>
      <c r="L31" s="18" t="n">
        <v>56466.57</v>
      </c>
      <c r="M31" s="18" t="n">
        <v>77766.57000000001</v>
      </c>
      <c r="N31" s="18" t="n">
        <v>83727.50999999999</v>
      </c>
      <c r="O31" s="18" t="n">
        <v>88076</v>
      </c>
      <c r="P31" s="37" t="n">
        <v>88076</v>
      </c>
      <c r="Q31" s="18" t="n">
        <v>120076</v>
      </c>
      <c r="R31" s="18" t="n">
        <v>115076</v>
      </c>
      <c r="S31" s="18" t="n">
        <v>136476</v>
      </c>
      <c r="T31" s="18" t="n">
        <v>136476</v>
      </c>
      <c r="U31" s="37" t="n">
        <v>136476</v>
      </c>
      <c r="V31" s="18" t="n">
        <v>136476</v>
      </c>
      <c r="W31" s="18" t="n">
        <v>138461</v>
      </c>
      <c r="X31" s="18" t="n">
        <v>72261</v>
      </c>
      <c r="Y31" s="18" t="n">
        <v>47801</v>
      </c>
      <c r="Z31" s="37" t="n">
        <v>47801</v>
      </c>
      <c r="AA31" s="18" t="n">
        <v>132331</v>
      </c>
      <c r="AB31" s="19" t="n">
        <v>45801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유동리스부채</t>
        </is>
      </c>
      <c r="E32" s="18" t="n">
        <v>1419.51</v>
      </c>
      <c r="F32" s="37" t="n">
        <v>1419.51</v>
      </c>
      <c r="G32" s="18" t="n">
        <v>1212.16</v>
      </c>
      <c r="H32" s="18" t="n">
        <v>1044.11</v>
      </c>
      <c r="I32" s="18" t="n">
        <v>758.47</v>
      </c>
      <c r="J32" s="18" t="n">
        <v>751.6799999999999</v>
      </c>
      <c r="K32" s="37" t="n">
        <v>751.6799999999999</v>
      </c>
      <c r="L32" s="18" t="n">
        <v>765.63</v>
      </c>
      <c r="M32" s="18" t="n">
        <v>909.29</v>
      </c>
      <c r="N32" s="18" t="n">
        <v>1207.48</v>
      </c>
      <c r="O32" s="18" t="n">
        <v>1269.44</v>
      </c>
      <c r="P32" s="37" t="n">
        <v>1269.44</v>
      </c>
      <c r="Q32" s="18" t="n">
        <v>1561.82</v>
      </c>
      <c r="R32" s="18" t="n">
        <v>1306.15</v>
      </c>
      <c r="S32" s="18" t="n">
        <v>1039.39</v>
      </c>
      <c r="T32" s="18" t="n">
        <v>737.48</v>
      </c>
      <c r="U32" s="37" t="n">
        <v>737.48</v>
      </c>
      <c r="V32" s="18" t="n">
        <v>2861.5</v>
      </c>
      <c r="W32" s="18" t="n">
        <v>2770.68</v>
      </c>
      <c r="X32" s="18" t="n">
        <v>2613.53</v>
      </c>
      <c r="Y32" s="18" t="n">
        <v>2710.97</v>
      </c>
      <c r="Z32" s="37" t="n">
        <v>2710.97</v>
      </c>
      <c r="AA32" s="18" t="n">
        <v>2692.04</v>
      </c>
      <c r="AB32" s="19" t="n">
        <v>2674.43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리스부채</t>
        </is>
      </c>
      <c r="E33" s="18" t="n">
        <v>4108.55</v>
      </c>
      <c r="F33" s="37" t="n">
        <v>4108.55</v>
      </c>
      <c r="G33" s="18" t="n">
        <v>3787.66</v>
      </c>
      <c r="H33" s="18" t="n">
        <v>3835.28</v>
      </c>
      <c r="I33" s="18" t="n">
        <v>3363.66</v>
      </c>
      <c r="J33" s="18" t="n">
        <v>3169.55</v>
      </c>
      <c r="K33" s="37" t="n">
        <v>3169.55</v>
      </c>
      <c r="L33" s="18" t="n">
        <v>3011.55</v>
      </c>
      <c r="M33" s="18" t="n">
        <v>3107.94</v>
      </c>
      <c r="N33" s="18" t="n">
        <v>3268.94</v>
      </c>
      <c r="O33" s="18" t="n">
        <v>3110.53</v>
      </c>
      <c r="P33" s="37" t="n">
        <v>3110.53</v>
      </c>
      <c r="Q33" s="18" t="n">
        <v>2814.26</v>
      </c>
      <c r="R33" s="18" t="n">
        <v>2494.19</v>
      </c>
      <c r="S33" s="18" t="n">
        <v>2187.64</v>
      </c>
      <c r="T33" s="18" t="n">
        <v>1866.15</v>
      </c>
      <c r="U33" s="37" t="n">
        <v>1866.15</v>
      </c>
      <c r="V33" s="18" t="n">
        <v>8328.18</v>
      </c>
      <c r="W33" s="18" t="n">
        <v>7807.67</v>
      </c>
      <c r="X33" s="18" t="n">
        <v>7217.57</v>
      </c>
      <c r="Y33" s="18" t="n">
        <v>7049.15</v>
      </c>
      <c r="Z33" s="37" t="n">
        <v>7049.15</v>
      </c>
      <c r="AA33" s="18" t="n">
        <v>6415.59</v>
      </c>
      <c r="AB33" s="19" t="n">
        <v>5782.16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단기금융부채</t>
        </is>
      </c>
      <c r="E34" s="18" t="n">
        <v>1419.51</v>
      </c>
      <c r="F34" s="37" t="n">
        <v>1419.51</v>
      </c>
      <c r="G34" s="18" t="n">
        <v>1212.16</v>
      </c>
      <c r="H34" s="18" t="n">
        <v>1044.11</v>
      </c>
      <c r="I34" s="18" t="n">
        <v>758.47</v>
      </c>
      <c r="J34" s="18" t="n">
        <v>751.6799999999999</v>
      </c>
      <c r="K34" s="37" t="n">
        <v>751.6799999999999</v>
      </c>
      <c r="L34" s="18" t="n">
        <v>765.63</v>
      </c>
      <c r="M34" s="18" t="n">
        <v>909.29</v>
      </c>
      <c r="N34" s="18" t="n">
        <v>1207.48</v>
      </c>
      <c r="O34" s="18" t="n">
        <v>1269.44</v>
      </c>
      <c r="P34" s="37" t="n">
        <v>1269.44</v>
      </c>
      <c r="Q34" s="18" t="n">
        <v>1561.82</v>
      </c>
      <c r="R34" s="18" t="n">
        <v>1306.15</v>
      </c>
      <c r="S34" s="18" t="n">
        <v>1039.39</v>
      </c>
      <c r="T34" s="18" t="n">
        <v>737.48</v>
      </c>
      <c r="U34" s="37" t="n">
        <v>737.48</v>
      </c>
      <c r="V34" s="18" t="n">
        <v>2861.5</v>
      </c>
      <c r="W34" s="18" t="n">
        <v>2770.68</v>
      </c>
      <c r="X34" s="18" t="n">
        <v>2613.53</v>
      </c>
      <c r="Y34" s="18" t="n">
        <v>2710.97</v>
      </c>
      <c r="Z34" s="37" t="n">
        <v>2710.97</v>
      </c>
      <c r="AA34" s="18" t="n">
        <v>2692.04</v>
      </c>
      <c r="AB34" s="19" t="n">
        <v>2674.43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기타유동부채</t>
        </is>
      </c>
      <c r="E35" s="18" t="n">
        <v>1103.18</v>
      </c>
      <c r="F35" s="37" t="n">
        <v>1103.18</v>
      </c>
      <c r="G35" s="18" t="n">
        <v>1091.13</v>
      </c>
      <c r="H35" s="18" t="n">
        <v>1578.01</v>
      </c>
      <c r="I35" s="18" t="n">
        <v>4553.21</v>
      </c>
      <c r="J35" s="18" t="n">
        <v>1348.72</v>
      </c>
      <c r="K35" s="37" t="n">
        <v>1348.72</v>
      </c>
      <c r="L35" s="18" t="n">
        <v>2344.38</v>
      </c>
      <c r="M35" s="18" t="n">
        <v>2234.05</v>
      </c>
      <c r="N35" s="18" t="n">
        <v>2615.58</v>
      </c>
      <c r="O35" s="18" t="n">
        <v>1722.79</v>
      </c>
      <c r="P35" s="37" t="n">
        <v>1722.79</v>
      </c>
      <c r="Q35" s="18" t="n">
        <v>717.9299999999999</v>
      </c>
      <c r="R35" s="18" t="n">
        <v>737.4299999999999</v>
      </c>
      <c r="S35" s="18" t="n">
        <v>1932.94</v>
      </c>
      <c r="T35" s="18" t="n">
        <v>1395.62</v>
      </c>
      <c r="U35" s="37" t="n">
        <v>1395.62</v>
      </c>
      <c r="V35" s="18" t="n">
        <v>903.11</v>
      </c>
      <c r="W35" s="18" t="n">
        <v>849.78</v>
      </c>
      <c r="X35" s="18" t="n">
        <v>2838.42</v>
      </c>
      <c r="Y35" s="18" t="n">
        <v>2690.95</v>
      </c>
      <c r="Z35" s="37" t="n">
        <v>2690.95</v>
      </c>
      <c r="AA35" s="18" t="n">
        <v>1665.49</v>
      </c>
      <c r="AB35" s="19" t="n">
        <v>1974.01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단기충당부채</t>
        </is>
      </c>
      <c r="E36" s="18" t="n">
        <v>2050.39</v>
      </c>
      <c r="F36" s="37" t="n">
        <v>2050.39</v>
      </c>
      <c r="G36" s="18" t="n">
        <v>2256.2</v>
      </c>
      <c r="H36" s="18" t="n">
        <v>3073.46</v>
      </c>
      <c r="I36" s="18" t="n">
        <v>3081.32</v>
      </c>
      <c r="J36" s="18" t="n">
        <v>3079.97</v>
      </c>
      <c r="K36" s="37" t="n">
        <v>3079.97</v>
      </c>
      <c r="L36" s="18" t="n">
        <v>3250.86</v>
      </c>
      <c r="M36" s="18" t="n">
        <v>4033.88</v>
      </c>
      <c r="N36" s="18" t="n">
        <v>4206.11</v>
      </c>
      <c r="O36" s="18" t="n">
        <v>1759.64</v>
      </c>
      <c r="P36" s="37" t="n">
        <v>1759.64</v>
      </c>
      <c r="Q36" s="18" t="n">
        <v>1686.62</v>
      </c>
      <c r="R36" s="18" t="n">
        <v>1722.25</v>
      </c>
      <c r="S36" s="18" t="n">
        <v>1605.85</v>
      </c>
      <c r="T36" s="18" t="n">
        <v>1487.93</v>
      </c>
      <c r="U36" s="37" t="n">
        <v>1487.93</v>
      </c>
      <c r="V36" s="18" t="n">
        <v>1378.65</v>
      </c>
      <c r="W36" s="18" t="n">
        <v>1774.4</v>
      </c>
      <c r="X36" s="18" t="n">
        <v>1746.35</v>
      </c>
      <c r="Y36" s="18" t="n">
        <v>1679.11</v>
      </c>
      <c r="Z36" s="37" t="n">
        <v>1679.11</v>
      </c>
      <c r="AA36" s="18" t="n">
        <v>1422.41</v>
      </c>
      <c r="AB36" s="19" t="n">
        <v>1523.62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비유동부채</t>
        </is>
      </c>
      <c r="E37" s="18" t="n">
        <v>125834.4</v>
      </c>
      <c r="F37" s="37" t="n">
        <v>125834.4</v>
      </c>
      <c r="G37" s="18" t="n">
        <v>163866.34</v>
      </c>
      <c r="H37" s="18" t="n">
        <v>128168.67</v>
      </c>
      <c r="I37" s="18" t="n">
        <v>86288.69</v>
      </c>
      <c r="J37" s="18" t="n">
        <v>96565.64</v>
      </c>
      <c r="K37" s="37" t="n">
        <v>96565.64</v>
      </c>
      <c r="L37" s="18" t="n">
        <v>52401.27</v>
      </c>
      <c r="M37" s="18" t="n">
        <v>41036.83</v>
      </c>
      <c r="N37" s="18" t="n">
        <v>66650.73</v>
      </c>
      <c r="O37" s="18" t="n">
        <v>64882.07</v>
      </c>
      <c r="P37" s="37" t="n">
        <v>64882.07</v>
      </c>
      <c r="Q37" s="18" t="n">
        <v>71255.28</v>
      </c>
      <c r="R37" s="18" t="n">
        <v>70619.88</v>
      </c>
      <c r="S37" s="18" t="n">
        <v>60598.09</v>
      </c>
      <c r="T37" s="18" t="n">
        <v>63915.62</v>
      </c>
      <c r="U37" s="37" t="n">
        <v>63915.62</v>
      </c>
      <c r="V37" s="18" t="n">
        <v>68080.78999999999</v>
      </c>
      <c r="W37" s="18" t="n">
        <v>66994.50999999999</v>
      </c>
      <c r="X37" s="18" t="n">
        <v>146251.63</v>
      </c>
      <c r="Y37" s="18" t="n">
        <v>138044.91</v>
      </c>
      <c r="Z37" s="37" t="n">
        <v>138044.91</v>
      </c>
      <c r="AA37" s="18" t="n">
        <v>132119.06</v>
      </c>
      <c r="AB37" s="19" t="n">
        <v>131840.6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장기차입금</t>
        </is>
      </c>
      <c r="E38" s="18" t="n">
        <v>99928</v>
      </c>
      <c r="F38" s="37" t="n">
        <v>99928</v>
      </c>
      <c r="G38" s="18" t="n">
        <v>137828</v>
      </c>
      <c r="H38" s="18" t="n">
        <v>117228</v>
      </c>
      <c r="I38" s="18" t="n">
        <v>74800</v>
      </c>
      <c r="J38" s="18" t="n">
        <v>87200</v>
      </c>
      <c r="K38" s="37" t="n">
        <v>87200</v>
      </c>
      <c r="L38" s="18" t="n">
        <v>41991.59</v>
      </c>
      <c r="M38" s="18" t="n">
        <v>30228.94</v>
      </c>
      <c r="N38" s="18" t="n">
        <v>56066.45</v>
      </c>
      <c r="O38" s="18" t="n">
        <v>54903.96</v>
      </c>
      <c r="P38" s="37" t="n">
        <v>54903.96</v>
      </c>
      <c r="Q38" s="18" t="n">
        <v>61741.47</v>
      </c>
      <c r="R38" s="18" t="n">
        <v>60578.98</v>
      </c>
      <c r="S38" s="18" t="n">
        <v>50079.88</v>
      </c>
      <c r="T38" s="18" t="n">
        <v>56150</v>
      </c>
      <c r="U38" s="37" t="n">
        <v>56150</v>
      </c>
      <c r="V38" s="18" t="n">
        <v>55100</v>
      </c>
      <c r="W38" s="18" t="n">
        <v>54050</v>
      </c>
      <c r="X38" s="18" t="n">
        <v>133500</v>
      </c>
      <c r="Y38" s="18" t="n">
        <v>125500</v>
      </c>
      <c r="Z38" s="37" t="n">
        <v>125500</v>
      </c>
      <c r="AA38" s="18" t="n">
        <v>119500</v>
      </c>
      <c r="AB38" s="19" t="n">
        <v>119500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비유동리스부채</t>
        </is>
      </c>
      <c r="E39" s="18" t="n">
        <v>2689.04</v>
      </c>
      <c r="F39" s="37" t="n">
        <v>2689.04</v>
      </c>
      <c r="G39" s="18" t="n">
        <v>2575.5</v>
      </c>
      <c r="H39" s="18" t="n">
        <v>2791.17</v>
      </c>
      <c r="I39" s="18" t="n">
        <v>2605.19</v>
      </c>
      <c r="J39" s="18" t="n">
        <v>2417.87</v>
      </c>
      <c r="K39" s="37" t="n">
        <v>2417.87</v>
      </c>
      <c r="L39" s="18" t="n">
        <v>2245.92</v>
      </c>
      <c r="M39" s="18" t="n">
        <v>2198.65</v>
      </c>
      <c r="N39" s="18" t="n">
        <v>2061.46</v>
      </c>
      <c r="O39" s="18" t="n">
        <v>1841.09</v>
      </c>
      <c r="P39" s="37" t="n">
        <v>1841.09</v>
      </c>
      <c r="Q39" s="18" t="n">
        <v>1252.44</v>
      </c>
      <c r="R39" s="18" t="n">
        <v>1188.04</v>
      </c>
      <c r="S39" s="18" t="n">
        <v>1148.25</v>
      </c>
      <c r="T39" s="18" t="n">
        <v>1128.67</v>
      </c>
      <c r="U39" s="37" t="n">
        <v>1128.67</v>
      </c>
      <c r="V39" s="18" t="n">
        <v>5466.68</v>
      </c>
      <c r="W39" s="18" t="n">
        <v>5036.99</v>
      </c>
      <c r="X39" s="18" t="n">
        <v>4604.04</v>
      </c>
      <c r="Y39" s="18" t="n">
        <v>4338.18</v>
      </c>
      <c r="Z39" s="37" t="n">
        <v>4338.18</v>
      </c>
      <c r="AA39" s="18" t="n">
        <v>3723.55</v>
      </c>
      <c r="AB39" s="19" t="n">
        <v>3107.73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장기금융부채</t>
        </is>
      </c>
      <c r="E40" s="18" t="n">
        <v>2689.04</v>
      </c>
      <c r="F40" s="37" t="n">
        <v>2689.04</v>
      </c>
      <c r="G40" s="18" t="n">
        <v>2575.5</v>
      </c>
      <c r="H40" s="18" t="n">
        <v>2791.17</v>
      </c>
      <c r="I40" s="18" t="n">
        <v>2605.19</v>
      </c>
      <c r="J40" s="18" t="n">
        <v>2417.87</v>
      </c>
      <c r="K40" s="37" t="n">
        <v>2417.87</v>
      </c>
      <c r="L40" s="18" t="n">
        <v>2245.92</v>
      </c>
      <c r="M40" s="18" t="n">
        <v>2198.65</v>
      </c>
      <c r="N40" s="18" t="n">
        <v>2061.46</v>
      </c>
      <c r="O40" s="18" t="n">
        <v>1841.09</v>
      </c>
      <c r="P40" s="37" t="n">
        <v>1841.09</v>
      </c>
      <c r="Q40" s="18" t="n">
        <v>1252.44</v>
      </c>
      <c r="R40" s="18" t="n">
        <v>1188.04</v>
      </c>
      <c r="S40" s="18" t="n">
        <v>1148.25</v>
      </c>
      <c r="T40" s="18" t="n">
        <v>1128.67</v>
      </c>
      <c r="U40" s="37" t="n">
        <v>1128.67</v>
      </c>
      <c r="V40" s="18" t="n">
        <v>5466.68</v>
      </c>
      <c r="W40" s="18" t="n">
        <v>5036.99</v>
      </c>
      <c r="X40" s="18" t="n">
        <v>4604.04</v>
      </c>
      <c r="Y40" s="18" t="n">
        <v>4338.18</v>
      </c>
      <c r="Z40" s="37" t="n">
        <v>4338.18</v>
      </c>
      <c r="AA40" s="18" t="n">
        <v>3723.55</v>
      </c>
      <c r="AB40" s="19" t="n">
        <v>3107.73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기타비유동부채</t>
        </is>
      </c>
      <c r="E41" s="18" t="n">
        <v>576.55</v>
      </c>
      <c r="F41" s="37" t="n">
        <v>576.55</v>
      </c>
      <c r="G41" s="18" t="n">
        <v>541.6799999999999</v>
      </c>
      <c r="H41" s="18" t="n">
        <v>472.69</v>
      </c>
      <c r="I41" s="18" t="n">
        <v>423.04</v>
      </c>
      <c r="J41" s="18" t="n">
        <v>306.58</v>
      </c>
      <c r="K41" s="37" t="n">
        <v>306.58</v>
      </c>
      <c r="L41" s="18" t="n">
        <v>300.9</v>
      </c>
      <c r="M41" s="18" t="n">
        <v>295.36</v>
      </c>
      <c r="N41" s="18" t="n">
        <v>294.05</v>
      </c>
      <c r="O41" s="18" t="n">
        <v>253.15</v>
      </c>
      <c r="P41" s="37" t="n">
        <v>253.15</v>
      </c>
      <c r="Q41" s="18" t="n">
        <v>249.44</v>
      </c>
      <c r="R41" s="18" t="n">
        <v>336.21</v>
      </c>
      <c r="S41" s="18" t="n">
        <v>347.1</v>
      </c>
      <c r="T41" s="18" t="n">
        <v>529.14</v>
      </c>
      <c r="U41" s="37" t="n">
        <v>529.14</v>
      </c>
      <c r="V41" s="18" t="n">
        <v>552.89</v>
      </c>
      <c r="W41" s="18" t="n">
        <v>557.67</v>
      </c>
      <c r="X41" s="18" t="n">
        <v>572.04</v>
      </c>
      <c r="Y41" s="18" t="n">
        <v>475.44</v>
      </c>
      <c r="Z41" s="37" t="n">
        <v>475.44</v>
      </c>
      <c r="AA41" s="18" t="n">
        <v>468.36</v>
      </c>
      <c r="AB41" s="19" t="n">
        <v>455.8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확정급여부채</t>
        </is>
      </c>
      <c r="E42" s="18" t="n">
        <v>3121.92</v>
      </c>
      <c r="F42" s="37" t="n">
        <v>3121.92</v>
      </c>
      <c r="G42" s="18" t="n">
        <v>3255.8</v>
      </c>
      <c r="H42" s="18" t="n">
        <v>3008.05</v>
      </c>
      <c r="I42" s="18" t="n">
        <v>3675.53</v>
      </c>
      <c r="J42" s="18" t="n">
        <v>2312.44</v>
      </c>
      <c r="K42" s="37" t="n">
        <v>2312.44</v>
      </c>
      <c r="L42" s="18" t="n">
        <v>3420.8</v>
      </c>
      <c r="M42" s="18" t="n">
        <v>3527.26</v>
      </c>
      <c r="N42" s="18" t="n">
        <v>3609</v>
      </c>
      <c r="O42" s="18" t="n">
        <v>5275.8</v>
      </c>
      <c r="P42" s="37" t="n">
        <v>5275.8</v>
      </c>
      <c r="Q42" s="18" t="n">
        <v>5585.31</v>
      </c>
      <c r="R42" s="18" t="n">
        <v>6131.46</v>
      </c>
      <c r="S42" s="18" t="n">
        <v>6677.87</v>
      </c>
      <c r="T42" s="18" t="n">
        <v>4028.06</v>
      </c>
      <c r="U42" s="37" t="n">
        <v>4028.06</v>
      </c>
      <c r="V42" s="18" t="n">
        <v>4975.73</v>
      </c>
      <c r="W42" s="18" t="n">
        <v>5288.75</v>
      </c>
      <c r="X42" s="18" t="n">
        <v>5518.95</v>
      </c>
      <c r="Y42" s="18" t="n">
        <v>5445.18</v>
      </c>
      <c r="Z42" s="37" t="n">
        <v>5445.18</v>
      </c>
      <c r="AA42" s="18" t="n">
        <v>6150.08</v>
      </c>
      <c r="AB42" s="19" t="n">
        <v>6549.88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이연법인세부채</t>
        </is>
      </c>
      <c r="E43" s="18" t="n">
        <v>4518.89</v>
      </c>
      <c r="F43" s="37" t="n">
        <v>4518.89</v>
      </c>
      <c r="G43" s="18" t="n">
        <v>4665.37</v>
      </c>
      <c r="H43" s="18" t="n">
        <v>4668.76</v>
      </c>
      <c r="I43" s="18" t="n">
        <v>4784.93</v>
      </c>
      <c r="J43" s="18" t="n">
        <v>4328.76</v>
      </c>
      <c r="K43" s="37" t="n">
        <v>4328.76</v>
      </c>
      <c r="L43" s="18" t="n">
        <v>4442.06</v>
      </c>
      <c r="M43" s="18" t="n">
        <v>4786.63</v>
      </c>
      <c r="N43" s="18" t="n">
        <v>4619.77</v>
      </c>
      <c r="O43" s="18" t="n">
        <v>2608.08</v>
      </c>
      <c r="P43" s="37" t="n">
        <v>2608.08</v>
      </c>
      <c r="Q43" s="18" t="n">
        <v>2426.61</v>
      </c>
      <c r="R43" s="18" t="n">
        <v>2385.19</v>
      </c>
      <c r="S43" s="18" t="n">
        <v>2345</v>
      </c>
      <c r="T43" s="18" t="n">
        <v>2079.76</v>
      </c>
      <c r="U43" s="37" t="n">
        <v>2079.76</v>
      </c>
      <c r="V43" s="18" t="n">
        <v>1985.49</v>
      </c>
      <c r="W43" s="18" t="n">
        <v>2061.09</v>
      </c>
      <c r="X43" s="18" t="n">
        <v>2056.59</v>
      </c>
      <c r="Y43" s="18" t="n">
        <v>2286.12</v>
      </c>
      <c r="Z43" s="37" t="n">
        <v>2286.12</v>
      </c>
      <c r="AA43" s="18" t="n">
        <v>2277.06</v>
      </c>
      <c r="AB43" s="19" t="n">
        <v>2227.18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부채총계</t>
        </is>
      </c>
      <c r="E44" s="18" t="n">
        <v>367209.56</v>
      </c>
      <c r="F44" s="37" t="n">
        <v>367209.56</v>
      </c>
      <c r="G44" s="18" t="n">
        <v>382497.04</v>
      </c>
      <c r="H44" s="18" t="n">
        <v>355843.56</v>
      </c>
      <c r="I44" s="18" t="n">
        <v>353172.53</v>
      </c>
      <c r="J44" s="18" t="n">
        <v>342503.86</v>
      </c>
      <c r="K44" s="37" t="n">
        <v>342503.86</v>
      </c>
      <c r="L44" s="18" t="n">
        <v>357192.58</v>
      </c>
      <c r="M44" s="18" t="n">
        <v>324858.97</v>
      </c>
      <c r="N44" s="18" t="n">
        <v>332476.16</v>
      </c>
      <c r="O44" s="18" t="n">
        <v>312332.84</v>
      </c>
      <c r="P44" s="37" t="n">
        <v>312332.84</v>
      </c>
      <c r="Q44" s="18" t="n">
        <v>350590.1</v>
      </c>
      <c r="R44" s="18" t="n">
        <v>325085.48</v>
      </c>
      <c r="S44" s="18" t="n">
        <v>358197.01</v>
      </c>
      <c r="T44" s="18" t="n">
        <v>371486.1</v>
      </c>
      <c r="U44" s="37" t="n">
        <v>371486.1</v>
      </c>
      <c r="V44" s="18" t="n">
        <v>378690.25</v>
      </c>
      <c r="W44" s="18" t="n">
        <v>370535.38</v>
      </c>
      <c r="X44" s="18" t="n">
        <v>373607.52</v>
      </c>
      <c r="Y44" s="18" t="n">
        <v>338269.57</v>
      </c>
      <c r="Z44" s="37" t="n">
        <v>338269.57</v>
      </c>
      <c r="AA44" s="18" t="n">
        <v>352356.96</v>
      </c>
      <c r="AB44" s="19" t="n">
        <v>337386.88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지배주주지분</t>
        </is>
      </c>
      <c r="E45" s="18" t="n">
        <v>163506.32</v>
      </c>
      <c r="F45" s="37" t="n">
        <v>163506.32</v>
      </c>
      <c r="G45" s="18" t="n">
        <v>148149.91</v>
      </c>
      <c r="H45" s="18" t="n">
        <v>155705.97</v>
      </c>
      <c r="I45" s="18" t="n">
        <v>159282.33</v>
      </c>
      <c r="J45" s="18" t="n">
        <v>164310.21</v>
      </c>
      <c r="K45" s="37" t="n">
        <v>164310.21</v>
      </c>
      <c r="L45" s="18" t="n">
        <v>148728.05</v>
      </c>
      <c r="M45" s="18" t="n">
        <v>163451.89</v>
      </c>
      <c r="N45" s="18" t="n">
        <v>166023.24</v>
      </c>
      <c r="O45" s="18" t="n">
        <v>180743.61</v>
      </c>
      <c r="P45" s="37" t="n">
        <v>180743.61</v>
      </c>
      <c r="Q45" s="18" t="n">
        <v>181304.84</v>
      </c>
      <c r="R45" s="18" t="n">
        <v>177666.45</v>
      </c>
      <c r="S45" s="18" t="n">
        <v>174713.36</v>
      </c>
      <c r="T45" s="18" t="n">
        <v>187779.7</v>
      </c>
      <c r="U45" s="37" t="n">
        <v>187779.7</v>
      </c>
      <c r="V45" s="18" t="n">
        <v>189575.23</v>
      </c>
      <c r="W45" s="18" t="n">
        <v>194112.7</v>
      </c>
      <c r="X45" s="18" t="n">
        <v>202552</v>
      </c>
      <c r="Y45" s="18" t="n">
        <v>228470.6</v>
      </c>
      <c r="Z45" s="37" t="n">
        <v>228470.6</v>
      </c>
      <c r="AA45" s="18" t="n">
        <v>228759.96</v>
      </c>
      <c r="AB45" s="19" t="n">
        <v>245681.23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자본금</t>
        </is>
      </c>
      <c r="E46" s="18" t="n">
        <v>31224.73</v>
      </c>
      <c r="F46" s="37" t="n">
        <v>31224.73</v>
      </c>
      <c r="G46" s="18" t="n">
        <v>31224.73</v>
      </c>
      <c r="H46" s="18" t="n">
        <v>31224.73</v>
      </c>
      <c r="I46" s="18" t="n">
        <v>31224.73</v>
      </c>
      <c r="J46" s="18" t="n">
        <v>31224.73</v>
      </c>
      <c r="K46" s="37" t="n">
        <v>31224.73</v>
      </c>
      <c r="L46" s="18" t="n">
        <v>31224.73</v>
      </c>
      <c r="M46" s="18" t="n">
        <v>31224.73</v>
      </c>
      <c r="N46" s="18" t="n">
        <v>31224.73</v>
      </c>
      <c r="O46" s="18" t="n">
        <v>31224.73</v>
      </c>
      <c r="P46" s="37" t="n">
        <v>31224.73</v>
      </c>
      <c r="Q46" s="18" t="n">
        <v>31224.73</v>
      </c>
      <c r="R46" s="18" t="n">
        <v>31224.73</v>
      </c>
      <c r="S46" s="18" t="n">
        <v>31224.73</v>
      </c>
      <c r="T46" s="18" t="n">
        <v>31224.73</v>
      </c>
      <c r="U46" s="37" t="n">
        <v>31224.73</v>
      </c>
      <c r="V46" s="18" t="n">
        <v>31224.73</v>
      </c>
      <c r="W46" s="18" t="n">
        <v>31224.73</v>
      </c>
      <c r="X46" s="18" t="n">
        <v>31224.73</v>
      </c>
      <c r="Y46" s="18" t="n">
        <v>31224.73</v>
      </c>
      <c r="Z46" s="37" t="n">
        <v>31224.73</v>
      </c>
      <c r="AA46" s="18" t="n">
        <v>31224.73</v>
      </c>
      <c r="AB46" s="19" t="n">
        <v>31224.73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자본잉여금</t>
        </is>
      </c>
      <c r="E47" s="18" t="n">
        <v>4696.51</v>
      </c>
      <c r="F47" s="37" t="n">
        <v>4696.51</v>
      </c>
      <c r="G47" s="18" t="n">
        <v>4879.74</v>
      </c>
      <c r="H47" s="18" t="n">
        <v>143.83</v>
      </c>
      <c r="I47" s="18" t="n">
        <v>143.83</v>
      </c>
      <c r="J47" s="18" t="n">
        <v>143.83</v>
      </c>
      <c r="K47" s="37" t="n">
        <v>143.83</v>
      </c>
      <c r="L47" s="18" t="n">
        <v>143.83</v>
      </c>
      <c r="M47" s="18" t="n">
        <v>143.83</v>
      </c>
      <c r="N47" s="18" t="n">
        <v>143.83</v>
      </c>
      <c r="O47" s="18" t="n">
        <v>143.83</v>
      </c>
      <c r="P47" s="37" t="n">
        <v>143.83</v>
      </c>
      <c r="Q47" s="18" t="n">
        <v>143.83</v>
      </c>
      <c r="R47" s="18" t="n">
        <v>143.83</v>
      </c>
      <c r="S47" s="18" t="n">
        <v>143.83</v>
      </c>
      <c r="T47" s="18" t="n">
        <v>143.83</v>
      </c>
      <c r="U47" s="37" t="n">
        <v>143.83</v>
      </c>
      <c r="V47" s="18" t="n">
        <v>143.83</v>
      </c>
      <c r="W47" s="18" t="n">
        <v>143.83</v>
      </c>
      <c r="X47" s="18" t="n">
        <v>143.83</v>
      </c>
      <c r="Y47" s="18" t="n">
        <v>1551.94</v>
      </c>
      <c r="Z47" s="37" t="n">
        <v>1551.94</v>
      </c>
      <c r="AA47" s="18" t="n">
        <v>1551.94</v>
      </c>
      <c r="AB47" s="19" t="n">
        <v>1551.94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기타자본</t>
        </is>
      </c>
      <c r="E48" s="18" t="n">
        <v>-8240.690000000001</v>
      </c>
      <c r="F48" s="37" t="n">
        <v>-8240.690000000001</v>
      </c>
      <c r="G48" s="18" t="n">
        <v>-7936.6</v>
      </c>
      <c r="H48" s="18" t="n">
        <v>-6447.26</v>
      </c>
      <c r="I48" s="18" t="n">
        <v>-6447.26</v>
      </c>
      <c r="J48" s="18" t="n">
        <v>-6447.26</v>
      </c>
      <c r="K48" s="37" t="n">
        <v>-6447.26</v>
      </c>
      <c r="L48" s="18" t="n">
        <v>-6447.26</v>
      </c>
      <c r="M48" s="18" t="n">
        <v>-6447.26</v>
      </c>
      <c r="N48" s="18" t="n">
        <v>-6447.26</v>
      </c>
      <c r="O48" s="18" t="n">
        <v>2627.53</v>
      </c>
      <c r="P48" s="37" t="n">
        <v>2627.53</v>
      </c>
      <c r="Q48" s="18" t="n">
        <v>11450.2</v>
      </c>
      <c r="R48" s="18" t="n">
        <v>11450.2</v>
      </c>
      <c r="S48" s="18" t="n">
        <v>11414.12</v>
      </c>
      <c r="T48" s="18" t="n">
        <v>11414.12</v>
      </c>
      <c r="U48" s="37" t="n">
        <v>11414.12</v>
      </c>
      <c r="V48" s="18" t="n">
        <v>11414.12</v>
      </c>
      <c r="W48" s="18" t="n">
        <v>11414.12</v>
      </c>
      <c r="X48" s="18" t="n">
        <v>11414.12</v>
      </c>
      <c r="Y48" s="18" t="n">
        <v>9975.58</v>
      </c>
      <c r="Z48" s="37" t="n">
        <v>9975.58</v>
      </c>
      <c r="AA48" s="18" t="n">
        <v>9989.4</v>
      </c>
      <c r="AB48" s="19" t="n">
        <v>9989.4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기타포괄이익누계액</t>
        </is>
      </c>
      <c r="E49" s="18" t="n">
        <v>-30.5</v>
      </c>
      <c r="F49" s="37" t="n">
        <v>-30.5</v>
      </c>
      <c r="G49" s="18" t="n">
        <v>250.01</v>
      </c>
      <c r="H49" s="18" t="n">
        <v>108.71</v>
      </c>
      <c r="I49" s="18" t="n">
        <v>460.18</v>
      </c>
      <c r="J49" s="18" t="n">
        <v>-92.52</v>
      </c>
      <c r="K49" s="37" t="n">
        <v>-92.52</v>
      </c>
      <c r="L49" s="18" t="n">
        <v>98.64</v>
      </c>
      <c r="M49" s="18" t="n">
        <v>678.4400000000001</v>
      </c>
      <c r="N49" s="18" t="n">
        <v>401.24</v>
      </c>
      <c r="O49" s="18" t="n">
        <v>280.44</v>
      </c>
      <c r="P49" s="37" t="n">
        <v>280.44</v>
      </c>
      <c r="Q49" s="18" t="n">
        <v>53.79</v>
      </c>
      <c r="R49" s="18" t="n">
        <v>-103.04</v>
      </c>
      <c r="S49" s="18" t="n">
        <v>-392.45</v>
      </c>
      <c r="T49" s="18" t="n">
        <v>-2165.87</v>
      </c>
      <c r="U49" s="37" t="n">
        <v>-2165.87</v>
      </c>
      <c r="V49" s="18" t="n">
        <v>-1697.38</v>
      </c>
      <c r="W49" s="18" t="n">
        <v>-1623.76</v>
      </c>
      <c r="X49" s="18" t="n">
        <v>-748.8200000000001</v>
      </c>
      <c r="Y49" s="18" t="n">
        <v>-1260.32</v>
      </c>
      <c r="Z49" s="37" t="n">
        <v>-1260.32</v>
      </c>
      <c r="AA49" s="18" t="n">
        <v>-2012.23</v>
      </c>
      <c r="AB49" s="19" t="n">
        <v>-1836.38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이익잉여금</t>
        </is>
      </c>
      <c r="E50" s="18" t="n">
        <v>135856.26</v>
      </c>
      <c r="F50" s="37" t="n">
        <v>135856.26</v>
      </c>
      <c r="G50" s="18" t="n">
        <v>119732.04</v>
      </c>
      <c r="H50" s="18" t="n">
        <v>130675.97</v>
      </c>
      <c r="I50" s="18" t="n">
        <v>133900.85</v>
      </c>
      <c r="J50" s="18" t="n">
        <v>139481.44</v>
      </c>
      <c r="K50" s="37" t="n">
        <v>139481.44</v>
      </c>
      <c r="L50" s="18" t="n">
        <v>123708.12</v>
      </c>
      <c r="M50" s="18" t="n">
        <v>137852.15</v>
      </c>
      <c r="N50" s="18" t="n">
        <v>140700.71</v>
      </c>
      <c r="O50" s="18" t="n">
        <v>146467.09</v>
      </c>
      <c r="P50" s="37" t="n">
        <v>146467.09</v>
      </c>
      <c r="Q50" s="18" t="n">
        <v>138432.29</v>
      </c>
      <c r="R50" s="18" t="n">
        <v>134950.73</v>
      </c>
      <c r="S50" s="18" t="n">
        <v>132323.12</v>
      </c>
      <c r="T50" s="18" t="n">
        <v>147162.89</v>
      </c>
      <c r="U50" s="37" t="n">
        <v>147162.89</v>
      </c>
      <c r="V50" s="18" t="n">
        <v>148489.93</v>
      </c>
      <c r="W50" s="18" t="n">
        <v>152953.78</v>
      </c>
      <c r="X50" s="18" t="n">
        <v>160518.15</v>
      </c>
      <c r="Y50" s="18" t="n">
        <v>186978.67</v>
      </c>
      <c r="Z50" s="37" t="n">
        <v>186978.67</v>
      </c>
      <c r="AA50" s="18" t="n">
        <v>188006.12</v>
      </c>
      <c r="AB50" s="19" t="n">
        <v>204751.54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비지배주주지분</t>
        </is>
      </c>
      <c r="E51" s="18" t="n">
        <v>39688.41</v>
      </c>
      <c r="F51" s="37" t="n">
        <v>39688.41</v>
      </c>
      <c r="G51" s="18" t="n">
        <v>39813.29</v>
      </c>
      <c r="H51" s="18" t="n">
        <v>43533.29</v>
      </c>
      <c r="I51" s="18" t="n">
        <v>44708.75</v>
      </c>
      <c r="J51" s="18" t="n">
        <v>45035.1</v>
      </c>
      <c r="K51" s="37" t="n">
        <v>45035.1</v>
      </c>
      <c r="L51" s="18" t="n">
        <v>45614.85</v>
      </c>
      <c r="M51" s="18" t="n">
        <v>46243.86</v>
      </c>
      <c r="N51" s="18" t="n">
        <v>46060.42</v>
      </c>
      <c r="O51" s="18" t="n">
        <v>50942.46</v>
      </c>
      <c r="P51" s="37" t="n">
        <v>50942.46</v>
      </c>
      <c r="Q51" s="18" t="n">
        <v>51795.49</v>
      </c>
      <c r="R51" s="18" t="n">
        <v>57027.68</v>
      </c>
      <c r="S51" s="18" t="n">
        <v>58219.05</v>
      </c>
      <c r="T51" s="18" t="n">
        <v>61611.75</v>
      </c>
      <c r="U51" s="37" t="n">
        <v>61611.75</v>
      </c>
      <c r="V51" s="18" t="n">
        <v>61799.41</v>
      </c>
      <c r="W51" s="18" t="n">
        <v>62485.87</v>
      </c>
      <c r="X51" s="18" t="n">
        <v>65334.21</v>
      </c>
      <c r="Y51" s="18" t="n">
        <v>71023.49000000001</v>
      </c>
      <c r="Z51" s="37" t="n">
        <v>71023.49000000001</v>
      </c>
      <c r="AA51" s="18" t="n">
        <v>72680.28</v>
      </c>
      <c r="AB51" s="19" t="n">
        <v>76740.82000000001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자본총계</t>
        </is>
      </c>
      <c r="E52" s="18" t="n">
        <v>203194.73</v>
      </c>
      <c r="F52" s="37" t="n">
        <v>203194.73</v>
      </c>
      <c r="G52" s="18" t="n">
        <v>187963.2</v>
      </c>
      <c r="H52" s="18" t="n">
        <v>199239.26</v>
      </c>
      <c r="I52" s="18" t="n">
        <v>203991.08</v>
      </c>
      <c r="J52" s="18" t="n">
        <v>209345.31</v>
      </c>
      <c r="K52" s="37" t="n">
        <v>209345.31</v>
      </c>
      <c r="L52" s="18" t="n">
        <v>194342.89</v>
      </c>
      <c r="M52" s="18" t="n">
        <v>209695.75</v>
      </c>
      <c r="N52" s="18" t="n">
        <v>212083.66</v>
      </c>
      <c r="O52" s="18" t="n">
        <v>231686.08</v>
      </c>
      <c r="P52" s="37" t="n">
        <v>231686.08</v>
      </c>
      <c r="Q52" s="18" t="n">
        <v>233100.33</v>
      </c>
      <c r="R52" s="18" t="n">
        <v>234694.13</v>
      </c>
      <c r="S52" s="18" t="n">
        <v>232932.41</v>
      </c>
      <c r="T52" s="18" t="n">
        <v>249391.45</v>
      </c>
      <c r="U52" s="37" t="n">
        <v>249391.45</v>
      </c>
      <c r="V52" s="18" t="n">
        <v>251374.64</v>
      </c>
      <c r="W52" s="18" t="n">
        <v>256598.57</v>
      </c>
      <c r="X52" s="18" t="n">
        <v>267886.22</v>
      </c>
      <c r="Y52" s="18" t="n">
        <v>299494.09</v>
      </c>
      <c r="Z52" s="37" t="n">
        <v>299494.09</v>
      </c>
      <c r="AA52" s="18" t="n">
        <v>301440.24</v>
      </c>
      <c r="AB52" s="19" t="n">
        <v>322422.05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부채와자본총계</t>
        </is>
      </c>
      <c r="E53" s="18" t="n">
        <v>570404.3</v>
      </c>
      <c r="F53" s="37" t="n">
        <v>570404.3</v>
      </c>
      <c r="G53" s="18" t="n">
        <v>570460.24</v>
      </c>
      <c r="H53" s="18" t="n">
        <v>555082.8199999999</v>
      </c>
      <c r="I53" s="18" t="n">
        <v>557163.61</v>
      </c>
      <c r="J53" s="18" t="n">
        <v>551849.17</v>
      </c>
      <c r="K53" s="37" t="n">
        <v>551849.17</v>
      </c>
      <c r="L53" s="18" t="n">
        <v>551535.47</v>
      </c>
      <c r="M53" s="18" t="n">
        <v>534554.72</v>
      </c>
      <c r="N53" s="18" t="n">
        <v>544559.8199999999</v>
      </c>
      <c r="O53" s="18" t="n">
        <v>544018.92</v>
      </c>
      <c r="P53" s="37" t="n">
        <v>544018.92</v>
      </c>
      <c r="Q53" s="18" t="n">
        <v>583690.4300000001</v>
      </c>
      <c r="R53" s="18" t="n">
        <v>559779.61</v>
      </c>
      <c r="S53" s="18" t="n">
        <v>591129.42</v>
      </c>
      <c r="T53" s="18" t="n">
        <v>620877.55</v>
      </c>
      <c r="U53" s="37" t="n">
        <v>620877.55</v>
      </c>
      <c r="V53" s="18" t="n">
        <v>630064.89</v>
      </c>
      <c r="W53" s="18" t="n">
        <v>627133.95</v>
      </c>
      <c r="X53" s="18" t="n">
        <v>641493.74</v>
      </c>
      <c r="Y53" s="18" t="n">
        <v>637763.65</v>
      </c>
      <c r="Z53" s="37" t="n">
        <v>637763.65</v>
      </c>
      <c r="AA53" s="18" t="n">
        <v>653797.2</v>
      </c>
      <c r="AB53" s="19" t="n">
        <v>659808.9300000001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총차입금</t>
        </is>
      </c>
      <c r="E54" s="18" t="n">
        <v>243485.62</v>
      </c>
      <c r="F54" s="37" t="n">
        <v>243485.62</v>
      </c>
      <c r="G54" s="18" t="n">
        <v>283856.21</v>
      </c>
      <c r="H54" s="18" t="n">
        <v>281770</v>
      </c>
      <c r="I54" s="18" t="n">
        <v>283783</v>
      </c>
      <c r="J54" s="18" t="n">
        <v>279806</v>
      </c>
      <c r="K54" s="37" t="n">
        <v>279806</v>
      </c>
      <c r="L54" s="18" t="n">
        <v>279596</v>
      </c>
      <c r="M54" s="18" t="n">
        <v>255296</v>
      </c>
      <c r="N54" s="18" t="n">
        <v>254106</v>
      </c>
      <c r="O54" s="18" t="n">
        <v>243506</v>
      </c>
      <c r="P54" s="37" t="n">
        <v>243506</v>
      </c>
      <c r="Q54" s="18" t="n">
        <v>242697.59</v>
      </c>
      <c r="R54" s="18" t="n">
        <v>236534.94</v>
      </c>
      <c r="S54" s="18" t="n">
        <v>274602.52</v>
      </c>
      <c r="T54" s="18" t="n">
        <v>278956</v>
      </c>
      <c r="U54" s="37" t="n">
        <v>278956</v>
      </c>
      <c r="V54" s="18" t="n">
        <v>277606</v>
      </c>
      <c r="W54" s="18" t="n">
        <v>278241</v>
      </c>
      <c r="X54" s="18" t="n">
        <v>278391</v>
      </c>
      <c r="Y54" s="18" t="n">
        <v>252881</v>
      </c>
      <c r="Z54" s="37" t="n">
        <v>252881</v>
      </c>
      <c r="AA54" s="18" t="n">
        <v>251831</v>
      </c>
      <c r="AB54" s="19" t="n">
        <v>250781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순차입금</t>
        </is>
      </c>
      <c r="E55" s="18" t="n">
        <v>201841.45</v>
      </c>
      <c r="F55" s="37" t="n">
        <v>201841.45</v>
      </c>
      <c r="G55" s="18" t="n">
        <v>241456.51</v>
      </c>
      <c r="H55" s="18" t="n">
        <v>266993.56</v>
      </c>
      <c r="I55" s="18" t="n">
        <v>250624.03</v>
      </c>
      <c r="J55" s="18" t="n">
        <v>230655.27</v>
      </c>
      <c r="K55" s="37" t="n">
        <v>230655.27</v>
      </c>
      <c r="L55" s="18" t="n">
        <v>247489.71</v>
      </c>
      <c r="M55" s="18" t="n">
        <v>216164.27</v>
      </c>
      <c r="N55" s="18" t="n">
        <v>211527.64</v>
      </c>
      <c r="O55" s="18" t="n">
        <v>190742.81</v>
      </c>
      <c r="P55" s="37" t="n">
        <v>190742.81</v>
      </c>
      <c r="Q55" s="18" t="n">
        <v>170892.11</v>
      </c>
      <c r="R55" s="18" t="n">
        <v>188239.21</v>
      </c>
      <c r="S55" s="18" t="n">
        <v>192644.35</v>
      </c>
      <c r="T55" s="18" t="n">
        <v>199401.83</v>
      </c>
      <c r="U55" s="37" t="n">
        <v>199401.83</v>
      </c>
      <c r="V55" s="18" t="n">
        <v>203006.31</v>
      </c>
      <c r="W55" s="18" t="n">
        <v>183685.08</v>
      </c>
      <c r="X55" s="18" t="n">
        <v>164231.74</v>
      </c>
      <c r="Y55" s="18" t="n">
        <v>171051.95</v>
      </c>
      <c r="Z55" s="37" t="n">
        <v>171051.95</v>
      </c>
      <c r="AA55" s="18" t="n">
        <v>146628.52</v>
      </c>
      <c r="AB55" s="19" t="n">
        <v>148634.15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이자발생자산</t>
        </is>
      </c>
      <c r="E56" s="18" t="n">
        <v>49682.81</v>
      </c>
      <c r="F56" s="37" t="n">
        <v>49682.81</v>
      </c>
      <c r="G56" s="18" t="n">
        <v>51105.27</v>
      </c>
      <c r="H56" s="18" t="n">
        <v>42230.55</v>
      </c>
      <c r="I56" s="18" t="n">
        <v>43802.32</v>
      </c>
      <c r="J56" s="18" t="n">
        <v>58805.76</v>
      </c>
      <c r="K56" s="37" t="n">
        <v>58805.76</v>
      </c>
      <c r="L56" s="18" t="n">
        <v>46997.67</v>
      </c>
      <c r="M56" s="18" t="n">
        <v>55324.39</v>
      </c>
      <c r="N56" s="18" t="n">
        <v>58069.36</v>
      </c>
      <c r="O56" s="18" t="n">
        <v>68229.05</v>
      </c>
      <c r="P56" s="37" t="n">
        <v>68229.05</v>
      </c>
      <c r="Q56" s="18" t="n">
        <v>87124.28999999999</v>
      </c>
      <c r="R56" s="18" t="n">
        <v>69872.53999999999</v>
      </c>
      <c r="S56" s="18" t="n">
        <v>102458.5</v>
      </c>
      <c r="T56" s="18" t="n">
        <v>99441.36</v>
      </c>
      <c r="U56" s="37" t="n">
        <v>99441.36</v>
      </c>
      <c r="V56" s="18" t="n">
        <v>96119.59</v>
      </c>
      <c r="W56" s="18" t="n">
        <v>117114.1</v>
      </c>
      <c r="X56" s="18" t="n">
        <v>143953.29</v>
      </c>
      <c r="Y56" s="18" t="n">
        <v>112027.31</v>
      </c>
      <c r="Z56" s="37" t="n">
        <v>112027.31</v>
      </c>
      <c r="AA56" s="18" t="n">
        <v>136988.8</v>
      </c>
      <c r="AB56" s="19" t="n">
        <v>138611.11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사채</t>
        </is>
      </c>
      <c r="E57" s="18" t="n">
        <v>15000</v>
      </c>
      <c r="F57" s="37" t="n">
        <v>15000</v>
      </c>
      <c r="G57" s="18" t="n">
        <v>15000</v>
      </c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유동성장기부채</t>
        </is>
      </c>
      <c r="E58" s="18" t="n">
        <v>91817.05</v>
      </c>
      <c r="F58" s="37" t="n">
        <v>91817.05</v>
      </c>
      <c r="G58" s="18" t="n">
        <v>76287.64</v>
      </c>
      <c r="H58" s="18" t="n">
        <v>110801.43</v>
      </c>
      <c r="I58" s="18" t="n">
        <v>151129.43</v>
      </c>
      <c r="J58" s="18" t="n">
        <v>138129.43</v>
      </c>
      <c r="K58" s="37" t="n">
        <v>138129.43</v>
      </c>
      <c r="L58" s="18" t="n">
        <v>181137.84</v>
      </c>
      <c r="M58" s="18" t="n">
        <v>147300.49</v>
      </c>
      <c r="N58" s="18" t="n">
        <v>114312.04</v>
      </c>
      <c r="O58" s="18" t="n">
        <v>100526.04</v>
      </c>
      <c r="P58" s="37" t="n">
        <v>100526.04</v>
      </c>
      <c r="Q58" s="18" t="n">
        <v>60880.12</v>
      </c>
      <c r="R58" s="18" t="n">
        <v>60879.96</v>
      </c>
      <c r="S58" s="18" t="n">
        <v>88046.64</v>
      </c>
      <c r="T58" s="18" t="n">
        <v>86330</v>
      </c>
      <c r="U58" s="37" t="n">
        <v>86330</v>
      </c>
      <c r="V58" s="18" t="n">
        <v>86030</v>
      </c>
      <c r="W58" s="18" t="n">
        <v>85730</v>
      </c>
      <c r="X58" s="18" t="n">
        <v>72630</v>
      </c>
      <c r="Y58" s="18" t="n">
        <v>79580</v>
      </c>
      <c r="Z58" s="37" t="n">
        <v>79580</v>
      </c>
      <c r="AB58" s="19" t="n">
        <v>85480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투자부동산</t>
        </is>
      </c>
      <c r="F59" s="9" t="n"/>
      <c r="K59" s="9" t="n"/>
      <c r="P59" s="9" t="n"/>
      <c r="U59" s="9" t="n"/>
      <c r="Y59" s="18" t="n">
        <v>8169.29</v>
      </c>
      <c r="Z59" s="37" t="n">
        <v>8169.29</v>
      </c>
      <c r="AA59" s="18" t="n">
        <v>8169.29</v>
      </c>
      <c r="AB59" s="19" t="n">
        <v>8169.29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단기금융부채(face)</t>
        </is>
      </c>
      <c r="F60" s="9" t="n"/>
      <c r="K60" s="9" t="n"/>
      <c r="P60" s="9" t="n"/>
      <c r="U60" s="9" t="n"/>
      <c r="Z60" s="9" t="n"/>
      <c r="AA60" s="18" t="n">
        <v>132331</v>
      </c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장기금융부채(face)</t>
        </is>
      </c>
      <c r="F61" s="9" t="n"/>
      <c r="K61" s="9" t="n"/>
      <c r="P61" s="9" t="n"/>
      <c r="U61" s="9" t="n"/>
      <c r="Z61" s="9" t="n"/>
      <c r="AA61" s="18" t="n">
        <v>119500</v>
      </c>
      <c r="AB61" s="5" t="n"/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매출액(수익)</t>
        </is>
      </c>
      <c r="E62" s="18" t="n">
        <v>81901.42</v>
      </c>
      <c r="F62" s="9" t="n"/>
      <c r="G62" s="18" t="n">
        <v>139922.87</v>
      </c>
      <c r="H62" s="18" t="n">
        <v>88872.42999999999</v>
      </c>
      <c r="I62" s="18" t="n">
        <v>79905</v>
      </c>
      <c r="J62" s="18" t="n">
        <v>101190.53</v>
      </c>
      <c r="K62" s="37" t="n">
        <v>409890.83</v>
      </c>
      <c r="L62" s="18" t="n">
        <v>71702.28</v>
      </c>
      <c r="M62" s="18" t="n">
        <v>120491.49</v>
      </c>
      <c r="N62" s="18" t="n">
        <v>81986.97</v>
      </c>
      <c r="O62" s="18" t="n">
        <v>110615.72</v>
      </c>
      <c r="P62" s="37" t="n">
        <v>384796.46</v>
      </c>
      <c r="Q62" s="18" t="n">
        <v>86078.31</v>
      </c>
      <c r="R62" s="18" t="n">
        <v>80837.89</v>
      </c>
      <c r="S62" s="18" t="n">
        <v>74151.66</v>
      </c>
      <c r="T62" s="18" t="n">
        <v>111308.71</v>
      </c>
      <c r="U62" s="37" t="n">
        <v>352376.57</v>
      </c>
      <c r="V62" s="18" t="n">
        <v>98495.97</v>
      </c>
      <c r="W62" s="18" t="n">
        <v>98171.23</v>
      </c>
      <c r="X62" s="18" t="n">
        <v>90367.62</v>
      </c>
      <c r="Y62" s="18" t="n">
        <v>115651.44</v>
      </c>
      <c r="Z62" s="37" t="n">
        <v>402686.26</v>
      </c>
      <c r="AA62" s="18" t="n">
        <v>87243.09</v>
      </c>
      <c r="AB62" s="19" t="n">
        <v>93498.44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매출원가</t>
        </is>
      </c>
      <c r="E63" s="18" t="n">
        <v>86831.55</v>
      </c>
      <c r="F63" s="9" t="n"/>
      <c r="G63" s="18" t="n">
        <v>141186.13</v>
      </c>
      <c r="H63" s="18" t="n">
        <v>70635.39999999999</v>
      </c>
      <c r="I63" s="18" t="n">
        <v>69460.77</v>
      </c>
      <c r="J63" s="18" t="n">
        <v>81216.71000000001</v>
      </c>
      <c r="K63" s="37" t="n">
        <v>362499.01</v>
      </c>
      <c r="L63" s="18" t="n">
        <v>72913.55</v>
      </c>
      <c r="M63" s="18" t="n">
        <v>93810.07000000001</v>
      </c>
      <c r="N63" s="18" t="n">
        <v>82334.88</v>
      </c>
      <c r="O63" s="18" t="n">
        <v>79153.39999999999</v>
      </c>
      <c r="P63" s="37" t="n">
        <v>328211.9</v>
      </c>
      <c r="Q63" s="18" t="n">
        <v>76060.99000000001</v>
      </c>
      <c r="R63" s="18" t="n">
        <v>67462.41</v>
      </c>
      <c r="S63" s="18" t="n">
        <v>68006.92999999999</v>
      </c>
      <c r="T63" s="18" t="n">
        <v>82318.69</v>
      </c>
      <c r="U63" s="37" t="n">
        <v>293849.02</v>
      </c>
      <c r="V63" s="18" t="n">
        <v>74721.46000000001</v>
      </c>
      <c r="W63" s="18" t="n">
        <v>83099.11</v>
      </c>
      <c r="X63" s="18" t="n">
        <v>72766.24000000001</v>
      </c>
      <c r="Y63" s="18" t="n">
        <v>74138.25</v>
      </c>
      <c r="Z63" s="37" t="n">
        <v>304725.06</v>
      </c>
      <c r="AA63" s="18" t="n">
        <v>67090.32000000001</v>
      </c>
      <c r="AB63" s="19" t="n">
        <v>67311.53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매출총이익</t>
        </is>
      </c>
      <c r="E64" s="18" t="n">
        <v>-4930.13</v>
      </c>
      <c r="F64" s="9" t="n"/>
      <c r="G64" s="18" t="n">
        <v>-1263.26</v>
      </c>
      <c r="H64" s="18" t="n">
        <v>18237.04</v>
      </c>
      <c r="I64" s="18" t="n">
        <v>10444.23</v>
      </c>
      <c r="J64" s="18" t="n">
        <v>19973.82</v>
      </c>
      <c r="K64" s="37" t="n">
        <v>47391.83</v>
      </c>
      <c r="L64" s="18" t="n">
        <v>-1211.28</v>
      </c>
      <c r="M64" s="18" t="n">
        <v>26681.42</v>
      </c>
      <c r="N64" s="18" t="n">
        <v>-347.92</v>
      </c>
      <c r="O64" s="18" t="n">
        <v>31462.31</v>
      </c>
      <c r="P64" s="37" t="n">
        <v>56584.53</v>
      </c>
      <c r="Q64" s="18" t="n">
        <v>10017.32</v>
      </c>
      <c r="R64" s="18" t="n">
        <v>13375.48</v>
      </c>
      <c r="S64" s="18" t="n">
        <v>6144.73</v>
      </c>
      <c r="T64" s="18" t="n">
        <v>28990.02</v>
      </c>
      <c r="U64" s="37" t="n">
        <v>58527.55</v>
      </c>
      <c r="V64" s="18" t="n">
        <v>23774.51</v>
      </c>
      <c r="W64" s="18" t="n">
        <v>15072.12</v>
      </c>
      <c r="X64" s="18" t="n">
        <v>17601.38</v>
      </c>
      <c r="Y64" s="18" t="n">
        <v>41513.19</v>
      </c>
      <c r="Z64" s="37" t="n">
        <v>97961.2</v>
      </c>
      <c r="AA64" s="18" t="n">
        <v>20152.77</v>
      </c>
      <c r="AB64" s="19" t="n">
        <v>26186.91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판관비</t>
        </is>
      </c>
      <c r="E65" s="18" t="n">
        <v>5562.81</v>
      </c>
      <c r="F65" s="9" t="n"/>
      <c r="G65" s="18" t="n">
        <v>5929.56</v>
      </c>
      <c r="H65" s="18" t="n">
        <v>6069.34</v>
      </c>
      <c r="I65" s="18" t="n">
        <v>5843.83</v>
      </c>
      <c r="J65" s="18" t="n">
        <v>4596.74</v>
      </c>
      <c r="K65" s="37" t="n">
        <v>22439.47</v>
      </c>
      <c r="L65" s="18" t="n">
        <v>5208.53</v>
      </c>
      <c r="M65" s="18" t="n">
        <v>5487.14</v>
      </c>
      <c r="N65" s="18" t="n">
        <v>6299.83</v>
      </c>
      <c r="O65" s="18" t="n">
        <v>6034.31</v>
      </c>
      <c r="P65" s="37" t="n">
        <v>23029.81</v>
      </c>
      <c r="Q65" s="18" t="n">
        <v>5757.97</v>
      </c>
      <c r="R65" s="18" t="n">
        <v>5424</v>
      </c>
      <c r="S65" s="18" t="n">
        <v>5506.27</v>
      </c>
      <c r="T65" s="18" t="n">
        <v>5859.82</v>
      </c>
      <c r="U65" s="37" t="n">
        <v>22548.06</v>
      </c>
      <c r="V65" s="18" t="n">
        <v>5973.64</v>
      </c>
      <c r="W65" s="18" t="n">
        <v>6307.66</v>
      </c>
      <c r="X65" s="18" t="n">
        <v>5457.81</v>
      </c>
      <c r="Y65" s="18" t="n">
        <v>6833.45</v>
      </c>
      <c r="Z65" s="37" t="n">
        <v>24572.56</v>
      </c>
      <c r="AA65" s="18" t="n">
        <v>6513.94</v>
      </c>
      <c r="AB65" s="19" t="n">
        <v>5819.28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영업이익</t>
        </is>
      </c>
      <c r="E66" s="18" t="n">
        <v>-10492.94</v>
      </c>
      <c r="F66" s="9" t="n"/>
      <c r="G66" s="18" t="n">
        <v>-7192.81</v>
      </c>
      <c r="H66" s="18" t="n">
        <v>12167.69</v>
      </c>
      <c r="I66" s="18" t="n">
        <v>4600.41</v>
      </c>
      <c r="J66" s="18" t="n">
        <v>15377.08</v>
      </c>
      <c r="K66" s="37" t="n">
        <v>24952.37</v>
      </c>
      <c r="L66" s="18" t="n">
        <v>-6419.81</v>
      </c>
      <c r="M66" s="18" t="n">
        <v>21194.28</v>
      </c>
      <c r="N66" s="18" t="n">
        <v>-6647.74</v>
      </c>
      <c r="O66" s="18" t="n">
        <v>25428</v>
      </c>
      <c r="P66" s="37" t="n">
        <v>33554.73</v>
      </c>
      <c r="Q66" s="18" t="n">
        <v>4259.35</v>
      </c>
      <c r="R66" s="18" t="n">
        <v>7951.48</v>
      </c>
      <c r="S66" s="18" t="n">
        <v>638.46</v>
      </c>
      <c r="T66" s="18" t="n">
        <v>23130.2</v>
      </c>
      <c r="U66" s="37" t="n">
        <v>35979.49</v>
      </c>
      <c r="V66" s="18" t="n">
        <v>17800.87</v>
      </c>
      <c r="W66" s="18" t="n">
        <v>8764.459999999999</v>
      </c>
      <c r="X66" s="18" t="n">
        <v>12143.57</v>
      </c>
      <c r="Y66" s="18" t="n">
        <v>34679.73</v>
      </c>
      <c r="Z66" s="37" t="n">
        <v>73388.63</v>
      </c>
      <c r="AA66" s="18" t="n">
        <v>13638.83</v>
      </c>
      <c r="AB66" s="19" t="n">
        <v>20367.63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기타영업외손익</t>
        </is>
      </c>
      <c r="E67" s="18" t="n">
        <v>-138.22</v>
      </c>
      <c r="F67" s="9" t="n"/>
      <c r="G67" s="18" t="n">
        <v>-13.94</v>
      </c>
      <c r="H67" s="18" t="n">
        <v>46.41</v>
      </c>
      <c r="I67" s="18" t="n">
        <v>877.05</v>
      </c>
      <c r="J67" s="18" t="n">
        <v>-1893.11</v>
      </c>
      <c r="K67" s="37" t="n">
        <v>-983.59</v>
      </c>
      <c r="L67" s="18" t="n">
        <v>603.25</v>
      </c>
      <c r="M67" s="18" t="n">
        <v>-877.5</v>
      </c>
      <c r="N67" s="18" t="n">
        <v>455.5</v>
      </c>
      <c r="O67" s="18" t="n">
        <v>1758.04</v>
      </c>
      <c r="P67" s="37" t="n">
        <v>1939.29</v>
      </c>
      <c r="Q67" s="18" t="n">
        <v>110.15</v>
      </c>
      <c r="R67" s="18" t="n">
        <v>304.78</v>
      </c>
      <c r="S67" s="18" t="n">
        <v>430.77</v>
      </c>
      <c r="T67" s="18" t="n">
        <v>188.74</v>
      </c>
      <c r="U67" s="37" t="n">
        <v>1034.44</v>
      </c>
      <c r="V67" s="18" t="n">
        <v>305.6</v>
      </c>
      <c r="W67" s="18" t="n">
        <v>209.74</v>
      </c>
      <c r="X67" s="18" t="n">
        <v>166.32</v>
      </c>
      <c r="Y67" s="18" t="n">
        <v>319.8</v>
      </c>
      <c r="Z67" s="37" t="n">
        <v>1001.46</v>
      </c>
      <c r="AA67" s="18" t="n">
        <v>113.32</v>
      </c>
      <c r="AB67" s="19" t="n">
        <v>381.7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기타영업외수익</t>
        </is>
      </c>
      <c r="E68" s="18" t="n">
        <v>995.98</v>
      </c>
      <c r="F68" s="9" t="n"/>
      <c r="G68" s="18" t="n">
        <v>111.15</v>
      </c>
      <c r="H68" s="18" t="n">
        <v>263.07</v>
      </c>
      <c r="I68" s="18" t="n">
        <v>1023.21</v>
      </c>
      <c r="J68" s="18" t="n">
        <v>37.09</v>
      </c>
      <c r="K68" s="37" t="n">
        <v>1434.52</v>
      </c>
      <c r="L68" s="18" t="n">
        <v>863.96</v>
      </c>
      <c r="M68" s="18" t="n">
        <v>-268.84</v>
      </c>
      <c r="N68" s="18" t="n">
        <v>488.68</v>
      </c>
      <c r="O68" s="18" t="n">
        <v>1756.02</v>
      </c>
      <c r="P68" s="37" t="n">
        <v>2839.82</v>
      </c>
      <c r="Q68" s="18" t="n">
        <v>476.88</v>
      </c>
      <c r="R68" s="18" t="n">
        <v>333.75</v>
      </c>
      <c r="S68" s="18" t="n">
        <v>423.85</v>
      </c>
      <c r="T68" s="18" t="n">
        <v>273.1</v>
      </c>
      <c r="U68" s="37" t="n">
        <v>1507.58</v>
      </c>
      <c r="V68" s="18" t="n">
        <v>476.15</v>
      </c>
      <c r="W68" s="18" t="n">
        <v>320.43</v>
      </c>
      <c r="X68" s="18" t="n">
        <v>194.42</v>
      </c>
      <c r="Y68" s="18" t="n">
        <v>253.39</v>
      </c>
      <c r="Z68" s="37" t="n">
        <v>1244.39</v>
      </c>
      <c r="AA68" s="18" t="n">
        <v>261.62</v>
      </c>
      <c r="AB68" s="19" t="n">
        <v>487.29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기타영업외비용</t>
        </is>
      </c>
      <c r="E69" s="18" t="n">
        <v>1134.2</v>
      </c>
      <c r="F69" s="9" t="n"/>
      <c r="G69" s="18" t="n">
        <v>125.09</v>
      </c>
      <c r="H69" s="18" t="n">
        <v>216.66</v>
      </c>
      <c r="I69" s="18" t="n">
        <v>146.17</v>
      </c>
      <c r="J69" s="18" t="n">
        <v>1930.21</v>
      </c>
      <c r="K69" s="37" t="n">
        <v>2418.13</v>
      </c>
      <c r="L69" s="18" t="n">
        <v>260.71</v>
      </c>
      <c r="M69" s="18" t="n">
        <v>608.66</v>
      </c>
      <c r="N69" s="18" t="n">
        <v>33.17</v>
      </c>
      <c r="O69" s="18" t="n">
        <v>-2.03</v>
      </c>
      <c r="P69" s="37" t="n">
        <v>900.51</v>
      </c>
      <c r="Q69" s="18" t="n">
        <v>366.73</v>
      </c>
      <c r="R69" s="18" t="n">
        <v>28.97</v>
      </c>
      <c r="S69" s="18" t="n">
        <v>-6.92</v>
      </c>
      <c r="T69" s="18" t="n">
        <v>84.37</v>
      </c>
      <c r="U69" s="37" t="n">
        <v>473.15</v>
      </c>
      <c r="V69" s="18" t="n">
        <v>170.55</v>
      </c>
      <c r="W69" s="18" t="n">
        <v>110.69</v>
      </c>
      <c r="X69" s="18" t="n">
        <v>28.1</v>
      </c>
      <c r="Y69" s="18" t="n">
        <v>-66.41</v>
      </c>
      <c r="Z69" s="37" t="n">
        <v>242.93</v>
      </c>
      <c r="AA69" s="18" t="n">
        <v>148.3</v>
      </c>
      <c r="AB69" s="19" t="n">
        <v>105.59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금융손익</t>
        </is>
      </c>
      <c r="E70" s="18" t="n">
        <v>-622.78</v>
      </c>
      <c r="F70" s="9" t="n"/>
      <c r="G70" s="18" t="n">
        <v>-2875.26</v>
      </c>
      <c r="H70" s="18" t="n">
        <v>2001.45</v>
      </c>
      <c r="I70" s="18" t="n">
        <v>455.01</v>
      </c>
      <c r="J70" s="18" t="n">
        <v>-6405.57</v>
      </c>
      <c r="K70" s="37" t="n">
        <v>-6824.37</v>
      </c>
      <c r="L70" s="18" t="n">
        <v>-1767.94</v>
      </c>
      <c r="M70" s="18" t="n">
        <v>-2749.08</v>
      </c>
      <c r="N70" s="18" t="n">
        <v>-1724.77</v>
      </c>
      <c r="O70" s="18" t="n">
        <v>-2707.67</v>
      </c>
      <c r="P70" s="37" t="n">
        <v>-8949.459999999999</v>
      </c>
      <c r="Q70" s="18" t="n">
        <v>-1356.24</v>
      </c>
      <c r="R70" s="18" t="n">
        <v>-2509.73</v>
      </c>
      <c r="S70" s="18" t="n">
        <v>-2638.48</v>
      </c>
      <c r="T70" s="18" t="n">
        <v>-826.9</v>
      </c>
      <c r="U70" s="37" t="n">
        <v>-7331.35</v>
      </c>
      <c r="V70" s="18" t="n">
        <v>-652.14</v>
      </c>
      <c r="W70" s="18" t="n">
        <v>-2214.07</v>
      </c>
      <c r="X70" s="18" t="n">
        <v>472.9</v>
      </c>
      <c r="Y70" s="18" t="n">
        <v>1451.79</v>
      </c>
      <c r="Z70" s="37" t="n">
        <v>-941.52</v>
      </c>
      <c r="AA70" s="18" t="n">
        <v>6732.92</v>
      </c>
      <c r="AB70" s="19" t="n">
        <v>6121.02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금융수익</t>
        </is>
      </c>
      <c r="E71" s="18" t="n">
        <v>881.61</v>
      </c>
      <c r="F71" s="9" t="n"/>
      <c r="G71" s="18" t="n">
        <v>1261.8</v>
      </c>
      <c r="H71" s="18" t="n">
        <v>2260.37</v>
      </c>
      <c r="I71" s="18" t="n">
        <v>2673.51</v>
      </c>
      <c r="J71" s="18" t="n">
        <v>206.25</v>
      </c>
      <c r="K71" s="37" t="n">
        <v>6401.93</v>
      </c>
      <c r="L71" s="18" t="n">
        <v>1665.89</v>
      </c>
      <c r="M71" s="18" t="n">
        <v>626.16</v>
      </c>
      <c r="N71" s="18" t="n">
        <v>1079.94</v>
      </c>
      <c r="O71" s="18" t="n">
        <v>802.35</v>
      </c>
      <c r="P71" s="37" t="n">
        <v>4174.34</v>
      </c>
      <c r="Q71" s="18" t="n">
        <v>1718.62</v>
      </c>
      <c r="R71" s="18" t="n">
        <v>1129.72</v>
      </c>
      <c r="S71" s="18" t="n">
        <v>1101.25</v>
      </c>
      <c r="T71" s="18" t="n">
        <v>2738.68</v>
      </c>
      <c r="U71" s="37" t="n">
        <v>6688.27</v>
      </c>
      <c r="V71" s="18" t="n">
        <v>2225.28</v>
      </c>
      <c r="W71" s="18" t="n">
        <v>1479.28</v>
      </c>
      <c r="X71" s="18" t="n">
        <v>2886.02</v>
      </c>
      <c r="Y71" s="18" t="n">
        <v>4825.26</v>
      </c>
      <c r="Z71" s="37" t="n">
        <v>11415.84</v>
      </c>
      <c r="AA71" s="18" t="n">
        <v>10861.67</v>
      </c>
      <c r="AB71" s="19" t="n">
        <v>8207.5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금융비용</t>
        </is>
      </c>
      <c r="E72" s="18" t="n">
        <v>1504.4</v>
      </c>
      <c r="F72" s="9" t="n"/>
      <c r="G72" s="18" t="n">
        <v>4137.05</v>
      </c>
      <c r="H72" s="18" t="n">
        <v>258.92</v>
      </c>
      <c r="I72" s="18" t="n">
        <v>2218.51</v>
      </c>
      <c r="J72" s="18" t="n">
        <v>6611.82</v>
      </c>
      <c r="K72" s="37" t="n">
        <v>13226.3</v>
      </c>
      <c r="L72" s="18" t="n">
        <v>3433.83</v>
      </c>
      <c r="M72" s="18" t="n">
        <v>3375.24</v>
      </c>
      <c r="N72" s="18" t="n">
        <v>2804.71</v>
      </c>
      <c r="O72" s="18" t="n">
        <v>3510.02</v>
      </c>
      <c r="P72" s="37" t="n">
        <v>13123.8</v>
      </c>
      <c r="Q72" s="18" t="n">
        <v>3074.86</v>
      </c>
      <c r="R72" s="18" t="n">
        <v>3639.45</v>
      </c>
      <c r="S72" s="18" t="n">
        <v>3739.73</v>
      </c>
      <c r="T72" s="18" t="n">
        <v>3565.58</v>
      </c>
      <c r="U72" s="37" t="n">
        <v>14019.62</v>
      </c>
      <c r="V72" s="18" t="n">
        <v>2877.42</v>
      </c>
      <c r="W72" s="18" t="n">
        <v>3693.35</v>
      </c>
      <c r="X72" s="18" t="n">
        <v>2413.12</v>
      </c>
      <c r="Y72" s="18" t="n">
        <v>3373.47</v>
      </c>
      <c r="Z72" s="37" t="n">
        <v>12357.36</v>
      </c>
      <c r="AA72" s="18" t="n">
        <v>4128.76</v>
      </c>
      <c r="AB72" s="19" t="n">
        <v>2086.48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종속기업,공동지배기업및관계기업관련손익</t>
        </is>
      </c>
      <c r="E73" s="18" t="n">
        <v>0</v>
      </c>
      <c r="F73" s="9" t="n"/>
      <c r="G73" s="18" t="n">
        <v>0</v>
      </c>
      <c r="H73" s="18" t="n">
        <v>0</v>
      </c>
      <c r="I73" s="18" t="n">
        <v>0</v>
      </c>
      <c r="J73" s="18" t="n">
        <v>-574.48</v>
      </c>
      <c r="K73" s="37" t="n">
        <v>-574.48</v>
      </c>
      <c r="L73" s="18" t="n">
        <v>-17.52</v>
      </c>
      <c r="M73" s="18" t="n">
        <v>-240.58</v>
      </c>
      <c r="N73" s="18" t="n">
        <v>-135.05</v>
      </c>
      <c r="O73" s="18" t="n">
        <v>-325.37</v>
      </c>
      <c r="P73" s="37" t="n">
        <v>-718.52</v>
      </c>
      <c r="Q73" s="18" t="n">
        <v>-129.75</v>
      </c>
      <c r="R73" s="18" t="n">
        <v>-124.23</v>
      </c>
      <c r="S73" s="18" t="n">
        <v>-134.75</v>
      </c>
      <c r="T73" s="18" t="n">
        <v>-246.38</v>
      </c>
      <c r="U73" s="37" t="n">
        <v>-635.11</v>
      </c>
      <c r="V73" s="18" t="n">
        <v>-100.49</v>
      </c>
      <c r="W73" s="18" t="n">
        <v>96.05</v>
      </c>
      <c r="X73" s="18" t="n">
        <v>-7.91</v>
      </c>
      <c r="Y73" s="18" t="n">
        <v>0.11</v>
      </c>
      <c r="Z73" s="37" t="n">
        <v>-12.24</v>
      </c>
      <c r="AA73" s="18" t="n">
        <v>13.82</v>
      </c>
      <c r="AB73" s="19" t="n">
        <v>-6.39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법인세비용차감전계속사업이익</t>
        </is>
      </c>
      <c r="E74" s="18" t="n">
        <v>-11253.94</v>
      </c>
      <c r="F74" s="9" t="n"/>
      <c r="G74" s="18" t="n">
        <v>-10082.01</v>
      </c>
      <c r="H74" s="18" t="n">
        <v>14215.55</v>
      </c>
      <c r="I74" s="18" t="n">
        <v>5932.46</v>
      </c>
      <c r="J74" s="18" t="n">
        <v>6503.91</v>
      </c>
      <c r="K74" s="37" t="n">
        <v>16569.91</v>
      </c>
      <c r="L74" s="18" t="n">
        <v>-7602.02</v>
      </c>
      <c r="M74" s="18" t="n">
        <v>17327.11</v>
      </c>
      <c r="N74" s="18" t="n">
        <v>-8052.06</v>
      </c>
      <c r="O74" s="18" t="n">
        <v>24153.01</v>
      </c>
      <c r="P74" s="37" t="n">
        <v>25826.04</v>
      </c>
      <c r="Q74" s="18" t="n">
        <v>2883.5</v>
      </c>
      <c r="R74" s="18" t="n">
        <v>5622.3</v>
      </c>
      <c r="S74" s="18" t="n">
        <v>-1704</v>
      </c>
      <c r="T74" s="18" t="n">
        <v>22245.66</v>
      </c>
      <c r="U74" s="37" t="n">
        <v>29047.46</v>
      </c>
      <c r="V74" s="18" t="n">
        <v>17353.84</v>
      </c>
      <c r="W74" s="18" t="n">
        <v>6856.17</v>
      </c>
      <c r="X74" s="18" t="n">
        <v>12774.87</v>
      </c>
      <c r="Y74" s="18" t="n">
        <v>36451.44</v>
      </c>
      <c r="Z74" s="37" t="n">
        <v>73436.32000000001</v>
      </c>
      <c r="AA74" s="18" t="n">
        <v>20498.88</v>
      </c>
      <c r="AB74" s="19" t="n">
        <v>26863.97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법인세비용</t>
        </is>
      </c>
      <c r="E75" s="18" t="n">
        <v>-1548.57</v>
      </c>
      <c r="F75" s="9" t="n"/>
      <c r="G75" s="18" t="n">
        <v>-1956.87</v>
      </c>
      <c r="H75" s="18" t="n">
        <v>3468.26</v>
      </c>
      <c r="I75" s="18" t="n">
        <v>1736.26</v>
      </c>
      <c r="J75" s="18" t="n">
        <v>102.19</v>
      </c>
      <c r="K75" s="37" t="n">
        <v>3349.84</v>
      </c>
      <c r="L75" s="18" t="n">
        <v>-1547.49</v>
      </c>
      <c r="M75" s="18" t="n">
        <v>3858.12</v>
      </c>
      <c r="N75" s="18" t="n">
        <v>504</v>
      </c>
      <c r="O75" s="18" t="n">
        <v>-354.56</v>
      </c>
      <c r="P75" s="37" t="n">
        <v>2460.07</v>
      </c>
      <c r="Q75" s="18" t="n">
        <v>280.17</v>
      </c>
      <c r="R75" s="18" t="n">
        <v>3886.87</v>
      </c>
      <c r="S75" s="18" t="n">
        <v>-583.59</v>
      </c>
      <c r="T75" s="18" t="n">
        <v>3442.56</v>
      </c>
      <c r="U75" s="37" t="n">
        <v>7026.01</v>
      </c>
      <c r="V75" s="18" t="n">
        <v>4172.58</v>
      </c>
      <c r="W75" s="18" t="n">
        <v>2026.02</v>
      </c>
      <c r="X75" s="18" t="n">
        <v>2733.58</v>
      </c>
      <c r="Y75" s="18" t="n">
        <v>4659.68</v>
      </c>
      <c r="Z75" s="37" t="n">
        <v>13591.86</v>
      </c>
      <c r="AA75" s="18" t="n">
        <v>4714.27</v>
      </c>
      <c r="AB75" s="19" t="n">
        <v>6240.55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당기순이익</t>
        </is>
      </c>
      <c r="E76" s="18" t="n">
        <v>-9705.370000000001</v>
      </c>
      <c r="F76" s="9" t="n"/>
      <c r="G76" s="18" t="n">
        <v>-8125.14</v>
      </c>
      <c r="H76" s="18" t="n">
        <v>10747.3</v>
      </c>
      <c r="I76" s="18" t="n">
        <v>4196.2</v>
      </c>
      <c r="J76" s="18" t="n">
        <v>6401.72</v>
      </c>
      <c r="K76" s="37" t="n">
        <v>13220.08</v>
      </c>
      <c r="L76" s="18" t="n">
        <v>-6054.53</v>
      </c>
      <c r="M76" s="18" t="n">
        <v>13468.99</v>
      </c>
      <c r="N76" s="18" t="n">
        <v>3244.72</v>
      </c>
      <c r="O76" s="18" t="n">
        <v>12071.14</v>
      </c>
      <c r="P76" s="37" t="n">
        <v>22730.32</v>
      </c>
      <c r="Q76" s="18" t="n">
        <v>2603.33</v>
      </c>
      <c r="R76" s="18" t="n">
        <v>1735.43</v>
      </c>
      <c r="S76" s="18" t="n">
        <v>-1120.41</v>
      </c>
      <c r="T76" s="18" t="n">
        <v>18803.1</v>
      </c>
      <c r="U76" s="37" t="n">
        <v>22021.45</v>
      </c>
      <c r="V76" s="18" t="n">
        <v>13181.26</v>
      </c>
      <c r="W76" s="18" t="n">
        <v>4830.15</v>
      </c>
      <c r="X76" s="18" t="n">
        <v>10041.29</v>
      </c>
      <c r="Y76" s="18" t="n">
        <v>31791.76</v>
      </c>
      <c r="Z76" s="37" t="n">
        <v>59844.46</v>
      </c>
      <c r="AA76" s="18" t="n">
        <v>15784.61</v>
      </c>
      <c r="AB76" s="19" t="n">
        <v>20623.42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(지배주주지분)당기순이익</t>
        </is>
      </c>
      <c r="E77" s="18" t="n">
        <v>-10998.72</v>
      </c>
      <c r="F77" s="9" t="n"/>
      <c r="G77" s="18" t="n">
        <v>-7956.78</v>
      </c>
      <c r="H77" s="18" t="n">
        <v>10387.63</v>
      </c>
      <c r="I77" s="18" t="n">
        <v>3302.81</v>
      </c>
      <c r="J77" s="18" t="n">
        <v>5857.17</v>
      </c>
      <c r="K77" s="37" t="n">
        <v>11590.83</v>
      </c>
      <c r="L77" s="18" t="n">
        <v>-6547.57</v>
      </c>
      <c r="M77" s="18" t="n">
        <v>13311.95</v>
      </c>
      <c r="N77" s="18" t="n">
        <v>3198.49</v>
      </c>
      <c r="O77" s="18" t="n">
        <v>7158.84</v>
      </c>
      <c r="P77" s="37" t="n">
        <v>17121.71</v>
      </c>
      <c r="Q77" s="18" t="n">
        <v>2574.74</v>
      </c>
      <c r="R77" s="18" t="n">
        <v>-3529.64</v>
      </c>
      <c r="S77" s="18" t="n">
        <v>-2625.77</v>
      </c>
      <c r="T77" s="18" t="n">
        <v>14931.38</v>
      </c>
      <c r="U77" s="37" t="n">
        <v>11350.71</v>
      </c>
      <c r="V77" s="18" t="n">
        <v>12994.64</v>
      </c>
      <c r="W77" s="18" t="n">
        <v>4278.63</v>
      </c>
      <c r="X77" s="18" t="n">
        <v>7185.88</v>
      </c>
      <c r="Y77" s="18" t="n">
        <v>26221.8</v>
      </c>
      <c r="Z77" s="37" t="n">
        <v>50680.95</v>
      </c>
      <c r="AA77" s="18" t="n">
        <v>14098.17</v>
      </c>
      <c r="AB77" s="19" t="n">
        <v>16542.49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(비지배주주지분)당기순이익</t>
        </is>
      </c>
      <c r="E78" s="18" t="n">
        <v>1293.34</v>
      </c>
      <c r="F78" s="9" t="n"/>
      <c r="G78" s="18" t="n">
        <v>-168.36</v>
      </c>
      <c r="H78" s="18" t="n">
        <v>359.66</v>
      </c>
      <c r="I78" s="18" t="n">
        <v>893.4</v>
      </c>
      <c r="J78" s="18" t="n">
        <v>544.55</v>
      </c>
      <c r="K78" s="37" t="n">
        <v>1629.25</v>
      </c>
      <c r="L78" s="18" t="n">
        <v>493.04</v>
      </c>
      <c r="M78" s="18" t="n">
        <v>157.04</v>
      </c>
      <c r="N78" s="18" t="n">
        <v>46.23</v>
      </c>
      <c r="O78" s="18" t="n">
        <v>4912.3</v>
      </c>
      <c r="P78" s="37" t="n">
        <v>5608.61</v>
      </c>
      <c r="Q78" s="18" t="n">
        <v>28.6</v>
      </c>
      <c r="R78" s="18" t="n">
        <v>5265.07</v>
      </c>
      <c r="S78" s="18" t="n">
        <v>1505.36</v>
      </c>
      <c r="T78" s="18" t="n">
        <v>3871.72</v>
      </c>
      <c r="U78" s="37" t="n">
        <v>10670.75</v>
      </c>
      <c r="V78" s="18" t="n">
        <v>186.62</v>
      </c>
      <c r="W78" s="18" t="n">
        <v>551.53</v>
      </c>
      <c r="X78" s="18" t="n">
        <v>2855.41</v>
      </c>
      <c r="Y78" s="18" t="n">
        <v>5569.96</v>
      </c>
      <c r="Z78" s="37" t="n">
        <v>9163.52</v>
      </c>
      <c r="AA78" s="18" t="n">
        <v>1686.45</v>
      </c>
      <c r="AB78" s="19" t="n">
        <v>4080.92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총포괄손익</t>
        </is>
      </c>
      <c r="E79" s="18" t="n">
        <v>-9388.65</v>
      </c>
      <c r="F79" s="9" t="n"/>
      <c r="G79" s="18" t="n">
        <v>-7555.73</v>
      </c>
      <c r="H79" s="18" t="n">
        <v>11276.06</v>
      </c>
      <c r="I79" s="18" t="n">
        <v>4614.33</v>
      </c>
      <c r="J79" s="18" t="n">
        <v>5354.24</v>
      </c>
      <c r="K79" s="37" t="n">
        <v>13688.9</v>
      </c>
      <c r="L79" s="18" t="n">
        <v>-6165.28</v>
      </c>
      <c r="M79" s="18" t="n">
        <v>14750.38</v>
      </c>
      <c r="N79" s="18" t="n">
        <v>3023.56</v>
      </c>
      <c r="O79" s="18" t="n">
        <v>9891.959999999999</v>
      </c>
      <c r="P79" s="37" t="n">
        <v>21500.62</v>
      </c>
      <c r="Q79" s="18" t="n">
        <v>2599.78</v>
      </c>
      <c r="R79" s="18" t="n">
        <v>1593.8</v>
      </c>
      <c r="S79" s="18" t="n">
        <v>-1480.09</v>
      </c>
      <c r="T79" s="18" t="n">
        <v>16459.05</v>
      </c>
      <c r="U79" s="37" t="n">
        <v>19172.54</v>
      </c>
      <c r="V79" s="18" t="n">
        <v>13353.08</v>
      </c>
      <c r="W79" s="18" t="n">
        <v>5223.93</v>
      </c>
      <c r="X79" s="18" t="n">
        <v>11287.64</v>
      </c>
      <c r="Y79" s="18" t="n">
        <v>31638.3</v>
      </c>
      <c r="Z79" s="37" t="n">
        <v>61502.95</v>
      </c>
      <c r="AA79" s="18" t="n">
        <v>14737.28</v>
      </c>
      <c r="AB79" s="19" t="n">
        <v>20981.81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계속사업이익</t>
        </is>
      </c>
      <c r="E80" s="18" t="n">
        <v>-9705.370000000001</v>
      </c>
      <c r="F80" s="9" t="n"/>
      <c r="G80" s="18" t="n">
        <v>-8125.14</v>
      </c>
      <c r="H80" s="18" t="n">
        <v>10747.3</v>
      </c>
      <c r="I80" s="18" t="n">
        <v>4196.2</v>
      </c>
      <c r="J80" s="18" t="n">
        <v>6401.72</v>
      </c>
      <c r="K80" s="37" t="n">
        <v>13220.08</v>
      </c>
      <c r="L80" s="18" t="n">
        <v>-6054.53</v>
      </c>
      <c r="M80" s="18" t="n">
        <v>13468.99</v>
      </c>
      <c r="N80" s="18" t="n">
        <v>-8556.049999999999</v>
      </c>
      <c r="O80" s="18" t="n">
        <v>24507.57</v>
      </c>
      <c r="P80" s="37" t="n">
        <v>23365.98</v>
      </c>
      <c r="Q80" s="18" t="n">
        <v>2603.33</v>
      </c>
      <c r="R80" s="18" t="n">
        <v>1735.43</v>
      </c>
      <c r="S80" s="18" t="n">
        <v>-1120.41</v>
      </c>
      <c r="T80" s="18" t="n">
        <v>18803.1</v>
      </c>
      <c r="U80" s="37" t="n">
        <v>22021.45</v>
      </c>
      <c r="V80" s="18" t="n">
        <v>13181.26</v>
      </c>
      <c r="W80" s="18" t="n">
        <v>4830.15</v>
      </c>
      <c r="X80" s="18" t="n">
        <v>10041.29</v>
      </c>
      <c r="Y80" s="18" t="n">
        <v>31791.76</v>
      </c>
      <c r="Z80" s="37" t="n">
        <v>59844.46</v>
      </c>
      <c r="AA80" s="18" t="n">
        <v>15784.61</v>
      </c>
      <c r="AB80" s="19" t="n">
        <v>20623.42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중단사업이익</t>
        </is>
      </c>
      <c r="F81" s="9" t="n"/>
      <c r="K81" s="9" t="n"/>
      <c r="N81" s="18" t="n">
        <v>11800.77</v>
      </c>
      <c r="O81" s="18" t="n">
        <v>-12436.42</v>
      </c>
      <c r="P81" s="9" t="n"/>
      <c r="S81" s="18" t="n">
        <v>0</v>
      </c>
      <c r="T81" s="18" t="n">
        <v>0</v>
      </c>
      <c r="U81" s="9" t="n"/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이자수익</t>
        </is>
      </c>
      <c r="F82" s="9" t="n"/>
      <c r="K82" s="9" t="n"/>
      <c r="P82" s="9" t="n"/>
      <c r="Q82" s="18" t="n">
        <v>641.92</v>
      </c>
      <c r="R82" s="18" t="n">
        <v>345.4</v>
      </c>
      <c r="S82" s="18" t="n">
        <v>1033.99</v>
      </c>
      <c r="T82" s="18" t="n">
        <v>845.59</v>
      </c>
      <c r="U82" s="37" t="n">
        <v>2866.9</v>
      </c>
      <c r="V82" s="18" t="n">
        <v>509.9</v>
      </c>
      <c r="W82" s="18" t="n">
        <v>1472.31</v>
      </c>
      <c r="X82" s="18" t="n">
        <v>515.16</v>
      </c>
      <c r="Y82" s="18" t="n">
        <v>1897.15</v>
      </c>
      <c r="Z82" s="37" t="n">
        <v>4394.52</v>
      </c>
      <c r="AB82" s="19" t="n">
        <v>731.79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이자비용</t>
        </is>
      </c>
      <c r="F83" s="9" t="n"/>
      <c r="K83" s="9" t="n"/>
      <c r="P83" s="9" t="n"/>
      <c r="Q83" s="18" t="n">
        <v>3045.6</v>
      </c>
      <c r="R83" s="18" t="n">
        <v>2950.03</v>
      </c>
      <c r="S83" s="18" t="n">
        <v>2959.84</v>
      </c>
      <c r="T83" s="18" t="n">
        <v>2990.47</v>
      </c>
      <c r="U83" s="37" t="n">
        <v>11945.94</v>
      </c>
      <c r="V83" s="18" t="n">
        <v>2820.49</v>
      </c>
      <c r="W83" s="18" t="n">
        <v>2880.27</v>
      </c>
      <c r="X83" s="18" t="n">
        <v>2649.45</v>
      </c>
      <c r="Y83" s="18" t="n">
        <v>2486.17</v>
      </c>
      <c r="Z83" s="37" t="n">
        <v>10836.38</v>
      </c>
      <c r="AB83" s="19" t="n">
        <v>2239.9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외환차익</t>
        </is>
      </c>
      <c r="F84" s="9" t="n"/>
      <c r="K84" s="9" t="n"/>
      <c r="P84" s="9" t="n"/>
      <c r="Q84" s="18" t="n">
        <v>697.64</v>
      </c>
      <c r="R84" s="18" t="n">
        <v>619.5</v>
      </c>
      <c r="S84" s="18" t="n">
        <v>62.69</v>
      </c>
      <c r="T84" s="18" t="n">
        <v>1391.84</v>
      </c>
      <c r="U84" s="37" t="n">
        <v>2771.67</v>
      </c>
      <c r="V84" s="18" t="n">
        <v>294.04</v>
      </c>
      <c r="W84" s="18" t="n">
        <v>176</v>
      </c>
      <c r="X84" s="18" t="n">
        <v>50.1</v>
      </c>
      <c r="Y84" s="18" t="n">
        <v>502.38</v>
      </c>
      <c r="Z84" s="37" t="n">
        <v>1022.52</v>
      </c>
      <c r="AB84" s="19" t="n">
        <v>507.94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외환차손</t>
        </is>
      </c>
      <c r="F85" s="9" t="n"/>
      <c r="K85" s="9" t="n"/>
      <c r="P85" s="9" t="n"/>
      <c r="Q85" s="18" t="n">
        <v>10.47</v>
      </c>
      <c r="R85" s="18" t="n">
        <v>6.94</v>
      </c>
      <c r="S85" s="18" t="n">
        <v>103.68</v>
      </c>
      <c r="T85" s="18" t="n">
        <v>290.21</v>
      </c>
      <c r="U85" s="37" t="n">
        <v>411.3</v>
      </c>
      <c r="V85" s="18" t="n">
        <v>43.62</v>
      </c>
      <c r="W85" s="18" t="n">
        <v>162.47</v>
      </c>
      <c r="X85" s="18" t="n">
        <v>409.97</v>
      </c>
      <c r="Y85" s="18" t="n">
        <v>338.99</v>
      </c>
      <c r="Z85" s="37" t="n">
        <v>955.05</v>
      </c>
      <c r="AB85" s="19" t="n">
        <v>16.19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외화환산이익</t>
        </is>
      </c>
      <c r="F86" s="9" t="n"/>
      <c r="K86" s="9" t="n"/>
      <c r="P86" s="9" t="n"/>
      <c r="Q86" s="18" t="n">
        <v>208.61</v>
      </c>
      <c r="R86" s="18" t="n">
        <v>-173.75</v>
      </c>
      <c r="S86" s="18" t="n">
        <v>13.84</v>
      </c>
      <c r="T86" s="18" t="n">
        <v>178.28</v>
      </c>
      <c r="U86" s="37" t="n">
        <v>226.98</v>
      </c>
      <c r="V86" s="18" t="n">
        <v>1420.51</v>
      </c>
      <c r="W86" s="18" t="n">
        <v>-550.5700000000001</v>
      </c>
      <c r="X86" s="18" t="n">
        <v>1503.87</v>
      </c>
      <c r="Y86" s="18" t="n">
        <v>-15.1</v>
      </c>
      <c r="Z86" s="37" t="n">
        <v>2358.71</v>
      </c>
      <c r="AB86" s="19" t="n">
        <v>1238.84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외화환산손실</t>
        </is>
      </c>
      <c r="F87" s="9" t="n"/>
      <c r="K87" s="9" t="n"/>
      <c r="P87" s="9" t="n"/>
      <c r="Q87" s="18" t="n">
        <v>18.8</v>
      </c>
      <c r="R87" s="18" t="n">
        <v>682.48</v>
      </c>
      <c r="S87" s="18" t="n">
        <v>676.2</v>
      </c>
      <c r="T87" s="18" t="n">
        <v>284.9</v>
      </c>
      <c r="U87" s="37" t="n">
        <v>1662.38</v>
      </c>
      <c r="V87" s="18" t="n">
        <v>13.31</v>
      </c>
      <c r="W87" s="18" t="n">
        <v>650.62</v>
      </c>
      <c r="X87" s="18" t="n">
        <v>-646.3099999999999</v>
      </c>
      <c r="Y87" s="18" t="n">
        <v>10.82</v>
      </c>
      <c r="Z87" s="37" t="n">
        <v>28.44</v>
      </c>
      <c r="AB87" s="19" t="n">
        <v>14.61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이자손익</t>
        </is>
      </c>
      <c r="F88" s="9" t="n"/>
      <c r="K88" s="9" t="n"/>
      <c r="P88" s="9" t="n"/>
      <c r="Q88" s="18" t="n">
        <v>-2403.68</v>
      </c>
      <c r="R88" s="18" t="n">
        <v>-2604.63</v>
      </c>
      <c r="S88" s="18" t="n">
        <v>-1925.85</v>
      </c>
      <c r="T88" s="18" t="n">
        <v>-2144.88</v>
      </c>
      <c r="U88" s="37" t="n">
        <v>-9079.040000000001</v>
      </c>
      <c r="V88" s="18" t="n">
        <v>-2310.59</v>
      </c>
      <c r="W88" s="18" t="n">
        <v>-1407.96</v>
      </c>
      <c r="X88" s="18" t="n">
        <v>-2134.29</v>
      </c>
      <c r="Y88" s="18" t="n">
        <v>-589.02</v>
      </c>
      <c r="Z88" s="37" t="n">
        <v>-6441.86</v>
      </c>
      <c r="AB88" s="19" t="n">
        <v>-1508.11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배당금수익</t>
        </is>
      </c>
      <c r="F89" s="9" t="n"/>
      <c r="K89" s="9" t="n"/>
      <c r="P89" s="9" t="n"/>
      <c r="S89" s="18" t="n">
        <v>0</v>
      </c>
      <c r="T89" s="18" t="n">
        <v>0</v>
      </c>
      <c r="U89" s="9" t="n"/>
      <c r="X89" s="18" t="n">
        <v>10.64</v>
      </c>
      <c r="Y89" s="18" t="n">
        <v>24.85</v>
      </c>
      <c r="Z89" s="9" t="n"/>
      <c r="AB89" s="19" t="n">
        <v>340.68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영업활동으로인한현금흐름</t>
        </is>
      </c>
      <c r="E90" s="18" t="n">
        <v>-11105</v>
      </c>
      <c r="F90" s="9" t="n"/>
      <c r="G90" s="18" t="n">
        <v>-20116.62</v>
      </c>
      <c r="H90" s="18" t="n">
        <v>7511.35</v>
      </c>
      <c r="I90" s="18" t="n">
        <v>4975.25</v>
      </c>
      <c r="J90" s="18" t="n">
        <v>27161.72</v>
      </c>
      <c r="K90" s="37" t="n">
        <v>19531.7</v>
      </c>
      <c r="L90" s="18" t="n">
        <v>-10890.66</v>
      </c>
      <c r="M90" s="18" t="n">
        <v>43778.46</v>
      </c>
      <c r="N90" s="18" t="n">
        <v>12798.55</v>
      </c>
      <c r="O90" s="18" t="n">
        <v>23379.42</v>
      </c>
      <c r="P90" s="37" t="n">
        <v>69065.77</v>
      </c>
      <c r="Q90" s="18" t="n">
        <v>13245.72</v>
      </c>
      <c r="R90" s="18" t="n">
        <v>6881.57</v>
      </c>
      <c r="S90" s="18" t="n">
        <v>2183.77</v>
      </c>
      <c r="T90" s="18" t="n">
        <v>9340.120000000001</v>
      </c>
      <c r="U90" s="37" t="n">
        <v>31651.18</v>
      </c>
      <c r="V90" s="18" t="n">
        <v>-711.8</v>
      </c>
      <c r="W90" s="18" t="n">
        <v>32230.31</v>
      </c>
      <c r="X90" s="18" t="n">
        <v>26686.46</v>
      </c>
      <c r="Y90" s="18" t="n">
        <v>-647.34</v>
      </c>
      <c r="Z90" s="37" t="n">
        <v>57557.63</v>
      </c>
      <c r="AA90" s="18" t="n">
        <v>26339.65</v>
      </c>
      <c r="AB90" s="19" t="n">
        <v>15768.09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법인세납부(CF)</t>
        </is>
      </c>
      <c r="E91" s="18" t="n">
        <v>-109.44</v>
      </c>
      <c r="F91" s="9" t="n"/>
      <c r="G91" s="18" t="n">
        <v>-5594.55</v>
      </c>
      <c r="H91" s="18" t="n">
        <v>-6715.09</v>
      </c>
      <c r="I91" s="18" t="n">
        <v>-245.73</v>
      </c>
      <c r="J91" s="18" t="n">
        <v>-30.65</v>
      </c>
      <c r="K91" s="37" t="n">
        <v>-12586.02</v>
      </c>
      <c r="L91" s="18" t="n">
        <v>-321.14</v>
      </c>
      <c r="M91" s="18" t="n">
        <v>295.05</v>
      </c>
      <c r="N91" s="18" t="n">
        <v>-1009.87</v>
      </c>
      <c r="O91" s="18" t="n">
        <v>-126.01</v>
      </c>
      <c r="P91" s="37" t="n">
        <v>-1161.97</v>
      </c>
      <c r="Q91" s="18" t="n">
        <v>-4239.15</v>
      </c>
      <c r="R91" s="18" t="n">
        <v>-4477.44</v>
      </c>
      <c r="S91" s="18" t="n">
        <v>-3440.63</v>
      </c>
      <c r="T91" s="18" t="n">
        <v>-262.34</v>
      </c>
      <c r="U91" s="37" t="n">
        <v>-12419.56</v>
      </c>
      <c r="V91" s="18" t="n">
        <v>-3859.35</v>
      </c>
      <c r="W91" s="18" t="n">
        <v>-3818.88</v>
      </c>
      <c r="X91" s="18" t="n">
        <v>-1758.81</v>
      </c>
      <c r="Y91" s="18" t="n">
        <v>-3544.68</v>
      </c>
      <c r="Z91" s="37" t="n">
        <v>-12981.72</v>
      </c>
      <c r="AA91" s="18" t="n">
        <v>-3576.28</v>
      </c>
      <c r="AB91" s="19" t="n">
        <v>-4050.64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투자활동으로인한현금흐름</t>
        </is>
      </c>
      <c r="E92" s="18" t="n">
        <v>-2757.98</v>
      </c>
      <c r="F92" s="9" t="n"/>
      <c r="G92" s="18" t="n">
        <v>-17566.38</v>
      </c>
      <c r="H92" s="18" t="n">
        <v>-24412.36</v>
      </c>
      <c r="I92" s="18" t="n">
        <v>10213.53</v>
      </c>
      <c r="J92" s="18" t="n">
        <v>-3443.48</v>
      </c>
      <c r="K92" s="37" t="n">
        <v>-35208.69</v>
      </c>
      <c r="L92" s="18" t="n">
        <v>-5697.75</v>
      </c>
      <c r="M92" s="18" t="n">
        <v>-4816.71</v>
      </c>
      <c r="N92" s="18" t="n">
        <v>-25873.48</v>
      </c>
      <c r="O92" s="18" t="n">
        <v>-2913.21</v>
      </c>
      <c r="P92" s="37" t="n">
        <v>-39301.15</v>
      </c>
      <c r="Q92" s="18" t="n">
        <v>-4372</v>
      </c>
      <c r="R92" s="18" t="n">
        <v>-15812.72</v>
      </c>
      <c r="S92" s="18" t="n">
        <v>-5703.87</v>
      </c>
      <c r="T92" s="18" t="n">
        <v>-14101.75</v>
      </c>
      <c r="U92" s="37" t="n">
        <v>-39990.34</v>
      </c>
      <c r="V92" s="18" t="n">
        <v>-2729.58</v>
      </c>
      <c r="W92" s="18" t="n">
        <v>-6725.99</v>
      </c>
      <c r="X92" s="18" t="n">
        <v>-19659.87</v>
      </c>
      <c r="Y92" s="18" t="n">
        <v>-15083.38</v>
      </c>
      <c r="Z92" s="37" t="n">
        <v>-44198.82</v>
      </c>
      <c r="AA92" s="18" t="n">
        <v>-8734.1</v>
      </c>
      <c r="AB92" s="19" t="n">
        <v>-26709.34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유형자산의감소</t>
        </is>
      </c>
      <c r="E93" s="18" t="n">
        <v>600</v>
      </c>
      <c r="F93" s="9" t="n"/>
      <c r="G93" s="18" t="n">
        <v>689.24</v>
      </c>
      <c r="I93" s="18" t="n">
        <v>0</v>
      </c>
      <c r="J93" s="18" t="n">
        <v>6.64</v>
      </c>
      <c r="K93" s="9" t="n"/>
      <c r="L93" s="18" t="n">
        <v>2343.53</v>
      </c>
      <c r="M93" s="18" t="n">
        <v>0</v>
      </c>
      <c r="N93" s="18" t="n">
        <v>0</v>
      </c>
      <c r="O93" s="18" t="n">
        <v>0</v>
      </c>
      <c r="P93" s="37" t="n">
        <v>2343.53</v>
      </c>
      <c r="Q93" s="18" t="n">
        <v>0</v>
      </c>
      <c r="R93" s="18" t="n">
        <v>0</v>
      </c>
      <c r="S93" s="18" t="n">
        <v>3.85</v>
      </c>
      <c r="T93" s="18" t="n">
        <v>4.78</v>
      </c>
      <c r="U93" s="37" t="n">
        <v>8.630000000000001</v>
      </c>
      <c r="X93" s="18" t="n">
        <v>0</v>
      </c>
      <c r="Y93" s="18" t="n">
        <v>0</v>
      </c>
      <c r="Z93" s="9" t="n"/>
      <c r="AA93" s="18" t="n">
        <v>71.92</v>
      </c>
      <c r="AB93" s="5" t="n"/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유형자산의증가</t>
        </is>
      </c>
      <c r="E94" s="18" t="n">
        <v>3358.98</v>
      </c>
      <c r="F94" s="9" t="n"/>
      <c r="G94" s="18" t="n">
        <v>20235.93</v>
      </c>
      <c r="H94" s="18" t="n">
        <v>4364.11</v>
      </c>
      <c r="I94" s="18" t="n">
        <v>7451.05</v>
      </c>
      <c r="J94" s="18" t="n">
        <v>3313.77</v>
      </c>
      <c r="K94" s="37" t="n">
        <v>35364.86</v>
      </c>
      <c r="L94" s="18" t="n">
        <v>1587.33</v>
      </c>
      <c r="M94" s="18" t="n">
        <v>3576.4</v>
      </c>
      <c r="N94" s="18" t="n">
        <v>37664.9</v>
      </c>
      <c r="O94" s="18" t="n">
        <v>309.29</v>
      </c>
      <c r="P94" s="37" t="n">
        <v>43137.92</v>
      </c>
      <c r="Q94" s="18" t="n">
        <v>3303.81</v>
      </c>
      <c r="R94" s="18" t="n">
        <v>2728.52</v>
      </c>
      <c r="S94" s="18" t="n">
        <v>4862.79</v>
      </c>
      <c r="T94" s="18" t="n">
        <v>9277.129999999999</v>
      </c>
      <c r="U94" s="37" t="n">
        <v>20172.25</v>
      </c>
      <c r="V94" s="18" t="n">
        <v>2809.12</v>
      </c>
      <c r="W94" s="18" t="n">
        <v>1146.07</v>
      </c>
      <c r="X94" s="18" t="n">
        <v>1912.09</v>
      </c>
      <c r="Y94" s="18" t="n">
        <v>3630.81</v>
      </c>
      <c r="Z94" s="37" t="n">
        <v>9498.09</v>
      </c>
      <c r="AA94" s="18" t="n">
        <v>2342.4</v>
      </c>
      <c r="AB94" s="19" t="n">
        <v>6416.85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CAPEX</t>
        </is>
      </c>
      <c r="E95" s="18" t="n">
        <v>3408.48</v>
      </c>
      <c r="F95" s="9" t="n"/>
      <c r="G95" s="18" t="n">
        <v>20235.93</v>
      </c>
      <c r="H95" s="18" t="n">
        <v>4369.61</v>
      </c>
      <c r="I95" s="18" t="n">
        <v>7863.9</v>
      </c>
      <c r="J95" s="18" t="n">
        <v>3342.52</v>
      </c>
      <c r="K95" s="37" t="n">
        <v>35811.96</v>
      </c>
      <c r="L95" s="18" t="n">
        <v>1587.33</v>
      </c>
      <c r="M95" s="18" t="n">
        <v>3970.4</v>
      </c>
      <c r="N95" s="18" t="n">
        <v>37681.98</v>
      </c>
      <c r="O95" s="18" t="n">
        <v>309.29</v>
      </c>
      <c r="P95" s="37" t="n">
        <v>43549</v>
      </c>
      <c r="Q95" s="18" t="n">
        <v>3303.81</v>
      </c>
      <c r="R95" s="18" t="n">
        <v>2828.52</v>
      </c>
      <c r="S95" s="18" t="n">
        <v>4869.39</v>
      </c>
      <c r="T95" s="18" t="n">
        <v>9277.129999999999</v>
      </c>
      <c r="U95" s="37" t="n">
        <v>20278.85</v>
      </c>
      <c r="V95" s="18" t="n">
        <v>2809.12</v>
      </c>
      <c r="W95" s="18" t="n">
        <v>1146.07</v>
      </c>
      <c r="X95" s="18" t="n">
        <v>1912.09</v>
      </c>
      <c r="Y95" s="18" t="n">
        <v>3630.81</v>
      </c>
      <c r="Z95" s="37" t="n">
        <v>9498.09</v>
      </c>
      <c r="AA95" s="18" t="n">
        <v>2342.96</v>
      </c>
      <c r="AB95" s="19" t="n">
        <v>6416.85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무형자산의증가</t>
        </is>
      </c>
      <c r="E96" s="18" t="n">
        <v>49.5</v>
      </c>
      <c r="F96" s="9" t="n"/>
      <c r="I96" s="18" t="n">
        <v>412.85</v>
      </c>
      <c r="J96" s="18" t="n">
        <v>28.75</v>
      </c>
      <c r="K96" s="9" t="n"/>
      <c r="N96" s="18" t="n">
        <v>17.08</v>
      </c>
      <c r="O96" s="18" t="n">
        <v>0</v>
      </c>
      <c r="P96" s="9" t="n"/>
      <c r="S96" s="18" t="n">
        <v>6.6</v>
      </c>
      <c r="T96" s="18" t="n">
        <v>0</v>
      </c>
      <c r="U96" s="9" t="n"/>
      <c r="X96" s="18" t="n">
        <v>0</v>
      </c>
      <c r="Z96" s="9" t="n"/>
      <c r="AA96" s="18" t="n">
        <v>0.5600000000000001</v>
      </c>
      <c r="AB96" s="19" t="n">
        <v>0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재무활동으로인한현금흐름</t>
        </is>
      </c>
      <c r="E97" s="18" t="n">
        <v>19600.66</v>
      </c>
      <c r="F97" s="9" t="n"/>
      <c r="G97" s="18" t="n">
        <v>40002.33</v>
      </c>
      <c r="H97" s="18" t="n">
        <v>-10465.85</v>
      </c>
      <c r="I97" s="18" t="n">
        <v>2314.28</v>
      </c>
      <c r="J97" s="18" t="n">
        <v>-4511.02</v>
      </c>
      <c r="K97" s="37" t="n">
        <v>27339.74</v>
      </c>
      <c r="L97" s="18" t="n">
        <v>-867.58</v>
      </c>
      <c r="M97" s="18" t="n">
        <v>-31584.75</v>
      </c>
      <c r="N97" s="18" t="n">
        <v>16609.06</v>
      </c>
      <c r="O97" s="18" t="n">
        <v>-10151.79</v>
      </c>
      <c r="P97" s="37" t="n">
        <v>-25995.06</v>
      </c>
      <c r="Q97" s="18" t="n">
        <v>9557.9</v>
      </c>
      <c r="R97" s="18" t="n">
        <v>-13923.18</v>
      </c>
      <c r="S97" s="18" t="n">
        <v>37748.96</v>
      </c>
      <c r="T97" s="18" t="n">
        <v>3914.34</v>
      </c>
      <c r="U97" s="37" t="n">
        <v>37298.02</v>
      </c>
      <c r="V97" s="18" t="n">
        <v>-1631.27</v>
      </c>
      <c r="W97" s="18" t="n">
        <v>-11272.32</v>
      </c>
      <c r="X97" s="18" t="n">
        <v>1271.83</v>
      </c>
      <c r="Y97" s="18" t="n">
        <v>-25397.76</v>
      </c>
      <c r="Z97" s="37" t="n">
        <v>-37029.52</v>
      </c>
      <c r="AA97" s="18" t="n">
        <v>-1279.02</v>
      </c>
      <c r="AB97" s="19" t="n">
        <v>-14879.09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단기차입금의증가</t>
        </is>
      </c>
      <c r="E98" s="18" t="n">
        <v>345</v>
      </c>
      <c r="F98" s="9" t="n"/>
      <c r="G98" s="18" t="n">
        <v>53975.2</v>
      </c>
      <c r="H98" s="18" t="n">
        <v>16880</v>
      </c>
      <c r="I98" s="18" t="n">
        <v>26394.06</v>
      </c>
      <c r="J98" s="18" t="n">
        <v>24204</v>
      </c>
      <c r="K98" s="37" t="n">
        <v>121453.26</v>
      </c>
      <c r="L98" s="18" t="n">
        <v>450</v>
      </c>
      <c r="M98" s="18" t="n">
        <v>57120</v>
      </c>
      <c r="N98" s="18" t="n">
        <v>37120</v>
      </c>
      <c r="O98" s="18" t="n">
        <v>5660</v>
      </c>
      <c r="P98" s="37" t="n">
        <v>100350</v>
      </c>
      <c r="Q98" s="18" t="n">
        <v>50520</v>
      </c>
      <c r="R98" s="18" t="n">
        <v>43540</v>
      </c>
      <c r="S98" s="18" t="n">
        <v>66880</v>
      </c>
      <c r="T98" s="18" t="n">
        <v>330</v>
      </c>
      <c r="U98" s="37" t="n">
        <v>161270</v>
      </c>
      <c r="V98" s="18" t="n">
        <v>71577.00999999999</v>
      </c>
      <c r="W98" s="18" t="n">
        <v>2072.99</v>
      </c>
      <c r="X98" s="18" t="n">
        <v>51230</v>
      </c>
      <c r="Y98" s="18" t="n">
        <v>1245</v>
      </c>
      <c r="Z98" s="37" t="n">
        <v>126125</v>
      </c>
      <c r="AA98" s="18" t="n">
        <v>45390</v>
      </c>
      <c r="AB98" s="19" t="n">
        <v>29610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장기차입금의증가</t>
        </is>
      </c>
      <c r="E99" s="18" t="n">
        <v>20639</v>
      </c>
      <c r="F99" s="9" t="n"/>
      <c r="G99" s="18" t="n">
        <v>38500</v>
      </c>
      <c r="H99" s="18" t="n">
        <v>10000</v>
      </c>
      <c r="I99" s="18" t="n">
        <v>0</v>
      </c>
      <c r="J99" s="18" t="n">
        <v>28000</v>
      </c>
      <c r="K99" s="37" t="n">
        <v>76500</v>
      </c>
      <c r="L99" s="18" t="n">
        <v>0</v>
      </c>
      <c r="M99" s="18" t="n">
        <v>80</v>
      </c>
      <c r="N99" s="18" t="n">
        <v>39920</v>
      </c>
      <c r="O99" s="18" t="n">
        <v>100</v>
      </c>
      <c r="P99" s="37" t="n">
        <v>40100</v>
      </c>
      <c r="Q99" s="18" t="n">
        <v>8000</v>
      </c>
      <c r="R99" s="18" t="n">
        <v>0</v>
      </c>
      <c r="S99" s="18" t="n">
        <v>37455</v>
      </c>
      <c r="T99" s="18" t="n">
        <v>14145</v>
      </c>
      <c r="U99" s="37" t="n">
        <v>59600</v>
      </c>
      <c r="V99" s="18" t="n">
        <v>180</v>
      </c>
      <c r="W99" s="18" t="n">
        <v>105</v>
      </c>
      <c r="X99" s="18" t="n">
        <v>108180</v>
      </c>
      <c r="Y99" s="18" t="n">
        <v>20</v>
      </c>
      <c r="Z99" s="37" t="n">
        <v>108485</v>
      </c>
      <c r="AA99" s="18" t="n">
        <v>2010</v>
      </c>
      <c r="AB99" s="5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단기차입금의감소</t>
        </is>
      </c>
      <c r="E100" s="18" t="n">
        <v>0</v>
      </c>
      <c r="F100" s="9" t="n"/>
      <c r="G100" s="18" t="n">
        <v>35905.2</v>
      </c>
      <c r="H100" s="18" t="n">
        <v>17550</v>
      </c>
      <c r="I100" s="18" t="n">
        <v>21501.06</v>
      </c>
      <c r="J100" s="18" t="n">
        <v>27901</v>
      </c>
      <c r="K100" s="37" t="n">
        <v>102857.26</v>
      </c>
      <c r="L100" s="18" t="n">
        <v>0</v>
      </c>
      <c r="M100" s="18" t="n">
        <v>33700</v>
      </c>
      <c r="N100" s="18" t="n">
        <v>20390</v>
      </c>
      <c r="O100" s="18" t="n">
        <v>0</v>
      </c>
      <c r="P100" s="37" t="n">
        <v>54090</v>
      </c>
      <c r="Q100" s="18" t="n">
        <v>18000</v>
      </c>
      <c r="R100" s="18" t="n">
        <v>45000</v>
      </c>
      <c r="S100" s="18" t="n">
        <v>45200</v>
      </c>
      <c r="T100" s="18" t="n">
        <v>1100</v>
      </c>
      <c r="U100" s="37" t="n">
        <v>109300</v>
      </c>
      <c r="V100" s="18" t="n">
        <v>71700.33</v>
      </c>
      <c r="X100" s="18" t="n">
        <v>116200</v>
      </c>
      <c r="Y100" s="18" t="n">
        <v>24985</v>
      </c>
      <c r="Z100" s="9" t="n"/>
      <c r="AA100" s="18" t="n">
        <v>47000</v>
      </c>
      <c r="AB100" s="19" t="n">
        <v>30000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유동성장기부채의감소</t>
        </is>
      </c>
      <c r="E101" s="18" t="n">
        <v>828.14</v>
      </c>
      <c r="F101" s="9" t="n"/>
      <c r="G101" s="18" t="n">
        <v>16129.05</v>
      </c>
      <c r="H101" s="18" t="n">
        <v>11086.22</v>
      </c>
      <c r="I101" s="18" t="n">
        <v>2100</v>
      </c>
      <c r="J101" s="18" t="n">
        <v>15600.35</v>
      </c>
      <c r="K101" s="37" t="n">
        <v>44915.62</v>
      </c>
      <c r="L101" s="18" t="n">
        <v>600</v>
      </c>
      <c r="M101" s="18" t="n">
        <v>32200</v>
      </c>
      <c r="N101" s="18" t="n">
        <v>26812</v>
      </c>
      <c r="O101" s="18" t="n">
        <v>15600</v>
      </c>
      <c r="P101" s="37" t="n">
        <v>75212</v>
      </c>
      <c r="Q101" s="18" t="n">
        <v>40600</v>
      </c>
      <c r="R101" s="18" t="n">
        <v>600</v>
      </c>
      <c r="S101" s="18" t="n">
        <v>15600</v>
      </c>
      <c r="T101" s="18" t="n">
        <v>2496.04</v>
      </c>
      <c r="U101" s="37" t="n">
        <v>59296.04</v>
      </c>
      <c r="V101" s="18" t="n">
        <v>1350</v>
      </c>
      <c r="W101" s="18" t="n">
        <v>1350</v>
      </c>
      <c r="X101" s="18" t="n">
        <v>41350</v>
      </c>
      <c r="Y101" s="18" t="n">
        <v>1050</v>
      </c>
      <c r="Z101" s="37" t="n">
        <v>45100</v>
      </c>
      <c r="AA101" s="18" t="n">
        <v>1050</v>
      </c>
      <c r="AB101" s="19" t="n">
        <v>1050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리스부채의상환</t>
        </is>
      </c>
      <c r="E102" s="18" t="n">
        <v>520.01</v>
      </c>
      <c r="F102" s="9" t="n"/>
      <c r="G102" s="18" t="n">
        <v>538.26</v>
      </c>
      <c r="H102" s="18" t="n">
        <v>486.52</v>
      </c>
      <c r="I102" s="18" t="n">
        <v>478.72</v>
      </c>
      <c r="J102" s="18" t="n">
        <v>174.02</v>
      </c>
      <c r="K102" s="37" t="n">
        <v>1677.52</v>
      </c>
      <c r="L102" s="18" t="n">
        <v>177.58</v>
      </c>
      <c r="M102" s="18" t="n">
        <v>190.08</v>
      </c>
      <c r="N102" s="18" t="n">
        <v>228.95</v>
      </c>
      <c r="O102" s="18" t="n">
        <v>311.78</v>
      </c>
      <c r="P102" s="37" t="n">
        <v>908.39</v>
      </c>
      <c r="Q102" s="18" t="n">
        <v>313.27</v>
      </c>
      <c r="R102" s="18" t="n">
        <v>320.97</v>
      </c>
      <c r="S102" s="18" t="n">
        <v>317</v>
      </c>
      <c r="T102" s="18" t="n">
        <v>319.13</v>
      </c>
      <c r="U102" s="37" t="n">
        <v>1270.37</v>
      </c>
      <c r="V102" s="18" t="n">
        <v>337.95</v>
      </c>
      <c r="W102" s="18" t="n">
        <v>915.74</v>
      </c>
      <c r="X102" s="18" t="n">
        <v>588.1799999999999</v>
      </c>
      <c r="Y102" s="18" t="n">
        <v>627.76</v>
      </c>
      <c r="Z102" s="37" t="n">
        <v>2469.63</v>
      </c>
      <c r="AA102" s="18" t="n">
        <v>629.02</v>
      </c>
      <c r="AB102" s="19" t="n">
        <v>637.96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장기차입금의감소</t>
        </is>
      </c>
      <c r="E103" s="18" t="n">
        <v>0</v>
      </c>
      <c r="F103" s="9" t="n"/>
      <c r="G103" s="18" t="n">
        <v>0.36</v>
      </c>
      <c r="H103" s="18" t="n">
        <v>0</v>
      </c>
      <c r="I103" s="18" t="n">
        <v>0</v>
      </c>
      <c r="J103" s="18" t="n">
        <v>12999.64</v>
      </c>
      <c r="K103" s="37" t="n">
        <v>13000</v>
      </c>
      <c r="L103" s="18" t="n">
        <v>0</v>
      </c>
      <c r="M103" s="18" t="n">
        <v>0</v>
      </c>
      <c r="N103" s="18" t="n">
        <v>13000</v>
      </c>
      <c r="O103" s="18" t="n">
        <v>0</v>
      </c>
      <c r="P103" s="37" t="n">
        <v>13000</v>
      </c>
      <c r="Q103" s="18" t="n">
        <v>208.41</v>
      </c>
      <c r="R103" s="18" t="n">
        <v>562.65</v>
      </c>
      <c r="S103" s="18" t="n">
        <v>5187.42</v>
      </c>
      <c r="T103" s="18" t="n">
        <v>6645.48</v>
      </c>
      <c r="U103" s="37" t="n">
        <v>12603.96</v>
      </c>
      <c r="V103" s="18" t="n">
        <v>0</v>
      </c>
      <c r="W103" s="18" t="n">
        <v>0</v>
      </c>
      <c r="X103" s="18" t="n">
        <v>0</v>
      </c>
      <c r="Z103" s="9" t="n"/>
      <c r="AB103" s="5" t="n"/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배당금지급</t>
        </is>
      </c>
      <c r="E104" s="18" t="n">
        <v>0</v>
      </c>
      <c r="F104" s="9" t="n"/>
      <c r="G104" s="18" t="n">
        <v>0</v>
      </c>
      <c r="H104" s="18" t="n">
        <v>8223.120000000001</v>
      </c>
      <c r="I104" s="18" t="n">
        <v>0</v>
      </c>
      <c r="J104" s="18" t="n">
        <v>0</v>
      </c>
      <c r="K104" s="37" t="n">
        <v>8223.120000000001</v>
      </c>
      <c r="N104" s="18" t="n">
        <v>0</v>
      </c>
      <c r="O104" s="18" t="n">
        <v>0</v>
      </c>
      <c r="P104" s="9" t="n"/>
      <c r="S104" s="18" t="n">
        <v>0</v>
      </c>
      <c r="T104" s="18" t="n">
        <v>0</v>
      </c>
      <c r="U104" s="9" t="n"/>
      <c r="X104" s="18" t="n">
        <v>0</v>
      </c>
      <c r="Y104" s="18" t="n">
        <v>0</v>
      </c>
      <c r="Z104" s="9" t="n"/>
      <c r="AB104" s="5" t="n"/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자기주식의취득</t>
        </is>
      </c>
      <c r="E105" s="18" t="n">
        <v>0</v>
      </c>
      <c r="F105" s="9" t="n"/>
      <c r="G105" s="18" t="n">
        <v>0</v>
      </c>
      <c r="J105" s="18" t="n">
        <v>0</v>
      </c>
      <c r="K105" s="9" t="n"/>
      <c r="P105" s="9" t="n"/>
      <c r="U105" s="9" t="n"/>
      <c r="Z105" s="9" t="n"/>
      <c r="AB105" s="5" t="n"/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현금및현금성자산의증감</t>
        </is>
      </c>
      <c r="E106" s="18" t="n">
        <v>5662.39</v>
      </c>
      <c r="F106" s="9" t="n"/>
      <c r="G106" s="18" t="n">
        <v>2720.95</v>
      </c>
      <c r="H106" s="18" t="n">
        <v>-27623.26</v>
      </c>
      <c r="I106" s="18" t="n">
        <v>18377.33</v>
      </c>
      <c r="J106" s="18" t="n">
        <v>15993.43</v>
      </c>
      <c r="K106" s="37" t="n">
        <v>9468.450000000001</v>
      </c>
      <c r="L106" s="18" t="n">
        <v>-17003.88</v>
      </c>
      <c r="M106" s="18" t="n">
        <v>7033.05</v>
      </c>
      <c r="N106" s="18" t="n">
        <v>3879.46</v>
      </c>
      <c r="O106" s="18" t="n">
        <v>9752.02</v>
      </c>
      <c r="P106" s="37" t="n">
        <v>3660.65</v>
      </c>
      <c r="Q106" s="18" t="n">
        <v>19094.45</v>
      </c>
      <c r="R106" s="18" t="n">
        <v>-23560.38</v>
      </c>
      <c r="S106" s="18" t="n">
        <v>33662.45</v>
      </c>
      <c r="T106" s="18" t="n">
        <v>-405.76</v>
      </c>
      <c r="U106" s="37" t="n">
        <v>28790.76</v>
      </c>
      <c r="V106" s="18" t="n">
        <v>-4952.72</v>
      </c>
      <c r="W106" s="18" t="n">
        <v>14969.52</v>
      </c>
      <c r="X106" s="18" t="n">
        <v>8382.809999999999</v>
      </c>
      <c r="Y106" s="18" t="n">
        <v>-42888.22</v>
      </c>
      <c r="Z106" s="37" t="n">
        <v>-24488.61</v>
      </c>
      <c r="AA106" s="18" t="n">
        <v>14494.38</v>
      </c>
      <c r="AB106" s="19" t="n">
        <v>-26079.27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기말현금및현금성자산</t>
        </is>
      </c>
      <c r="E107" s="18" t="n">
        <v>5662.38</v>
      </c>
      <c r="F107" s="9" t="n"/>
      <c r="G107" s="18" t="n">
        <v>40389.7</v>
      </c>
      <c r="H107" s="18" t="n">
        <v>-27623.26</v>
      </c>
      <c r="I107" s="18" t="n">
        <v>18377.33</v>
      </c>
      <c r="J107" s="18" t="n">
        <v>15993.42</v>
      </c>
      <c r="K107" s="37" t="n">
        <v>47137.19</v>
      </c>
      <c r="L107" s="18" t="n">
        <v>30087.12</v>
      </c>
      <c r="M107" s="18" t="n">
        <v>7033.05</v>
      </c>
      <c r="N107" s="18" t="n">
        <v>3448.19</v>
      </c>
      <c r="O107" s="18" t="n">
        <v>10183.3</v>
      </c>
      <c r="P107" s="37" t="n">
        <v>50751.66</v>
      </c>
      <c r="Q107" s="18" t="n">
        <v>69793.88</v>
      </c>
      <c r="R107" s="18" t="n">
        <v>-23508.15</v>
      </c>
      <c r="S107" s="18" t="n">
        <v>33662.44</v>
      </c>
      <c r="T107" s="18" t="n">
        <v>-405.75</v>
      </c>
      <c r="U107" s="37" t="n">
        <v>79542.42</v>
      </c>
      <c r="V107" s="18" t="n">
        <v>74589.69</v>
      </c>
      <c r="W107" s="18" t="n">
        <v>14969.53</v>
      </c>
      <c r="X107" s="18" t="n">
        <v>8382.809999999999</v>
      </c>
      <c r="Y107" s="18" t="n">
        <v>-42888.23</v>
      </c>
      <c r="Z107" s="37" t="n">
        <v>55053.8</v>
      </c>
      <c r="AA107" s="18" t="n">
        <v>69548.17999999999</v>
      </c>
      <c r="AB107" s="19" t="n">
        <v>-26079.27</v>
      </c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배당금수취(CF)</t>
        </is>
      </c>
      <c r="F108" s="9" t="n"/>
      <c r="I108" s="18" t="n">
        <v>31.36</v>
      </c>
      <c r="J108" s="18" t="n">
        <v>0</v>
      </c>
      <c r="K108" s="9" t="n"/>
      <c r="L108" s="18" t="n">
        <v>0</v>
      </c>
      <c r="M108" s="18" t="n">
        <v>96.40000000000001</v>
      </c>
      <c r="N108" s="18" t="n">
        <v>0</v>
      </c>
      <c r="O108" s="18" t="n">
        <v>0</v>
      </c>
      <c r="P108" s="37" t="n">
        <v>96.40000000000001</v>
      </c>
      <c r="S108" s="18" t="n">
        <v>0</v>
      </c>
      <c r="T108" s="18" t="n">
        <v>0</v>
      </c>
      <c r="U108" s="9" t="n"/>
      <c r="Z108" s="9" t="n"/>
      <c r="AB108" s="5" t="n"/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  <row r="109">
      <c r="A109" t="n">
        <v>1</v>
      </c>
      <c r="C109" t="inlineStr">
        <is>
          <t>이자수취(CF)</t>
        </is>
      </c>
      <c r="F109" s="9" t="n"/>
      <c r="K109" s="9" t="n"/>
      <c r="O109" s="18" t="n">
        <v>188.75</v>
      </c>
      <c r="P109" s="9" t="n"/>
      <c r="Q109" s="18" t="n">
        <v>493.48</v>
      </c>
      <c r="R109" s="18" t="n">
        <v>431.27</v>
      </c>
      <c r="S109" s="18" t="n">
        <v>866.21</v>
      </c>
      <c r="T109" s="18" t="n">
        <v>587.95</v>
      </c>
      <c r="U109" s="37" t="n">
        <v>2378.91</v>
      </c>
      <c r="V109" s="18" t="n">
        <v>621.75</v>
      </c>
      <c r="W109" s="18" t="n">
        <v>301.18</v>
      </c>
      <c r="X109" s="18" t="n">
        <v>561.72</v>
      </c>
      <c r="Y109" s="18" t="n">
        <v>1749.29</v>
      </c>
      <c r="Z109" s="37" t="n">
        <v>3233.94</v>
      </c>
      <c r="AA109" s="18" t="n">
        <v>1701.06</v>
      </c>
      <c r="AB109" s="19" t="n">
        <v>109.26</v>
      </c>
      <c r="AC109" s="10" t="n"/>
      <c r="AD109" s="10" t="n"/>
      <c r="AE109" s="11" t="n"/>
      <c r="AF109" s="10" t="n"/>
      <c r="AG109" s="10" t="n"/>
      <c r="AH109" s="10" t="n"/>
      <c r="AI109" s="10" t="n"/>
      <c r="AJ109" s="11" t="n"/>
      <c r="AK109" s="10" t="n"/>
      <c r="AL109" s="10" t="n"/>
      <c r="AM109" s="10" t="n"/>
      <c r="AN109" s="10" t="n"/>
      <c r="AO109" s="11" t="n"/>
    </row>
    <row r="110">
      <c r="A110" t="n">
        <v>1</v>
      </c>
      <c r="C110" t="inlineStr">
        <is>
          <t>이자지급(CF)</t>
        </is>
      </c>
      <c r="F110" s="9" t="n"/>
      <c r="K110" s="9" t="n"/>
      <c r="P110" s="9" t="n"/>
      <c r="U110" s="9" t="n"/>
      <c r="V110" s="18" t="n">
        <v>-3362.94</v>
      </c>
      <c r="W110" s="18" t="n">
        <v>-2665.68</v>
      </c>
      <c r="X110" s="18" t="n">
        <v>-102.44</v>
      </c>
      <c r="Y110" s="18" t="n">
        <v>-2674.74</v>
      </c>
      <c r="Z110" s="37" t="n">
        <v>-8805.799999999999</v>
      </c>
      <c r="AA110" s="18" t="n">
        <v>-2347.47</v>
      </c>
      <c r="AB110" s="19" t="n">
        <v>-2365.97</v>
      </c>
      <c r="AC110" s="10" t="n"/>
      <c r="AD110" s="10" t="n"/>
      <c r="AE110" s="11" t="n"/>
      <c r="AF110" s="10" t="n"/>
      <c r="AG110" s="10" t="n"/>
      <c r="AH110" s="10" t="n"/>
      <c r="AI110" s="10" t="n"/>
      <c r="AJ110" s="11" t="n"/>
      <c r="AK110" s="10" t="n"/>
      <c r="AL110" s="10" t="n"/>
      <c r="AM110" s="10" t="n"/>
      <c r="AN110" s="10" t="n"/>
      <c r="AO11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세진중공업(별)</t>
        </is>
      </c>
      <c r="C3" s="2" t="inlineStr">
        <is>
          <t>UPDATE: 26-10-14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165200.01</v>
      </c>
      <c r="F5" s="37" t="n">
        <v>165200.01</v>
      </c>
      <c r="G5" s="18" t="n">
        <v>143519.33</v>
      </c>
      <c r="H5" s="18" t="n">
        <v>114213.28</v>
      </c>
      <c r="I5" s="18" t="n">
        <v>127566.01</v>
      </c>
      <c r="J5" s="18" t="n">
        <v>123243.37</v>
      </c>
      <c r="K5" s="37" t="n">
        <v>123243.37</v>
      </c>
      <c r="L5" s="18" t="n">
        <v>119879.41</v>
      </c>
      <c r="M5" s="18" t="n">
        <v>101631.4</v>
      </c>
      <c r="N5" s="18" t="n">
        <v>97334.66</v>
      </c>
      <c r="O5" s="18" t="n">
        <v>97441.87</v>
      </c>
      <c r="P5" s="37" t="n">
        <v>97441.87</v>
      </c>
      <c r="Q5" s="18" t="n">
        <v>130312.84</v>
      </c>
      <c r="R5" s="18" t="n">
        <v>97267.00999999999</v>
      </c>
      <c r="S5" s="18" t="n">
        <v>125377.62</v>
      </c>
      <c r="T5" s="18" t="n">
        <v>142029.44</v>
      </c>
      <c r="U5" s="37" t="n">
        <v>142029.44</v>
      </c>
      <c r="V5" s="18" t="n">
        <v>144931.6</v>
      </c>
      <c r="W5" s="18" t="n">
        <v>119425.03</v>
      </c>
      <c r="X5" s="18" t="n">
        <v>123221.59</v>
      </c>
      <c r="Y5" s="18" t="n">
        <v>108478.1</v>
      </c>
      <c r="Z5" s="37" t="n">
        <v>108478.1</v>
      </c>
      <c r="AA5" s="18" t="n">
        <v>113722.91</v>
      </c>
      <c r="AB5" s="19" t="n">
        <v>109350.3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26602.1</v>
      </c>
      <c r="F6" s="37" t="n">
        <v>26602.1</v>
      </c>
      <c r="G6" s="18" t="n">
        <v>29348.29</v>
      </c>
      <c r="H6" s="18" t="n">
        <v>8217.24</v>
      </c>
      <c r="I6" s="18" t="n">
        <v>24468.91</v>
      </c>
      <c r="J6" s="18" t="n">
        <v>40107.62</v>
      </c>
      <c r="K6" s="37" t="n">
        <v>40107.62</v>
      </c>
      <c r="L6" s="18" t="n">
        <v>18265.36</v>
      </c>
      <c r="M6" s="18" t="n">
        <v>22638.06</v>
      </c>
      <c r="N6" s="18" t="n">
        <v>22665.16</v>
      </c>
      <c r="O6" s="18" t="n">
        <v>32509.25</v>
      </c>
      <c r="P6" s="37" t="n">
        <v>32509.25</v>
      </c>
      <c r="Q6" s="18" t="n">
        <v>46702.99</v>
      </c>
      <c r="R6" s="18" t="n">
        <v>21139.37</v>
      </c>
      <c r="S6" s="18" t="n">
        <v>52544.38</v>
      </c>
      <c r="T6" s="18" t="n">
        <v>44858.86</v>
      </c>
      <c r="U6" s="37" t="n">
        <v>44858.86</v>
      </c>
      <c r="V6" s="18" t="n">
        <v>43021.8</v>
      </c>
      <c r="W6" s="18" t="n">
        <v>57089.02</v>
      </c>
      <c r="X6" s="18" t="n">
        <v>67680.92</v>
      </c>
      <c r="Y6" s="18" t="n">
        <v>23475.75</v>
      </c>
      <c r="Z6" s="37" t="n">
        <v>23475.75</v>
      </c>
      <c r="AA6" s="18" t="n">
        <v>39558.69</v>
      </c>
      <c r="AB6" s="19" t="n">
        <v>16154.31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10</v>
      </c>
      <c r="F7" s="37" t="n">
        <v>10</v>
      </c>
      <c r="G7" s="18" t="n">
        <v>10</v>
      </c>
      <c r="H7" s="18" t="n">
        <v>10</v>
      </c>
      <c r="I7" s="18" t="n">
        <v>10</v>
      </c>
      <c r="J7" s="18" t="n">
        <v>10</v>
      </c>
      <c r="K7" s="37" t="n">
        <v>10</v>
      </c>
      <c r="L7" s="18" t="n">
        <v>10</v>
      </c>
      <c r="M7" s="18" t="n">
        <v>10</v>
      </c>
      <c r="N7" s="18" t="n">
        <v>10</v>
      </c>
      <c r="O7" s="18" t="n">
        <v>10</v>
      </c>
      <c r="P7" s="37" t="n">
        <v>10</v>
      </c>
      <c r="Q7" s="18" t="n">
        <v>10</v>
      </c>
      <c r="R7" s="18" t="n">
        <v>10</v>
      </c>
      <c r="S7" s="18" t="n">
        <v>10</v>
      </c>
      <c r="T7" s="18" t="n">
        <v>10</v>
      </c>
      <c r="U7" s="37" t="n">
        <v>10</v>
      </c>
      <c r="V7" s="18" t="n">
        <v>10</v>
      </c>
      <c r="W7" s="18" t="n">
        <v>4067.84</v>
      </c>
      <c r="X7" s="18" t="n">
        <v>8947.75</v>
      </c>
      <c r="Y7" s="18" t="n">
        <v>14454.86</v>
      </c>
      <c r="Z7" s="37" t="n">
        <v>14454.86</v>
      </c>
      <c r="AA7" s="18" t="n">
        <v>17670.96</v>
      </c>
      <c r="AB7" s="19" t="n">
        <v>31566.23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10</v>
      </c>
      <c r="F8" s="37" t="n">
        <v>10</v>
      </c>
      <c r="G8" s="18" t="n">
        <v>10</v>
      </c>
      <c r="H8" s="18" t="n">
        <v>10</v>
      </c>
      <c r="I8" s="18" t="n">
        <v>10</v>
      </c>
      <c r="J8" s="18" t="n">
        <v>10</v>
      </c>
      <c r="K8" s="37" t="n">
        <v>10</v>
      </c>
      <c r="L8" s="18" t="n">
        <v>10</v>
      </c>
      <c r="M8" s="18" t="n">
        <v>10</v>
      </c>
      <c r="N8" s="18" t="n">
        <v>10</v>
      </c>
      <c r="O8" s="18" t="n">
        <v>10</v>
      </c>
      <c r="P8" s="37" t="n">
        <v>10</v>
      </c>
      <c r="Q8" s="18" t="n">
        <v>10</v>
      </c>
      <c r="R8" s="18" t="n">
        <v>10</v>
      </c>
      <c r="S8" s="18" t="n">
        <v>10</v>
      </c>
      <c r="T8" s="18" t="n">
        <v>10</v>
      </c>
      <c r="U8" s="37" t="n">
        <v>10</v>
      </c>
      <c r="V8" s="18" t="n">
        <v>10</v>
      </c>
      <c r="W8" s="18" t="n">
        <v>4067.84</v>
      </c>
      <c r="X8" s="18" t="n">
        <v>8947.75</v>
      </c>
      <c r="Y8" s="18" t="n">
        <v>14454.86</v>
      </c>
      <c r="Z8" s="37" t="n">
        <v>14454.86</v>
      </c>
      <c r="AA8" s="18" t="n">
        <v>17670.96</v>
      </c>
      <c r="AB8" s="19" t="n">
        <v>31566.23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24150.25</v>
      </c>
      <c r="F9" s="37" t="n">
        <v>24150.25</v>
      </c>
      <c r="G9" s="18" t="n">
        <v>47455.32</v>
      </c>
      <c r="H9" s="18" t="n">
        <v>35159.73</v>
      </c>
      <c r="I9" s="18" t="n">
        <v>24935.83</v>
      </c>
      <c r="J9" s="18" t="n">
        <v>17706.17</v>
      </c>
      <c r="K9" s="37" t="n">
        <v>17706.17</v>
      </c>
      <c r="L9" s="18" t="n">
        <v>31711.15</v>
      </c>
      <c r="M9" s="18" t="n">
        <v>32123.94</v>
      </c>
      <c r="N9" s="18" t="n">
        <v>23950.16</v>
      </c>
      <c r="O9" s="18" t="n">
        <v>26540.42</v>
      </c>
      <c r="P9" s="37" t="n">
        <v>26540.42</v>
      </c>
      <c r="Q9" s="18" t="n">
        <v>45175.78</v>
      </c>
      <c r="R9" s="18" t="n">
        <v>34965.76</v>
      </c>
      <c r="S9" s="18" t="n">
        <v>24869.66</v>
      </c>
      <c r="T9" s="18" t="n">
        <v>52505.62</v>
      </c>
      <c r="U9" s="37" t="n">
        <v>52505.62</v>
      </c>
      <c r="V9" s="18" t="n">
        <v>62720.19</v>
      </c>
      <c r="W9" s="18" t="n">
        <v>17846.37</v>
      </c>
      <c r="X9" s="18" t="n">
        <v>8145.31</v>
      </c>
      <c r="Y9" s="18" t="n">
        <v>32049.42</v>
      </c>
      <c r="Z9" s="37" t="n">
        <v>32049.42</v>
      </c>
      <c r="AA9" s="18" t="n">
        <v>18662.66</v>
      </c>
      <c r="AB9" s="19" t="n">
        <v>20989.68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기타유동자산</t>
        </is>
      </c>
      <c r="E10" s="18" t="n">
        <v>9742.530000000001</v>
      </c>
      <c r="F10" s="37" t="n">
        <v>9742.530000000001</v>
      </c>
      <c r="G10" s="18" t="n">
        <v>6138.62</v>
      </c>
      <c r="H10" s="18" t="n">
        <v>3880.19</v>
      </c>
      <c r="I10" s="18" t="n">
        <v>5178.13</v>
      </c>
      <c r="J10" s="18" t="n">
        <v>4672.22</v>
      </c>
      <c r="K10" s="37" t="n">
        <v>4672.22</v>
      </c>
      <c r="L10" s="18" t="n">
        <v>5129.36</v>
      </c>
      <c r="M10" s="18" t="n">
        <v>2434.47</v>
      </c>
      <c r="N10" s="18" t="n">
        <v>4756.07</v>
      </c>
      <c r="O10" s="18" t="n">
        <v>5047.11</v>
      </c>
      <c r="P10" s="37" t="n">
        <v>5047.11</v>
      </c>
      <c r="Q10" s="18" t="n">
        <v>4613.39</v>
      </c>
      <c r="R10" s="18" t="n">
        <v>6412.04</v>
      </c>
      <c r="S10" s="18" t="n">
        <v>11651.69</v>
      </c>
      <c r="T10" s="18" t="n">
        <v>10885.88</v>
      </c>
      <c r="U10" s="37" t="n">
        <v>10885.88</v>
      </c>
      <c r="V10" s="18" t="n">
        <v>10215.86</v>
      </c>
      <c r="W10" s="18" t="n">
        <v>7806.12</v>
      </c>
      <c r="X10" s="18" t="n">
        <v>6725.38</v>
      </c>
      <c r="Y10" s="18" t="n">
        <v>10790.66</v>
      </c>
      <c r="Z10" s="37" t="n">
        <v>10790.66</v>
      </c>
      <c r="AA10" s="18" t="n">
        <v>10429</v>
      </c>
      <c r="AB10" s="19" t="n">
        <v>12746.58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104695.13</v>
      </c>
      <c r="F11" s="37" t="n">
        <v>104695.13</v>
      </c>
      <c r="G11" s="18" t="n">
        <v>60567.09</v>
      </c>
      <c r="H11" s="18" t="n">
        <v>63206.48</v>
      </c>
      <c r="I11" s="18" t="n">
        <v>69233.49000000001</v>
      </c>
      <c r="J11" s="18" t="n">
        <v>60747.36</v>
      </c>
      <c r="K11" s="37" t="n">
        <v>60747.36</v>
      </c>
      <c r="L11" s="18" t="n">
        <v>64318.85</v>
      </c>
      <c r="M11" s="18" t="n">
        <v>44424.92</v>
      </c>
      <c r="N11" s="18" t="n">
        <v>45953.28</v>
      </c>
      <c r="O11" s="18" t="n">
        <v>33335.09</v>
      </c>
      <c r="P11" s="37" t="n">
        <v>33335.09</v>
      </c>
      <c r="Q11" s="18" t="n">
        <v>33810.68</v>
      </c>
      <c r="R11" s="18" t="n">
        <v>34739.84</v>
      </c>
      <c r="S11" s="18" t="n">
        <v>36301.89</v>
      </c>
      <c r="T11" s="18" t="n">
        <v>28783.7</v>
      </c>
      <c r="U11" s="37" t="n">
        <v>28783.7</v>
      </c>
      <c r="V11" s="18" t="n">
        <v>28963.75</v>
      </c>
      <c r="W11" s="18" t="n">
        <v>28736.95</v>
      </c>
      <c r="X11" s="18" t="n">
        <v>31722.23</v>
      </c>
      <c r="Y11" s="18" t="n">
        <v>27707.41</v>
      </c>
      <c r="Z11" s="37" t="n">
        <v>27707.41</v>
      </c>
      <c r="AA11" s="18" t="n">
        <v>27401.61</v>
      </c>
      <c r="AB11" s="19" t="n">
        <v>27893.49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매각예정비유동자산및처분자산</t>
        </is>
      </c>
      <c r="E12" s="18" t="n">
        <v>0</v>
      </c>
      <c r="F12" s="37" t="n">
        <v>0</v>
      </c>
      <c r="K12" s="9" t="n"/>
      <c r="P12" s="9" t="n"/>
      <c r="U12" s="9" t="n"/>
      <c r="Z12" s="9" t="n"/>
      <c r="AB12" s="5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279197.55</v>
      </c>
      <c r="F13" s="37" t="n">
        <v>279197.55</v>
      </c>
      <c r="G13" s="18" t="n">
        <v>283040.06</v>
      </c>
      <c r="H13" s="18" t="n">
        <v>298506.75</v>
      </c>
      <c r="I13" s="18" t="n">
        <v>285727.23</v>
      </c>
      <c r="J13" s="18" t="n">
        <v>288633.38</v>
      </c>
      <c r="K13" s="37" t="n">
        <v>288633.38</v>
      </c>
      <c r="L13" s="18" t="n">
        <v>293088.27</v>
      </c>
      <c r="M13" s="18" t="n">
        <v>294520.11</v>
      </c>
      <c r="N13" s="18" t="n">
        <v>325926.65</v>
      </c>
      <c r="O13" s="18" t="n">
        <v>326818.92</v>
      </c>
      <c r="P13" s="37" t="n">
        <v>326818.92</v>
      </c>
      <c r="Q13" s="18" t="n">
        <v>328653.83</v>
      </c>
      <c r="R13" s="18" t="n">
        <v>336861.54</v>
      </c>
      <c r="S13" s="18" t="n">
        <v>341425.68</v>
      </c>
      <c r="T13" s="18" t="n">
        <v>347650.38</v>
      </c>
      <c r="U13" s="37" t="n">
        <v>347650.38</v>
      </c>
      <c r="V13" s="18" t="n">
        <v>354074.84</v>
      </c>
      <c r="W13" s="18" t="n">
        <v>375608.53</v>
      </c>
      <c r="X13" s="18" t="n">
        <v>383424.16</v>
      </c>
      <c r="Y13" s="18" t="n">
        <v>383298.96</v>
      </c>
      <c r="Z13" s="37" t="n">
        <v>383298.96</v>
      </c>
      <c r="AA13" s="18" t="n">
        <v>386049.89</v>
      </c>
      <c r="AB13" s="19" t="n">
        <v>391199.53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장기매출채권및기타채권</t>
        </is>
      </c>
      <c r="E14" s="18" t="n">
        <v>7797.71</v>
      </c>
      <c r="F14" s="37" t="n">
        <v>7797.71</v>
      </c>
      <c r="G14" s="18" t="n">
        <v>7858.32</v>
      </c>
      <c r="H14" s="18" t="n">
        <v>7981.53</v>
      </c>
      <c r="I14" s="18" t="n">
        <v>8293.879999999999</v>
      </c>
      <c r="J14" s="18" t="n">
        <v>11678.56</v>
      </c>
      <c r="K14" s="37" t="n">
        <v>11678.56</v>
      </c>
      <c r="L14" s="18" t="n">
        <v>12271.04</v>
      </c>
      <c r="M14" s="18" t="n">
        <v>12190.47</v>
      </c>
      <c r="N14" s="18" t="n">
        <v>12598.64</v>
      </c>
      <c r="O14" s="18" t="n">
        <v>12335.07</v>
      </c>
      <c r="P14" s="37" t="n">
        <v>12335.07</v>
      </c>
      <c r="Q14" s="18" t="n">
        <v>12677.42</v>
      </c>
      <c r="R14" s="18" t="n">
        <v>12536.59</v>
      </c>
      <c r="S14" s="18" t="n">
        <v>12638.61</v>
      </c>
      <c r="T14" s="18" t="n">
        <v>10871.28</v>
      </c>
      <c r="U14" s="37" t="n">
        <v>10871.28</v>
      </c>
      <c r="V14" s="18" t="n">
        <v>10981.25</v>
      </c>
      <c r="W14" s="18" t="n">
        <v>33468.62</v>
      </c>
      <c r="X14" s="18" t="n">
        <v>36358.4</v>
      </c>
      <c r="Y14" s="18" t="n">
        <v>41376.38</v>
      </c>
      <c r="Z14" s="37" t="n">
        <v>41376.38</v>
      </c>
      <c r="AA14" s="18" t="n">
        <v>43021.13</v>
      </c>
      <c r="AB14" s="19" t="n">
        <v>44167.59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49317.93</v>
      </c>
      <c r="F15" s="37" t="n">
        <v>49317.93</v>
      </c>
      <c r="G15" s="18" t="n">
        <v>1192.27</v>
      </c>
      <c r="H15" s="18" t="n">
        <v>18784.44</v>
      </c>
      <c r="I15" s="18" t="n">
        <v>1282.27</v>
      </c>
      <c r="J15" s="18" t="n">
        <v>1107.71</v>
      </c>
      <c r="K15" s="37" t="n">
        <v>1107.71</v>
      </c>
      <c r="L15" s="18" t="n">
        <v>6152.71</v>
      </c>
      <c r="M15" s="18" t="n">
        <v>6197.71</v>
      </c>
      <c r="N15" s="18" t="n">
        <v>6242.71</v>
      </c>
      <c r="O15" s="18" t="n">
        <v>6287.71</v>
      </c>
      <c r="P15" s="37" t="n">
        <v>6287.71</v>
      </c>
      <c r="Q15" s="18" t="n">
        <v>6332.71</v>
      </c>
      <c r="R15" s="18" t="n">
        <v>12922.74</v>
      </c>
      <c r="S15" s="18" t="n">
        <v>12506.83</v>
      </c>
      <c r="T15" s="18" t="n">
        <v>12699.37</v>
      </c>
      <c r="U15" s="37" t="n">
        <v>12699.37</v>
      </c>
      <c r="V15" s="18" t="n">
        <v>13933.59</v>
      </c>
      <c r="W15" s="18" t="n">
        <v>14635.64</v>
      </c>
      <c r="X15" s="18" t="n">
        <v>21571.9</v>
      </c>
      <c r="Y15" s="18" t="n">
        <v>22279.97</v>
      </c>
      <c r="Z15" s="37" t="n">
        <v>22279.97</v>
      </c>
      <c r="AA15" s="18" t="n">
        <v>23325.74</v>
      </c>
      <c r="AB15" s="19" t="n">
        <v>26217.39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50465.2</v>
      </c>
      <c r="F16" s="37" t="n">
        <v>50465.2</v>
      </c>
      <c r="G16" s="18" t="n">
        <v>50550.2</v>
      </c>
      <c r="H16" s="18" t="n">
        <v>68142.37</v>
      </c>
      <c r="I16" s="18" t="n">
        <v>50640.2</v>
      </c>
      <c r="J16" s="18" t="n">
        <v>50465.64</v>
      </c>
      <c r="K16" s="37" t="n">
        <v>50465.64</v>
      </c>
      <c r="L16" s="18" t="n">
        <v>55510.64</v>
      </c>
      <c r="M16" s="18" t="n">
        <v>55555.64</v>
      </c>
      <c r="N16" s="18" t="n">
        <v>51874.14</v>
      </c>
      <c r="O16" s="18" t="n">
        <v>51919.14</v>
      </c>
      <c r="P16" s="37" t="n">
        <v>51919.14</v>
      </c>
      <c r="Q16" s="18" t="n">
        <v>51964.14</v>
      </c>
      <c r="R16" s="18" t="n">
        <v>58554.17</v>
      </c>
      <c r="S16" s="18" t="n">
        <v>58138.26</v>
      </c>
      <c r="T16" s="18" t="n">
        <v>58330.8</v>
      </c>
      <c r="U16" s="37" t="n">
        <v>58330.8</v>
      </c>
      <c r="V16" s="18" t="n">
        <v>59565.02</v>
      </c>
      <c r="W16" s="18" t="n">
        <v>60267.07</v>
      </c>
      <c r="X16" s="18" t="n">
        <v>67203.33</v>
      </c>
      <c r="Y16" s="18" t="n">
        <v>61979.47</v>
      </c>
      <c r="Z16" s="37" t="n">
        <v>61979.47</v>
      </c>
      <c r="AA16" s="18" t="n">
        <v>63025.24</v>
      </c>
      <c r="AB16" s="19" t="n">
        <v>64660.74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1147.27</v>
      </c>
      <c r="F17" s="37" t="n">
        <v>1147.27</v>
      </c>
      <c r="G17" s="18" t="n">
        <v>49357.93</v>
      </c>
      <c r="H17" s="18" t="n">
        <v>49357.93</v>
      </c>
      <c r="I17" s="18" t="n">
        <v>49357.93</v>
      </c>
      <c r="J17" s="18" t="n">
        <v>49357.93</v>
      </c>
      <c r="K17" s="37" t="n">
        <v>49357.93</v>
      </c>
      <c r="L17" s="18" t="n">
        <v>49357.93</v>
      </c>
      <c r="M17" s="18" t="n">
        <v>49357.93</v>
      </c>
      <c r="N17" s="18" t="n">
        <v>45631.43</v>
      </c>
      <c r="O17" s="18" t="n">
        <v>45631.43</v>
      </c>
      <c r="P17" s="37" t="n">
        <v>45631.43</v>
      </c>
      <c r="Q17" s="18" t="n">
        <v>45631.43</v>
      </c>
      <c r="R17" s="18" t="n">
        <v>45631.43</v>
      </c>
      <c r="S17" s="18" t="n">
        <v>45631.43</v>
      </c>
      <c r="T17" s="18" t="n">
        <v>45631.43</v>
      </c>
      <c r="U17" s="37" t="n">
        <v>45631.43</v>
      </c>
      <c r="V17" s="18" t="n">
        <v>45631.43</v>
      </c>
      <c r="W17" s="18" t="n">
        <v>45631.43</v>
      </c>
      <c r="X17" s="18" t="n">
        <v>45631.43</v>
      </c>
      <c r="Y17" s="18" t="n">
        <v>39699.5</v>
      </c>
      <c r="Z17" s="37" t="n">
        <v>39699.5</v>
      </c>
      <c r="AA17" s="18" t="n">
        <v>39699.5</v>
      </c>
      <c r="AB17" s="19" t="n">
        <v>38443.35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203035.14</v>
      </c>
      <c r="F18" s="37" t="n">
        <v>203035.14</v>
      </c>
      <c r="G18" s="18" t="n">
        <v>205002.55</v>
      </c>
      <c r="H18" s="18" t="n">
        <v>205894.73</v>
      </c>
      <c r="I18" s="18" t="n">
        <v>210957.89</v>
      </c>
      <c r="J18" s="18" t="n">
        <v>211082.54</v>
      </c>
      <c r="K18" s="37" t="n">
        <v>211082.54</v>
      </c>
      <c r="L18" s="18" t="n">
        <v>211900.86</v>
      </c>
      <c r="M18" s="18" t="n">
        <v>213976.47</v>
      </c>
      <c r="N18" s="18" t="n">
        <v>248520.66</v>
      </c>
      <c r="O18" s="18" t="n">
        <v>247342.19</v>
      </c>
      <c r="P18" s="37" t="n">
        <v>247342.19</v>
      </c>
      <c r="Q18" s="18" t="n">
        <v>249085.24</v>
      </c>
      <c r="R18" s="18" t="n">
        <v>250318.7</v>
      </c>
      <c r="S18" s="18" t="n">
        <v>253422.93</v>
      </c>
      <c r="T18" s="18" t="n">
        <v>261508.52</v>
      </c>
      <c r="U18" s="37" t="n">
        <v>261508.52</v>
      </c>
      <c r="V18" s="18" t="n">
        <v>261083.92</v>
      </c>
      <c r="W18" s="18" t="n">
        <v>260216.65</v>
      </c>
      <c r="X18" s="18" t="n">
        <v>259634.69</v>
      </c>
      <c r="Y18" s="18" t="n">
        <v>260543.87</v>
      </c>
      <c r="Z18" s="37" t="n">
        <v>260543.87</v>
      </c>
      <c r="AA18" s="18" t="n">
        <v>260879.02</v>
      </c>
      <c r="AB18" s="19" t="n">
        <v>265078.54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사용권자산</t>
        </is>
      </c>
      <c r="E19" s="18" t="n">
        <v>4144.21</v>
      </c>
      <c r="F19" s="37" t="n">
        <v>4144.21</v>
      </c>
      <c r="G19" s="18" t="n">
        <v>3978.54</v>
      </c>
      <c r="H19" s="18" t="n">
        <v>4300.74</v>
      </c>
      <c r="I19" s="18" t="n">
        <v>4135.61</v>
      </c>
      <c r="J19" s="18" t="n">
        <v>3970.48</v>
      </c>
      <c r="K19" s="37" t="n">
        <v>3970.48</v>
      </c>
      <c r="L19" s="18" t="n">
        <v>3813.35</v>
      </c>
      <c r="M19" s="18" t="n">
        <v>3972.75</v>
      </c>
      <c r="N19" s="18" t="n">
        <v>4125.06</v>
      </c>
      <c r="O19" s="18" t="n">
        <v>3984.47</v>
      </c>
      <c r="P19" s="37" t="n">
        <v>3984.47</v>
      </c>
      <c r="Q19" s="18" t="n">
        <v>3696.54</v>
      </c>
      <c r="R19" s="18" t="n">
        <v>3397.48</v>
      </c>
      <c r="S19" s="18" t="n">
        <v>3101.02</v>
      </c>
      <c r="T19" s="18" t="n">
        <v>2804.56</v>
      </c>
      <c r="U19" s="37" t="n">
        <v>2804.56</v>
      </c>
      <c r="V19" s="18" t="n">
        <v>9341.51</v>
      </c>
      <c r="W19" s="18" t="n">
        <v>8705.27</v>
      </c>
      <c r="X19" s="18" t="n">
        <v>8103.13</v>
      </c>
      <c r="Y19" s="18" t="n">
        <v>7987.87</v>
      </c>
      <c r="Z19" s="37" t="n">
        <v>7987.87</v>
      </c>
      <c r="AA19" s="18" t="n">
        <v>7340.47</v>
      </c>
      <c r="AB19" s="19" t="n">
        <v>6697.25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기타비유동자산</t>
        </is>
      </c>
      <c r="E20" s="18" t="n">
        <v>4144.21</v>
      </c>
      <c r="F20" s="37" t="n">
        <v>4144.21</v>
      </c>
      <c r="G20" s="18" t="n">
        <v>3978.54</v>
      </c>
      <c r="H20" s="18" t="n">
        <v>4300.74</v>
      </c>
      <c r="I20" s="18" t="n">
        <v>4135.61</v>
      </c>
      <c r="J20" s="18" t="n">
        <v>3970.48</v>
      </c>
      <c r="K20" s="37" t="n">
        <v>3970.48</v>
      </c>
      <c r="L20" s="18" t="n">
        <v>3813.35</v>
      </c>
      <c r="M20" s="18" t="n">
        <v>3972.75</v>
      </c>
      <c r="N20" s="18" t="n">
        <v>4125.06</v>
      </c>
      <c r="O20" s="18" t="n">
        <v>3984.47</v>
      </c>
      <c r="P20" s="37" t="n">
        <v>3984.47</v>
      </c>
      <c r="Q20" s="18" t="n">
        <v>3696.54</v>
      </c>
      <c r="R20" s="18" t="n">
        <v>3397.48</v>
      </c>
      <c r="S20" s="18" t="n">
        <v>3101.02</v>
      </c>
      <c r="T20" s="18" t="n">
        <v>2804.56</v>
      </c>
      <c r="U20" s="37" t="n">
        <v>2804.56</v>
      </c>
      <c r="V20" s="18" t="n">
        <v>9341.51</v>
      </c>
      <c r="W20" s="18" t="n">
        <v>8705.27</v>
      </c>
      <c r="X20" s="18" t="n">
        <v>8103.13</v>
      </c>
      <c r="Y20" s="18" t="n">
        <v>7987.87</v>
      </c>
      <c r="Z20" s="37" t="n">
        <v>7987.87</v>
      </c>
      <c r="AA20" s="18" t="n">
        <v>7340.47</v>
      </c>
      <c r="AB20" s="19" t="n">
        <v>6697.25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무형자산</t>
        </is>
      </c>
      <c r="E21" s="18" t="n">
        <v>4418.66</v>
      </c>
      <c r="F21" s="37" t="n">
        <v>4418.66</v>
      </c>
      <c r="G21" s="18" t="n">
        <v>4418.66</v>
      </c>
      <c r="H21" s="18" t="n">
        <v>4418.66</v>
      </c>
      <c r="I21" s="18" t="n">
        <v>4831.51</v>
      </c>
      <c r="J21" s="18" t="n">
        <v>4831.51</v>
      </c>
      <c r="K21" s="37" t="n">
        <v>4831.51</v>
      </c>
      <c r="L21" s="18" t="n">
        <v>4831.51</v>
      </c>
      <c r="M21" s="18" t="n">
        <v>5225.51</v>
      </c>
      <c r="N21" s="18" t="n">
        <v>5234.17</v>
      </c>
      <c r="O21" s="18" t="n">
        <v>5234.17</v>
      </c>
      <c r="P21" s="37" t="n">
        <v>5234.17</v>
      </c>
      <c r="Q21" s="18" t="n">
        <v>5234.17</v>
      </c>
      <c r="R21" s="18" t="n">
        <v>5334.17</v>
      </c>
      <c r="S21" s="18" t="n">
        <v>5334.17</v>
      </c>
      <c r="T21" s="18" t="n">
        <v>5334.17</v>
      </c>
      <c r="U21" s="37" t="n">
        <v>5334.17</v>
      </c>
      <c r="V21" s="18" t="n">
        <v>5334.17</v>
      </c>
      <c r="W21" s="18" t="n">
        <v>5334.17</v>
      </c>
      <c r="X21" s="18" t="n">
        <v>5334.17</v>
      </c>
      <c r="Y21" s="18" t="n">
        <v>5334.17</v>
      </c>
      <c r="Z21" s="37" t="n">
        <v>5334.17</v>
      </c>
      <c r="AA21" s="18" t="n">
        <v>5334.17</v>
      </c>
      <c r="AB21" s="19" t="n">
        <v>5334.17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투자부동산</t>
        </is>
      </c>
      <c r="E22" s="18" t="n">
        <v>3585.67</v>
      </c>
      <c r="F22" s="37" t="n">
        <v>3585.67</v>
      </c>
      <c r="G22" s="18" t="n">
        <v>3560.34</v>
      </c>
      <c r="H22" s="18" t="n">
        <v>3534.88</v>
      </c>
      <c r="I22" s="18" t="n">
        <v>3509.78</v>
      </c>
      <c r="J22" s="18" t="n">
        <v>3484.69</v>
      </c>
      <c r="K22" s="37" t="n">
        <v>3484.69</v>
      </c>
      <c r="L22" s="18" t="n">
        <v>0</v>
      </c>
      <c r="N22" s="18" t="n">
        <v>0</v>
      </c>
      <c r="O22" s="18" t="n">
        <v>0</v>
      </c>
      <c r="P22" s="37" t="n">
        <v>0</v>
      </c>
      <c r="T22" s="18" t="n">
        <v>0</v>
      </c>
      <c r="U22" s="37" t="n">
        <v>0</v>
      </c>
      <c r="Z22" s="9" t="n"/>
      <c r="AB22" s="5" t="n"/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이연법인세자산</t>
        </is>
      </c>
      <c r="E23" s="18" t="n">
        <v>5750.95</v>
      </c>
      <c r="F23" s="37" t="n">
        <v>5750.95</v>
      </c>
      <c r="G23" s="18" t="n">
        <v>7671.46</v>
      </c>
      <c r="H23" s="18" t="n">
        <v>4233.84</v>
      </c>
      <c r="I23" s="18" t="n">
        <v>3358.35</v>
      </c>
      <c r="J23" s="18" t="n">
        <v>3119.97</v>
      </c>
      <c r="K23" s="37" t="n">
        <v>3119.97</v>
      </c>
      <c r="L23" s="18" t="n">
        <v>4760.87</v>
      </c>
      <c r="M23" s="18" t="n">
        <v>3599.28</v>
      </c>
      <c r="N23" s="18" t="n">
        <v>3573.97</v>
      </c>
      <c r="O23" s="18" t="n">
        <v>6003.87</v>
      </c>
      <c r="P23" s="37" t="n">
        <v>6003.87</v>
      </c>
      <c r="Q23" s="18" t="n">
        <v>5996.32</v>
      </c>
      <c r="R23" s="18" t="n">
        <v>6720.43</v>
      </c>
      <c r="S23" s="18" t="n">
        <v>8790.68</v>
      </c>
      <c r="T23" s="18" t="n">
        <v>8801.040000000001</v>
      </c>
      <c r="U23" s="37" t="n">
        <v>8801.040000000001</v>
      </c>
      <c r="V23" s="18" t="n">
        <v>7768.97</v>
      </c>
      <c r="W23" s="18" t="n">
        <v>7616.74</v>
      </c>
      <c r="X23" s="18" t="n">
        <v>6790.43</v>
      </c>
      <c r="Y23" s="18" t="n">
        <v>6077.2</v>
      </c>
      <c r="Z23" s="37" t="n">
        <v>6077.2</v>
      </c>
      <c r="AA23" s="18" t="n">
        <v>6449.86</v>
      </c>
      <c r="AB23" s="19" t="n">
        <v>5261.24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자산총계</t>
        </is>
      </c>
      <c r="E24" s="18" t="n">
        <v>444397.56</v>
      </c>
      <c r="F24" s="37" t="n">
        <v>444397.56</v>
      </c>
      <c r="G24" s="18" t="n">
        <v>426559.39</v>
      </c>
      <c r="H24" s="18" t="n">
        <v>412720.03</v>
      </c>
      <c r="I24" s="18" t="n">
        <v>413293.23</v>
      </c>
      <c r="J24" s="18" t="n">
        <v>411876.75</v>
      </c>
      <c r="K24" s="37" t="n">
        <v>411876.75</v>
      </c>
      <c r="L24" s="18" t="n">
        <v>412967.68</v>
      </c>
      <c r="M24" s="18" t="n">
        <v>396151.51</v>
      </c>
      <c r="N24" s="18" t="n">
        <v>423261.31</v>
      </c>
      <c r="O24" s="18" t="n">
        <v>424260.79</v>
      </c>
      <c r="P24" s="37" t="n">
        <v>424260.79</v>
      </c>
      <c r="Q24" s="18" t="n">
        <v>458966.67</v>
      </c>
      <c r="R24" s="18" t="n">
        <v>434128.55</v>
      </c>
      <c r="S24" s="18" t="n">
        <v>466803.3</v>
      </c>
      <c r="T24" s="18" t="n">
        <v>489679.81</v>
      </c>
      <c r="U24" s="37" t="n">
        <v>489679.81</v>
      </c>
      <c r="V24" s="18" t="n">
        <v>499006.44</v>
      </c>
      <c r="W24" s="18" t="n">
        <v>495033.56</v>
      </c>
      <c r="X24" s="18" t="n">
        <v>506645.75</v>
      </c>
      <c r="Y24" s="18" t="n">
        <v>491777.06</v>
      </c>
      <c r="Z24" s="37" t="n">
        <v>491777.06</v>
      </c>
      <c r="AA24" s="18" t="n">
        <v>499772.8</v>
      </c>
      <c r="AB24" s="19" t="n">
        <v>500549.83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유동부채</t>
        </is>
      </c>
      <c r="E25" s="18" t="n">
        <v>171104.83</v>
      </c>
      <c r="F25" s="37" t="n">
        <v>171104.83</v>
      </c>
      <c r="G25" s="18" t="n">
        <v>138660.43</v>
      </c>
      <c r="H25" s="18" t="n">
        <v>149224.55</v>
      </c>
      <c r="I25" s="18" t="n">
        <v>186457.53</v>
      </c>
      <c r="J25" s="18" t="n">
        <v>168279.92</v>
      </c>
      <c r="K25" s="37" t="n">
        <v>168279.92</v>
      </c>
      <c r="L25" s="18" t="n">
        <v>227336.4</v>
      </c>
      <c r="M25" s="18" t="n">
        <v>207674.24</v>
      </c>
      <c r="N25" s="18" t="n">
        <v>205888.89</v>
      </c>
      <c r="O25" s="18" t="n">
        <v>191700.36</v>
      </c>
      <c r="P25" s="37" t="n">
        <v>191700.36</v>
      </c>
      <c r="Q25" s="18" t="n">
        <v>226620.81</v>
      </c>
      <c r="R25" s="18" t="n">
        <v>197790.18</v>
      </c>
      <c r="S25" s="18" t="n">
        <v>249548.4</v>
      </c>
      <c r="T25" s="18" t="n">
        <v>256664.27</v>
      </c>
      <c r="U25" s="37" t="n">
        <v>256664.27</v>
      </c>
      <c r="V25" s="18" t="n">
        <v>259998.17</v>
      </c>
      <c r="W25" s="18" t="n">
        <v>252224.9</v>
      </c>
      <c r="X25" s="18" t="n">
        <v>178473.16</v>
      </c>
      <c r="Y25" s="18" t="n">
        <v>145261</v>
      </c>
      <c r="Z25" s="37" t="n">
        <v>145261</v>
      </c>
      <c r="AA25" s="18" t="n">
        <v>155225.17</v>
      </c>
      <c r="AB25" s="19" t="n">
        <v>142309.05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매입채무및기타채무</t>
        </is>
      </c>
      <c r="E26" s="18" t="n">
        <v>48565.05</v>
      </c>
      <c r="F26" s="37" t="n">
        <v>48565.05</v>
      </c>
      <c r="G26" s="18" t="n">
        <v>49610.72</v>
      </c>
      <c r="H26" s="18" t="n">
        <v>37393.52</v>
      </c>
      <c r="I26" s="18" t="n">
        <v>32826.86</v>
      </c>
      <c r="J26" s="18" t="n">
        <v>25301.53</v>
      </c>
      <c r="K26" s="37" t="n">
        <v>25301.53</v>
      </c>
      <c r="L26" s="18" t="n">
        <v>44407.8</v>
      </c>
      <c r="M26" s="18" t="n">
        <v>40264.41</v>
      </c>
      <c r="N26" s="18" t="n">
        <v>48672.64</v>
      </c>
      <c r="O26" s="18" t="n">
        <v>42860.32</v>
      </c>
      <c r="P26" s="37" t="n">
        <v>42860.32</v>
      </c>
      <c r="Q26" s="18" t="n">
        <v>71650.34</v>
      </c>
      <c r="R26" s="18" t="n">
        <v>49498.56</v>
      </c>
      <c r="S26" s="18" t="n">
        <v>48511.29</v>
      </c>
      <c r="T26" s="18" t="n">
        <v>54393.99</v>
      </c>
      <c r="U26" s="37" t="n">
        <v>54393.99</v>
      </c>
      <c r="V26" s="18" t="n">
        <v>63079.63</v>
      </c>
      <c r="W26" s="18" t="n">
        <v>56293.11</v>
      </c>
      <c r="X26" s="18" t="n">
        <v>51400.72</v>
      </c>
      <c r="Y26" s="18" t="n">
        <v>50711.29</v>
      </c>
      <c r="Z26" s="37" t="n">
        <v>50711.29</v>
      </c>
      <c r="AA26" s="18" t="n">
        <v>66329.75999999999</v>
      </c>
      <c r="AB26" s="19" t="n">
        <v>51702.87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계약부채</t>
        </is>
      </c>
      <c r="E27" s="18" t="n">
        <v>37018.85</v>
      </c>
      <c r="F27" s="37" t="n">
        <v>37018.85</v>
      </c>
      <c r="G27" s="18" t="n">
        <v>14719.34</v>
      </c>
      <c r="H27" s="18" t="n">
        <v>10109.8</v>
      </c>
      <c r="I27" s="18" t="n">
        <v>10745.11</v>
      </c>
      <c r="J27" s="18" t="n">
        <v>16037.88</v>
      </c>
      <c r="K27" s="37" t="n">
        <v>16037.88</v>
      </c>
      <c r="L27" s="18" t="n">
        <v>11514.37</v>
      </c>
      <c r="M27" s="18" t="n">
        <v>4555</v>
      </c>
      <c r="N27" s="18" t="n">
        <v>4500</v>
      </c>
      <c r="O27" s="18" t="n">
        <v>2702.96</v>
      </c>
      <c r="P27" s="37" t="n">
        <v>2702.96</v>
      </c>
      <c r="Q27" s="18" t="n">
        <v>12149.88</v>
      </c>
      <c r="R27" s="18" t="n">
        <v>13059.89</v>
      </c>
      <c r="S27" s="18" t="n">
        <v>15489.42</v>
      </c>
      <c r="T27" s="18" t="n">
        <v>13291.26</v>
      </c>
      <c r="U27" s="37" t="n">
        <v>13291.26</v>
      </c>
      <c r="V27" s="18" t="n">
        <v>5643.76</v>
      </c>
      <c r="W27" s="18" t="n">
        <v>5175</v>
      </c>
      <c r="X27" s="18" t="n">
        <v>17894.37</v>
      </c>
      <c r="Y27" s="18" t="n">
        <v>5175</v>
      </c>
      <c r="Z27" s="37" t="n">
        <v>5175</v>
      </c>
      <c r="AA27" s="18" t="n">
        <v>725.22</v>
      </c>
      <c r="AB27" s="19" t="n">
        <v>4286.67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당기법인세부채(미지급법인세)</t>
        </is>
      </c>
      <c r="E28" s="18" t="n">
        <v>11763.79</v>
      </c>
      <c r="F28" s="37" t="n">
        <v>11763.79</v>
      </c>
      <c r="G28" s="18" t="n">
        <v>6380.03</v>
      </c>
      <c r="H28" s="18" t="n">
        <v>0</v>
      </c>
      <c r="I28" s="18" t="n">
        <v>0</v>
      </c>
      <c r="J28" s="18" t="n">
        <v>447.34</v>
      </c>
      <c r="K28" s="37" t="n">
        <v>447.34</v>
      </c>
      <c r="L28" s="18" t="n">
        <v>225.74</v>
      </c>
      <c r="M28" s="18" t="n">
        <v>3333.31</v>
      </c>
      <c r="N28" s="18" t="n">
        <v>3059.1</v>
      </c>
      <c r="O28" s="18" t="n">
        <v>9137.34</v>
      </c>
      <c r="P28" s="37" t="n">
        <v>9137.34</v>
      </c>
      <c r="Q28" s="18" t="n">
        <v>5640.93</v>
      </c>
      <c r="R28" s="18" t="n">
        <v>3441.3</v>
      </c>
      <c r="S28" s="18" t="n">
        <v>1291.13</v>
      </c>
      <c r="T28" s="18" t="n">
        <v>5325.3</v>
      </c>
      <c r="U28" s="37" t="n">
        <v>5325.3</v>
      </c>
      <c r="V28" s="18" t="n">
        <v>5853.3</v>
      </c>
      <c r="W28" s="18" t="n">
        <v>5458.02</v>
      </c>
      <c r="X28" s="18" t="n">
        <v>2154.45</v>
      </c>
      <c r="Y28" s="18" t="n">
        <v>7833.21</v>
      </c>
      <c r="Z28" s="37" t="n">
        <v>7833.21</v>
      </c>
      <c r="AA28" s="18" t="n">
        <v>8319.27</v>
      </c>
      <c r="AB28" s="19" t="n">
        <v>7682.01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단기차입금</t>
        </is>
      </c>
      <c r="E29" s="18" t="n">
        <v>69700</v>
      </c>
      <c r="F29" s="37" t="n">
        <v>69700</v>
      </c>
      <c r="G29" s="18" t="n">
        <v>64300</v>
      </c>
      <c r="H29" s="18" t="n">
        <v>96900</v>
      </c>
      <c r="I29" s="18" t="n">
        <v>138013</v>
      </c>
      <c r="J29" s="18" t="n">
        <v>121600</v>
      </c>
      <c r="K29" s="37" t="n">
        <v>121600</v>
      </c>
      <c r="L29" s="18" t="n">
        <v>166000</v>
      </c>
      <c r="M29" s="18" t="n">
        <v>153600</v>
      </c>
      <c r="N29" s="18" t="n">
        <v>143600</v>
      </c>
      <c r="O29" s="18" t="n">
        <v>133600</v>
      </c>
      <c r="P29" s="37" t="n">
        <v>133600</v>
      </c>
      <c r="Q29" s="18" t="n">
        <v>133600</v>
      </c>
      <c r="R29" s="18" t="n">
        <v>128600</v>
      </c>
      <c r="S29" s="18" t="n">
        <v>181600</v>
      </c>
      <c r="T29" s="18" t="n">
        <v>181300</v>
      </c>
      <c r="U29" s="37" t="n">
        <v>181300</v>
      </c>
      <c r="V29" s="18" t="n">
        <v>181000</v>
      </c>
      <c r="W29" s="18" t="n">
        <v>180700</v>
      </c>
      <c r="X29" s="18" t="n">
        <v>101400</v>
      </c>
      <c r="Y29" s="18" t="n">
        <v>76170</v>
      </c>
      <c r="Z29" s="37" t="n">
        <v>76170</v>
      </c>
      <c r="AA29" s="18" t="n">
        <v>75120</v>
      </c>
      <c r="AB29" s="19" t="n">
        <v>74070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단기금융부채(face)</t>
        </is>
      </c>
      <c r="E30" s="18" t="n">
        <v>69700</v>
      </c>
      <c r="F30" s="37" t="n">
        <v>69700</v>
      </c>
      <c r="G30" s="18" t="n">
        <v>64300</v>
      </c>
      <c r="H30" s="18" t="n">
        <v>96900</v>
      </c>
      <c r="I30" s="18" t="n">
        <v>138013</v>
      </c>
      <c r="J30" s="18" t="n">
        <v>121600</v>
      </c>
      <c r="K30" s="37" t="n">
        <v>121600</v>
      </c>
      <c r="L30" s="18" t="n">
        <v>166000</v>
      </c>
      <c r="M30" s="18" t="n">
        <v>153600</v>
      </c>
      <c r="N30" s="18" t="n">
        <v>143600</v>
      </c>
      <c r="O30" s="18" t="n">
        <v>133600</v>
      </c>
      <c r="P30" s="37" t="n">
        <v>133600</v>
      </c>
      <c r="Q30" s="18" t="n">
        <v>133600</v>
      </c>
      <c r="R30" s="18" t="n">
        <v>128600</v>
      </c>
      <c r="S30" s="18" t="n">
        <v>181600</v>
      </c>
      <c r="T30" s="18" t="n">
        <v>181300</v>
      </c>
      <c r="U30" s="37" t="n">
        <v>181300</v>
      </c>
      <c r="V30" s="18" t="n">
        <v>181000</v>
      </c>
      <c r="W30" s="18" t="n">
        <v>180700</v>
      </c>
      <c r="X30" s="18" t="n">
        <v>101400</v>
      </c>
      <c r="Y30" s="18" t="n">
        <v>76170</v>
      </c>
      <c r="Z30" s="37" t="n">
        <v>76170</v>
      </c>
      <c r="AA30" s="18" t="n">
        <v>75120</v>
      </c>
      <c r="AB30" s="19" t="n">
        <v>74070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유동리스부채</t>
        </is>
      </c>
      <c r="E31" s="18" t="n">
        <v>1362.34</v>
      </c>
      <c r="F31" s="37" t="n">
        <v>1362.34</v>
      </c>
      <c r="G31" s="18" t="n">
        <v>987.6</v>
      </c>
      <c r="H31" s="18" t="n">
        <v>826.17</v>
      </c>
      <c r="I31" s="18" t="n">
        <v>724.01</v>
      </c>
      <c r="J31" s="18" t="n">
        <v>726.65</v>
      </c>
      <c r="K31" s="37" t="n">
        <v>726.65</v>
      </c>
      <c r="L31" s="18" t="n">
        <v>725.99</v>
      </c>
      <c r="M31" s="18" t="n">
        <v>871.39</v>
      </c>
      <c r="N31" s="18" t="n">
        <v>1174.68</v>
      </c>
      <c r="O31" s="18" t="n">
        <v>1242.64</v>
      </c>
      <c r="P31" s="37" t="n">
        <v>1242.64</v>
      </c>
      <c r="Q31" s="18" t="n">
        <v>1534.48</v>
      </c>
      <c r="R31" s="18" t="n">
        <v>1284.08</v>
      </c>
      <c r="S31" s="18" t="n">
        <v>1009.46</v>
      </c>
      <c r="T31" s="18" t="n">
        <v>711.87</v>
      </c>
      <c r="U31" s="37" t="n">
        <v>711.87</v>
      </c>
      <c r="V31" s="18" t="n">
        <v>2934.66</v>
      </c>
      <c r="W31" s="18" t="n">
        <v>2751.07</v>
      </c>
      <c r="X31" s="18" t="n">
        <v>2593.56</v>
      </c>
      <c r="Y31" s="18" t="n">
        <v>2691.68</v>
      </c>
      <c r="Z31" s="37" t="n">
        <v>2691.68</v>
      </c>
      <c r="AA31" s="18" t="n">
        <v>2674.43</v>
      </c>
      <c r="AB31" s="19" t="n">
        <v>2659.6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리스부채</t>
        </is>
      </c>
      <c r="E32" s="18" t="n">
        <v>4028.67</v>
      </c>
      <c r="F32" s="37" t="n">
        <v>4028.67</v>
      </c>
      <c r="G32" s="18" t="n">
        <v>3543.78</v>
      </c>
      <c r="H32" s="18" t="n">
        <v>3537.8</v>
      </c>
      <c r="I32" s="18" t="n">
        <v>3256.92</v>
      </c>
      <c r="J32" s="18" t="n">
        <v>3079.68</v>
      </c>
      <c r="K32" s="37" t="n">
        <v>3079.68</v>
      </c>
      <c r="L32" s="18" t="n">
        <v>2914.71</v>
      </c>
      <c r="M32" s="18" t="n">
        <v>3020.66</v>
      </c>
      <c r="N32" s="18" t="n">
        <v>3191.44</v>
      </c>
      <c r="O32" s="18" t="n">
        <v>3043.05</v>
      </c>
      <c r="P32" s="37" t="n">
        <v>3043.05</v>
      </c>
      <c r="Q32" s="18" t="n">
        <v>2750.35</v>
      </c>
      <c r="R32" s="18" t="n">
        <v>2439.74</v>
      </c>
      <c r="S32" s="18" t="n">
        <v>2129.59</v>
      </c>
      <c r="T32" s="18" t="n">
        <v>1816.76</v>
      </c>
      <c r="U32" s="37" t="n">
        <v>1816.76</v>
      </c>
      <c r="V32" s="18" t="n">
        <v>8381.99</v>
      </c>
      <c r="W32" s="18" t="n">
        <v>7771.79</v>
      </c>
      <c r="X32" s="18" t="n">
        <v>7187.38</v>
      </c>
      <c r="Y32" s="18" t="n">
        <v>7024.33</v>
      </c>
      <c r="Z32" s="37" t="n">
        <v>7024.33</v>
      </c>
      <c r="AA32" s="18" t="n">
        <v>6396.24</v>
      </c>
      <c r="AB32" s="19" t="n">
        <v>5767.33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단기금융부채</t>
        </is>
      </c>
      <c r="E33" s="18" t="n">
        <v>2006.74</v>
      </c>
      <c r="F33" s="37" t="n">
        <v>2006.74</v>
      </c>
      <c r="G33" s="18" t="n">
        <v>987.6</v>
      </c>
      <c r="H33" s="18" t="n">
        <v>826.17</v>
      </c>
      <c r="I33" s="18" t="n">
        <v>724.01</v>
      </c>
      <c r="J33" s="18" t="n">
        <v>726.65</v>
      </c>
      <c r="K33" s="37" t="n">
        <v>726.65</v>
      </c>
      <c r="L33" s="18" t="n">
        <v>725.99</v>
      </c>
      <c r="M33" s="18" t="n">
        <v>871.39</v>
      </c>
      <c r="N33" s="18" t="n">
        <v>1174.68</v>
      </c>
      <c r="O33" s="18" t="n">
        <v>1242.64</v>
      </c>
      <c r="P33" s="37" t="n">
        <v>1242.64</v>
      </c>
      <c r="Q33" s="18" t="n">
        <v>1534.48</v>
      </c>
      <c r="R33" s="18" t="n">
        <v>1284.08</v>
      </c>
      <c r="S33" s="18" t="n">
        <v>1009.46</v>
      </c>
      <c r="T33" s="18" t="n">
        <v>711.87</v>
      </c>
      <c r="U33" s="37" t="n">
        <v>711.87</v>
      </c>
      <c r="V33" s="18" t="n">
        <v>2934.66</v>
      </c>
      <c r="W33" s="18" t="n">
        <v>2751.07</v>
      </c>
      <c r="X33" s="18" t="n">
        <v>2593.56</v>
      </c>
      <c r="Y33" s="18" t="n">
        <v>2691.68</v>
      </c>
      <c r="Z33" s="37" t="n">
        <v>2691.68</v>
      </c>
      <c r="AA33" s="18" t="n">
        <v>2674.43</v>
      </c>
      <c r="AB33" s="19" t="n">
        <v>2659.6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기타유동금융부채</t>
        </is>
      </c>
      <c r="E34" s="18" t="n">
        <v>644.4</v>
      </c>
      <c r="F34" s="37" t="n">
        <v>644.4</v>
      </c>
      <c r="K34" s="9" t="n"/>
      <c r="P34" s="9" t="n"/>
      <c r="U34" s="9" t="n"/>
      <c r="Z34" s="9" t="n"/>
      <c r="AB34" s="5" t="n"/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단기충당부채</t>
        </is>
      </c>
      <c r="E35" s="18" t="n">
        <v>2050.39</v>
      </c>
      <c r="F35" s="37" t="n">
        <v>2050.39</v>
      </c>
      <c r="G35" s="18" t="n">
        <v>2256.2</v>
      </c>
      <c r="H35" s="18" t="n">
        <v>3073.46</v>
      </c>
      <c r="I35" s="18" t="n">
        <v>3081.32</v>
      </c>
      <c r="J35" s="18" t="n">
        <v>3079.97</v>
      </c>
      <c r="K35" s="37" t="n">
        <v>3079.97</v>
      </c>
      <c r="L35" s="18" t="n">
        <v>3250.86</v>
      </c>
      <c r="M35" s="18" t="n">
        <v>4033.88</v>
      </c>
      <c r="N35" s="18" t="n">
        <v>4206.11</v>
      </c>
      <c r="O35" s="18" t="n">
        <v>1759.64</v>
      </c>
      <c r="P35" s="37" t="n">
        <v>1759.64</v>
      </c>
      <c r="Q35" s="18" t="n">
        <v>1686.62</v>
      </c>
      <c r="R35" s="18" t="n">
        <v>1722.25</v>
      </c>
      <c r="S35" s="18" t="n">
        <v>1605.85</v>
      </c>
      <c r="T35" s="18" t="n">
        <v>1487.93</v>
      </c>
      <c r="U35" s="37" t="n">
        <v>1487.93</v>
      </c>
      <c r="V35" s="18" t="n">
        <v>1378.65</v>
      </c>
      <c r="W35" s="18" t="n">
        <v>1774.4</v>
      </c>
      <c r="X35" s="18" t="n">
        <v>1746.35</v>
      </c>
      <c r="Y35" s="18" t="n">
        <v>1679.11</v>
      </c>
      <c r="Z35" s="37" t="n">
        <v>1679.11</v>
      </c>
      <c r="AA35" s="18" t="n">
        <v>1422.41</v>
      </c>
      <c r="AB35" s="19" t="n">
        <v>1523.62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비유동부채</t>
        </is>
      </c>
      <c r="E36" s="18" t="n">
        <v>113033.85</v>
      </c>
      <c r="F36" s="37" t="n">
        <v>113033.85</v>
      </c>
      <c r="G36" s="18" t="n">
        <v>142541.09</v>
      </c>
      <c r="H36" s="18" t="n">
        <v>106995.49</v>
      </c>
      <c r="I36" s="18" t="n">
        <v>67442.92</v>
      </c>
      <c r="J36" s="18" t="n">
        <v>78086.10000000001</v>
      </c>
      <c r="K36" s="37" t="n">
        <v>78086.10000000001</v>
      </c>
      <c r="L36" s="18" t="n">
        <v>33933.63</v>
      </c>
      <c r="M36" s="18" t="n">
        <v>22873.12</v>
      </c>
      <c r="N36" s="18" t="n">
        <v>49205.17</v>
      </c>
      <c r="O36" s="18" t="n">
        <v>50498.85</v>
      </c>
      <c r="P36" s="37" t="n">
        <v>50498.85</v>
      </c>
      <c r="Q36" s="18" t="n">
        <v>49434.08</v>
      </c>
      <c r="R36" s="18" t="n">
        <v>49425.45</v>
      </c>
      <c r="S36" s="18" t="n">
        <v>33628.48</v>
      </c>
      <c r="T36" s="18" t="n">
        <v>35953.35</v>
      </c>
      <c r="U36" s="37" t="n">
        <v>35953.35</v>
      </c>
      <c r="V36" s="18" t="n">
        <v>40109.34</v>
      </c>
      <c r="W36" s="18" t="n">
        <v>38908.18</v>
      </c>
      <c r="X36" s="18" t="n">
        <v>116496</v>
      </c>
      <c r="Y36" s="18" t="n">
        <v>116031.72</v>
      </c>
      <c r="Z36" s="37" t="n">
        <v>116031.72</v>
      </c>
      <c r="AA36" s="18" t="n">
        <v>116018.9</v>
      </c>
      <c r="AB36" s="19" t="n">
        <v>115760.62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장기차입금</t>
        </is>
      </c>
      <c r="E37" s="18" t="n">
        <v>107300</v>
      </c>
      <c r="F37" s="37" t="n">
        <v>107300</v>
      </c>
      <c r="G37" s="18" t="n">
        <v>136700</v>
      </c>
      <c r="H37" s="18" t="n">
        <v>101100</v>
      </c>
      <c r="J37" s="18" t="n">
        <v>73700</v>
      </c>
      <c r="K37" s="37" t="n">
        <v>73700</v>
      </c>
      <c r="L37" s="18" t="n">
        <v>28700</v>
      </c>
      <c r="M37" s="18" t="n">
        <v>17500</v>
      </c>
      <c r="N37" s="18" t="n">
        <v>43900</v>
      </c>
      <c r="O37" s="18" t="n">
        <v>43300</v>
      </c>
      <c r="P37" s="37" t="n">
        <v>43300</v>
      </c>
      <c r="Q37" s="18" t="n">
        <v>42700</v>
      </c>
      <c r="R37" s="18" t="n">
        <v>42100</v>
      </c>
      <c r="S37" s="18" t="n">
        <v>25900</v>
      </c>
      <c r="T37" s="18" t="n">
        <v>30650</v>
      </c>
      <c r="U37" s="37" t="n">
        <v>30650</v>
      </c>
      <c r="V37" s="18" t="n">
        <v>29600</v>
      </c>
      <c r="W37" s="18" t="n">
        <v>28550</v>
      </c>
      <c r="X37" s="18" t="n">
        <v>106500</v>
      </c>
      <c r="Y37" s="18" t="n">
        <v>106200</v>
      </c>
      <c r="Z37" s="37" t="n">
        <v>106200</v>
      </c>
      <c r="AA37" s="18" t="n">
        <v>106200</v>
      </c>
      <c r="AB37" s="19" t="n">
        <v>106200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장기금융부채(face)</t>
        </is>
      </c>
      <c r="E38" s="18" t="n">
        <v>107300</v>
      </c>
      <c r="F38" s="37" t="n">
        <v>107300</v>
      </c>
      <c r="G38" s="18" t="n">
        <v>136700</v>
      </c>
      <c r="H38" s="18" t="n">
        <v>101100</v>
      </c>
      <c r="J38" s="18" t="n">
        <v>73700</v>
      </c>
      <c r="K38" s="37" t="n">
        <v>73700</v>
      </c>
      <c r="L38" s="18" t="n">
        <v>28700</v>
      </c>
      <c r="M38" s="18" t="n">
        <v>17500</v>
      </c>
      <c r="N38" s="18" t="n">
        <v>43900</v>
      </c>
      <c r="O38" s="18" t="n">
        <v>43300</v>
      </c>
      <c r="P38" s="37" t="n">
        <v>43300</v>
      </c>
      <c r="Q38" s="18" t="n">
        <v>42700</v>
      </c>
      <c r="R38" s="18" t="n">
        <v>42100</v>
      </c>
      <c r="S38" s="18" t="n">
        <v>25900</v>
      </c>
      <c r="T38" s="18" t="n">
        <v>30650</v>
      </c>
      <c r="U38" s="37" t="n">
        <v>30650</v>
      </c>
      <c r="V38" s="18" t="n">
        <v>29600</v>
      </c>
      <c r="W38" s="18" t="n">
        <v>28550</v>
      </c>
      <c r="X38" s="18" t="n">
        <v>106500</v>
      </c>
      <c r="Y38" s="18" t="n">
        <v>106200</v>
      </c>
      <c r="Z38" s="37" t="n">
        <v>106200</v>
      </c>
      <c r="AA38" s="18" t="n">
        <v>106200</v>
      </c>
      <c r="AB38" s="19" t="n">
        <v>106200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비유동리스부채</t>
        </is>
      </c>
      <c r="E39" s="18" t="n">
        <v>2666.33</v>
      </c>
      <c r="F39" s="37" t="n">
        <v>2666.33</v>
      </c>
      <c r="G39" s="18" t="n">
        <v>2556.18</v>
      </c>
      <c r="H39" s="18" t="n">
        <v>2711.63</v>
      </c>
      <c r="I39" s="18" t="n">
        <v>2532.91</v>
      </c>
      <c r="J39" s="18" t="n">
        <v>2353.03</v>
      </c>
      <c r="K39" s="37" t="n">
        <v>2353.03</v>
      </c>
      <c r="L39" s="18" t="n">
        <v>2188.72</v>
      </c>
      <c r="M39" s="18" t="n">
        <v>2149.27</v>
      </c>
      <c r="N39" s="18" t="n">
        <v>2016.76</v>
      </c>
      <c r="O39" s="18" t="n">
        <v>1800.41</v>
      </c>
      <c r="P39" s="37" t="n">
        <v>1800.41</v>
      </c>
      <c r="Q39" s="18" t="n">
        <v>1215.87</v>
      </c>
      <c r="R39" s="18" t="n">
        <v>1155.66</v>
      </c>
      <c r="S39" s="18" t="n">
        <v>1120.13</v>
      </c>
      <c r="T39" s="18" t="n">
        <v>1104.89</v>
      </c>
      <c r="U39" s="37" t="n">
        <v>1104.89</v>
      </c>
      <c r="V39" s="18" t="n">
        <v>5447.33</v>
      </c>
      <c r="W39" s="18" t="n">
        <v>5020.72</v>
      </c>
      <c r="X39" s="18" t="n">
        <v>4593.82</v>
      </c>
      <c r="Y39" s="18" t="n">
        <v>4332.65</v>
      </c>
      <c r="Z39" s="37" t="n">
        <v>4332.65</v>
      </c>
      <c r="AA39" s="18" t="n">
        <v>3721.81</v>
      </c>
      <c r="AB39" s="19" t="n">
        <v>3107.73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장기금융부채</t>
        </is>
      </c>
      <c r="E40" s="18" t="n">
        <v>2666.33</v>
      </c>
      <c r="F40" s="37" t="n">
        <v>2666.33</v>
      </c>
      <c r="G40" s="18" t="n">
        <v>2556.18</v>
      </c>
      <c r="H40" s="18" t="n">
        <v>2711.63</v>
      </c>
      <c r="I40" s="18" t="n">
        <v>2532.91</v>
      </c>
      <c r="J40" s="18" t="n">
        <v>2353.03</v>
      </c>
      <c r="K40" s="37" t="n">
        <v>2353.03</v>
      </c>
      <c r="L40" s="18" t="n">
        <v>2188.72</v>
      </c>
      <c r="M40" s="18" t="n">
        <v>2149.27</v>
      </c>
      <c r="N40" s="18" t="n">
        <v>2016.76</v>
      </c>
      <c r="O40" s="18" t="n">
        <v>1800.41</v>
      </c>
      <c r="P40" s="37" t="n">
        <v>1800.41</v>
      </c>
      <c r="Q40" s="18" t="n">
        <v>1215.87</v>
      </c>
      <c r="R40" s="18" t="n">
        <v>1155.66</v>
      </c>
      <c r="S40" s="18" t="n">
        <v>1120.13</v>
      </c>
      <c r="T40" s="18" t="n">
        <v>1104.89</v>
      </c>
      <c r="U40" s="37" t="n">
        <v>1104.89</v>
      </c>
      <c r="V40" s="18" t="n">
        <v>5447.33</v>
      </c>
      <c r="W40" s="18" t="n">
        <v>5020.72</v>
      </c>
      <c r="X40" s="18" t="n">
        <v>4593.82</v>
      </c>
      <c r="Y40" s="18" t="n">
        <v>4332.65</v>
      </c>
      <c r="Z40" s="37" t="n">
        <v>4332.65</v>
      </c>
      <c r="AA40" s="18" t="n">
        <v>3721.81</v>
      </c>
      <c r="AB40" s="19" t="n">
        <v>3107.73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기타비유동부채</t>
        </is>
      </c>
      <c r="E41" s="18" t="n">
        <v>576.55</v>
      </c>
      <c r="F41" s="37" t="n">
        <v>576.55</v>
      </c>
      <c r="G41" s="18" t="n">
        <v>541.6799999999999</v>
      </c>
      <c r="H41" s="18" t="n">
        <v>472.69</v>
      </c>
      <c r="I41" s="18" t="n">
        <v>423.04</v>
      </c>
      <c r="J41" s="18" t="n">
        <v>306.58</v>
      </c>
      <c r="K41" s="37" t="n">
        <v>306.58</v>
      </c>
      <c r="L41" s="18" t="n">
        <v>300.9</v>
      </c>
      <c r="M41" s="18" t="n">
        <v>295.36</v>
      </c>
      <c r="N41" s="18" t="n">
        <v>294.05</v>
      </c>
      <c r="O41" s="18" t="n">
        <v>253.15</v>
      </c>
      <c r="P41" s="37" t="n">
        <v>253.15</v>
      </c>
      <c r="Q41" s="18" t="n">
        <v>249.44</v>
      </c>
      <c r="R41" s="18" t="n">
        <v>336.21</v>
      </c>
      <c r="S41" s="18" t="n">
        <v>347.1</v>
      </c>
      <c r="T41" s="18" t="n">
        <v>470.38</v>
      </c>
      <c r="U41" s="37" t="n">
        <v>470.38</v>
      </c>
      <c r="V41" s="18" t="n">
        <v>489.33</v>
      </c>
      <c r="W41" s="18" t="n">
        <v>490.52</v>
      </c>
      <c r="X41" s="18" t="n">
        <v>499.5</v>
      </c>
      <c r="Y41" s="18" t="n">
        <v>393.95</v>
      </c>
      <c r="Z41" s="37" t="n">
        <v>393.95</v>
      </c>
      <c r="AA41" s="18" t="n">
        <v>381.05</v>
      </c>
      <c r="AB41" s="19" t="n">
        <v>378.11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확정급여부채</t>
        </is>
      </c>
      <c r="E42" s="18" t="n">
        <v>2490.97</v>
      </c>
      <c r="F42" s="37" t="n">
        <v>2490.97</v>
      </c>
      <c r="G42" s="18" t="n">
        <v>2743.24</v>
      </c>
      <c r="H42" s="18" t="n">
        <v>2711.17</v>
      </c>
      <c r="I42" s="18" t="n">
        <v>3186.96</v>
      </c>
      <c r="J42" s="18" t="n">
        <v>1726.49</v>
      </c>
      <c r="K42" s="37" t="n">
        <v>1726.49</v>
      </c>
      <c r="L42" s="18" t="n">
        <v>2744</v>
      </c>
      <c r="M42" s="18" t="n">
        <v>2928.49</v>
      </c>
      <c r="N42" s="18" t="n">
        <v>2994.37</v>
      </c>
      <c r="O42" s="18" t="n">
        <v>5145.29</v>
      </c>
      <c r="P42" s="37" t="n">
        <v>5145.29</v>
      </c>
      <c r="Q42" s="18" t="n">
        <v>5268.77</v>
      </c>
      <c r="R42" s="18" t="n">
        <v>5833.58</v>
      </c>
      <c r="S42" s="18" t="n">
        <v>6261.26</v>
      </c>
      <c r="T42" s="18" t="n">
        <v>3728.08</v>
      </c>
      <c r="U42" s="37" t="n">
        <v>3728.08</v>
      </c>
      <c r="V42" s="18" t="n">
        <v>4572.68</v>
      </c>
      <c r="W42" s="18" t="n">
        <v>4846.95</v>
      </c>
      <c r="X42" s="18" t="n">
        <v>4902.68</v>
      </c>
      <c r="Y42" s="18" t="n">
        <v>5105.12</v>
      </c>
      <c r="Z42" s="37" t="n">
        <v>5105.12</v>
      </c>
      <c r="AA42" s="18" t="n">
        <v>5716.04</v>
      </c>
      <c r="AB42" s="19" t="n">
        <v>6074.78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부채총계</t>
        </is>
      </c>
      <c r="E43" s="18" t="n">
        <v>284138.67</v>
      </c>
      <c r="F43" s="37" t="n">
        <v>284138.67</v>
      </c>
      <c r="G43" s="18" t="n">
        <v>281201.52</v>
      </c>
      <c r="H43" s="18" t="n">
        <v>256220.04</v>
      </c>
      <c r="I43" s="18" t="n">
        <v>253900.45</v>
      </c>
      <c r="J43" s="18" t="n">
        <v>246366.02</v>
      </c>
      <c r="K43" s="37" t="n">
        <v>246366.02</v>
      </c>
      <c r="L43" s="18" t="n">
        <v>261270.02</v>
      </c>
      <c r="M43" s="18" t="n">
        <v>230547.37</v>
      </c>
      <c r="N43" s="18" t="n">
        <v>255094.06</v>
      </c>
      <c r="O43" s="18" t="n">
        <v>242199.22</v>
      </c>
      <c r="P43" s="37" t="n">
        <v>242199.22</v>
      </c>
      <c r="Q43" s="18" t="n">
        <v>276054.89</v>
      </c>
      <c r="R43" s="18" t="n">
        <v>247215.63</v>
      </c>
      <c r="S43" s="18" t="n">
        <v>283176.88</v>
      </c>
      <c r="T43" s="18" t="n">
        <v>292617.62</v>
      </c>
      <c r="U43" s="37" t="n">
        <v>292617.62</v>
      </c>
      <c r="V43" s="18" t="n">
        <v>300107.52</v>
      </c>
      <c r="W43" s="18" t="n">
        <v>291133.08</v>
      </c>
      <c r="X43" s="18" t="n">
        <v>294969.17</v>
      </c>
      <c r="Y43" s="18" t="n">
        <v>261292.72</v>
      </c>
      <c r="Z43" s="37" t="n">
        <v>261292.72</v>
      </c>
      <c r="AA43" s="18" t="n">
        <v>271244.07</v>
      </c>
      <c r="AB43" s="19" t="n">
        <v>258069.67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자본금</t>
        </is>
      </c>
      <c r="E44" s="18" t="n">
        <v>31224.73</v>
      </c>
      <c r="F44" s="37" t="n">
        <v>31224.73</v>
      </c>
      <c r="G44" s="18" t="n">
        <v>31224.73</v>
      </c>
      <c r="H44" s="18" t="n">
        <v>31224.73</v>
      </c>
      <c r="I44" s="18" t="n">
        <v>31224.73</v>
      </c>
      <c r="J44" s="18" t="n">
        <v>31224.73</v>
      </c>
      <c r="K44" s="37" t="n">
        <v>31224.73</v>
      </c>
      <c r="L44" s="18" t="n">
        <v>31224.73</v>
      </c>
      <c r="M44" s="18" t="n">
        <v>31224.73</v>
      </c>
      <c r="N44" s="18" t="n">
        <v>31224.73</v>
      </c>
      <c r="O44" s="18" t="n">
        <v>31224.73</v>
      </c>
      <c r="P44" s="37" t="n">
        <v>31224.73</v>
      </c>
      <c r="Q44" s="18" t="n">
        <v>31224.73</v>
      </c>
      <c r="R44" s="18" t="n">
        <v>31224.73</v>
      </c>
      <c r="S44" s="18" t="n">
        <v>31224.73</v>
      </c>
      <c r="T44" s="18" t="n">
        <v>31224.73</v>
      </c>
      <c r="U44" s="37" t="n">
        <v>31224.73</v>
      </c>
      <c r="V44" s="18" t="n">
        <v>31224.73</v>
      </c>
      <c r="W44" s="18" t="n">
        <v>31224.73</v>
      </c>
      <c r="X44" s="18" t="n">
        <v>31224.73</v>
      </c>
      <c r="Y44" s="18" t="n">
        <v>31224.73</v>
      </c>
      <c r="Z44" s="37" t="n">
        <v>31224.73</v>
      </c>
      <c r="AA44" s="18" t="n">
        <v>31224.73</v>
      </c>
      <c r="AB44" s="19" t="n">
        <v>31224.73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자본잉여금</t>
        </is>
      </c>
      <c r="E45" s="18" t="n">
        <v>369.53</v>
      </c>
      <c r="F45" s="37" t="n">
        <v>369.53</v>
      </c>
      <c r="G45" s="18" t="n">
        <v>552.77</v>
      </c>
      <c r="H45" s="18" t="n">
        <v>143.83</v>
      </c>
      <c r="I45" s="18" t="n">
        <v>143.83</v>
      </c>
      <c r="J45" s="18" t="n">
        <v>143.83</v>
      </c>
      <c r="K45" s="37" t="n">
        <v>143.83</v>
      </c>
      <c r="L45" s="18" t="n">
        <v>143.83</v>
      </c>
      <c r="M45" s="18" t="n">
        <v>143.83</v>
      </c>
      <c r="N45" s="18" t="n">
        <v>143.83</v>
      </c>
      <c r="O45" s="18" t="n">
        <v>143.83</v>
      </c>
      <c r="P45" s="37" t="n">
        <v>143.83</v>
      </c>
      <c r="Q45" s="18" t="n">
        <v>143.83</v>
      </c>
      <c r="R45" s="18" t="n">
        <v>143.83</v>
      </c>
      <c r="S45" s="18" t="n">
        <v>143.83</v>
      </c>
      <c r="T45" s="18" t="n">
        <v>143.83</v>
      </c>
      <c r="U45" s="37" t="n">
        <v>143.83</v>
      </c>
      <c r="V45" s="18" t="n">
        <v>143.83</v>
      </c>
      <c r="W45" s="18" t="n">
        <v>143.83</v>
      </c>
      <c r="X45" s="18" t="n">
        <v>143.83</v>
      </c>
      <c r="Y45" s="18" t="n">
        <v>1769.68</v>
      </c>
      <c r="Z45" s="37" t="n">
        <v>1769.68</v>
      </c>
      <c r="AA45" s="18" t="n">
        <v>1769.68</v>
      </c>
      <c r="AB45" s="19" t="n">
        <v>1769.68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기타자본</t>
        </is>
      </c>
      <c r="E46" s="18" t="n">
        <v>-8011.63</v>
      </c>
      <c r="F46" s="37" t="n">
        <v>-8011.63</v>
      </c>
      <c r="G46" s="18" t="n">
        <v>-7707.55</v>
      </c>
      <c r="H46" s="18" t="n">
        <v>-7298.61</v>
      </c>
      <c r="I46" s="18" t="n">
        <v>-7298.61</v>
      </c>
      <c r="J46" s="18" t="n">
        <v>-7298.61</v>
      </c>
      <c r="K46" s="37" t="n">
        <v>-7298.61</v>
      </c>
      <c r="L46" s="18" t="n">
        <v>-7298.61</v>
      </c>
      <c r="M46" s="18" t="n">
        <v>-7298.61</v>
      </c>
      <c r="N46" s="18" t="n">
        <v>-7298.61</v>
      </c>
      <c r="O46" s="18" t="n">
        <v>-7298.61</v>
      </c>
      <c r="P46" s="37" t="n">
        <v>-7298.61</v>
      </c>
      <c r="Q46" s="18" t="n">
        <v>1625.85</v>
      </c>
      <c r="R46" s="18" t="n">
        <v>1625.85</v>
      </c>
      <c r="S46" s="18" t="n">
        <v>1625.85</v>
      </c>
      <c r="T46" s="18" t="n">
        <v>1625.85</v>
      </c>
      <c r="U46" s="37" t="n">
        <v>1625.85</v>
      </c>
      <c r="V46" s="18" t="n">
        <v>1625.85</v>
      </c>
      <c r="W46" s="18" t="n">
        <v>1625.85</v>
      </c>
      <c r="X46" s="18" t="n">
        <v>1625.85</v>
      </c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기타포괄이익누계액</t>
        </is>
      </c>
      <c r="E47" s="18" t="n">
        <v>-33.42</v>
      </c>
      <c r="F47" s="37" t="n">
        <v>-33.42</v>
      </c>
      <c r="G47" s="18" t="n">
        <v>-33.42</v>
      </c>
      <c r="H47" s="18" t="n">
        <v>-67.27</v>
      </c>
      <c r="I47" s="18" t="n">
        <v>-33.42</v>
      </c>
      <c r="J47" s="18" t="n">
        <v>-202.27</v>
      </c>
      <c r="K47" s="37" t="n">
        <v>-202.27</v>
      </c>
      <c r="L47" s="18" t="n">
        <v>-202.27</v>
      </c>
      <c r="M47" s="18" t="n">
        <v>-202.27</v>
      </c>
      <c r="N47" s="18" t="n">
        <v>-202.27</v>
      </c>
      <c r="O47" s="18" t="n">
        <v>-202.27</v>
      </c>
      <c r="P47" s="37" t="n">
        <v>-202.27</v>
      </c>
      <c r="Q47" s="18" t="n">
        <v>-202.27</v>
      </c>
      <c r="R47" s="18" t="n">
        <v>-326.02</v>
      </c>
      <c r="S47" s="18" t="n">
        <v>-482.17</v>
      </c>
      <c r="T47" s="18" t="n">
        <v>-1850.85</v>
      </c>
      <c r="U47" s="37" t="n">
        <v>-1850.85</v>
      </c>
      <c r="V47" s="18" t="n">
        <v>-1374.51</v>
      </c>
      <c r="W47" s="18" t="n">
        <v>-1280.27</v>
      </c>
      <c r="X47" s="18" t="n">
        <v>-412.31</v>
      </c>
      <c r="Y47" s="18" t="n">
        <v>-1001.23</v>
      </c>
      <c r="Z47" s="37" t="n">
        <v>-1001.23</v>
      </c>
      <c r="AA47" s="18" t="n">
        <v>-1864.07</v>
      </c>
      <c r="AB47" s="19" t="n">
        <v>-1635.96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이익잉여금</t>
        </is>
      </c>
      <c r="E48" s="18" t="n">
        <v>136709.68</v>
      </c>
      <c r="F48" s="37" t="n">
        <v>136709.68</v>
      </c>
      <c r="G48" s="18" t="n">
        <v>121321.35</v>
      </c>
      <c r="H48" s="18" t="n">
        <v>132497.31</v>
      </c>
      <c r="I48" s="18" t="n">
        <v>135356.26</v>
      </c>
      <c r="J48" s="18" t="n">
        <v>141643.04</v>
      </c>
      <c r="K48" s="37" t="n">
        <v>141643.04</v>
      </c>
      <c r="L48" s="18" t="n">
        <v>127829.98</v>
      </c>
      <c r="M48" s="18" t="n">
        <v>141736.46</v>
      </c>
      <c r="N48" s="18" t="n">
        <v>144299.56</v>
      </c>
      <c r="O48" s="18" t="n">
        <v>158193.89</v>
      </c>
      <c r="P48" s="37" t="n">
        <v>158193.89</v>
      </c>
      <c r="Q48" s="18" t="n">
        <v>150119.64</v>
      </c>
      <c r="R48" s="18" t="n">
        <v>154244.53</v>
      </c>
      <c r="S48" s="18" t="n">
        <v>151114.17</v>
      </c>
      <c r="T48" s="18" t="n">
        <v>165918.64</v>
      </c>
      <c r="U48" s="37" t="n">
        <v>165918.64</v>
      </c>
      <c r="V48" s="18" t="n">
        <v>167279.02</v>
      </c>
      <c r="W48" s="18" t="n">
        <v>172186.35</v>
      </c>
      <c r="X48" s="18" t="n">
        <v>179094.49</v>
      </c>
      <c r="Y48" s="18" t="n">
        <v>198491.16</v>
      </c>
      <c r="Z48" s="37" t="n">
        <v>198491.16</v>
      </c>
      <c r="AA48" s="18" t="n">
        <v>197398.39</v>
      </c>
      <c r="AB48" s="19" t="n">
        <v>211121.71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자본총계</t>
        </is>
      </c>
      <c r="E49" s="18" t="n">
        <v>160258.89</v>
      </c>
      <c r="F49" s="37" t="n">
        <v>160258.89</v>
      </c>
      <c r="G49" s="18" t="n">
        <v>145357.87</v>
      </c>
      <c r="H49" s="18" t="n">
        <v>156499.99</v>
      </c>
      <c r="I49" s="18" t="n">
        <v>159392.79</v>
      </c>
      <c r="J49" s="18" t="n">
        <v>165510.73</v>
      </c>
      <c r="K49" s="37" t="n">
        <v>165510.73</v>
      </c>
      <c r="L49" s="18" t="n">
        <v>151697.66</v>
      </c>
      <c r="M49" s="18" t="n">
        <v>165604.14</v>
      </c>
      <c r="N49" s="18" t="n">
        <v>168167.24</v>
      </c>
      <c r="O49" s="18" t="n">
        <v>182061.57</v>
      </c>
      <c r="P49" s="37" t="n">
        <v>182061.57</v>
      </c>
      <c r="Q49" s="18" t="n">
        <v>182911.78</v>
      </c>
      <c r="R49" s="18" t="n">
        <v>186912.92</v>
      </c>
      <c r="S49" s="18" t="n">
        <v>183626.41</v>
      </c>
      <c r="T49" s="18" t="n">
        <v>197062.19</v>
      </c>
      <c r="U49" s="37" t="n">
        <v>197062.19</v>
      </c>
      <c r="V49" s="18" t="n">
        <v>198898.92</v>
      </c>
      <c r="W49" s="18" t="n">
        <v>203900.48</v>
      </c>
      <c r="X49" s="18" t="n">
        <v>211676.58</v>
      </c>
      <c r="Y49" s="18" t="n">
        <v>230484.34</v>
      </c>
      <c r="Z49" s="37" t="n">
        <v>230484.34</v>
      </c>
      <c r="AA49" s="18" t="n">
        <v>228528.73</v>
      </c>
      <c r="AB49" s="19" t="n">
        <v>242480.15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부채와자본총계</t>
        </is>
      </c>
      <c r="E50" s="18" t="n">
        <v>444397.56</v>
      </c>
      <c r="F50" s="37" t="n">
        <v>444397.56</v>
      </c>
      <c r="G50" s="18" t="n">
        <v>426559.39</v>
      </c>
      <c r="H50" s="18" t="n">
        <v>412720.03</v>
      </c>
      <c r="I50" s="18" t="n">
        <v>413293.23</v>
      </c>
      <c r="J50" s="18" t="n">
        <v>411876.75</v>
      </c>
      <c r="K50" s="37" t="n">
        <v>411876.75</v>
      </c>
      <c r="L50" s="18" t="n">
        <v>412967.68</v>
      </c>
      <c r="M50" s="18" t="n">
        <v>396151.51</v>
      </c>
      <c r="N50" s="18" t="n">
        <v>423261.31</v>
      </c>
      <c r="O50" s="18" t="n">
        <v>424260.79</v>
      </c>
      <c r="P50" s="37" t="n">
        <v>424260.79</v>
      </c>
      <c r="Q50" s="18" t="n">
        <v>458966.67</v>
      </c>
      <c r="R50" s="18" t="n">
        <v>434128.55</v>
      </c>
      <c r="S50" s="18" t="n">
        <v>466803.3</v>
      </c>
      <c r="T50" s="18" t="n">
        <v>489679.81</v>
      </c>
      <c r="U50" s="37" t="n">
        <v>489679.81</v>
      </c>
      <c r="V50" s="18" t="n">
        <v>499006.44</v>
      </c>
      <c r="W50" s="18" t="n">
        <v>495033.56</v>
      </c>
      <c r="X50" s="18" t="n">
        <v>506645.75</v>
      </c>
      <c r="Y50" s="18" t="n">
        <v>491777.06</v>
      </c>
      <c r="Z50" s="37" t="n">
        <v>491777.06</v>
      </c>
      <c r="AA50" s="18" t="n">
        <v>499772.8</v>
      </c>
      <c r="AB50" s="19" t="n">
        <v>500549.83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지배주주지분</t>
        </is>
      </c>
      <c r="E51" s="18" t="n">
        <v>160258.89</v>
      </c>
      <c r="F51" s="37" t="n">
        <v>160258.89</v>
      </c>
      <c r="G51" s="18" t="n">
        <v>145357.87</v>
      </c>
      <c r="H51" s="18" t="n">
        <v>156499.99</v>
      </c>
      <c r="I51" s="18" t="n">
        <v>159392.79</v>
      </c>
      <c r="J51" s="18" t="n">
        <v>165510.73</v>
      </c>
      <c r="K51" s="37" t="n">
        <v>165510.73</v>
      </c>
      <c r="L51" s="18" t="n">
        <v>151697.66</v>
      </c>
      <c r="M51" s="18" t="n">
        <v>165604.14</v>
      </c>
      <c r="N51" s="18" t="n">
        <v>168167.24</v>
      </c>
      <c r="O51" s="18" t="n">
        <v>182061.57</v>
      </c>
      <c r="P51" s="37" t="n">
        <v>182061.57</v>
      </c>
      <c r="Q51" s="18" t="n">
        <v>182911.78</v>
      </c>
      <c r="R51" s="18" t="n">
        <v>186912.92</v>
      </c>
      <c r="S51" s="18" t="n">
        <v>183626.41</v>
      </c>
      <c r="T51" s="18" t="n">
        <v>197062.19</v>
      </c>
      <c r="U51" s="37" t="n">
        <v>197062.19</v>
      </c>
      <c r="V51" s="18" t="n">
        <v>198898.92</v>
      </c>
      <c r="W51" s="18" t="n">
        <v>203900.48</v>
      </c>
      <c r="X51" s="18" t="n">
        <v>211676.58</v>
      </c>
      <c r="Y51" s="18" t="n">
        <v>230484.34</v>
      </c>
      <c r="Z51" s="37" t="n">
        <v>230484.34</v>
      </c>
      <c r="AA51" s="18" t="n">
        <v>228528.73</v>
      </c>
      <c r="AB51" s="19" t="n">
        <v>242480.15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총차입금</t>
        </is>
      </c>
      <c r="E52" s="18" t="n">
        <v>177000</v>
      </c>
      <c r="F52" s="37" t="n">
        <v>177000</v>
      </c>
      <c r="G52" s="18" t="n">
        <v>201000</v>
      </c>
      <c r="H52" s="18" t="n">
        <v>198000</v>
      </c>
      <c r="I52" s="18" t="n">
        <v>138013</v>
      </c>
      <c r="J52" s="18" t="n">
        <v>195300</v>
      </c>
      <c r="K52" s="37" t="n">
        <v>195300</v>
      </c>
      <c r="L52" s="18" t="n">
        <v>194700</v>
      </c>
      <c r="M52" s="18" t="n">
        <v>171100</v>
      </c>
      <c r="N52" s="18" t="n">
        <v>187500</v>
      </c>
      <c r="O52" s="18" t="n">
        <v>176900</v>
      </c>
      <c r="P52" s="37" t="n">
        <v>176900</v>
      </c>
      <c r="Q52" s="18" t="n">
        <v>176300</v>
      </c>
      <c r="R52" s="18" t="n">
        <v>170700</v>
      </c>
      <c r="S52" s="18" t="n">
        <v>207500</v>
      </c>
      <c r="T52" s="18" t="n">
        <v>211950</v>
      </c>
      <c r="U52" s="37" t="n">
        <v>211950</v>
      </c>
      <c r="V52" s="18" t="n">
        <v>210600</v>
      </c>
      <c r="W52" s="18" t="n">
        <v>209250</v>
      </c>
      <c r="X52" s="18" t="n">
        <v>207900</v>
      </c>
      <c r="Y52" s="18" t="n">
        <v>182370</v>
      </c>
      <c r="Z52" s="37" t="n">
        <v>182370</v>
      </c>
      <c r="AA52" s="18" t="n">
        <v>181320</v>
      </c>
      <c r="AB52" s="19" t="n">
        <v>180270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순차입금</t>
        </is>
      </c>
      <c r="E53" s="18" t="n">
        <v>150387.9</v>
      </c>
      <c r="F53" s="37" t="n">
        <v>150387.9</v>
      </c>
      <c r="G53" s="18" t="n">
        <v>171641.71</v>
      </c>
      <c r="H53" s="18" t="n">
        <v>189772.76</v>
      </c>
      <c r="I53" s="18" t="n">
        <v>113534.09</v>
      </c>
      <c r="J53" s="18" t="n">
        <v>155182.38</v>
      </c>
      <c r="K53" s="37" t="n">
        <v>155182.38</v>
      </c>
      <c r="L53" s="18" t="n">
        <v>176424.64</v>
      </c>
      <c r="M53" s="18" t="n">
        <v>148451.94</v>
      </c>
      <c r="N53" s="18" t="n">
        <v>164824.84</v>
      </c>
      <c r="O53" s="18" t="n">
        <v>144380.75</v>
      </c>
      <c r="P53" s="37" t="n">
        <v>144380.75</v>
      </c>
      <c r="Q53" s="18" t="n">
        <v>129587.01</v>
      </c>
      <c r="R53" s="18" t="n">
        <v>149550.63</v>
      </c>
      <c r="S53" s="18" t="n">
        <v>154945.62</v>
      </c>
      <c r="T53" s="18" t="n">
        <v>167081.14</v>
      </c>
      <c r="U53" s="37" t="n">
        <v>167081.14</v>
      </c>
      <c r="V53" s="18" t="n">
        <v>167568.2</v>
      </c>
      <c r="W53" s="18" t="n">
        <v>148093.14</v>
      </c>
      <c r="X53" s="18" t="n">
        <v>131271.33</v>
      </c>
      <c r="Y53" s="18" t="n">
        <v>144439.39</v>
      </c>
      <c r="Z53" s="37" t="n">
        <v>144439.39</v>
      </c>
      <c r="AA53" s="18" t="n">
        <v>124090.35</v>
      </c>
      <c r="AB53" s="19" t="n">
        <v>132549.46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이자발생자산</t>
        </is>
      </c>
      <c r="E54" s="18" t="n">
        <v>75930.03</v>
      </c>
      <c r="F54" s="37" t="n">
        <v>75930.03</v>
      </c>
      <c r="G54" s="18" t="n">
        <v>30550.56</v>
      </c>
      <c r="H54" s="18" t="n">
        <v>27011.68</v>
      </c>
      <c r="I54" s="18" t="n">
        <v>25761.18</v>
      </c>
      <c r="J54" s="18" t="n">
        <v>41225.33</v>
      </c>
      <c r="K54" s="37" t="n">
        <v>41225.33</v>
      </c>
      <c r="L54" s="18" t="n">
        <v>24428.07</v>
      </c>
      <c r="M54" s="18" t="n">
        <v>28845.77</v>
      </c>
      <c r="N54" s="18" t="n">
        <v>28917.87</v>
      </c>
      <c r="O54" s="18" t="n">
        <v>38806.96</v>
      </c>
      <c r="P54" s="37" t="n">
        <v>38806.96</v>
      </c>
      <c r="Q54" s="18" t="n">
        <v>53045.7</v>
      </c>
      <c r="R54" s="18" t="n">
        <v>34072.11</v>
      </c>
      <c r="S54" s="18" t="n">
        <v>65061.21</v>
      </c>
      <c r="T54" s="18" t="n">
        <v>57568.23</v>
      </c>
      <c r="U54" s="37" t="n">
        <v>57568.23</v>
      </c>
      <c r="V54" s="18" t="n">
        <v>56965.39</v>
      </c>
      <c r="W54" s="18" t="n">
        <v>75792.5</v>
      </c>
      <c r="X54" s="18" t="n">
        <v>98200.57000000001</v>
      </c>
      <c r="Y54" s="18" t="n">
        <v>60210.58</v>
      </c>
      <c r="Z54" s="37" t="n">
        <v>60210.58</v>
      </c>
      <c r="AA54" s="18" t="n">
        <v>80555.39</v>
      </c>
      <c r="AB54" s="19" t="n">
        <v>73937.92999999999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기타유동부채</t>
        </is>
      </c>
      <c r="F55" s="9" t="n"/>
      <c r="G55" s="18" t="n">
        <v>406.55</v>
      </c>
      <c r="H55" s="18" t="n">
        <v>921.61</v>
      </c>
      <c r="I55" s="18" t="n">
        <v>1067.23</v>
      </c>
      <c r="J55" s="18" t="n">
        <v>1086.56</v>
      </c>
      <c r="K55" s="37" t="n">
        <v>1086.56</v>
      </c>
      <c r="L55" s="18" t="n">
        <v>1211.63</v>
      </c>
      <c r="M55" s="18" t="n">
        <v>1016.25</v>
      </c>
      <c r="N55" s="18" t="n">
        <v>676.36</v>
      </c>
      <c r="O55" s="18" t="n">
        <v>397.47</v>
      </c>
      <c r="P55" s="37" t="n">
        <v>397.47</v>
      </c>
      <c r="Q55" s="18" t="n">
        <v>358.56</v>
      </c>
      <c r="R55" s="18" t="n">
        <v>184.11</v>
      </c>
      <c r="S55" s="18" t="n">
        <v>41.25</v>
      </c>
      <c r="T55" s="18" t="n">
        <v>153.91</v>
      </c>
      <c r="U55" s="37" t="n">
        <v>153.91</v>
      </c>
      <c r="V55" s="18" t="n">
        <v>108.17</v>
      </c>
      <c r="W55" s="18" t="n">
        <v>73.3</v>
      </c>
      <c r="X55" s="18" t="n">
        <v>1283.71</v>
      </c>
      <c r="Y55" s="18" t="n">
        <v>1000.71</v>
      </c>
      <c r="Z55" s="37" t="n">
        <v>1000.71</v>
      </c>
      <c r="AA55" s="18" t="n">
        <v>634.09</v>
      </c>
      <c r="AB55" s="19" t="n">
        <v>384.28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계약자산</t>
        </is>
      </c>
      <c r="F56" s="9" t="n"/>
      <c r="H56" s="18" t="n">
        <v>3739.63</v>
      </c>
      <c r="I56" s="18" t="n">
        <v>3739.63</v>
      </c>
      <c r="K56" s="9" t="n"/>
      <c r="L56" s="18" t="n">
        <v>444.7</v>
      </c>
      <c r="P56" s="9" t="n"/>
      <c r="T56" s="18" t="n">
        <v>4985.38</v>
      </c>
      <c r="U56" s="37" t="n">
        <v>4985.38</v>
      </c>
      <c r="V56" s="18" t="n">
        <v>0</v>
      </c>
      <c r="W56" s="18" t="n">
        <v>3878.74</v>
      </c>
      <c r="X56" s="18" t="n">
        <v>0</v>
      </c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장기매입채무및기타채무</t>
        </is>
      </c>
      <c r="F57" s="9" t="n"/>
      <c r="I57" s="18" t="n">
        <v>61300</v>
      </c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매출액(수익)</t>
        </is>
      </c>
      <c r="E58" s="18" t="n">
        <v>64557.81</v>
      </c>
      <c r="F58" s="9" t="n"/>
      <c r="G58" s="18" t="n">
        <v>128719.92</v>
      </c>
      <c r="H58" s="18" t="n">
        <v>80273.87</v>
      </c>
      <c r="I58" s="18" t="n">
        <v>68805.25999999999</v>
      </c>
      <c r="J58" s="18" t="n">
        <v>85266.78999999999</v>
      </c>
      <c r="K58" s="37" t="n">
        <v>363065.84</v>
      </c>
      <c r="L58" s="18" t="n">
        <v>60148.33</v>
      </c>
      <c r="M58" s="18" t="n">
        <v>110127.93</v>
      </c>
      <c r="N58" s="18" t="n">
        <v>75583.02</v>
      </c>
      <c r="O58" s="18" t="n">
        <v>101980.32</v>
      </c>
      <c r="P58" s="37" t="n">
        <v>347839.6</v>
      </c>
      <c r="Q58" s="18" t="n">
        <v>78440.09</v>
      </c>
      <c r="R58" s="18" t="n">
        <v>70848.27</v>
      </c>
      <c r="S58" s="18" t="n">
        <v>65466.35</v>
      </c>
      <c r="T58" s="18" t="n">
        <v>96902.03</v>
      </c>
      <c r="U58" s="37" t="n">
        <v>311656.74</v>
      </c>
      <c r="V58" s="18" t="n">
        <v>90047.77</v>
      </c>
      <c r="W58" s="18" t="n">
        <v>88154.49000000001</v>
      </c>
      <c r="X58" s="18" t="n">
        <v>80589.05</v>
      </c>
      <c r="Y58" s="18" t="n">
        <v>107338.84</v>
      </c>
      <c r="Z58" s="37" t="n">
        <v>366130.15</v>
      </c>
      <c r="AA58" s="18" t="n">
        <v>78164.42999999999</v>
      </c>
      <c r="AB58" s="19" t="n">
        <v>83367.47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매출원가</t>
        </is>
      </c>
      <c r="E59" s="18" t="n">
        <v>73165.17999999999</v>
      </c>
      <c r="F59" s="9" t="n"/>
      <c r="G59" s="18" t="n">
        <v>131290.28</v>
      </c>
      <c r="H59" s="18" t="n">
        <v>64379.4</v>
      </c>
      <c r="I59" s="18" t="n">
        <v>63132.01</v>
      </c>
      <c r="J59" s="18" t="n">
        <v>68208.09</v>
      </c>
      <c r="K59" s="37" t="n">
        <v>327009.78</v>
      </c>
      <c r="L59" s="18" t="n">
        <v>62569.39</v>
      </c>
      <c r="M59" s="18" t="n">
        <v>87367.14</v>
      </c>
      <c r="N59" s="18" t="n">
        <v>77529.17999999999</v>
      </c>
      <c r="O59" s="18" t="n">
        <v>77164.84</v>
      </c>
      <c r="P59" s="37" t="n">
        <v>304630.55</v>
      </c>
      <c r="Q59" s="18" t="n">
        <v>70833.09</v>
      </c>
      <c r="R59" s="18" t="n">
        <v>60445.65</v>
      </c>
      <c r="S59" s="18" t="n">
        <v>64259.24</v>
      </c>
      <c r="T59" s="18" t="n">
        <v>73053.14</v>
      </c>
      <c r="U59" s="37" t="n">
        <v>268591.12</v>
      </c>
      <c r="V59" s="18" t="n">
        <v>68889.17999999999</v>
      </c>
      <c r="W59" s="18" t="n">
        <v>75779.87</v>
      </c>
      <c r="X59" s="18" t="n">
        <v>68334.02</v>
      </c>
      <c r="Y59" s="18" t="n">
        <v>72436.69</v>
      </c>
      <c r="Z59" s="37" t="n">
        <v>285439.76</v>
      </c>
      <c r="AA59" s="18" t="n">
        <v>62848.29</v>
      </c>
      <c r="AB59" s="19" t="n">
        <v>64286.28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매출총이익</t>
        </is>
      </c>
      <c r="E60" s="18" t="n">
        <v>-8607.379999999999</v>
      </c>
      <c r="F60" s="9" t="n"/>
      <c r="G60" s="18" t="n">
        <v>-2570.36</v>
      </c>
      <c r="H60" s="18" t="n">
        <v>15894.47</v>
      </c>
      <c r="I60" s="18" t="n">
        <v>5673.25</v>
      </c>
      <c r="J60" s="18" t="n">
        <v>17058.7</v>
      </c>
      <c r="K60" s="37" t="n">
        <v>36056.06</v>
      </c>
      <c r="L60" s="18" t="n">
        <v>-2421.06</v>
      </c>
      <c r="M60" s="18" t="n">
        <v>22760.79</v>
      </c>
      <c r="N60" s="18" t="n">
        <v>-1946.16</v>
      </c>
      <c r="O60" s="18" t="n">
        <v>24815.48</v>
      </c>
      <c r="P60" s="37" t="n">
        <v>43209.05</v>
      </c>
      <c r="Q60" s="18" t="n">
        <v>7607.01</v>
      </c>
      <c r="R60" s="18" t="n">
        <v>10402.63</v>
      </c>
      <c r="S60" s="18" t="n">
        <v>1207.11</v>
      </c>
      <c r="T60" s="18" t="n">
        <v>23848.89</v>
      </c>
      <c r="U60" s="37" t="n">
        <v>43065.64</v>
      </c>
      <c r="V60" s="18" t="n">
        <v>21158.59</v>
      </c>
      <c r="W60" s="18" t="n">
        <v>12374.62</v>
      </c>
      <c r="X60" s="18" t="n">
        <v>12255.03</v>
      </c>
      <c r="Y60" s="18" t="n">
        <v>34902.14</v>
      </c>
      <c r="Z60" s="37" t="n">
        <v>80690.38</v>
      </c>
      <c r="AA60" s="18" t="n">
        <v>15316.14</v>
      </c>
      <c r="AB60" s="19" t="n">
        <v>19081.19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판관비</t>
        </is>
      </c>
      <c r="E61" s="18" t="n">
        <v>3602.63</v>
      </c>
      <c r="F61" s="9" t="n"/>
      <c r="G61" s="18" t="n">
        <v>3876.34</v>
      </c>
      <c r="H61" s="18" t="n">
        <v>4326.19</v>
      </c>
      <c r="I61" s="18" t="n">
        <v>3241.07</v>
      </c>
      <c r="J61" s="18" t="n">
        <v>2356.98</v>
      </c>
      <c r="K61" s="37" t="n">
        <v>13800.58</v>
      </c>
      <c r="L61" s="18" t="n">
        <v>3120.14</v>
      </c>
      <c r="M61" s="18" t="n">
        <v>3840.27</v>
      </c>
      <c r="N61" s="18" t="n">
        <v>3876.97</v>
      </c>
      <c r="O61" s="18" t="n">
        <v>3891.74</v>
      </c>
      <c r="P61" s="37" t="n">
        <v>14729.12</v>
      </c>
      <c r="Q61" s="18" t="n">
        <v>3613.4</v>
      </c>
      <c r="R61" s="18" t="n">
        <v>3416.56</v>
      </c>
      <c r="S61" s="18" t="n">
        <v>3389.26</v>
      </c>
      <c r="T61" s="18" t="n">
        <v>3423.88</v>
      </c>
      <c r="U61" s="37" t="n">
        <v>13843.1</v>
      </c>
      <c r="V61" s="18" t="n">
        <v>4064.28</v>
      </c>
      <c r="W61" s="18" t="n">
        <v>4495.99</v>
      </c>
      <c r="X61" s="18" t="n">
        <v>3560.52</v>
      </c>
      <c r="Y61" s="18" t="n">
        <v>4778.43</v>
      </c>
      <c r="Z61" s="37" t="n">
        <v>16899.22</v>
      </c>
      <c r="AA61" s="18" t="n">
        <v>4677.16</v>
      </c>
      <c r="AB61" s="19" t="n">
        <v>4206.11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영업이익</t>
        </is>
      </c>
      <c r="E62" s="18" t="n">
        <v>-12210.01</v>
      </c>
      <c r="F62" s="9" t="n"/>
      <c r="G62" s="18" t="n">
        <v>-6446.7</v>
      </c>
      <c r="H62" s="18" t="n">
        <v>11568.28</v>
      </c>
      <c r="I62" s="18" t="n">
        <v>2432.18</v>
      </c>
      <c r="J62" s="18" t="n">
        <v>14701.71</v>
      </c>
      <c r="K62" s="37" t="n">
        <v>22255.47</v>
      </c>
      <c r="L62" s="18" t="n">
        <v>-5541.2</v>
      </c>
      <c r="M62" s="18" t="n">
        <v>18920.52</v>
      </c>
      <c r="N62" s="18" t="n">
        <v>-5823.13</v>
      </c>
      <c r="O62" s="18" t="n">
        <v>20923.74</v>
      </c>
      <c r="P62" s="37" t="n">
        <v>28479.93</v>
      </c>
      <c r="Q62" s="18" t="n">
        <v>3993.61</v>
      </c>
      <c r="R62" s="18" t="n">
        <v>6986.06</v>
      </c>
      <c r="S62" s="18" t="n">
        <v>-2182.16</v>
      </c>
      <c r="T62" s="18" t="n">
        <v>20425.01</v>
      </c>
      <c r="U62" s="37" t="n">
        <v>29222.52</v>
      </c>
      <c r="V62" s="18" t="n">
        <v>17094.31</v>
      </c>
      <c r="W62" s="18" t="n">
        <v>7878.63</v>
      </c>
      <c r="X62" s="18" t="n">
        <v>8694.5</v>
      </c>
      <c r="Y62" s="18" t="n">
        <v>30123.71</v>
      </c>
      <c r="Z62" s="37" t="n">
        <v>63791.15</v>
      </c>
      <c r="AA62" s="18" t="n">
        <v>10638.98</v>
      </c>
      <c r="AB62" s="19" t="n">
        <v>14875.09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기타영업외손익</t>
        </is>
      </c>
      <c r="E63" s="18" t="n">
        <v>-127.43</v>
      </c>
      <c r="F63" s="9" t="n"/>
      <c r="G63" s="18" t="n">
        <v>-68.64</v>
      </c>
      <c r="H63" s="18" t="n">
        <v>37.94</v>
      </c>
      <c r="I63" s="18" t="n">
        <v>910.62</v>
      </c>
      <c r="J63" s="18" t="n">
        <v>-2610.46</v>
      </c>
      <c r="K63" s="37" t="n">
        <v>-1730.54</v>
      </c>
      <c r="L63" s="18" t="n">
        <v>-179.93</v>
      </c>
      <c r="M63" s="18" t="n">
        <v>254.75</v>
      </c>
      <c r="N63" s="18" t="n">
        <v>10304.35</v>
      </c>
      <c r="O63" s="18" t="n">
        <v>1574.53</v>
      </c>
      <c r="P63" s="37" t="n">
        <v>11953.7</v>
      </c>
      <c r="Q63" s="18" t="n">
        <v>-47.75</v>
      </c>
      <c r="R63" s="18" t="n">
        <v>206.24</v>
      </c>
      <c r="S63" s="18" t="n">
        <v>90.59</v>
      </c>
      <c r="T63" s="18" t="n">
        <v>109.99</v>
      </c>
      <c r="U63" s="37" t="n">
        <v>359.07</v>
      </c>
      <c r="V63" s="18" t="n">
        <v>195.81</v>
      </c>
      <c r="W63" s="18" t="n">
        <v>61.92</v>
      </c>
      <c r="X63" s="18" t="n">
        <v>57.59</v>
      </c>
      <c r="Y63" s="18" t="n">
        <v>-5813.95</v>
      </c>
      <c r="Z63" s="37" t="n">
        <v>-5498.63</v>
      </c>
      <c r="AA63" s="18" t="n">
        <v>-37.85</v>
      </c>
      <c r="AB63" s="19" t="n">
        <v>-1216.33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기타영업외수익</t>
        </is>
      </c>
      <c r="E64" s="18" t="n">
        <v>945.77</v>
      </c>
      <c r="F64" s="9" t="n"/>
      <c r="G64" s="18" t="n">
        <v>56.01</v>
      </c>
      <c r="H64" s="18" t="n">
        <v>153.92</v>
      </c>
      <c r="I64" s="18" t="n">
        <v>979.62</v>
      </c>
      <c r="J64" s="18" t="n">
        <v>-685.39</v>
      </c>
      <c r="K64" s="37" t="n">
        <v>504.16</v>
      </c>
      <c r="L64" s="18" t="n">
        <v>76.53</v>
      </c>
      <c r="M64" s="18" t="n">
        <v>248.25</v>
      </c>
      <c r="N64" s="18" t="n">
        <v>10340.31</v>
      </c>
      <c r="O64" s="18" t="n">
        <v>1570.96</v>
      </c>
      <c r="P64" s="37" t="n">
        <v>12236.05</v>
      </c>
      <c r="Q64" s="18" t="n">
        <v>317.14</v>
      </c>
      <c r="R64" s="18" t="n">
        <v>207.98</v>
      </c>
      <c r="S64" s="18" t="n">
        <v>93.92</v>
      </c>
      <c r="T64" s="18" t="n">
        <v>113.62</v>
      </c>
      <c r="U64" s="37" t="n">
        <v>732.66</v>
      </c>
      <c r="V64" s="18" t="n">
        <v>349.18</v>
      </c>
      <c r="W64" s="18" t="n">
        <v>167.04</v>
      </c>
      <c r="X64" s="18" t="n">
        <v>74.13</v>
      </c>
      <c r="Y64" s="18" t="n">
        <v>42.58</v>
      </c>
      <c r="Z64" s="37" t="n">
        <v>632.9299999999999</v>
      </c>
      <c r="AA64" s="18" t="n">
        <v>65.34999999999999</v>
      </c>
      <c r="AB64" s="19" t="n">
        <v>71.5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기타영업외비용</t>
        </is>
      </c>
      <c r="E65" s="18" t="n">
        <v>1073.19</v>
      </c>
      <c r="F65" s="9" t="n"/>
      <c r="G65" s="18" t="n">
        <v>124.65</v>
      </c>
      <c r="H65" s="18" t="n">
        <v>115.98</v>
      </c>
      <c r="I65" s="18" t="n">
        <v>69</v>
      </c>
      <c r="J65" s="18" t="n">
        <v>1925.07</v>
      </c>
      <c r="K65" s="37" t="n">
        <v>2234.7</v>
      </c>
      <c r="L65" s="18" t="n">
        <v>256.46</v>
      </c>
      <c r="M65" s="18" t="n">
        <v>-6.5</v>
      </c>
      <c r="N65" s="18" t="n">
        <v>35.97</v>
      </c>
      <c r="O65" s="18" t="n">
        <v>-3.57</v>
      </c>
      <c r="P65" s="37" t="n">
        <v>282.36</v>
      </c>
      <c r="Q65" s="18" t="n">
        <v>364.89</v>
      </c>
      <c r="R65" s="18" t="n">
        <v>1.74</v>
      </c>
      <c r="S65" s="18" t="n">
        <v>3.32</v>
      </c>
      <c r="T65" s="18" t="n">
        <v>3.63</v>
      </c>
      <c r="U65" s="37" t="n">
        <v>373.58</v>
      </c>
      <c r="V65" s="18" t="n">
        <v>153.37</v>
      </c>
      <c r="W65" s="18" t="n">
        <v>105.12</v>
      </c>
      <c r="X65" s="18" t="n">
        <v>16.54</v>
      </c>
      <c r="Y65" s="18" t="n">
        <v>5856.53</v>
      </c>
      <c r="Z65" s="37" t="n">
        <v>6131.56</v>
      </c>
      <c r="AA65" s="18" t="n">
        <v>103.2</v>
      </c>
      <c r="AB65" s="19" t="n">
        <v>1287.83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금융손익</t>
        </is>
      </c>
      <c r="E66" s="18" t="n">
        <v>-738.75</v>
      </c>
      <c r="F66" s="9" t="n"/>
      <c r="G66" s="18" t="n">
        <v>-2664.54</v>
      </c>
      <c r="H66" s="18" t="n">
        <v>2520.92</v>
      </c>
      <c r="I66" s="18" t="n">
        <v>473.39</v>
      </c>
      <c r="J66" s="18" t="n">
        <v>-4760.78</v>
      </c>
      <c r="K66" s="37" t="n">
        <v>-4431.01</v>
      </c>
      <c r="L66" s="18" t="n">
        <v>-1008.06</v>
      </c>
      <c r="M66" s="18" t="n">
        <v>-1725.58</v>
      </c>
      <c r="N66" s="18" t="n">
        <v>-1620.24</v>
      </c>
      <c r="O66" s="18" t="n">
        <v>-2262.35</v>
      </c>
      <c r="P66" s="37" t="n">
        <v>-6616.23</v>
      </c>
      <c r="Q66" s="18" t="n">
        <v>-1214.64</v>
      </c>
      <c r="R66" s="18" t="n">
        <v>-1526.59</v>
      </c>
      <c r="S66" s="18" t="n">
        <v>-1855.91</v>
      </c>
      <c r="T66" s="18" t="n">
        <v>-1098.5</v>
      </c>
      <c r="U66" s="37" t="n">
        <v>-5695.64</v>
      </c>
      <c r="V66" s="18" t="n">
        <v>-502.12</v>
      </c>
      <c r="W66" s="18" t="n">
        <v>-1293.68</v>
      </c>
      <c r="X66" s="18" t="n">
        <v>168.66</v>
      </c>
      <c r="Y66" s="18" t="n">
        <v>1284.68</v>
      </c>
      <c r="Z66" s="37" t="n">
        <v>-342.46</v>
      </c>
      <c r="AA66" s="18" t="n">
        <v>5269.61</v>
      </c>
      <c r="AB66" s="19" t="n">
        <v>3973.19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금융수익</t>
        </is>
      </c>
      <c r="E67" s="18" t="n">
        <v>285.24</v>
      </c>
      <c r="F67" s="9" t="n"/>
      <c r="G67" s="18" t="n">
        <v>880.65</v>
      </c>
      <c r="H67" s="18" t="n">
        <v>2015.26</v>
      </c>
      <c r="I67" s="18" t="n">
        <v>1793.78</v>
      </c>
      <c r="J67" s="18" t="n">
        <v>550.49</v>
      </c>
      <c r="K67" s="37" t="n">
        <v>5240.18</v>
      </c>
      <c r="L67" s="18" t="n">
        <v>1235.1</v>
      </c>
      <c r="M67" s="18" t="n">
        <v>487.59</v>
      </c>
      <c r="N67" s="18" t="n">
        <v>642.37</v>
      </c>
      <c r="O67" s="18" t="n">
        <v>292.93</v>
      </c>
      <c r="P67" s="37" t="n">
        <v>2657.99</v>
      </c>
      <c r="Q67" s="18" t="n">
        <v>1007.93</v>
      </c>
      <c r="R67" s="18" t="n">
        <v>916.45</v>
      </c>
      <c r="S67" s="18" t="n">
        <v>800.92</v>
      </c>
      <c r="T67" s="18" t="n">
        <v>1501.25</v>
      </c>
      <c r="U67" s="37" t="n">
        <v>4226.55</v>
      </c>
      <c r="V67" s="18" t="n">
        <v>1681.11</v>
      </c>
      <c r="W67" s="18" t="n">
        <v>1374.9</v>
      </c>
      <c r="X67" s="18" t="n">
        <v>1994.24</v>
      </c>
      <c r="Y67" s="18" t="n">
        <v>3426.25</v>
      </c>
      <c r="Z67" s="37" t="n">
        <v>8476.5</v>
      </c>
      <c r="AA67" s="18" t="n">
        <v>7068.63</v>
      </c>
      <c r="AB67" s="19" t="n">
        <v>5446.73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금융비용</t>
        </is>
      </c>
      <c r="E68" s="18" t="n">
        <v>1023.99</v>
      </c>
      <c r="F68" s="9" t="n"/>
      <c r="G68" s="18" t="n">
        <v>3545.19</v>
      </c>
      <c r="H68" s="18" t="n">
        <v>-505.65</v>
      </c>
      <c r="I68" s="18" t="n">
        <v>1320.39</v>
      </c>
      <c r="J68" s="18" t="n">
        <v>5311.27</v>
      </c>
      <c r="K68" s="37" t="n">
        <v>9671.200000000001</v>
      </c>
      <c r="L68" s="18" t="n">
        <v>2243.16</v>
      </c>
      <c r="M68" s="18" t="n">
        <v>2213.17</v>
      </c>
      <c r="N68" s="18" t="n">
        <v>2262.61</v>
      </c>
      <c r="O68" s="18" t="n">
        <v>2555.28</v>
      </c>
      <c r="P68" s="37" t="n">
        <v>9274.219999999999</v>
      </c>
      <c r="Q68" s="18" t="n">
        <v>2222.57</v>
      </c>
      <c r="R68" s="18" t="n">
        <v>2443.05</v>
      </c>
      <c r="S68" s="18" t="n">
        <v>2656.82</v>
      </c>
      <c r="T68" s="18" t="n">
        <v>2599.75</v>
      </c>
      <c r="U68" s="37" t="n">
        <v>9922.190000000001</v>
      </c>
      <c r="V68" s="18" t="n">
        <v>2183.23</v>
      </c>
      <c r="W68" s="18" t="n">
        <v>2668.58</v>
      </c>
      <c r="X68" s="18" t="n">
        <v>1825.58</v>
      </c>
      <c r="Y68" s="18" t="n">
        <v>2141.57</v>
      </c>
      <c r="Z68" s="37" t="n">
        <v>8818.959999999999</v>
      </c>
      <c r="AA68" s="18" t="n">
        <v>1799.01</v>
      </c>
      <c r="AB68" s="19" t="n">
        <v>1473.54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법인세비용차감전계속사업이익</t>
        </is>
      </c>
      <c r="E69" s="18" t="n">
        <v>-13076.18</v>
      </c>
      <c r="F69" s="9" t="n"/>
      <c r="G69" s="18" t="n">
        <v>-9179.870000000001</v>
      </c>
      <c r="H69" s="18" t="n">
        <v>14127.13</v>
      </c>
      <c r="I69" s="18" t="n">
        <v>3816.19</v>
      </c>
      <c r="J69" s="18" t="n">
        <v>7330.48</v>
      </c>
      <c r="K69" s="37" t="n">
        <v>16093.93</v>
      </c>
      <c r="L69" s="18" t="n">
        <v>-6729.18</v>
      </c>
      <c r="M69" s="18" t="n">
        <v>17449.69</v>
      </c>
      <c r="N69" s="18" t="n">
        <v>2860.98</v>
      </c>
      <c r="O69" s="18" t="n">
        <v>20235.91</v>
      </c>
      <c r="P69" s="37" t="n">
        <v>33817.4</v>
      </c>
      <c r="Q69" s="18" t="n">
        <v>2731.21</v>
      </c>
      <c r="R69" s="18" t="n">
        <v>5665.71</v>
      </c>
      <c r="S69" s="18" t="n">
        <v>-3947.47</v>
      </c>
      <c r="T69" s="18" t="n">
        <v>19436.5</v>
      </c>
      <c r="U69" s="37" t="n">
        <v>23885.95</v>
      </c>
      <c r="V69" s="18" t="n">
        <v>16788</v>
      </c>
      <c r="W69" s="18" t="n">
        <v>6646.87</v>
      </c>
      <c r="X69" s="18" t="n">
        <v>8920.75</v>
      </c>
      <c r="Y69" s="18" t="n">
        <v>25594.45</v>
      </c>
      <c r="Z69" s="37" t="n">
        <v>57950.07</v>
      </c>
      <c r="AA69" s="18" t="n">
        <v>15870.74</v>
      </c>
      <c r="AB69" s="19" t="n">
        <v>17631.95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</t>
        </is>
      </c>
      <c r="E70" s="18" t="n">
        <v>-2072.23</v>
      </c>
      <c r="F70" s="9" t="n"/>
      <c r="G70" s="18" t="n">
        <v>-1981.53</v>
      </c>
      <c r="H70" s="18" t="n">
        <v>3422.69</v>
      </c>
      <c r="I70" s="18" t="n">
        <v>886.03</v>
      </c>
      <c r="J70" s="18" t="n">
        <v>813.37</v>
      </c>
      <c r="K70" s="37" t="n">
        <v>3140.56</v>
      </c>
      <c r="L70" s="18" t="n">
        <v>-1538.46</v>
      </c>
      <c r="M70" s="18" t="n">
        <v>3776.05</v>
      </c>
      <c r="N70" s="18" t="n">
        <v>584.4400000000001</v>
      </c>
      <c r="O70" s="18" t="n">
        <v>4278.56</v>
      </c>
      <c r="P70" s="37" t="n">
        <v>7100.59</v>
      </c>
      <c r="Q70" s="18" t="n">
        <v>199.78</v>
      </c>
      <c r="R70" s="18" t="n">
        <v>1530.22</v>
      </c>
      <c r="S70" s="18" t="n">
        <v>-816.5599999999999</v>
      </c>
      <c r="T70" s="18" t="n">
        <v>4537.28</v>
      </c>
      <c r="U70" s="37" t="n">
        <v>5450.72</v>
      </c>
      <c r="V70" s="18" t="n">
        <v>3762.53</v>
      </c>
      <c r="W70" s="18" t="n">
        <v>1915.15</v>
      </c>
      <c r="X70" s="18" t="n">
        <v>2393.54</v>
      </c>
      <c r="Y70" s="18" t="n">
        <v>6375.23</v>
      </c>
      <c r="Z70" s="37" t="n">
        <v>14446.45</v>
      </c>
      <c r="AA70" s="18" t="n">
        <v>3895.44</v>
      </c>
      <c r="AB70" s="19" t="n">
        <v>4099.32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당기순이익</t>
        </is>
      </c>
      <c r="E71" s="18" t="n">
        <v>-11003.96</v>
      </c>
      <c r="F71" s="9" t="n"/>
      <c r="G71" s="18" t="n">
        <v>-7198.35</v>
      </c>
      <c r="H71" s="18" t="n">
        <v>10704.45</v>
      </c>
      <c r="I71" s="18" t="n">
        <v>2930.16</v>
      </c>
      <c r="J71" s="18" t="n">
        <v>6517.1</v>
      </c>
      <c r="K71" s="37" t="n">
        <v>12953.36</v>
      </c>
      <c r="L71" s="18" t="n">
        <v>-5190.72</v>
      </c>
      <c r="M71" s="18" t="n">
        <v>13673.63</v>
      </c>
      <c r="N71" s="18" t="n">
        <v>2276.54</v>
      </c>
      <c r="O71" s="18" t="n">
        <v>15957.35</v>
      </c>
      <c r="P71" s="37" t="n">
        <v>26716.8</v>
      </c>
      <c r="Q71" s="18" t="n">
        <v>2531.44</v>
      </c>
      <c r="R71" s="18" t="n">
        <v>4135.49</v>
      </c>
      <c r="S71" s="18" t="n">
        <v>-3130.91</v>
      </c>
      <c r="T71" s="18" t="n">
        <v>14899.22</v>
      </c>
      <c r="U71" s="37" t="n">
        <v>18435.24</v>
      </c>
      <c r="V71" s="18" t="n">
        <v>13025.47</v>
      </c>
      <c r="W71" s="18" t="n">
        <v>4731.72</v>
      </c>
      <c r="X71" s="18" t="n">
        <v>6527.21</v>
      </c>
      <c r="Y71" s="18" t="n">
        <v>19219.23</v>
      </c>
      <c r="Z71" s="37" t="n">
        <v>43503.63</v>
      </c>
      <c r="AA71" s="18" t="n">
        <v>11975.3</v>
      </c>
      <c r="AB71" s="19" t="n">
        <v>13532.62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총포괄손익</t>
        </is>
      </c>
      <c r="E72" s="18" t="n">
        <v>-10616.6</v>
      </c>
      <c r="F72" s="9" t="n"/>
      <c r="G72" s="18" t="n">
        <v>-7165.22</v>
      </c>
      <c r="H72" s="18" t="n">
        <v>11142.12</v>
      </c>
      <c r="I72" s="18" t="n">
        <v>2892.79</v>
      </c>
      <c r="J72" s="18" t="n">
        <v>6117.94</v>
      </c>
      <c r="K72" s="37" t="n">
        <v>12987.63</v>
      </c>
      <c r="L72" s="18" t="n">
        <v>-5578.4</v>
      </c>
      <c r="M72" s="18" t="n">
        <v>13906.48</v>
      </c>
      <c r="N72" s="18" t="n">
        <v>2563.1</v>
      </c>
      <c r="O72" s="18" t="n">
        <v>13894.33</v>
      </c>
      <c r="P72" s="37" t="n">
        <v>24785.51</v>
      </c>
      <c r="Q72" s="18" t="n">
        <v>2905.3</v>
      </c>
      <c r="R72" s="18" t="n">
        <v>4001.14</v>
      </c>
      <c r="S72" s="18" t="n">
        <v>-3286.51</v>
      </c>
      <c r="T72" s="18" t="n">
        <v>13435.78</v>
      </c>
      <c r="U72" s="37" t="n">
        <v>17055.71</v>
      </c>
      <c r="V72" s="18" t="n">
        <v>13206.62</v>
      </c>
      <c r="W72" s="18" t="n">
        <v>5001.56</v>
      </c>
      <c r="X72" s="18" t="n">
        <v>7776.1</v>
      </c>
      <c r="Y72" s="18" t="n">
        <v>18807.76</v>
      </c>
      <c r="Z72" s="37" t="n">
        <v>44792.04</v>
      </c>
      <c r="AA72" s="18" t="n">
        <v>10835.52</v>
      </c>
      <c r="AB72" s="19" t="n">
        <v>13951.42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(지배주주지분)당기순이익</t>
        </is>
      </c>
      <c r="E73" s="18" t="n">
        <v>-11003.96</v>
      </c>
      <c r="F73" s="9" t="n"/>
      <c r="G73" s="18" t="n">
        <v>-7198.35</v>
      </c>
      <c r="H73" s="18" t="n">
        <v>10704.45</v>
      </c>
      <c r="I73" s="18" t="n">
        <v>2930.16</v>
      </c>
      <c r="J73" s="18" t="n">
        <v>6517.1</v>
      </c>
      <c r="K73" s="37" t="n">
        <v>12953.36</v>
      </c>
      <c r="L73" s="18" t="n">
        <v>-5190.72</v>
      </c>
      <c r="M73" s="18" t="n">
        <v>13673.63</v>
      </c>
      <c r="N73" s="18" t="n">
        <v>2276.54</v>
      </c>
      <c r="O73" s="18" t="n">
        <v>15957.35</v>
      </c>
      <c r="P73" s="37" t="n">
        <v>26716.8</v>
      </c>
      <c r="Q73" s="18" t="n">
        <v>2531.44</v>
      </c>
      <c r="R73" s="18" t="n">
        <v>4135.49</v>
      </c>
      <c r="S73" s="18" t="n">
        <v>-3130.91</v>
      </c>
      <c r="T73" s="18" t="n">
        <v>14899.22</v>
      </c>
      <c r="U73" s="37" t="n">
        <v>18435.24</v>
      </c>
      <c r="V73" s="18" t="n">
        <v>13025.47</v>
      </c>
      <c r="W73" s="18" t="n">
        <v>4731.72</v>
      </c>
      <c r="X73" s="18" t="n">
        <v>6527.21</v>
      </c>
      <c r="Y73" s="18" t="n">
        <v>19219.23</v>
      </c>
      <c r="Z73" s="37" t="n">
        <v>43503.63</v>
      </c>
      <c r="AA73" s="18" t="n">
        <v>11975.3</v>
      </c>
      <c r="AB73" s="19" t="n">
        <v>13532.62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계속사업이익</t>
        </is>
      </c>
      <c r="E74" s="18" t="n">
        <v>-11003.96</v>
      </c>
      <c r="F74" s="9" t="n"/>
      <c r="G74" s="18" t="n">
        <v>-7198.35</v>
      </c>
      <c r="H74" s="18" t="n">
        <v>10704.45</v>
      </c>
      <c r="I74" s="18" t="n">
        <v>2930.16</v>
      </c>
      <c r="J74" s="18" t="n">
        <v>6517.1</v>
      </c>
      <c r="K74" s="37" t="n">
        <v>12953.36</v>
      </c>
      <c r="L74" s="18" t="n">
        <v>-5190.72</v>
      </c>
      <c r="M74" s="18" t="n">
        <v>13673.63</v>
      </c>
      <c r="N74" s="18" t="n">
        <v>2276.54</v>
      </c>
      <c r="O74" s="18" t="n">
        <v>15957.35</v>
      </c>
      <c r="P74" s="37" t="n">
        <v>26716.8</v>
      </c>
      <c r="Q74" s="18" t="n">
        <v>2531.44</v>
      </c>
      <c r="R74" s="18" t="n">
        <v>4135.49</v>
      </c>
      <c r="S74" s="18" t="n">
        <v>-3130.91</v>
      </c>
      <c r="T74" s="18" t="n">
        <v>14899.22</v>
      </c>
      <c r="U74" s="37" t="n">
        <v>18435.24</v>
      </c>
      <c r="V74" s="18" t="n">
        <v>13025.47</v>
      </c>
      <c r="W74" s="18" t="n">
        <v>4731.72</v>
      </c>
      <c r="X74" s="18" t="n">
        <v>6527.21</v>
      </c>
      <c r="Y74" s="18" t="n">
        <v>19219.23</v>
      </c>
      <c r="Z74" s="37" t="n">
        <v>43503.63</v>
      </c>
      <c r="AA74" s="18" t="n">
        <v>11975.3</v>
      </c>
      <c r="AB74" s="19" t="n">
        <v>13532.62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영업활동으로인한현금흐름</t>
        </is>
      </c>
      <c r="E75" s="18" t="n">
        <v>-12410.61</v>
      </c>
      <c r="F75" s="9" t="n"/>
      <c r="G75" s="18" t="n">
        <v>-17364.91</v>
      </c>
      <c r="H75" s="18" t="n">
        <v>11172.5</v>
      </c>
      <c r="I75" s="18" t="n">
        <v>3676.47</v>
      </c>
      <c r="J75" s="18" t="n">
        <v>26300.65</v>
      </c>
      <c r="K75" s="37" t="n">
        <v>23784.71</v>
      </c>
      <c r="L75" s="18" t="n">
        <v>-15248.65</v>
      </c>
      <c r="M75" s="18" t="n">
        <v>41024.24</v>
      </c>
      <c r="N75" s="18" t="n">
        <v>9517.629999999999</v>
      </c>
      <c r="O75" s="18" t="n">
        <v>24026.35</v>
      </c>
      <c r="P75" s="37" t="n">
        <v>59319.57</v>
      </c>
      <c r="Q75" s="18" t="n">
        <v>10539.85</v>
      </c>
      <c r="R75" s="18" t="n">
        <v>7189.76</v>
      </c>
      <c r="S75" s="18" t="n">
        <v>821.97</v>
      </c>
      <c r="T75" s="18" t="n">
        <v>2492.57</v>
      </c>
      <c r="U75" s="37" t="n">
        <v>21044.15</v>
      </c>
      <c r="V75" s="18" t="n">
        <v>2470.1</v>
      </c>
      <c r="W75" s="18" t="n">
        <v>33726.72</v>
      </c>
      <c r="X75" s="18" t="n">
        <v>25211.65</v>
      </c>
      <c r="Y75" s="18" t="n">
        <v>-6863.84</v>
      </c>
      <c r="Z75" s="37" t="n">
        <v>54544.63</v>
      </c>
      <c r="AA75" s="18" t="n">
        <v>22010.81</v>
      </c>
      <c r="AB75" s="19" t="n">
        <v>10035.46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법인세납부(CF)</t>
        </is>
      </c>
      <c r="E76" s="18" t="n">
        <v>-90.83</v>
      </c>
      <c r="F76" s="9" t="n"/>
      <c r="G76" s="18" t="n">
        <v>-5383.76</v>
      </c>
      <c r="H76" s="18" t="n">
        <v>-6488.55</v>
      </c>
      <c r="I76" s="18" t="n">
        <v>0</v>
      </c>
      <c r="J76" s="18" t="n">
        <v>-15.7</v>
      </c>
      <c r="K76" s="37" t="n">
        <v>-11888.01</v>
      </c>
      <c r="L76" s="18" t="n">
        <v>-221.59</v>
      </c>
      <c r="M76" s="18" t="n">
        <v>431.59</v>
      </c>
      <c r="N76" s="18" t="n">
        <v>-909.0700000000001</v>
      </c>
      <c r="O76" s="18" t="n">
        <v>-15.28</v>
      </c>
      <c r="P76" s="37" t="n">
        <v>-714.35</v>
      </c>
      <c r="Q76" s="18" t="n">
        <v>-4166.48</v>
      </c>
      <c r="R76" s="18" t="n">
        <v>-4413.6</v>
      </c>
      <c r="S76" s="18" t="n">
        <v>-3357.13</v>
      </c>
      <c r="T76" s="18" t="n">
        <v>-73.86</v>
      </c>
      <c r="U76" s="37" t="n">
        <v>-12011.07</v>
      </c>
      <c r="V76" s="18" t="n">
        <v>-2256.87</v>
      </c>
      <c r="W76" s="18" t="n">
        <v>-2239.25</v>
      </c>
      <c r="X76" s="18" t="n">
        <v>-5245.96</v>
      </c>
      <c r="Y76" s="18" t="n">
        <v>151.59</v>
      </c>
      <c r="Z76" s="37" t="n">
        <v>-9590.49</v>
      </c>
      <c r="AA76" s="18" t="n">
        <v>-3418.15</v>
      </c>
      <c r="AB76" s="19" t="n">
        <v>-3681.67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투자활동으로인한현금흐름</t>
        </is>
      </c>
      <c r="E77" s="18" t="n">
        <v>-1436.76</v>
      </c>
      <c r="F77" s="9" t="n"/>
      <c r="G77" s="18" t="n">
        <v>-3771.25</v>
      </c>
      <c r="H77" s="18" t="n">
        <v>-20320.41</v>
      </c>
      <c r="I77" s="18" t="n">
        <v>10653.47</v>
      </c>
      <c r="J77" s="18" t="n">
        <v>-3272.39</v>
      </c>
      <c r="K77" s="37" t="n">
        <v>-16710.58</v>
      </c>
      <c r="L77" s="18" t="n">
        <v>-6108.53</v>
      </c>
      <c r="M77" s="18" t="n">
        <v>-4336.81</v>
      </c>
      <c r="N77" s="18" t="n">
        <v>-25919.23</v>
      </c>
      <c r="O77" s="18" t="n">
        <v>-2868.61</v>
      </c>
      <c r="P77" s="37" t="n">
        <v>-39233.18</v>
      </c>
      <c r="Q77" s="18" t="n">
        <v>-4835.19</v>
      </c>
      <c r="R77" s="18" t="n">
        <v>-15773.64</v>
      </c>
      <c r="S77" s="18" t="n">
        <v>-5749.24</v>
      </c>
      <c r="T77" s="18" t="n">
        <v>-14569.83</v>
      </c>
      <c r="U77" s="37" t="n">
        <v>-40927.9</v>
      </c>
      <c r="V77" s="18" t="n">
        <v>-2392.26</v>
      </c>
      <c r="W77" s="18" t="n">
        <v>-5760.72</v>
      </c>
      <c r="X77" s="18" t="n">
        <v>-13190.34</v>
      </c>
      <c r="Y77" s="18" t="n">
        <v>-11161.62</v>
      </c>
      <c r="Z77" s="37" t="n">
        <v>-32504.94</v>
      </c>
      <c r="AA77" s="18" t="n">
        <v>-4305.79</v>
      </c>
      <c r="AB77" s="19" t="n">
        <v>-19083.89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유형자산의감소</t>
        </is>
      </c>
      <c r="E78" s="18" t="n">
        <v>0</v>
      </c>
      <c r="F78" s="9" t="n"/>
      <c r="G78" s="18" t="n">
        <v>1</v>
      </c>
      <c r="H78" s="18" t="n">
        <v>11.09</v>
      </c>
      <c r="I78" s="18" t="n">
        <v>0</v>
      </c>
      <c r="J78" s="18" t="n">
        <v>2.6</v>
      </c>
      <c r="K78" s="37" t="n">
        <v>14.69</v>
      </c>
      <c r="L78" s="18" t="n">
        <v>2343.53</v>
      </c>
      <c r="M78" s="18" t="n">
        <v>0</v>
      </c>
      <c r="N78" s="18" t="n">
        <v>0</v>
      </c>
      <c r="O78" s="18" t="n">
        <v>0</v>
      </c>
      <c r="P78" s="37" t="n">
        <v>2343.53</v>
      </c>
      <c r="Q78" s="18" t="n">
        <v>0</v>
      </c>
      <c r="R78" s="18" t="n">
        <v>0</v>
      </c>
      <c r="S78" s="18" t="n">
        <v>1.8</v>
      </c>
      <c r="T78" s="18" t="n">
        <v>0</v>
      </c>
      <c r="U78" s="37" t="n">
        <v>1.8</v>
      </c>
      <c r="X78" s="18" t="n">
        <v>0</v>
      </c>
      <c r="Y78" s="18" t="n">
        <v>0</v>
      </c>
      <c r="Z78" s="9" t="n"/>
      <c r="AB78" s="5" t="n"/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유형자산의증가</t>
        </is>
      </c>
      <c r="E79" s="18" t="n">
        <v>1692.22</v>
      </c>
      <c r="F79" s="9" t="n"/>
      <c r="G79" s="18" t="n">
        <v>3841.43</v>
      </c>
      <c r="H79" s="18" t="n">
        <v>2405.5</v>
      </c>
      <c r="I79" s="18" t="n">
        <v>6644.12</v>
      </c>
      <c r="J79" s="18" t="n">
        <v>2624.27</v>
      </c>
      <c r="K79" s="37" t="n">
        <v>15515.32</v>
      </c>
      <c r="L79" s="18" t="n">
        <v>1483.08</v>
      </c>
      <c r="M79" s="18" t="n">
        <v>3568.18</v>
      </c>
      <c r="N79" s="18" t="n">
        <v>37637.11</v>
      </c>
      <c r="O79" s="18" t="n">
        <v>196.4</v>
      </c>
      <c r="P79" s="37" t="n">
        <v>42884.77</v>
      </c>
      <c r="Q79" s="18" t="n">
        <v>3230.19</v>
      </c>
      <c r="R79" s="18" t="n">
        <v>2692.3</v>
      </c>
      <c r="S79" s="18" t="n">
        <v>4586.04</v>
      </c>
      <c r="T79" s="18" t="n">
        <v>7221.73</v>
      </c>
      <c r="U79" s="37" t="n">
        <v>17730.26</v>
      </c>
      <c r="V79" s="18" t="n">
        <v>2469.29</v>
      </c>
      <c r="W79" s="18" t="n">
        <v>1004.01</v>
      </c>
      <c r="X79" s="18" t="n">
        <v>1405.23</v>
      </c>
      <c r="Y79" s="18" t="n">
        <v>3428.12</v>
      </c>
      <c r="Z79" s="37" t="n">
        <v>8306.65</v>
      </c>
      <c r="AA79" s="18" t="n">
        <v>2279.43</v>
      </c>
      <c r="AB79" s="19" t="n">
        <v>6139.5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CAPEX</t>
        </is>
      </c>
      <c r="E80" s="18" t="n">
        <v>1692.22</v>
      </c>
      <c r="F80" s="9" t="n"/>
      <c r="G80" s="18" t="n">
        <v>3841.43</v>
      </c>
      <c r="H80" s="18" t="n">
        <v>2405.5</v>
      </c>
      <c r="I80" s="18" t="n">
        <v>7056.97</v>
      </c>
      <c r="J80" s="18" t="n">
        <v>2624.27</v>
      </c>
      <c r="K80" s="37" t="n">
        <v>15928.17</v>
      </c>
      <c r="L80" s="18" t="n">
        <v>1483.08</v>
      </c>
      <c r="M80" s="18" t="n">
        <v>3962.18</v>
      </c>
      <c r="N80" s="18" t="n">
        <v>37645.78</v>
      </c>
      <c r="O80" s="18" t="n">
        <v>196.4</v>
      </c>
      <c r="P80" s="37" t="n">
        <v>43287.44</v>
      </c>
      <c r="Q80" s="18" t="n">
        <v>3230.19</v>
      </c>
      <c r="R80" s="18" t="n">
        <v>2792.3</v>
      </c>
      <c r="S80" s="18" t="n">
        <v>4586.04</v>
      </c>
      <c r="T80" s="18" t="n">
        <v>7221.73</v>
      </c>
      <c r="U80" s="37" t="n">
        <v>17830.26</v>
      </c>
      <c r="V80" s="18" t="n">
        <v>2469.29</v>
      </c>
      <c r="W80" s="18" t="n">
        <v>1004.01</v>
      </c>
      <c r="X80" s="18" t="n">
        <v>1405.23</v>
      </c>
      <c r="Y80" s="18" t="n">
        <v>3428.12</v>
      </c>
      <c r="Z80" s="37" t="n">
        <v>8306.65</v>
      </c>
      <c r="AA80" s="18" t="n">
        <v>2279.43</v>
      </c>
      <c r="AB80" s="19" t="n">
        <v>6139.5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무형자산의증가</t>
        </is>
      </c>
      <c r="E81" s="18" t="n">
        <v>0</v>
      </c>
      <c r="F81" s="9" t="n"/>
      <c r="J81" s="18" t="n">
        <v>0</v>
      </c>
      <c r="K81" s="9" t="n"/>
      <c r="N81" s="18" t="n">
        <v>8.67</v>
      </c>
      <c r="O81" s="18" t="n">
        <v>0</v>
      </c>
      <c r="P81" s="9" t="n"/>
      <c r="S81" s="18" t="n">
        <v>0</v>
      </c>
      <c r="T81" s="18" t="n">
        <v>0</v>
      </c>
      <c r="U81" s="9" t="n"/>
      <c r="X81" s="18" t="n">
        <v>0</v>
      </c>
      <c r="Z81" s="9" t="n"/>
      <c r="AB81" s="5" t="n"/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재무활동으로인한현금흐름</t>
        </is>
      </c>
      <c r="E82" s="18" t="n">
        <v>13643.42</v>
      </c>
      <c r="F82" s="9" t="n"/>
      <c r="G82" s="18" t="n">
        <v>23476.97</v>
      </c>
      <c r="H82" s="18" t="n">
        <v>-11702.81</v>
      </c>
      <c r="I82" s="18" t="n">
        <v>1032.37</v>
      </c>
      <c r="J82" s="18" t="n">
        <v>-4189.6</v>
      </c>
      <c r="K82" s="37" t="n">
        <v>8616.93</v>
      </c>
      <c r="L82" s="18" t="n">
        <v>-772.77</v>
      </c>
      <c r="M82" s="18" t="n">
        <v>-32018.97</v>
      </c>
      <c r="N82" s="18" t="n">
        <v>16178.66</v>
      </c>
      <c r="O82" s="18" t="n">
        <v>-10904.13</v>
      </c>
      <c r="P82" s="37" t="n">
        <v>-27517.21</v>
      </c>
      <c r="Q82" s="18" t="n">
        <v>8382.43</v>
      </c>
      <c r="R82" s="18" t="n">
        <v>-16894.3</v>
      </c>
      <c r="S82" s="18" t="n">
        <v>36489.85</v>
      </c>
      <c r="T82" s="18" t="n">
        <v>4137.18</v>
      </c>
      <c r="U82" s="37" t="n">
        <v>32115.16</v>
      </c>
      <c r="V82" s="18" t="n">
        <v>-1992.35</v>
      </c>
      <c r="W82" s="18" t="n">
        <v>-13324.52</v>
      </c>
      <c r="X82" s="18" t="n">
        <v>-1934.4</v>
      </c>
      <c r="Y82" s="18" t="n">
        <v>-26154.69</v>
      </c>
      <c r="Z82" s="37" t="n">
        <v>-43405.96</v>
      </c>
      <c r="AA82" s="18" t="n">
        <v>-1678.09</v>
      </c>
      <c r="AB82" s="19" t="n">
        <v>-14470.03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단기차입금의증가</t>
        </is>
      </c>
      <c r="E83" s="18" t="n">
        <v>0</v>
      </c>
      <c r="F83" s="9" t="n"/>
      <c r="G83" s="18" t="n">
        <v>45905.2</v>
      </c>
      <c r="H83" s="18" t="n">
        <v>15550</v>
      </c>
      <c r="I83" s="18" t="n">
        <v>24914.06</v>
      </c>
      <c r="J83" s="18" t="n">
        <v>20888</v>
      </c>
      <c r="K83" s="37" t="n">
        <v>107257.26</v>
      </c>
      <c r="L83" s="18" t="n">
        <v>0</v>
      </c>
      <c r="M83" s="18" t="n">
        <v>55000</v>
      </c>
      <c r="N83" s="18" t="n">
        <v>36200</v>
      </c>
      <c r="O83" s="18" t="n">
        <v>5000</v>
      </c>
      <c r="P83" s="37" t="n">
        <v>96200</v>
      </c>
      <c r="Q83" s="18" t="n">
        <v>50000</v>
      </c>
      <c r="R83" s="18" t="n">
        <v>40000</v>
      </c>
      <c r="S83" s="18" t="n">
        <v>66200</v>
      </c>
      <c r="T83" s="18" t="n">
        <v>0</v>
      </c>
      <c r="U83" s="37" t="n">
        <v>156200</v>
      </c>
      <c r="V83" s="18" t="n">
        <v>70000</v>
      </c>
      <c r="W83" s="18" t="n">
        <v>0</v>
      </c>
      <c r="X83" s="18" t="n">
        <v>50000</v>
      </c>
      <c r="Y83" s="18" t="n">
        <v>520</v>
      </c>
      <c r="Z83" s="37" t="n">
        <v>120520</v>
      </c>
      <c r="AA83" s="18" t="n">
        <v>45000</v>
      </c>
      <c r="AB83" s="19" t="n">
        <v>30000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장기차입금의증가</t>
        </is>
      </c>
      <c r="E84" s="18" t="n">
        <v>15000</v>
      </c>
      <c r="F84" s="9" t="n"/>
      <c r="G84" s="18" t="n">
        <v>30000</v>
      </c>
      <c r="H84" s="18" t="n">
        <v>10000</v>
      </c>
      <c r="I84" s="18" t="n">
        <v>0</v>
      </c>
      <c r="J84" s="18" t="n">
        <v>28000</v>
      </c>
      <c r="K84" s="37" t="n">
        <v>68000</v>
      </c>
      <c r="L84" s="18" t="n">
        <v>0</v>
      </c>
      <c r="O84" s="18" t="n">
        <v>0</v>
      </c>
      <c r="P84" s="9" t="n"/>
      <c r="T84" s="18" t="n">
        <v>5800</v>
      </c>
      <c r="U84" s="9" t="n"/>
      <c r="Y84" s="18" t="n">
        <v>0</v>
      </c>
      <c r="Z84" s="9" t="n"/>
      <c r="AB84" s="5" t="n"/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리스부채의상환</t>
        </is>
      </c>
      <c r="E85" s="18" t="n">
        <v>634.77</v>
      </c>
      <c r="F85" s="9" t="n"/>
      <c r="G85" s="18" t="n">
        <v>523.03</v>
      </c>
      <c r="H85" s="18" t="n">
        <v>479.69</v>
      </c>
      <c r="I85" s="18" t="n">
        <v>280.64</v>
      </c>
      <c r="J85" s="18" t="n">
        <v>176.59</v>
      </c>
      <c r="K85" s="37" t="n">
        <v>1459.95</v>
      </c>
      <c r="L85" s="18" t="n">
        <v>172.77</v>
      </c>
      <c r="M85" s="18" t="n">
        <v>184.31</v>
      </c>
      <c r="N85" s="18" t="n">
        <v>221.34</v>
      </c>
      <c r="O85" s="18" t="n">
        <v>304.13</v>
      </c>
      <c r="P85" s="37" t="n">
        <v>882.55</v>
      </c>
      <c r="Q85" s="18" t="n">
        <v>307.58</v>
      </c>
      <c r="R85" s="18" t="n">
        <v>314.74</v>
      </c>
      <c r="S85" s="18" t="n">
        <v>310.15</v>
      </c>
      <c r="T85" s="18" t="n">
        <v>312.82</v>
      </c>
      <c r="U85" s="37" t="n">
        <v>1245.29</v>
      </c>
      <c r="V85" s="18" t="n">
        <v>642.35</v>
      </c>
      <c r="W85" s="18" t="n">
        <v>604.62</v>
      </c>
      <c r="X85" s="18" t="n">
        <v>584.41</v>
      </c>
      <c r="Y85" s="18" t="n">
        <v>624.6900000000001</v>
      </c>
      <c r="Z85" s="37" t="n">
        <v>2456.07</v>
      </c>
      <c r="AA85" s="18" t="n">
        <v>628.09</v>
      </c>
      <c r="AB85" s="19" t="n">
        <v>628.9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자기주식의취득</t>
        </is>
      </c>
      <c r="E86" s="18" t="n">
        <v>0</v>
      </c>
      <c r="F86" s="9" t="n"/>
      <c r="G86" s="18" t="n">
        <v>0</v>
      </c>
      <c r="J86" s="18" t="n">
        <v>0</v>
      </c>
      <c r="K86" s="9" t="n"/>
      <c r="P86" s="9" t="n"/>
      <c r="U86" s="9" t="n"/>
      <c r="Z86" s="9" t="n"/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배당금지급</t>
        </is>
      </c>
      <c r="E87" s="18" t="n">
        <v>0</v>
      </c>
      <c r="F87" s="9" t="n"/>
      <c r="I87" s="18" t="n">
        <v>0</v>
      </c>
      <c r="J87" s="18" t="n">
        <v>0</v>
      </c>
      <c r="K87" s="9" t="n"/>
      <c r="N87" s="18" t="n">
        <v>0</v>
      </c>
      <c r="O87" s="18" t="n">
        <v>0</v>
      </c>
      <c r="P87" s="9" t="n"/>
      <c r="S87" s="18" t="n">
        <v>0</v>
      </c>
      <c r="T87" s="18" t="n">
        <v>0</v>
      </c>
      <c r="U87" s="9" t="n"/>
      <c r="X87" s="18" t="n">
        <v>0</v>
      </c>
      <c r="Y87" s="18" t="n">
        <v>0</v>
      </c>
      <c r="Z87" s="9" t="n"/>
      <c r="AB87" s="5" t="n"/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단기차입금의감소</t>
        </is>
      </c>
      <c r="E88" s="18" t="n">
        <v>0</v>
      </c>
      <c r="F88" s="9" t="n"/>
      <c r="G88" s="18" t="n">
        <v>35905.2</v>
      </c>
      <c r="H88" s="18" t="n">
        <v>17550</v>
      </c>
      <c r="I88" s="18" t="n">
        <v>21501.06</v>
      </c>
      <c r="J88" s="18" t="n">
        <v>24301</v>
      </c>
      <c r="K88" s="37" t="n">
        <v>99257.25999999999</v>
      </c>
      <c r="L88" s="18" t="n">
        <v>0</v>
      </c>
      <c r="M88" s="18" t="n">
        <v>33000</v>
      </c>
      <c r="N88" s="18" t="n">
        <v>20000</v>
      </c>
      <c r="O88" s="18" t="n">
        <v>0</v>
      </c>
      <c r="P88" s="37" t="n">
        <v>53000</v>
      </c>
      <c r="Q88" s="18" t="n">
        <v>10000</v>
      </c>
      <c r="R88" s="18" t="n">
        <v>45000</v>
      </c>
      <c r="S88" s="18" t="n">
        <v>41200</v>
      </c>
      <c r="T88" s="18" t="n">
        <v>0</v>
      </c>
      <c r="U88" s="37" t="n">
        <v>96200</v>
      </c>
      <c r="V88" s="18" t="n">
        <v>70000</v>
      </c>
      <c r="W88" s="18" t="n">
        <v>0</v>
      </c>
      <c r="X88" s="18" t="n">
        <v>116200</v>
      </c>
      <c r="Y88" s="18" t="n">
        <v>25000</v>
      </c>
      <c r="Z88" s="37" t="n">
        <v>211200</v>
      </c>
      <c r="AA88" s="18" t="n">
        <v>45000</v>
      </c>
      <c r="AB88" s="19" t="n">
        <v>30000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유동성장기부채의감소</t>
        </is>
      </c>
      <c r="E89" s="18" t="n">
        <v>700</v>
      </c>
      <c r="F89" s="9" t="n"/>
      <c r="G89" s="18" t="n">
        <v>16000</v>
      </c>
      <c r="H89" s="18" t="n">
        <v>11000</v>
      </c>
      <c r="I89" s="18" t="n">
        <v>2100</v>
      </c>
      <c r="J89" s="18" t="n">
        <v>15600</v>
      </c>
      <c r="K89" s="37" t="n">
        <v>44700</v>
      </c>
      <c r="L89" s="18" t="n">
        <v>600</v>
      </c>
      <c r="M89" s="18" t="n">
        <v>30600</v>
      </c>
      <c r="N89" s="18" t="n">
        <v>26800</v>
      </c>
      <c r="O89" s="18" t="n">
        <v>15600</v>
      </c>
      <c r="P89" s="37" t="n">
        <v>73600</v>
      </c>
      <c r="Q89" s="18" t="n">
        <v>40600</v>
      </c>
      <c r="R89" s="18" t="n">
        <v>600</v>
      </c>
      <c r="S89" s="18" t="n">
        <v>15600</v>
      </c>
      <c r="T89" s="18" t="n">
        <v>600</v>
      </c>
      <c r="U89" s="37" t="n">
        <v>57400</v>
      </c>
      <c r="V89" s="18" t="n">
        <v>1350</v>
      </c>
      <c r="W89" s="18" t="n">
        <v>1350</v>
      </c>
      <c r="X89" s="18" t="n">
        <v>41350</v>
      </c>
      <c r="Y89" s="18" t="n">
        <v>1050</v>
      </c>
      <c r="Z89" s="37" t="n">
        <v>45100</v>
      </c>
      <c r="AA89" s="18" t="n">
        <v>1050</v>
      </c>
      <c r="AB89" s="19" t="n">
        <v>1050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현금및현금성자산의증감</t>
        </is>
      </c>
      <c r="E90" s="18" t="n">
        <v>-265.87</v>
      </c>
      <c r="F90" s="9" t="n"/>
      <c r="G90" s="18" t="n">
        <v>2746.19</v>
      </c>
      <c r="H90" s="18" t="n">
        <v>-21131.04</v>
      </c>
      <c r="I90" s="18" t="n">
        <v>16251.66</v>
      </c>
      <c r="J90" s="18" t="n">
        <v>15638.71</v>
      </c>
      <c r="K90" s="37" t="n">
        <v>13505.52</v>
      </c>
      <c r="L90" s="18" t="n">
        <v>-21842.26</v>
      </c>
      <c r="M90" s="18" t="n">
        <v>4372.7</v>
      </c>
      <c r="N90" s="18" t="n">
        <v>27.1</v>
      </c>
      <c r="O90" s="18" t="n">
        <v>9844.09</v>
      </c>
      <c r="P90" s="37" t="n">
        <v>-7598.37</v>
      </c>
      <c r="Q90" s="18" t="n">
        <v>14193.74</v>
      </c>
      <c r="R90" s="18" t="n">
        <v>-25563.62</v>
      </c>
      <c r="S90" s="18" t="n">
        <v>31405.01</v>
      </c>
      <c r="T90" s="18" t="n">
        <v>-7685.52</v>
      </c>
      <c r="U90" s="37" t="n">
        <v>12349.61</v>
      </c>
      <c r="V90" s="18" t="n">
        <v>-1837.06</v>
      </c>
      <c r="W90" s="18" t="n">
        <v>14067.22</v>
      </c>
      <c r="X90" s="18" t="n">
        <v>10591.9</v>
      </c>
      <c r="Y90" s="18" t="n">
        <v>-44205.18</v>
      </c>
      <c r="Z90" s="37" t="n">
        <v>-21383.12</v>
      </c>
      <c r="AA90" s="18" t="n">
        <v>16082.94</v>
      </c>
      <c r="AB90" s="19" t="n">
        <v>-23404.37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기말현금및현금성자산</t>
        </is>
      </c>
      <c r="E91" s="18" t="n">
        <v>-265.87</v>
      </c>
      <c r="F91" s="9" t="n"/>
      <c r="G91" s="18" t="n">
        <v>29348.29</v>
      </c>
      <c r="H91" s="18" t="n">
        <v>-21131.05</v>
      </c>
      <c r="I91" s="18" t="n">
        <v>16251.67</v>
      </c>
      <c r="J91" s="18" t="n">
        <v>15638.71</v>
      </c>
      <c r="K91" s="37" t="n">
        <v>40107.62</v>
      </c>
      <c r="L91" s="18" t="n">
        <v>18265.36</v>
      </c>
      <c r="M91" s="18" t="n">
        <v>4372.7</v>
      </c>
      <c r="N91" s="18" t="n">
        <v>27.1</v>
      </c>
      <c r="O91" s="18" t="n">
        <v>9844.09</v>
      </c>
      <c r="P91" s="37" t="n">
        <v>32509.25</v>
      </c>
      <c r="Q91" s="18" t="n">
        <v>46702.99</v>
      </c>
      <c r="R91" s="18" t="n">
        <v>-25563.62</v>
      </c>
      <c r="S91" s="18" t="n">
        <v>31405.01</v>
      </c>
      <c r="T91" s="18" t="n">
        <v>-7685.52</v>
      </c>
      <c r="U91" s="37" t="n">
        <v>44858.86</v>
      </c>
      <c r="V91" s="18" t="n">
        <v>43021.8</v>
      </c>
      <c r="W91" s="18" t="n">
        <v>14067.22</v>
      </c>
      <c r="X91" s="18" t="n">
        <v>10591.9</v>
      </c>
      <c r="Y91" s="18" t="n">
        <v>-44205.17</v>
      </c>
      <c r="Z91" s="37" t="n">
        <v>23475.75</v>
      </c>
      <c r="AA91" s="18" t="n">
        <v>39558.69</v>
      </c>
      <c r="AB91" s="19" t="n">
        <v>-23404.38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배당금수취(CF)</t>
        </is>
      </c>
      <c r="F92" s="9" t="n"/>
      <c r="K92" s="9" t="n"/>
      <c r="L92" s="18" t="n">
        <v>0</v>
      </c>
      <c r="P92" s="9" t="n"/>
      <c r="U92" s="9" t="n"/>
      <c r="Z92" s="9" t="n"/>
      <c r="AB92" s="5" t="n"/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이자수취(CF)</t>
        </is>
      </c>
      <c r="F93" s="9" t="n"/>
      <c r="K93" s="9" t="n"/>
      <c r="O93" s="18" t="n">
        <v>98.20999999999999</v>
      </c>
      <c r="P93" s="9" t="n"/>
      <c r="Q93" s="18" t="n">
        <v>134.5</v>
      </c>
      <c r="R93" s="18" t="n">
        <v>415.6</v>
      </c>
      <c r="S93" s="18" t="n">
        <v>466.3</v>
      </c>
      <c r="T93" s="18" t="n">
        <v>408.43</v>
      </c>
      <c r="U93" s="37" t="n">
        <v>1424.83</v>
      </c>
      <c r="V93" s="18" t="n">
        <v>237.21</v>
      </c>
      <c r="W93" s="18" t="n">
        <v>223.72</v>
      </c>
      <c r="X93" s="18" t="n">
        <v>188.14</v>
      </c>
      <c r="Y93" s="18" t="n">
        <v>1704.35</v>
      </c>
      <c r="Z93" s="37" t="n">
        <v>2353.42</v>
      </c>
      <c r="AA93" s="18" t="n">
        <v>1303.54</v>
      </c>
      <c r="AB93" s="19" t="n">
        <v>86.56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장기차입금의감소</t>
        </is>
      </c>
      <c r="F94" s="9" t="n"/>
      <c r="K94" s="9" t="n"/>
      <c r="O94" s="18" t="n">
        <v>0</v>
      </c>
      <c r="P94" s="9" t="n"/>
      <c r="T94" s="18" t="n">
        <v>750</v>
      </c>
      <c r="U94" s="9" t="n"/>
      <c r="Z94" s="9" t="n"/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이자지급(CF)</t>
        </is>
      </c>
      <c r="F95" s="9" t="n"/>
      <c r="K95" s="9" t="n"/>
      <c r="P95" s="9" t="n"/>
      <c r="U95" s="9" t="n"/>
      <c r="V95" s="18" t="n">
        <v>-2479.94</v>
      </c>
      <c r="W95" s="18" t="n">
        <v>-1723.12</v>
      </c>
      <c r="X95" s="18" t="n">
        <v>712.1900000000001</v>
      </c>
      <c r="Y95" s="18" t="n">
        <v>-1811.62</v>
      </c>
      <c r="Z95" s="37" t="n">
        <v>-5302.49</v>
      </c>
      <c r="AA95" s="18" t="n">
        <v>-1547.36</v>
      </c>
      <c r="AB95" s="19" t="n">
        <v>-1549.62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IFERROR(AC37+AC39+AC41,"")</f>
        <v/>
      </c>
      <c r="AD5" s="20">
        <f>IFERROR(AD37+AD39+AD41,"")</f>
        <v/>
      </c>
      <c r="AE5" s="38">
        <f>SUM(AA5:AD5)</f>
        <v/>
      </c>
      <c r="AF5" s="20">
        <f>IFERROR(AF37+AF39+AF41,"")</f>
        <v/>
      </c>
      <c r="AG5" s="20">
        <f>IFERROR(AG37+AG39+AG41,"")</f>
        <v/>
      </c>
      <c r="AH5" s="20">
        <f>IFERROR(AH37+AH39+AH41,"")</f>
        <v/>
      </c>
      <c r="AI5" s="20">
        <f>IFERROR(AI37+AI39+AI41,"")</f>
        <v/>
      </c>
      <c r="AJ5" s="38">
        <f>SUM(AF5:AI5)</f>
        <v/>
      </c>
      <c r="AK5" s="20">
        <f>IFERROR(AK37+AK39+AK41,"")</f>
        <v/>
      </c>
      <c r="AL5" s="20">
        <f>IFERROR(AL37+AL39+AL41,"")</f>
        <v/>
      </c>
      <c r="AM5" s="20">
        <f>IFERROR(AM37+AM39+AM41,"")</f>
        <v/>
      </c>
      <c r="AN5" s="20">
        <f>IFERROR(AN37+AN39+AN41,"")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IFERROR(AC5*변수!AC21,"")</f>
        <v/>
      </c>
      <c r="AD8" s="20">
        <f>IFERROR(AD5*변수!AD21,"")</f>
        <v/>
      </c>
      <c r="AE8" s="38">
        <f>SUM(AA8:AD8)</f>
        <v/>
      </c>
      <c r="AF8" s="20">
        <f>IFERROR(AF5*변수!AF21,"")</f>
        <v/>
      </c>
      <c r="AG8" s="20">
        <f>IFERROR(AG5*변수!AG21,"")</f>
        <v/>
      </c>
      <c r="AH8" s="20">
        <f>IFERROR(AH5*변수!AH21,"")</f>
        <v/>
      </c>
      <c r="AI8" s="20">
        <f>IFERROR(AI5*변수!AI21,"")</f>
        <v/>
      </c>
      <c r="AJ8" s="38">
        <f>SUM(AF8:AI8)</f>
        <v/>
      </c>
      <c r="AK8" s="20">
        <f>IFERROR(AK5*변수!AK21,"")</f>
        <v/>
      </c>
      <c r="AL8" s="20">
        <f>IFERROR(AL5*변수!AL21,"")</f>
        <v/>
      </c>
      <c r="AM8" s="20">
        <f>IFERROR(AM5*변수!AM21,"")</f>
        <v/>
      </c>
      <c r="AN8" s="20">
        <f>IFERROR(AN5*변수!AN21,"")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SUM(Q9:T9)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IFERROR(AC38+AC40+AC42,"")</f>
        <v/>
      </c>
      <c r="AD9" s="20">
        <f>IFERROR(AD38+AD40+AD42,"")</f>
        <v/>
      </c>
      <c r="AE9" s="38">
        <f>SUM(AA9:AD9)</f>
        <v/>
      </c>
      <c r="AF9" s="20">
        <f>IFERROR(AF38+AF40+AF42,"")</f>
        <v/>
      </c>
      <c r="AG9" s="20">
        <f>IFERROR(AG38+AG40+AG42,"")</f>
        <v/>
      </c>
      <c r="AH9" s="20">
        <f>IFERROR(AH38+AH40+AH42,"")</f>
        <v/>
      </c>
      <c r="AI9" s="20">
        <f>IFERROR(AI38+AI40+AI42,"")</f>
        <v/>
      </c>
      <c r="AJ9" s="38">
        <f>SUM(AF9:AI9)</f>
        <v/>
      </c>
      <c r="AK9" s="20">
        <f>IFERROR(AK38+AK40+AK42,"")</f>
        <v/>
      </c>
      <c r="AL9" s="20">
        <f>IFERROR(AL38+AL40+AL42,"")</f>
        <v/>
      </c>
      <c r="AM9" s="20">
        <f>IFERROR(AM38+AM40+AM42,"")</f>
        <v/>
      </c>
      <c r="AN9" s="20">
        <f>IFERROR(AN38+AN40+AN42,"")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IFERROR(AC12+AC13,"")</f>
        <v/>
      </c>
      <c r="AD11" s="20">
        <f>IFERROR(AD12+AD13,"")</f>
        <v/>
      </c>
      <c r="AE11" s="38">
        <f>SUM(AA11:AD11)</f>
        <v/>
      </c>
      <c r="AF11" s="20">
        <f>IFERROR(AF12+AF13,"")</f>
        <v/>
      </c>
      <c r="AG11" s="20">
        <f>IFERROR(AG12+AG13,"")</f>
        <v/>
      </c>
      <c r="AH11" s="20">
        <f>IFERROR(AH12+AH13,"")</f>
        <v/>
      </c>
      <c r="AI11" s="20">
        <f>IFERROR(AI12+AI13,"")</f>
        <v/>
      </c>
      <c r="AJ11" s="38">
        <f>SUM(AF11:AI11)</f>
        <v/>
      </c>
      <c r="AK11" s="20">
        <f>IFERROR(AK12+AK13,"")</f>
        <v/>
      </c>
      <c r="AL11" s="20">
        <f>IFERROR(AL12+AL13,"")</f>
        <v/>
      </c>
      <c r="AM11" s="20">
        <f>IFERROR(AM12+AM13,"")</f>
        <v/>
      </c>
      <c r="AN11" s="20">
        <f>IFERROR(AN12+AN13,"")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 t="n"/>
      <c r="H12" s="18" t="n"/>
      <c r="I12" s="18" t="n"/>
      <c r="J12" s="18" t="n"/>
      <c r="K12" s="37">
        <f>SUM(G12:J12)</f>
        <v/>
      </c>
      <c r="L12" s="18" t="n"/>
      <c r="M12" s="18" t="n"/>
      <c r="N12" s="18" t="n"/>
      <c r="O12" s="18" t="n"/>
      <c r="P12" s="37">
        <f>SUM(L12:O12)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 t="n"/>
      <c r="AB12" s="19">
        <f>IFERROR(VLOOKUP($D12,BS연결,MATCH(AB$1,BS연결H,0),0)/100,"")</f>
        <v/>
      </c>
      <c r="AC12" s="20">
        <f>IFERROR((AB27*변수!$D$57-AB25*변수!$D$58)/4,"")</f>
        <v/>
      </c>
      <c r="AD12" s="20">
        <f>IFERROR((AC27*변수!$D$57-AC25*변수!$D$58)/4,"")</f>
        <v/>
      </c>
      <c r="AE12" s="38">
        <f>SUM(AA12:AD12)</f>
        <v/>
      </c>
      <c r="AF12" s="20">
        <f>IFERROR((AD27*변수!$D$57-AD25*변수!$D$58)/4,"")</f>
        <v/>
      </c>
      <c r="AG12" s="20">
        <f>IFERROR((AF27*변수!$D$57-AF25*변수!$D$58)/4,"")</f>
        <v/>
      </c>
      <c r="AH12" s="20">
        <f>IFERROR((AG27*변수!$D$57-AG25*변수!$D$58)/4,"")</f>
        <v/>
      </c>
      <c r="AI12" s="20">
        <f>IFERROR((AH27*변수!$D$57-AH25*변수!$D$58)/4,"")</f>
        <v/>
      </c>
      <c r="AJ12" s="38">
        <f>SUM(AF12:AI12)</f>
        <v/>
      </c>
      <c r="AK12" s="20">
        <f>IFERROR((AI27*변수!$D$57-AI25*변수!$D$58)/4,"")</f>
        <v/>
      </c>
      <c r="AL12" s="20">
        <f>IFERROR((AK27*변수!$D$57-AK25*변수!$D$58)/4,"")</f>
        <v/>
      </c>
      <c r="AM12" s="20">
        <f>IFERROR((AL27*변수!$D$57-AL25*변수!$D$58)/4,"")</f>
        <v/>
      </c>
      <c r="AN12" s="20">
        <f>IFERROR((AM27*변수!$D$57-AM25*변수!$D$58)/4,"")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 t="n"/>
      <c r="H13" s="18" t="n"/>
      <c r="I13" s="18" t="n"/>
      <c r="J13" s="18" t="n"/>
      <c r="K13" s="37">
        <f>SUM(G13:J13)</f>
        <v/>
      </c>
      <c r="L13" s="18" t="n"/>
      <c r="M13" s="18" t="n"/>
      <c r="N13" s="18" t="n"/>
      <c r="O13" s="18" t="n"/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 t="n"/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변수!AC22</f>
        <v/>
      </c>
      <c r="AD13" s="20">
        <f>변수!AD22</f>
        <v/>
      </c>
      <c r="AE13" s="38">
        <f>SUM(AA13:AD13)</f>
        <v/>
      </c>
      <c r="AF13" s="20">
        <f>변수!AF22</f>
        <v/>
      </c>
      <c r="AG13" s="20">
        <f>변수!AG22</f>
        <v/>
      </c>
      <c r="AH13" s="20">
        <f>변수!AH22</f>
        <v/>
      </c>
      <c r="AI13" s="20">
        <f>변수!AI22</f>
        <v/>
      </c>
      <c r="AJ13" s="38">
        <f>SUM(AF13:AI13)</f>
        <v/>
      </c>
      <c r="AK13" s="20">
        <f>변수!AK22</f>
        <v/>
      </c>
      <c r="AL13" s="20">
        <f>변수!AL22</f>
        <v/>
      </c>
      <c r="AM13" s="20">
        <f>변수!AM22</f>
        <v/>
      </c>
      <c r="AN13" s="20">
        <f>변수!AN22</f>
        <v/>
      </c>
      <c r="AO13" s="38">
        <f>SUM(AK13:AN13)</f>
        <v/>
      </c>
    </row>
    <row r="14">
      <c r="A14" s="12" t="inlineStr">
        <is>
          <t>기타영업외손익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기타영업외손익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SUM(L14:O14)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IFERROR(VLOOKUP($D14,BS연결,MATCH(Z$1,BS연결H,0),0)/100,"")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변수!AC23</f>
        <v/>
      </c>
      <c r="AD14" s="20">
        <f>변수!AD23</f>
        <v/>
      </c>
      <c r="AE14" s="38">
        <f>SUM(AA14:AD14)</f>
        <v/>
      </c>
      <c r="AF14" s="20">
        <f>변수!AF23</f>
        <v/>
      </c>
      <c r="AG14" s="20">
        <f>변수!AG23</f>
        <v/>
      </c>
      <c r="AH14" s="20">
        <f>변수!AH23</f>
        <v/>
      </c>
      <c r="AI14" s="20">
        <f>변수!AI23</f>
        <v/>
      </c>
      <c r="AJ14" s="38">
        <f>SUM(AF14:AI14)</f>
        <v/>
      </c>
      <c r="AK14" s="20">
        <f>변수!AK23</f>
        <v/>
      </c>
      <c r="AL14" s="20">
        <f>변수!AL23</f>
        <v/>
      </c>
      <c r="AM14" s="20">
        <f>변수!AM23</f>
        <v/>
      </c>
      <c r="AN14" s="20">
        <f>변수!AN23</f>
        <v/>
      </c>
      <c r="AO14" s="38">
        <f>SUM(AK14:AN14)</f>
        <v/>
      </c>
    </row>
    <row r="15">
      <c r="A15" s="12" t="inlineStr">
        <is>
          <t>지분법손익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종속기업,공동지배기업및관계기업관련손익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변수!AC24</f>
        <v/>
      </c>
      <c r="AD15" s="20">
        <f>변수!AD24</f>
        <v/>
      </c>
      <c r="AE15" s="38">
        <f>SUM(AA15:AD15)</f>
        <v/>
      </c>
      <c r="AF15" s="20">
        <f>변수!AF24</f>
        <v/>
      </c>
      <c r="AG15" s="20">
        <f>변수!AG24</f>
        <v/>
      </c>
      <c r="AH15" s="20">
        <f>변수!AH24</f>
        <v/>
      </c>
      <c r="AI15" s="20">
        <f>변수!AI24</f>
        <v/>
      </c>
      <c r="AJ15" s="38">
        <f>SUM(AF15:AI15)</f>
        <v/>
      </c>
      <c r="AK15" s="20">
        <f>변수!AK24</f>
        <v/>
      </c>
      <c r="AL15" s="20">
        <f>변수!AL24</f>
        <v/>
      </c>
      <c r="AM15" s="20">
        <f>변수!AM24</f>
        <v/>
      </c>
      <c r="AN15" s="20">
        <f>변수!AN24</f>
        <v/>
      </c>
      <c r="AO15" s="38">
        <f>SUM(AK15:AN15)</f>
        <v/>
      </c>
    </row>
    <row r="16">
      <c r="A16" s="12" t="inlineStr">
        <is>
          <t>세전이익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법인세비용차감전계속사업이익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IFERROR(AC9+AC11+AC14+AC15,"")</f>
        <v/>
      </c>
      <c r="AD16" s="20">
        <f>IFERROR(AD9+AD11+AD14+AD15,"")</f>
        <v/>
      </c>
      <c r="AE16" s="38">
        <f>SUM(AA16:AD16)</f>
        <v/>
      </c>
      <c r="AF16" s="20">
        <f>IFERROR(AF9+AF11+AF14+AF15,"")</f>
        <v/>
      </c>
      <c r="AG16" s="20">
        <f>IFERROR(AG9+AG11+AG14+AG15,"")</f>
        <v/>
      </c>
      <c r="AH16" s="20">
        <f>IFERROR(AH9+AH11+AH14+AH15,"")</f>
        <v/>
      </c>
      <c r="AI16" s="20">
        <f>IFERROR(AI9+AI11+AI14+AI15,"")</f>
        <v/>
      </c>
      <c r="AJ16" s="38">
        <f>SUM(AF16:AI16)</f>
        <v/>
      </c>
      <c r="AK16" s="20">
        <f>IFERROR(AK9+AK11+AK14+AK15,"")</f>
        <v/>
      </c>
      <c r="AL16" s="20">
        <f>IFERROR(AL9+AL11+AL14+AL15,"")</f>
        <v/>
      </c>
      <c r="AM16" s="20">
        <f>IFERROR(AM9+AM11+AM14+AM15,"")</f>
        <v/>
      </c>
      <c r="AN16" s="20">
        <f>IFERROR(AN9+AN11+AN14+AN15,"")</f>
        <v/>
      </c>
      <c r="AO16" s="38">
        <f>SUM(AK16:AN16)</f>
        <v/>
      </c>
    </row>
    <row r="17">
      <c r="A17" s="12" t="inlineStr">
        <is>
          <t>법인세비용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SUM(V17:Y17)</f>
        <v/>
      </c>
      <c r="AA17" s="18">
        <f>IFERROR(VLOOKUP($D17,BS연결,MATCH(AA$1,BS연결H,0),0)/100,"")</f>
        <v/>
      </c>
      <c r="AB17" s="19">
        <f>IFERROR(VLOOKUP($D17,BS연결,MATCH(AB$1,BS연결H,0),0)/100,"")</f>
        <v/>
      </c>
      <c r="AC17" s="20">
        <f>IFERROR(MAX(AC16,0)*변수!AC25,"")</f>
        <v/>
      </c>
      <c r="AD17" s="20">
        <f>IFERROR(MAX(AD16,0)*변수!AD25,"")</f>
        <v/>
      </c>
      <c r="AE17" s="38">
        <f>SUM(AA17:AD17)</f>
        <v/>
      </c>
      <c r="AF17" s="20">
        <f>IFERROR(MAX(AF16,0)*변수!AF25,"")</f>
        <v/>
      </c>
      <c r="AG17" s="20">
        <f>IFERROR(MAX(AG16,0)*변수!AG25,"")</f>
        <v/>
      </c>
      <c r="AH17" s="20">
        <f>IFERROR(MAX(AH16,0)*변수!AH25,"")</f>
        <v/>
      </c>
      <c r="AI17" s="20">
        <f>IFERROR(MAX(AI16,0)*변수!AI25,"")</f>
        <v/>
      </c>
      <c r="AJ17" s="38">
        <f>SUM(AF17:AI17)</f>
        <v/>
      </c>
      <c r="AK17" s="20">
        <f>IFERROR(MAX(AK16,0)*변수!AK25,"")</f>
        <v/>
      </c>
      <c r="AL17" s="20">
        <f>IFERROR(MAX(AL16,0)*변수!AL25,"")</f>
        <v/>
      </c>
      <c r="AM17" s="20">
        <f>IFERROR(MAX(AM16,0)*변수!AM25,"")</f>
        <v/>
      </c>
      <c r="AN17" s="20">
        <f>IFERROR(MAX(AN16,0)*변수!AN25,"")</f>
        <v/>
      </c>
      <c r="AO17" s="38">
        <f>SUM(AK17:AN17)</f>
        <v/>
      </c>
    </row>
    <row r="18">
      <c r="A18" s="12" t="inlineStr">
        <is>
          <t>당기순이익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당기순이익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IFERROR(AC16-AC17,"")</f>
        <v/>
      </c>
      <c r="AD18" s="20">
        <f>IFERROR(AD16-AD17,"")</f>
        <v/>
      </c>
      <c r="AE18" s="38">
        <f>SUM(AA18:AD18)</f>
        <v/>
      </c>
      <c r="AF18" s="20">
        <f>IFERROR(AF16-AF17,"")</f>
        <v/>
      </c>
      <c r="AG18" s="20">
        <f>IFERROR(AG16-AG17,"")</f>
        <v/>
      </c>
      <c r="AH18" s="20">
        <f>IFERROR(AH16-AH17,"")</f>
        <v/>
      </c>
      <c r="AI18" s="20">
        <f>IFERROR(AI16-AI17,"")</f>
        <v/>
      </c>
      <c r="AJ18" s="38">
        <f>SUM(AF18:AI18)</f>
        <v/>
      </c>
      <c r="AK18" s="20">
        <f>IFERROR(AK16-AK17,"")</f>
        <v/>
      </c>
      <c r="AL18" s="20">
        <f>IFERROR(AL16-AL17,"")</f>
        <v/>
      </c>
      <c r="AM18" s="20">
        <f>IFERROR(AM16-AM17,"")</f>
        <v/>
      </c>
      <c r="AN18" s="20">
        <f>IFERROR(AN16-AN17,"")</f>
        <v/>
      </c>
      <c r="AO18" s="38">
        <f>SUM(AK18:AN18)</f>
        <v/>
      </c>
    </row>
    <row r="19">
      <c r="A19" s="12" t="inlineStr">
        <is>
          <t>지배주주순이익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(지배주주지분)당기순이익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IFERROR(AC18*변수!AC26,"")</f>
        <v/>
      </c>
      <c r="AD19" s="20">
        <f>IFERROR(AD18*변수!AD26,"")</f>
        <v/>
      </c>
      <c r="AE19" s="38">
        <f>SUM(AA19:AD19)</f>
        <v/>
      </c>
      <c r="AF19" s="20">
        <f>IFERROR(AF18*변수!AF26,"")</f>
        <v/>
      </c>
      <c r="AG19" s="20">
        <f>IFERROR(AG18*변수!AG26,"")</f>
        <v/>
      </c>
      <c r="AH19" s="20">
        <f>IFERROR(AH18*변수!AH26,"")</f>
        <v/>
      </c>
      <c r="AI19" s="20">
        <f>IFERROR(AI18*변수!AI26,"")</f>
        <v/>
      </c>
      <c r="AJ19" s="38">
        <f>SUM(AF19:AI19)</f>
        <v/>
      </c>
      <c r="AK19" s="20">
        <f>IFERROR(AK18*변수!AK26,"")</f>
        <v/>
      </c>
      <c r="AL19" s="20">
        <f>IFERROR(AL18*변수!AL26,"")</f>
        <v/>
      </c>
      <c r="AM19" s="20">
        <f>IFERROR(AM18*변수!AM26,"")</f>
        <v/>
      </c>
      <c r="AN19" s="20">
        <f>IFERROR(AN18*변수!AN26,"")</f>
        <v/>
      </c>
      <c r="AO19" s="38">
        <f>SUM(AK19:AN19)</f>
        <v/>
      </c>
    </row>
    <row r="20">
      <c r="A20" s="12" t="inlineStr">
        <is>
          <t>중단사업이익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중단사업이익</t>
        </is>
      </c>
      <c r="E20" s="18" t="n"/>
      <c r="F20" s="37" t="n"/>
      <c r="G20" s="18" t="n"/>
      <c r="H20" s="18" t="n"/>
      <c r="I20" s="18" t="n"/>
      <c r="J20" s="18" t="n"/>
      <c r="K20" s="37">
        <f>SUM(G20:J20)</f>
        <v/>
      </c>
      <c r="L20" s="18" t="n"/>
      <c r="M20" s="18" t="n"/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SUM(L20:O20)</f>
        <v/>
      </c>
      <c r="Q20" s="18" t="n"/>
      <c r="R20" s="18" t="n"/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SUM(Q20:T20)</f>
        <v/>
      </c>
      <c r="V20" s="18" t="n"/>
      <c r="W20" s="18" t="n"/>
      <c r="X20" s="18" t="n"/>
      <c r="Y20" s="18" t="n"/>
      <c r="Z20" s="37">
        <f>SUM(V20:Y20)</f>
        <v/>
      </c>
      <c r="AA20" s="18" t="n"/>
      <c r="AB20" s="19" t="n"/>
      <c r="AC20" s="20" t="n"/>
      <c r="AD20" s="20" t="n"/>
      <c r="AE20" s="38">
        <f>SUM(AA20:AD20)</f>
        <v/>
      </c>
      <c r="AF20" s="20" t="n"/>
      <c r="AG20" s="20" t="n"/>
      <c r="AH20" s="20" t="n"/>
      <c r="AI20" s="20" t="n"/>
      <c r="AJ20" s="38">
        <f>SUM(AF20:AI20)</f>
        <v/>
      </c>
      <c r="AK20" s="20" t="n"/>
      <c r="AL20" s="20" t="n"/>
      <c r="AM20" s="20" t="n"/>
      <c r="AN20" s="20" t="n"/>
      <c r="AO20" s="38">
        <f>SUM(AK20:AN20)</f>
        <v/>
      </c>
    </row>
    <row r="21">
      <c r="A21" s="12" t="inlineStr">
        <is>
          <t>자산총계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자산총계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IFERROR(AC22+AC23,"")</f>
        <v/>
      </c>
      <c r="AD21" s="20">
        <f>IFERROR(AD22+AD23,"")</f>
        <v/>
      </c>
      <c r="AE21" s="38">
        <f>AD21</f>
        <v/>
      </c>
      <c r="AF21" s="20">
        <f>IFERROR(AF22+AF23,"")</f>
        <v/>
      </c>
      <c r="AG21" s="20">
        <f>IFERROR(AG22+AG23,"")</f>
        <v/>
      </c>
      <c r="AH21" s="20">
        <f>IFERROR(AH22+AH23,"")</f>
        <v/>
      </c>
      <c r="AI21" s="20">
        <f>IFERROR(AI22+AI23,"")</f>
        <v/>
      </c>
      <c r="AJ21" s="38">
        <f>AI21</f>
        <v/>
      </c>
      <c r="AK21" s="20">
        <f>IFERROR(AK22+AK23,"")</f>
        <v/>
      </c>
      <c r="AL21" s="20">
        <f>IFERROR(AL22+AL23,"")</f>
        <v/>
      </c>
      <c r="AM21" s="20">
        <f>IFERROR(AM22+AM23,"")</f>
        <v/>
      </c>
      <c r="AN21" s="20">
        <f>IFERROR(AN22+AN23,"")</f>
        <v/>
      </c>
      <c r="AO21" s="38">
        <f>AN21</f>
        <v/>
      </c>
    </row>
    <row r="22">
      <c r="A22" s="12" t="inlineStr">
        <is>
          <t>부채총계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부채총계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IFERROR(AB22*(1+변수!AC28),"")</f>
        <v/>
      </c>
      <c r="AD22" s="20">
        <f>IFERROR(AC22*(1+변수!AD28),"")</f>
        <v/>
      </c>
      <c r="AE22" s="38">
        <f>AD22</f>
        <v/>
      </c>
      <c r="AF22" s="20">
        <f>IFERROR(AD22*(1+변수!AF28),"")</f>
        <v/>
      </c>
      <c r="AG22" s="20">
        <f>IFERROR(AF22*(1+변수!AG28),"")</f>
        <v/>
      </c>
      <c r="AH22" s="20">
        <f>IFERROR(AG22*(1+변수!AH28),"")</f>
        <v/>
      </c>
      <c r="AI22" s="20">
        <f>IFERROR(AH22*(1+변수!AI28),"")</f>
        <v/>
      </c>
      <c r="AJ22" s="38">
        <f>AI22</f>
        <v/>
      </c>
      <c r="AK22" s="20">
        <f>IFERROR(AI22*(1+변수!AK28),"")</f>
        <v/>
      </c>
      <c r="AL22" s="20">
        <f>IFERROR(AK22*(1+변수!AL28),"")</f>
        <v/>
      </c>
      <c r="AM22" s="20">
        <f>IFERROR(AL22*(1+변수!AM28),"")</f>
        <v/>
      </c>
      <c r="AN22" s="20">
        <f>IFERROR(AM22*(1+변수!AN28),"")</f>
        <v/>
      </c>
      <c r="AO22" s="38">
        <f>AN22</f>
        <v/>
      </c>
    </row>
    <row r="23">
      <c r="A23" s="12" t="inlineStr">
        <is>
          <t>자본총계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자본총계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IFERROR(AB23+AC18-변수!AC29,"")</f>
        <v/>
      </c>
      <c r="AD23" s="20">
        <f>IFERROR(AC23+AD18-변수!AD29,"")</f>
        <v/>
      </c>
      <c r="AE23" s="38">
        <f>AD23</f>
        <v/>
      </c>
      <c r="AF23" s="20">
        <f>IFERROR(AD23+AF18-변수!AF29,"")</f>
        <v/>
      </c>
      <c r="AG23" s="20">
        <f>IFERROR(AF23+AG18-변수!AG29,"")</f>
        <v/>
      </c>
      <c r="AH23" s="20">
        <f>IFERROR(AG23+AH18-변수!AH29,"")</f>
        <v/>
      </c>
      <c r="AI23" s="20">
        <f>IFERROR(AH23+AI18-변수!AI29,"")</f>
        <v/>
      </c>
      <c r="AJ23" s="38">
        <f>AI23</f>
        <v/>
      </c>
      <c r="AK23" s="20">
        <f>IFERROR(AI23+AK18-변수!AK29,"")</f>
        <v/>
      </c>
      <c r="AL23" s="20">
        <f>IFERROR(AK23+AL18-변수!AL29,"")</f>
        <v/>
      </c>
      <c r="AM23" s="20">
        <f>IFERROR(AL23+AM18-변수!AM29,"")</f>
        <v/>
      </c>
      <c r="AN23" s="20">
        <f>IFERROR(AM23+AN18-변수!AN29,"")</f>
        <v/>
      </c>
      <c r="AO23" s="38">
        <f>AN23</f>
        <v/>
      </c>
    </row>
    <row r="24">
      <c r="A24" s="12" t="inlineStr">
        <is>
          <t>지배주주지분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지배주주지분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IFERROR(AB24+AC19-변수!AC30,"")</f>
        <v/>
      </c>
      <c r="AD24" s="20">
        <f>IFERROR(AC24+AD19-변수!AD30,"")</f>
        <v/>
      </c>
      <c r="AE24" s="38">
        <f>AD24</f>
        <v/>
      </c>
      <c r="AF24" s="20">
        <f>IFERROR(AD24+AF19-변수!AF30,"")</f>
        <v/>
      </c>
      <c r="AG24" s="20">
        <f>IFERROR(AF24+AG19-변수!AG30,"")</f>
        <v/>
      </c>
      <c r="AH24" s="20">
        <f>IFERROR(AG24+AH19-변수!AH30,"")</f>
        <v/>
      </c>
      <c r="AI24" s="20">
        <f>IFERROR(AH24+AI19-변수!AI30,"")</f>
        <v/>
      </c>
      <c r="AJ24" s="38">
        <f>AI24</f>
        <v/>
      </c>
      <c r="AK24" s="20">
        <f>IFERROR(AI24+AK19-변수!AK30,"")</f>
        <v/>
      </c>
      <c r="AL24" s="20">
        <f>IFERROR(AK24+AL19-변수!AL30,"")</f>
        <v/>
      </c>
      <c r="AM24" s="20">
        <f>IFERROR(AL24+AM19-변수!AM30,"")</f>
        <v/>
      </c>
      <c r="AN24" s="20">
        <f>IFERROR(AM24+AN19-변수!AN30,"")</f>
        <v/>
      </c>
      <c r="AO24" s="38">
        <f>AN24</f>
        <v/>
      </c>
    </row>
    <row r="25">
      <c r="A25" s="12" t="inlineStr">
        <is>
          <t>총차입금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총차입금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IFERROR(AB25*(1+변수!AC31),"")</f>
        <v/>
      </c>
      <c r="AD25" s="20">
        <f>IFERROR(AC25*(1+변수!AD31),"")</f>
        <v/>
      </c>
      <c r="AE25" s="38">
        <f>AD25</f>
        <v/>
      </c>
      <c r="AF25" s="20">
        <f>IFERROR(AD25*(1+변수!AF31),"")</f>
        <v/>
      </c>
      <c r="AG25" s="20">
        <f>IFERROR(AF25*(1+변수!AG31),"")</f>
        <v/>
      </c>
      <c r="AH25" s="20">
        <f>IFERROR(AG25*(1+변수!AH31),"")</f>
        <v/>
      </c>
      <c r="AI25" s="20">
        <f>IFERROR(AH25*(1+변수!AI31),"")</f>
        <v/>
      </c>
      <c r="AJ25" s="38">
        <f>AI25</f>
        <v/>
      </c>
      <c r="AK25" s="20">
        <f>IFERROR(AI25*(1+변수!AK31),"")</f>
        <v/>
      </c>
      <c r="AL25" s="20">
        <f>IFERROR(AK25*(1+변수!AL31),"")</f>
        <v/>
      </c>
      <c r="AM25" s="20">
        <f>IFERROR(AL25*(1+변수!AM31),"")</f>
        <v/>
      </c>
      <c r="AN25" s="20">
        <f>IFERROR(AM25*(1+변수!AN31),"")</f>
        <v/>
      </c>
      <c r="AO25" s="38">
        <f>AN25</f>
        <v/>
      </c>
    </row>
    <row r="26">
      <c r="A26" s="12" t="inlineStr">
        <is>
          <t>순차입금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순차입금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IFERROR(AB26*(1+변수!AC32),"")</f>
        <v/>
      </c>
      <c r="AD26" s="20">
        <f>IFERROR(AC26*(1+변수!AD32),"")</f>
        <v/>
      </c>
      <c r="AE26" s="38">
        <f>AD26</f>
        <v/>
      </c>
      <c r="AF26" s="20">
        <f>IFERROR(AD26*(1+변수!AF32),"")</f>
        <v/>
      </c>
      <c r="AG26" s="20">
        <f>IFERROR(AF26*(1+변수!AG32),"")</f>
        <v/>
      </c>
      <c r="AH26" s="20">
        <f>IFERROR(AG26*(1+변수!AH32),"")</f>
        <v/>
      </c>
      <c r="AI26" s="20">
        <f>IFERROR(AH26*(1+변수!AI32),"")</f>
        <v/>
      </c>
      <c r="AJ26" s="38">
        <f>AI26</f>
        <v/>
      </c>
      <c r="AK26" s="20">
        <f>IFERROR(AI26*(1+변수!AK32),"")</f>
        <v/>
      </c>
      <c r="AL26" s="20">
        <f>IFERROR(AK26*(1+변수!AL32),"")</f>
        <v/>
      </c>
      <c r="AM26" s="20">
        <f>IFERROR(AL26*(1+변수!AM32),"")</f>
        <v/>
      </c>
      <c r="AN26" s="20">
        <f>IFERROR(AM26*(1+변수!AN32),"")</f>
        <v/>
      </c>
      <c r="AO26" s="38">
        <f>AN26</f>
        <v/>
      </c>
    </row>
    <row r="27">
      <c r="A27" s="12" t="inlineStr">
        <is>
          <t>이자발생자산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이자발생자산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IFERROR(AB27*(1+변수!AC33),"")</f>
        <v/>
      </c>
      <c r="AD27" s="20">
        <f>IFERROR(AC27*(1+변수!AD33),"")</f>
        <v/>
      </c>
      <c r="AE27" s="38">
        <f>AD27</f>
        <v/>
      </c>
      <c r="AF27" s="20">
        <f>IFERROR(AD27*(1+변수!AF33),"")</f>
        <v/>
      </c>
      <c r="AG27" s="20">
        <f>IFERROR(AF27*(1+변수!AG33),"")</f>
        <v/>
      </c>
      <c r="AH27" s="20">
        <f>IFERROR(AG27*(1+변수!AH33),"")</f>
        <v/>
      </c>
      <c r="AI27" s="20">
        <f>IFERROR(AH27*(1+변수!AI33),"")</f>
        <v/>
      </c>
      <c r="AJ27" s="38">
        <f>AI27</f>
        <v/>
      </c>
      <c r="AK27" s="20">
        <f>IFERROR(AI27*(1+변수!AK33),"")</f>
        <v/>
      </c>
      <c r="AL27" s="20">
        <f>IFERROR(AK27*(1+변수!AL33),"")</f>
        <v/>
      </c>
      <c r="AM27" s="20">
        <f>IFERROR(AL27*(1+변수!AM33),"")</f>
        <v/>
      </c>
      <c r="AN27" s="20">
        <f>IFERROR(AM27*(1+변수!AN33),"")</f>
        <v/>
      </c>
      <c r="AO27" s="38">
        <f>AN27</f>
        <v/>
      </c>
    </row>
    <row r="28">
      <c r="A28" s="12" t="inlineStr">
        <is>
          <t>현금및현금성자산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현금및현금성자산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 t="n"/>
      <c r="AD28" s="20" t="n"/>
      <c r="AE28" s="38">
        <f>AD28</f>
        <v/>
      </c>
      <c r="AF28" s="20" t="n"/>
      <c r="AG28" s="20" t="n"/>
      <c r="AH28" s="20" t="n"/>
      <c r="AI28" s="20" t="n"/>
      <c r="AJ28" s="38">
        <f>AI28</f>
        <v/>
      </c>
      <c r="AK28" s="20" t="n"/>
      <c r="AL28" s="20" t="n"/>
      <c r="AM28" s="20" t="n"/>
      <c r="AN28" s="20" t="n"/>
      <c r="AO28" s="38">
        <f>AN28</f>
        <v/>
      </c>
    </row>
    <row r="29">
      <c r="A29" s="12" t="inlineStr">
        <is>
          <t>CAPEX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CAPEX</t>
        </is>
      </c>
      <c r="E29" s="18">
        <f>IFERROR(VLOOKUP($D29,BS연결,MATCH(E$1,BS연결H,0),0)/100,"")</f>
        <v/>
      </c>
      <c r="F29" s="37" t="n"/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IFERROR(X29*(1+변수!AC35),"")</f>
        <v/>
      </c>
      <c r="AD29" s="20">
        <f>IFERROR(Y29*(1+변수!AD35),"")</f>
        <v/>
      </c>
      <c r="AE29" s="38">
        <f>SUM(AA29:AD29)</f>
        <v/>
      </c>
      <c r="AF29" s="20">
        <f>IFERROR(AA29*(1+변수!AF35),"")</f>
        <v/>
      </c>
      <c r="AG29" s="20">
        <f>IFERROR(AB29*(1+변수!AG35),"")</f>
        <v/>
      </c>
      <c r="AH29" s="20">
        <f>IFERROR(AC29*(1+변수!AH35),"")</f>
        <v/>
      </c>
      <c r="AI29" s="20">
        <f>IFERROR(AD29*(1+변수!AI35),"")</f>
        <v/>
      </c>
      <c r="AJ29" s="38">
        <f>SUM(AF29:AI29)</f>
        <v/>
      </c>
      <c r="AK29" s="20">
        <f>IFERROR(AF29*(1+변수!AK35),"")</f>
        <v/>
      </c>
      <c r="AL29" s="20">
        <f>IFERROR(AG29*(1+변수!AL35),"")</f>
        <v/>
      </c>
      <c r="AM29" s="20">
        <f>IFERROR(AH29*(1+변수!AM35),"")</f>
        <v/>
      </c>
      <c r="AN29" s="20">
        <f>IFERROR(AI29*(1+변수!AN35),"")</f>
        <v/>
      </c>
      <c r="AO29" s="38">
        <f>SUM(AK29:AN29)</f>
        <v/>
      </c>
    </row>
    <row r="30">
      <c r="A30" s="12" t="inlineStr">
        <is>
          <t>영업활동현금흐름</t>
        </is>
      </c>
      <c r="B30" t="inlineStr">
        <is>
          <t>현금흐름</t>
        </is>
      </c>
      <c r="C30" t="inlineStr">
        <is>
          <t>억원</t>
        </is>
      </c>
      <c r="D30" t="inlineStr">
        <is>
          <t>영업활동으로인한현금흐름</t>
        </is>
      </c>
      <c r="E30" s="18">
        <f>IFERROR(VLOOKUP($D30,BS연결,MATCH(E$1,BS연결H,0),0)/100,"")</f>
        <v/>
      </c>
      <c r="F30" s="37" t="n"/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SUM(AA30:AD30)</f>
        <v/>
      </c>
      <c r="AF30" s="20" t="n"/>
      <c r="AG30" s="20" t="n"/>
      <c r="AH30" s="20" t="n"/>
      <c r="AI30" s="20" t="n"/>
      <c r="AJ30" s="38">
        <f>SUM(AF30:AI30)</f>
        <v/>
      </c>
      <c r="AK30" s="20" t="n"/>
      <c r="AL30" s="20" t="n"/>
      <c r="AM30" s="20" t="n"/>
      <c r="AN30" s="20" t="n"/>
      <c r="AO30" s="38">
        <f>SUM(AK30:AN30)</f>
        <v/>
      </c>
    </row>
    <row r="31">
      <c r="A31" s="12" t="inlineStr">
        <is>
          <t>주식수</t>
        </is>
      </c>
      <c r="B31" t="inlineStr">
        <is>
          <t>주당</t>
        </is>
      </c>
      <c r="C31" t="inlineStr">
        <is>
          <t>백만주</t>
        </is>
      </c>
      <c r="D31" t="inlineStr">
        <is>
          <t>유통주식수</t>
        </is>
      </c>
      <c r="E31" s="26" t="n">
        <v>54.821</v>
      </c>
      <c r="F31" s="27">
        <f>E31</f>
        <v/>
      </c>
      <c r="G31" s="26" t="n">
        <v>54.898</v>
      </c>
      <c r="H31" s="26" t="n">
        <v>54.898</v>
      </c>
      <c r="I31" s="26" t="n">
        <v>54.898</v>
      </c>
      <c r="J31" s="26" t="n">
        <v>54.898</v>
      </c>
      <c r="K31" s="27">
        <f>J31</f>
        <v/>
      </c>
      <c r="L31" s="26" t="n">
        <v>54.898</v>
      </c>
      <c r="M31" s="26" t="n">
        <v>54.898</v>
      </c>
      <c r="N31" s="26" t="n">
        <v>54.898</v>
      </c>
      <c r="O31" s="26" t="n">
        <v>54.898</v>
      </c>
      <c r="P31" s="27">
        <f>O31</f>
        <v/>
      </c>
      <c r="Q31" s="26" t="n">
        <v>56.849</v>
      </c>
      <c r="R31" s="26" t="n">
        <v>56.849</v>
      </c>
      <c r="S31" s="26" t="n">
        <v>56.849</v>
      </c>
      <c r="T31" s="26" t="n">
        <v>56.849</v>
      </c>
      <c r="U31" s="27">
        <f>T31</f>
        <v/>
      </c>
      <c r="V31" s="26" t="n">
        <v>56.849</v>
      </c>
      <c r="W31" s="26" t="n">
        <v>56.849</v>
      </c>
      <c r="X31" s="26" t="n">
        <v>56.849</v>
      </c>
      <c r="Y31" s="26" t="n">
        <v>56.849</v>
      </c>
      <c r="Z31" s="27">
        <f>Y31</f>
        <v/>
      </c>
      <c r="AA31" s="26" t="n">
        <v>56.849</v>
      </c>
      <c r="AB31" s="28" t="n">
        <v>56.849</v>
      </c>
      <c r="AC31" s="31">
        <f>IFERROR(AB31*(1+변수!AC37),"")</f>
        <v/>
      </c>
      <c r="AD31" s="31">
        <f>IFERROR(AC31*(1+변수!AD37),"")</f>
        <v/>
      </c>
      <c r="AE31" s="30">
        <f>AD31</f>
        <v/>
      </c>
      <c r="AF31" s="31">
        <f>IFERROR(AD31*(1+변수!AF37),"")</f>
        <v/>
      </c>
      <c r="AG31" s="31">
        <f>IFERROR(AF31*(1+변수!AG37),"")</f>
        <v/>
      </c>
      <c r="AH31" s="31">
        <f>IFERROR(AG31*(1+변수!AH37),"")</f>
        <v/>
      </c>
      <c r="AI31" s="31">
        <f>IFERROR(AH31*(1+변수!AI37),"")</f>
        <v/>
      </c>
      <c r="AJ31" s="30">
        <f>AI31</f>
        <v/>
      </c>
      <c r="AK31" s="31">
        <f>IFERROR(AI31*(1+변수!AK37),"")</f>
        <v/>
      </c>
      <c r="AL31" s="31">
        <f>IFERROR(AK31*(1+변수!AL37),"")</f>
        <v/>
      </c>
      <c r="AM31" s="31">
        <f>IFERROR(AL31*(1+변수!AM37),"")</f>
        <v/>
      </c>
      <c r="AN31" s="31">
        <f>IFERROR(AM31*(1+변수!AN37),"")</f>
        <v/>
      </c>
      <c r="AO31" s="30">
        <f>AN31</f>
        <v/>
      </c>
    </row>
    <row r="32">
      <c r="A32" s="12" t="inlineStr">
        <is>
          <t>EPS</t>
        </is>
      </c>
      <c r="B32" t="inlineStr">
        <is>
          <t>주당</t>
        </is>
      </c>
      <c r="C32" t="inlineStr">
        <is>
          <t>원</t>
        </is>
      </c>
      <c r="D32" t="inlineStr">
        <is>
          <t>EPS</t>
        </is>
      </c>
      <c r="E32" s="18">
        <f>IFERROR(E19*100/E31,"")</f>
        <v/>
      </c>
      <c r="F32" s="37" t="n"/>
      <c r="G32" s="18">
        <f>IFERROR(G19*100/G31,"")</f>
        <v/>
      </c>
      <c r="H32" s="18">
        <f>IFERROR(H19*100/H31,"")</f>
        <v/>
      </c>
      <c r="I32" s="18">
        <f>IFERROR(I19*100/I31,"")</f>
        <v/>
      </c>
      <c r="J32" s="18">
        <f>IFERROR(J19*100/J31,"")</f>
        <v/>
      </c>
      <c r="K32" s="37">
        <f>SUM(G32:J32)</f>
        <v/>
      </c>
      <c r="L32" s="18">
        <f>IFERROR(L19*100/L31,"")</f>
        <v/>
      </c>
      <c r="M32" s="18">
        <f>IFERROR(M19*100/M31,"")</f>
        <v/>
      </c>
      <c r="N32" s="18">
        <f>IFERROR(N19*100/N31,"")</f>
        <v/>
      </c>
      <c r="O32" s="18">
        <f>IFERROR(O19*100/O31,"")</f>
        <v/>
      </c>
      <c r="P32" s="37">
        <f>SUM(L32:O32)</f>
        <v/>
      </c>
      <c r="Q32" s="18">
        <f>IFERROR(Q19*100/Q31,"")</f>
        <v/>
      </c>
      <c r="R32" s="18">
        <f>IFERROR(R19*100/R31,"")</f>
        <v/>
      </c>
      <c r="S32" s="18">
        <f>IFERROR(S19*100/S31,"")</f>
        <v/>
      </c>
      <c r="T32" s="18">
        <f>IFERROR(T19*100/T31,"")</f>
        <v/>
      </c>
      <c r="U32" s="37">
        <f>SUM(Q32:T32)</f>
        <v/>
      </c>
      <c r="V32" s="18">
        <f>IFERROR(V19*100/V31,"")</f>
        <v/>
      </c>
      <c r="W32" s="18">
        <f>IFERROR(W19*100/W31,"")</f>
        <v/>
      </c>
      <c r="X32" s="18">
        <f>IFERROR(X19*100/X31,"")</f>
        <v/>
      </c>
      <c r="Y32" s="18">
        <f>IFERROR(Y19*100/Y31,"")</f>
        <v/>
      </c>
      <c r="Z32" s="37">
        <f>SUM(V32:Y32)</f>
        <v/>
      </c>
      <c r="AA32" s="18">
        <f>IFERROR(AA19*100/AA31,"")</f>
        <v/>
      </c>
      <c r="AB32" s="19">
        <f>IFERROR(AB19*100/AB31,"")</f>
        <v/>
      </c>
      <c r="AC32" s="20">
        <f>IFERROR(AC19*100/AC31,"")</f>
        <v/>
      </c>
      <c r="AD32" s="20">
        <f>IFERROR(AD19*100/AD31,"")</f>
        <v/>
      </c>
      <c r="AE32" s="38">
        <f>SUM(AA32:AD32)</f>
        <v/>
      </c>
      <c r="AF32" s="20">
        <f>IFERROR(AF19*100/AF31,"")</f>
        <v/>
      </c>
      <c r="AG32" s="20">
        <f>IFERROR(AG19*100/AG31,"")</f>
        <v/>
      </c>
      <c r="AH32" s="20">
        <f>IFERROR(AH19*100/AH31,"")</f>
        <v/>
      </c>
      <c r="AI32" s="20">
        <f>IFERROR(AI19*100/AI31,"")</f>
        <v/>
      </c>
      <c r="AJ32" s="38">
        <f>SUM(AF32:AI32)</f>
        <v/>
      </c>
      <c r="AK32" s="20">
        <f>IFERROR(AK19*100/AK31,"")</f>
        <v/>
      </c>
      <c r="AL32" s="20">
        <f>IFERROR(AL19*100/AL31,"")</f>
        <v/>
      </c>
      <c r="AM32" s="20">
        <f>IFERROR(AM19*100/AM31,"")</f>
        <v/>
      </c>
      <c r="AN32" s="20">
        <f>IFERROR(AN19*100/AN31,"")</f>
        <v/>
      </c>
      <c r="AO32" s="38">
        <f>SUM(AK32:AN32)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IFERROR(E24*100/E31,"")</f>
        <v/>
      </c>
      <c r="F33" s="37">
        <f>E33</f>
        <v/>
      </c>
      <c r="G33" s="18">
        <f>IFERROR(G24*100/G31,"")</f>
        <v/>
      </c>
      <c r="H33" s="18">
        <f>IFERROR(H24*100/H31,"")</f>
        <v/>
      </c>
      <c r="I33" s="18">
        <f>IFERROR(I24*100/I31,"")</f>
        <v/>
      </c>
      <c r="J33" s="18">
        <f>IFERROR(J24*100/J31,"")</f>
        <v/>
      </c>
      <c r="K33" s="37">
        <f>J33</f>
        <v/>
      </c>
      <c r="L33" s="18">
        <f>IFERROR(L24*100/L31,"")</f>
        <v/>
      </c>
      <c r="M33" s="18">
        <f>IFERROR(M24*100/M31,"")</f>
        <v/>
      </c>
      <c r="N33" s="18">
        <f>IFERROR(N24*100/N31,"")</f>
        <v/>
      </c>
      <c r="O33" s="18">
        <f>IFERROR(O24*100/O31,"")</f>
        <v/>
      </c>
      <c r="P33" s="37">
        <f>O33</f>
        <v/>
      </c>
      <c r="Q33" s="18">
        <f>IFERROR(Q24*100/Q31,"")</f>
        <v/>
      </c>
      <c r="R33" s="18">
        <f>IFERROR(R24*100/R31,"")</f>
        <v/>
      </c>
      <c r="S33" s="18">
        <f>IFERROR(S24*100/S31,"")</f>
        <v/>
      </c>
      <c r="T33" s="18">
        <f>IFERROR(T24*100/T31,"")</f>
        <v/>
      </c>
      <c r="U33" s="37">
        <f>T33</f>
        <v/>
      </c>
      <c r="V33" s="18">
        <f>IFERROR(V24*100/V31,"")</f>
        <v/>
      </c>
      <c r="W33" s="18">
        <f>IFERROR(W24*100/W31,"")</f>
        <v/>
      </c>
      <c r="X33" s="18">
        <f>IFERROR(X24*100/X31,"")</f>
        <v/>
      </c>
      <c r="Y33" s="18">
        <f>IFERROR(Y24*100/Y31,"")</f>
        <v/>
      </c>
      <c r="Z33" s="37">
        <f>Y33</f>
        <v/>
      </c>
      <c r="AA33" s="18">
        <f>IFERROR(AA24*100/AA31,"")</f>
        <v/>
      </c>
      <c r="AB33" s="19">
        <f>IFERROR(AB24*100/AB31,"")</f>
        <v/>
      </c>
      <c r="AC33" s="20">
        <f>IFERROR(AC24*100/AC31,"")</f>
        <v/>
      </c>
      <c r="AD33" s="20">
        <f>IFERROR(AD24*100/AD31,"")</f>
        <v/>
      </c>
      <c r="AE33" s="38">
        <f>AD33</f>
        <v/>
      </c>
      <c r="AF33" s="20">
        <f>IFERROR(AF24*100/AF31,"")</f>
        <v/>
      </c>
      <c r="AG33" s="20">
        <f>IFERROR(AG24*100/AG31,"")</f>
        <v/>
      </c>
      <c r="AH33" s="20">
        <f>IFERROR(AH24*100/AH31,"")</f>
        <v/>
      </c>
      <c r="AI33" s="20">
        <f>IFERROR(AI24*100/AI31,"")</f>
        <v/>
      </c>
      <c r="AJ33" s="38">
        <f>AI33</f>
        <v/>
      </c>
      <c r="AK33" s="20">
        <f>IFERROR(AK24*100/AK31,"")</f>
        <v/>
      </c>
      <c r="AL33" s="20">
        <f>IFERROR(AL24*100/AL31,"")</f>
        <v/>
      </c>
      <c r="AM33" s="20">
        <f>IFERROR(AM24*100/AM31,"")</f>
        <v/>
      </c>
      <c r="AN33" s="20">
        <f>IFERROR(AN24*100/AN31,"")</f>
        <v/>
      </c>
      <c r="AO33" s="38">
        <f>AN33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150</v>
      </c>
      <c r="F34" s="37" t="n">
        <v>150</v>
      </c>
      <c r="G34" s="18" t="n"/>
      <c r="H34" s="18" t="n"/>
      <c r="I34" s="18" t="n"/>
      <c r="J34" s="18" t="n">
        <v>150</v>
      </c>
      <c r="K34" s="37">
        <f>SUM(G34:J34)</f>
        <v/>
      </c>
      <c r="L34" s="18" t="n"/>
      <c r="M34" s="18" t="n"/>
      <c r="N34" s="18" t="n"/>
      <c r="O34" s="18" t="n">
        <v>200</v>
      </c>
      <c r="P34" s="37">
        <f>SUM(L34:O34)</f>
        <v/>
      </c>
      <c r="Q34" s="18" t="n"/>
      <c r="R34" s="18" t="n"/>
      <c r="S34" s="18" t="n"/>
      <c r="T34" s="18" t="n">
        <v>200</v>
      </c>
      <c r="U34" s="37">
        <f>SUM(Q34:T34)</f>
        <v/>
      </c>
      <c r="V34" s="18" t="n"/>
      <c r="W34" s="18" t="n"/>
      <c r="X34" s="18" t="n"/>
      <c r="Y34" s="18" t="n">
        <v>225</v>
      </c>
      <c r="Z34" s="37">
        <f>SUM(V34:Y34)</f>
        <v/>
      </c>
      <c r="AA34" s="18" t="n"/>
      <c r="AB34" s="19" t="n"/>
      <c r="AC34" s="20" t="n"/>
      <c r="AD34" s="20">
        <f>변수!AD38</f>
        <v/>
      </c>
      <c r="AE34" s="38">
        <f>SUM(AA34:AD34)</f>
        <v/>
      </c>
      <c r="AF34" s="20" t="n"/>
      <c r="AG34" s="20" t="n"/>
      <c r="AH34" s="20" t="n"/>
      <c r="AI34" s="20">
        <f>변수!AI38</f>
        <v/>
      </c>
      <c r="AJ34" s="38">
        <f>SUM(AF34:AI34)</f>
        <v/>
      </c>
      <c r="AK34" s="20" t="n"/>
      <c r="AL34" s="20" t="n"/>
      <c r="AM34" s="20" t="n"/>
      <c r="AN34" s="20">
        <f>변수!AN38</f>
        <v/>
      </c>
      <c r="AO34" s="38">
        <f>SUM(AK34:AN34)</f>
        <v/>
      </c>
    </row>
    <row r="35">
      <c r="A35" s="12" t="inlineStr">
        <is>
          <t>PER</t>
        </is>
      </c>
      <c r="B35" t="inlineStr">
        <is>
          <t>주당</t>
        </is>
      </c>
      <c r="C35" t="inlineStr">
        <is>
          <t>배</t>
        </is>
      </c>
      <c r="D35" t="inlineStr">
        <is>
          <t>PER</t>
        </is>
      </c>
      <c r="E35" s="13" t="n"/>
      <c r="F35" s="14">
        <f>E35</f>
        <v/>
      </c>
      <c r="G35" s="13" t="n"/>
      <c r="H35" s="13" t="n"/>
      <c r="I35" s="13" t="n"/>
      <c r="J35" s="13">
        <f>IFERROR(변수!J18/(G32+H32+I32+J32),"")</f>
        <v/>
      </c>
      <c r="K35" s="14">
        <f>J35</f>
        <v/>
      </c>
      <c r="L35" s="13">
        <f>IFERROR(변수!L18/(H32+I32+J32+L32),"")</f>
        <v/>
      </c>
      <c r="M35" s="13">
        <f>IFERROR(변수!M18/(I32+J32+L32+M32),"")</f>
        <v/>
      </c>
      <c r="N35" s="13">
        <f>IFERROR(변수!N18/(J32+L32+M32+N32),"")</f>
        <v/>
      </c>
      <c r="O35" s="13">
        <f>IFERROR(변수!O18/(L32+M32+N32+O32),"")</f>
        <v/>
      </c>
      <c r="P35" s="14">
        <f>O35</f>
        <v/>
      </c>
      <c r="Q35" s="13">
        <f>IFERROR(변수!Q18/(M32+N32+O32+Q32),"")</f>
        <v/>
      </c>
      <c r="R35" s="13">
        <f>IFERROR(변수!R18/(N32+O32+Q32+R32),"")</f>
        <v/>
      </c>
      <c r="S35" s="13">
        <f>IFERROR(변수!S18/(O32+Q32+R32+S32),"")</f>
        <v/>
      </c>
      <c r="T35" s="13">
        <f>IFERROR(변수!T18/(Q32+R32+S32+T32),"")</f>
        <v/>
      </c>
      <c r="U35" s="14">
        <f>T35</f>
        <v/>
      </c>
      <c r="V35" s="13">
        <f>IFERROR(변수!V18/(R32+S32+T32+V32),"")</f>
        <v/>
      </c>
      <c r="W35" s="13">
        <f>IFERROR(변수!W18/(S32+T32+V32+W32),"")</f>
        <v/>
      </c>
      <c r="X35" s="13">
        <f>IFERROR(변수!X18/(T32+V32+W32+X32),"")</f>
        <v/>
      </c>
      <c r="Y35" s="13">
        <f>IFERROR(변수!Y18/(V32+W32+X32+Y32),"")</f>
        <v/>
      </c>
      <c r="Z35" s="14">
        <f>Y35</f>
        <v/>
      </c>
      <c r="AA35" s="13">
        <f>IFERROR(변수!AA18/(W32+X32+Y32+AA32),"")</f>
        <v/>
      </c>
      <c r="AB35" s="15">
        <f>IFERROR(변수!AB18/(X32+Y32+AA32+AB32),"")</f>
        <v/>
      </c>
      <c r="AC35" s="39">
        <f>IFERROR(변수!$D$47/(Y32+AA32+AB32+AC32),"")</f>
        <v/>
      </c>
      <c r="AD35" s="39">
        <f>IFERROR(변수!$D$47/(AA32+AB32+AC32+AD32),"")</f>
        <v/>
      </c>
      <c r="AE35" s="40">
        <f>AD35</f>
        <v/>
      </c>
      <c r="AF35" s="39">
        <f>IFERROR(변수!$D$47/(AB32+AC32+AD32+AF32),"")</f>
        <v/>
      </c>
      <c r="AG35" s="39">
        <f>IFERROR(변수!$D$47/(AC32+AD32+AF32+AG32),"")</f>
        <v/>
      </c>
      <c r="AH35" s="39">
        <f>IFERROR(변수!$D$47/(AD32+AF32+AG32+AH32),"")</f>
        <v/>
      </c>
      <c r="AI35" s="39">
        <f>IFERROR(변수!$D$47/(AF32+AG32+AH32+AI32),"")</f>
        <v/>
      </c>
      <c r="AJ35" s="40">
        <f>AI35</f>
        <v/>
      </c>
      <c r="AK35" s="39">
        <f>IFERROR(변수!$D$47/(AG32+AH32+AI32+AK32),"")</f>
        <v/>
      </c>
      <c r="AL35" s="39">
        <f>IFERROR(변수!$D$47/(AH32+AI32+AK32+AL32),"")</f>
        <v/>
      </c>
      <c r="AM35" s="39">
        <f>IFERROR(변수!$D$47/(AI32+AK32+AL32+AM32),"")</f>
        <v/>
      </c>
      <c r="AN35" s="39">
        <f>IFERROR(변수!$D$47/(AK32+AL32+AM32+AN32),"")</f>
        <v/>
      </c>
      <c r="AO35" s="40">
        <f>AN35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>
        <f>IFERROR(변수!E18/E33,"")</f>
        <v/>
      </c>
      <c r="F36" s="14">
        <f>E36</f>
        <v/>
      </c>
      <c r="G36" s="13">
        <f>IFERROR(변수!G18/G33,"")</f>
        <v/>
      </c>
      <c r="H36" s="13">
        <f>IFERROR(변수!H18/H33,"")</f>
        <v/>
      </c>
      <c r="I36" s="13">
        <f>IFERROR(변수!I18/I33,"")</f>
        <v/>
      </c>
      <c r="J36" s="13">
        <f>IFERROR(변수!J18/J33,"")</f>
        <v/>
      </c>
      <c r="K36" s="14">
        <f>J36</f>
        <v/>
      </c>
      <c r="L36" s="13">
        <f>IFERROR(변수!L18/L33,"")</f>
        <v/>
      </c>
      <c r="M36" s="13">
        <f>IFERROR(변수!M18/M33,"")</f>
        <v/>
      </c>
      <c r="N36" s="13">
        <f>IFERROR(변수!N18/N33,"")</f>
        <v/>
      </c>
      <c r="O36" s="13">
        <f>IFERROR(변수!O18/O33,"")</f>
        <v/>
      </c>
      <c r="P36" s="14">
        <f>O36</f>
        <v/>
      </c>
      <c r="Q36" s="13">
        <f>IFERROR(변수!Q18/Q33,"")</f>
        <v/>
      </c>
      <c r="R36" s="13">
        <f>IFERROR(변수!R18/R33,"")</f>
        <v/>
      </c>
      <c r="S36" s="13">
        <f>IFERROR(변수!S18/S33,"")</f>
        <v/>
      </c>
      <c r="T36" s="13">
        <f>IFERROR(변수!T18/T33,"")</f>
        <v/>
      </c>
      <c r="U36" s="14">
        <f>T36</f>
        <v/>
      </c>
      <c r="V36" s="13">
        <f>IFERROR(변수!V18/V33,"")</f>
        <v/>
      </c>
      <c r="W36" s="13">
        <f>IFERROR(변수!W18/W33,"")</f>
        <v/>
      </c>
      <c r="X36" s="13">
        <f>IFERROR(변수!X18/X33,"")</f>
        <v/>
      </c>
      <c r="Y36" s="13">
        <f>IFERROR(변수!Y18/Y33,"")</f>
        <v/>
      </c>
      <c r="Z36" s="14">
        <f>Y36</f>
        <v/>
      </c>
      <c r="AA36" s="13">
        <f>IFERROR(변수!AA18/AA33,"")</f>
        <v/>
      </c>
      <c r="AB36" s="15">
        <f>IFERROR(변수!AB18/AB33,"")</f>
        <v/>
      </c>
      <c r="AC36" s="39">
        <f>IFERROR(변수!$D$47/AC33,"")</f>
        <v/>
      </c>
      <c r="AD36" s="39">
        <f>IFERROR(변수!$D$47/AD33,"")</f>
        <v/>
      </c>
      <c r="AE36" s="40">
        <f>AD36</f>
        <v/>
      </c>
      <c r="AF36" s="39">
        <f>IFERROR(변수!$D$47/AF33,"")</f>
        <v/>
      </c>
      <c r="AG36" s="39">
        <f>IFERROR(변수!$D$47/AG33,"")</f>
        <v/>
      </c>
      <c r="AH36" s="39">
        <f>IFERROR(변수!$D$47/AH33,"")</f>
        <v/>
      </c>
      <c r="AI36" s="39">
        <f>IFERROR(변수!$D$47/AI33,"")</f>
        <v/>
      </c>
      <c r="AJ36" s="40">
        <f>AI36</f>
        <v/>
      </c>
      <c r="AK36" s="39">
        <f>IFERROR(변수!$D$47/AK33,"")</f>
        <v/>
      </c>
      <c r="AL36" s="39">
        <f>IFERROR(변수!$D$47/AL33,"")</f>
        <v/>
      </c>
      <c r="AM36" s="39">
        <f>IFERROR(변수!$D$47/AM33,"")</f>
        <v/>
      </c>
      <c r="AN36" s="39">
        <f>IFERROR(변수!$D$47/AN33,"")</f>
        <v/>
      </c>
      <c r="AO36" s="40">
        <f>AN36</f>
        <v/>
      </c>
    </row>
    <row r="37">
      <c r="A37" s="12" t="inlineStr">
        <is>
          <t>매출조선기자재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조선기자재(별도 매출 — 풍력·플랜트 부문 미분리)</t>
        </is>
      </c>
      <c r="E37" s="18" t="n">
        <v>645.58</v>
      </c>
      <c r="F37" s="37" t="n"/>
      <c r="G37" s="18" t="n">
        <v>1287.2</v>
      </c>
      <c r="H37" s="18" t="n">
        <v>802.74</v>
      </c>
      <c r="I37" s="18" t="n">
        <v>688.05</v>
      </c>
      <c r="J37" s="18" t="n">
        <v>852.67</v>
      </c>
      <c r="K37" s="37">
        <f>SUM(G37:J37)</f>
        <v/>
      </c>
      <c r="L37" s="18" t="n">
        <v>601.48</v>
      </c>
      <c r="M37" s="18" t="n">
        <v>1101.28</v>
      </c>
      <c r="N37" s="18" t="n">
        <v>755.83</v>
      </c>
      <c r="O37" s="18" t="n">
        <v>1019.8</v>
      </c>
      <c r="P37" s="37">
        <f>SUM(L37:O37)</f>
        <v/>
      </c>
      <c r="Q37" s="18" t="n">
        <v>784.4</v>
      </c>
      <c r="R37" s="18" t="n">
        <v>708.48</v>
      </c>
      <c r="S37" s="18" t="n">
        <v>654.66</v>
      </c>
      <c r="T37" s="18" t="n">
        <v>969.02</v>
      </c>
      <c r="U37" s="37">
        <f>SUM(Q37:T37)</f>
        <v/>
      </c>
      <c r="V37" s="18" t="n">
        <v>900.48</v>
      </c>
      <c r="W37" s="18" t="n">
        <v>881.54</v>
      </c>
      <c r="X37" s="18" t="n">
        <v>805.89</v>
      </c>
      <c r="Y37" s="18" t="n">
        <v>1073.39</v>
      </c>
      <c r="Z37" s="37">
        <f>SUM(V37:Y37)</f>
        <v/>
      </c>
      <c r="AA37" s="18" t="n">
        <v>781.64</v>
      </c>
      <c r="AB37" s="19" t="n">
        <v>833.67</v>
      </c>
      <c r="AC37" s="20">
        <f>IFERROR(X37*(1+변수!AC39),"")</f>
        <v/>
      </c>
      <c r="AD37" s="20">
        <f>IFERROR(Y37*(1+변수!AD39),"")</f>
        <v/>
      </c>
      <c r="AE37" s="38">
        <f>SUM(AA37:AD37)</f>
        <v/>
      </c>
      <c r="AF37" s="20">
        <f>IFERROR(AA37*(1+변수!AF39),"")</f>
        <v/>
      </c>
      <c r="AG37" s="20">
        <f>IFERROR(AB37*(1+변수!AG39),"")</f>
        <v/>
      </c>
      <c r="AH37" s="20">
        <f>IFERROR(AC37*(1+변수!AH39),"")</f>
        <v/>
      </c>
      <c r="AI37" s="20">
        <f>IFERROR(AD37*(1+변수!AI39),"")</f>
        <v/>
      </c>
      <c r="AJ37" s="38">
        <f>SUM(AF37:AI37)</f>
        <v/>
      </c>
      <c r="AK37" s="20">
        <f>IFERROR(AF37*(1+변수!AK39),"")</f>
        <v/>
      </c>
      <c r="AL37" s="20">
        <f>IFERROR(AG37*(1+변수!AL39),"")</f>
        <v/>
      </c>
      <c r="AM37" s="20">
        <f>IFERROR(AH37*(1+변수!AM39),"")</f>
        <v/>
      </c>
      <c r="AN37" s="20">
        <f>IFERROR(AI37*(1+변수!AN39),"")</f>
        <v/>
      </c>
      <c r="AO37" s="38">
        <f>SUM(AK37:AN37)</f>
        <v/>
      </c>
    </row>
    <row r="38">
      <c r="A38" s="12" t="inlineStr">
        <is>
          <t>OP조선기자재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조선기자재(별도 매출 — 풍력·플랜트 부문 미분리)</t>
        </is>
      </c>
      <c r="E38" s="18" t="n">
        <v>-122.1</v>
      </c>
      <c r="F38" s="37" t="n"/>
      <c r="G38" s="18" t="n">
        <v>-64.47</v>
      </c>
      <c r="H38" s="18" t="n">
        <v>115.68</v>
      </c>
      <c r="I38" s="18" t="n">
        <v>24.32</v>
      </c>
      <c r="J38" s="18" t="n">
        <v>147.02</v>
      </c>
      <c r="K38" s="37">
        <f>SUM(G38:J38)</f>
        <v/>
      </c>
      <c r="L38" s="18" t="n">
        <v>-55.41</v>
      </c>
      <c r="M38" s="18" t="n">
        <v>189.21</v>
      </c>
      <c r="N38" s="18" t="n">
        <v>-58.23</v>
      </c>
      <c r="O38" s="18" t="n">
        <v>209.24</v>
      </c>
      <c r="P38" s="37">
        <f>SUM(L38:O38)</f>
        <v/>
      </c>
      <c r="Q38" s="18" t="n">
        <v>39.94</v>
      </c>
      <c r="R38" s="18" t="n">
        <v>69.86</v>
      </c>
      <c r="S38" s="18" t="n">
        <v>-21.82</v>
      </c>
      <c r="T38" s="18" t="n">
        <v>204.25</v>
      </c>
      <c r="U38" s="37">
        <f>SUM(Q38:T38)</f>
        <v/>
      </c>
      <c r="V38" s="18" t="n">
        <v>170.94</v>
      </c>
      <c r="W38" s="18" t="n">
        <v>78.79000000000001</v>
      </c>
      <c r="X38" s="18" t="n">
        <v>86.94</v>
      </c>
      <c r="Y38" s="18" t="n">
        <v>301.24</v>
      </c>
      <c r="Z38" s="37">
        <f>SUM(V38:Y38)</f>
        <v/>
      </c>
      <c r="AA38" s="18" t="n">
        <v>106.39</v>
      </c>
      <c r="AB38" s="19" t="n">
        <v>148.75</v>
      </c>
      <c r="AC38" s="20">
        <f>IFERROR(AC37*변수!AC40,"")</f>
        <v/>
      </c>
      <c r="AD38" s="20">
        <f>IFERROR(AD37*변수!AD40,"")</f>
        <v/>
      </c>
      <c r="AE38" s="38">
        <f>SUM(AA38:AD38)</f>
        <v/>
      </c>
      <c r="AF38" s="20">
        <f>IFERROR(AF37*변수!AF40,"")</f>
        <v/>
      </c>
      <c r="AG38" s="20">
        <f>IFERROR(AG37*변수!AG40,"")</f>
        <v/>
      </c>
      <c r="AH38" s="20">
        <f>IFERROR(AH37*변수!AH40,"")</f>
        <v/>
      </c>
      <c r="AI38" s="20">
        <f>IFERROR(AI37*변수!AI40,"")</f>
        <v/>
      </c>
      <c r="AJ38" s="38">
        <f>SUM(AF38:AI38)</f>
        <v/>
      </c>
      <c r="AK38" s="20">
        <f>IFERROR(AK37*변수!AK40,"")</f>
        <v/>
      </c>
      <c r="AL38" s="20">
        <f>IFERROR(AL37*변수!AL40,"")</f>
        <v/>
      </c>
      <c r="AM38" s="20">
        <f>IFERROR(AM37*변수!AM40,"")</f>
        <v/>
      </c>
      <c r="AN38" s="20">
        <f>IFERROR(AN37*변수!AN40,"")</f>
        <v/>
      </c>
      <c r="AO38" s="38">
        <f>SUM(AK38:AN38)</f>
        <v/>
      </c>
    </row>
    <row r="39">
      <c r="A39" s="12" t="inlineStr">
        <is>
          <t>매출종속사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종속사 일승·동방선기</t>
        </is>
      </c>
      <c r="E39" s="18" t="n">
        <v>306.45</v>
      </c>
      <c r="F39" s="37" t="n"/>
      <c r="G39" s="18" t="n">
        <v>211.01</v>
      </c>
      <c r="H39" s="18" t="n">
        <v>207.75</v>
      </c>
      <c r="I39" s="18" t="n">
        <v>232.53</v>
      </c>
      <c r="J39" s="18" t="n">
        <v>247.67</v>
      </c>
      <c r="K39" s="37">
        <f>SUM(G39:J39)</f>
        <v/>
      </c>
      <c r="L39" s="18" t="n">
        <v>214.07</v>
      </c>
      <c r="M39" s="18" t="n">
        <v>204.64</v>
      </c>
      <c r="N39" s="18" t="n">
        <v>153.64</v>
      </c>
      <c r="O39" s="18" t="n">
        <v>230.45</v>
      </c>
      <c r="P39" s="37">
        <f>SUM(L39:O39)</f>
        <v/>
      </c>
      <c r="Q39" s="18" t="n">
        <v>155.7</v>
      </c>
      <c r="R39" s="18" t="n">
        <v>191.76</v>
      </c>
      <c r="S39" s="18" t="n">
        <v>217.32</v>
      </c>
      <c r="T39" s="18" t="n">
        <v>310.31</v>
      </c>
      <c r="U39" s="37">
        <f>SUM(Q39:T39)</f>
        <v/>
      </c>
      <c r="V39" s="18" t="n">
        <v>184.98</v>
      </c>
      <c r="W39" s="18" t="n">
        <v>204.57</v>
      </c>
      <c r="X39" s="18" t="n">
        <v>253.05</v>
      </c>
      <c r="Y39" s="18" t="n">
        <v>282.95</v>
      </c>
      <c r="Z39" s="37">
        <f>SUM(V39:Y39)</f>
        <v/>
      </c>
      <c r="AA39" s="18" t="n">
        <v>212.76</v>
      </c>
      <c r="AB39" s="19" t="n">
        <v>278.89</v>
      </c>
      <c r="AC39" s="20">
        <f>IFERROR(X39*(1+변수!AC41),"")</f>
        <v/>
      </c>
      <c r="AD39" s="20">
        <f>IFERROR(Y39*(1+변수!AD41),"")</f>
        <v/>
      </c>
      <c r="AE39" s="38">
        <f>SUM(AA39:AD39)</f>
        <v/>
      </c>
      <c r="AF39" s="20">
        <f>IFERROR(AA39*(1+변수!AF41),"")</f>
        <v/>
      </c>
      <c r="AG39" s="20">
        <f>IFERROR(AB39*(1+변수!AG41),"")</f>
        <v/>
      </c>
      <c r="AH39" s="20">
        <f>IFERROR(AC39*(1+변수!AH41),"")</f>
        <v/>
      </c>
      <c r="AI39" s="20">
        <f>IFERROR(AD39*(1+변수!AI41),"")</f>
        <v/>
      </c>
      <c r="AJ39" s="38">
        <f>SUM(AF39:AI39)</f>
        <v/>
      </c>
      <c r="AK39" s="20">
        <f>IFERROR(AF39*(1+변수!AK41),"")</f>
        <v/>
      </c>
      <c r="AL39" s="20">
        <f>IFERROR(AG39*(1+변수!AL41),"")</f>
        <v/>
      </c>
      <c r="AM39" s="20">
        <f>IFERROR(AH39*(1+변수!AM41),"")</f>
        <v/>
      </c>
      <c r="AN39" s="20">
        <f>IFERROR(AI39*(1+변수!AN41),"")</f>
        <v/>
      </c>
      <c r="AO39" s="38">
        <f>SUM(AK39:AN39)</f>
        <v/>
      </c>
    </row>
    <row r="40">
      <c r="A40" s="12" t="inlineStr">
        <is>
          <t>OP종속사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종속사 일승·동방선기</t>
        </is>
      </c>
      <c r="E40" s="18" t="n">
        <v>29.26</v>
      </c>
      <c r="F40" s="37" t="n"/>
      <c r="G40" s="18" t="n">
        <v>-7.71</v>
      </c>
      <c r="H40" s="18" t="n">
        <v>10.59</v>
      </c>
      <c r="I40" s="18" t="n">
        <v>28.43</v>
      </c>
      <c r="J40" s="18" t="n">
        <v>14.97</v>
      </c>
      <c r="K40" s="37">
        <f>SUM(G40:J40)</f>
        <v/>
      </c>
      <c r="L40" s="18" t="n">
        <v>11.48</v>
      </c>
      <c r="M40" s="18" t="n">
        <v>13.17</v>
      </c>
      <c r="N40" s="18" t="n">
        <v>0</v>
      </c>
      <c r="O40" s="18" t="n">
        <v>62.42</v>
      </c>
      <c r="P40" s="37">
        <f>SUM(L40:O40)</f>
        <v/>
      </c>
      <c r="Q40" s="18" t="n">
        <v>-1.09</v>
      </c>
      <c r="R40" s="18" t="n">
        <v>17.45</v>
      </c>
      <c r="S40" s="18" t="n">
        <v>34.81</v>
      </c>
      <c r="T40" s="18" t="n">
        <v>58.79</v>
      </c>
      <c r="U40" s="37">
        <f>SUM(Q40:T40)</f>
        <v/>
      </c>
      <c r="V40" s="18" t="n">
        <v>11.24</v>
      </c>
      <c r="W40" s="18" t="n">
        <v>19.79</v>
      </c>
      <c r="X40" s="18" t="n">
        <v>63.72</v>
      </c>
      <c r="Y40" s="18" t="n">
        <v>106.78</v>
      </c>
      <c r="Z40" s="37">
        <f>SUM(V40:Y40)</f>
        <v/>
      </c>
      <c r="AA40" s="18" t="n">
        <v>38.59</v>
      </c>
      <c r="AB40" s="19" t="n">
        <v>98.38</v>
      </c>
      <c r="AC40" s="20">
        <f>IFERROR(AC39*변수!AC42,"")</f>
        <v/>
      </c>
      <c r="AD40" s="20">
        <f>IFERROR(AD39*변수!AD42,"")</f>
        <v/>
      </c>
      <c r="AE40" s="38">
        <f>SUM(AA40:AD40)</f>
        <v/>
      </c>
      <c r="AF40" s="20">
        <f>IFERROR(AF39*변수!AF42,"")</f>
        <v/>
      </c>
      <c r="AG40" s="20">
        <f>IFERROR(AG39*변수!AG42,"")</f>
        <v/>
      </c>
      <c r="AH40" s="20">
        <f>IFERROR(AH39*변수!AH42,"")</f>
        <v/>
      </c>
      <c r="AI40" s="20">
        <f>IFERROR(AI39*변수!AI42,"")</f>
        <v/>
      </c>
      <c r="AJ40" s="38">
        <f>SUM(AF40:AI40)</f>
        <v/>
      </c>
      <c r="AK40" s="20">
        <f>IFERROR(AK39*변수!AK42,"")</f>
        <v/>
      </c>
      <c r="AL40" s="20">
        <f>IFERROR(AL39*변수!AL42,"")</f>
        <v/>
      </c>
      <c r="AM40" s="20">
        <f>IFERROR(AM39*변수!AM42,"")</f>
        <v/>
      </c>
      <c r="AN40" s="20">
        <f>IFERROR(AN39*변수!AN42,"")</f>
        <v/>
      </c>
      <c r="AO40" s="38">
        <f>SUM(AK40:AN40)</f>
        <v/>
      </c>
    </row>
    <row r="41">
      <c r="A41" s="12" t="inlineStr">
        <is>
          <t>매출연결조정</t>
        </is>
      </c>
      <c r="B41" t="inlineStr">
        <is>
          <t>사업부</t>
        </is>
      </c>
      <c r="C41" t="inlineStr">
        <is>
          <t>억원</t>
        </is>
      </c>
      <c r="D41" t="inlineStr">
        <is>
          <t>매출 연결조정(세진베트남·내부거래 잔차)</t>
        </is>
      </c>
      <c r="E41" s="18" t="n">
        <v>-133.01</v>
      </c>
      <c r="F41" s="37" t="n"/>
      <c r="G41" s="18" t="n">
        <v>-98.98</v>
      </c>
      <c r="H41" s="18" t="n">
        <v>-121.76</v>
      </c>
      <c r="I41" s="18" t="n">
        <v>-121.53</v>
      </c>
      <c r="J41" s="18" t="n">
        <v>-88.43000000000001</v>
      </c>
      <c r="K41" s="37">
        <f>SUM(G41:J41)</f>
        <v/>
      </c>
      <c r="L41" s="18" t="n">
        <v>-98.53</v>
      </c>
      <c r="M41" s="18" t="n">
        <v>-101</v>
      </c>
      <c r="N41" s="18" t="n">
        <v>-89.59999999999999</v>
      </c>
      <c r="O41" s="18" t="n">
        <v>-144.1</v>
      </c>
      <c r="P41" s="37">
        <f>SUM(L41:O41)</f>
        <v/>
      </c>
      <c r="Q41" s="18" t="n">
        <v>-79.31999999999999</v>
      </c>
      <c r="R41" s="18" t="n">
        <v>-91.86</v>
      </c>
      <c r="S41" s="18" t="n">
        <v>-130.47</v>
      </c>
      <c r="T41" s="18" t="n">
        <v>-166.24</v>
      </c>
      <c r="U41" s="37">
        <f>SUM(Q41:T41)</f>
        <v/>
      </c>
      <c r="V41" s="18" t="n">
        <v>-100.5</v>
      </c>
      <c r="W41" s="18" t="n">
        <v>-104.4</v>
      </c>
      <c r="X41" s="18" t="n">
        <v>-155.26</v>
      </c>
      <c r="Y41" s="18" t="n">
        <v>-199.82</v>
      </c>
      <c r="Z41" s="37">
        <f>SUM(V41:Y41)</f>
        <v/>
      </c>
      <c r="AA41" s="18" t="n">
        <v>-121.97</v>
      </c>
      <c r="AB41" s="19" t="n">
        <v>-177.58</v>
      </c>
      <c r="AC41" s="20">
        <f>IFERROR(AC39*변수!AC43,"")</f>
        <v/>
      </c>
      <c r="AD41" s="20">
        <f>IFERROR(AD39*변수!AD43,"")</f>
        <v/>
      </c>
      <c r="AE41" s="38">
        <f>SUM(AA41:AD41)</f>
        <v/>
      </c>
      <c r="AF41" s="20">
        <f>IFERROR(AF39*변수!AF43,"")</f>
        <v/>
      </c>
      <c r="AG41" s="20">
        <f>IFERROR(AG39*변수!AG43,"")</f>
        <v/>
      </c>
      <c r="AH41" s="20">
        <f>IFERROR(AH39*변수!AH43,"")</f>
        <v/>
      </c>
      <c r="AI41" s="20">
        <f>IFERROR(AI39*변수!AI43,"")</f>
        <v/>
      </c>
      <c r="AJ41" s="38">
        <f>SUM(AF41:AI41)</f>
        <v/>
      </c>
      <c r="AK41" s="20">
        <f>IFERROR(AK39*변수!AK43,"")</f>
        <v/>
      </c>
      <c r="AL41" s="20">
        <f>IFERROR(AL39*변수!AL43,"")</f>
        <v/>
      </c>
      <c r="AM41" s="20">
        <f>IFERROR(AM39*변수!AM43,"")</f>
        <v/>
      </c>
      <c r="AN41" s="20">
        <f>IFERROR(AN39*변수!AN43,"")</f>
        <v/>
      </c>
      <c r="AO41" s="38">
        <f>SUM(AK41:AN41)</f>
        <v/>
      </c>
    </row>
    <row r="42">
      <c r="A42" s="12" t="inlineStr">
        <is>
          <t>OP연결조정</t>
        </is>
      </c>
      <c r="B42" t="inlineStr">
        <is>
          <t>사업부</t>
        </is>
      </c>
      <c r="C42" t="inlineStr">
        <is>
          <t>억원</t>
        </is>
      </c>
      <c r="D42" t="inlineStr">
        <is>
          <t>OP 연결조정(세진베트남·내부거래 잔차)</t>
        </is>
      </c>
      <c r="E42" s="18" t="n">
        <v>-12.09</v>
      </c>
      <c r="F42" s="37" t="n"/>
      <c r="G42" s="18" t="n">
        <v>0.25</v>
      </c>
      <c r="H42" s="18" t="n">
        <v>-4.6</v>
      </c>
      <c r="I42" s="18" t="n">
        <v>-6.75</v>
      </c>
      <c r="J42" s="18" t="n">
        <v>-8.220000000000001</v>
      </c>
      <c r="K42" s="37">
        <f>SUM(G42:J42)</f>
        <v/>
      </c>
      <c r="L42" s="18" t="n">
        <v>-20.27</v>
      </c>
      <c r="M42" s="18" t="n">
        <v>9.57</v>
      </c>
      <c r="N42" s="18" t="n">
        <v>-8.25</v>
      </c>
      <c r="O42" s="18" t="n">
        <v>-17.38</v>
      </c>
      <c r="P42" s="37">
        <f>SUM(L42:O42)</f>
        <v/>
      </c>
      <c r="Q42" s="18" t="n">
        <v>3.75</v>
      </c>
      <c r="R42" s="18" t="n">
        <v>-7.8</v>
      </c>
      <c r="S42" s="18" t="n">
        <v>-6.6</v>
      </c>
      <c r="T42" s="18" t="n">
        <v>-31.74</v>
      </c>
      <c r="U42" s="37">
        <f>SUM(Q42:T42)</f>
        <v/>
      </c>
      <c r="V42" s="18" t="n">
        <v>-4.17</v>
      </c>
      <c r="W42" s="18" t="n">
        <v>-10.93</v>
      </c>
      <c r="X42" s="18" t="n">
        <v>-29.23</v>
      </c>
      <c r="Y42" s="18" t="n">
        <v>-61.22</v>
      </c>
      <c r="Z42" s="37">
        <f>SUM(V42:Y42)</f>
        <v/>
      </c>
      <c r="AA42" s="18" t="n">
        <v>-8.59</v>
      </c>
      <c r="AB42" s="19" t="n">
        <v>-43.45</v>
      </c>
      <c r="AC42" s="20">
        <f>IFERROR(AC41*변수!AC44,"")</f>
        <v/>
      </c>
      <c r="AD42" s="20">
        <f>IFERROR(AD41*변수!AD44,"")</f>
        <v/>
      </c>
      <c r="AE42" s="38">
        <f>SUM(AA42:AD42)</f>
        <v/>
      </c>
      <c r="AF42" s="20">
        <f>IFERROR(AF41*변수!AF44,"")</f>
        <v/>
      </c>
      <c r="AG42" s="20">
        <f>IFERROR(AG41*변수!AG44,"")</f>
        <v/>
      </c>
      <c r="AH42" s="20">
        <f>IFERROR(AH41*변수!AH44,"")</f>
        <v/>
      </c>
      <c r="AI42" s="20">
        <f>IFERROR(AI41*변수!AI44,"")</f>
        <v/>
      </c>
      <c r="AJ42" s="38">
        <f>SUM(AF42:AI42)</f>
        <v/>
      </c>
      <c r="AK42" s="20">
        <f>IFERROR(AK41*변수!AK44,"")</f>
        <v/>
      </c>
      <c r="AL42" s="20">
        <f>IFERROR(AL41*변수!AL44,"")</f>
        <v/>
      </c>
      <c r="AM42" s="20">
        <f>IFERROR(AM41*변수!AM44,"")</f>
        <v/>
      </c>
      <c r="AN42" s="20">
        <f>IFERROR(AN41*변수!AN44,"")</f>
        <v/>
      </c>
      <c r="AO42" s="38">
        <f>SUM(AK42:AN42)</f>
        <v/>
      </c>
    </row>
    <row r="43">
      <c r="B43" s="2" t="inlineStr">
        <is>
          <t>비율(참고)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NPM</t>
        </is>
      </c>
      <c r="C44" t="inlineStr">
        <is>
          <t>%</t>
        </is>
      </c>
      <c r="D44" t="inlineStr">
        <is>
          <t>지배주주순이익 / 매출액</t>
        </is>
      </c>
      <c r="E44" s="21">
        <f>IFERROR(E19/E5,"")</f>
        <v/>
      </c>
      <c r="F44" s="22">
        <f>IFERROR(F19/F5,"")</f>
        <v/>
      </c>
      <c r="G44" s="21">
        <f>IFERROR(G19/G5,"")</f>
        <v/>
      </c>
      <c r="H44" s="21">
        <f>IFERROR(H19/H5,"")</f>
        <v/>
      </c>
      <c r="I44" s="21">
        <f>IFERROR(I19/I5,"")</f>
        <v/>
      </c>
      <c r="J44" s="21">
        <f>IFERROR(J19/J5,"")</f>
        <v/>
      </c>
      <c r="K44" s="22">
        <f>IFERROR(K19/K5,"")</f>
        <v/>
      </c>
      <c r="L44" s="21">
        <f>IFERROR(L19/L5,"")</f>
        <v/>
      </c>
      <c r="M44" s="21">
        <f>IFERROR(M19/M5,"")</f>
        <v/>
      </c>
      <c r="N44" s="21">
        <f>IFERROR(N19/N5,"")</f>
        <v/>
      </c>
      <c r="O44" s="21">
        <f>IFERROR(O19/O5,"")</f>
        <v/>
      </c>
      <c r="P44" s="22">
        <f>IFERROR(P19/P5,"")</f>
        <v/>
      </c>
      <c r="Q44" s="21">
        <f>IFERROR(Q19/Q5,"")</f>
        <v/>
      </c>
      <c r="R44" s="21">
        <f>IFERROR(R19/R5,"")</f>
        <v/>
      </c>
      <c r="S44" s="21">
        <f>IFERROR(S19/S5,"")</f>
        <v/>
      </c>
      <c r="T44" s="21">
        <f>IFERROR(T19/T5,"")</f>
        <v/>
      </c>
      <c r="U44" s="22">
        <f>IFERROR(U19/U5,"")</f>
        <v/>
      </c>
      <c r="V44" s="21">
        <f>IFERROR(V19/V5,"")</f>
        <v/>
      </c>
      <c r="W44" s="21">
        <f>IFERROR(W19/W5,"")</f>
        <v/>
      </c>
      <c r="X44" s="21">
        <f>IFERROR(X19/X5,"")</f>
        <v/>
      </c>
      <c r="Y44" s="21">
        <f>IFERROR(Y19/Y5,"")</f>
        <v/>
      </c>
      <c r="Z44" s="22">
        <f>IFERROR(Z19/Z5,"")</f>
        <v/>
      </c>
      <c r="AA44" s="21">
        <f>IFERROR(AA19/AA5,"")</f>
        <v/>
      </c>
      <c r="AB44" s="23">
        <f>IFERROR(AB19/AB5,"")</f>
        <v/>
      </c>
      <c r="AC44" s="33">
        <f>IFERROR(AC19/AC5,"")</f>
        <v/>
      </c>
      <c r="AD44" s="33">
        <f>IFERROR(AD19/AD5,"")</f>
        <v/>
      </c>
      <c r="AE44" s="25">
        <f>IFERROR(AE19/AE5,"")</f>
        <v/>
      </c>
      <c r="AF44" s="33">
        <f>IFERROR(AF19/AF5,"")</f>
        <v/>
      </c>
      <c r="AG44" s="33">
        <f>IFERROR(AG19/AG5,"")</f>
        <v/>
      </c>
      <c r="AH44" s="33">
        <f>IFERROR(AH19/AH5,"")</f>
        <v/>
      </c>
      <c r="AI44" s="33">
        <f>IFERROR(AI19/AI5,"")</f>
        <v/>
      </c>
      <c r="AJ44" s="25">
        <f>IFERROR(AJ19/AJ5,"")</f>
        <v/>
      </c>
      <c r="AK44" s="33">
        <f>IFERROR(AK19/AK5,"")</f>
        <v/>
      </c>
      <c r="AL44" s="33">
        <f>IFERROR(AL19/AL5,"")</f>
        <v/>
      </c>
      <c r="AM44" s="33">
        <f>IFERROR(AM19/AM5,"")</f>
        <v/>
      </c>
      <c r="AN44" s="33">
        <f>IFERROR(AN19/AN5,"")</f>
        <v/>
      </c>
      <c r="AO44" s="25">
        <f>IFERROR(AO19/AO5,"")</f>
        <v/>
      </c>
    </row>
    <row r="45">
      <c r="A45" s="12" t="inlineStr">
        <is>
          <t>매출원가율</t>
        </is>
      </c>
      <c r="C45" t="inlineStr">
        <is>
          <t>%</t>
        </is>
      </c>
      <c r="D45" t="inlineStr">
        <is>
          <t>매출원가 / 매출액</t>
        </is>
      </c>
      <c r="E45" s="21">
        <f>IFERROR(E6/E5,"")</f>
        <v/>
      </c>
      <c r="F45" s="22">
        <f>IFERROR(F6/F5,"")</f>
        <v/>
      </c>
      <c r="G45" s="21">
        <f>IFERROR(G6/G5,"")</f>
        <v/>
      </c>
      <c r="H45" s="21">
        <f>IFERROR(H6/H5,"")</f>
        <v/>
      </c>
      <c r="I45" s="21">
        <f>IFERROR(I6/I5,"")</f>
        <v/>
      </c>
      <c r="J45" s="21">
        <f>IFERROR(J6/J5,"")</f>
        <v/>
      </c>
      <c r="K45" s="22">
        <f>IFERROR(K6/K5,"")</f>
        <v/>
      </c>
      <c r="L45" s="21">
        <f>IFERROR(L6/L5,"")</f>
        <v/>
      </c>
      <c r="M45" s="21">
        <f>IFERROR(M6/M5,"")</f>
        <v/>
      </c>
      <c r="N45" s="21">
        <f>IFERROR(N6/N5,"")</f>
        <v/>
      </c>
      <c r="O45" s="21">
        <f>IFERROR(O6/O5,"")</f>
        <v/>
      </c>
      <c r="P45" s="22">
        <f>IFERROR(P6/P5,"")</f>
        <v/>
      </c>
      <c r="Q45" s="21">
        <f>IFERROR(Q6/Q5,"")</f>
        <v/>
      </c>
      <c r="R45" s="21">
        <f>IFERROR(R6/R5,"")</f>
        <v/>
      </c>
      <c r="S45" s="21">
        <f>IFERROR(S6/S5,"")</f>
        <v/>
      </c>
      <c r="T45" s="21">
        <f>IFERROR(T6/T5,"")</f>
        <v/>
      </c>
      <c r="U45" s="22">
        <f>IFERROR(U6/U5,"")</f>
        <v/>
      </c>
      <c r="V45" s="21">
        <f>IFERROR(V6/V5,"")</f>
        <v/>
      </c>
      <c r="W45" s="21">
        <f>IFERROR(W6/W5,"")</f>
        <v/>
      </c>
      <c r="X45" s="21">
        <f>IFERROR(X6/X5,"")</f>
        <v/>
      </c>
      <c r="Y45" s="21">
        <f>IFERROR(Y6/Y5,"")</f>
        <v/>
      </c>
      <c r="Z45" s="22">
        <f>IFERROR(Z6/Z5,"")</f>
        <v/>
      </c>
      <c r="AA45" s="21">
        <f>IFERROR(AA6/AA5,"")</f>
        <v/>
      </c>
      <c r="AB45" s="23">
        <f>IFERROR(AB6/AB5,"")</f>
        <v/>
      </c>
      <c r="AC45" s="33">
        <f>IFERROR(AC6/AC5,"")</f>
        <v/>
      </c>
      <c r="AD45" s="33">
        <f>IFERROR(AD6/AD5,"")</f>
        <v/>
      </c>
      <c r="AE45" s="25">
        <f>IFERROR(AE6/AE5,"")</f>
        <v/>
      </c>
      <c r="AF45" s="33">
        <f>IFERROR(AF6/AF5,"")</f>
        <v/>
      </c>
      <c r="AG45" s="33">
        <f>IFERROR(AG6/AG5,"")</f>
        <v/>
      </c>
      <c r="AH45" s="33">
        <f>IFERROR(AH6/AH5,"")</f>
        <v/>
      </c>
      <c r="AI45" s="33">
        <f>IFERROR(AI6/AI5,"")</f>
        <v/>
      </c>
      <c r="AJ45" s="25">
        <f>IFERROR(AJ6/AJ5,"")</f>
        <v/>
      </c>
      <c r="AK45" s="33">
        <f>IFERROR(AK6/AK5,"")</f>
        <v/>
      </c>
      <c r="AL45" s="33">
        <f>IFERROR(AL6/AL5,"")</f>
        <v/>
      </c>
      <c r="AM45" s="33">
        <f>IFERROR(AM6/AM5,"")</f>
        <v/>
      </c>
      <c r="AN45" s="33">
        <f>IFERROR(AN6/AN5,"")</f>
        <v/>
      </c>
      <c r="AO45" s="25">
        <f>IFERROR(AO6/AO5,"")</f>
        <v/>
      </c>
    </row>
    <row r="46">
      <c r="A46" s="12" t="inlineStr">
        <is>
          <t>판관비율</t>
        </is>
      </c>
      <c r="C46" t="inlineStr">
        <is>
          <t>%</t>
        </is>
      </c>
      <c r="D46" t="inlineStr">
        <is>
          <t>판관비 / 매출액</t>
        </is>
      </c>
      <c r="E46" s="21">
        <f>IFERROR(E8/E5,"")</f>
        <v/>
      </c>
      <c r="F46" s="22">
        <f>IFERROR(F8/F5,"")</f>
        <v/>
      </c>
      <c r="G46" s="21">
        <f>IFERROR(G8/G5,"")</f>
        <v/>
      </c>
      <c r="H46" s="21">
        <f>IFERROR(H8/H5,"")</f>
        <v/>
      </c>
      <c r="I46" s="21">
        <f>IFERROR(I8/I5,"")</f>
        <v/>
      </c>
      <c r="J46" s="21">
        <f>IFERROR(J8/J5,"")</f>
        <v/>
      </c>
      <c r="K46" s="22">
        <f>IFERROR(K8/K5,"")</f>
        <v/>
      </c>
      <c r="L46" s="21">
        <f>IFERROR(L8/L5,"")</f>
        <v/>
      </c>
      <c r="M46" s="21">
        <f>IFERROR(M8/M5,"")</f>
        <v/>
      </c>
      <c r="N46" s="21">
        <f>IFERROR(N8/N5,"")</f>
        <v/>
      </c>
      <c r="O46" s="21">
        <f>IFERROR(O8/O5,"")</f>
        <v/>
      </c>
      <c r="P46" s="22">
        <f>IFERROR(P8/P5,"")</f>
        <v/>
      </c>
      <c r="Q46" s="21">
        <f>IFERROR(Q8/Q5,"")</f>
        <v/>
      </c>
      <c r="R46" s="21">
        <f>IFERROR(R8/R5,"")</f>
        <v/>
      </c>
      <c r="S46" s="21">
        <f>IFERROR(S8/S5,"")</f>
        <v/>
      </c>
      <c r="T46" s="21">
        <f>IFERROR(T8/T5,"")</f>
        <v/>
      </c>
      <c r="U46" s="22">
        <f>IFERROR(U8/U5,"")</f>
        <v/>
      </c>
      <c r="V46" s="21">
        <f>IFERROR(V8/V5,"")</f>
        <v/>
      </c>
      <c r="W46" s="21">
        <f>IFERROR(W8/W5,"")</f>
        <v/>
      </c>
      <c r="X46" s="21">
        <f>IFERROR(X8/X5,"")</f>
        <v/>
      </c>
      <c r="Y46" s="21">
        <f>IFERROR(Y8/Y5,"")</f>
        <v/>
      </c>
      <c r="Z46" s="22">
        <f>IFERROR(Z8/Z5,"")</f>
        <v/>
      </c>
      <c r="AA46" s="21">
        <f>IFERROR(AA8/AA5,"")</f>
        <v/>
      </c>
      <c r="AB46" s="23">
        <f>IFERROR(AB8/AB5,"")</f>
        <v/>
      </c>
      <c r="AC46" s="33">
        <f>IFERROR(AC8/AC5,"")</f>
        <v/>
      </c>
      <c r="AD46" s="33">
        <f>IFERROR(AD8/AD5,"")</f>
        <v/>
      </c>
      <c r="AE46" s="25">
        <f>IFERROR(AE8/AE5,"")</f>
        <v/>
      </c>
      <c r="AF46" s="33">
        <f>IFERROR(AF8/AF5,"")</f>
        <v/>
      </c>
      <c r="AG46" s="33">
        <f>IFERROR(AG8/AG5,"")</f>
        <v/>
      </c>
      <c r="AH46" s="33">
        <f>IFERROR(AH8/AH5,"")</f>
        <v/>
      </c>
      <c r="AI46" s="33">
        <f>IFERROR(AI8/AI5,"")</f>
        <v/>
      </c>
      <c r="AJ46" s="25">
        <f>IFERROR(AJ8/AJ5,"")</f>
        <v/>
      </c>
      <c r="AK46" s="33">
        <f>IFERROR(AK8/AK5,"")</f>
        <v/>
      </c>
      <c r="AL46" s="33">
        <f>IFERROR(AL8/AL5,"")</f>
        <v/>
      </c>
      <c r="AM46" s="33">
        <f>IFERROR(AM8/AM5,"")</f>
        <v/>
      </c>
      <c r="AN46" s="33">
        <f>IFERROR(AN8/AN5,"")</f>
        <v/>
      </c>
      <c r="AO46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변수!D47</f>
        <v/>
      </c>
      <c r="W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지분법손익</t>
        </is>
      </c>
      <c r="D15" t="inlineStr">
        <is>
          <t>지분법손익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세전이익</t>
        </is>
      </c>
      <c r="D16" t="inlineStr">
        <is>
          <t>법인세비용차감전이익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법인세비용</t>
        </is>
      </c>
      <c r="D17" t="inlineStr">
        <is>
          <t>법인세비용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당기순이익</t>
        </is>
      </c>
      <c r="D18" t="inlineStr">
        <is>
          <t>당기순이익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지배주주순이익</t>
        </is>
      </c>
      <c r="D19" t="inlineStr">
        <is>
          <t>지배주주순이익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중단사업이익</t>
        </is>
      </c>
      <c r="D20" t="inlineStr">
        <is>
          <t>중단사업이익(실적만)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6">
        <f>IFERROR(VLOOKUP($A31,subQ,MATCH(E$1,SUBQH,0),0),"")</f>
        <v/>
      </c>
      <c r="F31" s="26">
        <f>IFERROR(VLOOKUP($A31,subQ,MATCH(F$1,SUBQH,0),0),"")</f>
        <v/>
      </c>
      <c r="G31" s="26">
        <f>IFERROR(VLOOKUP($A31,subQ,MATCH(G$1,SUBQH,0),0),"")</f>
        <v/>
      </c>
      <c r="H31" s="26">
        <f>IFERROR(VLOOKUP($A31,subQ,MATCH(H$1,SUBQH,0),0),"")</f>
        <v/>
      </c>
      <c r="I31" s="26">
        <f>IFERROR(VLOOKUP($A31,subQ,MATCH(I$1,SUBQH,0),0),"")</f>
        <v/>
      </c>
      <c r="J31" s="26">
        <f>IFERROR(VLOOKUP($A31,subQ,MATCH(J$1,SUBQH,0),0),"")</f>
        <v/>
      </c>
      <c r="K31" s="26">
        <f>IFERROR(VLOOKUP($A31,subQ,MATCH(K$1,SUBQH,0),0),"")</f>
        <v/>
      </c>
      <c r="L31" s="26">
        <f>IFERROR(VLOOKUP($A31,subQ,MATCH(L$1,SUBQH,0),0),"")</f>
        <v/>
      </c>
      <c r="M31" s="26">
        <f>IFERROR(VLOOKUP($A31,subQ,MATCH(M$1,SUBQH,0),0),"")</f>
        <v/>
      </c>
      <c r="N31" s="26">
        <f>IFERROR(VLOOKUP($A31,subQ,MATCH(N$1,SUBQH,0),0),"")</f>
        <v/>
      </c>
      <c r="O31" s="26">
        <f>IFERROR(VLOOKUP($A31,subQ,MATCH(O$1,SUBQH,0),0),"")</f>
        <v/>
      </c>
      <c r="P31" s="26">
        <f>IFERROR(VLOOKUP($A31,subQ,MATCH(P$1,SUBQH,0),0),"")</f>
        <v/>
      </c>
      <c r="Q31" s="26">
        <f>IFERROR(VLOOKUP($A31,subQ,MATCH(Q$1,SUBQH,0),0),"")</f>
        <v/>
      </c>
      <c r="R31" s="26">
        <f>IFERROR(VLOOKUP($A31,subQ,MATCH(R$1,SUBQH,0),0),"")</f>
        <v/>
      </c>
      <c r="S31" s="26">
        <f>IFERROR(VLOOKUP($A31,subQ,MATCH(S$1,SUBQH,0),0),"")</f>
        <v/>
      </c>
      <c r="T31" s="26">
        <f>IFERROR(VLOOKUP($A31,subQ,MATCH(T$1,SUBQH,0),0),"")</f>
        <v/>
      </c>
      <c r="U31" s="26">
        <f>IFERROR(VLOOKUP($A31,subQ,MATCH(U$1,SUBQH,0),0),"")</f>
        <v/>
      </c>
      <c r="V31" s="26">
        <f>IFERROR(VLOOKUP($A31,subQ,MATCH(V$1,SUBQH,0),0),"")</f>
        <v/>
      </c>
      <c r="W31" s="47">
        <f>IFERROR(VLOOKUP($A31,subQ,MATCH(W$1,SUBQH,0),0),"")</f>
        <v/>
      </c>
      <c r="X31" s="31">
        <f>IFERROR(VLOOKUP($A31,subQ,MATCH(X$1,SUBQH,0),0),"")</f>
        <v/>
      </c>
      <c r="Y31" s="31">
        <f>IFERROR(VLOOKUP($A31,subQ,MATCH(Y$1,SUBQH,0),0),"")</f>
        <v/>
      </c>
      <c r="Z31" s="31">
        <f>IFERROR(VLOOKUP($A31,subQ,MATCH(Z$1,SUBQH,0),0),"")</f>
        <v/>
      </c>
      <c r="AA31" s="31">
        <f>IFERROR(VLOOKUP($A31,subQ,MATCH(AA$1,SUBQH,0),0),"")</f>
        <v/>
      </c>
      <c r="AB31" s="31">
        <f>IFERROR(VLOOKUP($A31,subQ,MATCH(AB$1,SUBQH,0),0),"")</f>
        <v/>
      </c>
      <c r="AC31" s="31">
        <f>IFERROR(VLOOKUP($A31,subQ,MATCH(AC$1,SUBQH,0),0),"")</f>
        <v/>
      </c>
      <c r="AD31" s="31">
        <f>IFERROR(VLOOKUP($A31,subQ,MATCH(AD$1,SUBQH,0),0),"")</f>
        <v/>
      </c>
      <c r="AE31" s="31">
        <f>IFERROR(VLOOKUP($A31,subQ,MATCH(AE$1,SUBQH,0),0),"")</f>
        <v/>
      </c>
      <c r="AF31" s="31">
        <f>IFERROR(VLOOKUP($A31,subQ,MATCH(AF$1,SUBQH,0),0),"")</f>
        <v/>
      </c>
      <c r="AG31" s="31">
        <f>IFERROR(VLOOKUP($A31,subQ,MATCH(AG$1,SUBQH,0),0),"")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13">
        <f>IFERROR(VLOOKUP($A35,subQ,MATCH(S$1,SUBQH,0),0),"")</f>
        <v/>
      </c>
      <c r="T35" s="13">
        <f>IFERROR(VLOOKUP($A35,subQ,MATCH(T$1,SUBQH,0),0),"")</f>
        <v/>
      </c>
      <c r="U35" s="13">
        <f>IFERROR(VLOOKUP($A35,subQ,MATCH(U$1,SUBQH,0),0),"")</f>
        <v/>
      </c>
      <c r="V35" s="13">
        <f>IFERROR(VLOOKUP($A35,subQ,MATCH(V$1,SUBQH,0),0),"")</f>
        <v/>
      </c>
      <c r="W35" s="48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  <c r="AD35" s="39">
        <f>IFERROR(VLOOKUP($A35,subQ,MATCH(AD$1,SUBQH,0),0),"")</f>
        <v/>
      </c>
      <c r="AE35" s="39">
        <f>IFERROR(VLOOKUP($A35,subQ,MATCH(AE$1,SUBQH,0),0),"")</f>
        <v/>
      </c>
      <c r="AF35" s="39">
        <f>IFERROR(VLOOKUP($A35,subQ,MATCH(AF$1,SUBQH,0),0),"")</f>
        <v/>
      </c>
      <c r="AG35" s="39">
        <f>IFERROR(VLOOKUP($A35,subQ,MATCH(AG$1,SUBQH,0),0),"")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13">
        <f>IFERROR(VLOOKUP($A36,subQ,MATCH(S$1,SUBQH,0),0),"")</f>
        <v/>
      </c>
      <c r="T36" s="13">
        <f>IFERROR(VLOOKUP($A36,subQ,MATCH(T$1,SUBQH,0),0),"")</f>
        <v/>
      </c>
      <c r="U36" s="13">
        <f>IFERROR(VLOOKUP($A36,subQ,MATCH(U$1,SUBQH,0),0),"")</f>
        <v/>
      </c>
      <c r="V36" s="13">
        <f>IFERROR(VLOOKUP($A36,subQ,MATCH(V$1,SUBQH,0),0),"")</f>
        <v/>
      </c>
      <c r="W36" s="48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  <c r="AD36" s="39">
        <f>IFERROR(VLOOKUP($A36,subQ,MATCH(AD$1,SUBQH,0),0),"")</f>
        <v/>
      </c>
      <c r="AE36" s="39">
        <f>IFERROR(VLOOKUP($A36,subQ,MATCH(AE$1,SUBQH,0),0),"")</f>
        <v/>
      </c>
      <c r="AF36" s="39">
        <f>IFERROR(VLOOKUP($A36,subQ,MATCH(AF$1,SUBQH,0),0),"")</f>
        <v/>
      </c>
      <c r="AG36" s="39">
        <f>IFERROR(VLOOKUP($A36,subQ,MATCH(AG$1,SUBQH,0),0),"")</f>
        <v/>
      </c>
    </row>
    <row r="37">
      <c r="A37" s="12" t="inlineStr">
        <is>
          <t>매출조선기자재</t>
        </is>
      </c>
      <c r="D37" t="inlineStr">
        <is>
          <t>매출 조선기자재(별도 매출 — 풍력·플랜트 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OP조선기자재</t>
        </is>
      </c>
      <c r="D38" t="inlineStr">
        <is>
          <t>OP 조선기자재(별도 매출 — 풍력·플랜트 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18">
        <f>IFERROR(VLOOKUP($A38,subQ,MATCH(S$1,SUBQH,0),0),"")</f>
        <v/>
      </c>
      <c r="T38" s="18">
        <f>IFERROR(VLOOKUP($A38,subQ,MATCH(T$1,SUBQH,0),0),"")</f>
        <v/>
      </c>
      <c r="U38" s="18">
        <f>IFERROR(VLOOKUP($A38,subQ,MATCH(U$1,SUBQH,0),0),"")</f>
        <v/>
      </c>
      <c r="V38" s="18">
        <f>IFERROR(VLOOKUP($A38,subQ,MATCH(V$1,SUBQH,0),0),"")</f>
        <v/>
      </c>
      <c r="W38" s="45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  <c r="AD38" s="20">
        <f>IFERROR(VLOOKUP($A38,subQ,MATCH(AD$1,SUBQH,0),0),"")</f>
        <v/>
      </c>
      <c r="AE38" s="20">
        <f>IFERROR(VLOOKUP($A38,subQ,MATCH(AE$1,SUBQH,0),0),"")</f>
        <v/>
      </c>
      <c r="AF38" s="20">
        <f>IFERROR(VLOOKUP($A38,subQ,MATCH(AF$1,SUBQH,0),0),"")</f>
        <v/>
      </c>
      <c r="AG38" s="20">
        <f>IFERROR(VLOOKUP($A38,subQ,MATCH(AG$1,SUBQH,0),0),"")</f>
        <v/>
      </c>
    </row>
    <row r="39">
      <c r="A39" s="12" t="inlineStr">
        <is>
          <t>매출종속사</t>
        </is>
      </c>
      <c r="D39" t="inlineStr">
        <is>
          <t>매출 종속사 일승·동방선기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5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OP종속사</t>
        </is>
      </c>
      <c r="D40" t="inlineStr">
        <is>
          <t>OP 종속사 일승·동방선기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5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매출연결조정</t>
        </is>
      </c>
      <c r="D41" t="inlineStr">
        <is>
          <t>매출 연결조정(세진베트남·내부거래 잔차)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18">
        <f>IFERROR(VLOOKUP($A41,subQ,MATCH(I$1,SUBQH,0),0),"")</f>
        <v/>
      </c>
      <c r="J41" s="18">
        <f>IFERROR(VLOOKUP($A41,subQ,MATCH(J$1,SUBQH,0),0),"")</f>
        <v/>
      </c>
      <c r="K41" s="18">
        <f>IFERROR(VLOOKUP($A41,subQ,MATCH(K$1,SUBQH,0),0),"")</f>
        <v/>
      </c>
      <c r="L41" s="18">
        <f>IFERROR(VLOOKUP($A41,subQ,MATCH(L$1,SUBQH,0),0),"")</f>
        <v/>
      </c>
      <c r="M41" s="18">
        <f>IFERROR(VLOOKUP($A41,subQ,MATCH(M$1,SUBQH,0),0),"")</f>
        <v/>
      </c>
      <c r="N41" s="18">
        <f>IFERROR(VLOOKUP($A41,subQ,MATCH(N$1,SUBQH,0),0),"")</f>
        <v/>
      </c>
      <c r="O41" s="18">
        <f>IFERROR(VLOOKUP($A41,subQ,MATCH(O$1,SUBQH,0),0),"")</f>
        <v/>
      </c>
      <c r="P41" s="18">
        <f>IFERROR(VLOOKUP($A41,subQ,MATCH(P$1,SUBQH,0),0),"")</f>
        <v/>
      </c>
      <c r="Q41" s="18">
        <f>IFERROR(VLOOKUP($A41,subQ,MATCH(Q$1,SUBQH,0),0),"")</f>
        <v/>
      </c>
      <c r="R41" s="18">
        <f>IFERROR(VLOOKUP($A41,subQ,MATCH(R$1,SUBQH,0),0),"")</f>
        <v/>
      </c>
      <c r="S41" s="18">
        <f>IFERROR(VLOOKUP($A41,subQ,MATCH(S$1,SUBQH,0),0),"")</f>
        <v/>
      </c>
      <c r="T41" s="18">
        <f>IFERROR(VLOOKUP($A41,subQ,MATCH(T$1,SUBQH,0),0),"")</f>
        <v/>
      </c>
      <c r="U41" s="18">
        <f>IFERROR(VLOOKUP($A41,subQ,MATCH(U$1,SUBQH,0),0),"")</f>
        <v/>
      </c>
      <c r="V41" s="18">
        <f>IFERROR(VLOOKUP($A41,subQ,MATCH(V$1,SUBQH,0),0),"")</f>
        <v/>
      </c>
      <c r="W41" s="45">
        <f>IFERROR(VLOOKUP($A41,subQ,MATCH(W$1,SUBQH,0),0),"")</f>
        <v/>
      </c>
      <c r="X41" s="20">
        <f>IFERROR(VLOOKUP($A41,subQ,MATCH(X$1,SUBQH,0),0),"")</f>
        <v/>
      </c>
      <c r="Y41" s="20">
        <f>IFERROR(VLOOKUP($A41,subQ,MATCH(Y$1,SUBQH,0),0),"")</f>
        <v/>
      </c>
      <c r="Z41" s="20">
        <f>IFERROR(VLOOKUP($A41,subQ,MATCH(Z$1,SUBQH,0),0),"")</f>
        <v/>
      </c>
      <c r="AA41" s="20">
        <f>IFERROR(VLOOKUP($A41,subQ,MATCH(AA$1,SUBQH,0),0),"")</f>
        <v/>
      </c>
      <c r="AB41" s="20">
        <f>IFERROR(VLOOKUP($A41,subQ,MATCH(AB$1,SUBQH,0),0),"")</f>
        <v/>
      </c>
      <c r="AC41" s="20">
        <f>IFERROR(VLOOKUP($A41,subQ,MATCH(AC$1,SUBQH,0),0),"")</f>
        <v/>
      </c>
      <c r="AD41" s="20">
        <f>IFERROR(VLOOKUP($A41,subQ,MATCH(AD$1,SUBQH,0),0),"")</f>
        <v/>
      </c>
      <c r="AE41" s="20">
        <f>IFERROR(VLOOKUP($A41,subQ,MATCH(AE$1,SUBQH,0),0),"")</f>
        <v/>
      </c>
      <c r="AF41" s="20">
        <f>IFERROR(VLOOKUP($A41,subQ,MATCH(AF$1,SUBQH,0),0),"")</f>
        <v/>
      </c>
      <c r="AG41" s="20">
        <f>IFERROR(VLOOKUP($A41,subQ,MATCH(AG$1,SUBQH,0),0),"")</f>
        <v/>
      </c>
    </row>
    <row r="42">
      <c r="A42" s="12" t="inlineStr">
        <is>
          <t>OP연결조정</t>
        </is>
      </c>
      <c r="D42" t="inlineStr">
        <is>
          <t>OP 연결조정(세진베트남·내부거래 잔차)</t>
        </is>
      </c>
      <c r="E42" s="18">
        <f>IFERROR(VLOOKUP($A42,subQ,MATCH(E$1,SUBQH,0),0),"")</f>
        <v/>
      </c>
      <c r="F42" s="18">
        <f>IFERROR(VLOOKUP($A42,subQ,MATCH(F$1,SUBQH,0),0),"")</f>
        <v/>
      </c>
      <c r="G42" s="18">
        <f>IFERROR(VLOOKUP($A42,subQ,MATCH(G$1,SUBQH,0),0),"")</f>
        <v/>
      </c>
      <c r="H42" s="18">
        <f>IFERROR(VLOOKUP($A42,subQ,MATCH(H$1,SUBQH,0),0),"")</f>
        <v/>
      </c>
      <c r="I42" s="18">
        <f>IFERROR(VLOOKUP($A42,subQ,MATCH(I$1,SUBQH,0),0),"")</f>
        <v/>
      </c>
      <c r="J42" s="18">
        <f>IFERROR(VLOOKUP($A42,subQ,MATCH(J$1,SUBQH,0),0),"")</f>
        <v/>
      </c>
      <c r="K42" s="18">
        <f>IFERROR(VLOOKUP($A42,subQ,MATCH(K$1,SUBQH,0),0),"")</f>
        <v/>
      </c>
      <c r="L42" s="18">
        <f>IFERROR(VLOOKUP($A42,subQ,MATCH(L$1,SUBQH,0),0),"")</f>
        <v/>
      </c>
      <c r="M42" s="18">
        <f>IFERROR(VLOOKUP($A42,subQ,MATCH(M$1,SUBQH,0),0),"")</f>
        <v/>
      </c>
      <c r="N42" s="18">
        <f>IFERROR(VLOOKUP($A42,subQ,MATCH(N$1,SUBQH,0),0),"")</f>
        <v/>
      </c>
      <c r="O42" s="18">
        <f>IFERROR(VLOOKUP($A42,subQ,MATCH(O$1,SUBQH,0),0),"")</f>
        <v/>
      </c>
      <c r="P42" s="18">
        <f>IFERROR(VLOOKUP($A42,subQ,MATCH(P$1,SUBQH,0),0),"")</f>
        <v/>
      </c>
      <c r="Q42" s="18">
        <f>IFERROR(VLOOKUP($A42,subQ,MATCH(Q$1,SUBQH,0),0),"")</f>
        <v/>
      </c>
      <c r="R42" s="18">
        <f>IFERROR(VLOOKUP($A42,subQ,MATCH(R$1,SUBQH,0),0),"")</f>
        <v/>
      </c>
      <c r="S42" s="18">
        <f>IFERROR(VLOOKUP($A42,subQ,MATCH(S$1,SUBQH,0),0),"")</f>
        <v/>
      </c>
      <c r="T42" s="18">
        <f>IFERROR(VLOOKUP($A42,subQ,MATCH(T$1,SUBQH,0),0),"")</f>
        <v/>
      </c>
      <c r="U42" s="18">
        <f>IFERROR(VLOOKUP($A42,subQ,MATCH(U$1,SUBQH,0),0),"")</f>
        <v/>
      </c>
      <c r="V42" s="18">
        <f>IFERROR(VLOOKUP($A42,subQ,MATCH(V$1,SUBQH,0),0),"")</f>
        <v/>
      </c>
      <c r="W42" s="45">
        <f>IFERROR(VLOOKUP($A42,subQ,MATCH(W$1,SUBQH,0),0),"")</f>
        <v/>
      </c>
      <c r="X42" s="20">
        <f>IFERROR(VLOOKUP($A42,subQ,MATCH(X$1,SUBQH,0),0),"")</f>
        <v/>
      </c>
      <c r="Y42" s="20">
        <f>IFERROR(VLOOKUP($A42,subQ,MATCH(Y$1,SUBQH,0),0),"")</f>
        <v/>
      </c>
      <c r="Z42" s="20">
        <f>IFERROR(VLOOKUP($A42,subQ,MATCH(Z$1,SUBQH,0),0),"")</f>
        <v/>
      </c>
      <c r="AA42" s="20">
        <f>IFERROR(VLOOKUP($A42,subQ,MATCH(AA$1,SUBQH,0),0),"")</f>
        <v/>
      </c>
      <c r="AB42" s="20">
        <f>IFERROR(VLOOKUP($A42,subQ,MATCH(AB$1,SUBQH,0),0),"")</f>
        <v/>
      </c>
      <c r="AC42" s="20">
        <f>IFERROR(VLOOKUP($A42,subQ,MATCH(AC$1,SUBQH,0),0),"")</f>
        <v/>
      </c>
      <c r="AD42" s="20">
        <f>IFERROR(VLOOKUP($A42,subQ,MATCH(AD$1,SUBQH,0),0),"")</f>
        <v/>
      </c>
      <c r="AE42" s="20">
        <f>IFERROR(VLOOKUP($A42,subQ,MATCH(AE$1,SUBQH,0),0),"")</f>
        <v/>
      </c>
      <c r="AF42" s="20">
        <f>IFERROR(VLOOKUP($A42,subQ,MATCH(AF$1,SUBQH,0),0),"")</f>
        <v/>
      </c>
      <c r="AG42" s="20">
        <f>IFERROR(VLOOKUP($A42,subQ,MATCH(AG$1,SUBQH,0),0),"")</f>
        <v/>
      </c>
    </row>
    <row r="43">
      <c r="A43" s="12" t="inlineStr">
        <is>
          <t>NPM</t>
        </is>
      </c>
      <c r="D43" t="inlineStr">
        <is>
          <t>NPM</t>
        </is>
      </c>
      <c r="E43" s="21">
        <f>IFERROR(VLOOKUP($A43,subQ,MATCH(E$1,SUBQH,0),0),"")</f>
        <v/>
      </c>
      <c r="F43" s="21">
        <f>IFERROR(VLOOKUP($A43,subQ,MATCH(F$1,SUBQH,0),0),"")</f>
        <v/>
      </c>
      <c r="G43" s="21">
        <f>IFERROR(VLOOKUP($A43,subQ,MATCH(G$1,SUBQH,0),0),"")</f>
        <v/>
      </c>
      <c r="H43" s="21">
        <f>IFERROR(VLOOKUP($A43,subQ,MATCH(H$1,SUBQH,0),0),"")</f>
        <v/>
      </c>
      <c r="I43" s="21">
        <f>IFERROR(VLOOKUP($A43,subQ,MATCH(I$1,SUBQH,0),0),"")</f>
        <v/>
      </c>
      <c r="J43" s="21">
        <f>IFERROR(VLOOKUP($A43,subQ,MATCH(J$1,SUBQH,0),0),"")</f>
        <v/>
      </c>
      <c r="K43" s="21">
        <f>IFERROR(VLOOKUP($A43,subQ,MATCH(K$1,SUBQH,0),0),"")</f>
        <v/>
      </c>
      <c r="L43" s="21">
        <f>IFERROR(VLOOKUP($A43,subQ,MATCH(L$1,SUBQH,0),0),"")</f>
        <v/>
      </c>
      <c r="M43" s="21">
        <f>IFERROR(VLOOKUP($A43,subQ,MATCH(M$1,SUBQH,0),0),"")</f>
        <v/>
      </c>
      <c r="N43" s="21">
        <f>IFERROR(VLOOKUP($A43,subQ,MATCH(N$1,SUBQH,0),0),"")</f>
        <v/>
      </c>
      <c r="O43" s="21">
        <f>IFERROR(VLOOKUP($A43,subQ,MATCH(O$1,SUBQH,0),0),"")</f>
        <v/>
      </c>
      <c r="P43" s="21">
        <f>IFERROR(VLOOKUP($A43,subQ,MATCH(P$1,SUBQH,0),0),"")</f>
        <v/>
      </c>
      <c r="Q43" s="21">
        <f>IFERROR(VLOOKUP($A43,subQ,MATCH(Q$1,SUBQH,0),0),"")</f>
        <v/>
      </c>
      <c r="R43" s="21">
        <f>IFERROR(VLOOKUP($A43,subQ,MATCH(R$1,SUBQH,0),0),"")</f>
        <v/>
      </c>
      <c r="S43" s="21">
        <f>IFERROR(VLOOKUP($A43,subQ,MATCH(S$1,SUBQH,0),0),"")</f>
        <v/>
      </c>
      <c r="T43" s="21">
        <f>IFERROR(VLOOKUP($A43,subQ,MATCH(T$1,SUBQH,0),0),"")</f>
        <v/>
      </c>
      <c r="U43" s="21">
        <f>IFERROR(VLOOKUP($A43,subQ,MATCH(U$1,SUBQH,0),0),"")</f>
        <v/>
      </c>
      <c r="V43" s="21">
        <f>IFERROR(VLOOKUP($A43,subQ,MATCH(V$1,SUBQH,0),0),"")</f>
        <v/>
      </c>
      <c r="W43" s="46">
        <f>IFERROR(VLOOKUP($A43,subQ,MATCH(W$1,SUBQH,0),0),"")</f>
        <v/>
      </c>
      <c r="X43" s="33">
        <f>IFERROR(VLOOKUP($A43,subQ,MATCH(X$1,SUBQH,0),0),"")</f>
        <v/>
      </c>
      <c r="Y43" s="33">
        <f>IFERROR(VLOOKUP($A43,subQ,MATCH(Y$1,SUBQH,0),0),"")</f>
        <v/>
      </c>
      <c r="Z43" s="33">
        <f>IFERROR(VLOOKUP($A43,subQ,MATCH(Z$1,SUBQH,0),0),"")</f>
        <v/>
      </c>
      <c r="AA43" s="33">
        <f>IFERROR(VLOOKUP($A43,subQ,MATCH(AA$1,SUBQH,0),0),"")</f>
        <v/>
      </c>
      <c r="AB43" s="33">
        <f>IFERROR(VLOOKUP($A43,subQ,MATCH(AB$1,SUBQH,0),0),"")</f>
        <v/>
      </c>
      <c r="AC43" s="33">
        <f>IFERROR(VLOOKUP($A43,subQ,MATCH(AC$1,SUBQH,0),0),"")</f>
        <v/>
      </c>
      <c r="AD43" s="33">
        <f>IFERROR(VLOOKUP($A43,subQ,MATCH(AD$1,SUBQH,0),0),"")</f>
        <v/>
      </c>
      <c r="AE43" s="33">
        <f>IFERROR(VLOOKUP($A43,subQ,MATCH(AE$1,SUBQH,0),0),"")</f>
        <v/>
      </c>
      <c r="AF43" s="33">
        <f>IFERROR(VLOOKUP($A43,subQ,MATCH(AF$1,SUBQH,0),0),"")</f>
        <v/>
      </c>
      <c r="AG43" s="33">
        <f>IFERROR(VLOOKUP($A43,subQ,MATCH(AG$1,SUBQH,0),0),"")</f>
        <v/>
      </c>
    </row>
    <row r="44">
      <c r="A44" s="12" t="inlineStr">
        <is>
          <t>매출액 YoY</t>
        </is>
      </c>
      <c r="D44" t="inlineStr">
        <is>
          <t>매출액 YoY</t>
        </is>
      </c>
      <c r="I44" s="21">
        <f>IFERROR(I5/E5-1,"")</f>
        <v/>
      </c>
      <c r="J44" s="21">
        <f>IFERROR(J5/F5-1,"")</f>
        <v/>
      </c>
      <c r="K44" s="21">
        <f>IFERROR(K5/G5-1,"")</f>
        <v/>
      </c>
      <c r="L44" s="21">
        <f>IFERROR(L5/H5-1,"")</f>
        <v/>
      </c>
      <c r="M44" s="21">
        <f>IFERROR(M5/I5-1,"")</f>
        <v/>
      </c>
      <c r="N44" s="21">
        <f>IFERROR(N5/J5-1,"")</f>
        <v/>
      </c>
      <c r="O44" s="21">
        <f>IFERROR(O5/K5-1,"")</f>
        <v/>
      </c>
      <c r="P44" s="21">
        <f>IFERROR(P5/L5-1,"")</f>
        <v/>
      </c>
      <c r="Q44" s="21">
        <f>IFERROR(Q5/M5-1,"")</f>
        <v/>
      </c>
      <c r="R44" s="21">
        <f>IFERROR(R5/N5-1,"")</f>
        <v/>
      </c>
      <c r="S44" s="21">
        <f>IFERROR(S5/O5-1,"")</f>
        <v/>
      </c>
      <c r="T44" s="21">
        <f>IFERROR(T5/P5-1,"")</f>
        <v/>
      </c>
      <c r="U44" s="21">
        <f>IFERROR(U5/Q5-1,"")</f>
        <v/>
      </c>
      <c r="V44" s="21">
        <f>IFERROR(V5/R5-1,"")</f>
        <v/>
      </c>
      <c r="W44" s="46">
        <f>IFERROR(W5/S5-1,"")</f>
        <v/>
      </c>
      <c r="X44" s="33">
        <f>IFERROR(X5/T5-1,"")</f>
        <v/>
      </c>
      <c r="Y44" s="33">
        <f>IFERROR(Y5/U5-1,"")</f>
        <v/>
      </c>
      <c r="Z44" s="33">
        <f>IFERROR(Z5/V5-1,"")</f>
        <v/>
      </c>
      <c r="AA44" s="33">
        <f>IFERROR(AA5/W5-1,"")</f>
        <v/>
      </c>
      <c r="AB44" s="33">
        <f>IFERROR(AB5/X5-1,"")</f>
        <v/>
      </c>
      <c r="AC44" s="33">
        <f>IFERROR(AC5/Y5-1,"")</f>
        <v/>
      </c>
      <c r="AD44" s="33">
        <f>IFERROR(AD5/Z5-1,"")</f>
        <v/>
      </c>
      <c r="AE44" s="33">
        <f>IFERROR(AE5/AA5-1,"")</f>
        <v/>
      </c>
      <c r="AF44" s="33">
        <f>IFERROR(AF5/AB5-1,"")</f>
        <v/>
      </c>
      <c r="AG44" s="33">
        <f>IFERROR(AG5/AC5-1,"")</f>
        <v/>
      </c>
    </row>
    <row r="45">
      <c r="A45" s="12" t="inlineStr">
        <is>
          <t>영업이익 YoY</t>
        </is>
      </c>
      <c r="D45" t="inlineStr">
        <is>
          <t>영업이익 YoY</t>
        </is>
      </c>
      <c r="I45" s="21">
        <f>IFERROR(I9/E9-1,"")</f>
        <v/>
      </c>
      <c r="J45" s="21">
        <f>IFERROR(J9/F9-1,"")</f>
        <v/>
      </c>
      <c r="K45" s="21">
        <f>IFERROR(K9/G9-1,"")</f>
        <v/>
      </c>
      <c r="L45" s="21">
        <f>IFERROR(L9/H9-1,"")</f>
        <v/>
      </c>
      <c r="M45" s="21">
        <f>IFERROR(M9/I9-1,"")</f>
        <v/>
      </c>
      <c r="N45" s="21">
        <f>IFERROR(N9/J9-1,"")</f>
        <v/>
      </c>
      <c r="O45" s="21">
        <f>IFERROR(O9/K9-1,"")</f>
        <v/>
      </c>
      <c r="P45" s="21">
        <f>IFERROR(P9/L9-1,"")</f>
        <v/>
      </c>
      <c r="Q45" s="21">
        <f>IFERROR(Q9/M9-1,"")</f>
        <v/>
      </c>
      <c r="R45" s="21">
        <f>IFERROR(R9/N9-1,"")</f>
        <v/>
      </c>
      <c r="S45" s="21">
        <f>IFERROR(S9/O9-1,"")</f>
        <v/>
      </c>
      <c r="T45" s="21">
        <f>IFERROR(T9/P9-1,"")</f>
        <v/>
      </c>
      <c r="U45" s="21">
        <f>IFERROR(U9/Q9-1,"")</f>
        <v/>
      </c>
      <c r="V45" s="21">
        <f>IFERROR(V9/R9-1,"")</f>
        <v/>
      </c>
      <c r="W45" s="46">
        <f>IFERROR(W9/S9-1,"")</f>
        <v/>
      </c>
      <c r="X45" s="33">
        <f>IFERROR(X9/T9-1,"")</f>
        <v/>
      </c>
      <c r="Y45" s="33">
        <f>IFERROR(Y9/U9-1,"")</f>
        <v/>
      </c>
      <c r="Z45" s="33">
        <f>IFERROR(Z9/V9-1,"")</f>
        <v/>
      </c>
      <c r="AA45" s="33">
        <f>IFERROR(AA9/W9-1,"")</f>
        <v/>
      </c>
      <c r="AB45" s="33">
        <f>IFERROR(AB9/X9-1,"")</f>
        <v/>
      </c>
      <c r="AC45" s="33">
        <f>IFERROR(AC9/Y9-1,"")</f>
        <v/>
      </c>
      <c r="AD45" s="33">
        <f>IFERROR(AD9/Z9-1,"")</f>
        <v/>
      </c>
      <c r="AE45" s="33">
        <f>IFERROR(AE9/AA9-1,"")</f>
        <v/>
      </c>
      <c r="AF45" s="33">
        <f>IFERROR(AF9/AB9-1,"")</f>
        <v/>
      </c>
      <c r="AG45" s="33">
        <f>IFERROR(AG9/AC9-1,"")</f>
        <v/>
      </c>
    </row>
    <row r="46">
      <c r="A46" s="12" t="inlineStr">
        <is>
          <t>지배주주순이익 YoY</t>
        </is>
      </c>
      <c r="D46" t="inlineStr">
        <is>
          <t>지배주주순이익 YoY</t>
        </is>
      </c>
      <c r="I46" s="21">
        <f>IFERROR(I19/E19-1,"")</f>
        <v/>
      </c>
      <c r="J46" s="21">
        <f>IFERROR(J19/F19-1,"")</f>
        <v/>
      </c>
      <c r="K46" s="21">
        <f>IFERROR(K19/G19-1,"")</f>
        <v/>
      </c>
      <c r="L46" s="21">
        <f>IFERROR(L19/H19-1,"")</f>
        <v/>
      </c>
      <c r="M46" s="21">
        <f>IFERROR(M19/I19-1,"")</f>
        <v/>
      </c>
      <c r="N46" s="21">
        <f>IFERROR(N19/J19-1,"")</f>
        <v/>
      </c>
      <c r="O46" s="21">
        <f>IFERROR(O19/K19-1,"")</f>
        <v/>
      </c>
      <c r="P46" s="21">
        <f>IFERROR(P19/L19-1,"")</f>
        <v/>
      </c>
      <c r="Q46" s="21">
        <f>IFERROR(Q19/M19-1,"")</f>
        <v/>
      </c>
      <c r="R46" s="21">
        <f>IFERROR(R19/N19-1,"")</f>
        <v/>
      </c>
      <c r="S46" s="21">
        <f>IFERROR(S19/O19-1,"")</f>
        <v/>
      </c>
      <c r="T46" s="21">
        <f>IFERROR(T19/P19-1,"")</f>
        <v/>
      </c>
      <c r="U46" s="21">
        <f>IFERROR(U19/Q19-1,"")</f>
        <v/>
      </c>
      <c r="V46" s="21">
        <f>IFERROR(V19/R19-1,"")</f>
        <v/>
      </c>
      <c r="W46" s="46">
        <f>IFERROR(W19/S19-1,"")</f>
        <v/>
      </c>
      <c r="X46" s="33">
        <f>IFERROR(X19/T19-1,"")</f>
        <v/>
      </c>
      <c r="Y46" s="33">
        <f>IFERROR(Y19/U19-1,"")</f>
        <v/>
      </c>
      <c r="Z46" s="33">
        <f>IFERROR(Z19/V19-1,"")</f>
        <v/>
      </c>
      <c r="AA46" s="33">
        <f>IFERROR(AA19/W19-1,"")</f>
        <v/>
      </c>
      <c r="AB46" s="33">
        <f>IFERROR(AB19/X19-1,"")</f>
        <v/>
      </c>
      <c r="AC46" s="33">
        <f>IFERROR(AC19/Y19-1,"")</f>
        <v/>
      </c>
      <c r="AD46" s="33">
        <f>IFERROR(AD19/Z19-1,"")</f>
        <v/>
      </c>
      <c r="AE46" s="33">
        <f>IFERROR(AE19/AA19-1,"")</f>
        <v/>
      </c>
      <c r="AF46" s="33">
        <f>IFERROR(AF19/AB19-1,"")</f>
        <v/>
      </c>
      <c r="AG46" s="33">
        <f>IFERROR(AG19/AC19-1,"")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변수!D47</f>
        <v/>
      </c>
      <c r="I2" s="42" t="n"/>
    </row>
    <row r="3">
      <c r="C3" t="inlineStr">
        <is>
          <t>기준일:</t>
        </is>
      </c>
      <c r="D3" t="inlineStr">
        <is>
          <t>20261014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기타영업외손익</t>
        </is>
      </c>
      <c r="D14" t="inlineStr">
        <is>
          <t>기타영업외손익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지분법손익</t>
        </is>
      </c>
      <c r="D15" t="inlineStr">
        <is>
          <t>지분법손익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세전이익</t>
        </is>
      </c>
      <c r="D16" t="inlineStr">
        <is>
          <t>법인세비용차감전이익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법인세비용</t>
        </is>
      </c>
      <c r="D17" t="inlineStr">
        <is>
          <t>법인세비용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당기순이익</t>
        </is>
      </c>
      <c r="D18" t="inlineStr">
        <is>
          <t>당기순이익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지배주주순이익</t>
        </is>
      </c>
      <c r="D19" t="inlineStr">
        <is>
          <t>지배주주순이익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중단사업이익</t>
        </is>
      </c>
      <c r="D20" t="inlineStr">
        <is>
          <t>중단사업이익(실적만)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자산총계</t>
        </is>
      </c>
      <c r="D21" t="inlineStr">
        <is>
          <t>자산총계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부채총계</t>
        </is>
      </c>
      <c r="D22" t="inlineStr">
        <is>
          <t>부채총계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자본총계</t>
        </is>
      </c>
      <c r="D23" t="inlineStr">
        <is>
          <t>자본총계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지배주주지분</t>
        </is>
      </c>
      <c r="D24" t="inlineStr">
        <is>
          <t>지배주주지분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총차입금</t>
        </is>
      </c>
      <c r="D25" t="inlineStr">
        <is>
          <t>총차입금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순차입금</t>
        </is>
      </c>
      <c r="D26" t="inlineStr">
        <is>
          <t>순차입금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이자발생자산</t>
        </is>
      </c>
      <c r="D27" t="inlineStr">
        <is>
          <t>이자발생자산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현금및현금성자산</t>
        </is>
      </c>
      <c r="D28" t="inlineStr">
        <is>
          <t>현금및현금성자산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CAPEX</t>
        </is>
      </c>
      <c r="D29" t="inlineStr">
        <is>
          <t>CAPEX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영업활동현금흐름</t>
        </is>
      </c>
      <c r="D30" t="inlineStr">
        <is>
          <t>영업활동현금흐름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주식수</t>
        </is>
      </c>
      <c r="D31" t="inlineStr">
        <is>
          <t>유통주식수</t>
        </is>
      </c>
      <c r="E31" s="26">
        <f>IFERROR(VLOOKUP($A31,subQ,MATCH(E$1,SUBQH,0),0),"")</f>
        <v/>
      </c>
      <c r="F31" s="26">
        <f>IFERROR(VLOOKUP($A31,subQ,MATCH(F$1,SUBQH,0),0),"")</f>
        <v/>
      </c>
      <c r="G31" s="26">
        <f>IFERROR(VLOOKUP($A31,subQ,MATCH(G$1,SUBQH,0),0),"")</f>
        <v/>
      </c>
      <c r="H31" s="26">
        <f>IFERROR(VLOOKUP($A31,subQ,MATCH(H$1,SUBQH,0),0),"")</f>
        <v/>
      </c>
      <c r="I31" s="47">
        <f>IFERROR(VLOOKUP($A31,subQ,MATCH(I$1,SUBQH,0),0),"")</f>
        <v/>
      </c>
      <c r="J31" s="31">
        <f>IFERROR(VLOOKUP($A31,subQ,MATCH(J$1,SUBQH,0),0),"")</f>
        <v/>
      </c>
      <c r="K31" s="31">
        <f>IFERROR(VLOOKUP($A31,subQ,MATCH(K$1,SUBQH,0),0),"")</f>
        <v/>
      </c>
      <c r="L31" s="31">
        <f>IFERROR(VLOOKUP($A31,subQ,MATCH(L$1,SUBQH,0),0),"")</f>
        <v/>
      </c>
    </row>
    <row r="32">
      <c r="A32" s="12" t="inlineStr">
        <is>
          <t>EPS</t>
        </is>
      </c>
      <c r="D32" t="inlineStr">
        <is>
          <t>EPS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48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  <c r="L35" s="39">
        <f>IFERROR(VLOOKUP($A35,subQ,MATCH(L$1,SUBQH,0),0),"")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48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  <c r="L36" s="39">
        <f>IFERROR(VLOOKUP($A36,subQ,MATCH(L$1,SUBQH,0),0),"")</f>
        <v/>
      </c>
    </row>
    <row r="37">
      <c r="A37" s="12" t="inlineStr">
        <is>
          <t>매출조선기자재</t>
        </is>
      </c>
      <c r="D37" t="inlineStr">
        <is>
          <t>매출 조선기자재(별도 매출 — 풍력·플랜트 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OP조선기자재</t>
        </is>
      </c>
      <c r="D38" t="inlineStr">
        <is>
          <t>OP 조선기자재(별도 매출 — 풍력·플랜트 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45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  <c r="L38" s="20">
        <f>IFERROR(VLOOKUP($A38,subQ,MATCH(L$1,SUBQH,0),0),"")</f>
        <v/>
      </c>
    </row>
    <row r="39">
      <c r="A39" s="12" t="inlineStr">
        <is>
          <t>매출종속사</t>
        </is>
      </c>
      <c r="D39" t="inlineStr">
        <is>
          <t>매출 종속사 일승·동방선기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5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OP종속사</t>
        </is>
      </c>
      <c r="D40" t="inlineStr">
        <is>
          <t>OP 종속사 일승·동방선기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5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매출연결조정</t>
        </is>
      </c>
      <c r="D41" t="inlineStr">
        <is>
          <t>매출 연결조정(세진베트남·내부거래 잔차)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45">
        <f>IFERROR(VLOOKUP($A41,subQ,MATCH(I$1,SUBQH,0),0),"")</f>
        <v/>
      </c>
      <c r="J41" s="20">
        <f>IFERROR(VLOOKUP($A41,subQ,MATCH(J$1,SUBQH,0),0),"")</f>
        <v/>
      </c>
      <c r="K41" s="20">
        <f>IFERROR(VLOOKUP($A41,subQ,MATCH(K$1,SUBQH,0),0),"")</f>
        <v/>
      </c>
      <c r="L41" s="20">
        <f>IFERROR(VLOOKUP($A41,subQ,MATCH(L$1,SUBQH,0),0),"")</f>
        <v/>
      </c>
    </row>
    <row r="42">
      <c r="A42" s="12" t="inlineStr">
        <is>
          <t>OP연결조정</t>
        </is>
      </c>
      <c r="D42" t="inlineStr">
        <is>
          <t>OP 연결조정(세진베트남·내부거래 잔차)</t>
        </is>
      </c>
      <c r="E42" s="18">
        <f>IFERROR(VLOOKUP($A42,subQ,MATCH(E$1,SUBQH,0),0),"")</f>
        <v/>
      </c>
      <c r="F42" s="18">
        <f>IFERROR(VLOOKUP($A42,subQ,MATCH(F$1,SUBQH,0),0),"")</f>
        <v/>
      </c>
      <c r="G42" s="18">
        <f>IFERROR(VLOOKUP($A42,subQ,MATCH(G$1,SUBQH,0),0),"")</f>
        <v/>
      </c>
      <c r="H42" s="18">
        <f>IFERROR(VLOOKUP($A42,subQ,MATCH(H$1,SUBQH,0),0),"")</f>
        <v/>
      </c>
      <c r="I42" s="45">
        <f>IFERROR(VLOOKUP($A42,subQ,MATCH(I$1,SUBQH,0),0),"")</f>
        <v/>
      </c>
      <c r="J42" s="20">
        <f>IFERROR(VLOOKUP($A42,subQ,MATCH(J$1,SUBQH,0),0),"")</f>
        <v/>
      </c>
      <c r="K42" s="20">
        <f>IFERROR(VLOOKUP($A42,subQ,MATCH(K$1,SUBQH,0),0),"")</f>
        <v/>
      </c>
      <c r="L42" s="20">
        <f>IFERROR(VLOOKUP($A42,subQ,MATCH(L$1,SUBQH,0),0),"")</f>
        <v/>
      </c>
    </row>
    <row r="43">
      <c r="A43" s="12" t="inlineStr">
        <is>
          <t>NPM</t>
        </is>
      </c>
      <c r="D43" t="inlineStr">
        <is>
          <t>NPM</t>
        </is>
      </c>
      <c r="E43" s="21">
        <f>IFERROR(VLOOKUP($A43,subQ,MATCH(E$1,SUBQH,0),0),"")</f>
        <v/>
      </c>
      <c r="F43" s="21">
        <f>IFERROR(VLOOKUP($A43,subQ,MATCH(F$1,SUBQH,0),0),"")</f>
        <v/>
      </c>
      <c r="G43" s="21">
        <f>IFERROR(VLOOKUP($A43,subQ,MATCH(G$1,SUBQH,0),0),"")</f>
        <v/>
      </c>
      <c r="H43" s="21">
        <f>IFERROR(VLOOKUP($A43,subQ,MATCH(H$1,SUBQH,0),0),"")</f>
        <v/>
      </c>
      <c r="I43" s="46">
        <f>IFERROR(VLOOKUP($A43,subQ,MATCH(I$1,SUBQH,0),0),"")</f>
        <v/>
      </c>
      <c r="J43" s="33">
        <f>IFERROR(VLOOKUP($A43,subQ,MATCH(J$1,SUBQH,0),0),"")</f>
        <v/>
      </c>
      <c r="K43" s="33">
        <f>IFERROR(VLOOKUP($A43,subQ,MATCH(K$1,SUBQH,0),0),"")</f>
        <v/>
      </c>
      <c r="L43" s="33">
        <f>IFERROR(VLOOKUP($A43,subQ,MATCH(L$1,SUBQH,0),0),"")</f>
        <v/>
      </c>
    </row>
    <row r="44">
      <c r="A44" s="12" t="inlineStr">
        <is>
          <t>매출액 YoY</t>
        </is>
      </c>
      <c r="D44" t="inlineStr">
        <is>
          <t>매출액 YoY</t>
        </is>
      </c>
      <c r="F44" s="21">
        <f>IFERROR(F5/E5-1,"")</f>
        <v/>
      </c>
      <c r="G44" s="21">
        <f>IFERROR(G5/F5-1,"")</f>
        <v/>
      </c>
      <c r="H44" s="21">
        <f>IFERROR(H5/G5-1,"")</f>
        <v/>
      </c>
      <c r="I44" s="46">
        <f>IFERROR(I5/H5-1,"")</f>
        <v/>
      </c>
      <c r="J44" s="33">
        <f>IFERROR(J5/I5-1,"")</f>
        <v/>
      </c>
      <c r="K44" s="33">
        <f>IFERROR(K5/J5-1,"")</f>
        <v/>
      </c>
      <c r="L44" s="33">
        <f>IFERROR(L5/K5-1,"")</f>
        <v/>
      </c>
    </row>
    <row r="45">
      <c r="A45" s="12" t="inlineStr">
        <is>
          <t>영업이익 YoY</t>
        </is>
      </c>
      <c r="D45" t="inlineStr">
        <is>
          <t>영업이익 YoY</t>
        </is>
      </c>
      <c r="F45" s="21">
        <f>IFERROR(F9/E9-1,"")</f>
        <v/>
      </c>
      <c r="G45" s="21">
        <f>IFERROR(G9/F9-1,"")</f>
        <v/>
      </c>
      <c r="H45" s="21">
        <f>IFERROR(H9/G9-1,"")</f>
        <v/>
      </c>
      <c r="I45" s="46">
        <f>IFERROR(I9/H9-1,"")</f>
        <v/>
      </c>
      <c r="J45" s="33">
        <f>IFERROR(J9/I9-1,"")</f>
        <v/>
      </c>
      <c r="K45" s="33">
        <f>IFERROR(K9/J9-1,"")</f>
        <v/>
      </c>
      <c r="L45" s="33">
        <f>IFERROR(L9/K9-1,"")</f>
        <v/>
      </c>
    </row>
    <row r="46">
      <c r="A46" s="12" t="inlineStr">
        <is>
          <t>지배주주순이익 YoY</t>
        </is>
      </c>
      <c r="D46" t="inlineStr">
        <is>
          <t>지배주주순이익 YoY</t>
        </is>
      </c>
      <c r="F46" s="21">
        <f>IFERROR(F19/E19-1,"")</f>
        <v/>
      </c>
      <c r="G46" s="21">
        <f>IFERROR(G19/F19-1,"")</f>
        <v/>
      </c>
      <c r="H46" s="21">
        <f>IFERROR(H19/G19-1,"")</f>
        <v/>
      </c>
      <c r="I46" s="46">
        <f>IFERROR(I19/H19-1,"")</f>
        <v/>
      </c>
      <c r="J46" s="33">
        <f>IFERROR(J19/I19-1,"")</f>
        <v/>
      </c>
      <c r="K46" s="33">
        <f>IFERROR(K19/J19-1,"")</f>
        <v/>
      </c>
      <c r="L46" s="33">
        <f>IFERROR(L19/K19-1,"")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변수!D47</f>
        <v/>
      </c>
    </row>
    <row r="2">
      <c r="B2" s="1" t="inlineStr">
        <is>
          <t>기준일</t>
        </is>
      </c>
      <c r="C2">
        <f>변수!D48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IFERROR(E7*변수!D53+F7*(1-변수!D53),"")</f>
        <v/>
      </c>
    </row>
    <row r="15">
      <c r="C15" t="inlineStr">
        <is>
          <t>적정가치 @PER_lo</t>
        </is>
      </c>
      <c r="D15" s="26">
        <f>변수!D50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6">
        <f>변수!D51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6">
        <f>변수!D52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6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변수!D49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743</v>
      </c>
    </row>
    <row r="30">
      <c r="C30" s="2" t="inlineStr">
        <is>
          <t>bps_latest</t>
        </is>
      </c>
      <c r="D30" t="n">
        <v>4321.6</v>
      </c>
    </row>
    <row r="31">
      <c r="C31" s="2" t="inlineStr">
        <is>
          <t>per_now</t>
        </is>
      </c>
      <c r="D31" t="n">
        <v>11.72</v>
      </c>
    </row>
    <row r="32">
      <c r="C32" s="2" t="inlineStr">
        <is>
          <t>pbr_now</t>
        </is>
      </c>
      <c r="D32" t="n">
        <v>2.02</v>
      </c>
    </row>
    <row r="33">
      <c r="C33" s="2" t="inlineStr">
        <is>
          <t>roe_fwd</t>
        </is>
      </c>
      <c r="D33" t="n">
        <v>0.1719</v>
      </c>
    </row>
    <row r="34">
      <c r="C34" s="2" t="inlineStr">
        <is>
          <t>fair_pbr</t>
        </is>
      </c>
      <c r="D34" t="n">
        <v>1.91</v>
      </c>
    </row>
    <row r="35">
      <c r="C35" s="2" t="inlineStr">
        <is>
          <t>fair_value_pbr</t>
        </is>
      </c>
      <c r="D35" t="n">
        <v>8300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6">
        <f>변수!D60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2026-10-14T00:00:00Z</dcterms:created>
  <dcterms:modified xsi:type="dcterms:W3CDTF">2026-10-14T00:00:00Z</dcterms:modified>
</cp:coreProperties>
</file>