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228853억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238638억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245535억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254476억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266725억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281602억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297203억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312715억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326300억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228853억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238638억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245535억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254476억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266725억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281602억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297203억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312715억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326300억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1879억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1879억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2023억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2290억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14170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13540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15445.7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0.435332633</v>
      </c>
      <c r="AE21" s="25" t="n"/>
      <c r="AF21" s="24" t="n">
        <v>0.334647042</v>
      </c>
      <c r="AG21" s="24" t="n">
        <v>0.133539806</v>
      </c>
      <c r="AH21" s="24" t="n">
        <v>0.16844809</v>
      </c>
      <c r="AI21" s="24" t="n">
        <v>0.165484915</v>
      </c>
      <c r="AJ21" s="25" t="n"/>
      <c r="AK21" s="24" t="n">
        <v>0.180039694</v>
      </c>
      <c r="AL21" s="24" t="n">
        <v>0.210425196</v>
      </c>
      <c r="AM21" s="24" t="n">
        <v>0.228860367</v>
      </c>
      <c r="AN21" s="24" t="n">
        <v>0.223356794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0.109964448</v>
      </c>
      <c r="AE23" s="25">
        <f>IFERROR(subQ!AE9/subQ!AE5,"")</f>
        <v/>
      </c>
      <c r="AF23" s="24" t="n">
        <v>0.109964205</v>
      </c>
      <c r="AG23" s="24" t="n">
        <v>0.109964718</v>
      </c>
      <c r="AH23" s="24" t="n">
        <v>0.109964702</v>
      </c>
      <c r="AI23" s="24" t="n">
        <v>0.109964043</v>
      </c>
      <c r="AJ23" s="25">
        <f>IFERROR(subQ!AJ9/subQ!AJ5,"")</f>
        <v/>
      </c>
      <c r="AK23" s="24" t="n">
        <v>0.10996441</v>
      </c>
      <c r="AL23" s="24" t="n">
        <v>0.109963483</v>
      </c>
      <c r="AM23" s="24" t="n">
        <v>0.109964126</v>
      </c>
      <c r="AN23" s="24" t="n">
        <v>0.109962974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0.007261518</v>
      </c>
      <c r="AD29" s="30" t="n">
        <v>0.009513746</v>
      </c>
      <c r="AE29" s="31" t="n"/>
      <c r="AF29" s="30" t="n">
        <v>-0.002507817</v>
      </c>
      <c r="AG29" s="30" t="n">
        <v>119.772368813</v>
      </c>
      <c r="AH29" s="30" t="n">
        <v>0.01318002</v>
      </c>
      <c r="AI29" s="30" t="n">
        <v>0.002966883</v>
      </c>
      <c r="AJ29" s="31" t="n"/>
      <c r="AK29" s="30" t="n">
        <v>0.008220086</v>
      </c>
      <c r="AL29" s="30" t="n">
        <v>119.764414446</v>
      </c>
      <c r="AM29" s="30" t="n">
        <v>0.008416641000000001</v>
      </c>
      <c r="AN29" s="30" t="n">
        <v>0.007980206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0.007261518</v>
      </c>
      <c r="AD30" s="30" t="n">
        <v>0.009513746</v>
      </c>
      <c r="AE30" s="31" t="n"/>
      <c r="AF30" s="30" t="n">
        <v>-0.002507817</v>
      </c>
      <c r="AG30" s="30" t="n">
        <v>119.772368813</v>
      </c>
      <c r="AH30" s="30" t="n">
        <v>0.01318002</v>
      </c>
      <c r="AI30" s="30" t="n">
        <v>0.002966883</v>
      </c>
      <c r="AJ30" s="31" t="n"/>
      <c r="AK30" s="30" t="n">
        <v>0.008220086</v>
      </c>
      <c r="AL30" s="30" t="n">
        <v>119.764414446</v>
      </c>
      <c r="AM30" s="30" t="n">
        <v>0.008416641000000001</v>
      </c>
      <c r="AN30" s="30" t="n">
        <v>0.007980206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0.310169492</v>
      </c>
      <c r="AE32" s="25" t="n"/>
      <c r="AF32" s="24" t="n">
        <v>0.213309096</v>
      </c>
      <c r="AG32" s="24" t="n">
        <v>0.08843237299999999</v>
      </c>
      <c r="AH32" s="24" t="n">
        <v>0.182188218</v>
      </c>
      <c r="AI32" s="24" t="n">
        <v>0.178241303</v>
      </c>
      <c r="AJ32" s="25" t="n"/>
      <c r="AK32" s="24" t="n">
        <v>0.138109154</v>
      </c>
      <c r="AL32" s="24" t="n">
        <v>0.076528057</v>
      </c>
      <c r="AM32" s="24" t="n">
        <v>0.132184989</v>
      </c>
      <c r="AN32" s="24" t="n">
        <v>0.134313224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0.309188103</v>
      </c>
      <c r="AE33" s="25" t="n"/>
      <c r="AF33" s="24" t="n">
        <v>0.212803596</v>
      </c>
      <c r="AG33" s="24" t="n">
        <v>0.08825957700000001</v>
      </c>
      <c r="AH33" s="24" t="n">
        <v>0.181861096</v>
      </c>
      <c r="AI33" s="24" t="n">
        <v>0.177977647</v>
      </c>
      <c r="AJ33" s="25" t="n"/>
      <c r="AK33" s="24" t="n">
        <v>0.137930199</v>
      </c>
      <c r="AL33" s="24" t="n">
        <v>0.076435595</v>
      </c>
      <c r="AM33" s="24" t="n">
        <v>0.132045813</v>
      </c>
      <c r="AN33" s="24" t="n">
        <v>0.134192669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14170</v>
      </c>
      <c r="E41" s="2" t="inlineStr">
        <is>
          <t>원 — 네이버 정규장 종가(aik 확정종가 대조 · aik 15,210원)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20261013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0.2404341343681027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0.06289916970149008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0.01808951736324206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2679.7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5.29</v>
      </c>
    </row>
    <row r="32">
      <c r="C32" s="2" t="inlineStr">
        <is>
          <t>pbr_now</t>
        </is>
      </c>
      <c r="D32" t="n">
        <v>1.46</v>
      </c>
    </row>
    <row r="33">
      <c r="C33" s="2" t="inlineStr">
        <is>
          <t>roe_fwd</t>
        </is>
      </c>
      <c r="D33" t="n">
        <v>0.2761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