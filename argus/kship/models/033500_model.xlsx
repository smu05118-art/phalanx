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BS별도!$C$5:$AO$96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217027억 × 비례계수 0.0408 × 계절비중 Q3 0.244(계절비중 — 최근 3개 연도(2026, 2025, 2024) 분기/연간 비중 평균; 격자 lag0~4×창8/12/19×수준·YoY·4Q합 중 최대 r=0.97, n=16, 창 19)</t>
      </text>
    </comment>
    <comment ref="AD21" authorId="0" shapeId="0">
      <text>
        <t>모델값 역산(implied): v / 전년동기 − 1
고객지수 4분기 이동합(t−0) 226722억 × 비례계수 0.0408 × 계절비중 Q4 0.270(계절비중 — 최근 3개 연도(2026, 2025, 2024) 분기/연간 비중 평균; 격자 lag0~4×창8/12/19×수준·YoY·4Q합 중 최대 r=0.97, n=16, 창 19)</t>
      </text>
    </comment>
    <comment ref="AF21" authorId="0" shapeId="0">
      <text>
        <t>모델값 역산(implied): v / 전년동기 − 1
고객지수 4분기 이동합(t−0) 235982억 × 비례계수 0.0408 × 계절비중 Q1 0.232(계절비중 — 최근 3개 연도(2026, 2025, 2024) 분기/연간 비중 평균; 격자 lag0~4×창8/12/19×수준·YoY·4Q합 중 최대 r=0.97, n=16, 창 19)</t>
      </text>
    </comment>
    <comment ref="AG21" authorId="0" shapeId="0">
      <text>
        <t>모델값 역산(implied): v / 전년동기 − 1
고객지수 4분기 이동합(t−0) 242900억 × 비례계수 0.0408 × 계절비중 Q2 0.254(계절비중 — 최근 3개 연도(2026, 2025, 2024) 분기/연간 비중 평균; 격자 lag0~4×창8/12/19×수준·YoY·4Q합 중 최대 r=0.97, n=16, 창 19)</t>
      </text>
    </comment>
    <comment ref="AH21" authorId="0" shapeId="0">
      <text>
        <t>모델값 역산(implied): v / 전년동기 − 1
고객지수 4분기 이동합(t−0) 252932억 × 비례계수 0.0408 × 계절비중 Q3 0.244(계절비중 — 최근 3개 연도(2026, 2025, 2024) 분기/연간 비중 평균; 격자 lag0~4×창8/12/19×수준·YoY·4Q합 중 최대 r=0.97, n=16, 창 19)</t>
      </text>
    </comment>
    <comment ref="AI21" authorId="0" shapeId="0">
      <text>
        <t>모델값 역산(implied): v / 전년동기 − 1
고객지수 4분기 이동합(t−0) 266982억 × 비례계수 0.0408 × 계절비중 Q4 0.270(계절비중 — 최근 3개 연도(2026, 2025, 2024) 분기/연간 비중 평균; 격자 lag0~4×창8/12/19×수준·YoY·4Q합 중 최대 r=0.97, n=16, 창 19)</t>
      </text>
    </comment>
    <comment ref="AK21" authorId="0" shapeId="0">
      <text>
        <t>모델값 역산(implied): v / 전년동기 − 1
고객지수 4분기 이동합(t−0) 282760억 × 비례계수 0.0408 × 계절비중 Q1 0.232(계절비중 — 최근 3개 연도(2026, 2025, 2024) 분기/연간 비중 평균; 격자 lag0~4×창8/12/19×수준·YoY·4Q합 중 최대 r=0.97, n=16, 창 19)</t>
      </text>
    </comment>
    <comment ref="AL21" authorId="0" shapeId="0">
      <text>
        <t>모델값 역산(implied): v / 전년동기 − 1
고객지수 4분기 이동합(t−0) 298486억 × 비례계수 0.0408 × 계절비중 Q2 0.254(계절비중 — 최근 3개 연도(2026, 2025, 2024) 분기/연간 비중 평균; 격자 lag0~4×창8/12/19×수준·YoY·4Q합 중 최대 r=0.97, n=16, 창 19)</t>
      </text>
    </comment>
    <comment ref="AM21" authorId="0" shapeId="0">
      <text>
        <t>모델값 역산(implied): v / 전년동기 − 1
고객지수 4분기 이동합(t−0) 313400억 × 비례계수 0.0408 × 계절비중 Q3 0.244(계절비중 — 최근 3개 연도(2026, 2025, 2024) 분기/연간 비중 평균; 격자 lag0~4×창8/12/19×수준·YoY·4Q합 중 최대 r=0.97, n=16, 창 19)</t>
      </text>
    </comment>
    <comment ref="AN21" authorId="0" shapeId="0">
      <text>
        <t>모델값 역산(implied): v / 전년동기 − 1
고객지수 4분기 이동합(t−0) 325739억 × 비례계수 0.0408 × 계절비중 Q4 0.270(계절비중 — 최근 3개 연도(2026, 2025, 2024) 분기/연간 비중 평균; 격자 lag0~4×창8/12/19×수준·YoY·4Q합 중 최대 r=0.97, n=16, 창 19)</t>
      </text>
    </comment>
    <comment ref="AC22" authorId="0" shapeId="0">
      <text>
        <t>모델값 역산(implied): v / 매출액
매출액 × 판관비율 6.29%(최근 4분기 중위)</t>
      </text>
    </comment>
    <comment ref="AD22" authorId="0" shapeId="0">
      <text>
        <t>모델값 역산(implied): v / 매출액
매출액 × 판관비율 6.29%(최근 4분기 중위)</t>
      </text>
    </comment>
    <comment ref="AF22" authorId="0" shapeId="0">
      <text>
        <t>모델값 역산(implied): v / 매출액
매출액 × 판관비율 6.29%(최근 4분기 중위)</t>
      </text>
    </comment>
    <comment ref="AG22" authorId="0" shapeId="0">
      <text>
        <t>모델값 역산(implied): v / 매출액
매출액 × 판관비율 6.29%(최근 4분기 중위)</t>
      </text>
    </comment>
    <comment ref="AH22" authorId="0" shapeId="0">
      <text>
        <t>모델값 역산(implied): v / 매출액
매출액 × 판관비율 6.29%(최근 4분기 중위)</t>
      </text>
    </comment>
    <comment ref="AI22" authorId="0" shapeId="0">
      <text>
        <t>모델값 역산(implied): v / 매출액
매출액 × 판관비율 6.29%(최근 4분기 중위)</t>
      </text>
    </comment>
    <comment ref="AK22" authorId="0" shapeId="0">
      <text>
        <t>모델값 역산(implied): v / 매출액
매출액 × 판관비율 6.29%(최근 4분기 중위)</t>
      </text>
    </comment>
    <comment ref="AL22" authorId="0" shapeId="0">
      <text>
        <t>모델값 역산(implied): v / 매출액
매출액 × 판관비율 6.29%(최근 4분기 중위)</t>
      </text>
    </comment>
    <comment ref="AM22" authorId="0" shapeId="0">
      <text>
        <t>모델값 역산(implied): v / 매출액
매출액 × 판관비율 6.29%(최근 4분기 중위)</t>
      </text>
    </comment>
    <comment ref="AN22" authorId="0" shapeId="0">
      <text>
        <t>모델값 역산(implied): v / 매출액
매출액 × 판관비율 6.29%(최근 4분기 중위)</t>
      </text>
    </comment>
    <comment ref="AC23" authorId="0" shapeId="0">
      <text>
        <t>모델값 역산(implied): v / 매출액
매출액 × OPM(최근 8분기 OPM 중위 11.0% 유지)</t>
      </text>
    </comment>
    <comment ref="AD23" authorId="0" shapeId="0">
      <text>
        <t>모델값 역산(implied): v / 매출액
매출액 × OPM(최근 8분기 OPM 중위 11.0% 유지)</t>
      </text>
    </comment>
    <comment ref="AF23" authorId="0" shapeId="0">
      <text>
        <t>모델값 역산(implied): v / 매출액
매출액 × OPM(최근 8분기 OPM 중위 11.0% 유지)</t>
      </text>
    </comment>
    <comment ref="AG23" authorId="0" shapeId="0">
      <text>
        <t>모델값 역산(implied): v / 매출액
매출액 × OPM(최근 8분기 OPM 중위 11.0% 유지)</t>
      </text>
    </comment>
    <comment ref="AH23" authorId="0" shapeId="0">
      <text>
        <t>모델값 역산(implied): v / 매출액
매출액 × OPM(최근 8분기 OPM 중위 11.0% 유지)</t>
      </text>
    </comment>
    <comment ref="AI23" authorId="0" shapeId="0">
      <text>
        <t>모델값 역산(implied): v / 매출액
매출액 × OPM(최근 8분기 OPM 중위 11.0% 유지)</t>
      </text>
    </comment>
    <comment ref="AK23" authorId="0" shapeId="0">
      <text>
        <t>모델값 역산(implied): v / 매출액
매출액 × OPM(최근 8분기 OPM 중위 11.0% 유지)</t>
      </text>
    </comment>
    <comment ref="AL23" authorId="0" shapeId="0">
      <text>
        <t>모델값 역산(implied): v / 매출액
매출액 × OPM(최근 8분기 OPM 중위 11.0% 유지)</t>
      </text>
    </comment>
    <comment ref="AM23" authorId="0" shapeId="0">
      <text>
        <t>모델값 역산(implied): v / 매출액
매출액 × OPM(최근 8분기 OPM 중위 11.0% 유지)</t>
      </text>
    </comment>
    <comment ref="AN23" authorId="0" shapeId="0">
      <text>
        <t>모델값 역산(implied): v / 매출액
매출액 × OPM(최근 8분기 OPM 중위 11.0% 유지)</t>
      </text>
    </comment>
    <comment ref="AC24" authorId="0" shapeId="0">
      <text>
        <t>모델값 역산(implied): v / 전년동기 − 1
최근 8분기 OPM 중위 11.0% 유지</t>
      </text>
    </comment>
    <comment ref="AD24" authorId="0" shapeId="0">
      <text>
        <t>모델값 역산(implied): v / 전년동기 − 1
최근 8분기 OPM 중위 11.0% 유지</t>
      </text>
    </comment>
    <comment ref="AF24" authorId="0" shapeId="0">
      <text>
        <t>모델값 역산(implied): v / 전년동기 − 1
최근 8분기 OPM 중위 11.0% 유지</t>
      </text>
    </comment>
    <comment ref="AG24" authorId="0" shapeId="0">
      <text>
        <t>모델값 역산(implied): v / 전년동기 − 1
최근 8분기 OPM 중위 11.0% 유지</t>
      </text>
    </comment>
    <comment ref="AH24" authorId="0" shapeId="0">
      <text>
        <t>모델값 역산(implied): v / 전년동기 − 1
최근 8분기 OPM 중위 11.0% 유지</t>
      </text>
    </comment>
    <comment ref="AI24" authorId="0" shapeId="0">
      <text>
        <t>모델값 역산(implied): v / 전년동기 − 1
최근 8분기 OPM 중위 11.0% 유지</t>
      </text>
    </comment>
    <comment ref="AK24" authorId="0" shapeId="0">
      <text>
        <t>모델값 역산(implied): v / 전년동기 − 1
최근 8분기 OPM 중위 11.0% 유지</t>
      </text>
    </comment>
    <comment ref="AL24" authorId="0" shapeId="0">
      <text>
        <t>모델값 역산(implied): v / 전년동기 − 1
최근 8분기 OPM 중위 11.0% 유지</t>
      </text>
    </comment>
    <comment ref="AM24" authorId="0" shapeId="0">
      <text>
        <t>모델값 역산(implied): v / 전년동기 − 1
최근 8분기 OPM 중위 11.0% 유지</t>
      </text>
    </comment>
    <comment ref="AN24" authorId="0" shapeId="0">
      <text>
        <t>모델값 역산(implied): v / 전년동기 − 1
최근 8분기 OPM 중위 11.0% 유지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504억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687억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898억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1088억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1183억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1399억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1650억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1881억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2027억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2297억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</t>
      </text>
    </comment>
    <comment ref="AC26" authorId="0" shapeId="0">
      <text>
        <t>모델값 역산(implied): 모델 v 그대로
이자발생자산 504억 × 2.23%(CF 이자수취 ÷ 평균 이자발생자산(2025Q3~2026Q2; 주석 이자수익 0분기 &lt; 4)) − 총차입금 0억 × 8.76%(CF 이자지급 ÷ 평균 총차입금(2024Q1~2026Q2; 주석 이자비용 0분기 &lt; 4)) (연율) ÷ 4</t>
      </text>
    </comment>
    <comment ref="AD26" authorId="0" shapeId="0">
      <text>
        <t>모델값 역산(implied): 모델 v 그대로
이자발생자산 687억 × 2.23%(CF 이자수취 ÷ 평균 이자발생자산(2025Q3~2026Q2; 주석 이자수익 0분기 &lt; 4)) − 총차입금 0억 × 8.76%(CF 이자지급 ÷ 평균 총차입금(2024Q1~2026Q2; 주석 이자비용 0분기 &lt; 4)) (연율) ÷ 4</t>
      </text>
    </comment>
    <comment ref="AF26" authorId="0" shapeId="0">
      <text>
        <t>모델값 역산(implied): 모델 v 그대로
이자발생자산 898억 × 2.23%(CF 이자수취 ÷ 평균 이자발생자산(2025Q3~2026Q2; 주석 이자수익 0분기 &lt; 4)) − 총차입금 0억 × 8.76%(CF 이자지급 ÷ 평균 총차입금(2024Q1~2026Q2; 주석 이자비용 0분기 &lt; 4)) (연율) ÷ 4</t>
      </text>
    </comment>
    <comment ref="AG26" authorId="0" shapeId="0">
      <text>
        <t>모델값 역산(implied): 모델 v 그대로
이자발생자산 1088억 × 2.23%(CF 이자수취 ÷ 평균 이자발생자산(2025Q3~2026Q2; 주석 이자수익 0분기 &lt; 4)) − 총차입금 0억 × 8.76%(CF 이자지급 ÷ 평균 총차입금(2024Q1~2026Q2; 주석 이자비용 0분기 &lt; 4)) (연율) ÷ 4</t>
      </text>
    </comment>
    <comment ref="AH26" authorId="0" shapeId="0">
      <text>
        <t>모델값 역산(implied): 모델 v 그대로
이자발생자산 1183억 × 2.23%(CF 이자수취 ÷ 평균 이자발생자산(2025Q3~2026Q2; 주석 이자수익 0분기 &lt; 4)) − 총차입금 0억 × 8.76%(CF 이자지급 ÷ 평균 총차입금(2024Q1~2026Q2; 주석 이자비용 0분기 &lt; 4)) (연율) ÷ 4</t>
      </text>
    </comment>
    <comment ref="AI26" authorId="0" shapeId="0">
      <text>
        <t>모델값 역산(implied): 모델 v 그대로
이자발생자산 1399억 × 2.23%(CF 이자수취 ÷ 평균 이자발생자산(2025Q3~2026Q2; 주석 이자수익 0분기 &lt; 4)) − 총차입금 0억 × 8.76%(CF 이자지급 ÷ 평균 총차입금(2024Q1~2026Q2; 주석 이자비용 0분기 &lt; 4)) (연율) ÷ 4</t>
      </text>
    </comment>
    <comment ref="AK26" authorId="0" shapeId="0">
      <text>
        <t>모델값 역산(implied): 모델 v 그대로
이자발생자산 1650억 × 2.23%(CF 이자수취 ÷ 평균 이자발생자산(2025Q3~2026Q2; 주석 이자수익 0분기 &lt; 4)) − 총차입금 0억 × 8.76%(CF 이자지급 ÷ 평균 총차입금(2024Q1~2026Q2; 주석 이자비용 0분기 &lt; 4)) (연율) ÷ 4</t>
      </text>
    </comment>
    <comment ref="AL26" authorId="0" shapeId="0">
      <text>
        <t>모델값 역산(implied): 모델 v 그대로
이자발생자산 1881억 × 2.23%(CF 이자수취 ÷ 평균 이자발생자산(2025Q3~2026Q2; 주석 이자수익 0분기 &lt; 4)) − 총차입금 0억 × 8.76%(CF 이자지급 ÷ 평균 총차입금(2024Q1~2026Q2; 주석 이자비용 0분기 &lt; 4)) (연율) ÷ 4</t>
      </text>
    </comment>
    <comment ref="AM26" authorId="0" shapeId="0">
      <text>
        <t>모델값 역산(implied): 모델 v 그대로
이자발생자산 2027억 × 2.23%(CF 이자수취 ÷ 평균 이자발생자산(2025Q3~2026Q2; 주석 이자수익 0분기 &lt; 4)) − 총차입금 0억 × 8.76%(CF 이자지급 ÷ 평균 총차입금(2024Q1~2026Q2; 주석 이자비용 0분기 &lt; 4)) (연율) ÷ 4</t>
      </text>
    </comment>
    <comment ref="AN26" authorId="0" shapeId="0">
      <text>
        <t>모델값 역산(implied): 모델 v 그대로
이자발생자산 2297억 × 2.23%(CF 이자수취 ÷ 평균 이자발생자산(2025Q3~2026Q2; 주석 이자수익 0분기 &lt; 4)) − 총차입금 0억 × 8.76%(CF 이자지급 ÷ 평균 총차입금(2024Q1~2026Q2; 주석 이자비용 0분기 &lt; 4)) (연율) ÷ 4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24.0%(최근 12분기 유효세율 24.0%(5~27% 안 — 그대로))</t>
      </text>
    </comment>
    <comment ref="AD28" authorId="0" shapeId="0">
      <text>
        <t>모델값 역산(implied): v / 세전이익
max(세전, 0) × 세율 24.0%(최근 12분기 유효세율 24.0%(5~27% 안 — 그대로))</t>
      </text>
    </comment>
    <comment ref="AF28" authorId="0" shapeId="0">
      <text>
        <t>모델값 역산(implied): v / 세전이익
max(세전, 0) × 세율 24.0%(최근 12분기 유효세율 24.0%(5~27% 안 — 그대로))</t>
      </text>
    </comment>
    <comment ref="AG28" authorId="0" shapeId="0">
      <text>
        <t>모델값 역산(implied): v / 세전이익
max(세전, 0) × 세율 24.0%(최근 12분기 유효세율 24.0%(5~27% 안 — 그대로))</t>
      </text>
    </comment>
    <comment ref="AH28" authorId="0" shapeId="0">
      <text>
        <t>모델값 역산(implied): v / 세전이익
max(세전, 0) × 세율 24.0%(최근 12분기 유효세율 24.0%(5~27% 안 — 그대로))</t>
      </text>
    </comment>
    <comment ref="AI28" authorId="0" shapeId="0">
      <text>
        <t>모델값 역산(implied): v / 세전이익
max(세전, 0) × 세율 24.0%(최근 12분기 유효세율 24.0%(5~27% 안 — 그대로))</t>
      </text>
    </comment>
    <comment ref="AK28" authorId="0" shapeId="0">
      <text>
        <t>모델값 역산(implied): v / 세전이익
max(세전, 0) × 세율 24.0%(최근 12분기 유효세율 24.0%(5~27% 안 — 그대로))</t>
      </text>
    </comment>
    <comment ref="AL28" authorId="0" shapeId="0">
      <text>
        <t>모델값 역산(implied): v / 세전이익
max(세전, 0) × 세율 24.0%(최근 12분기 유효세율 24.0%(5~27% 안 — 그대로))</t>
      </text>
    </comment>
    <comment ref="AM28" authorId="0" shapeId="0">
      <text>
        <t>모델값 역산(implied): v / 세전이익
max(세전, 0) × 세율 24.0%(최근 12분기 유효세율 24.0%(5~27% 안 — 그대로))</t>
      </text>
    </comment>
    <comment ref="AN28" authorId="0" shapeId="0">
      <text>
        <t>모델값 역산(implied): v / 세전이익
max(세전, 0) × 세율 24.0%(최근 12분기 유효세율 24.0%(5~27% 안 — 그대로))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전년동기 − 1
직전 결산 DPS 400원 유지</t>
      </text>
    </comment>
    <comment ref="AI40" authorId="0" shapeId="0">
      <text>
        <t>모델값 역산(implied): v / 전년동기 − 1
직전 결산 DPS 400원 유지</t>
      </text>
    </comment>
    <comment ref="AN40" authorId="0" shapeId="0">
      <text>
        <t>모델값 역산(implied): v / 전년동기 − 1
직전 결산 DPS 400원 유지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217027억 × 비례계수 0.0408 × 계절비중 Q3 0.244(계절비중 — 최근 3개 연도(2026, 2025, 2024) 분기/연간 비중 평균; 격자 lag0~4×창8/12/19×수준·YoY·4Q합 중 최대 r=0.97, n=16, 창 19)
[yoy]</t>
      </text>
    </comment>
    <comment ref="AD5" authorId="0" shapeId="0">
      <text>
        <t>추정: 고객지수 4분기 이동합(t−0) 226722억 × 비례계수 0.0408 × 계절비중 Q4 0.270(계절비중 — 최근 3개 연도(2026, 2025, 2024) 분기/연간 비중 평균; 격자 lag0~4×창8/12/19×수준·YoY·4Q합 중 최대 r=0.97, n=16, 창 19)
[yoy]</t>
      </text>
    </comment>
    <comment ref="AF5" authorId="0" shapeId="0">
      <text>
        <t>추정: 고객지수 4분기 이동합(t−0) 235982억 × 비례계수 0.0408 × 계절비중 Q1 0.232(계절비중 — 최근 3개 연도(2026, 2025, 2024) 분기/연간 비중 평균; 격자 lag0~4×창8/12/19×수준·YoY·4Q합 중 최대 r=0.97, n=16, 창 19)
[yoy]</t>
      </text>
    </comment>
    <comment ref="AG5" authorId="0" shapeId="0">
      <text>
        <t>추정: 고객지수 4분기 이동합(t−0) 242900억 × 비례계수 0.0408 × 계절비중 Q2 0.254(계절비중 — 최근 3개 연도(2026, 2025, 2024) 분기/연간 비중 평균; 격자 lag0~4×창8/12/19×수준·YoY·4Q합 중 최대 r=0.97, n=16, 창 19)
[yoy]</t>
      </text>
    </comment>
    <comment ref="AH5" authorId="0" shapeId="0">
      <text>
        <t>추정: 고객지수 4분기 이동합(t−0) 252932억 × 비례계수 0.0408 × 계절비중 Q3 0.244(계절비중 — 최근 3개 연도(2026, 2025, 2024) 분기/연간 비중 평균; 격자 lag0~4×창8/12/19×수준·YoY·4Q합 중 최대 r=0.97, n=16, 창 19)
[yoy]</t>
      </text>
    </comment>
    <comment ref="AI5" authorId="0" shapeId="0">
      <text>
        <t>추정: 고객지수 4분기 이동합(t−0) 266982억 × 비례계수 0.0408 × 계절비중 Q4 0.270(계절비중 — 최근 3개 연도(2026, 2025, 2024) 분기/연간 비중 평균; 격자 lag0~4×창8/12/19×수준·YoY·4Q합 중 최대 r=0.97, n=16, 창 19)
[yoy]</t>
      </text>
    </comment>
    <comment ref="AK5" authorId="0" shapeId="0">
      <text>
        <t>추정: 고객지수 4분기 이동합(t−0) 282760억 × 비례계수 0.0408 × 계절비중 Q1 0.232(계절비중 — 최근 3개 연도(2026, 2025, 2024) 분기/연간 비중 평균; 격자 lag0~4×창8/12/19×수준·YoY·4Q합 중 최대 r=0.97, n=16, 창 19)
[yoy]</t>
      </text>
    </comment>
    <comment ref="AL5" authorId="0" shapeId="0">
      <text>
        <t>추정: 고객지수 4분기 이동합(t−0) 298486억 × 비례계수 0.0408 × 계절비중 Q2 0.254(계절비중 — 최근 3개 연도(2026, 2025, 2024) 분기/연간 비중 평균; 격자 lag0~4×창8/12/19×수준·YoY·4Q합 중 최대 r=0.97, n=16, 창 19)
[yoy]</t>
      </text>
    </comment>
    <comment ref="AM5" authorId="0" shapeId="0">
      <text>
        <t>추정: 고객지수 4분기 이동합(t−0) 313400억 × 비례계수 0.0408 × 계절비중 Q3 0.244(계절비중 — 최근 3개 연도(2026, 2025, 2024) 분기/연간 비중 평균; 격자 lag0~4×창8/12/19×수준·YoY·4Q합 중 최대 r=0.97, n=16, 창 19)
[yoy]</t>
      </text>
    </comment>
    <comment ref="AN5" authorId="0" shapeId="0">
      <text>
        <t>추정: 고객지수 4분기 이동합(t−0) 325739억 × 비례계수 0.0408 × 계절비중 Q4 0.270(계절비중 — 최근 3개 연도(2026, 2025, 2024) 분기/연간 비중 평균; 격자 lag0~4×창8/12/19×수준·YoY·4Q합 중 최대 r=0.97,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6.29%(최근 4분기 중위)
[ratio]</t>
      </text>
    </comment>
    <comment ref="AD8" authorId="0" shapeId="0">
      <text>
        <t>추정: 매출액 × 판관비율 6.29%(최근 4분기 중위)
[ratio]</t>
      </text>
    </comment>
    <comment ref="AF8" authorId="0" shapeId="0">
      <text>
        <t>추정: 매출액 × 판관비율 6.29%(최근 4분기 중위)
[ratio]</t>
      </text>
    </comment>
    <comment ref="AG8" authorId="0" shapeId="0">
      <text>
        <t>추정: 매출액 × 판관비율 6.29%(최근 4분기 중위)
[ratio]</t>
      </text>
    </comment>
    <comment ref="AH8" authorId="0" shapeId="0">
      <text>
        <t>추정: 매출액 × 판관비율 6.29%(최근 4분기 중위)
[ratio]</t>
      </text>
    </comment>
    <comment ref="AI8" authorId="0" shapeId="0">
      <text>
        <t>추정: 매출액 × 판관비율 6.29%(최근 4분기 중위)
[ratio]</t>
      </text>
    </comment>
    <comment ref="AK8" authorId="0" shapeId="0">
      <text>
        <t>추정: 매출액 × 판관비율 6.29%(최근 4분기 중위)
[ratio]</t>
      </text>
    </comment>
    <comment ref="AL8" authorId="0" shapeId="0">
      <text>
        <t>추정: 매출액 × 판관비율 6.29%(최근 4분기 중위)
[ratio]</t>
      </text>
    </comment>
    <comment ref="AM8" authorId="0" shapeId="0">
      <text>
        <t>추정: 매출액 × 판관비율 6.29%(최근 4분기 중위)
[ratio]</t>
      </text>
    </comment>
    <comment ref="AN8" authorId="0" shapeId="0">
      <text>
        <t>추정: 매출액 × 판관비율 6.29%(최근 4분기 중위)
[ratio]</t>
      </text>
    </comment>
    <comment ref="AC9" authorId="0" shapeId="0">
      <text>
        <t>추정: 매출액 × OPM(최근 8분기 OPM 중위 11.0% 유지)
[ratio]</t>
      </text>
    </comment>
    <comment ref="AD9" authorId="0" shapeId="0">
      <text>
        <t>추정: 매출액 × OPM(최근 8분기 OPM 중위 11.0% 유지)
[ratio]</t>
      </text>
    </comment>
    <comment ref="AF9" authorId="0" shapeId="0">
      <text>
        <t>추정: 매출액 × OPM(최근 8분기 OPM 중위 11.0% 유지)
[ratio]</t>
      </text>
    </comment>
    <comment ref="AG9" authorId="0" shapeId="0">
      <text>
        <t>추정: 매출액 × OPM(최근 8분기 OPM 중위 11.0% 유지)
[ratio]</t>
      </text>
    </comment>
    <comment ref="AH9" authorId="0" shapeId="0">
      <text>
        <t>추정: 매출액 × OPM(최근 8분기 OPM 중위 11.0% 유지)
[ratio]</t>
      </text>
    </comment>
    <comment ref="AI9" authorId="0" shapeId="0">
      <text>
        <t>추정: 매출액 × OPM(최근 8분기 OPM 중위 11.0% 유지)
[ratio]</t>
      </text>
    </comment>
    <comment ref="AK9" authorId="0" shapeId="0">
      <text>
        <t>추정: 매출액 × OPM(최근 8분기 OPM 중위 11.0% 유지)
[ratio]</t>
      </text>
    </comment>
    <comment ref="AL9" authorId="0" shapeId="0">
      <text>
        <t>추정: 매출액 × OPM(최근 8분기 OPM 중위 11.0% 유지)
[ratio]</t>
      </text>
    </comment>
    <comment ref="AM9" authorId="0" shapeId="0">
      <text>
        <t>추정: 매출액 × OPM(최근 8분기 OPM 중위 11.0% 유지)
[ratio]</t>
      </text>
    </comment>
    <comment ref="AN9" authorId="0" shapeId="0">
      <text>
        <t>추정: 매출액 × OPM(최근 8분기 OPM 중위 11.0%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11.0% 유지
[yoy]</t>
      </text>
    </comment>
    <comment ref="AD10" authorId="0" shapeId="0">
      <text>
        <t>추정: 최근 8분기 OPM 중위 11.0% 유지
[yoy]</t>
      </text>
    </comment>
    <comment ref="AF10" authorId="0" shapeId="0">
      <text>
        <t>추정: 최근 8분기 OPM 중위 11.0% 유지
[yoy]</t>
      </text>
    </comment>
    <comment ref="AG10" authorId="0" shapeId="0">
      <text>
        <t>추정: 최근 8분기 OPM 중위 11.0% 유지
[yoy]</t>
      </text>
    </comment>
    <comment ref="AH10" authorId="0" shapeId="0">
      <text>
        <t>추정: 최근 8분기 OPM 중위 11.0% 유지
[yoy]</t>
      </text>
    </comment>
    <comment ref="AI10" authorId="0" shapeId="0">
      <text>
        <t>추정: 최근 8분기 OPM 중위 11.0% 유지
[yoy]</t>
      </text>
    </comment>
    <comment ref="AK10" authorId="0" shapeId="0">
      <text>
        <t>추정: 최근 8분기 OPM 중위 11.0% 유지
[yoy]</t>
      </text>
    </comment>
    <comment ref="AL10" authorId="0" shapeId="0">
      <text>
        <t>추정: 최근 8분기 OPM 중위 11.0% 유지
[yoy]</t>
      </text>
    </comment>
    <comment ref="AM10" authorId="0" shapeId="0">
      <text>
        <t>추정: 최근 8분기 OPM 중위 11.0% 유지
[yoy]</t>
      </text>
    </comment>
    <comment ref="AN10" authorId="0" shapeId="0">
      <text>
        <t>추정: 최근 8분기 OPM 중위 11.0% 유지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504억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687억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898억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1088억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1183억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1399억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1650억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1881억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2027억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2297억 × 2.23%(CF 이자수취 ÷ 평균 이자발생자산(2025Q3~2026Q2; 주석 이자수익 0분기 &lt; 4)) − 총차입금 0억 × 8.76%(CF 이자지급 ÷ 평균 총차입금(2024Q1~2026Q2; 주석 이자비용 0분기 &lt; 4)) (연율) ÷ 4; 환율 효과는 환관련손익 행 별도
[abs]</t>
      </text>
    </comment>
    <comment ref="AC12" authorId="0" shapeId="0">
      <text>
        <t>추정: 이자발생자산 504억 × 2.23%(CF 이자수취 ÷ 평균 이자발생자산(2025Q3~2026Q2; 주석 이자수익 0분기 &lt; 4)) − 총차입금 0억 × 8.76%(CF 이자지급 ÷ 평균 총차입금(2024Q1~2026Q2; 주석 이자비용 0분기 &lt; 4)) (연율) ÷ 4
[abs]</t>
      </text>
    </comment>
    <comment ref="AD12" authorId="0" shapeId="0">
      <text>
        <t>추정: 이자발생자산 687억 × 2.23%(CF 이자수취 ÷ 평균 이자발생자산(2025Q3~2026Q2; 주석 이자수익 0분기 &lt; 4)) − 총차입금 0억 × 8.76%(CF 이자지급 ÷ 평균 총차입금(2024Q1~2026Q2; 주석 이자비용 0분기 &lt; 4)) (연율) ÷ 4
[abs]</t>
      </text>
    </comment>
    <comment ref="AF12" authorId="0" shapeId="0">
      <text>
        <t>추정: 이자발생자산 898억 × 2.23%(CF 이자수취 ÷ 평균 이자발생자산(2025Q3~2026Q2; 주석 이자수익 0분기 &lt; 4)) − 총차입금 0억 × 8.76%(CF 이자지급 ÷ 평균 총차입금(2024Q1~2026Q2; 주석 이자비용 0분기 &lt; 4)) (연율) ÷ 4
[abs]</t>
      </text>
    </comment>
    <comment ref="AG12" authorId="0" shapeId="0">
      <text>
        <t>추정: 이자발생자산 1088억 × 2.23%(CF 이자수취 ÷ 평균 이자발생자산(2025Q3~2026Q2; 주석 이자수익 0분기 &lt; 4)) − 총차입금 0억 × 8.76%(CF 이자지급 ÷ 평균 총차입금(2024Q1~2026Q2; 주석 이자비용 0분기 &lt; 4)) (연율) ÷ 4
[abs]</t>
      </text>
    </comment>
    <comment ref="AH12" authorId="0" shapeId="0">
      <text>
        <t>추정: 이자발생자산 1183억 × 2.23%(CF 이자수취 ÷ 평균 이자발생자산(2025Q3~2026Q2; 주석 이자수익 0분기 &lt; 4)) − 총차입금 0억 × 8.76%(CF 이자지급 ÷ 평균 총차입금(2024Q1~2026Q2; 주석 이자비용 0분기 &lt; 4)) (연율) ÷ 4
[abs]</t>
      </text>
    </comment>
    <comment ref="AI12" authorId="0" shapeId="0">
      <text>
        <t>추정: 이자발생자산 1399억 × 2.23%(CF 이자수취 ÷ 평균 이자발생자산(2025Q3~2026Q2; 주석 이자수익 0분기 &lt; 4)) − 총차입금 0억 × 8.76%(CF 이자지급 ÷ 평균 총차입금(2024Q1~2026Q2; 주석 이자비용 0분기 &lt; 4)) (연율) ÷ 4
[abs]</t>
      </text>
    </comment>
    <comment ref="AK12" authorId="0" shapeId="0">
      <text>
        <t>추정: 이자발생자산 1650억 × 2.23%(CF 이자수취 ÷ 평균 이자발생자산(2025Q3~2026Q2; 주석 이자수익 0분기 &lt; 4)) − 총차입금 0억 × 8.76%(CF 이자지급 ÷ 평균 총차입금(2024Q1~2026Q2; 주석 이자비용 0분기 &lt; 4)) (연율) ÷ 4
[abs]</t>
      </text>
    </comment>
    <comment ref="AL12" authorId="0" shapeId="0">
      <text>
        <t>추정: 이자발생자산 1881억 × 2.23%(CF 이자수취 ÷ 평균 이자발생자산(2025Q3~2026Q2; 주석 이자수익 0분기 &lt; 4)) − 총차입금 0억 × 8.76%(CF 이자지급 ÷ 평균 총차입금(2024Q1~2026Q2; 주석 이자비용 0분기 &lt; 4)) (연율) ÷ 4
[abs]</t>
      </text>
    </comment>
    <comment ref="AM12" authorId="0" shapeId="0">
      <text>
        <t>추정: 이자발생자산 2027억 × 2.23%(CF 이자수취 ÷ 평균 이자발생자산(2025Q3~2026Q2; 주석 이자수익 0분기 &lt; 4)) − 총차입금 0억 × 8.76%(CF 이자지급 ÷ 평균 총차입금(2024Q1~2026Q2; 주석 이자비용 0분기 &lt; 4)) (연율) ÷ 4
[abs]</t>
      </text>
    </comment>
    <comment ref="AN12" authorId="0" shapeId="0">
      <text>
        <t>추정: 이자발생자산 2297억 × 2.23%(CF 이자수취 ÷ 평균 이자발생자산(2025Q3~2026Q2; 주석 이자수익 0분기 &lt; 4)) − 총차입금 0억 × 8.76%(CF 이자지급 ÷ 평균 총차입금(2024Q1~2026Q2; 주석 이자비용 0분기 &lt; 4)) (연율) ÷ 4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24.0%(최근 12분기 유효세율 24.0%(5~27% 안 — 그대로))
[ratio]</t>
      </text>
    </comment>
    <comment ref="AD15" authorId="0" shapeId="0">
      <text>
        <t>추정: max(세전, 0) × 세율 24.0%(최근 12분기 유효세율 24.0%(5~27% 안 — 그대로))
[ratio]</t>
      </text>
    </comment>
    <comment ref="AF15" authorId="0" shapeId="0">
      <text>
        <t>추정: max(세전, 0) × 세율 24.0%(최근 12분기 유효세율 24.0%(5~27% 안 — 그대로))
[ratio]</t>
      </text>
    </comment>
    <comment ref="AG15" authorId="0" shapeId="0">
      <text>
        <t>추정: max(세전, 0) × 세율 24.0%(최근 12분기 유효세율 24.0%(5~27% 안 — 그대로))
[ratio]</t>
      </text>
    </comment>
    <comment ref="AH15" authorId="0" shapeId="0">
      <text>
        <t>추정: max(세전, 0) × 세율 24.0%(최근 12분기 유효세율 24.0%(5~27% 안 — 그대로))
[ratio]</t>
      </text>
    </comment>
    <comment ref="AI15" authorId="0" shapeId="0">
      <text>
        <t>추정: max(세전, 0) × 세율 24.0%(최근 12분기 유효세율 24.0%(5~27% 안 — 그대로))
[ratio]</t>
      </text>
    </comment>
    <comment ref="AK15" authorId="0" shapeId="0">
      <text>
        <t>추정: max(세전, 0) × 세율 24.0%(최근 12분기 유효세율 24.0%(5~27% 안 — 그대로))
[ratio]</t>
      </text>
    </comment>
    <comment ref="AL15" authorId="0" shapeId="0">
      <text>
        <t>추정: max(세전, 0) × 세율 24.0%(최근 12분기 유효세율 24.0%(5~27% 안 — 그대로))
[ratio]</t>
      </text>
    </comment>
    <comment ref="AM15" authorId="0" shapeId="0">
      <text>
        <t>추정: max(세전, 0) × 세율 24.0%(최근 12분기 유효세율 24.0%(5~27% 안 — 그대로))
[ratio]</t>
      </text>
    </comment>
    <comment ref="AN15" authorId="0" shapeId="0">
      <text>
        <t>추정: max(세전, 0) × 세율 24.0%(최근 12분기 유효세율 24.0%(5~27% 안 — 그대로))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추정(가정 셀 참조 불가 — 기준값 없음, 모델값 직접): 마지막 실적 유지(가정)</t>
      </text>
    </comment>
    <comment ref="AD22" authorId="0" shapeId="0">
      <text>
        <t>추정(가정 셀 참조 불가 — 기준값 없음, 모델값 직접): 마지막 실적 유지(가정)</t>
      </text>
    </comment>
    <comment ref="AF22" authorId="0" shapeId="0">
      <text>
        <t>추정(가정 셀 참조 불가 — 기준값 없음, 모델값 직접): 마지막 실적 유지(가정)</t>
      </text>
    </comment>
    <comment ref="AG22" authorId="0" shapeId="0">
      <text>
        <t>추정(가정 셀 참조 불가 — 기준값 없음, 모델값 직접): 마지막 실적 유지(가정)</t>
      </text>
    </comment>
    <comment ref="AH22" authorId="0" shapeId="0">
      <text>
        <t>추정(가정 셀 참조 불가 — 기준값 없음, 모델값 직접): 마지막 실적 유지(가정)</t>
      </text>
    </comment>
    <comment ref="AI22" authorId="0" shapeId="0">
      <text>
        <t>추정(가정 셀 참조 불가 — 기준값 없음, 모델값 직접): 마지막 실적 유지(가정)</t>
      </text>
    </comment>
    <comment ref="AK22" authorId="0" shapeId="0">
      <text>
        <t>추정(가정 셀 참조 불가 — 기준값 없음, 모델값 직접): 마지막 실적 유지(가정)</t>
      </text>
    </comment>
    <comment ref="AL22" authorId="0" shapeId="0">
      <text>
        <t>추정(가정 셀 참조 불가 — 기준값 없음, 모델값 직접): 마지막 실적 유지(가정)</t>
      </text>
    </comment>
    <comment ref="AM22" authorId="0" shapeId="0">
      <text>
        <t>추정(가정 셀 참조 불가 — 기준값 없음, 모델값 직접): 마지막 실적 유지(가정)</t>
      </text>
    </comment>
    <comment ref="AN22" authorId="0" shapeId="0">
      <text>
        <t>추정(가정 셀 참조 불가 — 기준값 없음, 모델값 직접): 마지막 실적 유지(가정)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추정: 직전 결산 DPS 400원 유지
[yoy]</t>
      </text>
    </comment>
    <comment ref="AI31" authorId="0" shapeId="0">
      <text>
        <t>추정: 직전 결산 DPS 400원 유지
[yoy]</t>
      </text>
    </comment>
    <comment ref="AN31" authorId="0" shapeId="0">
      <text>
        <t>추정: 직전 결산 DPS 400원 유지
[yoy]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L32" authorId="0" shapeId="0">
      <text>
        <t>실측(계정 매핑 없음 — 모델값 직접) — 토스 일봉 분기 평균 ÷ TTM EPS</t>
      </text>
    </comment>
    <comment ref="M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동성화인텍(033500)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assets/models/033500.json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15.6, "op_wape_pct": 35.5, "n": 4, "note": "단일 회사 4분기 — 통계 아님", "driver_at_freeze": "customer_yard_revenue_weighted", "selection_oos_at_freeze": {"freeze": "2024Q2", "n": 4, "wape_link": 11.4, "wape_trend": 13.8,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1580.22, "rev_act": 2011.06, "op_pred": 139.89, "op_act": 235.1}, {"q": "2025Q4", "rev_pred": 2063.1, "rev_act": 1753.91, "op_pred": 182.64, "op_act": 195.83}, {"q": "2026Q1", "rev_pred": 1731.59, "rev_act": 1691.29, "op_pred": 153.29, "op_act": 198.54}, {"q": "2026Q2", "rev_pred": 1825.43, "rev_act": 2245.34, "op_pred": 161.6, "op_act": 359.4}]}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11500</v>
      </c>
      <c r="F15" s="9" t="n"/>
      <c r="G15" s="18" t="n">
        <v>11450</v>
      </c>
      <c r="H15" s="18" t="n">
        <v>12150</v>
      </c>
      <c r="I15" s="18" t="n">
        <v>10750</v>
      </c>
      <c r="J15" s="18" t="n">
        <v>10850</v>
      </c>
      <c r="K15" s="9" t="n"/>
      <c r="L15" s="18" t="n">
        <v>10910</v>
      </c>
      <c r="M15" s="18" t="n">
        <v>12350</v>
      </c>
      <c r="N15" s="18" t="n">
        <v>12200</v>
      </c>
      <c r="O15" s="18" t="n">
        <v>12220</v>
      </c>
      <c r="P15" s="9" t="n"/>
      <c r="Q15" s="18" t="n">
        <v>12180</v>
      </c>
      <c r="R15" s="18" t="n">
        <v>11960</v>
      </c>
      <c r="S15" s="18" t="n">
        <v>11430</v>
      </c>
      <c r="T15" s="18" t="n">
        <v>14920</v>
      </c>
      <c r="U15" s="9" t="n"/>
      <c r="V15" s="18" t="n">
        <v>22150</v>
      </c>
      <c r="W15" s="18" t="n">
        <v>26400</v>
      </c>
      <c r="X15" s="18" t="n">
        <v>30500</v>
      </c>
      <c r="Y15" s="18" t="n">
        <v>25200</v>
      </c>
      <c r="Z15" s="9" t="n"/>
      <c r="AA15" s="18" t="n">
        <v>23100</v>
      </c>
      <c r="AB15" s="19" t="n">
        <v>17490</v>
      </c>
      <c r="AC15" s="20" t="n">
        <v>15900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13100</v>
      </c>
      <c r="F16" s="9" t="n"/>
      <c r="G16" s="18" t="n">
        <v>12550</v>
      </c>
      <c r="H16" s="18" t="n">
        <v>12950</v>
      </c>
      <c r="I16" s="18" t="n">
        <v>14200</v>
      </c>
      <c r="J16" s="18" t="n">
        <v>12050</v>
      </c>
      <c r="K16" s="9" t="n"/>
      <c r="L16" s="18" t="n">
        <v>11620</v>
      </c>
      <c r="M16" s="18" t="n">
        <v>13910</v>
      </c>
      <c r="N16" s="18" t="n">
        <v>15220</v>
      </c>
      <c r="O16" s="18" t="n">
        <v>13270</v>
      </c>
      <c r="P16" s="9" t="n"/>
      <c r="Q16" s="18" t="n">
        <v>12500</v>
      </c>
      <c r="R16" s="18" t="n">
        <v>13580</v>
      </c>
      <c r="S16" s="18" t="n">
        <v>14380</v>
      </c>
      <c r="T16" s="18" t="n">
        <v>16090</v>
      </c>
      <c r="U16" s="9" t="n"/>
      <c r="V16" s="18" t="n">
        <v>26500</v>
      </c>
      <c r="W16" s="18" t="n">
        <v>29300</v>
      </c>
      <c r="X16" s="18" t="n">
        <v>34300</v>
      </c>
      <c r="Y16" s="18" t="n">
        <v>33600</v>
      </c>
      <c r="Z16" s="9" t="n"/>
      <c r="AA16" s="18" t="n">
        <v>32200</v>
      </c>
      <c r="AB16" s="19" t="n">
        <v>30700</v>
      </c>
      <c r="AC16" s="20" t="n">
        <v>20500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9690</v>
      </c>
      <c r="F17" s="9" t="n"/>
      <c r="G17" s="18" t="n">
        <v>9650</v>
      </c>
      <c r="H17" s="18" t="n">
        <v>10150</v>
      </c>
      <c r="I17" s="18" t="n">
        <v>10250</v>
      </c>
      <c r="J17" s="18" t="n">
        <v>10250</v>
      </c>
      <c r="K17" s="9" t="n"/>
      <c r="L17" s="18" t="n">
        <v>10140</v>
      </c>
      <c r="M17" s="18" t="n">
        <v>10570</v>
      </c>
      <c r="N17" s="18" t="n">
        <v>12090</v>
      </c>
      <c r="O17" s="18" t="n">
        <v>11070</v>
      </c>
      <c r="P17" s="9" t="n"/>
      <c r="Q17" s="18" t="n">
        <v>11290</v>
      </c>
      <c r="R17" s="18" t="n">
        <v>11500</v>
      </c>
      <c r="S17" s="18" t="n">
        <v>10800</v>
      </c>
      <c r="T17" s="18" t="n">
        <v>10660</v>
      </c>
      <c r="U17" s="9" t="n"/>
      <c r="V17" s="18" t="n">
        <v>14780</v>
      </c>
      <c r="W17" s="18" t="n">
        <v>21500</v>
      </c>
      <c r="X17" s="18" t="n">
        <v>21450</v>
      </c>
      <c r="Y17" s="18" t="n">
        <v>23900</v>
      </c>
      <c r="Z17" s="9" t="n"/>
      <c r="AA17" s="18" t="n">
        <v>21500</v>
      </c>
      <c r="AB17" s="19" t="n">
        <v>15990</v>
      </c>
      <c r="AC17" s="20" t="n">
        <v>14050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11555.6</v>
      </c>
      <c r="F18" s="9" t="n"/>
      <c r="G18" s="18" t="n">
        <v>10907.6</v>
      </c>
      <c r="H18" s="18" t="n">
        <v>11367.7</v>
      </c>
      <c r="I18" s="18" t="n">
        <v>11753.2</v>
      </c>
      <c r="J18" s="18" t="n">
        <v>11091.1</v>
      </c>
      <c r="K18" s="9" t="n"/>
      <c r="L18" s="18" t="n">
        <v>10905.2</v>
      </c>
      <c r="M18" s="18" t="n">
        <v>11654.9</v>
      </c>
      <c r="N18" s="18" t="n">
        <v>13540</v>
      </c>
      <c r="O18" s="18" t="n">
        <v>12105.3</v>
      </c>
      <c r="P18" s="9" t="n"/>
      <c r="Q18" s="18" t="n">
        <v>11742.1</v>
      </c>
      <c r="R18" s="18" t="n">
        <v>12422.3</v>
      </c>
      <c r="S18" s="18" t="n">
        <v>12353.4</v>
      </c>
      <c r="T18" s="18" t="n">
        <v>12751.5</v>
      </c>
      <c r="U18" s="9" t="n"/>
      <c r="V18" s="18" t="n">
        <v>21018.3</v>
      </c>
      <c r="W18" s="18" t="n">
        <v>25523.3</v>
      </c>
      <c r="X18" s="18" t="n">
        <v>28311.5</v>
      </c>
      <c r="Y18" s="18" t="n">
        <v>28583.1</v>
      </c>
      <c r="Z18" s="9" t="n"/>
      <c r="AA18" s="18" t="n">
        <v>27359.3</v>
      </c>
      <c r="AB18" s="19" t="n">
        <v>23296.2</v>
      </c>
      <c r="AC18" s="20" t="n">
        <v>16748.9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0.076456</v>
      </c>
      <c r="AD21" s="24" t="n">
        <v>0.421963</v>
      </c>
      <c r="AE21" s="25" t="n"/>
      <c r="AF21" s="24" t="n">
        <v>0.319795</v>
      </c>
      <c r="AG21" s="24" t="n">
        <v>0.121372</v>
      </c>
      <c r="AH21" s="24" t="n">
        <v>0.165436</v>
      </c>
      <c r="AI21" s="24" t="n">
        <v>0.177578</v>
      </c>
      <c r="AJ21" s="25" t="n"/>
      <c r="AK21" s="24" t="n">
        <v>0.198225</v>
      </c>
      <c r="AL21" s="24" t="n">
        <v>0.228841</v>
      </c>
      <c r="AM21" s="24" t="n">
        <v>0.239068</v>
      </c>
      <c r="AN21" s="24" t="n">
        <v>0.22008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0.062901</v>
      </c>
      <c r="AD22" s="24" t="n">
        <v>0.062899</v>
      </c>
      <c r="AE22" s="25">
        <f>IFERROR(subQ!AE8/subQ!AE5,"")</f>
        <v/>
      </c>
      <c r="AF22" s="24" t="n">
        <v>0.062899</v>
      </c>
      <c r="AG22" s="24" t="n">
        <v>0.062899</v>
      </c>
      <c r="AH22" s="24" t="n">
        <v>0.062898</v>
      </c>
      <c r="AI22" s="24" t="n">
        <v>0.0629</v>
      </c>
      <c r="AJ22" s="25">
        <f>IFERROR(subQ!AJ8/subQ!AJ5,"")</f>
        <v/>
      </c>
      <c r="AK22" s="24" t="n">
        <v>0.062898</v>
      </c>
      <c r="AL22" s="24" t="n">
        <v>0.062898</v>
      </c>
      <c r="AM22" s="24" t="n">
        <v>0.062899</v>
      </c>
      <c r="AN22" s="24" t="n">
        <v>0.062899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0.109963</v>
      </c>
      <c r="AD23" s="24" t="n">
        <v>0.109964</v>
      </c>
      <c r="AE23" s="25">
        <f>IFERROR(subQ!AE9/subQ!AE5,"")</f>
        <v/>
      </c>
      <c r="AF23" s="24" t="n">
        <v>0.109965</v>
      </c>
      <c r="AG23" s="24" t="n">
        <v>0.109962</v>
      </c>
      <c r="AH23" s="24" t="n">
        <v>0.109962</v>
      </c>
      <c r="AI23" s="24" t="n">
        <v>0.109964</v>
      </c>
      <c r="AJ23" s="25">
        <f>IFERROR(subQ!AJ9/subQ!AJ5,"")</f>
        <v/>
      </c>
      <c r="AK23" s="24" t="n">
        <v>0.109963</v>
      </c>
      <c r="AL23" s="24" t="n">
        <v>0.109963</v>
      </c>
      <c r="AM23" s="24" t="n">
        <v>0.109964</v>
      </c>
      <c r="AN23" s="24" t="n">
        <v>0.109962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-0.059025</v>
      </c>
      <c r="AD24" s="24" t="n">
        <v>-0.015219</v>
      </c>
      <c r="AE24" s="25" t="n"/>
      <c r="AF24" s="24" t="n">
        <v>-0.063032</v>
      </c>
      <c r="AG24" s="24" t="n">
        <v>-0.312929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2.81</v>
      </c>
      <c r="AD25" s="29" t="n">
        <v>3.83</v>
      </c>
      <c r="AE25" s="30">
        <f>subQ!AE11</f>
        <v/>
      </c>
      <c r="AF25" s="29" t="n">
        <v>5.01</v>
      </c>
      <c r="AG25" s="29" t="n">
        <v>6.07</v>
      </c>
      <c r="AH25" s="29" t="n">
        <v>6.6</v>
      </c>
      <c r="AI25" s="29" t="n">
        <v>7.8</v>
      </c>
      <c r="AJ25" s="30">
        <f>subQ!AJ11</f>
        <v/>
      </c>
      <c r="AK25" s="29" t="n">
        <v>9.199999999999999</v>
      </c>
      <c r="AL25" s="29" t="n">
        <v>10.49</v>
      </c>
      <c r="AM25" s="29" t="n">
        <v>11.3</v>
      </c>
      <c r="AN25" s="29" t="n">
        <v>12.81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2.81</v>
      </c>
      <c r="AD26" s="29" t="n">
        <v>3.83</v>
      </c>
      <c r="AE26" s="30">
        <f>subQ!AE12</f>
        <v/>
      </c>
      <c r="AF26" s="29" t="n">
        <v>5.01</v>
      </c>
      <c r="AG26" s="29" t="n">
        <v>6.07</v>
      </c>
      <c r="AH26" s="29" t="n">
        <v>6.6</v>
      </c>
      <c r="AI26" s="29" t="n">
        <v>7.8</v>
      </c>
      <c r="AJ26" s="30">
        <f>subQ!AJ12</f>
        <v/>
      </c>
      <c r="AK26" s="29" t="n">
        <v>9.199999999999999</v>
      </c>
      <c r="AL26" s="29" t="n">
        <v>10.49</v>
      </c>
      <c r="AM26" s="29" t="n">
        <v>11.3</v>
      </c>
      <c r="AN26" s="29" t="n">
        <v>12.81</v>
      </c>
      <c r="AO26" s="30">
        <f>subQ!AO12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0.24043</v>
      </c>
      <c r="AD28" s="24" t="n">
        <v>0.240434</v>
      </c>
      <c r="AE28" s="25">
        <f>IFERROR(subQ!AE15/subQ!AE14,"")</f>
        <v/>
      </c>
      <c r="AF28" s="24" t="n">
        <v>0.240438</v>
      </c>
      <c r="AG28" s="24" t="n">
        <v>0.24044</v>
      </c>
      <c r="AH28" s="24" t="n">
        <v>0.240432</v>
      </c>
      <c r="AI28" s="24" t="n">
        <v>0.240423</v>
      </c>
      <c r="AJ28" s="25">
        <f>IFERROR(subQ!AJ15/subQ!AJ14,"")</f>
        <v/>
      </c>
      <c r="AK28" s="24" t="n">
        <v>0.240447</v>
      </c>
      <c r="AL28" s="24" t="n">
        <v>0.24042</v>
      </c>
      <c r="AM28" s="24" t="n">
        <v>0.240438</v>
      </c>
      <c r="AN28" s="24" t="n">
        <v>0.240444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2e-06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0.0037</v>
      </c>
      <c r="AD31" s="29" t="n">
        <v>-0</v>
      </c>
      <c r="AE31" s="30" t="n"/>
      <c r="AF31" s="29" t="n">
        <v>0</v>
      </c>
      <c r="AG31" s="29" t="n">
        <v>119.76</v>
      </c>
      <c r="AH31" s="29" t="n">
        <v>0</v>
      </c>
      <c r="AI31" s="29" t="n">
        <v>0</v>
      </c>
      <c r="AJ31" s="30" t="n"/>
      <c r="AK31" s="29" t="n">
        <v>0</v>
      </c>
      <c r="AL31" s="29" t="n">
        <v>119.76</v>
      </c>
      <c r="AM31" s="29" t="n">
        <v>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0.0037</v>
      </c>
      <c r="AD32" s="29" t="n">
        <v>-0</v>
      </c>
      <c r="AE32" s="30" t="n"/>
      <c r="AF32" s="29" t="n">
        <v>0</v>
      </c>
      <c r="AG32" s="29" t="n">
        <v>119.76</v>
      </c>
      <c r="AH32" s="29" t="n">
        <v>0</v>
      </c>
      <c r="AI32" s="29" t="n">
        <v>0</v>
      </c>
      <c r="AJ32" s="30" t="n"/>
      <c r="AK32" s="29" t="n">
        <v>0</v>
      </c>
      <c r="AL32" s="29" t="n">
        <v>119.76</v>
      </c>
      <c r="AM32" s="29" t="n">
        <v>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0.364756</v>
      </c>
      <c r="AD34" s="24" t="n">
        <v>0.308547</v>
      </c>
      <c r="AE34" s="25" t="n"/>
      <c r="AF34" s="24" t="n">
        <v>0.212394</v>
      </c>
      <c r="AG34" s="24" t="n">
        <v>0.087607</v>
      </c>
      <c r="AH34" s="24" t="n">
        <v>0.182656</v>
      </c>
      <c r="AI34" s="24" t="n">
        <v>0.179852</v>
      </c>
      <c r="AJ34" s="25" t="n"/>
      <c r="AK34" s="24" t="n">
        <v>0.139791</v>
      </c>
      <c r="AL34" s="24" t="n">
        <v>0.078057</v>
      </c>
      <c r="AM34" s="24" t="n">
        <v>0.133172</v>
      </c>
      <c r="AN34" s="24" t="n">
        <v>0.13466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0.363201</v>
      </c>
      <c r="AD35" s="24" t="n">
        <v>0.307605</v>
      </c>
      <c r="AE35" s="25" t="n"/>
      <c r="AF35" s="24" t="n">
        <v>0.211877</v>
      </c>
      <c r="AG35" s="24" t="n">
        <v>0.08744399999999999</v>
      </c>
      <c r="AH35" s="24" t="n">
        <v>0.182325</v>
      </c>
      <c r="AI35" s="24" t="n">
        <v>0.179577</v>
      </c>
      <c r="AJ35" s="25" t="n"/>
      <c r="AK35" s="24" t="n">
        <v>0.139604</v>
      </c>
      <c r="AL35" s="24" t="n">
        <v>0.077969</v>
      </c>
      <c r="AM35" s="24" t="n">
        <v>0.133037</v>
      </c>
      <c r="AN35" s="24" t="n">
        <v>0.134531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24" t="n">
        <v>0</v>
      </c>
      <c r="AE40" s="25" t="n"/>
      <c r="AF40" s="31" t="n"/>
      <c r="AG40" s="31" t="n"/>
      <c r="AH40" s="31" t="n"/>
      <c r="AI40" s="24" t="n">
        <v>0</v>
      </c>
      <c r="AJ40" s="25" t="n"/>
      <c r="AK40" s="31" t="n"/>
      <c r="AL40" s="31" t="n"/>
      <c r="AM40" s="31" t="n"/>
      <c r="AN40" s="24" t="n">
        <v>0</v>
      </c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-0.5730420000000001</v>
      </c>
      <c r="AD41" s="24" t="n">
        <v>-0.632266</v>
      </c>
      <c r="AE41" s="25" t="n"/>
      <c r="AF41" s="24" t="n">
        <v>-0.570312</v>
      </c>
      <c r="AG41" s="24" t="n">
        <v>-0.332953</v>
      </c>
      <c r="AH41" s="24" t="n">
        <v>-0.071074</v>
      </c>
      <c r="AI41" s="24" t="n">
        <v>-0.047957</v>
      </c>
      <c r="AJ41" s="25" t="n"/>
      <c r="AK41" s="24" t="n">
        <v>-0.067273</v>
      </c>
      <c r="AL41" s="24" t="n">
        <v>-0.17094</v>
      </c>
      <c r="AM41" s="24" t="n">
        <v>-0.181495</v>
      </c>
      <c r="AN41" s="24" t="n">
        <v>-0.188433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-0.564841</v>
      </c>
      <c r="AD42" s="24" t="n">
        <v>-0.569697</v>
      </c>
      <c r="AE42" s="25" t="n"/>
      <c r="AF42" s="24" t="n">
        <v>-0.567742</v>
      </c>
      <c r="AG42" s="24" t="n">
        <v>-0.458333</v>
      </c>
      <c r="AH42" s="24" t="n">
        <v>-0.18543</v>
      </c>
      <c r="AI42" s="24" t="n">
        <v>-0.190141</v>
      </c>
      <c r="AJ42" s="25" t="n"/>
      <c r="AK42" s="24" t="n">
        <v>-0.186567</v>
      </c>
      <c r="AL42" s="24" t="n">
        <v>-0.184615</v>
      </c>
      <c r="AM42" s="24" t="n">
        <v>-0.186992</v>
      </c>
      <c r="AN42" s="24" t="n">
        <v>-0.191304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0.109963</v>
      </c>
      <c r="AD44" s="24" t="n">
        <v>0.109964</v>
      </c>
      <c r="AE44" s="25">
        <f>IFERROR(subQ!AE35/subQ!AE34,"")</f>
        <v/>
      </c>
      <c r="AF44" s="24" t="n">
        <v>0.109965</v>
      </c>
      <c r="AG44" s="24" t="n">
        <v>0.109962</v>
      </c>
      <c r="AH44" s="24" t="n">
        <v>0.109962</v>
      </c>
      <c r="AI44" s="24" t="n">
        <v>0.109964</v>
      </c>
      <c r="AJ44" s="25">
        <f>IFERROR(subQ!AJ35/subQ!AJ34,"")</f>
        <v/>
      </c>
      <c r="AK44" s="24" t="n">
        <v>0.109963</v>
      </c>
      <c r="AL44" s="24" t="n">
        <v>0.109963</v>
      </c>
      <c r="AM44" s="24" t="n">
        <v>0.109964</v>
      </c>
      <c r="AN44" s="24" t="n">
        <v>0.109962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15620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12.2</v>
      </c>
      <c r="E50" s="2" t="inlineStr">
        <is>
          <t>PER 밴드 하단(배) — hist_quarterly(분기 평균가 ÷ TTM EPS, 16분기,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14.7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19.7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0.2404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0.0629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0.2143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동성화인텍(연)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178475.05</v>
      </c>
      <c r="F5" s="34" t="n">
        <v>178475.05</v>
      </c>
      <c r="G5" s="18" t="n">
        <v>171857.02</v>
      </c>
      <c r="H5" s="18" t="n">
        <v>186172.34</v>
      </c>
      <c r="I5" s="18" t="n">
        <v>219516.03</v>
      </c>
      <c r="J5" s="18" t="n">
        <v>225834.52</v>
      </c>
      <c r="K5" s="34" t="n">
        <v>225834.52</v>
      </c>
      <c r="L5" s="18" t="n">
        <v>241472.42</v>
      </c>
      <c r="M5" s="18" t="n">
        <v>249126.12</v>
      </c>
      <c r="N5" s="18" t="n">
        <v>271758.31</v>
      </c>
      <c r="O5" s="18" t="n">
        <v>229757.28</v>
      </c>
      <c r="P5" s="34" t="n">
        <v>229757.28</v>
      </c>
      <c r="Q5" s="18" t="n">
        <v>230734.11</v>
      </c>
      <c r="R5" s="18" t="n">
        <v>228174.54</v>
      </c>
      <c r="S5" s="18" t="n">
        <v>232074.66</v>
      </c>
      <c r="T5" s="18" t="n">
        <v>307243.99</v>
      </c>
      <c r="U5" s="34" t="n">
        <v>307243.99</v>
      </c>
      <c r="V5" s="18" t="n">
        <v>329940.29</v>
      </c>
      <c r="W5" s="18" t="n">
        <v>325520.84</v>
      </c>
      <c r="X5" s="18" t="n">
        <v>333847.95</v>
      </c>
      <c r="Y5" s="18" t="n">
        <v>343481.22</v>
      </c>
      <c r="Z5" s="34" t="n">
        <v>343481.22</v>
      </c>
      <c r="AA5" s="18" t="n">
        <v>333784.9</v>
      </c>
      <c r="AB5" s="19" t="n">
        <v>353442.82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23189.74</v>
      </c>
      <c r="F6" s="34" t="n">
        <v>23189.74</v>
      </c>
      <c r="G6" s="18" t="n">
        <v>13402.22</v>
      </c>
      <c r="H6" s="18" t="n">
        <v>14367.18</v>
      </c>
      <c r="I6" s="18" t="n">
        <v>6122.62</v>
      </c>
      <c r="J6" s="18" t="n">
        <v>27146.07</v>
      </c>
      <c r="K6" s="34" t="n">
        <v>27146.07</v>
      </c>
      <c r="L6" s="18" t="n">
        <v>9096.08</v>
      </c>
      <c r="M6" s="18" t="n">
        <v>34425.7</v>
      </c>
      <c r="N6" s="18" t="n">
        <v>65451.93</v>
      </c>
      <c r="O6" s="18" t="n">
        <v>26934.19</v>
      </c>
      <c r="P6" s="34" t="n">
        <v>26934.19</v>
      </c>
      <c r="Q6" s="18" t="n">
        <v>29447.16</v>
      </c>
      <c r="R6" s="18" t="n">
        <v>29454.56</v>
      </c>
      <c r="S6" s="18" t="n">
        <v>14001.97</v>
      </c>
      <c r="T6" s="18" t="n">
        <v>57391.99</v>
      </c>
      <c r="U6" s="34" t="n">
        <v>57391.99</v>
      </c>
      <c r="V6" s="18" t="n">
        <v>93840.55</v>
      </c>
      <c r="W6" s="18" t="n">
        <v>93359.88</v>
      </c>
      <c r="X6" s="18" t="n">
        <v>85781.28</v>
      </c>
      <c r="Y6" s="18" t="n">
        <v>80845.87</v>
      </c>
      <c r="Z6" s="34" t="n">
        <v>80845.87</v>
      </c>
      <c r="AA6" s="18" t="n">
        <v>79167.55</v>
      </c>
      <c r="AB6" s="19" t="n">
        <v>50157.69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4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4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4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4" t="n">
        <v>679.74</v>
      </c>
      <c r="V7" s="18" t="n">
        <v>79.48</v>
      </c>
      <c r="W7" s="18" t="n">
        <v>97.98</v>
      </c>
      <c r="X7" s="18" t="n">
        <v>13.39</v>
      </c>
      <c r="Y7" s="18" t="n">
        <v>9.24</v>
      </c>
      <c r="Z7" s="34" t="n">
        <v>9.24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4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4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4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4" t="n">
        <v>679.74</v>
      </c>
      <c r="V8" s="18" t="n">
        <v>79.48</v>
      </c>
      <c r="W8" s="18" t="n">
        <v>97.98</v>
      </c>
      <c r="X8" s="18" t="n">
        <v>13.39</v>
      </c>
      <c r="Y8" s="18" t="n">
        <v>9.24</v>
      </c>
      <c r="Z8" s="34" t="n">
        <v>9.24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43109.67</v>
      </c>
      <c r="F9" s="34" t="n">
        <v>43109.67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4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4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4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4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4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4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4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4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4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4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4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4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4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4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1199.05</v>
      </c>
      <c r="F12" s="34" t="n">
        <v>1199.05</v>
      </c>
      <c r="G12" s="18" t="n">
        <v>571.55</v>
      </c>
      <c r="H12" s="18" t="n">
        <v>793.55</v>
      </c>
      <c r="I12" s="18" t="n">
        <v>908.91</v>
      </c>
      <c r="J12" s="18" t="n">
        <v>929.16</v>
      </c>
      <c r="K12" s="34" t="n">
        <v>929.16</v>
      </c>
      <c r="L12" s="18" t="n">
        <v>1650.39</v>
      </c>
      <c r="M12" s="18" t="n">
        <v>1600.71</v>
      </c>
      <c r="N12" s="18" t="n">
        <v>1597.07</v>
      </c>
      <c r="O12" s="18" t="n">
        <v>1607.27</v>
      </c>
      <c r="P12" s="34" t="n">
        <v>1607.27</v>
      </c>
      <c r="Q12" s="18" t="n">
        <v>662.36</v>
      </c>
      <c r="R12" s="18" t="n">
        <v>865.66</v>
      </c>
      <c r="S12" s="18" t="n">
        <v>867.79</v>
      </c>
      <c r="T12" s="18" t="n">
        <v>1503.89</v>
      </c>
      <c r="U12" s="34" t="n">
        <v>1503.89</v>
      </c>
      <c r="V12" s="18" t="n">
        <v>2541.78</v>
      </c>
      <c r="W12" s="18" t="n">
        <v>2221.81</v>
      </c>
      <c r="X12" s="18" t="n">
        <v>22242.63</v>
      </c>
      <c r="Y12" s="18" t="n">
        <v>21888.3</v>
      </c>
      <c r="Z12" s="34" t="n">
        <v>21888.3</v>
      </c>
      <c r="AA12" s="18" t="n">
        <v>11110.4</v>
      </c>
      <c r="AB12" s="19" t="n">
        <v>11174.77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8811.219999999999</v>
      </c>
      <c r="F13" s="34" t="n">
        <v>8811.219999999999</v>
      </c>
      <c r="G13" s="18" t="n">
        <v>9585.629999999999</v>
      </c>
      <c r="H13" s="18" t="n">
        <v>11235.87</v>
      </c>
      <c r="I13" s="18" t="n">
        <v>13964.89</v>
      </c>
      <c r="J13" s="18" t="n">
        <v>11221.8</v>
      </c>
      <c r="K13" s="34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4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4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4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116338.1</v>
      </c>
      <c r="F14" s="34" t="n">
        <v>116338.1</v>
      </c>
      <c r="G14" s="18" t="n">
        <v>116057.96</v>
      </c>
      <c r="H14" s="18" t="n">
        <v>115409.61</v>
      </c>
      <c r="I14" s="18" t="n">
        <v>115527.09</v>
      </c>
      <c r="J14" s="18" t="n">
        <v>118175.92</v>
      </c>
      <c r="K14" s="34" t="n">
        <v>118175.92</v>
      </c>
      <c r="L14" s="18" t="n">
        <v>117644.92</v>
      </c>
      <c r="M14" s="18" t="n">
        <v>129992.4</v>
      </c>
      <c r="N14" s="18" t="n">
        <v>130315.63</v>
      </c>
      <c r="O14" s="18" t="n">
        <v>134522.34</v>
      </c>
      <c r="P14" s="34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4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4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4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4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4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4" t="n">
        <v>146.3</v>
      </c>
      <c r="V15" s="18" t="n">
        <v>146.3</v>
      </c>
      <c r="W15" s="18" t="n">
        <v>146.7</v>
      </c>
      <c r="X15" s="18" t="n">
        <v>156.7</v>
      </c>
      <c r="Y15" s="18" t="n">
        <v>216.44</v>
      </c>
      <c r="Z15" s="34" t="n">
        <v>216.44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4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4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4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4" t="n">
        <v>146.3</v>
      </c>
      <c r="V16" s="18" t="n">
        <v>146.3</v>
      </c>
      <c r="W16" s="18" t="n">
        <v>146.7</v>
      </c>
      <c r="X16" s="18" t="n">
        <v>156.7</v>
      </c>
      <c r="Y16" s="18" t="n">
        <v>216.44</v>
      </c>
      <c r="Z16" s="34" t="n">
        <v>216.44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110458.66</v>
      </c>
      <c r="F17" s="34" t="n">
        <v>110458.66</v>
      </c>
      <c r="G17" s="18" t="n">
        <v>109914.47</v>
      </c>
      <c r="H17" s="18" t="n">
        <v>109593.25</v>
      </c>
      <c r="I17" s="18" t="n">
        <v>109936.75</v>
      </c>
      <c r="J17" s="18" t="n">
        <v>111592</v>
      </c>
      <c r="K17" s="34" t="n">
        <v>111592</v>
      </c>
      <c r="L17" s="18" t="n">
        <v>111750.47</v>
      </c>
      <c r="M17" s="18" t="n">
        <v>115552.87</v>
      </c>
      <c r="N17" s="18" t="n">
        <v>116109.01</v>
      </c>
      <c r="O17" s="18" t="n">
        <v>120760.72</v>
      </c>
      <c r="P17" s="34" t="n">
        <v>120760.72</v>
      </c>
      <c r="Q17" s="18" t="n">
        <v>124831.67</v>
      </c>
      <c r="R17" s="18" t="n">
        <v>129801.11</v>
      </c>
      <c r="S17" s="18" t="n">
        <v>134630.88</v>
      </c>
      <c r="T17" s="18" t="n">
        <v>135585.63</v>
      </c>
      <c r="U17" s="34" t="n">
        <v>135585.63</v>
      </c>
      <c r="V17" s="18" t="n">
        <v>137168.93</v>
      </c>
      <c r="W17" s="18" t="n">
        <v>140388.26</v>
      </c>
      <c r="X17" s="18" t="n">
        <v>139933.11</v>
      </c>
      <c r="Y17" s="18" t="n">
        <v>139404.38</v>
      </c>
      <c r="Z17" s="34" t="n">
        <v>139404.38</v>
      </c>
      <c r="AA17" s="18" t="n">
        <v>137820.14</v>
      </c>
      <c r="AB17" s="19" t="n">
        <v>136250.83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526.24</v>
      </c>
      <c r="F18" s="34" t="n">
        <v>526.24</v>
      </c>
      <c r="G18" s="18" t="n">
        <v>508.12</v>
      </c>
      <c r="H18" s="18" t="n">
        <v>498.32</v>
      </c>
      <c r="I18" s="18" t="n">
        <v>463.15</v>
      </c>
      <c r="J18" s="18" t="n">
        <v>429.48</v>
      </c>
      <c r="K18" s="34" t="n">
        <v>429.48</v>
      </c>
      <c r="L18" s="18" t="n">
        <v>395.92</v>
      </c>
      <c r="M18" s="18" t="n">
        <v>427.51</v>
      </c>
      <c r="N18" s="18" t="n">
        <v>592.4</v>
      </c>
      <c r="O18" s="18" t="n">
        <v>598.6900000000001</v>
      </c>
      <c r="P18" s="34" t="n">
        <v>598.6900000000001</v>
      </c>
      <c r="Q18" s="18" t="n">
        <v>564.42</v>
      </c>
      <c r="R18" s="18" t="n">
        <v>525.01</v>
      </c>
      <c r="S18" s="18" t="n">
        <v>531.86</v>
      </c>
      <c r="T18" s="18" t="n">
        <v>503.2</v>
      </c>
      <c r="U18" s="34" t="n">
        <v>503.2</v>
      </c>
      <c r="V18" s="18" t="n">
        <v>497.06</v>
      </c>
      <c r="W18" s="18" t="n">
        <v>508.02</v>
      </c>
      <c r="X18" s="18" t="n">
        <v>803.49</v>
      </c>
      <c r="Y18" s="18" t="n">
        <v>821.7</v>
      </c>
      <c r="Z18" s="34" t="n">
        <v>821.7</v>
      </c>
      <c r="AA18" s="18" t="n">
        <v>942.64</v>
      </c>
      <c r="AB18" s="19" t="n">
        <v>940.5599999999999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3262.74</v>
      </c>
      <c r="F19" s="34" t="n">
        <v>3262.74</v>
      </c>
      <c r="G19" s="18" t="n">
        <v>3289.7</v>
      </c>
      <c r="H19" s="18" t="n">
        <v>3273.78</v>
      </c>
      <c r="I19" s="18" t="n">
        <v>3257.86</v>
      </c>
      <c r="J19" s="18" t="n">
        <v>3241.94</v>
      </c>
      <c r="K19" s="34" t="n">
        <v>3241.94</v>
      </c>
      <c r="L19" s="18" t="n">
        <v>3226.02</v>
      </c>
      <c r="M19" s="18" t="n">
        <v>3210.1</v>
      </c>
      <c r="N19" s="18" t="n">
        <v>3194.18</v>
      </c>
      <c r="O19" s="18" t="n">
        <v>3178.26</v>
      </c>
      <c r="P19" s="34" t="n">
        <v>3178.26</v>
      </c>
      <c r="Q19" s="18" t="n">
        <v>3162.34</v>
      </c>
      <c r="R19" s="18" t="n">
        <v>3146.43</v>
      </c>
      <c r="S19" s="18" t="n">
        <v>3130.51</v>
      </c>
      <c r="T19" s="18" t="n">
        <v>3114.59</v>
      </c>
      <c r="U19" s="34" t="n">
        <v>3114.59</v>
      </c>
      <c r="V19" s="18" t="n">
        <v>3098.67</v>
      </c>
      <c r="W19" s="18" t="n">
        <v>3082.75</v>
      </c>
      <c r="X19" s="18" t="n">
        <v>3066.83</v>
      </c>
      <c r="Y19" s="18" t="n">
        <v>3050.91</v>
      </c>
      <c r="Z19" s="34" t="n">
        <v>3050.91</v>
      </c>
      <c r="AA19" s="18" t="n">
        <v>3034.99</v>
      </c>
      <c r="AB19" s="19" t="n">
        <v>3019.07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513.79</v>
      </c>
      <c r="F20" s="34" t="n">
        <v>513.79</v>
      </c>
      <c r="G20" s="18" t="n">
        <v>439.67</v>
      </c>
      <c r="H20" s="18" t="n">
        <v>361.01</v>
      </c>
      <c r="I20" s="18" t="n">
        <v>297.92</v>
      </c>
      <c r="J20" s="18" t="n">
        <v>285.58</v>
      </c>
      <c r="K20" s="34" t="n">
        <v>285.58</v>
      </c>
      <c r="L20" s="18" t="n">
        <v>306.31</v>
      </c>
      <c r="M20" s="18" t="n">
        <v>8421.309999999999</v>
      </c>
      <c r="N20" s="18" t="n">
        <v>7885.02</v>
      </c>
      <c r="O20" s="18" t="n">
        <v>6763.97</v>
      </c>
      <c r="P20" s="34" t="n">
        <v>6763.97</v>
      </c>
      <c r="Q20" s="18" t="n">
        <v>6239.87</v>
      </c>
      <c r="R20" s="18" t="n">
        <v>5608.27</v>
      </c>
      <c r="S20" s="18" t="n">
        <v>4771.05</v>
      </c>
      <c r="T20" s="18" t="n">
        <v>4117.42</v>
      </c>
      <c r="U20" s="34" t="n">
        <v>4117.42</v>
      </c>
      <c r="V20" s="18" t="n">
        <v>3319.38</v>
      </c>
      <c r="W20" s="18" t="n">
        <v>2463.3</v>
      </c>
      <c r="X20" s="18" t="n">
        <v>2999.11</v>
      </c>
      <c r="Y20" s="18" t="n">
        <v>10863.86</v>
      </c>
      <c r="Z20" s="34" t="n">
        <v>10863.86</v>
      </c>
      <c r="AA20" s="18" t="n">
        <v>9840.48</v>
      </c>
      <c r="AB20" s="19" t="n">
        <v>9911.09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685.77</v>
      </c>
      <c r="F21" s="34" t="n">
        <v>685.77</v>
      </c>
      <c r="G21" s="18" t="n">
        <v>656.36</v>
      </c>
      <c r="H21" s="18" t="n">
        <v>581.8099999999999</v>
      </c>
      <c r="I21" s="18" t="n">
        <v>526.84</v>
      </c>
      <c r="J21" s="18" t="n">
        <v>1568.65</v>
      </c>
      <c r="K21" s="34" t="n">
        <v>1568.65</v>
      </c>
      <c r="L21" s="18" t="n">
        <v>1012.51</v>
      </c>
      <c r="M21" s="18" t="n">
        <v>9329.15</v>
      </c>
      <c r="N21" s="18" t="n">
        <v>8942.200000000001</v>
      </c>
      <c r="O21" s="18" t="n">
        <v>8668.02</v>
      </c>
      <c r="P21" s="34" t="n">
        <v>8668.02</v>
      </c>
      <c r="Q21" s="18" t="n">
        <v>7056</v>
      </c>
      <c r="R21" s="18" t="n">
        <v>6872.64</v>
      </c>
      <c r="S21" s="18" t="n">
        <v>5998.65</v>
      </c>
      <c r="T21" s="18" t="n">
        <v>7295.53</v>
      </c>
      <c r="U21" s="34" t="n">
        <v>7295.53</v>
      </c>
      <c r="V21" s="18" t="n">
        <v>5913.14</v>
      </c>
      <c r="W21" s="18" t="n">
        <v>4406.8</v>
      </c>
      <c r="X21" s="18" t="n">
        <v>4456.41</v>
      </c>
      <c r="Y21" s="18" t="n">
        <v>13101.03</v>
      </c>
      <c r="Z21" s="34" t="n">
        <v>13101.03</v>
      </c>
      <c r="AA21" s="18" t="n">
        <v>11252.81</v>
      </c>
      <c r="AB21" s="19" t="n">
        <v>11322.24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294813.15</v>
      </c>
      <c r="F22" s="34" t="n">
        <v>294813.15</v>
      </c>
      <c r="G22" s="18" t="n">
        <v>287914.97</v>
      </c>
      <c r="H22" s="18" t="n">
        <v>301581.94</v>
      </c>
      <c r="I22" s="18" t="n">
        <v>335043.12</v>
      </c>
      <c r="J22" s="18" t="n">
        <v>344010.44</v>
      </c>
      <c r="K22" s="34" t="n">
        <v>344010.44</v>
      </c>
      <c r="L22" s="18" t="n">
        <v>359117.34</v>
      </c>
      <c r="M22" s="18" t="n">
        <v>379118.52</v>
      </c>
      <c r="N22" s="18" t="n">
        <v>402073.94</v>
      </c>
      <c r="O22" s="18" t="n">
        <v>364279.61</v>
      </c>
      <c r="P22" s="34" t="n">
        <v>364279.61</v>
      </c>
      <c r="Q22" s="18" t="n">
        <v>368979.03</v>
      </c>
      <c r="R22" s="18" t="n">
        <v>370917.64</v>
      </c>
      <c r="S22" s="18" t="n">
        <v>378749.88</v>
      </c>
      <c r="T22" s="18" t="n">
        <v>455450.98</v>
      </c>
      <c r="U22" s="34" t="n">
        <v>455450.98</v>
      </c>
      <c r="V22" s="18" t="n">
        <v>477256.11</v>
      </c>
      <c r="W22" s="18" t="n">
        <v>474545.1</v>
      </c>
      <c r="X22" s="18" t="n">
        <v>482979.44</v>
      </c>
      <c r="Y22" s="18" t="n">
        <v>501560.93</v>
      </c>
      <c r="Z22" s="34" t="n">
        <v>501560.93</v>
      </c>
      <c r="AA22" s="18" t="n">
        <v>488882.2</v>
      </c>
      <c r="AB22" s="19" t="n">
        <v>507413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135108.41</v>
      </c>
      <c r="F23" s="34" t="n">
        <v>135108.41</v>
      </c>
      <c r="G23" s="18" t="n">
        <v>133527.5</v>
      </c>
      <c r="H23" s="18" t="n">
        <v>142229.26</v>
      </c>
      <c r="I23" s="18" t="n">
        <v>168650.23</v>
      </c>
      <c r="J23" s="18" t="n">
        <v>178546.4</v>
      </c>
      <c r="K23" s="34" t="n">
        <v>178546.4</v>
      </c>
      <c r="L23" s="18" t="n">
        <v>200377.68</v>
      </c>
      <c r="M23" s="18" t="n">
        <v>205537.15</v>
      </c>
      <c r="N23" s="18" t="n">
        <v>219143.19</v>
      </c>
      <c r="O23" s="18" t="n">
        <v>185158.34</v>
      </c>
      <c r="P23" s="34" t="n">
        <v>185158.34</v>
      </c>
      <c r="Q23" s="18" t="n">
        <v>188880.22</v>
      </c>
      <c r="R23" s="18" t="n">
        <v>188166.47</v>
      </c>
      <c r="S23" s="18" t="n">
        <v>188189.5</v>
      </c>
      <c r="T23" s="18" t="n">
        <v>244661.52</v>
      </c>
      <c r="U23" s="34" t="n">
        <v>244661.52</v>
      </c>
      <c r="V23" s="18" t="n">
        <v>254621</v>
      </c>
      <c r="W23" s="18" t="n">
        <v>242243.76</v>
      </c>
      <c r="X23" s="18" t="n">
        <v>229365.89</v>
      </c>
      <c r="Y23" s="18" t="n">
        <v>229059.59</v>
      </c>
      <c r="Z23" s="34" t="n">
        <v>229059.59</v>
      </c>
      <c r="AA23" s="18" t="n">
        <v>211607.97</v>
      </c>
      <c r="AB23" s="19" t="n">
        <v>203190.63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50639.44</v>
      </c>
      <c r="F24" s="34" t="n">
        <v>50639.44</v>
      </c>
      <c r="G24" s="18" t="n">
        <v>43922.57</v>
      </c>
      <c r="H24" s="18" t="n">
        <v>49856.85</v>
      </c>
      <c r="I24" s="18" t="n">
        <v>53201.01</v>
      </c>
      <c r="J24" s="18" t="n">
        <v>68264.60000000001</v>
      </c>
      <c r="K24" s="34" t="n">
        <v>68264.60000000001</v>
      </c>
      <c r="L24" s="18" t="n">
        <v>61695.52</v>
      </c>
      <c r="M24" s="18" t="n">
        <v>56898.99</v>
      </c>
      <c r="N24" s="18" t="n">
        <v>52370.79</v>
      </c>
      <c r="O24" s="18" t="n">
        <v>54006.7</v>
      </c>
      <c r="P24" s="34" t="n">
        <v>54006.7</v>
      </c>
      <c r="Q24" s="18" t="n">
        <v>50056.87</v>
      </c>
      <c r="R24" s="18" t="n">
        <v>61554.22</v>
      </c>
      <c r="S24" s="18" t="n">
        <v>60487.92</v>
      </c>
      <c r="T24" s="18" t="n">
        <v>99544.5</v>
      </c>
      <c r="U24" s="34" t="n">
        <v>99544.5</v>
      </c>
      <c r="V24" s="18" t="n">
        <v>73338.66</v>
      </c>
      <c r="W24" s="18" t="n">
        <v>73292.62</v>
      </c>
      <c r="X24" s="18" t="n">
        <v>76152.12</v>
      </c>
      <c r="Y24" s="18" t="n">
        <v>78427.41</v>
      </c>
      <c r="Z24" s="34" t="n">
        <v>78427.41</v>
      </c>
      <c r="AA24" s="18" t="n">
        <v>68955.33</v>
      </c>
      <c r="AB24" s="19" t="n">
        <v>86916.03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45704.71</v>
      </c>
      <c r="F25" s="34" t="n">
        <v>45704.71</v>
      </c>
      <c r="G25" s="18" t="n">
        <v>47040.05</v>
      </c>
      <c r="H25" s="18" t="n">
        <v>59956.12</v>
      </c>
      <c r="I25" s="18" t="n">
        <v>73076.33</v>
      </c>
      <c r="J25" s="18" t="n">
        <v>56249.01</v>
      </c>
      <c r="K25" s="34" t="n">
        <v>56249.01</v>
      </c>
      <c r="L25" s="18" t="n">
        <v>71632.14999999999</v>
      </c>
      <c r="M25" s="18" t="n">
        <v>86191.53999999999</v>
      </c>
      <c r="N25" s="18" t="n">
        <v>78432.99000000001</v>
      </c>
      <c r="O25" s="18" t="n">
        <v>21526.61</v>
      </c>
      <c r="P25" s="34" t="n">
        <v>21526.61</v>
      </c>
      <c r="Q25" s="18" t="n">
        <v>23783.92</v>
      </c>
      <c r="R25" s="18" t="n">
        <v>23958.98</v>
      </c>
      <c r="S25" s="18" t="n">
        <v>21598</v>
      </c>
      <c r="T25" s="18" t="n">
        <v>17350</v>
      </c>
      <c r="U25" s="34" t="n">
        <v>17350</v>
      </c>
      <c r="V25" s="18" t="n">
        <v>17332.5</v>
      </c>
      <c r="W25" s="18" t="n">
        <v>6782</v>
      </c>
      <c r="X25" s="18" t="n">
        <v>7011</v>
      </c>
      <c r="Y25" s="18" t="n">
        <v>7174.5</v>
      </c>
      <c r="Z25" s="34" t="n">
        <v>7174.5</v>
      </c>
      <c r="AA25" s="18" t="n">
        <v>0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1778.25</v>
      </c>
      <c r="F26" s="34" t="n">
        <v>1778.25</v>
      </c>
      <c r="G26" s="18" t="n">
        <v>908.1</v>
      </c>
      <c r="H26" s="18" t="n">
        <v>0</v>
      </c>
      <c r="I26" s="18" t="n">
        <v>0</v>
      </c>
      <c r="J26" s="18" t="n">
        <v>0</v>
      </c>
      <c r="K26" s="34" t="n">
        <v>0</v>
      </c>
      <c r="O26" s="18" t="n">
        <v>0</v>
      </c>
      <c r="P26" s="34" t="n">
        <v>0</v>
      </c>
      <c r="T26" s="18" t="n">
        <v>0</v>
      </c>
      <c r="U26" s="34" t="n">
        <v>0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912.26</v>
      </c>
      <c r="F27" s="34" t="n">
        <v>912.26</v>
      </c>
      <c r="G27" s="18" t="n">
        <v>1282.98</v>
      </c>
      <c r="H27" s="18" t="n">
        <v>3572.99</v>
      </c>
      <c r="I27" s="18" t="n">
        <v>7455.52</v>
      </c>
      <c r="J27" s="18" t="n">
        <v>1615.5</v>
      </c>
      <c r="K27" s="34" t="n">
        <v>1615.5</v>
      </c>
      <c r="L27" s="18" t="n">
        <v>1451.97</v>
      </c>
      <c r="M27" s="18" t="n">
        <v>824.2</v>
      </c>
      <c r="N27" s="18" t="n">
        <v>496.08</v>
      </c>
      <c r="O27" s="18" t="n">
        <v>202.2</v>
      </c>
      <c r="P27" s="34" t="n">
        <v>202.2</v>
      </c>
      <c r="Q27" s="18" t="n">
        <v>243.12</v>
      </c>
      <c r="R27" s="18" t="n">
        <v>827.9400000000001</v>
      </c>
      <c r="S27" s="18" t="n">
        <v>101.63</v>
      </c>
      <c r="T27" s="18" t="n">
        <v>1991.35</v>
      </c>
      <c r="U27" s="34" t="n">
        <v>1991.35</v>
      </c>
      <c r="V27" s="18" t="n">
        <v>957.5</v>
      </c>
      <c r="W27" s="18" t="n">
        <v>471.05</v>
      </c>
      <c r="X27" s="18" t="n">
        <v>263.99</v>
      </c>
      <c r="Y27" s="18" t="n">
        <v>277.54</v>
      </c>
      <c r="Z27" s="34" t="n">
        <v>277.54</v>
      </c>
      <c r="AA27" s="18" t="n">
        <v>1146.49</v>
      </c>
      <c r="AB27" s="19" t="n">
        <v>983.42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912.26</v>
      </c>
      <c r="F28" s="34" t="n">
        <v>912.26</v>
      </c>
      <c r="G28" s="18" t="n">
        <v>11100.02</v>
      </c>
      <c r="H28" s="18" t="n">
        <v>3572.99</v>
      </c>
      <c r="I28" s="18" t="n">
        <v>7455.52</v>
      </c>
      <c r="J28" s="18" t="n">
        <v>1615.5</v>
      </c>
      <c r="K28" s="34" t="n">
        <v>1615.5</v>
      </c>
      <c r="L28" s="18" t="n">
        <v>11534.66</v>
      </c>
      <c r="M28" s="18" t="n">
        <v>824.2</v>
      </c>
      <c r="N28" s="18" t="n">
        <v>496.08</v>
      </c>
      <c r="O28" s="18" t="n">
        <v>202.2</v>
      </c>
      <c r="P28" s="34" t="n">
        <v>202.2</v>
      </c>
      <c r="Q28" s="18" t="n">
        <v>10915.79</v>
      </c>
      <c r="R28" s="18" t="n">
        <v>4381.55</v>
      </c>
      <c r="S28" s="18" t="n">
        <v>3717.55</v>
      </c>
      <c r="T28" s="18" t="n">
        <v>1991.35</v>
      </c>
      <c r="U28" s="34" t="n">
        <v>1991.35</v>
      </c>
      <c r="V28" s="18" t="n">
        <v>14141.14</v>
      </c>
      <c r="W28" s="18" t="n">
        <v>2664.61</v>
      </c>
      <c r="X28" s="18" t="n">
        <v>2317.69</v>
      </c>
      <c r="Y28" s="18" t="n">
        <v>277.54</v>
      </c>
      <c r="Z28" s="34" t="n">
        <v>277.54</v>
      </c>
      <c r="AA28" s="18" t="n">
        <v>13119.74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1300.52</v>
      </c>
      <c r="F29" s="34" t="n">
        <v>1300.52</v>
      </c>
      <c r="G29" s="18" t="n">
        <v>881.14</v>
      </c>
      <c r="H29" s="18" t="n">
        <v>1273.12</v>
      </c>
      <c r="I29" s="18" t="n">
        <v>5906.68</v>
      </c>
      <c r="J29" s="18" t="n">
        <v>6150.94</v>
      </c>
      <c r="K29" s="34" t="n">
        <v>6150.94</v>
      </c>
      <c r="L29" s="18" t="n">
        <v>8131.91</v>
      </c>
      <c r="M29" s="18" t="n">
        <v>7957.7</v>
      </c>
      <c r="N29" s="18" t="n">
        <v>5836.58</v>
      </c>
      <c r="O29" s="18" t="n">
        <v>3578.91</v>
      </c>
      <c r="P29" s="34" t="n">
        <v>3578.91</v>
      </c>
      <c r="Q29" s="18" t="n">
        <v>2411.27</v>
      </c>
      <c r="R29" s="18" t="n">
        <v>2295.14</v>
      </c>
      <c r="S29" s="18" t="n">
        <v>2698.28</v>
      </c>
      <c r="T29" s="18" t="n">
        <v>1229.78</v>
      </c>
      <c r="U29" s="34" t="n">
        <v>1229.78</v>
      </c>
      <c r="V29" s="18" t="n">
        <v>1091.58</v>
      </c>
      <c r="W29" s="18" t="n">
        <v>993.3200000000001</v>
      </c>
      <c r="X29" s="18" t="n">
        <v>930.26</v>
      </c>
      <c r="Y29" s="18" t="n">
        <v>460.99</v>
      </c>
      <c r="Z29" s="34" t="n">
        <v>460.99</v>
      </c>
      <c r="AA29" s="18" t="n">
        <v>690.6</v>
      </c>
      <c r="AB29" s="19" t="n">
        <v>443.81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6388.51</v>
      </c>
      <c r="F30" s="34" t="n">
        <v>6388.51</v>
      </c>
      <c r="G30" s="18" t="n">
        <v>4448.48</v>
      </c>
      <c r="H30" s="18" t="n">
        <v>2653.65</v>
      </c>
      <c r="I30" s="18" t="n">
        <v>2964.35</v>
      </c>
      <c r="J30" s="18" t="n">
        <v>1566.71</v>
      </c>
      <c r="K30" s="34" t="n">
        <v>1566.71</v>
      </c>
      <c r="L30" s="18" t="n">
        <v>950.4299999999999</v>
      </c>
      <c r="M30" s="18" t="n">
        <v>2195.1</v>
      </c>
      <c r="N30" s="18" t="n">
        <v>5835.05</v>
      </c>
      <c r="O30" s="18" t="n">
        <v>5287.52</v>
      </c>
      <c r="P30" s="34" t="n">
        <v>5287.52</v>
      </c>
      <c r="Q30" s="18" t="n">
        <v>7912.31</v>
      </c>
      <c r="R30" s="18" t="n">
        <v>3624.22</v>
      </c>
      <c r="S30" s="18" t="n">
        <v>3379.49</v>
      </c>
      <c r="T30" s="18" t="n">
        <v>8383.34</v>
      </c>
      <c r="U30" s="34" t="n">
        <v>8383.34</v>
      </c>
      <c r="V30" s="18" t="n">
        <v>9114.26</v>
      </c>
      <c r="W30" s="18" t="n">
        <v>7870.4</v>
      </c>
      <c r="X30" s="18" t="n">
        <v>11714.71</v>
      </c>
      <c r="Y30" s="18" t="n">
        <v>12934.61</v>
      </c>
      <c r="Z30" s="34" t="n">
        <v>12934.61</v>
      </c>
      <c r="AA30" s="18" t="n">
        <v>11902.45</v>
      </c>
      <c r="AB30" s="19" t="n">
        <v>13658.05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4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4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4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4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4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18106.4</v>
      </c>
      <c r="F32" s="34" t="n">
        <v>18106.4</v>
      </c>
      <c r="G32" s="18" t="n">
        <v>17888.75</v>
      </c>
      <c r="H32" s="18" t="n">
        <v>20243.91</v>
      </c>
      <c r="I32" s="18" t="n">
        <v>22368.21</v>
      </c>
      <c r="J32" s="18" t="n">
        <v>38497.36</v>
      </c>
      <c r="K32" s="34" t="n">
        <v>38497.36</v>
      </c>
      <c r="L32" s="18" t="n">
        <v>40596.47</v>
      </c>
      <c r="M32" s="18" t="n">
        <v>44209.25</v>
      </c>
      <c r="N32" s="18" t="n">
        <v>69564.58</v>
      </c>
      <c r="O32" s="18" t="n">
        <v>83023.97</v>
      </c>
      <c r="P32" s="34" t="n">
        <v>83023.97</v>
      </c>
      <c r="Q32" s="18" t="n">
        <v>80078.03</v>
      </c>
      <c r="R32" s="18" t="n">
        <v>78803.61</v>
      </c>
      <c r="S32" s="18" t="n">
        <v>82767.71000000001</v>
      </c>
      <c r="T32" s="18" t="n">
        <v>99137.57000000001</v>
      </c>
      <c r="U32" s="34" t="n">
        <v>99137.57000000001</v>
      </c>
      <c r="V32" s="18" t="n">
        <v>138895.69</v>
      </c>
      <c r="W32" s="18" t="n">
        <v>150058.46</v>
      </c>
      <c r="X32" s="18" t="n">
        <v>130728.74</v>
      </c>
      <c r="Y32" s="18" t="n">
        <v>125258.52</v>
      </c>
      <c r="Z32" s="34" t="n">
        <v>125258.52</v>
      </c>
      <c r="AA32" s="18" t="n">
        <v>112422.06</v>
      </c>
      <c r="AB32" s="19" t="n">
        <v>96321.95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17662.54</v>
      </c>
      <c r="F33" s="34" t="n">
        <v>17662.54</v>
      </c>
      <c r="G33" s="18" t="n">
        <v>19066.57</v>
      </c>
      <c r="H33" s="18" t="n">
        <v>19240.05</v>
      </c>
      <c r="I33" s="18" t="n">
        <v>20666.8</v>
      </c>
      <c r="J33" s="18" t="n">
        <v>16848.39</v>
      </c>
      <c r="K33" s="34" t="n">
        <v>16848.39</v>
      </c>
      <c r="L33" s="18" t="n">
        <v>17550.06</v>
      </c>
      <c r="M33" s="18" t="n">
        <v>22292.15</v>
      </c>
      <c r="N33" s="18" t="n">
        <v>21801.69</v>
      </c>
      <c r="O33" s="18" t="n">
        <v>10264.73</v>
      </c>
      <c r="P33" s="34" t="n">
        <v>10264.73</v>
      </c>
      <c r="Q33" s="18" t="n">
        <v>9781.530000000001</v>
      </c>
      <c r="R33" s="18" t="n">
        <v>9133.959999999999</v>
      </c>
      <c r="S33" s="18" t="n">
        <v>8391.17</v>
      </c>
      <c r="T33" s="18" t="n">
        <v>8353.219999999999</v>
      </c>
      <c r="U33" s="34" t="n">
        <v>8353.219999999999</v>
      </c>
      <c r="V33" s="18" t="n">
        <v>9039.530000000001</v>
      </c>
      <c r="W33" s="18" t="n">
        <v>9025.58</v>
      </c>
      <c r="X33" s="18" t="n">
        <v>9612.299999999999</v>
      </c>
      <c r="Y33" s="18" t="n">
        <v>13605.6</v>
      </c>
      <c r="Z33" s="34" t="n">
        <v>13605.6</v>
      </c>
      <c r="AA33" s="18" t="n">
        <v>13230.81</v>
      </c>
      <c r="AB33" s="19" t="n">
        <v>13637.99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0</v>
      </c>
      <c r="F34" s="34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34" t="n">
        <v>0</v>
      </c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9901.139999999999</v>
      </c>
      <c r="F35" s="34" t="n">
        <v>9901.139999999999</v>
      </c>
      <c r="G35" s="18" t="n">
        <v>10091.63</v>
      </c>
      <c r="H35" s="18" t="n">
        <v>10287.37</v>
      </c>
      <c r="I35" s="18" t="n">
        <v>10486.52</v>
      </c>
      <c r="J35" s="18" t="n">
        <v>10689.53</v>
      </c>
      <c r="K35" s="34" t="n">
        <v>10689.53</v>
      </c>
      <c r="L35" s="18" t="n">
        <v>10896.06</v>
      </c>
      <c r="M35" s="18" t="n">
        <v>11107.41</v>
      </c>
      <c r="N35" s="18" t="n">
        <v>11322.43</v>
      </c>
      <c r="O35" s="18" t="n">
        <v>0</v>
      </c>
      <c r="P35" s="34" t="n">
        <v>0</v>
      </c>
      <c r="T35" s="18" t="n">
        <v>0</v>
      </c>
      <c r="U35" s="34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0</v>
      </c>
      <c r="F36" s="34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4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2216.01</v>
      </c>
      <c r="F37" s="34" t="n">
        <v>2216.01</v>
      </c>
      <c r="G37" s="18" t="n">
        <v>2747.61</v>
      </c>
      <c r="H37" s="18" t="n">
        <v>3276.55</v>
      </c>
      <c r="I37" s="18" t="n">
        <v>3683.02</v>
      </c>
      <c r="J37" s="18" t="n">
        <v>0</v>
      </c>
      <c r="K37" s="34" t="n">
        <v>0</v>
      </c>
      <c r="M37" s="18" t="n">
        <v>46.28</v>
      </c>
      <c r="N37" s="18" t="n">
        <v>475.86</v>
      </c>
      <c r="O37" s="18" t="n">
        <v>0</v>
      </c>
      <c r="P37" s="34" t="n">
        <v>0</v>
      </c>
      <c r="R37" s="18" t="n">
        <v>248.45</v>
      </c>
      <c r="S37" s="18" t="n">
        <v>706.03</v>
      </c>
      <c r="T37" s="18" t="n">
        <v>617.38</v>
      </c>
      <c r="U37" s="34" t="n">
        <v>617.38</v>
      </c>
      <c r="V37" s="18" t="n">
        <v>1456.65</v>
      </c>
      <c r="W37" s="18" t="n">
        <v>2093.23</v>
      </c>
      <c r="X37" s="18" t="n">
        <v>2762.91</v>
      </c>
      <c r="Y37" s="18" t="n">
        <v>0</v>
      </c>
      <c r="Z37" s="34" t="n">
        <v>0</v>
      </c>
      <c r="AA37" s="18" t="n">
        <v>293.9</v>
      </c>
      <c r="AB37" s="19" t="n">
        <v>996.59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4892.53</v>
      </c>
      <c r="F38" s="34" t="n">
        <v>4892.53</v>
      </c>
      <c r="G38" s="18" t="n">
        <v>5598.6</v>
      </c>
      <c r="H38" s="18" t="n">
        <v>5070</v>
      </c>
      <c r="I38" s="18" t="n">
        <v>5903.38</v>
      </c>
      <c r="J38" s="18" t="n">
        <v>5536.66</v>
      </c>
      <c r="K38" s="34" t="n">
        <v>5536.66</v>
      </c>
      <c r="L38" s="18" t="n">
        <v>5974.77</v>
      </c>
      <c r="M38" s="18" t="n">
        <v>5461.18</v>
      </c>
      <c r="N38" s="18" t="n">
        <v>4967.15</v>
      </c>
      <c r="O38" s="18" t="n">
        <v>6250.4</v>
      </c>
      <c r="P38" s="34" t="n">
        <v>6250.4</v>
      </c>
      <c r="Q38" s="18" t="n">
        <v>6180.72</v>
      </c>
      <c r="R38" s="18" t="n">
        <v>6027.64</v>
      </c>
      <c r="S38" s="18" t="n">
        <v>5724.69</v>
      </c>
      <c r="T38" s="18" t="n">
        <v>6542.43</v>
      </c>
      <c r="U38" s="34" t="n">
        <v>6542.43</v>
      </c>
      <c r="V38" s="18" t="n">
        <v>6427.22</v>
      </c>
      <c r="W38" s="18" t="n">
        <v>5806.76</v>
      </c>
      <c r="X38" s="18" t="n">
        <v>4983.22</v>
      </c>
      <c r="Y38" s="18" t="n">
        <v>5888.99</v>
      </c>
      <c r="Z38" s="34" t="n">
        <v>5888.99</v>
      </c>
      <c r="AA38" s="18" t="n">
        <v>6179.46</v>
      </c>
      <c r="AB38" s="19" t="n">
        <v>6041.87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152770.95</v>
      </c>
      <c r="F39" s="34" t="n">
        <v>152770.95</v>
      </c>
      <c r="G39" s="18" t="n">
        <v>152594.07</v>
      </c>
      <c r="H39" s="18" t="n">
        <v>161469.31</v>
      </c>
      <c r="I39" s="18" t="n">
        <v>189317.03</v>
      </c>
      <c r="J39" s="18" t="n">
        <v>195394.79</v>
      </c>
      <c r="K39" s="34" t="n">
        <v>195394.79</v>
      </c>
      <c r="L39" s="18" t="n">
        <v>217927.74</v>
      </c>
      <c r="M39" s="18" t="n">
        <v>227829.3</v>
      </c>
      <c r="N39" s="18" t="n">
        <v>240944.88</v>
      </c>
      <c r="O39" s="18" t="n">
        <v>195423.07</v>
      </c>
      <c r="P39" s="34" t="n">
        <v>195423.07</v>
      </c>
      <c r="Q39" s="18" t="n">
        <v>198661.75</v>
      </c>
      <c r="R39" s="18" t="n">
        <v>197300.43</v>
      </c>
      <c r="S39" s="18" t="n">
        <v>196580.66</v>
      </c>
      <c r="T39" s="18" t="n">
        <v>253014.74</v>
      </c>
      <c r="U39" s="34" t="n">
        <v>253014.74</v>
      </c>
      <c r="V39" s="18" t="n">
        <v>263660.53</v>
      </c>
      <c r="W39" s="18" t="n">
        <v>251269.34</v>
      </c>
      <c r="X39" s="18" t="n">
        <v>238978.19</v>
      </c>
      <c r="Y39" s="18" t="n">
        <v>242665.19</v>
      </c>
      <c r="Z39" s="34" t="n">
        <v>242665.19</v>
      </c>
      <c r="AA39" s="18" t="n">
        <v>224838.78</v>
      </c>
      <c r="AB39" s="19" t="n">
        <v>216828.63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142042.2</v>
      </c>
      <c r="F40" s="34" t="n">
        <v>142042.2</v>
      </c>
      <c r="G40" s="18" t="n">
        <v>135320.91</v>
      </c>
      <c r="H40" s="18" t="n">
        <v>140112.63</v>
      </c>
      <c r="I40" s="18" t="n">
        <v>145726.09</v>
      </c>
      <c r="J40" s="18" t="n">
        <v>148615.65</v>
      </c>
      <c r="K40" s="34" t="n">
        <v>148615.65</v>
      </c>
      <c r="L40" s="18" t="n">
        <v>141189.61</v>
      </c>
      <c r="M40" s="18" t="n">
        <v>151289.21</v>
      </c>
      <c r="N40" s="18" t="n">
        <v>161129.06</v>
      </c>
      <c r="O40" s="18" t="n">
        <v>168856.54</v>
      </c>
      <c r="P40" s="34" t="n">
        <v>168856.54</v>
      </c>
      <c r="Q40" s="18" t="n">
        <v>170317.28</v>
      </c>
      <c r="R40" s="18" t="n">
        <v>173617.21</v>
      </c>
      <c r="S40" s="18" t="n">
        <v>182169.22</v>
      </c>
      <c r="T40" s="18" t="n">
        <v>202436.23</v>
      </c>
      <c r="U40" s="34" t="n">
        <v>202436.23</v>
      </c>
      <c r="V40" s="18" t="n">
        <v>213595.57</v>
      </c>
      <c r="W40" s="18" t="n">
        <v>223275.76</v>
      </c>
      <c r="X40" s="18" t="n">
        <v>244001.25</v>
      </c>
      <c r="Y40" s="18" t="n">
        <v>258895.74</v>
      </c>
      <c r="Z40" s="34" t="n">
        <v>258895.74</v>
      </c>
      <c r="AA40" s="18" t="n">
        <v>264043.42</v>
      </c>
      <c r="AB40" s="19" t="n">
        <v>290584.37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14832.53</v>
      </c>
      <c r="F41" s="34" t="n">
        <v>14832.53</v>
      </c>
      <c r="G41" s="18" t="n">
        <v>14993.56</v>
      </c>
      <c r="H41" s="18" t="n">
        <v>15142.51</v>
      </c>
      <c r="I41" s="18" t="n">
        <v>15212.03</v>
      </c>
      <c r="J41" s="18" t="n">
        <v>15212.03</v>
      </c>
      <c r="K41" s="34" t="n">
        <v>15212.03</v>
      </c>
      <c r="L41" s="18" t="n">
        <v>15212.03</v>
      </c>
      <c r="M41" s="18" t="n">
        <v>15324.75</v>
      </c>
      <c r="N41" s="18" t="n">
        <v>15324.75</v>
      </c>
      <c r="O41" s="18" t="n">
        <v>15324.75</v>
      </c>
      <c r="P41" s="34" t="n">
        <v>15324.75</v>
      </c>
      <c r="Q41" s="18" t="n">
        <v>15324.75</v>
      </c>
      <c r="R41" s="18" t="n">
        <v>15324.75</v>
      </c>
      <c r="S41" s="18" t="n">
        <v>15324.75</v>
      </c>
      <c r="T41" s="18" t="n">
        <v>15324.75</v>
      </c>
      <c r="U41" s="34" t="n">
        <v>15324.75</v>
      </c>
      <c r="V41" s="18" t="n">
        <v>15324.75</v>
      </c>
      <c r="W41" s="18" t="n">
        <v>15324.75</v>
      </c>
      <c r="X41" s="18" t="n">
        <v>15324.75</v>
      </c>
      <c r="Y41" s="18" t="n">
        <v>15324.75</v>
      </c>
      <c r="Z41" s="34" t="n">
        <v>15324.75</v>
      </c>
      <c r="AA41" s="18" t="n">
        <v>15324.75</v>
      </c>
      <c r="AB41" s="19" t="n">
        <v>15324.75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67972.67999999999</v>
      </c>
      <c r="F42" s="34" t="n">
        <v>67972.67999999999</v>
      </c>
      <c r="G42" s="18" t="n">
        <v>70919.63</v>
      </c>
      <c r="H42" s="18" t="n">
        <v>73645.56</v>
      </c>
      <c r="I42" s="18" t="n">
        <v>74917.66</v>
      </c>
      <c r="J42" s="18" t="n">
        <v>74917.66</v>
      </c>
      <c r="K42" s="34" t="n">
        <v>74917.66</v>
      </c>
      <c r="L42" s="18" t="n">
        <v>74917.66</v>
      </c>
      <c r="M42" s="18" t="n">
        <v>76980.52</v>
      </c>
      <c r="N42" s="18" t="n">
        <v>77008.3</v>
      </c>
      <c r="O42" s="18" t="n">
        <v>76952.74000000001</v>
      </c>
      <c r="P42" s="34" t="n">
        <v>76952.74000000001</v>
      </c>
      <c r="Q42" s="18" t="n">
        <v>76952.74000000001</v>
      </c>
      <c r="R42" s="18" t="n">
        <v>76952.74000000001</v>
      </c>
      <c r="S42" s="18" t="n">
        <v>76952.74000000001</v>
      </c>
      <c r="T42" s="18" t="n">
        <v>76952.74000000001</v>
      </c>
      <c r="U42" s="34" t="n">
        <v>76952.74000000001</v>
      </c>
      <c r="V42" s="18" t="n">
        <v>81924.23</v>
      </c>
      <c r="W42" s="18" t="n">
        <v>80775.82000000001</v>
      </c>
      <c r="X42" s="18" t="n">
        <v>80775.82000000001</v>
      </c>
      <c r="Y42" s="18" t="n">
        <v>80775.82000000001</v>
      </c>
      <c r="Z42" s="34" t="n">
        <v>80775.82000000001</v>
      </c>
      <c r="AA42" s="18" t="n">
        <v>80775.82000000001</v>
      </c>
      <c r="AB42" s="19" t="n">
        <v>80806.72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-8528.809999999999</v>
      </c>
      <c r="F43" s="34" t="n">
        <v>-8528.809999999999</v>
      </c>
      <c r="G43" s="18" t="n">
        <v>-8528.809999999999</v>
      </c>
      <c r="H43" s="18" t="n">
        <v>-8528.809999999999</v>
      </c>
      <c r="I43" s="18" t="n">
        <v>-8528.809999999999</v>
      </c>
      <c r="J43" s="18" t="n">
        <v>-8528.809999999999</v>
      </c>
      <c r="K43" s="34" t="n">
        <v>-8528.809999999999</v>
      </c>
      <c r="L43" s="18" t="n">
        <v>-8528.809999999999</v>
      </c>
      <c r="M43" s="18" t="n">
        <v>-8528.809999999999</v>
      </c>
      <c r="N43" s="18" t="n">
        <v>-8528.809999999999</v>
      </c>
      <c r="O43" s="18" t="n">
        <v>-8528.809999999999</v>
      </c>
      <c r="P43" s="34" t="n">
        <v>-8528.809999999999</v>
      </c>
      <c r="Q43" s="18" t="n">
        <v>-8528.809999999999</v>
      </c>
      <c r="R43" s="18" t="n">
        <v>-8528.809999999999</v>
      </c>
      <c r="S43" s="18" t="n">
        <v>-8528.809999999999</v>
      </c>
      <c r="T43" s="18" t="n">
        <v>-8528.809999999999</v>
      </c>
      <c r="U43" s="34" t="n">
        <v>-8528.809999999999</v>
      </c>
      <c r="V43" s="18" t="n">
        <v>-1183.8</v>
      </c>
      <c r="W43" s="18" t="n">
        <v>-1183.8</v>
      </c>
      <c r="X43" s="18" t="n">
        <v>-981.36</v>
      </c>
      <c r="Y43" s="18" t="n">
        <v>-940.6</v>
      </c>
      <c r="Z43" s="34" t="n">
        <v>-940.6</v>
      </c>
      <c r="AA43" s="18" t="n">
        <v>-940.6</v>
      </c>
      <c r="AB43" s="19" t="n">
        <v>-971.5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-74.2</v>
      </c>
      <c r="F44" s="34" t="n">
        <v>-74.2</v>
      </c>
      <c r="G44" s="18" t="n">
        <v>-477.27</v>
      </c>
      <c r="H44" s="18" t="n">
        <v>-90</v>
      </c>
      <c r="I44" s="18" t="n">
        <v>-108.03</v>
      </c>
      <c r="J44" s="18" t="n">
        <v>-71.42</v>
      </c>
      <c r="K44" s="34" t="n">
        <v>-71.42</v>
      </c>
      <c r="L44" s="18" t="n">
        <v>-29.23</v>
      </c>
      <c r="M44" s="18" t="n">
        <v>-49.12</v>
      </c>
      <c r="N44" s="18" t="n">
        <v>-59.07</v>
      </c>
      <c r="O44" s="18" t="n">
        <v>-104.67</v>
      </c>
      <c r="P44" s="34" t="n">
        <v>-104.67</v>
      </c>
      <c r="Q44" s="18" t="n">
        <v>-12.75</v>
      </c>
      <c r="R44" s="18" t="n">
        <v>54.59</v>
      </c>
      <c r="S44" s="18" t="n">
        <v>-55.69</v>
      </c>
      <c r="T44" s="18" t="n">
        <v>182.57</v>
      </c>
      <c r="U44" s="34" t="n">
        <v>182.57</v>
      </c>
      <c r="V44" s="18" t="n">
        <v>177.02</v>
      </c>
      <c r="W44" s="18" t="n">
        <v>2.95</v>
      </c>
      <c r="X44" s="18" t="n">
        <v>76.03</v>
      </c>
      <c r="Y44" s="18" t="n">
        <v>87.65000000000001</v>
      </c>
      <c r="Z44" s="34" t="n">
        <v>87.65000000000001</v>
      </c>
      <c r="AA44" s="18" t="n">
        <v>193.15</v>
      </c>
      <c r="AB44" s="19" t="n">
        <v>230.1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67840.00999999999</v>
      </c>
      <c r="F45" s="34" t="n">
        <v>67840.00999999999</v>
      </c>
      <c r="G45" s="18" t="n">
        <v>58413.8</v>
      </c>
      <c r="H45" s="18" t="n">
        <v>59943.37</v>
      </c>
      <c r="I45" s="18" t="n">
        <v>64233.26</v>
      </c>
      <c r="J45" s="18" t="n">
        <v>67086.2</v>
      </c>
      <c r="K45" s="34" t="n">
        <v>67086.2</v>
      </c>
      <c r="L45" s="18" t="n">
        <v>59617.97</v>
      </c>
      <c r="M45" s="18" t="n">
        <v>67561.87</v>
      </c>
      <c r="N45" s="18" t="n">
        <v>77383.89999999999</v>
      </c>
      <c r="O45" s="18" t="n">
        <v>85212.52</v>
      </c>
      <c r="P45" s="34" t="n">
        <v>85212.52</v>
      </c>
      <c r="Q45" s="18" t="n">
        <v>86581.36</v>
      </c>
      <c r="R45" s="18" t="n">
        <v>89813.94</v>
      </c>
      <c r="S45" s="18" t="n">
        <v>98476.23</v>
      </c>
      <c r="T45" s="18" t="n">
        <v>118504.99</v>
      </c>
      <c r="U45" s="34" t="n">
        <v>118504.99</v>
      </c>
      <c r="V45" s="18" t="n">
        <v>117353.38</v>
      </c>
      <c r="W45" s="18" t="n">
        <v>128356.05</v>
      </c>
      <c r="X45" s="18" t="n">
        <v>148806.01</v>
      </c>
      <c r="Y45" s="18" t="n">
        <v>163648.13</v>
      </c>
      <c r="Z45" s="34" t="n">
        <v>163648.13</v>
      </c>
      <c r="AA45" s="18" t="n">
        <v>168690.31</v>
      </c>
      <c r="AB45" s="19" t="n">
        <v>195194.31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E46" s="18" t="n">
        <v>0</v>
      </c>
      <c r="F46" s="34" t="n">
        <v>0</v>
      </c>
      <c r="G46" s="18" t="n">
        <v>0</v>
      </c>
      <c r="H46" s="18" t="n">
        <v>0</v>
      </c>
      <c r="I46" s="18" t="n">
        <v>0</v>
      </c>
      <c r="J46" s="18" t="n">
        <v>0</v>
      </c>
      <c r="K46" s="34" t="n">
        <v>0</v>
      </c>
      <c r="L46" s="18" t="n">
        <v>0</v>
      </c>
      <c r="M46" s="18" t="n">
        <v>0</v>
      </c>
      <c r="N46" s="18" t="n">
        <v>0</v>
      </c>
      <c r="O46" s="18" t="n">
        <v>0</v>
      </c>
      <c r="P46" s="34" t="n">
        <v>0</v>
      </c>
      <c r="Q46" s="18" t="n">
        <v>0</v>
      </c>
      <c r="R46" s="18" t="n">
        <v>0</v>
      </c>
      <c r="S46" s="18" t="n">
        <v>0</v>
      </c>
      <c r="T46" s="18" t="n">
        <v>0</v>
      </c>
      <c r="U46" s="34" t="n">
        <v>0</v>
      </c>
      <c r="V46" s="18" t="n">
        <v>0</v>
      </c>
      <c r="W46" s="18" t="n">
        <v>0</v>
      </c>
      <c r="X46" s="18" t="n">
        <v>0</v>
      </c>
      <c r="Y46" s="18" t="n">
        <v>0</v>
      </c>
      <c r="Z46" s="34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142042.2</v>
      </c>
      <c r="F47" s="34" t="n">
        <v>142042.2</v>
      </c>
      <c r="G47" s="18" t="n">
        <v>135320.91</v>
      </c>
      <c r="H47" s="18" t="n">
        <v>140112.63</v>
      </c>
      <c r="I47" s="18" t="n">
        <v>145726.09</v>
      </c>
      <c r="J47" s="18" t="n">
        <v>148615.65</v>
      </c>
      <c r="K47" s="34" t="n">
        <v>148615.65</v>
      </c>
      <c r="L47" s="18" t="n">
        <v>141189.61</v>
      </c>
      <c r="M47" s="18" t="n">
        <v>151289.21</v>
      </c>
      <c r="N47" s="18" t="n">
        <v>161129.06</v>
      </c>
      <c r="O47" s="18" t="n">
        <v>168856.54</v>
      </c>
      <c r="P47" s="34" t="n">
        <v>168856.54</v>
      </c>
      <c r="Q47" s="18" t="n">
        <v>170317.28</v>
      </c>
      <c r="R47" s="18" t="n">
        <v>173617.21</v>
      </c>
      <c r="S47" s="18" t="n">
        <v>182169.22</v>
      </c>
      <c r="T47" s="18" t="n">
        <v>202436.23</v>
      </c>
      <c r="U47" s="34" t="n">
        <v>202436.23</v>
      </c>
      <c r="V47" s="18" t="n">
        <v>213595.57</v>
      </c>
      <c r="W47" s="18" t="n">
        <v>223275.76</v>
      </c>
      <c r="X47" s="18" t="n">
        <v>244001.25</v>
      </c>
      <c r="Y47" s="18" t="n">
        <v>258895.74</v>
      </c>
      <c r="Z47" s="34" t="n">
        <v>258895.74</v>
      </c>
      <c r="AA47" s="18" t="n">
        <v>264043.42</v>
      </c>
      <c r="AB47" s="19" t="n">
        <v>290584.37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294813.15</v>
      </c>
      <c r="F48" s="34" t="n">
        <v>294813.15</v>
      </c>
      <c r="G48" s="18" t="n">
        <v>287914.97</v>
      </c>
      <c r="H48" s="18" t="n">
        <v>301581.94</v>
      </c>
      <c r="I48" s="18" t="n">
        <v>335043.12</v>
      </c>
      <c r="J48" s="18" t="n">
        <v>344010.44</v>
      </c>
      <c r="K48" s="34" t="n">
        <v>344010.44</v>
      </c>
      <c r="L48" s="18" t="n">
        <v>359117.34</v>
      </c>
      <c r="M48" s="18" t="n">
        <v>379118.52</v>
      </c>
      <c r="N48" s="18" t="n">
        <v>402073.94</v>
      </c>
      <c r="O48" s="18" t="n">
        <v>364279.61</v>
      </c>
      <c r="P48" s="34" t="n">
        <v>364279.61</v>
      </c>
      <c r="Q48" s="18" t="n">
        <v>368979.03</v>
      </c>
      <c r="R48" s="18" t="n">
        <v>370917.64</v>
      </c>
      <c r="S48" s="18" t="n">
        <v>378749.88</v>
      </c>
      <c r="T48" s="18" t="n">
        <v>455450.98</v>
      </c>
      <c r="U48" s="34" t="n">
        <v>455450.98</v>
      </c>
      <c r="V48" s="18" t="n">
        <v>477256.11</v>
      </c>
      <c r="W48" s="18" t="n">
        <v>474545.1</v>
      </c>
      <c r="X48" s="18" t="n">
        <v>482979.44</v>
      </c>
      <c r="Y48" s="18" t="n">
        <v>501560.93</v>
      </c>
      <c r="Z48" s="34" t="n">
        <v>501560.93</v>
      </c>
      <c r="AA48" s="18" t="n">
        <v>488882.2</v>
      </c>
      <c r="AB48" s="19" t="n">
        <v>507413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57384.1</v>
      </c>
      <c r="F49" s="34" t="n">
        <v>57384.1</v>
      </c>
      <c r="G49" s="18" t="n">
        <v>58039.78</v>
      </c>
      <c r="H49" s="18" t="n">
        <v>70243.49000000001</v>
      </c>
      <c r="I49" s="18" t="n">
        <v>83562.85000000001</v>
      </c>
      <c r="J49" s="18" t="n">
        <v>66938.53999999999</v>
      </c>
      <c r="K49" s="34" t="n">
        <v>66938.53999999999</v>
      </c>
      <c r="L49" s="18" t="n">
        <v>82528.21000000001</v>
      </c>
      <c r="M49" s="18" t="n">
        <v>97298.95</v>
      </c>
      <c r="N49" s="18" t="n">
        <v>89755.42</v>
      </c>
      <c r="O49" s="18" t="n">
        <v>21526.61</v>
      </c>
      <c r="P49" s="34" t="n">
        <v>21526.61</v>
      </c>
      <c r="Q49" s="18" t="n">
        <v>23783.92</v>
      </c>
      <c r="R49" s="18" t="n">
        <v>23958.98</v>
      </c>
      <c r="S49" s="18" t="n">
        <v>21598</v>
      </c>
      <c r="T49" s="18" t="n">
        <v>17350</v>
      </c>
      <c r="U49" s="34" t="n">
        <v>17350</v>
      </c>
      <c r="V49" s="18" t="n">
        <v>17332.5</v>
      </c>
      <c r="W49" s="18" t="n">
        <v>6782</v>
      </c>
      <c r="X49" s="18" t="n">
        <v>7011</v>
      </c>
      <c r="Y49" s="18" t="n">
        <v>7174.5</v>
      </c>
      <c r="Z49" s="34" t="n">
        <v>7174.5</v>
      </c>
      <c r="AA49" s="18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33863.35</v>
      </c>
      <c r="F50" s="34" t="n">
        <v>33863.35</v>
      </c>
      <c r="G50" s="18" t="n">
        <v>44597.27</v>
      </c>
      <c r="H50" s="18" t="n">
        <v>55424.99</v>
      </c>
      <c r="I50" s="18" t="n">
        <v>76153.34</v>
      </c>
      <c r="J50" s="18" t="n">
        <v>39447.57</v>
      </c>
      <c r="K50" s="34" t="n">
        <v>39447.57</v>
      </c>
      <c r="L50" s="18" t="n">
        <v>73430.27</v>
      </c>
      <c r="M50" s="18" t="n">
        <v>62860.69</v>
      </c>
      <c r="N50" s="18" t="n">
        <v>24226.87</v>
      </c>
      <c r="O50" s="18" t="n">
        <v>-5498.75</v>
      </c>
      <c r="P50" s="34" t="n">
        <v>-5498.75</v>
      </c>
      <c r="Q50" s="18" t="n">
        <v>-5690.85</v>
      </c>
      <c r="R50" s="18" t="n">
        <v>-5746.63</v>
      </c>
      <c r="S50" s="18" t="n">
        <v>7349.53</v>
      </c>
      <c r="T50" s="18" t="n">
        <v>-40721.73</v>
      </c>
      <c r="U50" s="34" t="n">
        <v>-40721.73</v>
      </c>
      <c r="V50" s="18" t="n">
        <v>-76587.53</v>
      </c>
      <c r="W50" s="18" t="n">
        <v>-86675.86</v>
      </c>
      <c r="X50" s="18" t="n">
        <v>-78783.67</v>
      </c>
      <c r="Y50" s="18" t="n">
        <v>-73680.61</v>
      </c>
      <c r="Z50" s="34" t="n">
        <v>-73680.61</v>
      </c>
      <c r="AA50" s="18" t="n">
        <v>-79167.55</v>
      </c>
      <c r="AB50" s="19" t="n">
        <v>-50157.69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23667.05</v>
      </c>
      <c r="F51" s="34" t="n">
        <v>23667.05</v>
      </c>
      <c r="G51" s="18" t="n">
        <v>13588.81</v>
      </c>
      <c r="H51" s="18" t="n">
        <v>14964.8</v>
      </c>
      <c r="I51" s="18" t="n">
        <v>7555.81</v>
      </c>
      <c r="J51" s="18" t="n">
        <v>27637.27</v>
      </c>
      <c r="K51" s="34" t="n">
        <v>27637.27</v>
      </c>
      <c r="L51" s="18" t="n">
        <v>9244.24</v>
      </c>
      <c r="M51" s="18" t="n">
        <v>34584.56</v>
      </c>
      <c r="N51" s="18" t="n">
        <v>65674.85000000001</v>
      </c>
      <c r="O51" s="18" t="n">
        <v>27171.66</v>
      </c>
      <c r="P51" s="34" t="n">
        <v>27171.66</v>
      </c>
      <c r="Q51" s="18" t="n">
        <v>29621.07</v>
      </c>
      <c r="R51" s="18" t="n">
        <v>29851.91</v>
      </c>
      <c r="S51" s="18" t="n">
        <v>14394.77</v>
      </c>
      <c r="T51" s="18" t="n">
        <v>58218.03</v>
      </c>
      <c r="U51" s="34" t="n">
        <v>58218.03</v>
      </c>
      <c r="V51" s="18" t="n">
        <v>94066.33</v>
      </c>
      <c r="W51" s="18" t="n">
        <v>93604.56</v>
      </c>
      <c r="X51" s="18" t="n">
        <v>85951.37</v>
      </c>
      <c r="Y51" s="18" t="n">
        <v>81071.55</v>
      </c>
      <c r="Z51" s="34" t="n">
        <v>81071.55</v>
      </c>
      <c r="AA51" s="18" t="n">
        <v>79382.52</v>
      </c>
      <c r="AB51" s="19" t="n">
        <v>50371.16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G52" s="18" t="n">
        <v>9817.040000000001</v>
      </c>
      <c r="K52" s="9" t="n"/>
      <c r="L52" s="18" t="n">
        <v>10082.69</v>
      </c>
      <c r="P52" s="9" t="n"/>
      <c r="Q52" s="18" t="n">
        <v>7258.28</v>
      </c>
      <c r="U52" s="9" t="n"/>
      <c r="V52" s="18" t="n">
        <v>10161.6</v>
      </c>
      <c r="W52" s="18" t="n">
        <v>0</v>
      </c>
      <c r="X52" s="18" t="n">
        <v>0</v>
      </c>
      <c r="Z52" s="9" t="n"/>
      <c r="AA52" s="18" t="n">
        <v>11973.25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K53" s="9" t="n"/>
      <c r="P53" s="9" t="n"/>
      <c r="Q53" s="18" t="n">
        <v>3414.39</v>
      </c>
      <c r="R53" s="18" t="n">
        <v>3553.61</v>
      </c>
      <c r="S53" s="18" t="n">
        <v>3615.92</v>
      </c>
      <c r="U53" s="9" t="n"/>
      <c r="V53" s="18" t="n">
        <v>3022.04</v>
      </c>
      <c r="W53" s="18" t="n">
        <v>2193.56</v>
      </c>
      <c r="X53" s="18" t="n">
        <v>2053.7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K54" s="9" t="n"/>
      <c r="P54" s="9" t="n"/>
      <c r="Q54" s="18" t="n">
        <v>3414.39</v>
      </c>
      <c r="R54" s="18" t="n">
        <v>3553.61</v>
      </c>
      <c r="S54" s="18" t="n">
        <v>3615.92</v>
      </c>
      <c r="U54" s="9" t="n"/>
      <c r="V54" s="18" t="n">
        <v>3022.04</v>
      </c>
      <c r="W54" s="18" t="n">
        <v>2193.56</v>
      </c>
      <c r="X54" s="18" t="n">
        <v>2053.7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105295.98</v>
      </c>
      <c r="F55" s="9" t="n"/>
      <c r="G55" s="18" t="n">
        <v>107884.52</v>
      </c>
      <c r="H55" s="18" t="n">
        <v>106559.59</v>
      </c>
      <c r="I55" s="18" t="n">
        <v>91260.83</v>
      </c>
      <c r="J55" s="18" t="n">
        <v>128446.62</v>
      </c>
      <c r="K55" s="34" t="n">
        <v>434151.56</v>
      </c>
      <c r="L55" s="18" t="n">
        <v>124083.17</v>
      </c>
      <c r="M55" s="18" t="n">
        <v>144000.06</v>
      </c>
      <c r="N55" s="18" t="n">
        <v>124305.41</v>
      </c>
      <c r="O55" s="18" t="n">
        <v>139020.11</v>
      </c>
      <c r="P55" s="34" t="n">
        <v>531408.75</v>
      </c>
      <c r="Q55" s="18" t="n">
        <v>137270.57</v>
      </c>
      <c r="R55" s="18" t="n">
        <v>137845.76</v>
      </c>
      <c r="S55" s="18" t="n">
        <v>136546.41</v>
      </c>
      <c r="T55" s="18" t="n">
        <v>185746.93</v>
      </c>
      <c r="U55" s="34" t="n">
        <v>597409.67</v>
      </c>
      <c r="V55" s="18" t="n">
        <v>172366.18</v>
      </c>
      <c r="W55" s="18" t="n">
        <v>193322.13</v>
      </c>
      <c r="X55" s="18" t="n">
        <v>201106.3</v>
      </c>
      <c r="Y55" s="18" t="n">
        <v>175391.4</v>
      </c>
      <c r="Z55" s="34" t="n">
        <v>742186.01</v>
      </c>
      <c r="AA55" s="18" t="n">
        <v>169129.36</v>
      </c>
      <c r="AB55" s="19" t="n">
        <v>224533.8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91030.25</v>
      </c>
      <c r="F56" s="9" t="n"/>
      <c r="G56" s="18" t="n">
        <v>99507.59</v>
      </c>
      <c r="H56" s="18" t="n">
        <v>94705.27</v>
      </c>
      <c r="I56" s="18" t="n">
        <v>75531.83</v>
      </c>
      <c r="J56" s="18" t="n">
        <v>123792.76</v>
      </c>
      <c r="K56" s="34" t="n">
        <v>393537.45</v>
      </c>
      <c r="L56" s="18" t="n">
        <v>114806.86</v>
      </c>
      <c r="M56" s="18" t="n">
        <v>127456.46</v>
      </c>
      <c r="N56" s="18" t="n">
        <v>105289.68</v>
      </c>
      <c r="O56" s="18" t="n">
        <v>115877.4</v>
      </c>
      <c r="P56" s="34" t="n">
        <v>463430.4</v>
      </c>
      <c r="Q56" s="18" t="n">
        <v>117961.53</v>
      </c>
      <c r="R56" s="18" t="n">
        <v>116561.43</v>
      </c>
      <c r="S56" s="18" t="n">
        <v>116066.92</v>
      </c>
      <c r="T56" s="18" t="n">
        <v>152253.01</v>
      </c>
      <c r="U56" s="34" t="n">
        <v>502842.89</v>
      </c>
      <c r="V56" s="18" t="n">
        <v>148449.51</v>
      </c>
      <c r="W56" s="18" t="n">
        <v>165314.88</v>
      </c>
      <c r="X56" s="18" t="n">
        <v>166399.92</v>
      </c>
      <c r="Y56" s="18" t="n">
        <v>141066.98</v>
      </c>
      <c r="Z56" s="34" t="n">
        <v>621231.29</v>
      </c>
      <c r="AA56" s="18" t="n">
        <v>137414.7</v>
      </c>
      <c r="AB56" s="19" t="n">
        <v>176733.88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14265.73</v>
      </c>
      <c r="F57" s="9" t="n"/>
      <c r="G57" s="18" t="n">
        <v>8376.92</v>
      </c>
      <c r="H57" s="18" t="n">
        <v>11854.32</v>
      </c>
      <c r="I57" s="18" t="n">
        <v>15729</v>
      </c>
      <c r="J57" s="18" t="n">
        <v>4653.86</v>
      </c>
      <c r="K57" s="34" t="n">
        <v>40614.1</v>
      </c>
      <c r="L57" s="18" t="n">
        <v>9276.309999999999</v>
      </c>
      <c r="M57" s="18" t="n">
        <v>16543.6</v>
      </c>
      <c r="N57" s="18" t="n">
        <v>19015.73</v>
      </c>
      <c r="O57" s="18" t="n">
        <v>23142.7</v>
      </c>
      <c r="P57" s="34" t="n">
        <v>67978.34</v>
      </c>
      <c r="Q57" s="18" t="n">
        <v>19309.04</v>
      </c>
      <c r="R57" s="18" t="n">
        <v>21284.33</v>
      </c>
      <c r="S57" s="18" t="n">
        <v>20479.49</v>
      </c>
      <c r="T57" s="18" t="n">
        <v>33493.93</v>
      </c>
      <c r="U57" s="34" t="n">
        <v>94566.78999999999</v>
      </c>
      <c r="V57" s="18" t="n">
        <v>23916.67</v>
      </c>
      <c r="W57" s="18" t="n">
        <v>28007.25</v>
      </c>
      <c r="X57" s="18" t="n">
        <v>34706.38</v>
      </c>
      <c r="Y57" s="18" t="n">
        <v>34324.42</v>
      </c>
      <c r="Z57" s="34" t="n">
        <v>120954.72</v>
      </c>
      <c r="AA57" s="18" t="n">
        <v>31714.65</v>
      </c>
      <c r="AB57" s="19" t="n">
        <v>47799.92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9205.790000000001</v>
      </c>
      <c r="F58" s="9" t="n"/>
      <c r="G58" s="18" t="n">
        <v>7072.45</v>
      </c>
      <c r="H58" s="18" t="n">
        <v>6021.03</v>
      </c>
      <c r="I58" s="18" t="n">
        <v>4535.54</v>
      </c>
      <c r="J58" s="18" t="n">
        <v>7707.62</v>
      </c>
      <c r="K58" s="34" t="n">
        <v>25336.64</v>
      </c>
      <c r="L58" s="18" t="n">
        <v>5622.65</v>
      </c>
      <c r="M58" s="18" t="n">
        <v>7923.79</v>
      </c>
      <c r="N58" s="18" t="n">
        <v>6888.87</v>
      </c>
      <c r="O58" s="18" t="n">
        <v>10203.19</v>
      </c>
      <c r="P58" s="34" t="n">
        <v>30638.5</v>
      </c>
      <c r="Q58" s="18" t="n">
        <v>9182.75</v>
      </c>
      <c r="R58" s="18" t="n">
        <v>8952.09</v>
      </c>
      <c r="S58" s="18" t="n">
        <v>9060.32</v>
      </c>
      <c r="T58" s="18" t="n">
        <v>13382.83</v>
      </c>
      <c r="U58" s="34" t="n">
        <v>40577.99</v>
      </c>
      <c r="V58" s="18" t="n">
        <v>11383.92</v>
      </c>
      <c r="W58" s="18" t="n">
        <v>11074.79</v>
      </c>
      <c r="X58" s="18" t="n">
        <v>11196.22</v>
      </c>
      <c r="Y58" s="18" t="n">
        <v>14741.09</v>
      </c>
      <c r="Z58" s="34" t="n">
        <v>48396.02</v>
      </c>
      <c r="AA58" s="18" t="n">
        <v>11860.22</v>
      </c>
      <c r="AB58" s="19" t="n">
        <v>11859.51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5059.94</v>
      </c>
      <c r="F59" s="9" t="n"/>
      <c r="G59" s="18" t="n">
        <v>1304.47</v>
      </c>
      <c r="H59" s="18" t="n">
        <v>5833.29</v>
      </c>
      <c r="I59" s="18" t="n">
        <v>11193.46</v>
      </c>
      <c r="J59" s="18" t="n">
        <v>-3053.76</v>
      </c>
      <c r="K59" s="34" t="n">
        <v>15277.46</v>
      </c>
      <c r="L59" s="18" t="n">
        <v>3653.67</v>
      </c>
      <c r="M59" s="18" t="n">
        <v>8619.809999999999</v>
      </c>
      <c r="N59" s="18" t="n">
        <v>12126.86</v>
      </c>
      <c r="O59" s="18" t="n">
        <v>12939.52</v>
      </c>
      <c r="P59" s="34" t="n">
        <v>37339.86</v>
      </c>
      <c r="Q59" s="18" t="n">
        <v>10126.29</v>
      </c>
      <c r="R59" s="18" t="n">
        <v>12332.25</v>
      </c>
      <c r="S59" s="18" t="n">
        <v>11419.17</v>
      </c>
      <c r="T59" s="18" t="n">
        <v>20111.1</v>
      </c>
      <c r="U59" s="34" t="n">
        <v>53988.81</v>
      </c>
      <c r="V59" s="18" t="n">
        <v>12532.75</v>
      </c>
      <c r="W59" s="18" t="n">
        <v>16932.46</v>
      </c>
      <c r="X59" s="18" t="n">
        <v>23510.16</v>
      </c>
      <c r="Y59" s="18" t="n">
        <v>19583.34</v>
      </c>
      <c r="Z59" s="34" t="n">
        <v>72558.71000000001</v>
      </c>
      <c r="AA59" s="18" t="n">
        <v>19854.44</v>
      </c>
      <c r="AB59" s="19" t="n">
        <v>35940.41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-3.63</v>
      </c>
      <c r="F60" s="9" t="n"/>
      <c r="G60" s="18" t="n">
        <v>34.05</v>
      </c>
      <c r="H60" s="18" t="n">
        <v>17.95</v>
      </c>
      <c r="I60" s="18" t="n">
        <v>33.66</v>
      </c>
      <c r="J60" s="18" t="n">
        <v>-0.01</v>
      </c>
      <c r="K60" s="34" t="n">
        <v>85.65000000000001</v>
      </c>
      <c r="L60" s="18" t="n">
        <v>70.51000000000001</v>
      </c>
      <c r="M60" s="18" t="n">
        <v>92.48999999999999</v>
      </c>
      <c r="N60" s="18" t="n">
        <v>242.08</v>
      </c>
      <c r="O60" s="18" t="n">
        <v>472.94</v>
      </c>
      <c r="P60" s="34" t="n">
        <v>878.02</v>
      </c>
      <c r="Q60" s="18" t="n">
        <v>238.82</v>
      </c>
      <c r="R60" s="18" t="n">
        <v>302.7</v>
      </c>
      <c r="S60" s="18" t="n">
        <v>210.99</v>
      </c>
      <c r="T60" s="18" t="n">
        <v>86.22</v>
      </c>
      <c r="U60" s="34" t="n">
        <v>838.73</v>
      </c>
      <c r="V60" s="18" t="n">
        <v>344.83</v>
      </c>
      <c r="W60" s="18" t="n">
        <v>451.89</v>
      </c>
      <c r="X60" s="18" t="n">
        <v>617.53</v>
      </c>
      <c r="Y60" s="18" t="n">
        <v>534.4299999999999</v>
      </c>
      <c r="Z60" s="34" t="n">
        <v>1948.68</v>
      </c>
      <c r="AA60" s="18" t="n">
        <v>378.98</v>
      </c>
      <c r="AB60" s="19" t="n">
        <v>336.57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814.7</v>
      </c>
      <c r="F61" s="9" t="n"/>
      <c r="G61" s="18" t="n">
        <v>395.52</v>
      </c>
      <c r="H61" s="18" t="n">
        <v>498.21</v>
      </c>
      <c r="I61" s="18" t="n">
        <v>681.3</v>
      </c>
      <c r="J61" s="18" t="n">
        <v>862.05</v>
      </c>
      <c r="K61" s="34" t="n">
        <v>2437.08</v>
      </c>
      <c r="L61" s="18" t="n">
        <v>894.03</v>
      </c>
      <c r="M61" s="18" t="n">
        <v>1331.89</v>
      </c>
      <c r="N61" s="18" t="n">
        <v>1282.64</v>
      </c>
      <c r="O61" s="18" t="n">
        <v>1376.9</v>
      </c>
      <c r="P61" s="34" t="n">
        <v>4885.46</v>
      </c>
      <c r="Q61" s="18" t="n">
        <v>624.71</v>
      </c>
      <c r="R61" s="18" t="n">
        <v>629.24</v>
      </c>
      <c r="S61" s="18" t="n">
        <v>581.29</v>
      </c>
      <c r="T61" s="18" t="n">
        <v>397.85</v>
      </c>
      <c r="U61" s="34" t="n">
        <v>2233.09</v>
      </c>
      <c r="V61" s="18" t="n">
        <v>235.93</v>
      </c>
      <c r="W61" s="18" t="n">
        <v>175.91</v>
      </c>
      <c r="X61" s="18" t="n">
        <v>103.23</v>
      </c>
      <c r="Y61" s="18" t="n">
        <v>99.41</v>
      </c>
      <c r="Z61" s="34" t="n">
        <v>614.48</v>
      </c>
      <c r="AA61" s="18" t="n">
        <v>161.25</v>
      </c>
      <c r="AB61" s="19" t="n">
        <v>113.25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2085.62</v>
      </c>
      <c r="F62" s="9" t="n"/>
      <c r="G62" s="18" t="n">
        <v>2561.09</v>
      </c>
      <c r="H62" s="18" t="n">
        <v>2958.18</v>
      </c>
      <c r="I62" s="18" t="n">
        <v>5508.22</v>
      </c>
      <c r="J62" s="18" t="n">
        <v>5281.7</v>
      </c>
      <c r="K62" s="34" t="n">
        <v>16309.19</v>
      </c>
      <c r="L62" s="18" t="n">
        <v>8137.36</v>
      </c>
      <c r="M62" s="18" t="n">
        <v>4623.13</v>
      </c>
      <c r="N62" s="18" t="n">
        <v>4287.57</v>
      </c>
      <c r="O62" s="18" t="n">
        <v>2103.23</v>
      </c>
      <c r="P62" s="34" t="n">
        <v>19151.29</v>
      </c>
      <c r="Q62" s="18" t="n">
        <v>2898.08</v>
      </c>
      <c r="R62" s="18" t="n">
        <v>1972.42</v>
      </c>
      <c r="S62" s="18" t="n">
        <v>581.1799999999999</v>
      </c>
      <c r="T62" s="18" t="n">
        <v>4827.26</v>
      </c>
      <c r="U62" s="34" t="n">
        <v>10278.94</v>
      </c>
      <c r="V62" s="18" t="n">
        <v>4843.95</v>
      </c>
      <c r="W62" s="18" t="n">
        <v>3524.16</v>
      </c>
      <c r="X62" s="18" t="n">
        <v>4471.32</v>
      </c>
      <c r="Y62" s="18" t="n">
        <v>2098.01</v>
      </c>
      <c r="Z62" s="34" t="n">
        <v>14937.44</v>
      </c>
      <c r="AA62" s="18" t="n">
        <v>5152.47</v>
      </c>
      <c r="AB62" s="19" t="n">
        <v>2946.67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211.94</v>
      </c>
      <c r="F63" s="9" t="n"/>
      <c r="G63" s="18" t="n">
        <v>1869.01</v>
      </c>
      <c r="H63" s="18" t="n">
        <v>5507.92</v>
      </c>
      <c r="I63" s="18" t="n">
        <v>9874.02</v>
      </c>
      <c r="J63" s="18" t="n">
        <v>-651.29</v>
      </c>
      <c r="K63" s="34" t="n">
        <v>16599.66</v>
      </c>
      <c r="L63" s="18" t="n">
        <v>8042.55</v>
      </c>
      <c r="M63" s="18" t="n">
        <v>2800</v>
      </c>
      <c r="N63" s="18" t="n">
        <v>2872.21</v>
      </c>
      <c r="O63" s="18" t="n">
        <v>4010.34</v>
      </c>
      <c r="P63" s="34" t="n">
        <v>17725.1</v>
      </c>
      <c r="Q63" s="18" t="n">
        <v>1603.27</v>
      </c>
      <c r="R63" s="18" t="n">
        <v>8703.790000000001</v>
      </c>
      <c r="S63" s="18" t="n">
        <v>718.73</v>
      </c>
      <c r="T63" s="18" t="n">
        <v>8127.96</v>
      </c>
      <c r="U63" s="34" t="n">
        <v>19153.75</v>
      </c>
      <c r="V63" s="18" t="n">
        <v>4093.5</v>
      </c>
      <c r="W63" s="18" t="n">
        <v>8396.77</v>
      </c>
      <c r="X63" s="18" t="n">
        <v>2434.66</v>
      </c>
      <c r="Y63" s="18" t="n">
        <v>2583.78</v>
      </c>
      <c r="Z63" s="34" t="n">
        <v>17508.71</v>
      </c>
      <c r="AA63" s="18" t="n">
        <v>3796.4</v>
      </c>
      <c r="AB63" s="19" t="n">
        <v>3365.67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438.72</v>
      </c>
      <c r="F64" s="9" t="n"/>
      <c r="G64" s="18" t="n">
        <v>554.75</v>
      </c>
      <c r="H64" s="18" t="n">
        <v>70.87</v>
      </c>
      <c r="I64" s="18" t="n">
        <v>109.84</v>
      </c>
      <c r="J64" s="18" t="n">
        <v>543.8</v>
      </c>
      <c r="K64" s="34" t="n">
        <v>1279.26</v>
      </c>
      <c r="L64" s="18" t="n">
        <v>183.46</v>
      </c>
      <c r="M64" s="18" t="n">
        <v>584.0700000000001</v>
      </c>
      <c r="N64" s="18" t="n">
        <v>547.36</v>
      </c>
      <c r="O64" s="18" t="n">
        <v>804.49</v>
      </c>
      <c r="P64" s="34" t="n">
        <v>2119.38</v>
      </c>
      <c r="Q64" s="18" t="n">
        <v>265.6</v>
      </c>
      <c r="R64" s="18" t="n">
        <v>-1111.77</v>
      </c>
      <c r="S64" s="18" t="n">
        <v>344.71</v>
      </c>
      <c r="T64" s="18" t="n">
        <v>7656.19</v>
      </c>
      <c r="U64" s="34" t="n">
        <v>7154.73</v>
      </c>
      <c r="V64" s="18" t="n">
        <v>-31.25</v>
      </c>
      <c r="W64" s="18" t="n">
        <v>428.88</v>
      </c>
      <c r="X64" s="18" t="n">
        <v>660.34</v>
      </c>
      <c r="Y64" s="18" t="n">
        <v>697.29</v>
      </c>
      <c r="Z64" s="34" t="n">
        <v>1755.26</v>
      </c>
      <c r="AA64" s="18" t="n">
        <v>931.99</v>
      </c>
      <c r="AB64" s="19" t="n">
        <v>652.46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6554.02</v>
      </c>
      <c r="F65" s="9" t="n"/>
      <c r="G65" s="18" t="n">
        <v>2193.4</v>
      </c>
      <c r="H65" s="18" t="n">
        <v>2874.15</v>
      </c>
      <c r="I65" s="18" t="n">
        <v>6289.85</v>
      </c>
      <c r="J65" s="18" t="n">
        <v>2560.97</v>
      </c>
      <c r="K65" s="34" t="n">
        <v>13918.37</v>
      </c>
      <c r="L65" s="18" t="n">
        <v>3108.41</v>
      </c>
      <c r="M65" s="18" t="n">
        <v>9789.23</v>
      </c>
      <c r="N65" s="18" t="n">
        <v>13049.01</v>
      </c>
      <c r="O65" s="18" t="n">
        <v>10932.93</v>
      </c>
      <c r="P65" s="34" t="n">
        <v>36879.58</v>
      </c>
      <c r="Q65" s="18" t="n">
        <v>11300.82</v>
      </c>
      <c r="R65" s="18" t="n">
        <v>4165.24</v>
      </c>
      <c r="S65" s="18" t="n">
        <v>11256.02</v>
      </c>
      <c r="T65" s="18" t="n">
        <v>24154.96</v>
      </c>
      <c r="U65" s="34" t="n">
        <v>50877.04</v>
      </c>
      <c r="V65" s="18" t="n">
        <v>13360.85</v>
      </c>
      <c r="W65" s="18" t="n">
        <v>12767.96</v>
      </c>
      <c r="X65" s="18" t="n">
        <v>26721.46</v>
      </c>
      <c r="Y65" s="18" t="n">
        <v>20229.61</v>
      </c>
      <c r="Z65" s="34" t="n">
        <v>73079.88</v>
      </c>
      <c r="AA65" s="18" t="n">
        <v>22358.75</v>
      </c>
      <c r="AB65" s="19" t="n">
        <v>36398.13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1440.64</v>
      </c>
      <c r="F66" s="9" t="n"/>
      <c r="G66" s="18" t="n">
        <v>1764.97</v>
      </c>
      <c r="H66" s="18" t="n">
        <v>1305.96</v>
      </c>
      <c r="I66" s="18" t="n">
        <v>1974.62</v>
      </c>
      <c r="J66" s="18" t="n">
        <v>451.04</v>
      </c>
      <c r="K66" s="34" t="n">
        <v>5496.59</v>
      </c>
      <c r="L66" s="18" t="n">
        <v>450.39</v>
      </c>
      <c r="M66" s="18" t="n">
        <v>1779.79</v>
      </c>
      <c r="N66" s="18" t="n">
        <v>3183.29</v>
      </c>
      <c r="O66" s="18" t="n">
        <v>2719.86</v>
      </c>
      <c r="P66" s="34" t="n">
        <v>8133.33</v>
      </c>
      <c r="Q66" s="18" t="n">
        <v>2608</v>
      </c>
      <c r="R66" s="18" t="n">
        <v>897.9299999999999</v>
      </c>
      <c r="S66" s="18" t="n">
        <v>2553.84</v>
      </c>
      <c r="T66" s="18" t="n">
        <v>5474.57</v>
      </c>
      <c r="U66" s="34" t="n">
        <v>11534.34</v>
      </c>
      <c r="V66" s="18" t="n">
        <v>4336.33</v>
      </c>
      <c r="W66" s="18" t="n">
        <v>1739.85</v>
      </c>
      <c r="X66" s="18" t="n">
        <v>6233.57</v>
      </c>
      <c r="Y66" s="18" t="n">
        <v>4886.91</v>
      </c>
      <c r="Z66" s="34" t="n">
        <v>17196.66</v>
      </c>
      <c r="AA66" s="18" t="n">
        <v>5236.16</v>
      </c>
      <c r="AB66" s="19" t="n">
        <v>9826.200000000001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5113.39</v>
      </c>
      <c r="F67" s="9" t="n"/>
      <c r="G67" s="18" t="n">
        <v>428.43</v>
      </c>
      <c r="H67" s="18" t="n">
        <v>1568.18</v>
      </c>
      <c r="I67" s="18" t="n">
        <v>4315.23</v>
      </c>
      <c r="J67" s="18" t="n">
        <v>2109.93</v>
      </c>
      <c r="K67" s="34" t="n">
        <v>8421.77</v>
      </c>
      <c r="L67" s="18" t="n">
        <v>2658.02</v>
      </c>
      <c r="M67" s="18" t="n">
        <v>8009.43</v>
      </c>
      <c r="N67" s="18" t="n">
        <v>9865.719999999999</v>
      </c>
      <c r="O67" s="18" t="n">
        <v>8213.059999999999</v>
      </c>
      <c r="P67" s="34" t="n">
        <v>28746.23</v>
      </c>
      <c r="Q67" s="18" t="n">
        <v>8692.83</v>
      </c>
      <c r="R67" s="18" t="n">
        <v>3267.31</v>
      </c>
      <c r="S67" s="18" t="n">
        <v>8702.190000000001</v>
      </c>
      <c r="T67" s="18" t="n">
        <v>18680.39</v>
      </c>
      <c r="U67" s="34" t="n">
        <v>39342.72</v>
      </c>
      <c r="V67" s="18" t="n">
        <v>9024.530000000001</v>
      </c>
      <c r="W67" s="18" t="n">
        <v>11028.11</v>
      </c>
      <c r="X67" s="18" t="n">
        <v>20487.89</v>
      </c>
      <c r="Y67" s="18" t="n">
        <v>15342.7</v>
      </c>
      <c r="Z67" s="34" t="n">
        <v>55883.23</v>
      </c>
      <c r="AA67" s="18" t="n">
        <v>17122.59</v>
      </c>
      <c r="AB67" s="19" t="n">
        <v>26571.93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5113.39</v>
      </c>
      <c r="F68" s="9" t="n"/>
      <c r="G68" s="18" t="n">
        <v>428.43</v>
      </c>
      <c r="H68" s="18" t="n">
        <v>1568.18</v>
      </c>
      <c r="I68" s="18" t="n">
        <v>4315.23</v>
      </c>
      <c r="J68" s="18" t="n">
        <v>2109.93</v>
      </c>
      <c r="K68" s="34" t="n">
        <v>8421.77</v>
      </c>
      <c r="L68" s="18" t="n">
        <v>2658.02</v>
      </c>
      <c r="M68" s="18" t="n">
        <v>8009.43</v>
      </c>
      <c r="N68" s="18" t="n">
        <v>9865.719999999999</v>
      </c>
      <c r="O68" s="18" t="n">
        <v>8213.059999999999</v>
      </c>
      <c r="P68" s="34" t="n">
        <v>28746.23</v>
      </c>
      <c r="Q68" s="18" t="n">
        <v>8692.83</v>
      </c>
      <c r="R68" s="18" t="n">
        <v>3267.31</v>
      </c>
      <c r="S68" s="18" t="n">
        <v>8702.190000000001</v>
      </c>
      <c r="T68" s="18" t="n">
        <v>18680.39</v>
      </c>
      <c r="U68" s="34" t="n">
        <v>39342.72</v>
      </c>
      <c r="V68" s="18" t="n">
        <v>9024.530000000001</v>
      </c>
      <c r="W68" s="18" t="n">
        <v>11028.11</v>
      </c>
      <c r="X68" s="18" t="n">
        <v>20487.89</v>
      </c>
      <c r="Y68" s="18" t="n">
        <v>15342.7</v>
      </c>
      <c r="Z68" s="34" t="n">
        <v>55883.23</v>
      </c>
      <c r="AA68" s="18" t="n">
        <v>17122.59</v>
      </c>
      <c r="AB68" s="19" t="n">
        <v>26571.93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4" t="n">
        <v>0</v>
      </c>
      <c r="L69" s="18" t="n">
        <v>0</v>
      </c>
      <c r="M69" s="18" t="n">
        <v>0</v>
      </c>
      <c r="N69" s="18" t="n">
        <v>0</v>
      </c>
      <c r="O69" s="18" t="n">
        <v>0</v>
      </c>
      <c r="P69" s="34" t="n">
        <v>0</v>
      </c>
      <c r="Q69" s="18" t="n">
        <v>0</v>
      </c>
      <c r="R69" s="18" t="n">
        <v>0</v>
      </c>
      <c r="S69" s="18" t="n">
        <v>0</v>
      </c>
      <c r="T69" s="18" t="n">
        <v>0</v>
      </c>
      <c r="U69" s="34" t="n">
        <v>0</v>
      </c>
      <c r="V69" s="18" t="n">
        <v>0</v>
      </c>
      <c r="W69" s="18" t="n">
        <v>0</v>
      </c>
      <c r="X69" s="18" t="n">
        <v>0</v>
      </c>
      <c r="Y69" s="18" t="n">
        <v>0</v>
      </c>
      <c r="Z69" s="34" t="n">
        <v>0</v>
      </c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5131.3</v>
      </c>
      <c r="F70" s="9" t="n"/>
      <c r="G70" s="18" t="n">
        <v>-12.23</v>
      </c>
      <c r="H70" s="18" t="n">
        <v>1916.84</v>
      </c>
      <c r="I70" s="18" t="n">
        <v>4239.56</v>
      </c>
      <c r="J70" s="18" t="n">
        <v>2889.55</v>
      </c>
      <c r="K70" s="34" t="n">
        <v>9033.719999999999</v>
      </c>
      <c r="L70" s="18" t="n">
        <v>2656.65</v>
      </c>
      <c r="M70" s="18" t="n">
        <v>7924.02</v>
      </c>
      <c r="N70" s="18" t="n">
        <v>9812.07</v>
      </c>
      <c r="O70" s="18" t="n">
        <v>7783.03</v>
      </c>
      <c r="P70" s="34" t="n">
        <v>28175.77</v>
      </c>
      <c r="Q70" s="18" t="n">
        <v>8719.030000000001</v>
      </c>
      <c r="R70" s="18" t="n">
        <v>3299.92</v>
      </c>
      <c r="S70" s="18" t="n">
        <v>8552.01</v>
      </c>
      <c r="T70" s="18" t="n">
        <v>18139.38</v>
      </c>
      <c r="U70" s="34" t="n">
        <v>38710.34</v>
      </c>
      <c r="V70" s="18" t="n">
        <v>9004.43</v>
      </c>
      <c r="W70" s="18" t="n">
        <v>10828.6</v>
      </c>
      <c r="X70" s="18" t="n">
        <v>20523.05</v>
      </c>
      <c r="Y70" s="18" t="n">
        <v>14853.74</v>
      </c>
      <c r="Z70" s="34" t="n">
        <v>55209.82</v>
      </c>
      <c r="AA70" s="18" t="n">
        <v>17120.93</v>
      </c>
      <c r="AB70" s="19" t="n">
        <v>26540.95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-818.33</v>
      </c>
      <c r="F71" s="9" t="n"/>
      <c r="G71" s="18" t="n">
        <v>-361.47</v>
      </c>
      <c r="H71" s="18" t="n">
        <v>-480.26</v>
      </c>
      <c r="I71" s="18" t="n">
        <v>-647.64</v>
      </c>
      <c r="J71" s="18" t="n">
        <v>-862.0599999999999</v>
      </c>
      <c r="K71" s="34" t="n">
        <v>-2351.43</v>
      </c>
      <c r="L71" s="18" t="n">
        <v>-823.52</v>
      </c>
      <c r="M71" s="18" t="n">
        <v>-1239.4</v>
      </c>
      <c r="N71" s="18" t="n">
        <v>-1040.56</v>
      </c>
      <c r="O71" s="18" t="n">
        <v>-903.96</v>
      </c>
      <c r="P71" s="34" t="n">
        <v>-4007.44</v>
      </c>
      <c r="Q71" s="18" t="n">
        <v>-385.89</v>
      </c>
      <c r="R71" s="18" t="n">
        <v>-326.54</v>
      </c>
      <c r="S71" s="18" t="n">
        <v>-370.3</v>
      </c>
      <c r="T71" s="18" t="n">
        <v>-311.63</v>
      </c>
      <c r="U71" s="34" t="n">
        <v>-1394.36</v>
      </c>
      <c r="V71" s="18" t="n">
        <v>108.9</v>
      </c>
      <c r="W71" s="18" t="n">
        <v>275.98</v>
      </c>
      <c r="X71" s="18" t="n">
        <v>514.3</v>
      </c>
      <c r="Y71" s="18" t="n">
        <v>435.02</v>
      </c>
      <c r="Z71" s="34" t="n">
        <v>1334.2</v>
      </c>
      <c r="AA71" s="18" t="n">
        <v>217.73</v>
      </c>
      <c r="AB71" s="19" t="n">
        <v>223.32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5113.39</v>
      </c>
      <c r="F72" s="9" t="n"/>
      <c r="G72" s="18" t="n">
        <v>428.43</v>
      </c>
      <c r="H72" s="18" t="n">
        <v>1568.18</v>
      </c>
      <c r="I72" s="18" t="n">
        <v>4315.23</v>
      </c>
      <c r="J72" s="18" t="n">
        <v>2109.93</v>
      </c>
      <c r="K72" s="34" t="n">
        <v>8421.77</v>
      </c>
      <c r="L72" s="18" t="n">
        <v>2658.02</v>
      </c>
      <c r="M72" s="18" t="n">
        <v>8009.43</v>
      </c>
      <c r="N72" s="18" t="n">
        <v>9865.719999999999</v>
      </c>
      <c r="O72" s="18" t="n">
        <v>8213.059999999999</v>
      </c>
      <c r="P72" s="34" t="n">
        <v>28746.23</v>
      </c>
      <c r="Q72" s="18" t="n">
        <v>8692.83</v>
      </c>
      <c r="R72" s="18" t="n">
        <v>3267.31</v>
      </c>
      <c r="S72" s="18" t="n">
        <v>8702.190000000001</v>
      </c>
      <c r="T72" s="18" t="n">
        <v>18680.39</v>
      </c>
      <c r="U72" s="34" t="n">
        <v>39342.72</v>
      </c>
      <c r="V72" s="18" t="n">
        <v>9024.530000000001</v>
      </c>
      <c r="W72" s="18" t="n">
        <v>11028.11</v>
      </c>
      <c r="X72" s="18" t="n">
        <v>20487.89</v>
      </c>
      <c r="Y72" s="18" t="n">
        <v>15342.7</v>
      </c>
      <c r="Z72" s="34" t="n">
        <v>55883.23</v>
      </c>
      <c r="AA72" s="18" t="n">
        <v>17122.59</v>
      </c>
      <c r="AB72" s="19" t="n">
        <v>26571.93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-7634.12</v>
      </c>
      <c r="F73" s="9" t="n"/>
      <c r="G73" s="18" t="n">
        <v>-9044.700000000001</v>
      </c>
      <c r="H73" s="18" t="n">
        <v>696.74</v>
      </c>
      <c r="I73" s="18" t="n">
        <v>-17950.57</v>
      </c>
      <c r="J73" s="18" t="n">
        <v>36027.27</v>
      </c>
      <c r="K73" s="34" t="n">
        <v>9728.74</v>
      </c>
      <c r="L73" s="18" t="n">
        <v>-30135.25</v>
      </c>
      <c r="M73" s="18" t="n">
        <v>27647.22</v>
      </c>
      <c r="N73" s="18" t="n">
        <v>39950.73</v>
      </c>
      <c r="O73" s="18" t="n">
        <v>27262.16</v>
      </c>
      <c r="P73" s="34" t="n">
        <v>64724.86</v>
      </c>
      <c r="Q73" s="18" t="n">
        <v>8634.66</v>
      </c>
      <c r="R73" s="18" t="n">
        <v>13656.3</v>
      </c>
      <c r="S73" s="18" t="n">
        <v>-3714.47</v>
      </c>
      <c r="T73" s="18" t="n">
        <v>49001.79</v>
      </c>
      <c r="U73" s="34" t="n">
        <v>67578.28</v>
      </c>
      <c r="V73" s="18" t="n">
        <v>41915.38</v>
      </c>
      <c r="W73" s="18" t="n">
        <v>30364.17</v>
      </c>
      <c r="X73" s="18" t="n">
        <v>13032.81</v>
      </c>
      <c r="Y73" s="18" t="n">
        <v>-610.25</v>
      </c>
      <c r="Z73" s="34" t="n">
        <v>84702.11</v>
      </c>
      <c r="AA73" s="18" t="n">
        <v>-2993.53</v>
      </c>
      <c r="AB73" s="19" t="n">
        <v>-14401.53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G74" s="18" t="n">
        <v>3.56</v>
      </c>
      <c r="H74" s="18" t="n">
        <v>0</v>
      </c>
      <c r="I74" s="18" t="n">
        <v>0</v>
      </c>
      <c r="J74" s="18" t="n">
        <v>0</v>
      </c>
      <c r="K74" s="34" t="n">
        <v>3.56</v>
      </c>
      <c r="L74" s="18" t="n">
        <v>0</v>
      </c>
      <c r="M74" s="18" t="n">
        <v>1.62</v>
      </c>
      <c r="N74" s="18" t="n">
        <v>0</v>
      </c>
      <c r="O74" s="18" t="n">
        <v>0</v>
      </c>
      <c r="P74" s="34" t="n">
        <v>1.62</v>
      </c>
      <c r="Q74" s="18" t="n">
        <v>0</v>
      </c>
      <c r="R74" s="18" t="n">
        <v>2.67</v>
      </c>
      <c r="S74" s="18" t="n">
        <v>0</v>
      </c>
      <c r="T74" s="18" t="n">
        <v>0</v>
      </c>
      <c r="U74" s="34" t="n">
        <v>2.67</v>
      </c>
      <c r="V74" s="18" t="n">
        <v>0</v>
      </c>
      <c r="W74" s="18" t="n">
        <v>3.24</v>
      </c>
      <c r="X74" s="18" t="n">
        <v>0</v>
      </c>
      <c r="Y74" s="18" t="n">
        <v>0</v>
      </c>
      <c r="Z74" s="34" t="n">
        <v>3.24</v>
      </c>
      <c r="AA74" s="18" t="n">
        <v>0</v>
      </c>
      <c r="AB74" s="19" t="n">
        <v>2.43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-643.12</v>
      </c>
      <c r="F75" s="9" t="n"/>
      <c r="G75" s="18" t="n">
        <v>-2880.34</v>
      </c>
      <c r="H75" s="18" t="n">
        <v>-3518.62</v>
      </c>
      <c r="I75" s="18" t="n">
        <v>-3197.62</v>
      </c>
      <c r="J75" s="18" t="n">
        <v>-4.12</v>
      </c>
      <c r="K75" s="34" t="n">
        <v>-9600.700000000001</v>
      </c>
      <c r="L75" s="18" t="n">
        <v>-616.28</v>
      </c>
      <c r="M75" s="18" t="n">
        <v>-954.63</v>
      </c>
      <c r="N75" s="18" t="n">
        <v>0</v>
      </c>
      <c r="O75" s="18" t="n">
        <v>-1918.69</v>
      </c>
      <c r="P75" s="34" t="n">
        <v>-3489.6</v>
      </c>
      <c r="Q75" s="18" t="n">
        <v>-33.15</v>
      </c>
      <c r="R75" s="18" t="n">
        <v>-5328.67</v>
      </c>
      <c r="S75" s="18" t="n">
        <v>-3089.53</v>
      </c>
      <c r="T75" s="18" t="n">
        <v>-18.5</v>
      </c>
      <c r="U75" s="34" t="n">
        <v>-8469.85</v>
      </c>
      <c r="V75" s="18" t="n">
        <v>-3716.25</v>
      </c>
      <c r="W75" s="18" t="n">
        <v>-4744.94</v>
      </c>
      <c r="X75" s="18" t="n">
        <v>-3201.4</v>
      </c>
      <c r="Y75" s="18" t="n">
        <v>-2610.88</v>
      </c>
      <c r="Z75" s="34" t="n">
        <v>-14273.47</v>
      </c>
      <c r="AA75" s="18" t="n">
        <v>-5943.64</v>
      </c>
      <c r="AB75" s="19" t="n">
        <v>-8186.49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-1518.91</v>
      </c>
      <c r="F76" s="9" t="n"/>
      <c r="G76" s="18" t="n">
        <v>-620.21</v>
      </c>
      <c r="H76" s="18" t="n">
        <v>-1080.64</v>
      </c>
      <c r="I76" s="18" t="n">
        <v>-1806.67</v>
      </c>
      <c r="J76" s="18" t="n">
        <v>-912.88</v>
      </c>
      <c r="K76" s="34" t="n">
        <v>-4420.4</v>
      </c>
      <c r="L76" s="18" t="n">
        <v>-2218.2</v>
      </c>
      <c r="M76" s="18" t="n">
        <v>-5919.2</v>
      </c>
      <c r="N76" s="18" t="n">
        <v>-2915.33</v>
      </c>
      <c r="O76" s="18" t="n">
        <v>-5917.95</v>
      </c>
      <c r="P76" s="34" t="n">
        <v>-16970.68</v>
      </c>
      <c r="Q76" s="18" t="n">
        <v>-7725.9</v>
      </c>
      <c r="R76" s="18" t="n">
        <v>-5465.84</v>
      </c>
      <c r="S76" s="18" t="n">
        <v>-8498.440000000001</v>
      </c>
      <c r="T76" s="18" t="n">
        <v>-147.35</v>
      </c>
      <c r="U76" s="34" t="n">
        <v>-21837.53</v>
      </c>
      <c r="V76" s="18" t="n">
        <v>-5116.68</v>
      </c>
      <c r="W76" s="18" t="n">
        <v>-5988</v>
      </c>
      <c r="X76" s="18" t="n">
        <v>-22635.28</v>
      </c>
      <c r="Y76" s="18" t="n">
        <v>-2587.05</v>
      </c>
      <c r="Z76" s="34" t="n">
        <v>-36327.01</v>
      </c>
      <c r="AA76" s="18" t="n">
        <v>9384.27</v>
      </c>
      <c r="AB76" s="19" t="n">
        <v>-1675.19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유형자산의감소</t>
        </is>
      </c>
      <c r="E77" s="18" t="n">
        <v>144.85</v>
      </c>
      <c r="F77" s="9" t="n"/>
      <c r="G77" s="18" t="n">
        <v>23.83</v>
      </c>
      <c r="H77" s="18" t="n">
        <v>8.18</v>
      </c>
      <c r="I77" s="18" t="n">
        <v>9.949999999999999</v>
      </c>
      <c r="K77" s="9" t="n"/>
      <c r="L77" s="18" t="n">
        <v>0</v>
      </c>
      <c r="M77" s="18" t="n">
        <v>0.7</v>
      </c>
      <c r="N77" s="18" t="n">
        <v>127.24</v>
      </c>
      <c r="O77" s="18" t="n">
        <v>15502.39</v>
      </c>
      <c r="P77" s="34" t="n">
        <v>15630.33</v>
      </c>
      <c r="Q77" s="18" t="n">
        <v>5.54</v>
      </c>
      <c r="R77" s="18" t="n">
        <v>3.01</v>
      </c>
      <c r="S77" s="18" t="n">
        <v>0</v>
      </c>
      <c r="T77" s="18" t="n">
        <v>5.03</v>
      </c>
      <c r="U77" s="34" t="n">
        <v>13.58</v>
      </c>
      <c r="V77" s="18" t="n">
        <v>1.4</v>
      </c>
      <c r="W77" s="18" t="n">
        <v>2.73</v>
      </c>
      <c r="X77" s="18" t="n">
        <v>20.49</v>
      </c>
      <c r="Y77" s="18" t="n">
        <v>3.18</v>
      </c>
      <c r="Z77" s="34" t="n">
        <v>27.8</v>
      </c>
      <c r="AA77" s="18" t="n">
        <v>144.68</v>
      </c>
      <c r="AB77" s="19" t="n">
        <v>5.56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970.02</v>
      </c>
      <c r="F78" s="9" t="n"/>
      <c r="G78" s="18" t="n">
        <v>980.91</v>
      </c>
      <c r="H78" s="18" t="n">
        <v>1094.2</v>
      </c>
      <c r="I78" s="18" t="n">
        <v>1821.14</v>
      </c>
      <c r="J78" s="18" t="n">
        <v>828.88</v>
      </c>
      <c r="K78" s="34" t="n">
        <v>4725.13</v>
      </c>
      <c r="L78" s="18" t="n">
        <v>1580.9</v>
      </c>
      <c r="M78" s="18" t="n">
        <v>6545.13</v>
      </c>
      <c r="N78" s="18" t="n">
        <v>2110.67</v>
      </c>
      <c r="P78" s="9" t="n"/>
      <c r="Q78" s="18" t="n">
        <v>7129.45</v>
      </c>
      <c r="R78" s="18" t="n">
        <v>5493.54</v>
      </c>
      <c r="S78" s="18" t="n">
        <v>8464.75</v>
      </c>
      <c r="T78" s="18" t="n">
        <v>2156.34</v>
      </c>
      <c r="U78" s="34" t="n">
        <v>23244.08</v>
      </c>
      <c r="V78" s="18" t="n">
        <v>5186.7</v>
      </c>
      <c r="W78" s="18" t="n">
        <v>6164.93</v>
      </c>
      <c r="X78" s="18" t="n">
        <v>2111.73</v>
      </c>
      <c r="Y78" s="18" t="n">
        <v>2175.51</v>
      </c>
      <c r="Z78" s="34" t="n">
        <v>15638.87</v>
      </c>
      <c r="AA78" s="18" t="n">
        <v>1004.46</v>
      </c>
      <c r="AB78" s="19" t="n">
        <v>1231.16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973.12</v>
      </c>
      <c r="F79" s="9" t="n"/>
      <c r="G79" s="18" t="n">
        <v>986.91</v>
      </c>
      <c r="H79" s="18" t="n">
        <v>1094.2</v>
      </c>
      <c r="I79" s="18" t="n">
        <v>1821.14</v>
      </c>
      <c r="J79" s="18" t="n">
        <v>829.73</v>
      </c>
      <c r="K79" s="34" t="n">
        <v>4731.98</v>
      </c>
      <c r="L79" s="18" t="n">
        <v>1580.9</v>
      </c>
      <c r="M79" s="18" t="n">
        <v>6545.13</v>
      </c>
      <c r="N79" s="18" t="n">
        <v>2302.44</v>
      </c>
      <c r="P79" s="9" t="n"/>
      <c r="Q79" s="18" t="n">
        <v>7362.5</v>
      </c>
      <c r="R79" s="18" t="n">
        <v>5498.1</v>
      </c>
      <c r="S79" s="18" t="n">
        <v>8510.91</v>
      </c>
      <c r="T79" s="18" t="n">
        <v>2168.84</v>
      </c>
      <c r="U79" s="34" t="n">
        <v>23540.35</v>
      </c>
      <c r="V79" s="18" t="n">
        <v>5221.46</v>
      </c>
      <c r="W79" s="18" t="n">
        <v>6239.03</v>
      </c>
      <c r="X79" s="18" t="n">
        <v>2448.75</v>
      </c>
      <c r="Y79" s="18" t="n">
        <v>2230.42</v>
      </c>
      <c r="Z79" s="34" t="n">
        <v>16139.66</v>
      </c>
      <c r="AA79" s="18" t="n">
        <v>1175.61</v>
      </c>
      <c r="AB79" s="19" t="n">
        <v>1289.68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4" t="n">
        <v>0</v>
      </c>
      <c r="L80" s="18" t="n">
        <v>0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4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3.1</v>
      </c>
      <c r="F81" s="9" t="n"/>
      <c r="G81" s="18" t="n">
        <v>6</v>
      </c>
      <c r="H81" s="18" t="n">
        <v>0</v>
      </c>
      <c r="I81" s="18" t="n">
        <v>0</v>
      </c>
      <c r="J81" s="18" t="n">
        <v>0.85</v>
      </c>
      <c r="K81" s="34" t="n">
        <v>6.85</v>
      </c>
      <c r="L81" s="18" t="n">
        <v>0</v>
      </c>
      <c r="M81" s="18" t="n">
        <v>0</v>
      </c>
      <c r="N81" s="18" t="n">
        <v>191.77</v>
      </c>
      <c r="P81" s="9" t="n"/>
      <c r="Q81" s="18" t="n">
        <v>233.05</v>
      </c>
      <c r="R81" s="18" t="n">
        <v>4.56</v>
      </c>
      <c r="S81" s="18" t="n">
        <v>46.16</v>
      </c>
      <c r="T81" s="18" t="n">
        <v>12.5</v>
      </c>
      <c r="U81" s="34" t="n">
        <v>296.27</v>
      </c>
      <c r="V81" s="18" t="n">
        <v>34.76</v>
      </c>
      <c r="W81" s="18" t="n">
        <v>74.09999999999999</v>
      </c>
      <c r="X81" s="18" t="n">
        <v>337.02</v>
      </c>
      <c r="Y81" s="18" t="n">
        <v>54.91</v>
      </c>
      <c r="Z81" s="34" t="n">
        <v>500.79</v>
      </c>
      <c r="AA81" s="18" t="n">
        <v>171.15</v>
      </c>
      <c r="AB81" s="19" t="n">
        <v>58.52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10432.51</v>
      </c>
      <c r="F82" s="9" t="n"/>
      <c r="G82" s="18" t="n">
        <v>54.23</v>
      </c>
      <c r="H82" s="18" t="n">
        <v>1154.53</v>
      </c>
      <c r="I82" s="18" t="n">
        <v>11035.93</v>
      </c>
      <c r="J82" s="18" t="n">
        <v>-12765.29</v>
      </c>
      <c r="K82" s="34" t="n">
        <v>-520.6</v>
      </c>
      <c r="L82" s="18" t="n">
        <v>14304.91</v>
      </c>
      <c r="M82" s="18" t="n">
        <v>3288.47</v>
      </c>
      <c r="N82" s="18" t="n">
        <v>-8265.360000000001</v>
      </c>
      <c r="O82" s="18" t="n">
        <v>-57162.07</v>
      </c>
      <c r="P82" s="34" t="n">
        <v>-47834.05</v>
      </c>
      <c r="Q82" s="18" t="n">
        <v>1326.76</v>
      </c>
      <c r="R82" s="18" t="n">
        <v>-8209.24</v>
      </c>
      <c r="S82" s="18" t="n">
        <v>-2816.15</v>
      </c>
      <c r="T82" s="18" t="n">
        <v>-5897.22</v>
      </c>
      <c r="U82" s="34" t="n">
        <v>-15595.85</v>
      </c>
      <c r="V82" s="18" t="n">
        <v>-396.91</v>
      </c>
      <c r="W82" s="18" t="n">
        <v>-21811.53</v>
      </c>
      <c r="X82" s="18" t="n">
        <v>-1034.75</v>
      </c>
      <c r="Y82" s="18" t="n">
        <v>-1158.71</v>
      </c>
      <c r="Z82" s="34" t="n">
        <v>-24401.9</v>
      </c>
      <c r="AA82" s="18" t="n">
        <v>-8178.71</v>
      </c>
      <c r="AB82" s="19" t="n">
        <v>-13006.45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42678.14</v>
      </c>
      <c r="F83" s="9" t="n"/>
      <c r="G83" s="18" t="n">
        <v>16474.12</v>
      </c>
      <c r="H83" s="18" t="n">
        <v>52050.46</v>
      </c>
      <c r="I83" s="18" t="n">
        <v>31230.73</v>
      </c>
      <c r="J83" s="18" t="n">
        <v>19353.74</v>
      </c>
      <c r="K83" s="34" t="n">
        <v>119109.05</v>
      </c>
      <c r="L83" s="18" t="n">
        <v>31490.72</v>
      </c>
      <c r="M83" s="18" t="n">
        <v>27954.36</v>
      </c>
      <c r="N83" s="18" t="n">
        <v>13142.11</v>
      </c>
      <c r="O83" s="18" t="n">
        <v>36612.62</v>
      </c>
      <c r="P83" s="34" t="n">
        <v>109199.81</v>
      </c>
      <c r="Q83" s="18" t="n">
        <v>17605.53</v>
      </c>
      <c r="R83" s="18" t="n">
        <v>7003.97</v>
      </c>
      <c r="S83" s="18" t="n">
        <v>6589.18</v>
      </c>
      <c r="T83" s="18" t="n">
        <v>0</v>
      </c>
      <c r="U83" s="34" t="n">
        <v>31198.68</v>
      </c>
      <c r="V83" s="18" t="n">
        <v>7215</v>
      </c>
      <c r="W83" s="18" t="n">
        <v>0</v>
      </c>
      <c r="X83" s="18" t="n">
        <v>0</v>
      </c>
      <c r="Y83" s="18" t="n">
        <v>0</v>
      </c>
      <c r="Z83" s="34" t="n">
        <v>7215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31421.71</v>
      </c>
      <c r="F84" s="9" t="n"/>
      <c r="G84" s="18" t="n">
        <v>15428.27</v>
      </c>
      <c r="H84" s="18" t="n">
        <v>40101.21</v>
      </c>
      <c r="I84" s="18" t="n">
        <v>20094.12</v>
      </c>
      <c r="J84" s="18" t="n">
        <v>32046.25</v>
      </c>
      <c r="K84" s="34" t="n">
        <v>107669.85</v>
      </c>
      <c r="L84" s="18" t="n">
        <v>17126.52</v>
      </c>
      <c r="M84" s="18" t="n">
        <v>12960.26</v>
      </c>
      <c r="N84" s="18" t="n">
        <v>20543.06</v>
      </c>
      <c r="O84" s="18" t="n">
        <v>93110.72</v>
      </c>
      <c r="P84" s="34" t="n">
        <v>143740.56</v>
      </c>
      <c r="Q84" s="18" t="n">
        <v>15447</v>
      </c>
      <c r="R84" s="18" t="n">
        <v>7083.57</v>
      </c>
      <c r="S84" s="18" t="n">
        <v>8530.219999999999</v>
      </c>
      <c r="T84" s="18" t="n">
        <v>5000</v>
      </c>
      <c r="U84" s="34" t="n">
        <v>36060.79</v>
      </c>
      <c r="V84" s="18" t="n">
        <v>6664.5</v>
      </c>
      <c r="W84" s="18" t="n">
        <v>10685.5</v>
      </c>
      <c r="X84" s="18" t="n">
        <v>0</v>
      </c>
      <c r="Y84" s="18" t="n">
        <v>0</v>
      </c>
      <c r="Z84" s="34" t="n">
        <v>17350</v>
      </c>
      <c r="AA84" s="18" t="n">
        <v>7174.5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4" t="n">
        <v>0</v>
      </c>
      <c r="L85" s="18" t="n">
        <v>0</v>
      </c>
      <c r="P85" s="9" t="n"/>
      <c r="Q85" s="18" t="n">
        <v>0</v>
      </c>
      <c r="R85" s="18" t="n">
        <v>0</v>
      </c>
      <c r="S85" s="18" t="n">
        <v>0</v>
      </c>
      <c r="T85" s="18" t="n">
        <v>0</v>
      </c>
      <c r="U85" s="34" t="n">
        <v>0</v>
      </c>
      <c r="V85" s="18" t="n">
        <v>0</v>
      </c>
      <c r="W85" s="18" t="n">
        <v>0</v>
      </c>
      <c r="X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장기차입금의감소</t>
        </is>
      </c>
      <c r="E86" s="18" t="n">
        <v>882.08</v>
      </c>
      <c r="F86" s="9" t="n"/>
      <c r="G86" s="18" t="n">
        <v>889.12</v>
      </c>
      <c r="H86" s="18" t="n">
        <v>889.13</v>
      </c>
      <c r="I86" s="18" t="n">
        <v>0</v>
      </c>
      <c r="J86" s="18" t="n">
        <v>0</v>
      </c>
      <c r="K86" s="34" t="n">
        <v>1778.25</v>
      </c>
      <c r="L86" s="18" t="n">
        <v>0</v>
      </c>
      <c r="M86" s="18" t="n">
        <v>0</v>
      </c>
      <c r="N86" s="18" t="n">
        <v>0</v>
      </c>
      <c r="O86" s="18" t="n">
        <v>0</v>
      </c>
      <c r="P86" s="34" t="n">
        <v>0</v>
      </c>
      <c r="Q86" s="18" t="n">
        <v>0</v>
      </c>
      <c r="R86" s="18" t="n">
        <v>0</v>
      </c>
      <c r="S86" s="18" t="n">
        <v>0</v>
      </c>
      <c r="T86" s="18" t="n">
        <v>0</v>
      </c>
      <c r="U86" s="34" t="n">
        <v>0</v>
      </c>
      <c r="V86" s="18" t="n">
        <v>0</v>
      </c>
      <c r="W86" s="18" t="n">
        <v>0</v>
      </c>
      <c r="X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자기주식의취득</t>
        </is>
      </c>
      <c r="E87" s="18" t="n">
        <v>0</v>
      </c>
      <c r="F87" s="9" t="n"/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N88" s="18" t="n">
        <v>0</v>
      </c>
      <c r="O88" s="18" t="n">
        <v>0</v>
      </c>
      <c r="P88" s="9" t="n"/>
      <c r="Q88" s="18" t="n">
        <v>0</v>
      </c>
      <c r="R88" s="18" t="n">
        <v>7258.28</v>
      </c>
      <c r="S88" s="18" t="n">
        <v>0</v>
      </c>
      <c r="T88" s="18" t="n">
        <v>0</v>
      </c>
      <c r="U88" s="34" t="n">
        <v>7258.28</v>
      </c>
      <c r="V88" s="18" t="n">
        <v>0</v>
      </c>
      <c r="W88" s="18" t="n">
        <v>10161.6</v>
      </c>
      <c r="X88" s="18" t="n">
        <v>0</v>
      </c>
      <c r="Y88" s="18" t="n">
        <v>0</v>
      </c>
      <c r="Z88" s="34" t="n">
        <v>10161.6</v>
      </c>
      <c r="AA88" s="18" t="n">
        <v>0</v>
      </c>
      <c r="AB88" s="19" t="n">
        <v>11973.25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2183.17</v>
      </c>
      <c r="F89" s="9" t="n"/>
      <c r="G89" s="18" t="n">
        <v>-19398.2</v>
      </c>
      <c r="H89" s="18" t="n">
        <v>1735.6</v>
      </c>
      <c r="I89" s="18" t="n">
        <v>-16965.87</v>
      </c>
      <c r="J89" s="18" t="n">
        <v>43372.54</v>
      </c>
      <c r="K89" s="34" t="n">
        <v>8744.07</v>
      </c>
      <c r="L89" s="18" t="n">
        <v>-36098.53</v>
      </c>
      <c r="M89" s="18" t="n">
        <v>50346.11</v>
      </c>
      <c r="N89" s="18" t="n">
        <v>59796.27</v>
      </c>
      <c r="O89" s="18" t="n">
        <v>-74335.61</v>
      </c>
      <c r="P89" s="34" t="n">
        <v>-291.76</v>
      </c>
      <c r="Q89" s="18" t="n">
        <v>4748.49</v>
      </c>
      <c r="R89" s="18" t="n">
        <v>-11.38</v>
      </c>
      <c r="S89" s="18" t="n">
        <v>-30481.65</v>
      </c>
      <c r="T89" s="18" t="n">
        <v>86347.23</v>
      </c>
      <c r="U89" s="34" t="n">
        <v>60602.69</v>
      </c>
      <c r="V89" s="18" t="n">
        <v>72850.35000000001</v>
      </c>
      <c r="W89" s="18" t="n">
        <v>2083.98</v>
      </c>
      <c r="X89" s="18" t="n">
        <v>-18215.83</v>
      </c>
      <c r="Y89" s="18" t="n">
        <v>-33264.62</v>
      </c>
      <c r="Z89" s="34" t="n">
        <v>23453.88</v>
      </c>
      <c r="AA89" s="18" t="n">
        <v>-1678.32</v>
      </c>
      <c r="AB89" s="19" t="n">
        <v>-29009.86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903.67</v>
      </c>
      <c r="F90" s="9" t="n"/>
      <c r="G90" s="18" t="n">
        <v>13402.22</v>
      </c>
      <c r="H90" s="18" t="n">
        <v>964.96</v>
      </c>
      <c r="I90" s="18" t="n">
        <v>-8244.559999999999</v>
      </c>
      <c r="J90" s="18" t="n">
        <v>21023.45</v>
      </c>
      <c r="K90" s="34" t="n">
        <v>27146.07</v>
      </c>
      <c r="L90" s="18" t="n">
        <v>9096.08</v>
      </c>
      <c r="M90" s="18" t="n">
        <v>25329.62</v>
      </c>
      <c r="N90" s="18" t="n">
        <v>31026.23</v>
      </c>
      <c r="O90" s="18" t="n">
        <v>-38517.74</v>
      </c>
      <c r="P90" s="34" t="n">
        <v>26934.19</v>
      </c>
      <c r="Q90" s="18" t="n">
        <v>29447.16</v>
      </c>
      <c r="R90" s="18" t="n">
        <v>7.4</v>
      </c>
      <c r="S90" s="18" t="n">
        <v>-15452.59</v>
      </c>
      <c r="T90" s="18" t="n">
        <v>43390.02</v>
      </c>
      <c r="U90" s="34" t="n">
        <v>57391.99</v>
      </c>
      <c r="V90" s="18" t="n">
        <v>93840.55</v>
      </c>
      <c r="W90" s="18" t="n">
        <v>-480.67</v>
      </c>
      <c r="X90" s="18" t="n">
        <v>-7578.6</v>
      </c>
      <c r="Y90" s="18" t="n">
        <v>-4935.41</v>
      </c>
      <c r="Z90" s="34" t="n">
        <v>80845.87</v>
      </c>
      <c r="AA90" s="18" t="n">
        <v>79167.55</v>
      </c>
      <c r="AB90" s="19" t="n">
        <v>-29009.86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F91" s="9" t="n"/>
      <c r="I91" s="18" t="n">
        <v>100.69</v>
      </c>
      <c r="K91" s="9" t="n"/>
      <c r="N91" s="18" t="n">
        <v>864.41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P92" s="9" t="n"/>
      <c r="Q92" s="18" t="n">
        <v>239.47</v>
      </c>
      <c r="R92" s="18" t="n">
        <v>302.05</v>
      </c>
      <c r="S92" s="18" t="n">
        <v>210.99</v>
      </c>
      <c r="U92" s="9" t="n"/>
      <c r="V92" s="18" t="n">
        <v>344.83</v>
      </c>
      <c r="W92" s="18" t="n">
        <v>451.89</v>
      </c>
      <c r="X92" s="18" t="n">
        <v>617.53</v>
      </c>
      <c r="Y92" s="18" t="n">
        <v>371.24</v>
      </c>
      <c r="Z92" s="34" t="n">
        <v>1785.49</v>
      </c>
      <c r="AA92" s="18" t="n">
        <v>395.18</v>
      </c>
      <c r="AB92" s="19" t="n">
        <v>271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이자지급(CF)</t>
        </is>
      </c>
      <c r="F93" s="9" t="n"/>
      <c r="K93" s="9" t="n"/>
      <c r="P93" s="9" t="n"/>
      <c r="Q93" s="18" t="n">
        <v>-385.21</v>
      </c>
      <c r="R93" s="18" t="n">
        <v>-382.75</v>
      </c>
      <c r="U93" s="9" t="n"/>
      <c r="Z93" s="9" t="n"/>
      <c r="AA93" s="18" t="n">
        <v>-164.22</v>
      </c>
      <c r="AB93" s="19" t="n">
        <v>-113.25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동성화인텍(별)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177668.32</v>
      </c>
      <c r="F5" s="34" t="n">
        <v>177668.32</v>
      </c>
      <c r="G5" s="18" t="n">
        <v>171704.98</v>
      </c>
      <c r="H5" s="18" t="n">
        <v>186113.64</v>
      </c>
      <c r="I5" s="18" t="n">
        <v>219472.89</v>
      </c>
      <c r="J5" s="18" t="n">
        <v>225837.31</v>
      </c>
      <c r="K5" s="34" t="n">
        <v>225837.31</v>
      </c>
      <c r="L5" s="18" t="n">
        <v>239408.3</v>
      </c>
      <c r="M5" s="18" t="n">
        <v>247035.04</v>
      </c>
      <c r="N5" s="18" t="n">
        <v>269598.41</v>
      </c>
      <c r="O5" s="18" t="n">
        <v>227702.64</v>
      </c>
      <c r="P5" s="34" t="n">
        <v>227702.64</v>
      </c>
      <c r="Q5" s="18" t="n">
        <v>228590.7</v>
      </c>
      <c r="R5" s="18" t="n">
        <v>225982.18</v>
      </c>
      <c r="S5" s="18" t="n">
        <v>229995.14</v>
      </c>
      <c r="T5" s="18" t="n">
        <v>304929.1</v>
      </c>
      <c r="U5" s="34" t="n">
        <v>304929.1</v>
      </c>
      <c r="V5" s="18" t="n">
        <v>327632.23</v>
      </c>
      <c r="W5" s="18" t="n">
        <v>323388.06</v>
      </c>
      <c r="X5" s="18" t="n">
        <v>331738.61</v>
      </c>
      <c r="Y5" s="18" t="n">
        <v>341562.58</v>
      </c>
      <c r="Z5" s="34" t="n">
        <v>341562.58</v>
      </c>
      <c r="AA5" s="18" t="n">
        <v>331762.94</v>
      </c>
      <c r="AB5" s="19" t="n">
        <v>351405.24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22934.77</v>
      </c>
      <c r="F6" s="34" t="n">
        <v>22934.77</v>
      </c>
      <c r="G6" s="18" t="n">
        <v>13271.54</v>
      </c>
      <c r="H6" s="18" t="n">
        <v>14300.7</v>
      </c>
      <c r="I6" s="18" t="n">
        <v>6068.43</v>
      </c>
      <c r="J6" s="18" t="n">
        <v>27137.81</v>
      </c>
      <c r="K6" s="34" t="n">
        <v>27137.81</v>
      </c>
      <c r="L6" s="18" t="n">
        <v>7020.91</v>
      </c>
      <c r="M6" s="18" t="n">
        <v>32326.99</v>
      </c>
      <c r="N6" s="18" t="n">
        <v>63280.99</v>
      </c>
      <c r="O6" s="18" t="n">
        <v>24868.51</v>
      </c>
      <c r="P6" s="34" t="n">
        <v>24868.51</v>
      </c>
      <c r="Q6" s="18" t="n">
        <v>27292.71</v>
      </c>
      <c r="R6" s="18" t="n">
        <v>27251.15</v>
      </c>
      <c r="S6" s="18" t="n">
        <v>11911.41</v>
      </c>
      <c r="T6" s="18" t="n">
        <v>55066.05</v>
      </c>
      <c r="U6" s="34" t="n">
        <v>55066.05</v>
      </c>
      <c r="V6" s="18" t="n">
        <v>91521.45</v>
      </c>
      <c r="W6" s="18" t="n">
        <v>91216.06</v>
      </c>
      <c r="X6" s="18" t="n">
        <v>83660.89999999999</v>
      </c>
      <c r="Y6" s="18" t="n">
        <v>78916.19</v>
      </c>
      <c r="Z6" s="34" t="n">
        <v>78916.19</v>
      </c>
      <c r="AA6" s="18" t="n">
        <v>77134.55</v>
      </c>
      <c r="AB6" s="19" t="n">
        <v>48109.07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4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4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4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4" t="n">
        <v>679.74</v>
      </c>
      <c r="V7" s="18" t="n">
        <v>79.48</v>
      </c>
      <c r="W7" s="18" t="n">
        <v>97.98</v>
      </c>
      <c r="X7" s="18" t="n">
        <v>13.39</v>
      </c>
      <c r="Z7" s="9" t="n"/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4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4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4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4" t="n">
        <v>679.74</v>
      </c>
      <c r="V8" s="18" t="n">
        <v>79.48</v>
      </c>
      <c r="W8" s="18" t="n">
        <v>97.98</v>
      </c>
      <c r="X8" s="18" t="n">
        <v>13.39</v>
      </c>
      <c r="Z8" s="9" t="n"/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42616.64</v>
      </c>
      <c r="F9" s="34" t="n">
        <v>42616.64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4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4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4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4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4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4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4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4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4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4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4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4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4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4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1210.09</v>
      </c>
      <c r="F12" s="34" t="n">
        <v>1210.09</v>
      </c>
      <c r="G12" s="18" t="n">
        <v>582.83</v>
      </c>
      <c r="H12" s="18" t="n">
        <v>804.59</v>
      </c>
      <c r="I12" s="18" t="n">
        <v>919.95</v>
      </c>
      <c r="J12" s="18" t="n">
        <v>940.2</v>
      </c>
      <c r="K12" s="34" t="n">
        <v>940.2</v>
      </c>
      <c r="L12" s="18" t="n">
        <v>1661.43</v>
      </c>
      <c r="M12" s="18" t="n">
        <v>1608.34</v>
      </c>
      <c r="N12" s="18" t="n">
        <v>1608.11</v>
      </c>
      <c r="O12" s="18" t="n">
        <v>1618.31</v>
      </c>
      <c r="P12" s="34" t="n">
        <v>1618.31</v>
      </c>
      <c r="Q12" s="18" t="n">
        <v>673.41</v>
      </c>
      <c r="R12" s="18" t="n">
        <v>876.71</v>
      </c>
      <c r="S12" s="18" t="n">
        <v>878.83</v>
      </c>
      <c r="T12" s="18" t="n">
        <v>1514.94</v>
      </c>
      <c r="U12" s="34" t="n">
        <v>1514.94</v>
      </c>
      <c r="V12" s="18" t="n">
        <v>2552.83</v>
      </c>
      <c r="W12" s="18" t="n">
        <v>2232.85</v>
      </c>
      <c r="X12" s="18" t="n">
        <v>22253.67</v>
      </c>
      <c r="Y12" s="18" t="n">
        <v>21899.34</v>
      </c>
      <c r="Z12" s="34" t="n">
        <v>21899.34</v>
      </c>
      <c r="AA12" s="18" t="n">
        <v>11121.44</v>
      </c>
      <c r="AB12" s="19" t="n">
        <v>11185.81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8741.440000000001</v>
      </c>
      <c r="F13" s="34" t="n">
        <v>8741.440000000001</v>
      </c>
      <c r="G13" s="18" t="n">
        <v>9553</v>
      </c>
      <c r="H13" s="18" t="n">
        <v>11232.61</v>
      </c>
      <c r="I13" s="18" t="n">
        <v>13964.89</v>
      </c>
      <c r="J13" s="18" t="n">
        <v>11221.8</v>
      </c>
      <c r="K13" s="34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4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4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4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116302.53</v>
      </c>
      <c r="F14" s="34" t="n">
        <v>116302.53</v>
      </c>
      <c r="G14" s="18" t="n">
        <v>116053.57</v>
      </c>
      <c r="H14" s="18" t="n">
        <v>115401.68</v>
      </c>
      <c r="I14" s="18" t="n">
        <v>115521.58</v>
      </c>
      <c r="J14" s="18" t="n">
        <v>118171.17</v>
      </c>
      <c r="K14" s="34" t="n">
        <v>118171.17</v>
      </c>
      <c r="L14" s="18" t="n">
        <v>117640.15</v>
      </c>
      <c r="M14" s="18" t="n">
        <v>129991.13</v>
      </c>
      <c r="N14" s="18" t="n">
        <v>130315.63</v>
      </c>
      <c r="O14" s="18" t="n">
        <v>134522.34</v>
      </c>
      <c r="P14" s="34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4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4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4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4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4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4" t="n">
        <v>146.3</v>
      </c>
      <c r="V15" s="18" t="n">
        <v>146.3</v>
      </c>
      <c r="W15" s="18" t="n">
        <v>146.7</v>
      </c>
      <c r="X15" s="18" t="n">
        <v>156.7</v>
      </c>
      <c r="Y15" s="18" t="n">
        <v>1701.69</v>
      </c>
      <c r="Z15" s="34" t="n">
        <v>1701.69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4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4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4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4" t="n">
        <v>146.3</v>
      </c>
      <c r="V16" s="18" t="n">
        <v>146.3</v>
      </c>
      <c r="W16" s="18" t="n">
        <v>146.7</v>
      </c>
      <c r="X16" s="18" t="n">
        <v>156.7</v>
      </c>
      <c r="Y16" s="18" t="n">
        <v>1701.69</v>
      </c>
      <c r="Z16" s="34" t="n">
        <v>1701.69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0</v>
      </c>
      <c r="F17" s="34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34" t="n">
        <v>0</v>
      </c>
      <c r="P17" s="9" t="n"/>
      <c r="U17" s="9" t="n"/>
      <c r="Y17" s="18" t="n">
        <v>0</v>
      </c>
      <c r="Z17" s="34" t="n">
        <v>0</v>
      </c>
      <c r="AA17" s="18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110448.18</v>
      </c>
      <c r="F18" s="34" t="n">
        <v>110448.18</v>
      </c>
      <c r="G18" s="18" t="n">
        <v>109912.74</v>
      </c>
      <c r="H18" s="18" t="n">
        <v>109591.52</v>
      </c>
      <c r="I18" s="18" t="n">
        <v>109934.97</v>
      </c>
      <c r="J18" s="18" t="n">
        <v>111590.55</v>
      </c>
      <c r="K18" s="34" t="n">
        <v>111590.55</v>
      </c>
      <c r="L18" s="18" t="n">
        <v>111749.09</v>
      </c>
      <c r="M18" s="18" t="n">
        <v>115551.6</v>
      </c>
      <c r="N18" s="18" t="n">
        <v>116109.01</v>
      </c>
      <c r="O18" s="18" t="n">
        <v>120760.72</v>
      </c>
      <c r="P18" s="34" t="n">
        <v>120760.72</v>
      </c>
      <c r="Q18" s="18" t="n">
        <v>124831.67</v>
      </c>
      <c r="R18" s="18" t="n">
        <v>129801.11</v>
      </c>
      <c r="S18" s="18" t="n">
        <v>134630.88</v>
      </c>
      <c r="T18" s="18" t="n">
        <v>135585.63</v>
      </c>
      <c r="U18" s="34" t="n">
        <v>135585.63</v>
      </c>
      <c r="V18" s="18" t="n">
        <v>137168.93</v>
      </c>
      <c r="W18" s="18" t="n">
        <v>140388.26</v>
      </c>
      <c r="X18" s="18" t="n">
        <v>139933.11</v>
      </c>
      <c r="Y18" s="18" t="n">
        <v>139404.38</v>
      </c>
      <c r="Z18" s="34" t="n">
        <v>139404.38</v>
      </c>
      <c r="AA18" s="18" t="n">
        <v>137820.14</v>
      </c>
      <c r="AB18" s="19" t="n">
        <v>136250.83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526.24</v>
      </c>
      <c r="F19" s="34" t="n">
        <v>526.24</v>
      </c>
      <c r="G19" s="18" t="n">
        <v>508.12</v>
      </c>
      <c r="H19" s="18" t="n">
        <v>498.32</v>
      </c>
      <c r="I19" s="18" t="n">
        <v>463.15</v>
      </c>
      <c r="J19" s="18" t="n">
        <v>429.48</v>
      </c>
      <c r="K19" s="34" t="n">
        <v>429.48</v>
      </c>
      <c r="L19" s="18" t="n">
        <v>395.92</v>
      </c>
      <c r="M19" s="18" t="n">
        <v>427.51</v>
      </c>
      <c r="N19" s="18" t="n">
        <v>592.4</v>
      </c>
      <c r="O19" s="18" t="n">
        <v>598.6900000000001</v>
      </c>
      <c r="P19" s="34" t="n">
        <v>598.6900000000001</v>
      </c>
      <c r="Q19" s="18" t="n">
        <v>564.42</v>
      </c>
      <c r="R19" s="18" t="n">
        <v>525.01</v>
      </c>
      <c r="S19" s="18" t="n">
        <v>531.86</v>
      </c>
      <c r="T19" s="18" t="n">
        <v>503.2</v>
      </c>
      <c r="U19" s="34" t="n">
        <v>503.2</v>
      </c>
      <c r="V19" s="18" t="n">
        <v>497.06</v>
      </c>
      <c r="W19" s="18" t="n">
        <v>508.02</v>
      </c>
      <c r="X19" s="18" t="n">
        <v>803.49</v>
      </c>
      <c r="Y19" s="18" t="n">
        <v>821.7</v>
      </c>
      <c r="Z19" s="34" t="n">
        <v>821.7</v>
      </c>
      <c r="AA19" s="18" t="n">
        <v>942.64</v>
      </c>
      <c r="AB19" s="19" t="n">
        <v>940.5599999999999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3262.74</v>
      </c>
      <c r="F20" s="34" t="n">
        <v>3262.74</v>
      </c>
      <c r="G20" s="18" t="n">
        <v>3289.7</v>
      </c>
      <c r="H20" s="18" t="n">
        <v>3273.78</v>
      </c>
      <c r="I20" s="18" t="n">
        <v>3257.86</v>
      </c>
      <c r="J20" s="18" t="n">
        <v>3241.94</v>
      </c>
      <c r="K20" s="34" t="n">
        <v>3241.94</v>
      </c>
      <c r="L20" s="18" t="n">
        <v>3226.02</v>
      </c>
      <c r="M20" s="18" t="n">
        <v>3210.1</v>
      </c>
      <c r="N20" s="18" t="n">
        <v>3194.18</v>
      </c>
      <c r="O20" s="18" t="n">
        <v>3178.26</v>
      </c>
      <c r="P20" s="34" t="n">
        <v>3178.26</v>
      </c>
      <c r="Q20" s="18" t="n">
        <v>3162.34</v>
      </c>
      <c r="R20" s="18" t="n">
        <v>3146.43</v>
      </c>
      <c r="S20" s="18" t="n">
        <v>3130.51</v>
      </c>
      <c r="T20" s="18" t="n">
        <v>3114.59</v>
      </c>
      <c r="U20" s="34" t="n">
        <v>3114.59</v>
      </c>
      <c r="V20" s="18" t="n">
        <v>3098.67</v>
      </c>
      <c r="W20" s="18" t="n">
        <v>3082.75</v>
      </c>
      <c r="X20" s="18" t="n">
        <v>3066.83</v>
      </c>
      <c r="Y20" s="18" t="n">
        <v>3050.91</v>
      </c>
      <c r="Z20" s="34" t="n">
        <v>3050.91</v>
      </c>
      <c r="AA20" s="18" t="n">
        <v>3034.99</v>
      </c>
      <c r="AB20" s="19" t="n">
        <v>3019.07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506.72</v>
      </c>
      <c r="F21" s="34" t="n">
        <v>506.72</v>
      </c>
      <c r="G21" s="18" t="n">
        <v>439.67</v>
      </c>
      <c r="H21" s="18" t="n">
        <v>361.01</v>
      </c>
      <c r="I21" s="18" t="n">
        <v>297.92</v>
      </c>
      <c r="J21" s="18" t="n">
        <v>285.58</v>
      </c>
      <c r="K21" s="34" t="n">
        <v>285.58</v>
      </c>
      <c r="L21" s="18" t="n">
        <v>306.31</v>
      </c>
      <c r="M21" s="18" t="n">
        <v>8421.309999999999</v>
      </c>
      <c r="N21" s="18" t="n">
        <v>7885.02</v>
      </c>
      <c r="O21" s="18" t="n">
        <v>6763.97</v>
      </c>
      <c r="P21" s="34" t="n">
        <v>6763.97</v>
      </c>
      <c r="Q21" s="18" t="n">
        <v>6239.87</v>
      </c>
      <c r="R21" s="18" t="n">
        <v>5608.27</v>
      </c>
      <c r="S21" s="18" t="n">
        <v>4771.05</v>
      </c>
      <c r="T21" s="18" t="n">
        <v>4117.42</v>
      </c>
      <c r="U21" s="34" t="n">
        <v>4117.42</v>
      </c>
      <c r="V21" s="18" t="n">
        <v>3319.38</v>
      </c>
      <c r="W21" s="18" t="n">
        <v>2463.3</v>
      </c>
      <c r="X21" s="18" t="n">
        <v>2999.11</v>
      </c>
      <c r="Y21" s="18" t="n">
        <v>10863.86</v>
      </c>
      <c r="Z21" s="34" t="n">
        <v>10863.86</v>
      </c>
      <c r="AA21" s="18" t="n">
        <v>9840.48</v>
      </c>
      <c r="AB21" s="19" t="n">
        <v>9911.09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678.7</v>
      </c>
      <c r="F22" s="34" t="n">
        <v>678.7</v>
      </c>
      <c r="G22" s="18" t="n">
        <v>656.36</v>
      </c>
      <c r="H22" s="18" t="n">
        <v>581.8099999999999</v>
      </c>
      <c r="I22" s="18" t="n">
        <v>526.84</v>
      </c>
      <c r="J22" s="18" t="n">
        <v>1568.65</v>
      </c>
      <c r="K22" s="34" t="n">
        <v>1568.65</v>
      </c>
      <c r="L22" s="18" t="n">
        <v>1012.51</v>
      </c>
      <c r="M22" s="18" t="n">
        <v>9329.15</v>
      </c>
      <c r="N22" s="18" t="n">
        <v>8942.200000000001</v>
      </c>
      <c r="O22" s="18" t="n">
        <v>8668.02</v>
      </c>
      <c r="P22" s="34" t="n">
        <v>8668.02</v>
      </c>
      <c r="Q22" s="18" t="n">
        <v>7056</v>
      </c>
      <c r="R22" s="18" t="n">
        <v>6872.64</v>
      </c>
      <c r="S22" s="18" t="n">
        <v>5998.65</v>
      </c>
      <c r="T22" s="18" t="n">
        <v>7295.53</v>
      </c>
      <c r="U22" s="34" t="n">
        <v>7295.53</v>
      </c>
      <c r="V22" s="18" t="n">
        <v>5913.14</v>
      </c>
      <c r="W22" s="18" t="n">
        <v>4406.8</v>
      </c>
      <c r="X22" s="18" t="n">
        <v>4456.41</v>
      </c>
      <c r="Y22" s="18" t="n">
        <v>12280.4</v>
      </c>
      <c r="Z22" s="34" t="n">
        <v>12280.4</v>
      </c>
      <c r="AA22" s="18" t="n">
        <v>11252.81</v>
      </c>
      <c r="AB22" s="19" t="n">
        <v>11322.24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293970.85</v>
      </c>
      <c r="F23" s="34" t="n">
        <v>293970.85</v>
      </c>
      <c r="G23" s="18" t="n">
        <v>287758.55</v>
      </c>
      <c r="H23" s="18" t="n">
        <v>301515.32</v>
      </c>
      <c r="I23" s="18" t="n">
        <v>334994.47</v>
      </c>
      <c r="J23" s="18" t="n">
        <v>344008.47</v>
      </c>
      <c r="K23" s="34" t="n">
        <v>344008.47</v>
      </c>
      <c r="L23" s="18" t="n">
        <v>357048.45</v>
      </c>
      <c r="M23" s="18" t="n">
        <v>377026.17</v>
      </c>
      <c r="N23" s="18" t="n">
        <v>399914.04</v>
      </c>
      <c r="O23" s="18" t="n">
        <v>362224.98</v>
      </c>
      <c r="P23" s="34" t="n">
        <v>362224.98</v>
      </c>
      <c r="Q23" s="18" t="n">
        <v>366835.62</v>
      </c>
      <c r="R23" s="18" t="n">
        <v>368725.28</v>
      </c>
      <c r="S23" s="18" t="n">
        <v>376670.36</v>
      </c>
      <c r="T23" s="18" t="n">
        <v>453136.08</v>
      </c>
      <c r="U23" s="34" t="n">
        <v>453136.08</v>
      </c>
      <c r="V23" s="18" t="n">
        <v>474948.05</v>
      </c>
      <c r="W23" s="18" t="n">
        <v>472412.32</v>
      </c>
      <c r="X23" s="18" t="n">
        <v>480870.1</v>
      </c>
      <c r="Y23" s="18" t="n">
        <v>499642.29</v>
      </c>
      <c r="Z23" s="34" t="n">
        <v>499642.29</v>
      </c>
      <c r="AA23" s="18" t="n">
        <v>486860.24</v>
      </c>
      <c r="AB23" s="19" t="n">
        <v>505375.43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134239.86</v>
      </c>
      <c r="F24" s="34" t="n">
        <v>134239.86</v>
      </c>
      <c r="G24" s="18" t="n">
        <v>133252.5</v>
      </c>
      <c r="H24" s="18" t="n">
        <v>141924.06</v>
      </c>
      <c r="I24" s="18" t="n">
        <v>168311.53</v>
      </c>
      <c r="J24" s="18" t="n">
        <v>178280.66</v>
      </c>
      <c r="K24" s="34" t="n">
        <v>178280.66</v>
      </c>
      <c r="L24" s="18" t="n">
        <v>200323</v>
      </c>
      <c r="M24" s="18" t="n">
        <v>205482.09</v>
      </c>
      <c r="N24" s="18" t="n">
        <v>219143.19</v>
      </c>
      <c r="O24" s="18" t="n">
        <v>185158.34</v>
      </c>
      <c r="P24" s="34" t="n">
        <v>185158.34</v>
      </c>
      <c r="Q24" s="18" t="n">
        <v>188880.22</v>
      </c>
      <c r="R24" s="18" t="n">
        <v>188166.47</v>
      </c>
      <c r="S24" s="18" t="n">
        <v>188189.5</v>
      </c>
      <c r="T24" s="18" t="n">
        <v>244661.52</v>
      </c>
      <c r="U24" s="34" t="n">
        <v>244661.52</v>
      </c>
      <c r="V24" s="18" t="n">
        <v>254621</v>
      </c>
      <c r="W24" s="18" t="n">
        <v>242243.76</v>
      </c>
      <c r="X24" s="18" t="n">
        <v>229365.89</v>
      </c>
      <c r="Y24" s="18" t="n">
        <v>229059.59</v>
      </c>
      <c r="Z24" s="34" t="n">
        <v>229059.59</v>
      </c>
      <c r="AA24" s="18" t="n">
        <v>211607.97</v>
      </c>
      <c r="AB24" s="19" t="n">
        <v>203190.63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49853.24</v>
      </c>
      <c r="F25" s="34" t="n">
        <v>49853.24</v>
      </c>
      <c r="G25" s="18" t="n">
        <v>43679.5</v>
      </c>
      <c r="H25" s="18" t="n">
        <v>49585.74</v>
      </c>
      <c r="I25" s="18" t="n">
        <v>52900.14</v>
      </c>
      <c r="J25" s="18" t="n">
        <v>67998.86</v>
      </c>
      <c r="K25" s="34" t="n">
        <v>67998.86</v>
      </c>
      <c r="L25" s="18" t="n">
        <v>61640.84</v>
      </c>
      <c r="M25" s="18" t="n">
        <v>56843.94</v>
      </c>
      <c r="N25" s="18" t="n">
        <v>52370.79</v>
      </c>
      <c r="O25" s="18" t="n">
        <v>54006.7</v>
      </c>
      <c r="P25" s="34" t="n">
        <v>54006.7</v>
      </c>
      <c r="Q25" s="18" t="n">
        <v>50056.87</v>
      </c>
      <c r="R25" s="18" t="n">
        <v>61554.22</v>
      </c>
      <c r="S25" s="18" t="n">
        <v>60487.92</v>
      </c>
      <c r="T25" s="18" t="n">
        <v>99544.5</v>
      </c>
      <c r="U25" s="34" t="n">
        <v>99544.5</v>
      </c>
      <c r="V25" s="18" t="n">
        <v>73338.66</v>
      </c>
      <c r="W25" s="18" t="n">
        <v>73292.62</v>
      </c>
      <c r="X25" s="18" t="n">
        <v>76152.12</v>
      </c>
      <c r="Y25" s="18" t="n">
        <v>78427.41</v>
      </c>
      <c r="Z25" s="34" t="n">
        <v>78427.41</v>
      </c>
      <c r="AA25" s="18" t="n">
        <v>68955.33</v>
      </c>
      <c r="AB25" s="19" t="n">
        <v>86916.03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45704.71</v>
      </c>
      <c r="F26" s="34" t="n">
        <v>45704.71</v>
      </c>
      <c r="G26" s="18" t="n">
        <v>47040.05</v>
      </c>
      <c r="H26" s="18" t="n">
        <v>59956.12</v>
      </c>
      <c r="I26" s="18" t="n">
        <v>73076.33</v>
      </c>
      <c r="J26" s="18" t="n">
        <v>56249.01</v>
      </c>
      <c r="K26" s="34" t="n">
        <v>56249.01</v>
      </c>
      <c r="L26" s="18" t="n">
        <v>71632.14999999999</v>
      </c>
      <c r="M26" s="18" t="n">
        <v>86191.53999999999</v>
      </c>
      <c r="N26" s="18" t="n">
        <v>78432.99000000001</v>
      </c>
      <c r="O26" s="18" t="n">
        <v>21526.61</v>
      </c>
      <c r="P26" s="34" t="n">
        <v>21526.61</v>
      </c>
      <c r="Q26" s="18" t="n">
        <v>23783.92</v>
      </c>
      <c r="R26" s="18" t="n">
        <v>23958.98</v>
      </c>
      <c r="S26" s="18" t="n">
        <v>21598</v>
      </c>
      <c r="T26" s="18" t="n">
        <v>17350</v>
      </c>
      <c r="U26" s="34" t="n">
        <v>17350</v>
      </c>
      <c r="V26" s="18" t="n">
        <v>17332.5</v>
      </c>
      <c r="W26" s="18" t="n">
        <v>6782</v>
      </c>
      <c r="X26" s="18" t="n">
        <v>7011</v>
      </c>
      <c r="Z26" s="9" t="n"/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1778.25</v>
      </c>
      <c r="F27" s="34" t="n">
        <v>1778.25</v>
      </c>
      <c r="G27" s="18" t="n">
        <v>908.1</v>
      </c>
      <c r="H27" s="18" t="n">
        <v>0</v>
      </c>
      <c r="I27" s="18" t="n">
        <v>0</v>
      </c>
      <c r="J27" s="18" t="n">
        <v>0</v>
      </c>
      <c r="K27" s="34" t="n">
        <v>0</v>
      </c>
      <c r="O27" s="18" t="n">
        <v>0</v>
      </c>
      <c r="P27" s="34" t="n">
        <v>0</v>
      </c>
      <c r="T27" s="18" t="n">
        <v>0</v>
      </c>
      <c r="U27" s="34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912.26</v>
      </c>
      <c r="F28" s="34" t="n">
        <v>912.26</v>
      </c>
      <c r="G28" s="18" t="n">
        <v>1282.98</v>
      </c>
      <c r="H28" s="18" t="n">
        <v>3572.99</v>
      </c>
      <c r="I28" s="18" t="n">
        <v>7455.52</v>
      </c>
      <c r="J28" s="18" t="n">
        <v>1615.5</v>
      </c>
      <c r="K28" s="34" t="n">
        <v>1615.5</v>
      </c>
      <c r="L28" s="18" t="n">
        <v>1451.97</v>
      </c>
      <c r="M28" s="18" t="n">
        <v>824.2</v>
      </c>
      <c r="N28" s="18" t="n">
        <v>496.08</v>
      </c>
      <c r="O28" s="18" t="n">
        <v>202.2</v>
      </c>
      <c r="P28" s="34" t="n">
        <v>202.2</v>
      </c>
      <c r="Q28" s="18" t="n">
        <v>243.12</v>
      </c>
      <c r="R28" s="18" t="n">
        <v>827.9400000000001</v>
      </c>
      <c r="S28" s="18" t="n">
        <v>101.63</v>
      </c>
      <c r="T28" s="18" t="n">
        <v>1991.35</v>
      </c>
      <c r="U28" s="34" t="n">
        <v>1991.35</v>
      </c>
      <c r="V28" s="18" t="n">
        <v>957.5</v>
      </c>
      <c r="W28" s="18" t="n">
        <v>471.05</v>
      </c>
      <c r="X28" s="18" t="n">
        <v>263.99</v>
      </c>
      <c r="Z28" s="9" t="n"/>
      <c r="AA28" s="18" t="n">
        <v>1146.49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912.26</v>
      </c>
      <c r="F29" s="34" t="n">
        <v>912.26</v>
      </c>
      <c r="G29" s="18" t="n">
        <v>11100.02</v>
      </c>
      <c r="H29" s="18" t="n">
        <v>3572.99</v>
      </c>
      <c r="I29" s="18" t="n">
        <v>7455.52</v>
      </c>
      <c r="J29" s="18" t="n">
        <v>1615.5</v>
      </c>
      <c r="K29" s="34" t="n">
        <v>1615.5</v>
      </c>
      <c r="L29" s="18" t="n">
        <v>11534.66</v>
      </c>
      <c r="M29" s="18" t="n">
        <v>824.2</v>
      </c>
      <c r="N29" s="18" t="n">
        <v>496.08</v>
      </c>
      <c r="O29" s="18" t="n">
        <v>202.2</v>
      </c>
      <c r="P29" s="34" t="n">
        <v>202.2</v>
      </c>
      <c r="Q29" s="18" t="n">
        <v>10915.79</v>
      </c>
      <c r="R29" s="18" t="n">
        <v>4381.55</v>
      </c>
      <c r="S29" s="18" t="n">
        <v>3717.55</v>
      </c>
      <c r="T29" s="18" t="n">
        <v>1991.35</v>
      </c>
      <c r="U29" s="34" t="n">
        <v>1991.35</v>
      </c>
      <c r="V29" s="18" t="n">
        <v>14141.14</v>
      </c>
      <c r="W29" s="18" t="n">
        <v>2664.61</v>
      </c>
      <c r="X29" s="18" t="n">
        <v>2317.69</v>
      </c>
      <c r="Y29" s="18" t="n">
        <v>4053.75</v>
      </c>
      <c r="Z29" s="34" t="n">
        <v>4053.75</v>
      </c>
      <c r="AA29" s="18" t="n">
        <v>13119.74</v>
      </c>
      <c r="AB29" s="19" t="n">
        <v>983.42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1300.52</v>
      </c>
      <c r="F30" s="34" t="n">
        <v>1300.52</v>
      </c>
      <c r="G30" s="18" t="n">
        <v>881.14</v>
      </c>
      <c r="H30" s="18" t="n">
        <v>1273.12</v>
      </c>
      <c r="I30" s="18" t="n">
        <v>5906.68</v>
      </c>
      <c r="J30" s="18" t="n">
        <v>6150.94</v>
      </c>
      <c r="K30" s="34" t="n">
        <v>6150.94</v>
      </c>
      <c r="L30" s="18" t="n">
        <v>8131.91</v>
      </c>
      <c r="M30" s="18" t="n">
        <v>7957.7</v>
      </c>
      <c r="N30" s="18" t="n">
        <v>5836.58</v>
      </c>
      <c r="O30" s="18" t="n">
        <v>3578.91</v>
      </c>
      <c r="P30" s="34" t="n">
        <v>3578.91</v>
      </c>
      <c r="Q30" s="18" t="n">
        <v>2411.27</v>
      </c>
      <c r="R30" s="18" t="n">
        <v>2295.14</v>
      </c>
      <c r="S30" s="18" t="n">
        <v>2698.28</v>
      </c>
      <c r="T30" s="18" t="n">
        <v>1229.78</v>
      </c>
      <c r="U30" s="34" t="n">
        <v>1229.78</v>
      </c>
      <c r="V30" s="18" t="n">
        <v>1091.58</v>
      </c>
      <c r="W30" s="18" t="n">
        <v>993.3200000000001</v>
      </c>
      <c r="X30" s="18" t="n">
        <v>930.26</v>
      </c>
      <c r="Y30" s="18" t="n">
        <v>460.99</v>
      </c>
      <c r="Z30" s="34" t="n">
        <v>460.99</v>
      </c>
      <c r="AA30" s="18" t="n">
        <v>690.6</v>
      </c>
      <c r="AB30" s="19" t="n">
        <v>443.81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4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4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4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4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4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6388.51</v>
      </c>
      <c r="F32" s="34" t="n">
        <v>6388.51</v>
      </c>
      <c r="G32" s="18" t="n">
        <v>4448.48</v>
      </c>
      <c r="H32" s="18" t="n">
        <v>2653.65</v>
      </c>
      <c r="I32" s="18" t="n">
        <v>2964.35</v>
      </c>
      <c r="J32" s="18" t="n">
        <v>1566.71</v>
      </c>
      <c r="K32" s="34" t="n">
        <v>1566.71</v>
      </c>
      <c r="L32" s="18" t="n">
        <v>950.4299999999999</v>
      </c>
      <c r="M32" s="18" t="n">
        <v>2195.1</v>
      </c>
      <c r="N32" s="18" t="n">
        <v>5835.05</v>
      </c>
      <c r="O32" s="18" t="n">
        <v>5287.52</v>
      </c>
      <c r="P32" s="34" t="n">
        <v>5287.52</v>
      </c>
      <c r="Q32" s="18" t="n">
        <v>7912.31</v>
      </c>
      <c r="R32" s="18" t="n">
        <v>3624.22</v>
      </c>
      <c r="S32" s="18" t="n">
        <v>3379.49</v>
      </c>
      <c r="T32" s="18" t="n">
        <v>8383.34</v>
      </c>
      <c r="U32" s="34" t="n">
        <v>8383.34</v>
      </c>
      <c r="V32" s="18" t="n">
        <v>9114.26</v>
      </c>
      <c r="W32" s="18" t="n">
        <v>7870.4</v>
      </c>
      <c r="X32" s="18" t="n">
        <v>11714.71</v>
      </c>
      <c r="Y32" s="18" t="n">
        <v>12934.61</v>
      </c>
      <c r="Z32" s="34" t="n">
        <v>12934.61</v>
      </c>
      <c r="AA32" s="18" t="n">
        <v>11902.45</v>
      </c>
      <c r="AB32" s="19" t="n">
        <v>13658.05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18056.25</v>
      </c>
      <c r="F33" s="34" t="n">
        <v>18056.25</v>
      </c>
      <c r="G33" s="18" t="n">
        <v>17856.83</v>
      </c>
      <c r="H33" s="18" t="n">
        <v>20209.83</v>
      </c>
      <c r="I33" s="18" t="n">
        <v>22330.38</v>
      </c>
      <c r="J33" s="18" t="n">
        <v>38497.36</v>
      </c>
      <c r="K33" s="34" t="n">
        <v>38497.36</v>
      </c>
      <c r="L33" s="18" t="n">
        <v>40596.47</v>
      </c>
      <c r="M33" s="18" t="n">
        <v>44209.25</v>
      </c>
      <c r="N33" s="18" t="n">
        <v>69564.58</v>
      </c>
      <c r="O33" s="18" t="n">
        <v>83023.97</v>
      </c>
      <c r="P33" s="34" t="n">
        <v>83023.97</v>
      </c>
      <c r="Q33" s="18" t="n">
        <v>80078.03</v>
      </c>
      <c r="R33" s="18" t="n">
        <v>78803.61</v>
      </c>
      <c r="S33" s="18" t="n">
        <v>82767.71000000001</v>
      </c>
      <c r="T33" s="18" t="n">
        <v>99137.57000000001</v>
      </c>
      <c r="U33" s="34" t="n">
        <v>99137.57000000001</v>
      </c>
      <c r="V33" s="18" t="n">
        <v>138895.69</v>
      </c>
      <c r="W33" s="18" t="n">
        <v>150058.46</v>
      </c>
      <c r="X33" s="18" t="n">
        <v>130728.74</v>
      </c>
      <c r="Y33" s="18" t="n">
        <v>125258.52</v>
      </c>
      <c r="Z33" s="34" t="n">
        <v>125258.52</v>
      </c>
      <c r="AA33" s="18" t="n">
        <v>112422.06</v>
      </c>
      <c r="AB33" s="19" t="n">
        <v>96321.95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17662.54</v>
      </c>
      <c r="F34" s="34" t="n">
        <v>17662.54</v>
      </c>
      <c r="G34" s="18" t="n">
        <v>19066.57</v>
      </c>
      <c r="H34" s="18" t="n">
        <v>19240.05</v>
      </c>
      <c r="I34" s="18" t="n">
        <v>20666.8</v>
      </c>
      <c r="J34" s="18" t="n">
        <v>16848.39</v>
      </c>
      <c r="K34" s="34" t="n">
        <v>16848.39</v>
      </c>
      <c r="L34" s="18" t="n">
        <v>17550.06</v>
      </c>
      <c r="M34" s="18" t="n">
        <v>22292.15</v>
      </c>
      <c r="N34" s="18" t="n">
        <v>21801.69</v>
      </c>
      <c r="O34" s="18" t="n">
        <v>10264.73</v>
      </c>
      <c r="P34" s="34" t="n">
        <v>10264.73</v>
      </c>
      <c r="Q34" s="18" t="n">
        <v>9781.530000000001</v>
      </c>
      <c r="R34" s="18" t="n">
        <v>9133.959999999999</v>
      </c>
      <c r="S34" s="18" t="n">
        <v>8391.17</v>
      </c>
      <c r="T34" s="18" t="n">
        <v>8353.219999999999</v>
      </c>
      <c r="U34" s="34" t="n">
        <v>8353.219999999999</v>
      </c>
      <c r="V34" s="18" t="n">
        <v>9039.530000000001</v>
      </c>
      <c r="W34" s="18" t="n">
        <v>9025.58</v>
      </c>
      <c r="X34" s="18" t="n">
        <v>9612.299999999999</v>
      </c>
      <c r="Y34" s="18" t="n">
        <v>13605.6</v>
      </c>
      <c r="Z34" s="34" t="n">
        <v>13605.6</v>
      </c>
      <c r="AA34" s="18" t="n">
        <v>13230.81</v>
      </c>
      <c r="AB34" s="19" t="n">
        <v>13637.99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0</v>
      </c>
      <c r="F35" s="34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4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9901.139999999999</v>
      </c>
      <c r="F36" s="34" t="n">
        <v>9901.139999999999</v>
      </c>
      <c r="G36" s="18" t="n">
        <v>10091.63</v>
      </c>
      <c r="H36" s="18" t="n">
        <v>10287.37</v>
      </c>
      <c r="I36" s="18" t="n">
        <v>10486.52</v>
      </c>
      <c r="J36" s="18" t="n">
        <v>10689.53</v>
      </c>
      <c r="K36" s="34" t="n">
        <v>10689.53</v>
      </c>
      <c r="L36" s="18" t="n">
        <v>10896.06</v>
      </c>
      <c r="M36" s="18" t="n">
        <v>11107.41</v>
      </c>
      <c r="N36" s="18" t="n">
        <v>11322.43</v>
      </c>
      <c r="O36" s="18" t="n">
        <v>0</v>
      </c>
      <c r="P36" s="34" t="n">
        <v>0</v>
      </c>
      <c r="T36" s="18" t="n">
        <v>0</v>
      </c>
      <c r="U36" s="34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0</v>
      </c>
      <c r="F37" s="34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4" t="n">
        <v>0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2216.01</v>
      </c>
      <c r="F38" s="34" t="n">
        <v>2216.01</v>
      </c>
      <c r="G38" s="18" t="n">
        <v>2747.61</v>
      </c>
      <c r="H38" s="18" t="n">
        <v>3276.55</v>
      </c>
      <c r="I38" s="18" t="n">
        <v>3683.02</v>
      </c>
      <c r="J38" s="18" t="n">
        <v>0</v>
      </c>
      <c r="K38" s="34" t="n">
        <v>0</v>
      </c>
      <c r="M38" s="18" t="n">
        <v>46.28</v>
      </c>
      <c r="N38" s="18" t="n">
        <v>475.86</v>
      </c>
      <c r="O38" s="18" t="n">
        <v>0</v>
      </c>
      <c r="P38" s="34" t="n">
        <v>0</v>
      </c>
      <c r="R38" s="18" t="n">
        <v>248.45</v>
      </c>
      <c r="S38" s="18" t="n">
        <v>706.03</v>
      </c>
      <c r="T38" s="18" t="n">
        <v>617.38</v>
      </c>
      <c r="U38" s="34" t="n">
        <v>617.38</v>
      </c>
      <c r="V38" s="18" t="n">
        <v>1456.65</v>
      </c>
      <c r="W38" s="18" t="n">
        <v>2093.23</v>
      </c>
      <c r="X38" s="18" t="n">
        <v>2762.91</v>
      </c>
      <c r="Z38" s="9" t="n"/>
      <c r="AA38" s="18" t="n">
        <v>293.9</v>
      </c>
      <c r="AB38" s="19" t="n">
        <v>996.59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4892.53</v>
      </c>
      <c r="F39" s="34" t="n">
        <v>4892.53</v>
      </c>
      <c r="G39" s="18" t="n">
        <v>5598.6</v>
      </c>
      <c r="H39" s="18" t="n">
        <v>5070</v>
      </c>
      <c r="I39" s="18" t="n">
        <v>5903.38</v>
      </c>
      <c r="J39" s="18" t="n">
        <v>5536.66</v>
      </c>
      <c r="K39" s="34" t="n">
        <v>5536.66</v>
      </c>
      <c r="L39" s="18" t="n">
        <v>5974.77</v>
      </c>
      <c r="M39" s="18" t="n">
        <v>5461.18</v>
      </c>
      <c r="N39" s="18" t="n">
        <v>4967.15</v>
      </c>
      <c r="O39" s="18" t="n">
        <v>6250.4</v>
      </c>
      <c r="P39" s="34" t="n">
        <v>6250.4</v>
      </c>
      <c r="Q39" s="18" t="n">
        <v>6180.72</v>
      </c>
      <c r="R39" s="18" t="n">
        <v>6027.64</v>
      </c>
      <c r="S39" s="18" t="n">
        <v>5724.69</v>
      </c>
      <c r="T39" s="18" t="n">
        <v>6542.43</v>
      </c>
      <c r="U39" s="34" t="n">
        <v>6542.43</v>
      </c>
      <c r="V39" s="18" t="n">
        <v>6427.22</v>
      </c>
      <c r="W39" s="18" t="n">
        <v>5806.76</v>
      </c>
      <c r="X39" s="18" t="n">
        <v>4983.22</v>
      </c>
      <c r="Y39" s="18" t="n">
        <v>5888.99</v>
      </c>
      <c r="Z39" s="34" t="n">
        <v>5888.99</v>
      </c>
      <c r="AA39" s="18" t="n">
        <v>6179.46</v>
      </c>
      <c r="AB39" s="19" t="n">
        <v>6041.87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151902.4</v>
      </c>
      <c r="F40" s="34" t="n">
        <v>151902.4</v>
      </c>
      <c r="G40" s="18" t="n">
        <v>152319.07</v>
      </c>
      <c r="H40" s="18" t="n">
        <v>161164.11</v>
      </c>
      <c r="I40" s="18" t="n">
        <v>188978.33</v>
      </c>
      <c r="J40" s="18" t="n">
        <v>195129.04</v>
      </c>
      <c r="K40" s="34" t="n">
        <v>195129.04</v>
      </c>
      <c r="L40" s="18" t="n">
        <v>217873.06</v>
      </c>
      <c r="M40" s="18" t="n">
        <v>227774.25</v>
      </c>
      <c r="N40" s="18" t="n">
        <v>240944.88</v>
      </c>
      <c r="O40" s="18" t="n">
        <v>195423.07</v>
      </c>
      <c r="P40" s="34" t="n">
        <v>195423.07</v>
      </c>
      <c r="Q40" s="18" t="n">
        <v>198661.75</v>
      </c>
      <c r="R40" s="18" t="n">
        <v>197300.43</v>
      </c>
      <c r="S40" s="18" t="n">
        <v>196580.66</v>
      </c>
      <c r="T40" s="18" t="n">
        <v>253014.74</v>
      </c>
      <c r="U40" s="34" t="n">
        <v>253014.74</v>
      </c>
      <c r="V40" s="18" t="n">
        <v>263660.53</v>
      </c>
      <c r="W40" s="18" t="n">
        <v>251269.34</v>
      </c>
      <c r="X40" s="18" t="n">
        <v>238978.19</v>
      </c>
      <c r="Y40" s="18" t="n">
        <v>242665.19</v>
      </c>
      <c r="Z40" s="34" t="n">
        <v>242665.19</v>
      </c>
      <c r="AA40" s="18" t="n">
        <v>224838.78</v>
      </c>
      <c r="AB40" s="19" t="n">
        <v>216828.63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14832.53</v>
      </c>
      <c r="F41" s="34" t="n">
        <v>14832.53</v>
      </c>
      <c r="G41" s="18" t="n">
        <v>14993.56</v>
      </c>
      <c r="H41" s="18" t="n">
        <v>15142.51</v>
      </c>
      <c r="I41" s="18" t="n">
        <v>15212.03</v>
      </c>
      <c r="J41" s="18" t="n">
        <v>15212.03</v>
      </c>
      <c r="K41" s="34" t="n">
        <v>15212.03</v>
      </c>
      <c r="L41" s="18" t="n">
        <v>15212.03</v>
      </c>
      <c r="M41" s="18" t="n">
        <v>15324.75</v>
      </c>
      <c r="N41" s="18" t="n">
        <v>15324.75</v>
      </c>
      <c r="O41" s="18" t="n">
        <v>15324.75</v>
      </c>
      <c r="P41" s="34" t="n">
        <v>15324.75</v>
      </c>
      <c r="Q41" s="18" t="n">
        <v>15324.75</v>
      </c>
      <c r="R41" s="18" t="n">
        <v>15324.75</v>
      </c>
      <c r="S41" s="18" t="n">
        <v>15324.75</v>
      </c>
      <c r="T41" s="18" t="n">
        <v>15324.75</v>
      </c>
      <c r="U41" s="34" t="n">
        <v>15324.75</v>
      </c>
      <c r="V41" s="18" t="n">
        <v>15324.75</v>
      </c>
      <c r="W41" s="18" t="n">
        <v>15324.75</v>
      </c>
      <c r="X41" s="18" t="n">
        <v>15324.75</v>
      </c>
      <c r="Y41" s="18" t="n">
        <v>15324.75</v>
      </c>
      <c r="Z41" s="34" t="n">
        <v>15324.75</v>
      </c>
      <c r="AA41" s="18" t="n">
        <v>15324.75</v>
      </c>
      <c r="AB41" s="19" t="n">
        <v>15324.75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67972.67999999999</v>
      </c>
      <c r="F42" s="34" t="n">
        <v>67972.67999999999</v>
      </c>
      <c r="G42" s="18" t="n">
        <v>70919.63</v>
      </c>
      <c r="H42" s="18" t="n">
        <v>73645.56</v>
      </c>
      <c r="I42" s="18" t="n">
        <v>74917.66</v>
      </c>
      <c r="J42" s="18" t="n">
        <v>74917.66</v>
      </c>
      <c r="K42" s="34" t="n">
        <v>74917.66</v>
      </c>
      <c r="L42" s="18" t="n">
        <v>74917.66</v>
      </c>
      <c r="M42" s="18" t="n">
        <v>76980.52</v>
      </c>
      <c r="N42" s="18" t="n">
        <v>77008.3</v>
      </c>
      <c r="O42" s="18" t="n">
        <v>76952.74000000001</v>
      </c>
      <c r="P42" s="34" t="n">
        <v>76952.74000000001</v>
      </c>
      <c r="Q42" s="18" t="n">
        <v>76952.74000000001</v>
      </c>
      <c r="R42" s="18" t="n">
        <v>76952.74000000001</v>
      </c>
      <c r="S42" s="18" t="n">
        <v>76952.74000000001</v>
      </c>
      <c r="T42" s="18" t="n">
        <v>76952.74000000001</v>
      </c>
      <c r="U42" s="34" t="n">
        <v>76952.74000000001</v>
      </c>
      <c r="V42" s="18" t="n">
        <v>81924.23</v>
      </c>
      <c r="W42" s="18" t="n">
        <v>80775.82000000001</v>
      </c>
      <c r="X42" s="18" t="n">
        <v>80775.82000000001</v>
      </c>
      <c r="Y42" s="18" t="n">
        <v>80775.82000000001</v>
      </c>
      <c r="Z42" s="34" t="n">
        <v>80775.82000000001</v>
      </c>
      <c r="AA42" s="18" t="n">
        <v>80775.82000000001</v>
      </c>
      <c r="AB42" s="19" t="n">
        <v>80806.72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-8528.809999999999</v>
      </c>
      <c r="F43" s="34" t="n">
        <v>-8528.809999999999</v>
      </c>
      <c r="G43" s="18" t="n">
        <v>-8528.809999999999</v>
      </c>
      <c r="H43" s="18" t="n">
        <v>-8528.809999999999</v>
      </c>
      <c r="I43" s="18" t="n">
        <v>-8528.809999999999</v>
      </c>
      <c r="J43" s="18" t="n">
        <v>-8528.809999999999</v>
      </c>
      <c r="K43" s="34" t="n">
        <v>-8528.809999999999</v>
      </c>
      <c r="L43" s="18" t="n">
        <v>-8528.809999999999</v>
      </c>
      <c r="M43" s="18" t="n">
        <v>-8528.809999999999</v>
      </c>
      <c r="N43" s="18" t="n">
        <v>-8528.809999999999</v>
      </c>
      <c r="O43" s="18" t="n">
        <v>-8528.809999999999</v>
      </c>
      <c r="P43" s="34" t="n">
        <v>-8528.809999999999</v>
      </c>
      <c r="Q43" s="18" t="n">
        <v>-8528.809999999999</v>
      </c>
      <c r="R43" s="18" t="n">
        <v>-8528.809999999999</v>
      </c>
      <c r="S43" s="18" t="n">
        <v>-8528.809999999999</v>
      </c>
      <c r="T43" s="18" t="n">
        <v>-8528.809999999999</v>
      </c>
      <c r="U43" s="34" t="n">
        <v>-8528.809999999999</v>
      </c>
      <c r="V43" s="18" t="n">
        <v>-1183.8</v>
      </c>
      <c r="W43" s="18" t="n">
        <v>-1183.8</v>
      </c>
      <c r="X43" s="18" t="n">
        <v>-981.36</v>
      </c>
      <c r="Y43" s="18" t="n">
        <v>-940.6</v>
      </c>
      <c r="Z43" s="34" t="n">
        <v>-940.6</v>
      </c>
      <c r="AA43" s="18" t="n">
        <v>-940.6</v>
      </c>
      <c r="AB43" s="19" t="n">
        <v>-971.5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67792.05</v>
      </c>
      <c r="F44" s="34" t="n">
        <v>67792.05</v>
      </c>
      <c r="G44" s="18" t="n">
        <v>58055.1</v>
      </c>
      <c r="H44" s="18" t="n">
        <v>60091.94</v>
      </c>
      <c r="I44" s="18" t="n">
        <v>64415.27</v>
      </c>
      <c r="J44" s="18" t="n">
        <v>67278.56</v>
      </c>
      <c r="K44" s="34" t="n">
        <v>67278.56</v>
      </c>
      <c r="L44" s="18" t="n">
        <v>57574.52</v>
      </c>
      <c r="M44" s="18" t="n">
        <v>65475.47</v>
      </c>
      <c r="N44" s="18" t="n">
        <v>75164.92999999999</v>
      </c>
      <c r="O44" s="18" t="n">
        <v>83053.22</v>
      </c>
      <c r="P44" s="34" t="n">
        <v>83053.22</v>
      </c>
      <c r="Q44" s="18" t="n">
        <v>84425.2</v>
      </c>
      <c r="R44" s="18" t="n">
        <v>87676.17</v>
      </c>
      <c r="S44" s="18" t="n">
        <v>96341.02</v>
      </c>
      <c r="T44" s="18" t="n">
        <v>116372.66</v>
      </c>
      <c r="U44" s="34" t="n">
        <v>116372.66</v>
      </c>
      <c r="V44" s="18" t="n">
        <v>115222.34</v>
      </c>
      <c r="W44" s="18" t="n">
        <v>126226.22</v>
      </c>
      <c r="X44" s="18" t="n">
        <v>146772.7</v>
      </c>
      <c r="Y44" s="18" t="n">
        <v>161817.14</v>
      </c>
      <c r="Z44" s="34" t="n">
        <v>161817.14</v>
      </c>
      <c r="AA44" s="18" t="n">
        <v>166861.49</v>
      </c>
      <c r="AB44" s="19" t="n">
        <v>193386.84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142068.45</v>
      </c>
      <c r="F45" s="34" t="n">
        <v>142068.45</v>
      </c>
      <c r="G45" s="18" t="n">
        <v>135439.48</v>
      </c>
      <c r="H45" s="18" t="n">
        <v>140351.21</v>
      </c>
      <c r="I45" s="18" t="n">
        <v>146016.14</v>
      </c>
      <c r="J45" s="18" t="n">
        <v>148879.43</v>
      </c>
      <c r="K45" s="34" t="n">
        <v>148879.43</v>
      </c>
      <c r="L45" s="18" t="n">
        <v>139175.39</v>
      </c>
      <c r="M45" s="18" t="n">
        <v>149251.92</v>
      </c>
      <c r="N45" s="18" t="n">
        <v>158969.17</v>
      </c>
      <c r="O45" s="18" t="n">
        <v>166801.9</v>
      </c>
      <c r="P45" s="34" t="n">
        <v>166801.9</v>
      </c>
      <c r="Q45" s="18" t="n">
        <v>168173.87</v>
      </c>
      <c r="R45" s="18" t="n">
        <v>171424.85</v>
      </c>
      <c r="S45" s="18" t="n">
        <v>180089.7</v>
      </c>
      <c r="T45" s="18" t="n">
        <v>200121.34</v>
      </c>
      <c r="U45" s="34" t="n">
        <v>200121.34</v>
      </c>
      <c r="V45" s="18" t="n">
        <v>211287.52</v>
      </c>
      <c r="W45" s="18" t="n">
        <v>221142.98</v>
      </c>
      <c r="X45" s="18" t="n">
        <v>241891.91</v>
      </c>
      <c r="Y45" s="18" t="n">
        <v>256977.1</v>
      </c>
      <c r="Z45" s="34" t="n">
        <v>256977.1</v>
      </c>
      <c r="AA45" s="18" t="n">
        <v>262021.46</v>
      </c>
      <c r="AB45" s="19" t="n">
        <v>288546.8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293970.85</v>
      </c>
      <c r="F46" s="34" t="n">
        <v>293970.85</v>
      </c>
      <c r="G46" s="18" t="n">
        <v>287758.55</v>
      </c>
      <c r="H46" s="18" t="n">
        <v>301515.32</v>
      </c>
      <c r="I46" s="18" t="n">
        <v>334994.47</v>
      </c>
      <c r="J46" s="18" t="n">
        <v>344008.47</v>
      </c>
      <c r="K46" s="34" t="n">
        <v>344008.47</v>
      </c>
      <c r="L46" s="18" t="n">
        <v>357048.45</v>
      </c>
      <c r="M46" s="18" t="n">
        <v>377026.17</v>
      </c>
      <c r="N46" s="18" t="n">
        <v>399914.04</v>
      </c>
      <c r="O46" s="18" t="n">
        <v>362224.98</v>
      </c>
      <c r="P46" s="34" t="n">
        <v>362224.98</v>
      </c>
      <c r="Q46" s="18" t="n">
        <v>366835.62</v>
      </c>
      <c r="R46" s="18" t="n">
        <v>368725.28</v>
      </c>
      <c r="S46" s="18" t="n">
        <v>376670.36</v>
      </c>
      <c r="T46" s="18" t="n">
        <v>453136.08</v>
      </c>
      <c r="U46" s="34" t="n">
        <v>453136.08</v>
      </c>
      <c r="V46" s="18" t="n">
        <v>474948.05</v>
      </c>
      <c r="W46" s="18" t="n">
        <v>472412.32</v>
      </c>
      <c r="X46" s="18" t="n">
        <v>480870.1</v>
      </c>
      <c r="Y46" s="18" t="n">
        <v>499642.29</v>
      </c>
      <c r="Z46" s="34" t="n">
        <v>499642.29</v>
      </c>
      <c r="AA46" s="18" t="n">
        <v>486860.24</v>
      </c>
      <c r="AB46" s="19" t="n">
        <v>505375.43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142068.45</v>
      </c>
      <c r="F47" s="34" t="n">
        <v>142068.45</v>
      </c>
      <c r="G47" s="18" t="n">
        <v>135439.48</v>
      </c>
      <c r="H47" s="18" t="n">
        <v>140351.21</v>
      </c>
      <c r="I47" s="18" t="n">
        <v>146016.14</v>
      </c>
      <c r="J47" s="18" t="n">
        <v>148879.43</v>
      </c>
      <c r="K47" s="34" t="n">
        <v>148879.43</v>
      </c>
      <c r="L47" s="18" t="n">
        <v>139175.39</v>
      </c>
      <c r="M47" s="18" t="n">
        <v>149251.92</v>
      </c>
      <c r="N47" s="18" t="n">
        <v>158969.17</v>
      </c>
      <c r="O47" s="18" t="n">
        <v>166801.9</v>
      </c>
      <c r="P47" s="34" t="n">
        <v>166801.9</v>
      </c>
      <c r="Q47" s="18" t="n">
        <v>168173.87</v>
      </c>
      <c r="R47" s="18" t="n">
        <v>171424.85</v>
      </c>
      <c r="S47" s="18" t="n">
        <v>180089.7</v>
      </c>
      <c r="T47" s="18" t="n">
        <v>200121.34</v>
      </c>
      <c r="U47" s="34" t="n">
        <v>200121.34</v>
      </c>
      <c r="V47" s="18" t="n">
        <v>211287.52</v>
      </c>
      <c r="W47" s="18" t="n">
        <v>221142.98</v>
      </c>
      <c r="X47" s="18" t="n">
        <v>241891.91</v>
      </c>
      <c r="Y47" s="18" t="n">
        <v>256977.1</v>
      </c>
      <c r="Z47" s="34" t="n">
        <v>256977.1</v>
      </c>
      <c r="AA47" s="18" t="n">
        <v>262021.46</v>
      </c>
      <c r="AB47" s="19" t="n">
        <v>288546.8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57384.1</v>
      </c>
      <c r="F48" s="34" t="n">
        <v>57384.1</v>
      </c>
      <c r="G48" s="18" t="n">
        <v>58039.78</v>
      </c>
      <c r="H48" s="18" t="n">
        <v>70243.49000000001</v>
      </c>
      <c r="I48" s="18" t="n">
        <v>83562.85000000001</v>
      </c>
      <c r="J48" s="18" t="n">
        <v>66938.53999999999</v>
      </c>
      <c r="K48" s="34" t="n">
        <v>66938.53999999999</v>
      </c>
      <c r="L48" s="18" t="n">
        <v>82528.21000000001</v>
      </c>
      <c r="M48" s="18" t="n">
        <v>97298.95</v>
      </c>
      <c r="N48" s="18" t="n">
        <v>89755.42</v>
      </c>
      <c r="O48" s="18" t="n">
        <v>21526.61</v>
      </c>
      <c r="P48" s="34" t="n">
        <v>21526.61</v>
      </c>
      <c r="Q48" s="18" t="n">
        <v>23783.92</v>
      </c>
      <c r="R48" s="18" t="n">
        <v>23958.98</v>
      </c>
      <c r="S48" s="18" t="n">
        <v>21598</v>
      </c>
      <c r="T48" s="18" t="n">
        <v>17350</v>
      </c>
      <c r="U48" s="34" t="n">
        <v>17350</v>
      </c>
      <c r="V48" s="18" t="n">
        <v>17332.5</v>
      </c>
      <c r="W48" s="18" t="n">
        <v>6782</v>
      </c>
      <c r="X48" s="18" t="n">
        <v>7011</v>
      </c>
      <c r="Z48" s="9" t="n"/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34118.32</v>
      </c>
      <c r="F49" s="34" t="n">
        <v>34118.32</v>
      </c>
      <c r="G49" s="18" t="n">
        <v>44727.95</v>
      </c>
      <c r="H49" s="18" t="n">
        <v>55491.47</v>
      </c>
      <c r="I49" s="18" t="n">
        <v>76207.53</v>
      </c>
      <c r="J49" s="18" t="n">
        <v>39455.83</v>
      </c>
      <c r="K49" s="34" t="n">
        <v>39455.83</v>
      </c>
      <c r="L49" s="18" t="n">
        <v>75505.44</v>
      </c>
      <c r="M49" s="18" t="n">
        <v>64959.4</v>
      </c>
      <c r="N49" s="18" t="n">
        <v>26397.81</v>
      </c>
      <c r="O49" s="18" t="n">
        <v>-3433.07</v>
      </c>
      <c r="P49" s="34" t="n">
        <v>-3433.07</v>
      </c>
      <c r="Q49" s="18" t="n">
        <v>-3536.4</v>
      </c>
      <c r="R49" s="18" t="n">
        <v>-3543.22</v>
      </c>
      <c r="S49" s="18" t="n">
        <v>9440.09</v>
      </c>
      <c r="T49" s="18" t="n">
        <v>-38395.79</v>
      </c>
      <c r="U49" s="34" t="n">
        <v>-38395.79</v>
      </c>
      <c r="V49" s="18" t="n">
        <v>-74268.42999999999</v>
      </c>
      <c r="W49" s="18" t="n">
        <v>-84532.03999999999</v>
      </c>
      <c r="X49" s="18" t="n">
        <v>-76663.28999999999</v>
      </c>
      <c r="Z49" s="9" t="n"/>
      <c r="AA49" s="18" t="n">
        <v>-77134.55</v>
      </c>
      <c r="AB49" s="19" t="n">
        <v>-48109.07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23412.08</v>
      </c>
      <c r="F50" s="34" t="n">
        <v>23412.08</v>
      </c>
      <c r="G50" s="18" t="n">
        <v>13458.13</v>
      </c>
      <c r="H50" s="18" t="n">
        <v>14898.32</v>
      </c>
      <c r="I50" s="18" t="n">
        <v>7501.62</v>
      </c>
      <c r="J50" s="18" t="n">
        <v>27629.01</v>
      </c>
      <c r="K50" s="34" t="n">
        <v>27629.01</v>
      </c>
      <c r="L50" s="18" t="n">
        <v>7169.07</v>
      </c>
      <c r="M50" s="18" t="n">
        <v>32485.85</v>
      </c>
      <c r="N50" s="18" t="n">
        <v>63503.91</v>
      </c>
      <c r="O50" s="18" t="n">
        <v>25105.98</v>
      </c>
      <c r="P50" s="34" t="n">
        <v>25105.98</v>
      </c>
      <c r="Q50" s="18" t="n">
        <v>27466.62</v>
      </c>
      <c r="R50" s="18" t="n">
        <v>27648.5</v>
      </c>
      <c r="S50" s="18" t="n">
        <v>12304.21</v>
      </c>
      <c r="T50" s="18" t="n">
        <v>55892.09</v>
      </c>
      <c r="U50" s="34" t="n">
        <v>55892.09</v>
      </c>
      <c r="V50" s="18" t="n">
        <v>91747.23</v>
      </c>
      <c r="W50" s="18" t="n">
        <v>91460.74000000001</v>
      </c>
      <c r="X50" s="18" t="n">
        <v>83830.99000000001</v>
      </c>
      <c r="Y50" s="18" t="n">
        <v>80617.88</v>
      </c>
      <c r="Z50" s="34" t="n">
        <v>80617.88</v>
      </c>
      <c r="AA50" s="18" t="n">
        <v>77349.52</v>
      </c>
      <c r="AB50" s="19" t="n">
        <v>48322.54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9817.040000000001</v>
      </c>
      <c r="K51" s="9" t="n"/>
      <c r="L51" s="18" t="n">
        <v>10082.69</v>
      </c>
      <c r="P51" s="9" t="n"/>
      <c r="Q51" s="18" t="n">
        <v>7258.28</v>
      </c>
      <c r="U51" s="9" t="n"/>
      <c r="V51" s="18" t="n">
        <v>10161.6</v>
      </c>
      <c r="W51" s="18" t="n">
        <v>0</v>
      </c>
      <c r="X51" s="18" t="n">
        <v>0</v>
      </c>
      <c r="Z51" s="9" t="n"/>
      <c r="AA51" s="18" t="n">
        <v>11973.25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기타포괄이익누계액</t>
        </is>
      </c>
      <c r="F52" s="9" t="n"/>
      <c r="J52" s="18" t="n">
        <v>0</v>
      </c>
      <c r="K52" s="34" t="n">
        <v>0</v>
      </c>
      <c r="O52" s="18" t="n">
        <v>0</v>
      </c>
      <c r="P52" s="34" t="n">
        <v>0</v>
      </c>
      <c r="Q52" s="18" t="n">
        <v>0</v>
      </c>
      <c r="R52" s="18" t="n">
        <v>0</v>
      </c>
      <c r="S52" s="18" t="n">
        <v>0</v>
      </c>
      <c r="U52" s="9" t="n"/>
      <c r="V52" s="18" t="n">
        <v>0</v>
      </c>
      <c r="W52" s="18" t="n">
        <v>0</v>
      </c>
      <c r="X52" s="18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K53" s="9" t="n"/>
      <c r="P53" s="9" t="n"/>
      <c r="Q53" s="18" t="n">
        <v>3414.39</v>
      </c>
      <c r="R53" s="18" t="n">
        <v>3553.61</v>
      </c>
      <c r="S53" s="18" t="n">
        <v>3615.92</v>
      </c>
      <c r="U53" s="9" t="n"/>
      <c r="V53" s="18" t="n">
        <v>3022.04</v>
      </c>
      <c r="W53" s="18" t="n">
        <v>2193.56</v>
      </c>
      <c r="X53" s="18" t="n">
        <v>2053.7</v>
      </c>
      <c r="Y53" s="18" t="n">
        <v>4053.75</v>
      </c>
      <c r="Z53" s="34" t="n">
        <v>4053.75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K54" s="9" t="n"/>
      <c r="P54" s="9" t="n"/>
      <c r="Q54" s="18" t="n">
        <v>3414.39</v>
      </c>
      <c r="R54" s="18" t="n">
        <v>3553.61</v>
      </c>
      <c r="S54" s="18" t="n">
        <v>3615.92</v>
      </c>
      <c r="U54" s="9" t="n"/>
      <c r="V54" s="18" t="n">
        <v>3022.04</v>
      </c>
      <c r="W54" s="18" t="n">
        <v>2193.56</v>
      </c>
      <c r="X54" s="18" t="n">
        <v>2053.7</v>
      </c>
      <c r="Y54" s="18" t="n">
        <v>11033.14</v>
      </c>
      <c r="Z54" s="34" t="n">
        <v>11033.14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장기매입채무및기타채무</t>
        </is>
      </c>
      <c r="F55" s="9" t="n"/>
      <c r="K55" s="9" t="n"/>
      <c r="P55" s="9" t="n"/>
      <c r="U55" s="9" t="n"/>
      <c r="Y55" s="18" t="n">
        <v>487.22</v>
      </c>
      <c r="Z55" s="34" t="n">
        <v>487.22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비유동리스부채</t>
        </is>
      </c>
      <c r="F56" s="9" t="n"/>
      <c r="K56" s="9" t="n"/>
      <c r="P56" s="9" t="n"/>
      <c r="U56" s="9" t="n"/>
      <c r="Y56" s="18" t="n">
        <v>6979.39</v>
      </c>
      <c r="Z56" s="34" t="n">
        <v>6979.39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</t>
        </is>
      </c>
      <c r="F57" s="9" t="n"/>
      <c r="K57" s="9" t="n"/>
      <c r="P57" s="9" t="n"/>
      <c r="U57" s="9" t="n"/>
      <c r="Y57" s="18" t="n">
        <v>7229.39</v>
      </c>
      <c r="Z57" s="34" t="n">
        <v>7229.39</v>
      </c>
      <c r="AA57" s="18" t="n">
        <v>250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U58" s="9" t="n"/>
      <c r="Y58" s="18" t="n">
        <v>250</v>
      </c>
      <c r="Z58" s="34" t="n">
        <v>250</v>
      </c>
      <c r="AA58" s="18" t="n">
        <v>250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104797.93</v>
      </c>
      <c r="F59" s="9" t="n"/>
      <c r="G59" s="18" t="n">
        <v>107884.52</v>
      </c>
      <c r="H59" s="18" t="n">
        <v>106559.59</v>
      </c>
      <c r="I59" s="18" t="n">
        <v>91260.83</v>
      </c>
      <c r="J59" s="18" t="n">
        <v>128446.62</v>
      </c>
      <c r="K59" s="34" t="n">
        <v>434151.56</v>
      </c>
      <c r="L59" s="18" t="n">
        <v>124083.17</v>
      </c>
      <c r="M59" s="18" t="n">
        <v>144000.06</v>
      </c>
      <c r="N59" s="18" t="n">
        <v>124305.41</v>
      </c>
      <c r="O59" s="18" t="n">
        <v>139020.11</v>
      </c>
      <c r="P59" s="34" t="n">
        <v>531408.75</v>
      </c>
      <c r="Q59" s="18" t="n">
        <v>137270.57</v>
      </c>
      <c r="R59" s="18" t="n">
        <v>137845.76</v>
      </c>
      <c r="S59" s="18" t="n">
        <v>136546.41</v>
      </c>
      <c r="T59" s="18" t="n">
        <v>185746.93</v>
      </c>
      <c r="U59" s="34" t="n">
        <v>597409.67</v>
      </c>
      <c r="V59" s="18" t="n">
        <v>172366.18</v>
      </c>
      <c r="W59" s="18" t="n">
        <v>193322.13</v>
      </c>
      <c r="X59" s="18" t="n">
        <v>201106.3</v>
      </c>
      <c r="Y59" s="18" t="n">
        <v>175391.4</v>
      </c>
      <c r="Z59" s="34" t="n">
        <v>742186.01</v>
      </c>
      <c r="AA59" s="18" t="n">
        <v>169129.36</v>
      </c>
      <c r="AB59" s="19" t="n">
        <v>224533.8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90360.33</v>
      </c>
      <c r="F60" s="9" t="n"/>
      <c r="G60" s="18" t="n">
        <v>99507.59</v>
      </c>
      <c r="H60" s="18" t="n">
        <v>94705.27</v>
      </c>
      <c r="I60" s="18" t="n">
        <v>75531.83</v>
      </c>
      <c r="J60" s="18" t="n">
        <v>123792.76</v>
      </c>
      <c r="K60" s="34" t="n">
        <v>393537.45</v>
      </c>
      <c r="L60" s="18" t="n">
        <v>114806.86</v>
      </c>
      <c r="M60" s="18" t="n">
        <v>127456.46</v>
      </c>
      <c r="N60" s="18" t="n">
        <v>105289.68</v>
      </c>
      <c r="O60" s="18" t="n">
        <v>115877.4</v>
      </c>
      <c r="P60" s="34" t="n">
        <v>463430.4</v>
      </c>
      <c r="Q60" s="18" t="n">
        <v>117961.53</v>
      </c>
      <c r="R60" s="18" t="n">
        <v>116561.43</v>
      </c>
      <c r="S60" s="18" t="n">
        <v>116066.92</v>
      </c>
      <c r="T60" s="18" t="n">
        <v>152253.01</v>
      </c>
      <c r="U60" s="34" t="n">
        <v>502842.89</v>
      </c>
      <c r="V60" s="18" t="n">
        <v>148449.51</v>
      </c>
      <c r="W60" s="18" t="n">
        <v>165314.88</v>
      </c>
      <c r="X60" s="18" t="n">
        <v>166399.92</v>
      </c>
      <c r="Y60" s="18" t="n">
        <v>141066.98</v>
      </c>
      <c r="Z60" s="34" t="n">
        <v>621231.29</v>
      </c>
      <c r="AA60" s="18" t="n">
        <v>137414.7</v>
      </c>
      <c r="AB60" s="19" t="n">
        <v>176733.88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14437.6</v>
      </c>
      <c r="F61" s="9" t="n"/>
      <c r="G61" s="18" t="n">
        <v>8376.92</v>
      </c>
      <c r="H61" s="18" t="n">
        <v>11854.32</v>
      </c>
      <c r="I61" s="18" t="n">
        <v>15729</v>
      </c>
      <c r="J61" s="18" t="n">
        <v>4653.86</v>
      </c>
      <c r="K61" s="34" t="n">
        <v>40614.1</v>
      </c>
      <c r="L61" s="18" t="n">
        <v>9276.309999999999</v>
      </c>
      <c r="M61" s="18" t="n">
        <v>16543.6</v>
      </c>
      <c r="N61" s="18" t="n">
        <v>19015.73</v>
      </c>
      <c r="O61" s="18" t="n">
        <v>23142.7</v>
      </c>
      <c r="P61" s="34" t="n">
        <v>67978.34</v>
      </c>
      <c r="Q61" s="18" t="n">
        <v>19309.04</v>
      </c>
      <c r="R61" s="18" t="n">
        <v>21284.33</v>
      </c>
      <c r="S61" s="18" t="n">
        <v>20479.49</v>
      </c>
      <c r="T61" s="18" t="n">
        <v>33493.93</v>
      </c>
      <c r="U61" s="34" t="n">
        <v>94566.78999999999</v>
      </c>
      <c r="V61" s="18" t="n">
        <v>23916.67</v>
      </c>
      <c r="W61" s="18" t="n">
        <v>28007.25</v>
      </c>
      <c r="X61" s="18" t="n">
        <v>34706.38</v>
      </c>
      <c r="Y61" s="18" t="n">
        <v>34324.42</v>
      </c>
      <c r="Z61" s="34" t="n">
        <v>120954.72</v>
      </c>
      <c r="AA61" s="18" t="n">
        <v>31714.65</v>
      </c>
      <c r="AB61" s="19" t="n">
        <v>47799.92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8535.450000000001</v>
      </c>
      <c r="F62" s="9" t="n"/>
      <c r="G62" s="18" t="n">
        <v>6931.75</v>
      </c>
      <c r="H62" s="18" t="n">
        <v>5905.48</v>
      </c>
      <c r="I62" s="18" t="n">
        <v>4500.7</v>
      </c>
      <c r="J62" s="18" t="n">
        <v>7696.16</v>
      </c>
      <c r="K62" s="34" t="n">
        <v>25034.09</v>
      </c>
      <c r="L62" s="18" t="n">
        <v>7858.37</v>
      </c>
      <c r="M62" s="18" t="n">
        <v>7917.46</v>
      </c>
      <c r="N62" s="18" t="n">
        <v>6944.84</v>
      </c>
      <c r="O62" s="18" t="n">
        <v>10145.6</v>
      </c>
      <c r="P62" s="34" t="n">
        <v>32866.27</v>
      </c>
      <c r="Q62" s="18" t="n">
        <v>9179.41</v>
      </c>
      <c r="R62" s="18" t="n">
        <v>8933.49</v>
      </c>
      <c r="S62" s="18" t="n">
        <v>9057.549999999999</v>
      </c>
      <c r="T62" s="18" t="n">
        <v>13379.73</v>
      </c>
      <c r="U62" s="34" t="n">
        <v>40550.18</v>
      </c>
      <c r="V62" s="18" t="n">
        <v>11382.42</v>
      </c>
      <c r="W62" s="18" t="n">
        <v>11073.37</v>
      </c>
      <c r="X62" s="18" t="n">
        <v>11099.49</v>
      </c>
      <c r="Y62" s="18" t="n">
        <v>14720.68</v>
      </c>
      <c r="Z62" s="34" t="n">
        <v>48275.96</v>
      </c>
      <c r="AA62" s="18" t="n">
        <v>11857.85</v>
      </c>
      <c r="AB62" s="19" t="n">
        <v>11837.98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5902.15</v>
      </c>
      <c r="F63" s="9" t="n"/>
      <c r="G63" s="18" t="n">
        <v>1445.17</v>
      </c>
      <c r="H63" s="18" t="n">
        <v>5948.84</v>
      </c>
      <c r="I63" s="18" t="n">
        <v>11228.3</v>
      </c>
      <c r="J63" s="18" t="n">
        <v>-3042.3</v>
      </c>
      <c r="K63" s="34" t="n">
        <v>15580.01</v>
      </c>
      <c r="L63" s="18" t="n">
        <v>1417.95</v>
      </c>
      <c r="M63" s="18" t="n">
        <v>8626.139999999999</v>
      </c>
      <c r="N63" s="18" t="n">
        <v>12070.88</v>
      </c>
      <c r="O63" s="18" t="n">
        <v>12997.1</v>
      </c>
      <c r="P63" s="34" t="n">
        <v>35112.07</v>
      </c>
      <c r="Q63" s="18" t="n">
        <v>10129.63</v>
      </c>
      <c r="R63" s="18" t="n">
        <v>12350.84</v>
      </c>
      <c r="S63" s="18" t="n">
        <v>11421.94</v>
      </c>
      <c r="T63" s="18" t="n">
        <v>20114.2</v>
      </c>
      <c r="U63" s="34" t="n">
        <v>54016.61</v>
      </c>
      <c r="V63" s="18" t="n">
        <v>12534.26</v>
      </c>
      <c r="W63" s="18" t="n">
        <v>16933.88</v>
      </c>
      <c r="X63" s="18" t="n">
        <v>23606.89</v>
      </c>
      <c r="Y63" s="18" t="n">
        <v>19603.73</v>
      </c>
      <c r="Z63" s="34" t="n">
        <v>72678.75999999999</v>
      </c>
      <c r="AA63" s="18" t="n">
        <v>19856.8</v>
      </c>
      <c r="AB63" s="19" t="n">
        <v>35961.94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161.23</v>
      </c>
      <c r="F64" s="9" t="n"/>
      <c r="G64" s="18" t="n">
        <v>202.41</v>
      </c>
      <c r="H64" s="18" t="n">
        <v>-150.42</v>
      </c>
      <c r="I64" s="18" t="n">
        <v>33.66</v>
      </c>
      <c r="J64" s="18" t="n">
        <v>-0.01</v>
      </c>
      <c r="K64" s="34" t="n">
        <v>85.64</v>
      </c>
      <c r="L64" s="18" t="n">
        <v>70.43000000000001</v>
      </c>
      <c r="M64" s="18" t="n">
        <v>92.3</v>
      </c>
      <c r="N64" s="18" t="n">
        <v>241.87</v>
      </c>
      <c r="O64" s="18" t="n">
        <v>472.75</v>
      </c>
      <c r="P64" s="34" t="n">
        <v>877.35</v>
      </c>
      <c r="Q64" s="18" t="n">
        <v>238.63</v>
      </c>
      <c r="R64" s="18" t="n">
        <v>302.49</v>
      </c>
      <c r="S64" s="18" t="n">
        <v>210.78</v>
      </c>
      <c r="T64" s="18" t="n">
        <v>86.02</v>
      </c>
      <c r="U64" s="34" t="n">
        <v>837.92</v>
      </c>
      <c r="V64" s="18" t="n">
        <v>344.61</v>
      </c>
      <c r="W64" s="18" t="n">
        <v>451.68</v>
      </c>
      <c r="X64" s="18" t="n">
        <v>617.33</v>
      </c>
      <c r="Y64" s="18" t="n">
        <v>534.22</v>
      </c>
      <c r="Z64" s="34" t="n">
        <v>1947.84</v>
      </c>
      <c r="AA64" s="18" t="n">
        <v>378.79</v>
      </c>
      <c r="AB64" s="19" t="n">
        <v>336.38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669.15</v>
      </c>
      <c r="F65" s="9" t="n"/>
      <c r="G65" s="18" t="n">
        <v>394.4</v>
      </c>
      <c r="H65" s="18" t="n">
        <v>497.69</v>
      </c>
      <c r="I65" s="18" t="n">
        <v>681.08</v>
      </c>
      <c r="J65" s="18" t="n">
        <v>862.01</v>
      </c>
      <c r="K65" s="34" t="n">
        <v>2435.18</v>
      </c>
      <c r="L65" s="18" t="n">
        <v>894.03</v>
      </c>
      <c r="M65" s="18" t="n">
        <v>1331.89</v>
      </c>
      <c r="N65" s="18" t="n">
        <v>1282.64</v>
      </c>
      <c r="O65" s="18" t="n">
        <v>1376.9</v>
      </c>
      <c r="P65" s="34" t="n">
        <v>4885.46</v>
      </c>
      <c r="Q65" s="18" t="n">
        <v>624.71</v>
      </c>
      <c r="R65" s="18" t="n">
        <v>629.24</v>
      </c>
      <c r="S65" s="18" t="n">
        <v>581.29</v>
      </c>
      <c r="T65" s="18" t="n">
        <v>397.85</v>
      </c>
      <c r="U65" s="34" t="n">
        <v>2233.09</v>
      </c>
      <c r="V65" s="18" t="n">
        <v>235.93</v>
      </c>
      <c r="W65" s="18" t="n">
        <v>175.91</v>
      </c>
      <c r="X65" s="18" t="n">
        <v>103.23</v>
      </c>
      <c r="Y65" s="18" t="n">
        <v>99.41</v>
      </c>
      <c r="Z65" s="34" t="n">
        <v>614.48</v>
      </c>
      <c r="AA65" s="18" t="n">
        <v>161.25</v>
      </c>
      <c r="AB65" s="19" t="n">
        <v>113.25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808.45</v>
      </c>
      <c r="F66" s="9" t="n"/>
      <c r="G66" s="18" t="n">
        <v>2524.31</v>
      </c>
      <c r="H66" s="18" t="n">
        <v>2957.33</v>
      </c>
      <c r="I66" s="18" t="n">
        <v>5507.12</v>
      </c>
      <c r="J66" s="18" t="n">
        <v>5281.01</v>
      </c>
      <c r="K66" s="34" t="n">
        <v>16269.77</v>
      </c>
      <c r="L66" s="18" t="n">
        <v>8137.36</v>
      </c>
      <c r="M66" s="18" t="n">
        <v>4623.13</v>
      </c>
      <c r="N66" s="18" t="n">
        <v>4266.03</v>
      </c>
      <c r="O66" s="18" t="n">
        <v>2107.74</v>
      </c>
      <c r="P66" s="34" t="n">
        <v>19134.26</v>
      </c>
      <c r="Q66" s="18" t="n">
        <v>2898.08</v>
      </c>
      <c r="R66" s="18" t="n">
        <v>1972.42</v>
      </c>
      <c r="S66" s="18" t="n">
        <v>581.1799999999999</v>
      </c>
      <c r="T66" s="18" t="n">
        <v>4827.26</v>
      </c>
      <c r="U66" s="34" t="n">
        <v>10278.94</v>
      </c>
      <c r="V66" s="18" t="n">
        <v>4843.95</v>
      </c>
      <c r="W66" s="18" t="n">
        <v>3524.16</v>
      </c>
      <c r="X66" s="18" t="n">
        <v>4471.32</v>
      </c>
      <c r="Y66" s="18" t="n">
        <v>2280.13</v>
      </c>
      <c r="Z66" s="34" t="n">
        <v>15119.56</v>
      </c>
      <c r="AA66" s="18" t="n">
        <v>5152.47</v>
      </c>
      <c r="AB66" s="19" t="n">
        <v>2946.67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1452.18</v>
      </c>
      <c r="F67" s="9" t="n"/>
      <c r="G67" s="18" t="n">
        <v>3027.64</v>
      </c>
      <c r="H67" s="18" t="n">
        <v>4349.29</v>
      </c>
      <c r="I67" s="18" t="n">
        <v>9874.02</v>
      </c>
      <c r="J67" s="18" t="n">
        <v>-651.29</v>
      </c>
      <c r="K67" s="34" t="n">
        <v>16599.66</v>
      </c>
      <c r="L67" s="18" t="n">
        <v>8042.55</v>
      </c>
      <c r="M67" s="18" t="n">
        <v>2800</v>
      </c>
      <c r="N67" s="18" t="n">
        <v>2868.01</v>
      </c>
      <c r="O67" s="18" t="n">
        <v>4014.54</v>
      </c>
      <c r="P67" s="34" t="n">
        <v>17725.1</v>
      </c>
      <c r="Q67" s="18" t="n">
        <v>1603.27</v>
      </c>
      <c r="R67" s="18" t="n">
        <v>8703.790000000001</v>
      </c>
      <c r="S67" s="18" t="n">
        <v>718.73</v>
      </c>
      <c r="T67" s="18" t="n">
        <v>8127.96</v>
      </c>
      <c r="U67" s="34" t="n">
        <v>19153.75</v>
      </c>
      <c r="V67" s="18" t="n">
        <v>4093.5</v>
      </c>
      <c r="W67" s="18" t="n">
        <v>8396.77</v>
      </c>
      <c r="X67" s="18" t="n">
        <v>2434.66</v>
      </c>
      <c r="Y67" s="18" t="n">
        <v>2583.78</v>
      </c>
      <c r="Z67" s="34" t="n">
        <v>17508.71</v>
      </c>
      <c r="AA67" s="18" t="n">
        <v>3796.4</v>
      </c>
      <c r="AB67" s="19" t="n">
        <v>3365.67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715.67</v>
      </c>
      <c r="F68" s="9" t="n"/>
      <c r="G68" s="18" t="n">
        <v>1129.24</v>
      </c>
      <c r="H68" s="18" t="n">
        <v>-527.34</v>
      </c>
      <c r="I68" s="18" t="n">
        <v>109.31</v>
      </c>
      <c r="J68" s="18" t="n">
        <v>543.37</v>
      </c>
      <c r="K68" s="34" t="n">
        <v>1254.58</v>
      </c>
      <c r="L68" s="18" t="n">
        <v>183.45</v>
      </c>
      <c r="M68" s="18" t="n">
        <v>534.98</v>
      </c>
      <c r="N68" s="18" t="n">
        <v>488.31</v>
      </c>
      <c r="O68" s="18" t="n">
        <v>806.45</v>
      </c>
      <c r="P68" s="34" t="n">
        <v>2013.19</v>
      </c>
      <c r="Q68" s="18" t="n">
        <v>265.6</v>
      </c>
      <c r="R68" s="18" t="n">
        <v>-1111.77</v>
      </c>
      <c r="S68" s="18" t="n">
        <v>344.71</v>
      </c>
      <c r="T68" s="18" t="n">
        <v>7656.19</v>
      </c>
      <c r="U68" s="34" t="n">
        <v>7154.73</v>
      </c>
      <c r="V68" s="18" t="n">
        <v>-31.25</v>
      </c>
      <c r="W68" s="18" t="n">
        <v>428.88</v>
      </c>
      <c r="X68" s="18" t="n">
        <v>660.34</v>
      </c>
      <c r="Y68" s="18" t="n">
        <v>697.29</v>
      </c>
      <c r="Z68" s="34" t="n">
        <v>1755.26</v>
      </c>
      <c r="AA68" s="18" t="n">
        <v>931.99</v>
      </c>
      <c r="AB68" s="19" t="n">
        <v>652.46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5466.16</v>
      </c>
      <c r="F69" s="9" t="n"/>
      <c r="G69" s="18" t="n">
        <v>1882.65</v>
      </c>
      <c r="H69" s="18" t="n">
        <v>3381.43</v>
      </c>
      <c r="I69" s="18" t="n">
        <v>6323.29</v>
      </c>
      <c r="J69" s="18" t="n">
        <v>2571.31</v>
      </c>
      <c r="K69" s="34" t="n">
        <v>14158.68</v>
      </c>
      <c r="L69" s="18" t="n">
        <v>872.6</v>
      </c>
      <c r="M69" s="18" t="n">
        <v>9746.27</v>
      </c>
      <c r="N69" s="18" t="n">
        <v>12916.45</v>
      </c>
      <c r="O69" s="18" t="n">
        <v>10992.59</v>
      </c>
      <c r="P69" s="34" t="n">
        <v>34527.91</v>
      </c>
      <c r="Q69" s="18" t="n">
        <v>11303.97</v>
      </c>
      <c r="R69" s="18" t="n">
        <v>4183.63</v>
      </c>
      <c r="S69" s="18" t="n">
        <v>11258.59</v>
      </c>
      <c r="T69" s="18" t="n">
        <v>24157.84</v>
      </c>
      <c r="U69" s="34" t="n">
        <v>50904.03</v>
      </c>
      <c r="V69" s="18" t="n">
        <v>13362.14</v>
      </c>
      <c r="W69" s="18" t="n">
        <v>12769.17</v>
      </c>
      <c r="X69" s="18" t="n">
        <v>26817.98</v>
      </c>
      <c r="Y69" s="18" t="n">
        <v>20431.92</v>
      </c>
      <c r="Z69" s="34" t="n">
        <v>73381.21000000001</v>
      </c>
      <c r="AA69" s="18" t="n">
        <v>22360.93</v>
      </c>
      <c r="AB69" s="19" t="n">
        <v>36419.47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1440.64</v>
      </c>
      <c r="F70" s="9" t="n"/>
      <c r="G70" s="18" t="n">
        <v>1764.97</v>
      </c>
      <c r="H70" s="18" t="n">
        <v>1305.96</v>
      </c>
      <c r="I70" s="18" t="n">
        <v>1974.62</v>
      </c>
      <c r="J70" s="18" t="n">
        <v>451.04</v>
      </c>
      <c r="K70" s="34" t="n">
        <v>5496.59</v>
      </c>
      <c r="L70" s="18" t="n">
        <v>450.39</v>
      </c>
      <c r="M70" s="18" t="n">
        <v>1779.79</v>
      </c>
      <c r="N70" s="18" t="n">
        <v>3183.29</v>
      </c>
      <c r="O70" s="18" t="n">
        <v>2719.86</v>
      </c>
      <c r="P70" s="34" t="n">
        <v>8133.33</v>
      </c>
      <c r="Q70" s="18" t="n">
        <v>2608</v>
      </c>
      <c r="R70" s="18" t="n">
        <v>897.9299999999999</v>
      </c>
      <c r="S70" s="18" t="n">
        <v>2553.84</v>
      </c>
      <c r="T70" s="18" t="n">
        <v>5474.57</v>
      </c>
      <c r="U70" s="34" t="n">
        <v>11534.34</v>
      </c>
      <c r="V70" s="18" t="n">
        <v>4336.33</v>
      </c>
      <c r="W70" s="18" t="n">
        <v>1739.85</v>
      </c>
      <c r="X70" s="18" t="n">
        <v>6233.57</v>
      </c>
      <c r="Y70" s="18" t="n">
        <v>4886.91</v>
      </c>
      <c r="Z70" s="34" t="n">
        <v>17196.66</v>
      </c>
      <c r="AA70" s="18" t="n">
        <v>5236.16</v>
      </c>
      <c r="AB70" s="19" t="n">
        <v>9826.200000000001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4025.52</v>
      </c>
      <c r="F71" s="9" t="n"/>
      <c r="G71" s="18" t="n">
        <v>117.68</v>
      </c>
      <c r="H71" s="18" t="n">
        <v>2075.46</v>
      </c>
      <c r="I71" s="18" t="n">
        <v>4348.67</v>
      </c>
      <c r="J71" s="18" t="n">
        <v>2120.27</v>
      </c>
      <c r="K71" s="34" t="n">
        <v>8662.08</v>
      </c>
      <c r="L71" s="18" t="n">
        <v>422.21</v>
      </c>
      <c r="M71" s="18" t="n">
        <v>7966.48</v>
      </c>
      <c r="N71" s="18" t="n">
        <v>9733.16</v>
      </c>
      <c r="O71" s="18" t="n">
        <v>8272.73</v>
      </c>
      <c r="P71" s="34" t="n">
        <v>26394.58</v>
      </c>
      <c r="Q71" s="18" t="n">
        <v>8695.969999999999</v>
      </c>
      <c r="R71" s="18" t="n">
        <v>3285.69</v>
      </c>
      <c r="S71" s="18" t="n">
        <v>8704.75</v>
      </c>
      <c r="T71" s="18" t="n">
        <v>18683.27</v>
      </c>
      <c r="U71" s="34" t="n">
        <v>39369.68</v>
      </c>
      <c r="V71" s="18" t="n">
        <v>9025.82</v>
      </c>
      <c r="W71" s="18" t="n">
        <v>11029.32</v>
      </c>
      <c r="X71" s="18" t="n">
        <v>20584.41</v>
      </c>
      <c r="Y71" s="18" t="n">
        <v>15545.02</v>
      </c>
      <c r="Z71" s="34" t="n">
        <v>56184.57</v>
      </c>
      <c r="AA71" s="18" t="n">
        <v>17124.77</v>
      </c>
      <c r="AB71" s="19" t="n">
        <v>26593.27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4037.04</v>
      </c>
      <c r="F72" s="9" t="n"/>
      <c r="G72" s="18" t="n">
        <v>80.09</v>
      </c>
      <c r="H72" s="18" t="n">
        <v>2036.85</v>
      </c>
      <c r="I72" s="18" t="n">
        <v>4323.32</v>
      </c>
      <c r="J72" s="18" t="n">
        <v>2863.29</v>
      </c>
      <c r="K72" s="34" t="n">
        <v>9303.549999999999</v>
      </c>
      <c r="L72" s="18" t="n">
        <v>378.65</v>
      </c>
      <c r="M72" s="18" t="n">
        <v>7900.94</v>
      </c>
      <c r="N72" s="18" t="n">
        <v>9689.469999999999</v>
      </c>
      <c r="O72" s="18" t="n">
        <v>7888.28</v>
      </c>
      <c r="P72" s="34" t="n">
        <v>25857.34</v>
      </c>
      <c r="Q72" s="18" t="n">
        <v>8630.26</v>
      </c>
      <c r="R72" s="18" t="n">
        <v>3250.97</v>
      </c>
      <c r="S72" s="18" t="n">
        <v>8664.85</v>
      </c>
      <c r="T72" s="18" t="n">
        <v>17904.01</v>
      </c>
      <c r="U72" s="34" t="n">
        <v>38450.09</v>
      </c>
      <c r="V72" s="18" t="n">
        <v>9011.27</v>
      </c>
      <c r="W72" s="18" t="n">
        <v>11003.88</v>
      </c>
      <c r="X72" s="18" t="n">
        <v>20546.49</v>
      </c>
      <c r="Y72" s="18" t="n">
        <v>15044.43</v>
      </c>
      <c r="Z72" s="34" t="n">
        <v>55606.07</v>
      </c>
      <c r="AA72" s="18" t="n">
        <v>17017.61</v>
      </c>
      <c r="AB72" s="19" t="n">
        <v>26525.34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-507.92</v>
      </c>
      <c r="F73" s="9" t="n"/>
      <c r="G73" s="18" t="n">
        <v>-191.99</v>
      </c>
      <c r="H73" s="18" t="n">
        <v>-648.11</v>
      </c>
      <c r="I73" s="18" t="n">
        <v>-647.42</v>
      </c>
      <c r="J73" s="18" t="n">
        <v>-862.02</v>
      </c>
      <c r="K73" s="34" t="n">
        <v>-2349.54</v>
      </c>
      <c r="L73" s="18" t="n">
        <v>-823.6</v>
      </c>
      <c r="M73" s="18" t="n">
        <v>-1239.59</v>
      </c>
      <c r="N73" s="18" t="n">
        <v>-1040.77</v>
      </c>
      <c r="O73" s="18" t="n">
        <v>-904.15</v>
      </c>
      <c r="P73" s="34" t="n">
        <v>-4008.11</v>
      </c>
      <c r="Q73" s="18" t="n">
        <v>-386.08</v>
      </c>
      <c r="R73" s="18" t="n">
        <v>-326.75</v>
      </c>
      <c r="S73" s="18" t="n">
        <v>-370.51</v>
      </c>
      <c r="T73" s="18" t="n">
        <v>-311.83</v>
      </c>
      <c r="U73" s="34" t="n">
        <v>-1395.17</v>
      </c>
      <c r="V73" s="18" t="n">
        <v>108.68</v>
      </c>
      <c r="W73" s="18" t="n">
        <v>275.77</v>
      </c>
      <c r="X73" s="18" t="n">
        <v>514.1</v>
      </c>
      <c r="Y73" s="18" t="n">
        <v>434.81</v>
      </c>
      <c r="Z73" s="34" t="n">
        <v>1333.36</v>
      </c>
      <c r="AA73" s="18" t="n">
        <v>217.54</v>
      </c>
      <c r="AB73" s="19" t="n">
        <v>223.13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4025.52</v>
      </c>
      <c r="F74" s="9" t="n"/>
      <c r="G74" s="18" t="n">
        <v>117.68</v>
      </c>
      <c r="H74" s="18" t="n">
        <v>2075.46</v>
      </c>
      <c r="I74" s="18" t="n">
        <v>4348.67</v>
      </c>
      <c r="J74" s="18" t="n">
        <v>2120.27</v>
      </c>
      <c r="K74" s="34" t="n">
        <v>8662.08</v>
      </c>
      <c r="L74" s="18" t="n">
        <v>422.21</v>
      </c>
      <c r="M74" s="18" t="n">
        <v>7966.48</v>
      </c>
      <c r="N74" s="18" t="n">
        <v>9733.16</v>
      </c>
      <c r="O74" s="18" t="n">
        <v>8272.73</v>
      </c>
      <c r="P74" s="34" t="n">
        <v>26394.58</v>
      </c>
      <c r="Q74" s="18" t="n">
        <v>8695.969999999999</v>
      </c>
      <c r="R74" s="18" t="n">
        <v>3285.69</v>
      </c>
      <c r="S74" s="18" t="n">
        <v>8704.75</v>
      </c>
      <c r="T74" s="18" t="n">
        <v>18683.27</v>
      </c>
      <c r="U74" s="34" t="n">
        <v>39369.68</v>
      </c>
      <c r="V74" s="18" t="n">
        <v>9025.82</v>
      </c>
      <c r="W74" s="18" t="n">
        <v>11029.32</v>
      </c>
      <c r="X74" s="18" t="n">
        <v>20584.41</v>
      </c>
      <c r="Y74" s="18" t="n">
        <v>15545.02</v>
      </c>
      <c r="Z74" s="34" t="n">
        <v>56184.57</v>
      </c>
      <c r="AA74" s="18" t="n">
        <v>17124.77</v>
      </c>
      <c r="AB74" s="19" t="n">
        <v>26593.27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4025.52</v>
      </c>
      <c r="F75" s="9" t="n"/>
      <c r="G75" s="18" t="n">
        <v>117.68</v>
      </c>
      <c r="H75" s="18" t="n">
        <v>2075.46</v>
      </c>
      <c r="I75" s="18" t="n">
        <v>4348.67</v>
      </c>
      <c r="J75" s="18" t="n">
        <v>2120.27</v>
      </c>
      <c r="K75" s="34" t="n">
        <v>8662.08</v>
      </c>
      <c r="L75" s="18" t="n">
        <v>422.21</v>
      </c>
      <c r="M75" s="18" t="n">
        <v>7966.48</v>
      </c>
      <c r="N75" s="18" t="n">
        <v>9733.16</v>
      </c>
      <c r="O75" s="18" t="n">
        <v>8272.73</v>
      </c>
      <c r="P75" s="34" t="n">
        <v>26394.58</v>
      </c>
      <c r="Q75" s="18" t="n">
        <v>8695.969999999999</v>
      </c>
      <c r="R75" s="18" t="n">
        <v>3285.69</v>
      </c>
      <c r="S75" s="18" t="n">
        <v>8704.75</v>
      </c>
      <c r="T75" s="18" t="n">
        <v>18683.27</v>
      </c>
      <c r="U75" s="34" t="n">
        <v>39369.68</v>
      </c>
      <c r="V75" s="18" t="n">
        <v>9025.82</v>
      </c>
      <c r="W75" s="18" t="n">
        <v>11029.32</v>
      </c>
      <c r="X75" s="18" t="n">
        <v>20584.41</v>
      </c>
      <c r="Y75" s="18" t="n">
        <v>15545.02</v>
      </c>
      <c r="Z75" s="34" t="n">
        <v>56184.57</v>
      </c>
      <c r="AA75" s="18" t="n">
        <v>17124.77</v>
      </c>
      <c r="AB75" s="19" t="n">
        <v>26593.27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-6279.96</v>
      </c>
      <c r="F76" s="9" t="n"/>
      <c r="G76" s="18" t="n">
        <v>-8981.879999999999</v>
      </c>
      <c r="H76" s="18" t="n">
        <v>784.73</v>
      </c>
      <c r="I76" s="18" t="n">
        <v>-17427.67</v>
      </c>
      <c r="J76" s="18" t="n">
        <v>35634.65</v>
      </c>
      <c r="K76" s="34" t="n">
        <v>10009.83</v>
      </c>
      <c r="L76" s="18" t="n">
        <v>-32202.56</v>
      </c>
      <c r="M76" s="18" t="n">
        <v>27933.77</v>
      </c>
      <c r="N76" s="18" t="n">
        <v>41983.7</v>
      </c>
      <c r="O76" s="18" t="n">
        <v>24973.82</v>
      </c>
      <c r="P76" s="34" t="n">
        <v>62688.73</v>
      </c>
      <c r="Q76" s="18" t="n">
        <v>8545.889999999999</v>
      </c>
      <c r="R76" s="18" t="n">
        <v>13766.6</v>
      </c>
      <c r="S76" s="18" t="n">
        <v>-3711.91</v>
      </c>
      <c r="T76" s="18" t="n">
        <v>49004.67</v>
      </c>
      <c r="U76" s="34" t="n">
        <v>67605.25</v>
      </c>
      <c r="V76" s="18" t="n">
        <v>41916.66</v>
      </c>
      <c r="W76" s="18" t="n">
        <v>30365.38</v>
      </c>
      <c r="X76" s="18" t="n">
        <v>13129.34</v>
      </c>
      <c r="Y76" s="18" t="n">
        <v>-313.02</v>
      </c>
      <c r="Z76" s="34" t="n">
        <v>85098.36</v>
      </c>
      <c r="AA76" s="18" t="n">
        <v>-2991.36</v>
      </c>
      <c r="AB76" s="19" t="n">
        <v>-14380.19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0</v>
      </c>
      <c r="F77" s="9" t="n"/>
      <c r="G77" s="18" t="n">
        <v>3.56</v>
      </c>
      <c r="H77" s="18" t="n">
        <v>0</v>
      </c>
      <c r="I77" s="18" t="n">
        <v>0</v>
      </c>
      <c r="J77" s="18" t="n">
        <v>0</v>
      </c>
      <c r="K77" s="34" t="n">
        <v>3.56</v>
      </c>
      <c r="L77" s="18" t="n">
        <v>0</v>
      </c>
      <c r="M77" s="18" t="n">
        <v>1.62</v>
      </c>
      <c r="N77" s="18" t="n">
        <v>0</v>
      </c>
      <c r="O77" s="18" t="n">
        <v>0</v>
      </c>
      <c r="P77" s="34" t="n">
        <v>1.62</v>
      </c>
      <c r="Q77" s="18" t="n">
        <v>0</v>
      </c>
      <c r="R77" s="18" t="n">
        <v>2.67</v>
      </c>
      <c r="S77" s="18" t="n">
        <v>0</v>
      </c>
      <c r="T77" s="18" t="n">
        <v>0</v>
      </c>
      <c r="U77" s="34" t="n">
        <v>2.67</v>
      </c>
      <c r="V77" s="18" t="n">
        <v>0</v>
      </c>
      <c r="W77" s="18" t="n">
        <v>3.24</v>
      </c>
      <c r="X77" s="18" t="n">
        <v>0</v>
      </c>
      <c r="Z77" s="9" t="n"/>
      <c r="AA77" s="18" t="n">
        <v>0</v>
      </c>
      <c r="AB77" s="19" t="n">
        <v>2.43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-643.12</v>
      </c>
      <c r="F78" s="9" t="n"/>
      <c r="G78" s="18" t="n">
        <v>-2880.34</v>
      </c>
      <c r="H78" s="18" t="n">
        <v>-3518.62</v>
      </c>
      <c r="I78" s="18" t="n">
        <v>-3197.62</v>
      </c>
      <c r="J78" s="18" t="n">
        <v>-4.12</v>
      </c>
      <c r="K78" s="34" t="n">
        <v>-9600.700000000001</v>
      </c>
      <c r="L78" s="18" t="n">
        <v>-616.28</v>
      </c>
      <c r="M78" s="18" t="n">
        <v>-954.63</v>
      </c>
      <c r="N78" s="18" t="n">
        <v>0</v>
      </c>
      <c r="O78" s="18" t="n">
        <v>-1918.69</v>
      </c>
      <c r="P78" s="34" t="n">
        <v>-3489.6</v>
      </c>
      <c r="Q78" s="18" t="n">
        <v>-33.15</v>
      </c>
      <c r="R78" s="18" t="n">
        <v>-5328.67</v>
      </c>
      <c r="S78" s="18" t="n">
        <v>-3089.53</v>
      </c>
      <c r="T78" s="18" t="n">
        <v>-18.5</v>
      </c>
      <c r="U78" s="34" t="n">
        <v>-8469.85</v>
      </c>
      <c r="V78" s="18" t="n">
        <v>-3716.25</v>
      </c>
      <c r="W78" s="18" t="n">
        <v>-4744.94</v>
      </c>
      <c r="X78" s="18" t="n">
        <v>-3201.4</v>
      </c>
      <c r="Y78" s="18" t="n">
        <v>-2610.88</v>
      </c>
      <c r="Z78" s="34" t="n">
        <v>-14273.47</v>
      </c>
      <c r="AA78" s="18" t="n">
        <v>-5943.64</v>
      </c>
      <c r="AB78" s="19" t="n">
        <v>-8186.49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-2781.87</v>
      </c>
      <c r="F79" s="9" t="n"/>
      <c r="G79" s="18" t="n">
        <v>-655.91</v>
      </c>
      <c r="H79" s="18" t="n">
        <v>-1085.8</v>
      </c>
      <c r="I79" s="18" t="n">
        <v>-1819</v>
      </c>
      <c r="J79" s="18" t="n">
        <v>-893.77</v>
      </c>
      <c r="K79" s="34" t="n">
        <v>-4454.48</v>
      </c>
      <c r="L79" s="18" t="n">
        <v>-2218.2</v>
      </c>
      <c r="M79" s="18" t="n">
        <v>-5919.2</v>
      </c>
      <c r="N79" s="18" t="n">
        <v>-2933.96</v>
      </c>
      <c r="O79" s="18" t="n">
        <v>-5920.62</v>
      </c>
      <c r="P79" s="34" t="n">
        <v>-16991.98</v>
      </c>
      <c r="Q79" s="18" t="n">
        <v>-7725.9</v>
      </c>
      <c r="R79" s="18" t="n">
        <v>-5465.84</v>
      </c>
      <c r="S79" s="18" t="n">
        <v>-8498.440000000001</v>
      </c>
      <c r="T79" s="18" t="n">
        <v>-147.35</v>
      </c>
      <c r="U79" s="34" t="n">
        <v>-21837.53</v>
      </c>
      <c r="V79" s="18" t="n">
        <v>-5116.68</v>
      </c>
      <c r="W79" s="18" t="n">
        <v>-5988</v>
      </c>
      <c r="X79" s="18" t="n">
        <v>-22635.28</v>
      </c>
      <c r="Y79" s="18" t="n">
        <v>-2587.05</v>
      </c>
      <c r="Z79" s="34" t="n">
        <v>-36327.01</v>
      </c>
      <c r="AA79" s="18" t="n">
        <v>9384.27</v>
      </c>
      <c r="AB79" s="19" t="n">
        <v>-1675.19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970.02</v>
      </c>
      <c r="F80" s="9" t="n"/>
      <c r="G80" s="18" t="n">
        <v>980.91</v>
      </c>
      <c r="H80" s="18" t="n">
        <v>1094.2</v>
      </c>
      <c r="I80" s="18" t="n">
        <v>1821.14</v>
      </c>
      <c r="J80" s="18" t="n">
        <v>828.88</v>
      </c>
      <c r="K80" s="34" t="n">
        <v>4725.13</v>
      </c>
      <c r="L80" s="18" t="n">
        <v>1580.9</v>
      </c>
      <c r="M80" s="18" t="n">
        <v>6545.13</v>
      </c>
      <c r="N80" s="18" t="n">
        <v>2110.67</v>
      </c>
      <c r="O80" s="18" t="n">
        <v>5393.63</v>
      </c>
      <c r="P80" s="34" t="n">
        <v>15630.33</v>
      </c>
      <c r="Q80" s="18" t="n">
        <v>7129.45</v>
      </c>
      <c r="R80" s="18" t="n">
        <v>5493.54</v>
      </c>
      <c r="S80" s="18" t="n">
        <v>8464.75</v>
      </c>
      <c r="T80" s="18" t="n">
        <v>2156.34</v>
      </c>
      <c r="U80" s="34" t="n">
        <v>23244.08</v>
      </c>
      <c r="V80" s="18" t="n">
        <v>5186.7</v>
      </c>
      <c r="W80" s="18" t="n">
        <v>6164.93</v>
      </c>
      <c r="X80" s="18" t="n">
        <v>2111.73</v>
      </c>
      <c r="Y80" s="18" t="n">
        <v>2175.51</v>
      </c>
      <c r="Z80" s="34" t="n">
        <v>15638.87</v>
      </c>
      <c r="AA80" s="18" t="n">
        <v>1004.46</v>
      </c>
      <c r="AB80" s="19" t="n">
        <v>1231.16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973.12</v>
      </c>
      <c r="F81" s="9" t="n"/>
      <c r="G81" s="18" t="n">
        <v>986.91</v>
      </c>
      <c r="H81" s="18" t="n">
        <v>1094.2</v>
      </c>
      <c r="I81" s="18" t="n">
        <v>1821.14</v>
      </c>
      <c r="J81" s="18" t="n">
        <v>829.73</v>
      </c>
      <c r="K81" s="34" t="n">
        <v>4731.98</v>
      </c>
      <c r="L81" s="18" t="n">
        <v>1580.9</v>
      </c>
      <c r="M81" s="18" t="n">
        <v>6545.13</v>
      </c>
      <c r="N81" s="18" t="n">
        <v>2302.44</v>
      </c>
      <c r="O81" s="18" t="n">
        <v>6021.5</v>
      </c>
      <c r="P81" s="34" t="n">
        <v>16449.97</v>
      </c>
      <c r="Q81" s="18" t="n">
        <v>7362.5</v>
      </c>
      <c r="R81" s="18" t="n">
        <v>5498.1</v>
      </c>
      <c r="S81" s="18" t="n">
        <v>8510.91</v>
      </c>
      <c r="T81" s="18" t="n">
        <v>2168.84</v>
      </c>
      <c r="U81" s="34" t="n">
        <v>23540.35</v>
      </c>
      <c r="V81" s="18" t="n">
        <v>5221.46</v>
      </c>
      <c r="W81" s="18" t="n">
        <v>6239.03</v>
      </c>
      <c r="X81" s="18" t="n">
        <v>2448.75</v>
      </c>
      <c r="Y81" s="18" t="n">
        <v>2230.42</v>
      </c>
      <c r="Z81" s="34" t="n">
        <v>16139.66</v>
      </c>
      <c r="AA81" s="18" t="n">
        <v>1175.61</v>
      </c>
      <c r="AB81" s="19" t="n">
        <v>1289.68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0</v>
      </c>
      <c r="K82" s="34" t="n">
        <v>0</v>
      </c>
      <c r="L82" s="18" t="n">
        <v>0</v>
      </c>
      <c r="P82" s="9" t="n"/>
      <c r="Q82" s="18" t="n">
        <v>0</v>
      </c>
      <c r="R82" s="18" t="n">
        <v>0</v>
      </c>
      <c r="S82" s="18" t="n">
        <v>0</v>
      </c>
      <c r="T82" s="18" t="n">
        <v>0</v>
      </c>
      <c r="U82" s="34" t="n">
        <v>0</v>
      </c>
      <c r="V82" s="18" t="n">
        <v>0</v>
      </c>
      <c r="W82" s="18" t="n">
        <v>0</v>
      </c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3.1</v>
      </c>
      <c r="F83" s="9" t="n"/>
      <c r="G83" s="18" t="n">
        <v>6</v>
      </c>
      <c r="H83" s="18" t="n">
        <v>0</v>
      </c>
      <c r="I83" s="18" t="n">
        <v>0</v>
      </c>
      <c r="J83" s="18" t="n">
        <v>0.85</v>
      </c>
      <c r="K83" s="34" t="n">
        <v>6.85</v>
      </c>
      <c r="L83" s="18" t="n">
        <v>0</v>
      </c>
      <c r="M83" s="18" t="n">
        <v>0</v>
      </c>
      <c r="N83" s="18" t="n">
        <v>191.77</v>
      </c>
      <c r="O83" s="18" t="n">
        <v>627.87</v>
      </c>
      <c r="P83" s="34" t="n">
        <v>819.64</v>
      </c>
      <c r="Q83" s="18" t="n">
        <v>233.05</v>
      </c>
      <c r="R83" s="18" t="n">
        <v>4.56</v>
      </c>
      <c r="S83" s="18" t="n">
        <v>46.16</v>
      </c>
      <c r="T83" s="18" t="n">
        <v>12.5</v>
      </c>
      <c r="U83" s="34" t="n">
        <v>296.27</v>
      </c>
      <c r="V83" s="18" t="n">
        <v>34.76</v>
      </c>
      <c r="W83" s="18" t="n">
        <v>74.09999999999999</v>
      </c>
      <c r="X83" s="18" t="n">
        <v>337.02</v>
      </c>
      <c r="Y83" s="18" t="n">
        <v>54.91</v>
      </c>
      <c r="Z83" s="34" t="n">
        <v>500.79</v>
      </c>
      <c r="AA83" s="18" t="n">
        <v>171.15</v>
      </c>
      <c r="AB83" s="19" t="n">
        <v>58.52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10243.8</v>
      </c>
      <c r="F84" s="9" t="n"/>
      <c r="G84" s="18" t="n">
        <v>54.57</v>
      </c>
      <c r="H84" s="18" t="n">
        <v>1154.56</v>
      </c>
      <c r="I84" s="18" t="n">
        <v>11035.93</v>
      </c>
      <c r="J84" s="18" t="n">
        <v>-12765.96</v>
      </c>
      <c r="K84" s="34" t="n">
        <v>-520.9</v>
      </c>
      <c r="L84" s="18" t="n">
        <v>14304.91</v>
      </c>
      <c r="M84" s="18" t="n">
        <v>3288.47</v>
      </c>
      <c r="N84" s="18" t="n">
        <v>-8265.360000000001</v>
      </c>
      <c r="O84" s="18" t="n">
        <v>-57162.07</v>
      </c>
      <c r="P84" s="34" t="n">
        <v>-47834.05</v>
      </c>
      <c r="Q84" s="18" t="n">
        <v>1326.76</v>
      </c>
      <c r="R84" s="18" t="n">
        <v>-8209.24</v>
      </c>
      <c r="S84" s="18" t="n">
        <v>-2816.15</v>
      </c>
      <c r="T84" s="18" t="n">
        <v>-5897.22</v>
      </c>
      <c r="U84" s="34" t="n">
        <v>-15595.85</v>
      </c>
      <c r="V84" s="18" t="n">
        <v>-396.91</v>
      </c>
      <c r="W84" s="18" t="n">
        <v>-21811.53</v>
      </c>
      <c r="X84" s="18" t="n">
        <v>-1034.75</v>
      </c>
      <c r="Y84" s="18" t="n">
        <v>-1158.71</v>
      </c>
      <c r="Z84" s="34" t="n">
        <v>-24401.9</v>
      </c>
      <c r="AA84" s="18" t="n">
        <v>-8178.71</v>
      </c>
      <c r="AB84" s="19" t="n">
        <v>-13006.45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42678.14</v>
      </c>
      <c r="F85" s="9" t="n"/>
      <c r="G85" s="18" t="n">
        <v>16474.12</v>
      </c>
      <c r="H85" s="18" t="n">
        <v>52050.46</v>
      </c>
      <c r="I85" s="18" t="n">
        <v>31230.73</v>
      </c>
      <c r="J85" s="18" t="n">
        <v>19353.74</v>
      </c>
      <c r="K85" s="34" t="n">
        <v>119109.05</v>
      </c>
      <c r="L85" s="18" t="n">
        <v>31490.72</v>
      </c>
      <c r="M85" s="18" t="n">
        <v>27954.36</v>
      </c>
      <c r="N85" s="18" t="n">
        <v>13142.11</v>
      </c>
      <c r="O85" s="18" t="n">
        <v>36612.62</v>
      </c>
      <c r="P85" s="34" t="n">
        <v>109199.81</v>
      </c>
      <c r="Q85" s="18" t="n">
        <v>17605.53</v>
      </c>
      <c r="R85" s="18" t="n">
        <v>7003.97</v>
      </c>
      <c r="S85" s="18" t="n">
        <v>6589.18</v>
      </c>
      <c r="T85" s="18" t="n">
        <v>0</v>
      </c>
      <c r="U85" s="34" t="n">
        <v>31198.68</v>
      </c>
      <c r="V85" s="18" t="n">
        <v>7215</v>
      </c>
      <c r="W85" s="18" t="n">
        <v>0</v>
      </c>
      <c r="X85" s="18" t="n">
        <v>0</v>
      </c>
      <c r="Y85" s="18" t="n">
        <v>0</v>
      </c>
      <c r="Z85" s="34" t="n">
        <v>7215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31421.71</v>
      </c>
      <c r="F86" s="9" t="n"/>
      <c r="G86" s="18" t="n">
        <v>15428.27</v>
      </c>
      <c r="H86" s="18" t="n">
        <v>40101.21</v>
      </c>
      <c r="I86" s="18" t="n">
        <v>20094.12</v>
      </c>
      <c r="J86" s="18" t="n">
        <v>32046.25</v>
      </c>
      <c r="K86" s="34" t="n">
        <v>107669.85</v>
      </c>
      <c r="L86" s="18" t="n">
        <v>17126.52</v>
      </c>
      <c r="M86" s="18" t="n">
        <v>12960.26</v>
      </c>
      <c r="N86" s="18" t="n">
        <v>20543.06</v>
      </c>
      <c r="O86" s="18" t="n">
        <v>93110.72</v>
      </c>
      <c r="P86" s="34" t="n">
        <v>143740.56</v>
      </c>
      <c r="Q86" s="18" t="n">
        <v>15447</v>
      </c>
      <c r="R86" s="18" t="n">
        <v>7083.57</v>
      </c>
      <c r="S86" s="18" t="n">
        <v>8530.219999999999</v>
      </c>
      <c r="T86" s="18" t="n">
        <v>5000</v>
      </c>
      <c r="U86" s="34" t="n">
        <v>36060.79</v>
      </c>
      <c r="V86" s="18" t="n">
        <v>6664.5</v>
      </c>
      <c r="W86" s="18" t="n">
        <v>10685.5</v>
      </c>
      <c r="X86" s="18" t="n">
        <v>0</v>
      </c>
      <c r="Y86" s="18" t="n">
        <v>0</v>
      </c>
      <c r="Z86" s="34" t="n">
        <v>17350</v>
      </c>
      <c r="AA86" s="18" t="n">
        <v>7174.5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4" t="n">
        <v>0</v>
      </c>
      <c r="L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4" t="n">
        <v>0</v>
      </c>
      <c r="V87" s="18" t="n">
        <v>0</v>
      </c>
      <c r="W87" s="18" t="n">
        <v>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E88" s="18" t="n">
        <v>882.08</v>
      </c>
      <c r="F88" s="9" t="n"/>
      <c r="G88" s="18" t="n">
        <v>889.12</v>
      </c>
      <c r="H88" s="18" t="n">
        <v>889.13</v>
      </c>
      <c r="I88" s="18" t="n">
        <v>0</v>
      </c>
      <c r="J88" s="18" t="n">
        <v>0</v>
      </c>
      <c r="K88" s="34" t="n">
        <v>1778.25</v>
      </c>
      <c r="L88" s="18" t="n">
        <v>0</v>
      </c>
      <c r="M88" s="18" t="n">
        <v>0</v>
      </c>
      <c r="N88" s="18" t="n">
        <v>0</v>
      </c>
      <c r="O88" s="18" t="n">
        <v>0</v>
      </c>
      <c r="P88" s="34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4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Q89" s="18" t="n">
        <v>0</v>
      </c>
      <c r="R89" s="18" t="n">
        <v>7258.28</v>
      </c>
      <c r="S89" s="18" t="n">
        <v>0</v>
      </c>
      <c r="T89" s="18" t="n">
        <v>0</v>
      </c>
      <c r="U89" s="34" t="n">
        <v>7258.28</v>
      </c>
      <c r="V89" s="18" t="n">
        <v>0</v>
      </c>
      <c r="W89" s="18" t="n">
        <v>10161.6</v>
      </c>
      <c r="X89" s="18" t="n">
        <v>0</v>
      </c>
      <c r="Y89" s="18" t="n">
        <v>0</v>
      </c>
      <c r="Z89" s="34" t="n">
        <v>10161.6</v>
      </c>
      <c r="AA89" s="18" t="n">
        <v>0</v>
      </c>
      <c r="AB89" s="19" t="n">
        <v>11973.25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자기주식의취득</t>
        </is>
      </c>
      <c r="E90" s="18" t="n">
        <v>0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2185.69</v>
      </c>
      <c r="F91" s="9" t="n"/>
      <c r="G91" s="18" t="n">
        <v>-19246.45</v>
      </c>
      <c r="H91" s="18" t="n">
        <v>1882.65</v>
      </c>
      <c r="I91" s="18" t="n">
        <v>-16443.01</v>
      </c>
      <c r="J91" s="18" t="n">
        <v>43044.29</v>
      </c>
      <c r="K91" s="34" t="n">
        <v>9237.48</v>
      </c>
      <c r="L91" s="18" t="n">
        <v>-40232.75</v>
      </c>
      <c r="M91" s="18" t="n">
        <v>50609.13</v>
      </c>
      <c r="N91" s="18" t="n">
        <v>61738.37</v>
      </c>
      <c r="O91" s="18" t="n">
        <v>-76521.35000000001</v>
      </c>
      <c r="P91" s="34" t="n">
        <v>-4406.6</v>
      </c>
      <c r="Q91" s="18" t="n">
        <v>4570.95</v>
      </c>
      <c r="R91" s="18" t="n">
        <v>49.96</v>
      </c>
      <c r="S91" s="18" t="n">
        <v>-30366.24</v>
      </c>
      <c r="T91" s="18" t="n">
        <v>86114.74000000001</v>
      </c>
      <c r="U91" s="34" t="n">
        <v>60369.41</v>
      </c>
      <c r="V91" s="18" t="n">
        <v>72858.48</v>
      </c>
      <c r="W91" s="18" t="n">
        <v>2260.46</v>
      </c>
      <c r="X91" s="18" t="n">
        <v>-18095.86</v>
      </c>
      <c r="Y91" s="18" t="n">
        <v>-33172.94</v>
      </c>
      <c r="Z91" s="34" t="n">
        <v>23850.14</v>
      </c>
      <c r="AA91" s="18" t="n">
        <v>-1781.64</v>
      </c>
      <c r="AB91" s="19" t="n">
        <v>-29025.47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1003.71</v>
      </c>
      <c r="F92" s="9" t="n"/>
      <c r="G92" s="18" t="n">
        <v>13271.54</v>
      </c>
      <c r="H92" s="18" t="n">
        <v>1029.16</v>
      </c>
      <c r="I92" s="18" t="n">
        <v>-8232.27</v>
      </c>
      <c r="J92" s="18" t="n">
        <v>21069.38</v>
      </c>
      <c r="K92" s="34" t="n">
        <v>27137.81</v>
      </c>
      <c r="L92" s="18" t="n">
        <v>7020.91</v>
      </c>
      <c r="M92" s="18" t="n">
        <v>25306.08</v>
      </c>
      <c r="N92" s="18" t="n">
        <v>30954</v>
      </c>
      <c r="O92" s="18" t="n">
        <v>-38412.48</v>
      </c>
      <c r="P92" s="34" t="n">
        <v>24868.51</v>
      </c>
      <c r="Q92" s="18" t="n">
        <v>27292.71</v>
      </c>
      <c r="R92" s="18" t="n">
        <v>-41.56</v>
      </c>
      <c r="S92" s="18" t="n">
        <v>-15339.74</v>
      </c>
      <c r="T92" s="18" t="n">
        <v>43154.64</v>
      </c>
      <c r="U92" s="34" t="n">
        <v>55066.05</v>
      </c>
      <c r="V92" s="18" t="n">
        <v>91521.45</v>
      </c>
      <c r="W92" s="18" t="n">
        <v>-305.39</v>
      </c>
      <c r="X92" s="18" t="n">
        <v>-7555.16</v>
      </c>
      <c r="Y92" s="18" t="n">
        <v>-4744.71</v>
      </c>
      <c r="Z92" s="34" t="n">
        <v>78916.19</v>
      </c>
      <c r="AA92" s="18" t="n">
        <v>77134.55</v>
      </c>
      <c r="AB92" s="19" t="n">
        <v>-29025.48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F93" s="9" t="n"/>
      <c r="G93" s="18" t="n">
        <v>3.49</v>
      </c>
      <c r="H93" s="18" t="n">
        <v>0</v>
      </c>
      <c r="I93" s="18" t="n">
        <v>0</v>
      </c>
      <c r="J93" s="18" t="n">
        <v>0</v>
      </c>
      <c r="K93" s="34" t="n">
        <v>3.49</v>
      </c>
      <c r="L93" s="18" t="n">
        <v>0</v>
      </c>
      <c r="M93" s="18" t="n">
        <v>0.7</v>
      </c>
      <c r="N93" s="18" t="n">
        <v>108.61</v>
      </c>
      <c r="O93" s="18" t="n">
        <v>2.87</v>
      </c>
      <c r="P93" s="34" t="n">
        <v>112.18</v>
      </c>
      <c r="Q93" s="18" t="n">
        <v>5.54</v>
      </c>
      <c r="R93" s="18" t="n">
        <v>3.01</v>
      </c>
      <c r="S93" s="18" t="n">
        <v>0</v>
      </c>
      <c r="T93" s="18" t="n">
        <v>5.03</v>
      </c>
      <c r="U93" s="34" t="n">
        <v>13.58</v>
      </c>
      <c r="V93" s="18" t="n">
        <v>1.4</v>
      </c>
      <c r="W93" s="18" t="n">
        <v>2.73</v>
      </c>
      <c r="X93" s="18" t="n">
        <v>20.49</v>
      </c>
      <c r="Y93" s="18" t="n">
        <v>3.18</v>
      </c>
      <c r="Z93" s="34" t="n">
        <v>27.8</v>
      </c>
      <c r="AA93" s="18" t="n">
        <v>144.68</v>
      </c>
      <c r="AB93" s="19" t="n">
        <v>5.56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I94" s="18" t="n">
        <v>100.69</v>
      </c>
      <c r="K94" s="9" t="n"/>
      <c r="N94" s="18" t="n">
        <v>864.41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P95" s="9" t="n"/>
      <c r="Q95" s="18" t="n">
        <v>238.63</v>
      </c>
      <c r="R95" s="18" t="n">
        <v>302.49</v>
      </c>
      <c r="S95" s="18" t="n">
        <v>210.78</v>
      </c>
      <c r="U95" s="9" t="n"/>
      <c r="V95" s="18" t="n">
        <v>344.61</v>
      </c>
      <c r="W95" s="18" t="n">
        <v>451.68</v>
      </c>
      <c r="X95" s="18" t="n">
        <v>617.33</v>
      </c>
      <c r="Y95" s="18" t="n">
        <v>371.03</v>
      </c>
      <c r="Z95" s="34" t="n">
        <v>1784.65</v>
      </c>
      <c r="AA95" s="18" t="n">
        <v>394.99</v>
      </c>
      <c r="AB95" s="19" t="n">
        <v>270.81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이자지급(CF)</t>
        </is>
      </c>
      <c r="F96" s="9" t="n"/>
      <c r="K96" s="9" t="n"/>
      <c r="P96" s="9" t="n"/>
      <c r="Q96" s="18" t="n">
        <v>-385.21</v>
      </c>
      <c r="R96" s="18" t="n">
        <v>-382.75</v>
      </c>
      <c r="U96" s="9" t="n"/>
      <c r="Z96" s="9" t="n"/>
      <c r="AA96" s="18" t="n">
        <v>-164.22</v>
      </c>
      <c r="AB96" s="19" t="n">
        <v>-113.25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0.0481</v>
      </c>
      <c r="F10" s="34" t="n"/>
      <c r="G10" s="18" t="n">
        <v>0.0121</v>
      </c>
      <c r="H10" s="18" t="n">
        <v>0.0547</v>
      </c>
      <c r="I10" s="18" t="n">
        <v>0.1227</v>
      </c>
      <c r="J10" s="18" t="n">
        <v>-0.0238</v>
      </c>
      <c r="K10" s="34">
        <f>SUM(G10:J10)</f>
        <v/>
      </c>
      <c r="L10" s="18" t="n">
        <v>0.0294</v>
      </c>
      <c r="M10" s="18" t="n">
        <v>0.0599</v>
      </c>
      <c r="N10" s="18" t="n">
        <v>0.09760000000000001</v>
      </c>
      <c r="O10" s="18" t="n">
        <v>0.0931</v>
      </c>
      <c r="P10" s="34">
        <f>SUM(L10:O10)</f>
        <v/>
      </c>
      <c r="Q10" s="18" t="n">
        <v>0.0738</v>
      </c>
      <c r="R10" s="18" t="n">
        <v>0.0895</v>
      </c>
      <c r="S10" s="18" t="n">
        <v>0.08359999999999999</v>
      </c>
      <c r="T10" s="18" t="n">
        <v>0.1083</v>
      </c>
      <c r="U10" s="34">
        <f>SUM(Q10:T10)</f>
        <v/>
      </c>
      <c r="V10" s="18" t="n">
        <v>0.0727</v>
      </c>
      <c r="W10" s="18" t="n">
        <v>0.0876</v>
      </c>
      <c r="X10" s="18" t="n">
        <v>0.1169</v>
      </c>
      <c r="Y10" s="18" t="n">
        <v>0.1117</v>
      </c>
      <c r="Z10" s="34">
        <f>SUM(V10:Y10)</f>
        <v/>
      </c>
      <c r="AA10" s="18" t="n">
        <v>0.1174</v>
      </c>
      <c r="AB10" s="19" t="n">
        <v>0.1601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 t="n"/>
      <c r="H12" s="18" t="n"/>
      <c r="I12" s="18" t="n"/>
      <c r="J12" s="18" t="n"/>
      <c r="K12" s="34">
        <f>SUM(G12:J12)</f>
        <v/>
      </c>
      <c r="L12" s="18" t="n"/>
      <c r="M12" s="18" t="n"/>
      <c r="N12" s="18" t="n"/>
      <c r="O12" s="18" t="n"/>
      <c r="P12" s="34">
        <f>SUM(L12:O12)</f>
        <v/>
      </c>
      <c r="Q12" s="18" t="n"/>
      <c r="R12" s="18" t="n"/>
      <c r="S12" s="18" t="n"/>
      <c r="T12" s="18" t="n"/>
      <c r="U12" s="34">
        <f>SUM(Q12:T12)</f>
        <v/>
      </c>
      <c r="V12" s="18" t="n"/>
      <c r="W12" s="18" t="n"/>
      <c r="X12" s="18" t="n"/>
      <c r="Y12" s="18" t="n"/>
      <c r="Z12" s="34">
        <f>SUM(V12:Y12)</f>
        <v/>
      </c>
      <c r="AA12" s="18" t="n"/>
      <c r="AB12" s="19" t="n"/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5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5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 t="n">
        <v>0</v>
      </c>
      <c r="AD22" s="20" t="n">
        <v>0</v>
      </c>
      <c r="AE22" s="35">
        <f>AD22</f>
        <v/>
      </c>
      <c r="AF22" s="20" t="n">
        <v>0</v>
      </c>
      <c r="AG22" s="20" t="n">
        <v>0</v>
      </c>
      <c r="AH22" s="20" t="n">
        <v>0</v>
      </c>
      <c r="AI22" s="20" t="n">
        <v>0</v>
      </c>
      <c r="AJ22" s="35">
        <f>AI22</f>
        <v/>
      </c>
      <c r="AK22" s="20" t="n">
        <v>0</v>
      </c>
      <c r="AL22" s="20" t="n">
        <v>0</v>
      </c>
      <c r="AM22" s="20" t="n">
        <v>0</v>
      </c>
      <c r="AN22" s="20" t="n">
        <v>0</v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 t="n"/>
      <c r="P26" s="34">
        <f>SUM(L26:O26)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-76.34</v>
      </c>
      <c r="F27" s="34" t="n"/>
      <c r="G27" s="18" t="n">
        <v>-90.45</v>
      </c>
      <c r="H27" s="18" t="n">
        <v>6.97</v>
      </c>
      <c r="I27" s="18" t="n">
        <v>-179.51</v>
      </c>
      <c r="J27" s="18" t="n">
        <v>360.27</v>
      </c>
      <c r="K27" s="34">
        <f>SUM(G27:J27)</f>
        <v/>
      </c>
      <c r="L27" s="18" t="n">
        <v>-301.35</v>
      </c>
      <c r="M27" s="18" t="n">
        <v>276.47</v>
      </c>
      <c r="N27" s="18" t="n">
        <v>399.51</v>
      </c>
      <c r="O27" s="18" t="n">
        <v>272.62</v>
      </c>
      <c r="P27" s="34">
        <f>SUM(L27:O27)</f>
        <v/>
      </c>
      <c r="Q27" s="18" t="n">
        <v>86.34999999999999</v>
      </c>
      <c r="R27" s="18" t="n">
        <v>136.56</v>
      </c>
      <c r="S27" s="18" t="n">
        <v>-37.14</v>
      </c>
      <c r="T27" s="18" t="n">
        <v>490.02</v>
      </c>
      <c r="U27" s="34">
        <f>SUM(Q27:T27)</f>
        <v/>
      </c>
      <c r="V27" s="18" t="n">
        <v>419.15</v>
      </c>
      <c r="W27" s="18" t="n">
        <v>303.64</v>
      </c>
      <c r="X27" s="18" t="n">
        <v>130.33</v>
      </c>
      <c r="Y27" s="18" t="n">
        <v>-6.1</v>
      </c>
      <c r="Z27" s="34">
        <f>SUM(V27:Y27)</f>
        <v/>
      </c>
      <c r="AA27" s="18" t="n">
        <v>-29.94</v>
      </c>
      <c r="AB27" s="19" t="n">
        <v>-144.02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28.049</v>
      </c>
      <c r="F28" s="27">
        <f>E28</f>
        <v/>
      </c>
      <c r="G28" s="26" t="n">
        <v>28.371</v>
      </c>
      <c r="H28" s="26" t="n">
        <v>28.669</v>
      </c>
      <c r="I28" s="26" t="n">
        <v>28.808</v>
      </c>
      <c r="J28" s="26" t="n">
        <v>28.808</v>
      </c>
      <c r="K28" s="27">
        <f>J28</f>
        <v/>
      </c>
      <c r="L28" s="26" t="n">
        <v>28.808</v>
      </c>
      <c r="M28" s="26" t="n">
        <v>29.033</v>
      </c>
      <c r="N28" s="26" t="n">
        <v>29.033</v>
      </c>
      <c r="O28" s="26" t="n">
        <v>29.033</v>
      </c>
      <c r="P28" s="27">
        <f>O28</f>
        <v/>
      </c>
      <c r="Q28" s="26" t="n">
        <v>29.033</v>
      </c>
      <c r="R28" s="26" t="n">
        <v>29.033</v>
      </c>
      <c r="S28" s="26" t="n">
        <v>29.033</v>
      </c>
      <c r="T28" s="26" t="n">
        <v>29.033</v>
      </c>
      <c r="U28" s="27">
        <f>T28</f>
        <v/>
      </c>
      <c r="V28" s="26" t="n">
        <v>29.933</v>
      </c>
      <c r="W28" s="26" t="n">
        <v>29.933</v>
      </c>
      <c r="X28" s="26" t="n">
        <v>29.933</v>
      </c>
      <c r="Y28" s="26" t="n">
        <v>29.933</v>
      </c>
      <c r="Z28" s="27">
        <f>Y28</f>
        <v/>
      </c>
      <c r="AA28" s="26" t="n">
        <v>29.933</v>
      </c>
      <c r="AB28" s="28" t="n">
        <v>29.941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350</v>
      </c>
      <c r="F31" s="34" t="n">
        <v>350</v>
      </c>
      <c r="G31" s="18" t="n"/>
      <c r="H31" s="18" t="n"/>
      <c r="I31" s="18" t="n"/>
      <c r="J31" s="18" t="n">
        <v>350</v>
      </c>
      <c r="K31" s="34">
        <f>SUM(G31:J31)</f>
        <v/>
      </c>
      <c r="L31" s="18" t="n"/>
      <c r="M31" s="18" t="n"/>
      <c r="N31" s="18" t="n"/>
      <c r="O31" s="18" t="n">
        <v>250</v>
      </c>
      <c r="P31" s="34">
        <f>SUM(L31:O31)</f>
        <v/>
      </c>
      <c r="Q31" s="18" t="n"/>
      <c r="R31" s="18" t="n"/>
      <c r="S31" s="18" t="n"/>
      <c r="T31" s="18" t="n">
        <v>350</v>
      </c>
      <c r="U31" s="34">
        <f>SUM(Q31:T31)</f>
        <v/>
      </c>
      <c r="V31" s="18" t="n"/>
      <c r="W31" s="18" t="n"/>
      <c r="X31" s="18" t="n"/>
      <c r="Y31" s="18" t="n">
        <v>400</v>
      </c>
      <c r="Z31" s="34">
        <f>SUM(V31:Y31)</f>
        <v/>
      </c>
      <c r="AA31" s="18" t="n"/>
      <c r="AB31" s="19" t="n"/>
      <c r="AC31" s="20" t="n"/>
      <c r="AD31" s="20">
        <f>IFERROR(Y31*(1+변수!AD40),"")</f>
        <v/>
      </c>
      <c r="AE31" s="35">
        <f>SUM(AA31:AD31)</f>
        <v/>
      </c>
      <c r="AF31" s="20" t="n"/>
      <c r="AG31" s="20" t="n"/>
      <c r="AH31" s="20" t="n"/>
      <c r="AI31" s="20">
        <f>IFERROR(AD31*(1+변수!AI40),"")</f>
        <v/>
      </c>
      <c r="AJ31" s="35">
        <f>SUM(AF31:AI31)</f>
        <v/>
      </c>
      <c r="AK31" s="20" t="n"/>
      <c r="AL31" s="20" t="n"/>
      <c r="AM31" s="20" t="n"/>
      <c r="AN31" s="20">
        <f>IFERROR(AI31*(1+변수!AN40),"")</f>
        <v/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>
        <v>29.24</v>
      </c>
      <c r="J32" s="18" t="n">
        <v>37.88</v>
      </c>
      <c r="K32" s="34">
        <f>SUM(G32:J32)</f>
        <v/>
      </c>
      <c r="L32" s="18" t="n">
        <v>29.47</v>
      </c>
      <c r="M32" s="18" t="n">
        <v>19.71</v>
      </c>
      <c r="N32" s="18" t="n">
        <v>17.33</v>
      </c>
      <c r="O32" s="18" t="n">
        <v>12.22</v>
      </c>
      <c r="P32" s="34">
        <f>SUM(L32:O32)</f>
        <v/>
      </c>
      <c r="Q32" s="18" t="n">
        <v>9.800000000000001</v>
      </c>
      <c r="R32" s="18" t="n">
        <v>12.01</v>
      </c>
      <c r="S32" s="18" t="n">
        <v>12.42</v>
      </c>
      <c r="T32" s="18" t="n">
        <v>9.41</v>
      </c>
      <c r="U32" s="34">
        <f>SUM(Q32:T32)</f>
        <v/>
      </c>
      <c r="V32" s="18" t="n">
        <v>15.49</v>
      </c>
      <c r="W32" s="18" t="n">
        <v>15.82</v>
      </c>
      <c r="X32" s="18" t="n">
        <v>14.17</v>
      </c>
      <c r="Y32" s="18" t="n">
        <v>15.31</v>
      </c>
      <c r="Z32" s="34">
        <f>SUM(V32:Y32)</f>
        <v/>
      </c>
      <c r="AA32" s="18" t="n">
        <v>12.8</v>
      </c>
      <c r="AB32" s="19" t="n">
        <v>8.77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2.28</v>
      </c>
      <c r="F33" s="34" t="n">
        <v>2.27</v>
      </c>
      <c r="G33" s="18" t="n">
        <v>2.29</v>
      </c>
      <c r="H33" s="18" t="n">
        <v>2.33</v>
      </c>
      <c r="I33" s="18" t="n">
        <v>2.32</v>
      </c>
      <c r="J33" s="18" t="n">
        <v>2.15</v>
      </c>
      <c r="K33" s="34">
        <f>SUM(G33:J33)</f>
        <v/>
      </c>
      <c r="L33" s="18" t="n">
        <v>2.23</v>
      </c>
      <c r="M33" s="18" t="n">
        <v>2.24</v>
      </c>
      <c r="N33" s="18" t="n">
        <v>2.44</v>
      </c>
      <c r="O33" s="18" t="n">
        <v>2.08</v>
      </c>
      <c r="P33" s="34">
        <f>SUM(L33:O33)</f>
        <v/>
      </c>
      <c r="Q33" s="18" t="n">
        <v>2</v>
      </c>
      <c r="R33" s="18" t="n">
        <v>2.08</v>
      </c>
      <c r="S33" s="18" t="n">
        <v>1.97</v>
      </c>
      <c r="T33" s="18" t="n">
        <v>1.83</v>
      </c>
      <c r="U33" s="34">
        <f>SUM(Q33:T33)</f>
        <v/>
      </c>
      <c r="V33" s="18" t="n">
        <v>2.95</v>
      </c>
      <c r="W33" s="18" t="n">
        <v>3.42</v>
      </c>
      <c r="X33" s="18" t="n">
        <v>3.47</v>
      </c>
      <c r="Y33" s="18" t="n">
        <v>3.3</v>
      </c>
      <c r="Z33" s="34">
        <f>SUM(V33:Y33)</f>
        <v/>
      </c>
      <c r="AA33" s="18" t="n">
        <v>3.1</v>
      </c>
      <c r="AB33" s="19" t="n">
        <v>2.4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1052.96</v>
      </c>
      <c r="F34" s="34" t="n"/>
      <c r="G34" s="18" t="n">
        <v>1078.85</v>
      </c>
      <c r="H34" s="18" t="n">
        <v>1065.6</v>
      </c>
      <c r="I34" s="18" t="n">
        <v>912.61</v>
      </c>
      <c r="J34" s="18" t="n">
        <v>1284.47</v>
      </c>
      <c r="K34" s="34">
        <f>SUM(G34:J34)</f>
        <v/>
      </c>
      <c r="L34" s="18" t="n">
        <v>1240.83</v>
      </c>
      <c r="M34" s="18" t="n">
        <v>1440</v>
      </c>
      <c r="N34" s="18" t="n">
        <v>1243.05</v>
      </c>
      <c r="O34" s="18" t="n">
        <v>1390.2</v>
      </c>
      <c r="P34" s="34">
        <f>SUM(L34:O34)</f>
        <v/>
      </c>
      <c r="Q34" s="18" t="n">
        <v>1372.71</v>
      </c>
      <c r="R34" s="18" t="n">
        <v>1378.46</v>
      </c>
      <c r="S34" s="18" t="n">
        <v>1365.46</v>
      </c>
      <c r="T34" s="18" t="n">
        <v>1857.47</v>
      </c>
      <c r="U34" s="34">
        <f>SUM(Q34:T34)</f>
        <v/>
      </c>
      <c r="V34" s="18" t="n">
        <v>1723.66</v>
      </c>
      <c r="W34" s="18" t="n">
        <v>1933.22</v>
      </c>
      <c r="X34" s="18" t="n">
        <v>2011.06</v>
      </c>
      <c r="Y34" s="18" t="n">
        <v>1753.91</v>
      </c>
      <c r="Z34" s="34">
        <f>SUM(V34:Y34)</f>
        <v/>
      </c>
      <c r="AA34" s="18" t="n">
        <v>1691.29</v>
      </c>
      <c r="AB34" s="19" t="n">
        <v>2245.34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50.6</v>
      </c>
      <c r="F35" s="34" t="n"/>
      <c r="G35" s="18" t="n">
        <v>13.04</v>
      </c>
      <c r="H35" s="18" t="n">
        <v>58.33</v>
      </c>
      <c r="I35" s="18" t="n">
        <v>111.93</v>
      </c>
      <c r="J35" s="18" t="n">
        <v>-30.54</v>
      </c>
      <c r="K35" s="34">
        <f>SUM(G35:J35)</f>
        <v/>
      </c>
      <c r="L35" s="18" t="n">
        <v>36.54</v>
      </c>
      <c r="M35" s="18" t="n">
        <v>86.2</v>
      </c>
      <c r="N35" s="18" t="n">
        <v>121.27</v>
      </c>
      <c r="O35" s="18" t="n">
        <v>129.4</v>
      </c>
      <c r="P35" s="34">
        <f>SUM(L35:O35)</f>
        <v/>
      </c>
      <c r="Q35" s="18" t="n">
        <v>101.26</v>
      </c>
      <c r="R35" s="18" t="n">
        <v>123.32</v>
      </c>
      <c r="S35" s="18" t="n">
        <v>114.19</v>
      </c>
      <c r="T35" s="18" t="n">
        <v>201.11</v>
      </c>
      <c r="U35" s="34">
        <f>SUM(Q35:T35)</f>
        <v/>
      </c>
      <c r="V35" s="18" t="n">
        <v>125.33</v>
      </c>
      <c r="W35" s="18" t="n">
        <v>169.32</v>
      </c>
      <c r="X35" s="18" t="n">
        <v>235.1</v>
      </c>
      <c r="Y35" s="18" t="n">
        <v>195.83</v>
      </c>
      <c r="Z35" s="34">
        <f>SUM(V35:Y35)</f>
        <v/>
      </c>
      <c r="AA35" s="18" t="n">
        <v>198.54</v>
      </c>
      <c r="AB35" s="19" t="n">
        <v>359.4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2669.6</v>
      </c>
    </row>
    <row r="30">
      <c r="C30" s="2" t="inlineStr">
        <is>
          <t>bps_latest</t>
        </is>
      </c>
      <c r="D30" t="n">
        <v>9705.1</v>
      </c>
    </row>
    <row r="31">
      <c r="C31" s="2" t="inlineStr">
        <is>
          <t>per_now</t>
        </is>
      </c>
      <c r="D31" t="n">
        <v>5.85</v>
      </c>
    </row>
    <row r="32">
      <c r="C32" s="2" t="inlineStr">
        <is>
          <t>pbr_now</t>
        </is>
      </c>
      <c r="D32" t="n">
        <v>1.61</v>
      </c>
    </row>
    <row r="33">
      <c r="C33" s="2" t="inlineStr">
        <is>
          <t>roe_fwd</t>
        </is>
      </c>
      <c r="D33" t="n">
        <v>0.2751</v>
      </c>
    </row>
    <row r="34">
      <c r="C34" s="2" t="inlineStr">
        <is>
          <t>fair_pbr</t>
        </is>
      </c>
      <c r="D34" t="n">
        <v>3.06</v>
      </c>
    </row>
    <row r="35">
      <c r="C35" s="2" t="inlineStr">
        <is>
          <t>fair_value_pbr</t>
        </is>
      </c>
      <c r="D35" t="n">
        <v>29700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