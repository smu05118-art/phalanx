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217027억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226684억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235859억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242694억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252646억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266656억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282446억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298187억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313118억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325479억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5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400원 유지</t>
      </text>
    </comment>
    <comment ref="AI37" authorId="0" shapeId="0">
      <text>
        <t>모델값 역산(implied): 모델 v 그대로
직전 결산 DPS 400원 유지</t>
      </text>
    </comment>
    <comment ref="AN37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217027억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226684억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235859억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242694억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252646억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266656억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282446억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298187억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313118억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325479억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897억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1086억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1395억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1645억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1874억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2018억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2286억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686억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897억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1086억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1180억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1395억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1645억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1874억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2018억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2286억 × 1.81%(주석 이자수익 ÷ 평균 이자발생자산(2024Q4~2025Q3)) − 총차입금 0억 × 4.18%(주석 이자비용 ÷ 평균 총차입금(2024Q4~2025Q3))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24.0%(최근 12분기 유효세율 24.0%(5~27% 안 — 그대로))
[tax]</t>
      </text>
    </comment>
    <comment ref="AD15" authorId="0" shapeId="0">
      <text>
        <t>추정: max(세전, 0) × 세율 24.0%(최근 12분기 유효세율 24.0%(5~27% 안 — 그대로))
[tax]</t>
      </text>
    </comment>
    <comment ref="AF15" authorId="0" shapeId="0">
      <text>
        <t>추정: max(세전, 0) × 세율 24.0%(최근 12분기 유효세율 24.0%(5~27% 안 — 그대로))
[tax]</t>
      </text>
    </comment>
    <comment ref="AG15" authorId="0" shapeId="0">
      <text>
        <t>추정: max(세전, 0) × 세율 24.0%(최근 12분기 유효세율 24.0%(5~27% 안 — 그대로))
[tax]</t>
      </text>
    </comment>
    <comment ref="AH15" authorId="0" shapeId="0">
      <text>
        <t>추정: max(세전, 0) × 세율 24.0%(최근 12분기 유효세율 24.0%(5~27% 안 — 그대로))
[tax]</t>
      </text>
    </comment>
    <comment ref="AI15" authorId="0" shapeId="0">
      <text>
        <t>추정: max(세전, 0) × 세율 24.0%(최근 12분기 유효세율 24.0%(5~27% 안 — 그대로))
[tax]</t>
      </text>
    </comment>
    <comment ref="AK15" authorId="0" shapeId="0">
      <text>
        <t>추정: max(세전, 0) × 세율 24.0%(최근 12분기 유효세율 24.0%(5~27% 안 — 그대로))
[tax]</t>
      </text>
    </comment>
    <comment ref="AL15" authorId="0" shapeId="0">
      <text>
        <t>추정: max(세전, 0) × 세율 24.0%(최근 12분기 유효세율 24.0%(5~27% 안 — 그대로))
[tax]</t>
      </text>
    </comment>
    <comment ref="AM15" authorId="0" shapeId="0">
      <text>
        <t>추정: max(세전, 0) × 세율 24.0%(최근 12분기 유효세율 24.0%(5~27% 안 — 그대로))
[tax]</t>
      </text>
    </comment>
    <comment ref="AN15" authorId="0" shapeId="0">
      <text>
        <t>추정: max(세전, 0) × 세율 24.0%(최근 12분기 유효세율 24.0%(5~27%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400원 유지
[abs]</t>
      </text>
    </comment>
    <comment ref="AI31" authorId="0" shapeId="0">
      <text>
        <t>추정: 직전 결산 DPS 400원 유지
[abs]</t>
      </text>
    </comment>
    <comment ref="AN31" authorId="0" shapeId="0">
      <text>
        <t>추정: 직전 결산 DPS 400원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15710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15610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16087.5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0.07645558600000001</v>
      </c>
      <c r="AD21" s="24" t="n">
        <v>0.421728773</v>
      </c>
      <c r="AE21" s="25" t="n"/>
      <c r="AF21" s="24" t="n">
        <v>0.31910864</v>
      </c>
      <c r="AG21" s="24" t="n">
        <v>0.12042374</v>
      </c>
      <c r="AH21" s="24" t="n">
        <v>0.164119881</v>
      </c>
      <c r="AI21" s="24" t="n">
        <v>0.176336126</v>
      </c>
      <c r="AJ21" s="25" t="n"/>
      <c r="AK21" s="24" t="n">
        <v>0.197516809</v>
      </c>
      <c r="AL21" s="24" t="n">
        <v>0.228649338</v>
      </c>
      <c r="AM21" s="24" t="n">
        <v>0.239354631</v>
      </c>
      <c r="AN21" s="24" t="n">
        <v>0.220591143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0.109962953</v>
      </c>
      <c r="AD23" s="24" t="n">
        <v>0.109961942</v>
      </c>
      <c r="AE23" s="25">
        <f>IFERROR(subQ!AE9/subQ!AE5,"")</f>
        <v/>
      </c>
      <c r="AF23" s="24" t="n">
        <v>0.109964142</v>
      </c>
      <c r="AG23" s="24" t="n">
        <v>0.109964106</v>
      </c>
      <c r="AH23" s="24" t="n">
        <v>0.109963454</v>
      </c>
      <c r="AI23" s="24" t="n">
        <v>0.109961477</v>
      </c>
      <c r="AJ23" s="25">
        <f>IFERROR(subQ!AJ9/subQ!AJ5,"")</f>
        <v/>
      </c>
      <c r="AK23" s="24" t="n">
        <v>0.109961597</v>
      </c>
      <c r="AL23" s="24" t="n">
        <v>0.109962956</v>
      </c>
      <c r="AM23" s="24" t="n">
        <v>0.109963468</v>
      </c>
      <c r="AN23" s="24" t="n">
        <v>0.109963803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1.706e-06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-5.3271e-05</v>
      </c>
      <c r="AD28" s="30" t="n">
        <v>0.001845643</v>
      </c>
      <c r="AE28" s="31" t="n"/>
      <c r="AF28" s="30" t="n">
        <v>0.006623925</v>
      </c>
      <c r="AG28" s="30" t="n">
        <v>119.759506904</v>
      </c>
      <c r="AH28" s="30" t="n">
        <v>0.00733181</v>
      </c>
      <c r="AI28" s="30" t="n">
        <v>0.001685015</v>
      </c>
      <c r="AJ28" s="31" t="n"/>
      <c r="AK28" s="30" t="n">
        <v>-0.003053277</v>
      </c>
      <c r="AL28" s="30" t="n">
        <v>119.766760142</v>
      </c>
      <c r="AM28" s="30" t="n">
        <v>-0.001592881</v>
      </c>
      <c r="AN28" s="30" t="n">
        <v>0.004420627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-5.3271e-05</v>
      </c>
      <c r="AD29" s="30" t="n">
        <v>0.001845643</v>
      </c>
      <c r="AE29" s="31" t="n"/>
      <c r="AF29" s="30" t="n">
        <v>0.006623925</v>
      </c>
      <c r="AG29" s="30" t="n">
        <v>119.759506904</v>
      </c>
      <c r="AH29" s="30" t="n">
        <v>0.00733181</v>
      </c>
      <c r="AI29" s="30" t="n">
        <v>0.001685015</v>
      </c>
      <c r="AJ29" s="31" t="n"/>
      <c r="AK29" s="30" t="n">
        <v>-0.003053277</v>
      </c>
      <c r="AL29" s="30" t="n">
        <v>119.766760142</v>
      </c>
      <c r="AM29" s="30" t="n">
        <v>-0.001592881</v>
      </c>
      <c r="AN29" s="30" t="n">
        <v>0.004420627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0.363938411</v>
      </c>
      <c r="AD31" s="24" t="n">
        <v>0.307884582</v>
      </c>
      <c r="AE31" s="25" t="n"/>
      <c r="AF31" s="24" t="n">
        <v>0.211712769</v>
      </c>
      <c r="AG31" s="24" t="n">
        <v>0.086784482</v>
      </c>
      <c r="AH31" s="24" t="n">
        <v>0.182080508</v>
      </c>
      <c r="AI31" s="24" t="n">
        <v>0.17934966</v>
      </c>
      <c r="AJ31" s="25" t="n"/>
      <c r="AK31" s="24" t="n">
        <v>0.139284431</v>
      </c>
      <c r="AL31" s="24" t="n">
        <v>0.077396601</v>
      </c>
      <c r="AM31" s="24" t="n">
        <v>0.132826449</v>
      </c>
      <c r="AN31" s="24" t="n">
        <v>0.134366586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0.362406583</v>
      </c>
      <c r="AD32" s="24" t="n">
        <v>0.306924489</v>
      </c>
      <c r="AE32" s="25" t="n"/>
      <c r="AF32" s="24" t="n">
        <v>0.211196468</v>
      </c>
      <c r="AG32" s="24" t="n">
        <v>0.086614318</v>
      </c>
      <c r="AH32" s="24" t="n">
        <v>0.18176042</v>
      </c>
      <c r="AI32" s="24" t="n">
        <v>0.17906735</v>
      </c>
      <c r="AJ32" s="25" t="n"/>
      <c r="AK32" s="24" t="n">
        <v>0.139110133</v>
      </c>
      <c r="AL32" s="24" t="n">
        <v>0.077308197</v>
      </c>
      <c r="AM32" s="24" t="n">
        <v>0.132680665</v>
      </c>
      <c r="AN32" s="24" t="n">
        <v>0.134241398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-0.281265952</v>
      </c>
      <c r="AD34" s="24" t="n">
        <v>-0.21091095</v>
      </c>
      <c r="AE34" s="25" t="n"/>
      <c r="AF34" s="24" t="n">
        <v>0.497095125</v>
      </c>
      <c r="AG34" s="24" t="n">
        <v>0.36467961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400</v>
      </c>
      <c r="AE37" s="31">
        <f>subQ!AE31</f>
        <v/>
      </c>
      <c r="AF37" s="33" t="n"/>
      <c r="AG37" s="33" t="n"/>
      <c r="AH37" s="33" t="n"/>
      <c r="AI37" s="30" t="n">
        <v>400</v>
      </c>
      <c r="AJ37" s="31">
        <f>subQ!AJ31</f>
        <v/>
      </c>
      <c r="AK37" s="33" t="n"/>
      <c r="AL37" s="33" t="n"/>
      <c r="AM37" s="33" t="n"/>
      <c r="AN37" s="30" t="n">
        <v>400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15710</v>
      </c>
      <c r="E40" s="2" t="inlineStr">
        <is>
          <t>원 — 네이버 정규장 종가(aik 확정종가 대조 · aik 16,370원)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12.2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14.5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19.7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0.240429209745279</v>
      </c>
      <c r="E47" s="2" t="inlineStr">
        <is>
          <t>연결 — 법인세 = MAX(세전,0) × 세율(역산, 재현 오차 ≤ 0.05억 · 모델 assumptions 0.2404) · 최근 12분기 유효세율 24.0%(5~27%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0.06289920193465065</v>
      </c>
      <c r="E48" s="2" t="inlineStr">
        <is>
          <t>연결 — 판관비 = 매출액 × 판관비율(역산, 재현 오차 ≤ 0.05억 · 모델 assumptions 0.0629)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0.01809094904430341</v>
      </c>
      <c r="E50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</v>
      </c>
      <c r="E51" s="2" t="inlineStr">
        <is>
          <t>연결 — 같은 수식의 부채 쪽(총차입금 행이 없으면 0)(역산, 재현 오차 ≤ 0.05억 · 모델 assumptions 0.0418)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0.2143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2216.01</v>
      </c>
      <c r="F37" s="37" t="n">
        <v>2216.01</v>
      </c>
      <c r="G37" s="18" t="n">
        <v>2747.61</v>
      </c>
      <c r="H37" s="18" t="n">
        <v>3276.55</v>
      </c>
      <c r="I37" s="18" t="n">
        <v>3683.02</v>
      </c>
      <c r="J37" s="18" t="n">
        <v>0</v>
      </c>
      <c r="K37" s="37" t="n">
        <v>0</v>
      </c>
      <c r="M37" s="18" t="n">
        <v>46.28</v>
      </c>
      <c r="N37" s="18" t="n">
        <v>475.86</v>
      </c>
      <c r="O37" s="18" t="n">
        <v>0</v>
      </c>
      <c r="P37" s="37" t="n">
        <v>0</v>
      </c>
      <c r="R37" s="18" t="n">
        <v>248.45</v>
      </c>
      <c r="S37" s="18" t="n">
        <v>706.03</v>
      </c>
      <c r="T37" s="18" t="n">
        <v>617.38</v>
      </c>
      <c r="U37" s="37" t="n">
        <v>617.38</v>
      </c>
      <c r="V37" s="18" t="n">
        <v>1456.65</v>
      </c>
      <c r="W37" s="18" t="n">
        <v>2093.23</v>
      </c>
      <c r="X37" s="18" t="n">
        <v>2762.91</v>
      </c>
      <c r="Y37" s="18" t="n">
        <v>0</v>
      </c>
      <c r="Z37" s="37" t="n">
        <v>0</v>
      </c>
      <c r="AA37" s="18" t="n">
        <v>293.9</v>
      </c>
      <c r="AB37" s="19" t="n">
        <v>996.59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4892.53</v>
      </c>
      <c r="F38" s="37" t="n">
        <v>4892.53</v>
      </c>
      <c r="G38" s="18" t="n">
        <v>5598.6</v>
      </c>
      <c r="H38" s="18" t="n">
        <v>5070</v>
      </c>
      <c r="I38" s="18" t="n">
        <v>5903.38</v>
      </c>
      <c r="J38" s="18" t="n">
        <v>5536.66</v>
      </c>
      <c r="K38" s="37" t="n">
        <v>5536.66</v>
      </c>
      <c r="L38" s="18" t="n">
        <v>5974.77</v>
      </c>
      <c r="M38" s="18" t="n">
        <v>5461.18</v>
      </c>
      <c r="N38" s="18" t="n">
        <v>4967.15</v>
      </c>
      <c r="O38" s="18" t="n">
        <v>6250.4</v>
      </c>
      <c r="P38" s="37" t="n">
        <v>6250.4</v>
      </c>
      <c r="Q38" s="18" t="n">
        <v>6180.72</v>
      </c>
      <c r="R38" s="18" t="n">
        <v>6027.64</v>
      </c>
      <c r="S38" s="18" t="n">
        <v>5724.69</v>
      </c>
      <c r="T38" s="18" t="n">
        <v>6542.43</v>
      </c>
      <c r="U38" s="37" t="n">
        <v>6542.43</v>
      </c>
      <c r="V38" s="18" t="n">
        <v>6427.22</v>
      </c>
      <c r="W38" s="18" t="n">
        <v>5806.76</v>
      </c>
      <c r="X38" s="18" t="n">
        <v>4983.22</v>
      </c>
      <c r="Y38" s="18" t="n">
        <v>5888.99</v>
      </c>
      <c r="Z38" s="37" t="n">
        <v>5888.99</v>
      </c>
      <c r="AA38" s="18" t="n">
        <v>6179.46</v>
      </c>
      <c r="AB38" s="19" t="n">
        <v>6041.87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기타비유동금융부채</t>
        </is>
      </c>
      <c r="E39" s="18" t="n">
        <v>250</v>
      </c>
      <c r="F39" s="37" t="n">
        <v>250</v>
      </c>
      <c r="G39" s="18" t="n">
        <v>250</v>
      </c>
      <c r="H39" s="18" t="n">
        <v>250</v>
      </c>
      <c r="I39" s="18" t="n">
        <v>250</v>
      </c>
      <c r="J39" s="18" t="n">
        <v>250</v>
      </c>
      <c r="K39" s="37" t="n">
        <v>250</v>
      </c>
      <c r="L39" s="18" t="n">
        <v>250</v>
      </c>
      <c r="M39" s="18" t="n">
        <v>250</v>
      </c>
      <c r="N39" s="18" t="n">
        <v>250</v>
      </c>
      <c r="O39" s="18" t="n">
        <v>250</v>
      </c>
      <c r="P39" s="37" t="n">
        <v>250</v>
      </c>
      <c r="Q39" s="18" t="n">
        <v>250</v>
      </c>
      <c r="R39" s="18" t="n">
        <v>250</v>
      </c>
      <c r="S39" s="18" t="n">
        <v>250</v>
      </c>
      <c r="T39" s="18" t="n">
        <v>250</v>
      </c>
      <c r="U39" s="37" t="n">
        <v>250</v>
      </c>
      <c r="V39" s="18" t="n">
        <v>250</v>
      </c>
      <c r="W39" s="18" t="n">
        <v>250</v>
      </c>
      <c r="X39" s="18" t="n">
        <v>250</v>
      </c>
      <c r="Y39" s="18" t="n">
        <v>250</v>
      </c>
      <c r="Z39" s="37" t="n">
        <v>250</v>
      </c>
      <c r="AA39" s="18" t="n">
        <v>250</v>
      </c>
      <c r="AB39" s="19" t="n">
        <v>250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152770.95</v>
      </c>
      <c r="F41" s="37" t="n">
        <v>152770.95</v>
      </c>
      <c r="G41" s="18" t="n">
        <v>152594.07</v>
      </c>
      <c r="H41" s="18" t="n">
        <v>161469.31</v>
      </c>
      <c r="I41" s="18" t="n">
        <v>189317.03</v>
      </c>
      <c r="J41" s="18" t="n">
        <v>195394.79</v>
      </c>
      <c r="K41" s="37" t="n">
        <v>195394.79</v>
      </c>
      <c r="L41" s="18" t="n">
        <v>217927.74</v>
      </c>
      <c r="M41" s="18" t="n">
        <v>227829.3</v>
      </c>
      <c r="N41" s="18" t="n">
        <v>240944.88</v>
      </c>
      <c r="O41" s="18" t="n">
        <v>195423.07</v>
      </c>
      <c r="P41" s="37" t="n">
        <v>195423.07</v>
      </c>
      <c r="Q41" s="18" t="n">
        <v>198661.75</v>
      </c>
      <c r="R41" s="18" t="n">
        <v>197300.43</v>
      </c>
      <c r="S41" s="18" t="n">
        <v>196580.66</v>
      </c>
      <c r="T41" s="18" t="n">
        <v>253014.74</v>
      </c>
      <c r="U41" s="37" t="n">
        <v>253014.74</v>
      </c>
      <c r="V41" s="18" t="n">
        <v>263660.53</v>
      </c>
      <c r="W41" s="18" t="n">
        <v>251269.34</v>
      </c>
      <c r="X41" s="18" t="n">
        <v>238978.19</v>
      </c>
      <c r="Y41" s="18" t="n">
        <v>242665.19</v>
      </c>
      <c r="Z41" s="37" t="n">
        <v>242665.19</v>
      </c>
      <c r="AA41" s="18" t="n">
        <v>224838.78</v>
      </c>
      <c r="AB41" s="19" t="n">
        <v>216828.63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142042.2</v>
      </c>
      <c r="F42" s="37" t="n">
        <v>142042.2</v>
      </c>
      <c r="G42" s="18" t="n">
        <v>135320.91</v>
      </c>
      <c r="H42" s="18" t="n">
        <v>140112.63</v>
      </c>
      <c r="I42" s="18" t="n">
        <v>145726.09</v>
      </c>
      <c r="J42" s="18" t="n">
        <v>148615.65</v>
      </c>
      <c r="K42" s="37" t="n">
        <v>148615.65</v>
      </c>
      <c r="L42" s="18" t="n">
        <v>141189.61</v>
      </c>
      <c r="M42" s="18" t="n">
        <v>151289.21</v>
      </c>
      <c r="N42" s="18" t="n">
        <v>161129.06</v>
      </c>
      <c r="O42" s="18" t="n">
        <v>168856.54</v>
      </c>
      <c r="P42" s="37" t="n">
        <v>168856.54</v>
      </c>
      <c r="Q42" s="18" t="n">
        <v>170317.28</v>
      </c>
      <c r="R42" s="18" t="n">
        <v>173617.21</v>
      </c>
      <c r="S42" s="18" t="n">
        <v>182169.22</v>
      </c>
      <c r="T42" s="18" t="n">
        <v>202436.23</v>
      </c>
      <c r="U42" s="37" t="n">
        <v>202436.23</v>
      </c>
      <c r="V42" s="18" t="n">
        <v>213595.57</v>
      </c>
      <c r="W42" s="18" t="n">
        <v>223275.76</v>
      </c>
      <c r="X42" s="18" t="n">
        <v>244001.25</v>
      </c>
      <c r="Y42" s="18" t="n">
        <v>258895.74</v>
      </c>
      <c r="Z42" s="37" t="n">
        <v>258895.74</v>
      </c>
      <c r="AA42" s="18" t="n">
        <v>264043.42</v>
      </c>
      <c r="AB42" s="19" t="n">
        <v>290584.37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-74.2</v>
      </c>
      <c r="F46" s="37" t="n">
        <v>-74.2</v>
      </c>
      <c r="G46" s="18" t="n">
        <v>-477.27</v>
      </c>
      <c r="H46" s="18" t="n">
        <v>-90</v>
      </c>
      <c r="I46" s="18" t="n">
        <v>-108.03</v>
      </c>
      <c r="J46" s="18" t="n">
        <v>-71.42</v>
      </c>
      <c r="K46" s="37" t="n">
        <v>-71.42</v>
      </c>
      <c r="L46" s="18" t="n">
        <v>-29.23</v>
      </c>
      <c r="M46" s="18" t="n">
        <v>-49.12</v>
      </c>
      <c r="N46" s="18" t="n">
        <v>-59.07</v>
      </c>
      <c r="O46" s="18" t="n">
        <v>-104.67</v>
      </c>
      <c r="P46" s="37" t="n">
        <v>-104.67</v>
      </c>
      <c r="Q46" s="18" t="n">
        <v>-12.75</v>
      </c>
      <c r="R46" s="18" t="n">
        <v>54.59</v>
      </c>
      <c r="S46" s="18" t="n">
        <v>-55.69</v>
      </c>
      <c r="T46" s="18" t="n">
        <v>182.57</v>
      </c>
      <c r="U46" s="37" t="n">
        <v>182.57</v>
      </c>
      <c r="V46" s="18" t="n">
        <v>177.02</v>
      </c>
      <c r="W46" s="18" t="n">
        <v>2.95</v>
      </c>
      <c r="X46" s="18" t="n">
        <v>76.03</v>
      </c>
      <c r="Y46" s="18" t="n">
        <v>87.65000000000001</v>
      </c>
      <c r="Z46" s="37" t="n">
        <v>87.65000000000001</v>
      </c>
      <c r="AA46" s="18" t="n">
        <v>193.15</v>
      </c>
      <c r="AB46" s="19" t="n">
        <v>230.1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67840.00999999999</v>
      </c>
      <c r="F47" s="37" t="n">
        <v>67840.00999999999</v>
      </c>
      <c r="G47" s="18" t="n">
        <v>58413.8</v>
      </c>
      <c r="H47" s="18" t="n">
        <v>59943.37</v>
      </c>
      <c r="I47" s="18" t="n">
        <v>64233.26</v>
      </c>
      <c r="J47" s="18" t="n">
        <v>67086.2</v>
      </c>
      <c r="K47" s="37" t="n">
        <v>67086.2</v>
      </c>
      <c r="L47" s="18" t="n">
        <v>59617.97</v>
      </c>
      <c r="M47" s="18" t="n">
        <v>67561.87</v>
      </c>
      <c r="N47" s="18" t="n">
        <v>77383.89999999999</v>
      </c>
      <c r="O47" s="18" t="n">
        <v>85212.52</v>
      </c>
      <c r="P47" s="37" t="n">
        <v>85212.52</v>
      </c>
      <c r="Q47" s="18" t="n">
        <v>86581.36</v>
      </c>
      <c r="R47" s="18" t="n">
        <v>89813.94</v>
      </c>
      <c r="S47" s="18" t="n">
        <v>98476.23</v>
      </c>
      <c r="T47" s="18" t="n">
        <v>118504.99</v>
      </c>
      <c r="U47" s="37" t="n">
        <v>118504.99</v>
      </c>
      <c r="V47" s="18" t="n">
        <v>117353.38</v>
      </c>
      <c r="W47" s="18" t="n">
        <v>128356.05</v>
      </c>
      <c r="X47" s="18" t="n">
        <v>148806.01</v>
      </c>
      <c r="Y47" s="18" t="n">
        <v>163648.13</v>
      </c>
      <c r="Z47" s="37" t="n">
        <v>163648.13</v>
      </c>
      <c r="AA47" s="18" t="n">
        <v>168690.31</v>
      </c>
      <c r="AB47" s="19" t="n">
        <v>195194.31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0</v>
      </c>
      <c r="F48" s="37" t="n">
        <v>0</v>
      </c>
      <c r="G48" s="18" t="n">
        <v>0</v>
      </c>
      <c r="H48" s="18" t="n">
        <v>0</v>
      </c>
      <c r="I48" s="18" t="n">
        <v>0</v>
      </c>
      <c r="J48" s="18" t="n">
        <v>0</v>
      </c>
      <c r="K48" s="37" t="n">
        <v>0</v>
      </c>
      <c r="L48" s="18" t="n">
        <v>0</v>
      </c>
      <c r="M48" s="18" t="n">
        <v>0</v>
      </c>
      <c r="N48" s="18" t="n">
        <v>0</v>
      </c>
      <c r="O48" s="18" t="n">
        <v>0</v>
      </c>
      <c r="P48" s="37" t="n">
        <v>0</v>
      </c>
      <c r="Q48" s="18" t="n">
        <v>0</v>
      </c>
      <c r="R48" s="18" t="n">
        <v>0</v>
      </c>
      <c r="S48" s="18" t="n">
        <v>0</v>
      </c>
      <c r="T48" s="18" t="n">
        <v>0</v>
      </c>
      <c r="U48" s="37" t="n">
        <v>0</v>
      </c>
      <c r="V48" s="18" t="n">
        <v>0</v>
      </c>
      <c r="W48" s="18" t="n">
        <v>0</v>
      </c>
      <c r="X48" s="18" t="n">
        <v>0</v>
      </c>
      <c r="Y48" s="18" t="n">
        <v>0</v>
      </c>
      <c r="Z48" s="37" t="n">
        <v>0</v>
      </c>
      <c r="AA48" s="18" t="n">
        <v>0</v>
      </c>
      <c r="AB48" s="19" t="n">
        <v>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142042.2</v>
      </c>
      <c r="F49" s="37" t="n">
        <v>142042.2</v>
      </c>
      <c r="G49" s="18" t="n">
        <v>135320.91</v>
      </c>
      <c r="H49" s="18" t="n">
        <v>140112.63</v>
      </c>
      <c r="I49" s="18" t="n">
        <v>145726.09</v>
      </c>
      <c r="J49" s="18" t="n">
        <v>148615.65</v>
      </c>
      <c r="K49" s="37" t="n">
        <v>148615.65</v>
      </c>
      <c r="L49" s="18" t="n">
        <v>141189.61</v>
      </c>
      <c r="M49" s="18" t="n">
        <v>151289.21</v>
      </c>
      <c r="N49" s="18" t="n">
        <v>161129.06</v>
      </c>
      <c r="O49" s="18" t="n">
        <v>168856.54</v>
      </c>
      <c r="P49" s="37" t="n">
        <v>168856.54</v>
      </c>
      <c r="Q49" s="18" t="n">
        <v>170317.28</v>
      </c>
      <c r="R49" s="18" t="n">
        <v>173617.21</v>
      </c>
      <c r="S49" s="18" t="n">
        <v>182169.22</v>
      </c>
      <c r="T49" s="18" t="n">
        <v>202436.23</v>
      </c>
      <c r="U49" s="37" t="n">
        <v>202436.23</v>
      </c>
      <c r="V49" s="18" t="n">
        <v>213595.57</v>
      </c>
      <c r="W49" s="18" t="n">
        <v>223275.76</v>
      </c>
      <c r="X49" s="18" t="n">
        <v>244001.25</v>
      </c>
      <c r="Y49" s="18" t="n">
        <v>258895.74</v>
      </c>
      <c r="Z49" s="37" t="n">
        <v>258895.74</v>
      </c>
      <c r="AA49" s="18" t="n">
        <v>264043.42</v>
      </c>
      <c r="AB49" s="19" t="n">
        <v>290584.37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294813.15</v>
      </c>
      <c r="F50" s="37" t="n">
        <v>294813.15</v>
      </c>
      <c r="G50" s="18" t="n">
        <v>287914.97</v>
      </c>
      <c r="H50" s="18" t="n">
        <v>301581.94</v>
      </c>
      <c r="I50" s="18" t="n">
        <v>335043.12</v>
      </c>
      <c r="J50" s="18" t="n">
        <v>344010.44</v>
      </c>
      <c r="K50" s="37" t="n">
        <v>344010.44</v>
      </c>
      <c r="L50" s="18" t="n">
        <v>359117.34</v>
      </c>
      <c r="M50" s="18" t="n">
        <v>379118.52</v>
      </c>
      <c r="N50" s="18" t="n">
        <v>402073.94</v>
      </c>
      <c r="O50" s="18" t="n">
        <v>364279.61</v>
      </c>
      <c r="P50" s="37" t="n">
        <v>364279.61</v>
      </c>
      <c r="Q50" s="18" t="n">
        <v>368979.03</v>
      </c>
      <c r="R50" s="18" t="n">
        <v>370917.64</v>
      </c>
      <c r="S50" s="18" t="n">
        <v>378749.88</v>
      </c>
      <c r="T50" s="18" t="n">
        <v>455450.98</v>
      </c>
      <c r="U50" s="37" t="n">
        <v>455450.98</v>
      </c>
      <c r="V50" s="18" t="n">
        <v>477256.11</v>
      </c>
      <c r="W50" s="18" t="n">
        <v>474545.1</v>
      </c>
      <c r="X50" s="18" t="n">
        <v>482979.44</v>
      </c>
      <c r="Y50" s="18" t="n">
        <v>501560.93</v>
      </c>
      <c r="Z50" s="37" t="n">
        <v>501560.93</v>
      </c>
      <c r="AA50" s="18" t="n">
        <v>488882.2</v>
      </c>
      <c r="AB50" s="19" t="n">
        <v>507413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66554.10000000001</v>
      </c>
      <c r="F51" s="37" t="n">
        <v>66554.10000000001</v>
      </c>
      <c r="G51" s="18" t="n">
        <v>64209.78</v>
      </c>
      <c r="H51" s="18" t="n">
        <v>73638.49000000001</v>
      </c>
      <c r="I51" s="18" t="n">
        <v>85662.85000000001</v>
      </c>
      <c r="J51" s="18" t="n">
        <v>69038.53999999999</v>
      </c>
      <c r="K51" s="37" t="n">
        <v>69038.53999999999</v>
      </c>
      <c r="L51" s="18" t="n">
        <v>84628.21000000001</v>
      </c>
      <c r="M51" s="18" t="n">
        <v>97298.95</v>
      </c>
      <c r="N51" s="18" t="n">
        <v>89755.42</v>
      </c>
      <c r="O51" s="18" t="n">
        <v>33068.23</v>
      </c>
      <c r="P51" s="37" t="n">
        <v>33068.23</v>
      </c>
      <c r="Q51" s="18" t="n">
        <v>35549.51</v>
      </c>
      <c r="R51" s="18" t="n">
        <v>35951.79</v>
      </c>
      <c r="S51" s="18" t="n">
        <v>33822.97</v>
      </c>
      <c r="T51" s="18" t="n">
        <v>29666.5</v>
      </c>
      <c r="U51" s="37" t="n">
        <v>29666.5</v>
      </c>
      <c r="V51" s="18" t="n">
        <v>17332.5</v>
      </c>
      <c r="W51" s="18" t="n">
        <v>6782</v>
      </c>
      <c r="X51" s="18" t="n">
        <v>7011</v>
      </c>
      <c r="Y51" s="18" t="n">
        <v>7174.5</v>
      </c>
      <c r="Z51" s="37" t="n">
        <v>7174.5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43033.35</v>
      </c>
      <c r="F52" s="37" t="n">
        <v>43033.35</v>
      </c>
      <c r="G52" s="18" t="n">
        <v>50767.27</v>
      </c>
      <c r="H52" s="18" t="n">
        <v>58819.99</v>
      </c>
      <c r="I52" s="18" t="n">
        <v>78253.34</v>
      </c>
      <c r="J52" s="18" t="n">
        <v>41547.57</v>
      </c>
      <c r="K52" s="37" t="n">
        <v>41547.57</v>
      </c>
      <c r="L52" s="18" t="n">
        <v>75530.27</v>
      </c>
      <c r="M52" s="18" t="n">
        <v>62860.69</v>
      </c>
      <c r="N52" s="18" t="n">
        <v>24226.87</v>
      </c>
      <c r="O52" s="18" t="n">
        <v>6042.87</v>
      </c>
      <c r="P52" s="37" t="n">
        <v>6042.87</v>
      </c>
      <c r="Q52" s="18" t="n">
        <v>6074.74</v>
      </c>
      <c r="R52" s="18" t="n">
        <v>6246.18</v>
      </c>
      <c r="S52" s="18" t="n">
        <v>19574.5</v>
      </c>
      <c r="T52" s="18" t="n">
        <v>-28405.23</v>
      </c>
      <c r="U52" s="37" t="n">
        <v>-28405.23</v>
      </c>
      <c r="V52" s="18" t="n">
        <v>-76587.53</v>
      </c>
      <c r="W52" s="18" t="n">
        <v>-86675.86</v>
      </c>
      <c r="X52" s="18" t="n">
        <v>-78783.67</v>
      </c>
      <c r="Y52" s="18" t="n">
        <v>-73680.61</v>
      </c>
      <c r="Z52" s="37" t="n">
        <v>-73680.61</v>
      </c>
      <c r="AA52" s="18" t="n">
        <v>-79167.55</v>
      </c>
      <c r="AB52" s="19" t="n">
        <v>-50157.69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23667.05</v>
      </c>
      <c r="F53" s="37" t="n">
        <v>23667.05</v>
      </c>
      <c r="G53" s="18" t="n">
        <v>13588.81</v>
      </c>
      <c r="H53" s="18" t="n">
        <v>14964.8</v>
      </c>
      <c r="I53" s="18" t="n">
        <v>7555.81</v>
      </c>
      <c r="J53" s="18" t="n">
        <v>27637.27</v>
      </c>
      <c r="K53" s="37" t="n">
        <v>27637.27</v>
      </c>
      <c r="L53" s="18" t="n">
        <v>9244.24</v>
      </c>
      <c r="M53" s="18" t="n">
        <v>34584.56</v>
      </c>
      <c r="N53" s="18" t="n">
        <v>65674.85000000001</v>
      </c>
      <c r="O53" s="18" t="n">
        <v>27171.66</v>
      </c>
      <c r="P53" s="37" t="n">
        <v>27171.66</v>
      </c>
      <c r="Q53" s="18" t="n">
        <v>29621.07</v>
      </c>
      <c r="R53" s="18" t="n">
        <v>29851.91</v>
      </c>
      <c r="S53" s="18" t="n">
        <v>14394.77</v>
      </c>
      <c r="T53" s="18" t="n">
        <v>58218.03</v>
      </c>
      <c r="U53" s="37" t="n">
        <v>58218.03</v>
      </c>
      <c r="V53" s="18" t="n">
        <v>94066.33</v>
      </c>
      <c r="W53" s="18" t="n">
        <v>93604.56</v>
      </c>
      <c r="X53" s="18" t="n">
        <v>85951.37</v>
      </c>
      <c r="Y53" s="18" t="n">
        <v>81071.55</v>
      </c>
      <c r="Z53" s="37" t="n">
        <v>81071.55</v>
      </c>
      <c r="AA53" s="18" t="n">
        <v>79382.52</v>
      </c>
      <c r="AB53" s="19" t="n">
        <v>50371.16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기타유동금융부채</t>
        </is>
      </c>
      <c r="F54" s="9" t="n"/>
      <c r="G54" s="18" t="n">
        <v>9817.040000000001</v>
      </c>
      <c r="K54" s="9" t="n"/>
      <c r="L54" s="18" t="n">
        <v>10082.69</v>
      </c>
      <c r="P54" s="9" t="n"/>
      <c r="Q54" s="18" t="n">
        <v>7258.28</v>
      </c>
      <c r="U54" s="9" t="n"/>
      <c r="V54" s="18" t="n">
        <v>10161.6</v>
      </c>
      <c r="W54" s="18" t="n">
        <v>0</v>
      </c>
      <c r="X54" s="18" t="n">
        <v>0</v>
      </c>
      <c r="Z54" s="9" t="n"/>
      <c r="AA54" s="18" t="n">
        <v>11973.25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105295.98</v>
      </c>
      <c r="F57" s="9" t="n"/>
      <c r="G57" s="18" t="n">
        <v>107884.52</v>
      </c>
      <c r="H57" s="18" t="n">
        <v>106559.59</v>
      </c>
      <c r="I57" s="18" t="n">
        <v>91260.83</v>
      </c>
      <c r="J57" s="18" t="n">
        <v>128446.62</v>
      </c>
      <c r="K57" s="37" t="n">
        <v>434151.56</v>
      </c>
      <c r="L57" s="18" t="n">
        <v>124083.17</v>
      </c>
      <c r="M57" s="18" t="n">
        <v>144000.06</v>
      </c>
      <c r="N57" s="18" t="n">
        <v>124305.41</v>
      </c>
      <c r="O57" s="18" t="n">
        <v>139020.11</v>
      </c>
      <c r="P57" s="37" t="n">
        <v>531408.75</v>
      </c>
      <c r="Q57" s="18" t="n">
        <v>137270.57</v>
      </c>
      <c r="R57" s="18" t="n">
        <v>137845.76</v>
      </c>
      <c r="S57" s="18" t="n">
        <v>136546.41</v>
      </c>
      <c r="T57" s="18" t="n">
        <v>185746.93</v>
      </c>
      <c r="U57" s="37" t="n">
        <v>597409.67</v>
      </c>
      <c r="V57" s="18" t="n">
        <v>172366.18</v>
      </c>
      <c r="W57" s="18" t="n">
        <v>193322.13</v>
      </c>
      <c r="X57" s="18" t="n">
        <v>201106.3</v>
      </c>
      <c r="Y57" s="18" t="n">
        <v>175391.4</v>
      </c>
      <c r="Z57" s="37" t="n">
        <v>742186.01</v>
      </c>
      <c r="AA57" s="18" t="n">
        <v>169129.36</v>
      </c>
      <c r="AB57" s="19" t="n">
        <v>224533.8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91030.25</v>
      </c>
      <c r="F58" s="9" t="n"/>
      <c r="G58" s="18" t="n">
        <v>99507.59</v>
      </c>
      <c r="H58" s="18" t="n">
        <v>94705.27</v>
      </c>
      <c r="I58" s="18" t="n">
        <v>75531.83</v>
      </c>
      <c r="J58" s="18" t="n">
        <v>123792.76</v>
      </c>
      <c r="K58" s="37" t="n">
        <v>393537.45</v>
      </c>
      <c r="L58" s="18" t="n">
        <v>114806.86</v>
      </c>
      <c r="M58" s="18" t="n">
        <v>127456.46</v>
      </c>
      <c r="N58" s="18" t="n">
        <v>105289.68</v>
      </c>
      <c r="O58" s="18" t="n">
        <v>115877.4</v>
      </c>
      <c r="P58" s="37" t="n">
        <v>463430.4</v>
      </c>
      <c r="Q58" s="18" t="n">
        <v>117961.53</v>
      </c>
      <c r="R58" s="18" t="n">
        <v>116561.43</v>
      </c>
      <c r="S58" s="18" t="n">
        <v>116066.92</v>
      </c>
      <c r="T58" s="18" t="n">
        <v>152253.01</v>
      </c>
      <c r="U58" s="37" t="n">
        <v>502842.89</v>
      </c>
      <c r="V58" s="18" t="n">
        <v>148449.51</v>
      </c>
      <c r="W58" s="18" t="n">
        <v>165314.88</v>
      </c>
      <c r="X58" s="18" t="n">
        <v>166399.92</v>
      </c>
      <c r="Y58" s="18" t="n">
        <v>141066.98</v>
      </c>
      <c r="Z58" s="37" t="n">
        <v>621231.29</v>
      </c>
      <c r="AA58" s="18" t="n">
        <v>137414.7</v>
      </c>
      <c r="AB58" s="19" t="n">
        <v>176733.88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14265.73</v>
      </c>
      <c r="F59" s="9" t="n"/>
      <c r="G59" s="18" t="n">
        <v>8376.92</v>
      </c>
      <c r="H59" s="18" t="n">
        <v>11854.32</v>
      </c>
      <c r="I59" s="18" t="n">
        <v>15729</v>
      </c>
      <c r="J59" s="18" t="n">
        <v>4653.86</v>
      </c>
      <c r="K59" s="37" t="n">
        <v>40614.1</v>
      </c>
      <c r="L59" s="18" t="n">
        <v>9276.309999999999</v>
      </c>
      <c r="M59" s="18" t="n">
        <v>16543.6</v>
      </c>
      <c r="N59" s="18" t="n">
        <v>19015.73</v>
      </c>
      <c r="O59" s="18" t="n">
        <v>23142.7</v>
      </c>
      <c r="P59" s="37" t="n">
        <v>67978.34</v>
      </c>
      <c r="Q59" s="18" t="n">
        <v>19309.04</v>
      </c>
      <c r="R59" s="18" t="n">
        <v>21284.33</v>
      </c>
      <c r="S59" s="18" t="n">
        <v>20479.49</v>
      </c>
      <c r="T59" s="18" t="n">
        <v>33493.93</v>
      </c>
      <c r="U59" s="37" t="n">
        <v>94566.78999999999</v>
      </c>
      <c r="V59" s="18" t="n">
        <v>23916.67</v>
      </c>
      <c r="W59" s="18" t="n">
        <v>28007.25</v>
      </c>
      <c r="X59" s="18" t="n">
        <v>34706.38</v>
      </c>
      <c r="Y59" s="18" t="n">
        <v>34324.42</v>
      </c>
      <c r="Z59" s="37" t="n">
        <v>120954.72</v>
      </c>
      <c r="AA59" s="18" t="n">
        <v>31714.65</v>
      </c>
      <c r="AB59" s="19" t="n">
        <v>47799.92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9205.790000000001</v>
      </c>
      <c r="F60" s="9" t="n"/>
      <c r="G60" s="18" t="n">
        <v>7072.45</v>
      </c>
      <c r="H60" s="18" t="n">
        <v>6021.03</v>
      </c>
      <c r="I60" s="18" t="n">
        <v>4535.54</v>
      </c>
      <c r="J60" s="18" t="n">
        <v>7707.62</v>
      </c>
      <c r="K60" s="37" t="n">
        <v>25336.64</v>
      </c>
      <c r="L60" s="18" t="n">
        <v>5622.65</v>
      </c>
      <c r="M60" s="18" t="n">
        <v>7923.79</v>
      </c>
      <c r="N60" s="18" t="n">
        <v>6888.87</v>
      </c>
      <c r="O60" s="18" t="n">
        <v>10203.19</v>
      </c>
      <c r="P60" s="37" t="n">
        <v>30638.5</v>
      </c>
      <c r="Q60" s="18" t="n">
        <v>9182.75</v>
      </c>
      <c r="R60" s="18" t="n">
        <v>8952.09</v>
      </c>
      <c r="S60" s="18" t="n">
        <v>9060.32</v>
      </c>
      <c r="T60" s="18" t="n">
        <v>13382.83</v>
      </c>
      <c r="U60" s="37" t="n">
        <v>40577.99</v>
      </c>
      <c r="V60" s="18" t="n">
        <v>11383.92</v>
      </c>
      <c r="W60" s="18" t="n">
        <v>11074.79</v>
      </c>
      <c r="X60" s="18" t="n">
        <v>11196.22</v>
      </c>
      <c r="Y60" s="18" t="n">
        <v>14741.09</v>
      </c>
      <c r="Z60" s="37" t="n">
        <v>48396.02</v>
      </c>
      <c r="AA60" s="18" t="n">
        <v>11860.22</v>
      </c>
      <c r="AB60" s="19" t="n">
        <v>11859.51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5059.94</v>
      </c>
      <c r="F61" s="9" t="n"/>
      <c r="G61" s="18" t="n">
        <v>1304.47</v>
      </c>
      <c r="H61" s="18" t="n">
        <v>5833.29</v>
      </c>
      <c r="I61" s="18" t="n">
        <v>11193.46</v>
      </c>
      <c r="J61" s="18" t="n">
        <v>-3053.76</v>
      </c>
      <c r="K61" s="37" t="n">
        <v>15277.46</v>
      </c>
      <c r="L61" s="18" t="n">
        <v>3653.67</v>
      </c>
      <c r="M61" s="18" t="n">
        <v>8619.809999999999</v>
      </c>
      <c r="N61" s="18" t="n">
        <v>12126.86</v>
      </c>
      <c r="O61" s="18" t="n">
        <v>12939.52</v>
      </c>
      <c r="P61" s="37" t="n">
        <v>37339.86</v>
      </c>
      <c r="Q61" s="18" t="n">
        <v>10126.29</v>
      </c>
      <c r="R61" s="18" t="n">
        <v>12332.25</v>
      </c>
      <c r="S61" s="18" t="n">
        <v>11419.17</v>
      </c>
      <c r="T61" s="18" t="n">
        <v>20111.1</v>
      </c>
      <c r="U61" s="37" t="n">
        <v>53988.81</v>
      </c>
      <c r="V61" s="18" t="n">
        <v>12532.75</v>
      </c>
      <c r="W61" s="18" t="n">
        <v>16932.46</v>
      </c>
      <c r="X61" s="18" t="n">
        <v>23510.16</v>
      </c>
      <c r="Y61" s="18" t="n">
        <v>19583.34</v>
      </c>
      <c r="Z61" s="37" t="n">
        <v>72558.71000000001</v>
      </c>
      <c r="AA61" s="18" t="n">
        <v>19854.44</v>
      </c>
      <c r="AB61" s="19" t="n">
        <v>35940.41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-3.63</v>
      </c>
      <c r="F62" s="9" t="n"/>
      <c r="G62" s="18" t="n">
        <v>34.05</v>
      </c>
      <c r="H62" s="18" t="n">
        <v>17.95</v>
      </c>
      <c r="I62" s="18" t="n">
        <v>33.66</v>
      </c>
      <c r="J62" s="18" t="n">
        <v>-0.01</v>
      </c>
      <c r="K62" s="37" t="n">
        <v>85.65000000000001</v>
      </c>
      <c r="L62" s="18" t="n">
        <v>70.51000000000001</v>
      </c>
      <c r="M62" s="18" t="n">
        <v>92.48999999999999</v>
      </c>
      <c r="N62" s="18" t="n">
        <v>242.08</v>
      </c>
      <c r="O62" s="18" t="n">
        <v>472.94</v>
      </c>
      <c r="P62" s="37" t="n">
        <v>878.02</v>
      </c>
      <c r="Q62" s="18" t="n">
        <v>238.82</v>
      </c>
      <c r="R62" s="18" t="n">
        <v>302.7</v>
      </c>
      <c r="S62" s="18" t="n">
        <v>210.99</v>
      </c>
      <c r="T62" s="18" t="n">
        <v>86.22</v>
      </c>
      <c r="U62" s="37" t="n">
        <v>838.73</v>
      </c>
      <c r="V62" s="18" t="n">
        <v>344.83</v>
      </c>
      <c r="W62" s="18" t="n">
        <v>451.89</v>
      </c>
      <c r="X62" s="18" t="n">
        <v>617.53</v>
      </c>
      <c r="Y62" s="18" t="n">
        <v>534.4299999999999</v>
      </c>
      <c r="Z62" s="37" t="n">
        <v>1948.68</v>
      </c>
      <c r="AA62" s="18" t="n">
        <v>378.98</v>
      </c>
      <c r="AB62" s="19" t="n">
        <v>336.57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814.7</v>
      </c>
      <c r="F63" s="9" t="n"/>
      <c r="G63" s="18" t="n">
        <v>395.52</v>
      </c>
      <c r="H63" s="18" t="n">
        <v>498.21</v>
      </c>
      <c r="I63" s="18" t="n">
        <v>681.3</v>
      </c>
      <c r="J63" s="18" t="n">
        <v>862.05</v>
      </c>
      <c r="K63" s="37" t="n">
        <v>2437.08</v>
      </c>
      <c r="L63" s="18" t="n">
        <v>894.03</v>
      </c>
      <c r="M63" s="18" t="n">
        <v>1331.89</v>
      </c>
      <c r="N63" s="18" t="n">
        <v>1282.64</v>
      </c>
      <c r="O63" s="18" t="n">
        <v>1376.9</v>
      </c>
      <c r="P63" s="37" t="n">
        <v>4885.46</v>
      </c>
      <c r="Q63" s="18" t="n">
        <v>624.71</v>
      </c>
      <c r="R63" s="18" t="n">
        <v>629.24</v>
      </c>
      <c r="S63" s="18" t="n">
        <v>581.29</v>
      </c>
      <c r="T63" s="18" t="n">
        <v>397.85</v>
      </c>
      <c r="U63" s="37" t="n">
        <v>2233.09</v>
      </c>
      <c r="V63" s="18" t="n">
        <v>235.93</v>
      </c>
      <c r="W63" s="18" t="n">
        <v>175.91</v>
      </c>
      <c r="X63" s="18" t="n">
        <v>103.23</v>
      </c>
      <c r="Y63" s="18" t="n">
        <v>99.41</v>
      </c>
      <c r="Z63" s="37" t="n">
        <v>614.48</v>
      </c>
      <c r="AA63" s="18" t="n">
        <v>161.25</v>
      </c>
      <c r="AB63" s="19" t="n">
        <v>113.25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2085.62</v>
      </c>
      <c r="F64" s="9" t="n"/>
      <c r="G64" s="18" t="n">
        <v>2561.09</v>
      </c>
      <c r="H64" s="18" t="n">
        <v>2958.18</v>
      </c>
      <c r="I64" s="18" t="n">
        <v>5508.22</v>
      </c>
      <c r="J64" s="18" t="n">
        <v>5281.7</v>
      </c>
      <c r="K64" s="37" t="n">
        <v>16309.19</v>
      </c>
      <c r="L64" s="18" t="n">
        <v>8137.36</v>
      </c>
      <c r="M64" s="18" t="n">
        <v>4623.13</v>
      </c>
      <c r="N64" s="18" t="n">
        <v>4287.57</v>
      </c>
      <c r="O64" s="18" t="n">
        <v>2103.23</v>
      </c>
      <c r="P64" s="37" t="n">
        <v>19151.29</v>
      </c>
      <c r="Q64" s="18" t="n">
        <v>2898.08</v>
      </c>
      <c r="R64" s="18" t="n">
        <v>1972.42</v>
      </c>
      <c r="S64" s="18" t="n">
        <v>581.1799999999999</v>
      </c>
      <c r="T64" s="18" t="n">
        <v>4827.26</v>
      </c>
      <c r="U64" s="37" t="n">
        <v>10278.94</v>
      </c>
      <c r="V64" s="18" t="n">
        <v>4843.95</v>
      </c>
      <c r="W64" s="18" t="n">
        <v>3524.16</v>
      </c>
      <c r="X64" s="18" t="n">
        <v>4471.32</v>
      </c>
      <c r="Y64" s="18" t="n">
        <v>2098.01</v>
      </c>
      <c r="Z64" s="37" t="n">
        <v>14937.44</v>
      </c>
      <c r="AA64" s="18" t="n">
        <v>5152.47</v>
      </c>
      <c r="AB64" s="19" t="n">
        <v>2946.67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211.94</v>
      </c>
      <c r="F65" s="9" t="n"/>
      <c r="G65" s="18" t="n">
        <v>1869.01</v>
      </c>
      <c r="H65" s="18" t="n">
        <v>5507.92</v>
      </c>
      <c r="I65" s="18" t="n">
        <v>9874.02</v>
      </c>
      <c r="J65" s="18" t="n">
        <v>-651.29</v>
      </c>
      <c r="K65" s="37" t="n">
        <v>16599.66</v>
      </c>
      <c r="L65" s="18" t="n">
        <v>8042.55</v>
      </c>
      <c r="M65" s="18" t="n">
        <v>2800</v>
      </c>
      <c r="N65" s="18" t="n">
        <v>2872.21</v>
      </c>
      <c r="O65" s="18" t="n">
        <v>4010.34</v>
      </c>
      <c r="P65" s="37" t="n">
        <v>17725.1</v>
      </c>
      <c r="Q65" s="18" t="n">
        <v>1603.27</v>
      </c>
      <c r="R65" s="18" t="n">
        <v>8703.790000000001</v>
      </c>
      <c r="S65" s="18" t="n">
        <v>718.73</v>
      </c>
      <c r="T65" s="18" t="n">
        <v>8127.96</v>
      </c>
      <c r="U65" s="37" t="n">
        <v>19153.75</v>
      </c>
      <c r="V65" s="18" t="n">
        <v>4093.5</v>
      </c>
      <c r="W65" s="18" t="n">
        <v>8396.77</v>
      </c>
      <c r="X65" s="18" t="n">
        <v>2434.66</v>
      </c>
      <c r="Y65" s="18" t="n">
        <v>2583.78</v>
      </c>
      <c r="Z65" s="37" t="n">
        <v>17508.71</v>
      </c>
      <c r="AA65" s="18" t="n">
        <v>3796.4</v>
      </c>
      <c r="AB65" s="19" t="n">
        <v>3365.67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2312.4</v>
      </c>
      <c r="F66" s="9" t="n"/>
      <c r="G66" s="18" t="n">
        <v>1246.83</v>
      </c>
      <c r="H66" s="18" t="n">
        <v>-2478.87</v>
      </c>
      <c r="I66" s="18" t="n">
        <v>-4255.96</v>
      </c>
      <c r="J66" s="18" t="n">
        <v>6476.79</v>
      </c>
      <c r="K66" s="37" t="n">
        <v>988.79</v>
      </c>
      <c r="L66" s="18" t="n">
        <v>278.27</v>
      </c>
      <c r="M66" s="18" t="n">
        <v>2407.2</v>
      </c>
      <c r="N66" s="18" t="n">
        <v>1962.72</v>
      </c>
      <c r="O66" s="18" t="n">
        <v>-1102.62</v>
      </c>
      <c r="P66" s="37" t="n">
        <v>3545.57</v>
      </c>
      <c r="Q66" s="18" t="n">
        <v>1560.41</v>
      </c>
      <c r="R66" s="18" t="n">
        <v>-7843.14</v>
      </c>
      <c r="S66" s="18" t="n">
        <v>207.16</v>
      </c>
      <c r="T66" s="18" t="n">
        <v>4355.49</v>
      </c>
      <c r="U66" s="37" t="n">
        <v>-1720.08</v>
      </c>
      <c r="V66" s="18" t="n">
        <v>719.2</v>
      </c>
      <c r="W66" s="18" t="n">
        <v>-4443.73</v>
      </c>
      <c r="X66" s="18" t="n">
        <v>2697</v>
      </c>
      <c r="Y66" s="18" t="n">
        <v>211.52</v>
      </c>
      <c r="Z66" s="37" t="n">
        <v>-816.01</v>
      </c>
      <c r="AA66" s="18" t="n">
        <v>2288.06</v>
      </c>
      <c r="AB66" s="19" t="n">
        <v>233.46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6554.02</v>
      </c>
      <c r="F67" s="9" t="n"/>
      <c r="G67" s="18" t="n">
        <v>2193.4</v>
      </c>
      <c r="H67" s="18" t="n">
        <v>2874.15</v>
      </c>
      <c r="I67" s="18" t="n">
        <v>6289.85</v>
      </c>
      <c r="J67" s="18" t="n">
        <v>2560.97</v>
      </c>
      <c r="K67" s="37" t="n">
        <v>13918.37</v>
      </c>
      <c r="L67" s="18" t="n">
        <v>3108.41</v>
      </c>
      <c r="M67" s="18" t="n">
        <v>9789.23</v>
      </c>
      <c r="N67" s="18" t="n">
        <v>13049.01</v>
      </c>
      <c r="O67" s="18" t="n">
        <v>10932.93</v>
      </c>
      <c r="P67" s="37" t="n">
        <v>36879.58</v>
      </c>
      <c r="Q67" s="18" t="n">
        <v>11300.82</v>
      </c>
      <c r="R67" s="18" t="n">
        <v>4165.24</v>
      </c>
      <c r="S67" s="18" t="n">
        <v>11256.02</v>
      </c>
      <c r="T67" s="18" t="n">
        <v>24154.96</v>
      </c>
      <c r="U67" s="37" t="n">
        <v>50877.04</v>
      </c>
      <c r="V67" s="18" t="n">
        <v>13360.85</v>
      </c>
      <c r="W67" s="18" t="n">
        <v>12767.96</v>
      </c>
      <c r="X67" s="18" t="n">
        <v>26721.46</v>
      </c>
      <c r="Y67" s="18" t="n">
        <v>20229.61</v>
      </c>
      <c r="Z67" s="37" t="n">
        <v>73079.88</v>
      </c>
      <c r="AA67" s="18" t="n">
        <v>22358.75</v>
      </c>
      <c r="AB67" s="19" t="n">
        <v>36398.13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1440.64</v>
      </c>
      <c r="F68" s="9" t="n"/>
      <c r="G68" s="18" t="n">
        <v>1764.97</v>
      </c>
      <c r="H68" s="18" t="n">
        <v>1305.96</v>
      </c>
      <c r="I68" s="18" t="n">
        <v>1974.62</v>
      </c>
      <c r="J68" s="18" t="n">
        <v>451.04</v>
      </c>
      <c r="K68" s="37" t="n">
        <v>5496.59</v>
      </c>
      <c r="L68" s="18" t="n">
        <v>450.39</v>
      </c>
      <c r="M68" s="18" t="n">
        <v>1779.79</v>
      </c>
      <c r="N68" s="18" t="n">
        <v>3183.29</v>
      </c>
      <c r="O68" s="18" t="n">
        <v>2719.86</v>
      </c>
      <c r="P68" s="37" t="n">
        <v>8133.33</v>
      </c>
      <c r="Q68" s="18" t="n">
        <v>2608</v>
      </c>
      <c r="R68" s="18" t="n">
        <v>897.9299999999999</v>
      </c>
      <c r="S68" s="18" t="n">
        <v>2553.84</v>
      </c>
      <c r="T68" s="18" t="n">
        <v>5474.57</v>
      </c>
      <c r="U68" s="37" t="n">
        <v>11534.34</v>
      </c>
      <c r="V68" s="18" t="n">
        <v>4336.33</v>
      </c>
      <c r="W68" s="18" t="n">
        <v>1739.85</v>
      </c>
      <c r="X68" s="18" t="n">
        <v>6233.57</v>
      </c>
      <c r="Y68" s="18" t="n">
        <v>4886.91</v>
      </c>
      <c r="Z68" s="37" t="n">
        <v>17196.66</v>
      </c>
      <c r="AA68" s="18" t="n">
        <v>5236.16</v>
      </c>
      <c r="AB68" s="19" t="n">
        <v>9826.200000000001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5113.39</v>
      </c>
      <c r="F69" s="9" t="n"/>
      <c r="G69" s="18" t="n">
        <v>428.43</v>
      </c>
      <c r="H69" s="18" t="n">
        <v>1568.18</v>
      </c>
      <c r="I69" s="18" t="n">
        <v>4315.23</v>
      </c>
      <c r="J69" s="18" t="n">
        <v>2109.93</v>
      </c>
      <c r="K69" s="37" t="n">
        <v>8421.77</v>
      </c>
      <c r="L69" s="18" t="n">
        <v>2658.02</v>
      </c>
      <c r="M69" s="18" t="n">
        <v>8009.43</v>
      </c>
      <c r="N69" s="18" t="n">
        <v>9865.719999999999</v>
      </c>
      <c r="O69" s="18" t="n">
        <v>8213.059999999999</v>
      </c>
      <c r="P69" s="37" t="n">
        <v>28746.23</v>
      </c>
      <c r="Q69" s="18" t="n">
        <v>8692.83</v>
      </c>
      <c r="R69" s="18" t="n">
        <v>3267.31</v>
      </c>
      <c r="S69" s="18" t="n">
        <v>8702.190000000001</v>
      </c>
      <c r="T69" s="18" t="n">
        <v>18680.39</v>
      </c>
      <c r="U69" s="37" t="n">
        <v>39342.72</v>
      </c>
      <c r="V69" s="18" t="n">
        <v>9024.530000000001</v>
      </c>
      <c r="W69" s="18" t="n">
        <v>11028.11</v>
      </c>
      <c r="X69" s="18" t="n">
        <v>20487.89</v>
      </c>
      <c r="Y69" s="18" t="n">
        <v>15342.7</v>
      </c>
      <c r="Z69" s="37" t="n">
        <v>55883.23</v>
      </c>
      <c r="AA69" s="18" t="n">
        <v>17122.59</v>
      </c>
      <c r="AB69" s="19" t="n">
        <v>26571.93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0</v>
      </c>
      <c r="F71" s="9" t="n"/>
      <c r="G71" s="18" t="n">
        <v>0</v>
      </c>
      <c r="H71" s="18" t="n">
        <v>0</v>
      </c>
      <c r="I71" s="18" t="n">
        <v>0</v>
      </c>
      <c r="J71" s="18" t="n">
        <v>0</v>
      </c>
      <c r="K71" s="37" t="n">
        <v>0</v>
      </c>
      <c r="L71" s="18" t="n">
        <v>0</v>
      </c>
      <c r="M71" s="18" t="n">
        <v>0</v>
      </c>
      <c r="N71" s="18" t="n">
        <v>0</v>
      </c>
      <c r="O71" s="18" t="n">
        <v>0</v>
      </c>
      <c r="P71" s="37" t="n">
        <v>0</v>
      </c>
      <c r="Q71" s="18" t="n">
        <v>0</v>
      </c>
      <c r="R71" s="18" t="n">
        <v>0</v>
      </c>
      <c r="S71" s="18" t="n">
        <v>0</v>
      </c>
      <c r="T71" s="18" t="n">
        <v>0</v>
      </c>
      <c r="U71" s="37" t="n">
        <v>0</v>
      </c>
      <c r="V71" s="18" t="n">
        <v>0</v>
      </c>
      <c r="W71" s="18" t="n">
        <v>0</v>
      </c>
      <c r="X71" s="18" t="n">
        <v>0</v>
      </c>
      <c r="Y71" s="18" t="n">
        <v>0</v>
      </c>
      <c r="Z71" s="37" t="n">
        <v>0</v>
      </c>
      <c r="AA71" s="18" t="n">
        <v>0</v>
      </c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5131.3</v>
      </c>
      <c r="F72" s="9" t="n"/>
      <c r="G72" s="18" t="n">
        <v>-12.23</v>
      </c>
      <c r="H72" s="18" t="n">
        <v>1916.84</v>
      </c>
      <c r="I72" s="18" t="n">
        <v>4239.56</v>
      </c>
      <c r="J72" s="18" t="n">
        <v>2889.55</v>
      </c>
      <c r="K72" s="37" t="n">
        <v>9033.719999999999</v>
      </c>
      <c r="L72" s="18" t="n">
        <v>2656.65</v>
      </c>
      <c r="M72" s="18" t="n">
        <v>7924.02</v>
      </c>
      <c r="N72" s="18" t="n">
        <v>9812.07</v>
      </c>
      <c r="O72" s="18" t="n">
        <v>7783.03</v>
      </c>
      <c r="P72" s="37" t="n">
        <v>28175.77</v>
      </c>
      <c r="Q72" s="18" t="n">
        <v>8719.030000000001</v>
      </c>
      <c r="R72" s="18" t="n">
        <v>3299.92</v>
      </c>
      <c r="S72" s="18" t="n">
        <v>8552.01</v>
      </c>
      <c r="T72" s="18" t="n">
        <v>18139.38</v>
      </c>
      <c r="U72" s="37" t="n">
        <v>38710.34</v>
      </c>
      <c r="V72" s="18" t="n">
        <v>9004.43</v>
      </c>
      <c r="W72" s="18" t="n">
        <v>10828.6</v>
      </c>
      <c r="X72" s="18" t="n">
        <v>20523.05</v>
      </c>
      <c r="Y72" s="18" t="n">
        <v>14853.74</v>
      </c>
      <c r="Z72" s="37" t="n">
        <v>55209.82</v>
      </c>
      <c r="AA72" s="18" t="n">
        <v>17120.93</v>
      </c>
      <c r="AB72" s="19" t="n">
        <v>26540.95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-818.33</v>
      </c>
      <c r="F73" s="9" t="n"/>
      <c r="G73" s="18" t="n">
        <v>-361.47</v>
      </c>
      <c r="H73" s="18" t="n">
        <v>-480.26</v>
      </c>
      <c r="I73" s="18" t="n">
        <v>-647.64</v>
      </c>
      <c r="J73" s="18" t="n">
        <v>-862.0599999999999</v>
      </c>
      <c r="K73" s="37" t="n">
        <v>-2351.43</v>
      </c>
      <c r="L73" s="18" t="n">
        <v>-823.52</v>
      </c>
      <c r="M73" s="18" t="n">
        <v>-1239.4</v>
      </c>
      <c r="N73" s="18" t="n">
        <v>-1040.56</v>
      </c>
      <c r="O73" s="18" t="n">
        <v>-903.96</v>
      </c>
      <c r="P73" s="37" t="n">
        <v>-4007.44</v>
      </c>
      <c r="Q73" s="18" t="n">
        <v>-385.89</v>
      </c>
      <c r="R73" s="18" t="n">
        <v>-326.54</v>
      </c>
      <c r="S73" s="18" t="n">
        <v>-370.3</v>
      </c>
      <c r="T73" s="18" t="n">
        <v>-311.63</v>
      </c>
      <c r="U73" s="37" t="n">
        <v>-1394.36</v>
      </c>
      <c r="V73" s="18" t="n">
        <v>108.9</v>
      </c>
      <c r="W73" s="18" t="n">
        <v>275.98</v>
      </c>
      <c r="X73" s="18" t="n">
        <v>514.3</v>
      </c>
      <c r="Y73" s="18" t="n">
        <v>435.02</v>
      </c>
      <c r="Z73" s="37" t="n">
        <v>1334.2</v>
      </c>
      <c r="AA73" s="18" t="n">
        <v>217.73</v>
      </c>
      <c r="AB73" s="19" t="n">
        <v>223.32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438.72</v>
      </c>
      <c r="F74" s="9" t="n"/>
      <c r="G74" s="18" t="n">
        <v>554.75</v>
      </c>
      <c r="H74" s="18" t="n">
        <v>70.87</v>
      </c>
      <c r="I74" s="18" t="n">
        <v>109.84</v>
      </c>
      <c r="J74" s="18" t="n">
        <v>543.8</v>
      </c>
      <c r="K74" s="37" t="n">
        <v>1279.26</v>
      </c>
      <c r="L74" s="18" t="n">
        <v>183.46</v>
      </c>
      <c r="M74" s="18" t="n">
        <v>584.0700000000001</v>
      </c>
      <c r="N74" s="18" t="n">
        <v>547.36</v>
      </c>
      <c r="O74" s="18" t="n">
        <v>804.49</v>
      </c>
      <c r="P74" s="37" t="n">
        <v>2119.38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5113.39</v>
      </c>
      <c r="F75" s="9" t="n"/>
      <c r="G75" s="18" t="n">
        <v>428.43</v>
      </c>
      <c r="H75" s="18" t="n">
        <v>1568.18</v>
      </c>
      <c r="I75" s="18" t="n">
        <v>4315.23</v>
      </c>
      <c r="J75" s="18" t="n">
        <v>2109.93</v>
      </c>
      <c r="K75" s="37" t="n">
        <v>8421.77</v>
      </c>
      <c r="L75" s="18" t="n">
        <v>2658.02</v>
      </c>
      <c r="M75" s="18" t="n">
        <v>8009.43</v>
      </c>
      <c r="N75" s="18" t="n">
        <v>9865.719999999999</v>
      </c>
      <c r="O75" s="18" t="n">
        <v>8213.059999999999</v>
      </c>
      <c r="P75" s="37" t="n">
        <v>28746.23</v>
      </c>
      <c r="Q75" s="18" t="n">
        <v>8692.83</v>
      </c>
      <c r="R75" s="18" t="n">
        <v>3267.31</v>
      </c>
      <c r="S75" s="18" t="n">
        <v>8702.190000000001</v>
      </c>
      <c r="T75" s="18" t="n">
        <v>18680.39</v>
      </c>
      <c r="U75" s="37" t="n">
        <v>39342.72</v>
      </c>
      <c r="V75" s="18" t="n">
        <v>9024.530000000001</v>
      </c>
      <c r="W75" s="18" t="n">
        <v>11028.11</v>
      </c>
      <c r="X75" s="18" t="n">
        <v>20487.89</v>
      </c>
      <c r="Y75" s="18" t="n">
        <v>15342.7</v>
      </c>
      <c r="Z75" s="37" t="n">
        <v>55883.23</v>
      </c>
      <c r="AA75" s="18" t="n">
        <v>17122.59</v>
      </c>
      <c r="AB75" s="19" t="n">
        <v>26571.93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34.05</v>
      </c>
      <c r="H76" s="18" t="n">
        <v>17.95</v>
      </c>
      <c r="I76" s="18" t="n">
        <v>33.66</v>
      </c>
      <c r="J76" s="18" t="n">
        <v>-0.01</v>
      </c>
      <c r="K76" s="37" t="n">
        <v>85.65000000000001</v>
      </c>
      <c r="L76" s="18" t="n">
        <v>70.51000000000001</v>
      </c>
      <c r="M76" s="18" t="n">
        <v>92.48999999999999</v>
      </c>
      <c r="N76" s="18" t="n">
        <v>242.35</v>
      </c>
      <c r="O76" s="18" t="n">
        <v>472.94</v>
      </c>
      <c r="P76" s="37" t="n">
        <v>878.29</v>
      </c>
      <c r="Q76" s="18" t="n">
        <v>238.82</v>
      </c>
      <c r="R76" s="18" t="n">
        <v>302.7</v>
      </c>
      <c r="S76" s="18" t="n">
        <v>210.99</v>
      </c>
      <c r="T76" s="18" t="n">
        <v>86.22</v>
      </c>
      <c r="U76" s="37" t="n">
        <v>838.73</v>
      </c>
      <c r="V76" s="18" t="n">
        <v>344.83</v>
      </c>
      <c r="W76" s="18" t="n">
        <v>451.89</v>
      </c>
      <c r="X76" s="18" t="n">
        <v>617.53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G77" s="18" t="n">
        <v>391.15</v>
      </c>
      <c r="H77" s="18" t="n">
        <v>496.14</v>
      </c>
      <c r="I77" s="18" t="n">
        <v>679.34</v>
      </c>
      <c r="J77" s="18" t="n">
        <v>71.26000000000001</v>
      </c>
      <c r="K77" s="37" t="n">
        <v>1637.89</v>
      </c>
      <c r="M77" s="18" t="n">
        <v>995.6</v>
      </c>
      <c r="N77" s="18" t="n">
        <v>1010.11</v>
      </c>
      <c r="O77" s="18" t="n">
        <v>900.21</v>
      </c>
      <c r="P77" s="9" t="n"/>
      <c r="R77" s="18" t="n">
        <v>320.13</v>
      </c>
      <c r="S77" s="18" t="n">
        <v>278.66</v>
      </c>
      <c r="T77" s="18" t="n">
        <v>246.12</v>
      </c>
      <c r="U77" s="9" t="n"/>
      <c r="V77" s="18" t="n">
        <v>184.24</v>
      </c>
      <c r="W77" s="18" t="n">
        <v>135.38</v>
      </c>
      <c r="X77" s="18" t="n">
        <v>68.94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-357.1</v>
      </c>
      <c r="H78" s="18" t="n">
        <v>-478.19</v>
      </c>
      <c r="I78" s="18" t="n">
        <v>-645.6799999999999</v>
      </c>
      <c r="J78" s="18" t="n">
        <v>-71.27</v>
      </c>
      <c r="K78" s="37" t="n">
        <v>-1552.24</v>
      </c>
      <c r="M78" s="18" t="n">
        <v>-903.11</v>
      </c>
      <c r="N78" s="18" t="n">
        <v>-767.76</v>
      </c>
      <c r="O78" s="18" t="n">
        <v>-427.27</v>
      </c>
      <c r="P78" s="9" t="n"/>
      <c r="R78" s="18" t="n">
        <v>-17.43</v>
      </c>
      <c r="S78" s="18" t="n">
        <v>-67.67</v>
      </c>
      <c r="T78" s="18" t="n">
        <v>-159.9</v>
      </c>
      <c r="U78" s="9" t="n"/>
      <c r="V78" s="18" t="n">
        <v>160.59</v>
      </c>
      <c r="W78" s="18" t="n">
        <v>316.51</v>
      </c>
      <c r="X78" s="18" t="n">
        <v>548.59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-7634.12</v>
      </c>
      <c r="F79" s="9" t="n"/>
      <c r="G79" s="18" t="n">
        <v>-9044.700000000001</v>
      </c>
      <c r="H79" s="18" t="n">
        <v>696.74</v>
      </c>
      <c r="I79" s="18" t="n">
        <v>-17950.57</v>
      </c>
      <c r="J79" s="18" t="n">
        <v>36027.27</v>
      </c>
      <c r="K79" s="37" t="n">
        <v>9728.74</v>
      </c>
      <c r="L79" s="18" t="n">
        <v>-30135.25</v>
      </c>
      <c r="M79" s="18" t="n">
        <v>27647.22</v>
      </c>
      <c r="N79" s="18" t="n">
        <v>39950.73</v>
      </c>
      <c r="O79" s="18" t="n">
        <v>27262.16</v>
      </c>
      <c r="P79" s="37" t="n">
        <v>64724.86</v>
      </c>
      <c r="Q79" s="18" t="n">
        <v>8634.66</v>
      </c>
      <c r="R79" s="18" t="n">
        <v>13656.3</v>
      </c>
      <c r="S79" s="18" t="n">
        <v>-3714.47</v>
      </c>
      <c r="T79" s="18" t="n">
        <v>49001.79</v>
      </c>
      <c r="U79" s="37" t="n">
        <v>67578.28</v>
      </c>
      <c r="V79" s="18" t="n">
        <v>41915.38</v>
      </c>
      <c r="W79" s="18" t="n">
        <v>30364.17</v>
      </c>
      <c r="X79" s="18" t="n">
        <v>13032.81</v>
      </c>
      <c r="Y79" s="18" t="n">
        <v>-610.25</v>
      </c>
      <c r="Z79" s="37" t="n">
        <v>84702.11</v>
      </c>
      <c r="AA79" s="18" t="n">
        <v>-2993.53</v>
      </c>
      <c r="AB79" s="19" t="n">
        <v>-14401.53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0</v>
      </c>
      <c r="F80" s="9" t="n"/>
      <c r="G80" s="18" t="n">
        <v>3.56</v>
      </c>
      <c r="H80" s="18" t="n">
        <v>0</v>
      </c>
      <c r="I80" s="18" t="n">
        <v>0</v>
      </c>
      <c r="J80" s="18" t="n">
        <v>0</v>
      </c>
      <c r="K80" s="37" t="n">
        <v>3.56</v>
      </c>
      <c r="L80" s="18" t="n">
        <v>0</v>
      </c>
      <c r="M80" s="18" t="n">
        <v>1.62</v>
      </c>
      <c r="N80" s="18" t="n">
        <v>0</v>
      </c>
      <c r="O80" s="18" t="n">
        <v>0</v>
      </c>
      <c r="P80" s="37" t="n">
        <v>1.62</v>
      </c>
      <c r="Q80" s="18" t="n">
        <v>0</v>
      </c>
      <c r="R80" s="18" t="n">
        <v>2.67</v>
      </c>
      <c r="S80" s="18" t="n">
        <v>0</v>
      </c>
      <c r="T80" s="18" t="n">
        <v>0</v>
      </c>
      <c r="U80" s="37" t="n">
        <v>2.67</v>
      </c>
      <c r="V80" s="18" t="n">
        <v>0</v>
      </c>
      <c r="W80" s="18" t="n">
        <v>3.24</v>
      </c>
      <c r="X80" s="18" t="n">
        <v>0</v>
      </c>
      <c r="Y80" s="18" t="n">
        <v>0</v>
      </c>
      <c r="Z80" s="37" t="n">
        <v>3.24</v>
      </c>
      <c r="AA80" s="18" t="n">
        <v>0</v>
      </c>
      <c r="AB80" s="19" t="n">
        <v>2.43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-643.12</v>
      </c>
      <c r="F81" s="9" t="n"/>
      <c r="G81" s="18" t="n">
        <v>-2880.34</v>
      </c>
      <c r="H81" s="18" t="n">
        <v>-3518.62</v>
      </c>
      <c r="I81" s="18" t="n">
        <v>-3197.62</v>
      </c>
      <c r="J81" s="18" t="n">
        <v>-4.12</v>
      </c>
      <c r="K81" s="37" t="n">
        <v>-9600.700000000001</v>
      </c>
      <c r="L81" s="18" t="n">
        <v>-616.28</v>
      </c>
      <c r="M81" s="18" t="n">
        <v>-954.63</v>
      </c>
      <c r="N81" s="18" t="n">
        <v>0</v>
      </c>
      <c r="O81" s="18" t="n">
        <v>-1918.69</v>
      </c>
      <c r="P81" s="37" t="n">
        <v>-3489.6</v>
      </c>
      <c r="Q81" s="18" t="n">
        <v>-33.15</v>
      </c>
      <c r="R81" s="18" t="n">
        <v>-5328.67</v>
      </c>
      <c r="S81" s="18" t="n">
        <v>-3089.53</v>
      </c>
      <c r="T81" s="18" t="n">
        <v>-18.5</v>
      </c>
      <c r="U81" s="37" t="n">
        <v>-8469.85</v>
      </c>
      <c r="V81" s="18" t="n">
        <v>-3716.25</v>
      </c>
      <c r="W81" s="18" t="n">
        <v>-4744.94</v>
      </c>
      <c r="X81" s="18" t="n">
        <v>-3201.4</v>
      </c>
      <c r="Y81" s="18" t="n">
        <v>-2610.88</v>
      </c>
      <c r="Z81" s="37" t="n">
        <v>-14273.47</v>
      </c>
      <c r="AA81" s="18" t="n">
        <v>-5943.64</v>
      </c>
      <c r="AB81" s="19" t="n">
        <v>-8186.49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-1518.91</v>
      </c>
      <c r="F82" s="9" t="n"/>
      <c r="G82" s="18" t="n">
        <v>-620.21</v>
      </c>
      <c r="H82" s="18" t="n">
        <v>-1080.64</v>
      </c>
      <c r="I82" s="18" t="n">
        <v>-1806.67</v>
      </c>
      <c r="J82" s="18" t="n">
        <v>-912.88</v>
      </c>
      <c r="K82" s="37" t="n">
        <v>-4420.4</v>
      </c>
      <c r="L82" s="18" t="n">
        <v>-2218.2</v>
      </c>
      <c r="M82" s="18" t="n">
        <v>-5919.2</v>
      </c>
      <c r="N82" s="18" t="n">
        <v>-2915.33</v>
      </c>
      <c r="O82" s="18" t="n">
        <v>-5917.95</v>
      </c>
      <c r="P82" s="37" t="n">
        <v>-16970.68</v>
      </c>
      <c r="Q82" s="18" t="n">
        <v>-7725.9</v>
      </c>
      <c r="R82" s="18" t="n">
        <v>-5465.84</v>
      </c>
      <c r="S82" s="18" t="n">
        <v>-8498.440000000001</v>
      </c>
      <c r="T82" s="18" t="n">
        <v>-147.35</v>
      </c>
      <c r="U82" s="37" t="n">
        <v>-21837.53</v>
      </c>
      <c r="V82" s="18" t="n">
        <v>-5116.68</v>
      </c>
      <c r="W82" s="18" t="n">
        <v>-5988</v>
      </c>
      <c r="X82" s="18" t="n">
        <v>-22635.28</v>
      </c>
      <c r="Y82" s="18" t="n">
        <v>-2587.05</v>
      </c>
      <c r="Z82" s="37" t="n">
        <v>-36327.01</v>
      </c>
      <c r="AA82" s="18" t="n">
        <v>9384.27</v>
      </c>
      <c r="AB82" s="19" t="n">
        <v>-1675.19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144.85</v>
      </c>
      <c r="F83" s="9" t="n"/>
      <c r="G83" s="18" t="n">
        <v>23.83</v>
      </c>
      <c r="H83" s="18" t="n">
        <v>8.18</v>
      </c>
      <c r="I83" s="18" t="n">
        <v>9.949999999999999</v>
      </c>
      <c r="K83" s="9" t="n"/>
      <c r="L83" s="18" t="n">
        <v>0</v>
      </c>
      <c r="M83" s="18" t="n">
        <v>0.7</v>
      </c>
      <c r="N83" s="18" t="n">
        <v>127.24</v>
      </c>
      <c r="O83" s="18" t="n">
        <v>15502.39</v>
      </c>
      <c r="P83" s="37" t="n">
        <v>15630.33</v>
      </c>
      <c r="Q83" s="18" t="n">
        <v>5.54</v>
      </c>
      <c r="R83" s="18" t="n">
        <v>3.01</v>
      </c>
      <c r="S83" s="18" t="n">
        <v>0</v>
      </c>
      <c r="T83" s="18" t="n">
        <v>5.03</v>
      </c>
      <c r="U83" s="37" t="n">
        <v>13.58</v>
      </c>
      <c r="V83" s="18" t="n">
        <v>1.4</v>
      </c>
      <c r="W83" s="18" t="n">
        <v>2.73</v>
      </c>
      <c r="X83" s="18" t="n">
        <v>20.49</v>
      </c>
      <c r="Y83" s="18" t="n">
        <v>3.18</v>
      </c>
      <c r="Z83" s="37" t="n">
        <v>27.8</v>
      </c>
      <c r="AA83" s="18" t="n">
        <v>144.68</v>
      </c>
      <c r="AB83" s="19" t="n">
        <v>5.56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970.02</v>
      </c>
      <c r="F84" s="9" t="n"/>
      <c r="G84" s="18" t="n">
        <v>980.91</v>
      </c>
      <c r="H84" s="18" t="n">
        <v>1094.2</v>
      </c>
      <c r="I84" s="18" t="n">
        <v>1821.14</v>
      </c>
      <c r="J84" s="18" t="n">
        <v>828.88</v>
      </c>
      <c r="K84" s="37" t="n">
        <v>4725.13</v>
      </c>
      <c r="L84" s="18" t="n">
        <v>1580.9</v>
      </c>
      <c r="M84" s="18" t="n">
        <v>6545.13</v>
      </c>
      <c r="N84" s="18" t="n">
        <v>2110.67</v>
      </c>
      <c r="P84" s="9" t="n"/>
      <c r="Q84" s="18" t="n">
        <v>7129.45</v>
      </c>
      <c r="R84" s="18" t="n">
        <v>5493.54</v>
      </c>
      <c r="S84" s="18" t="n">
        <v>8464.75</v>
      </c>
      <c r="T84" s="18" t="n">
        <v>2156.34</v>
      </c>
      <c r="U84" s="37" t="n">
        <v>23244.08</v>
      </c>
      <c r="V84" s="18" t="n">
        <v>5186.7</v>
      </c>
      <c r="W84" s="18" t="n">
        <v>6164.93</v>
      </c>
      <c r="X84" s="18" t="n">
        <v>2111.73</v>
      </c>
      <c r="Y84" s="18" t="n">
        <v>2175.51</v>
      </c>
      <c r="Z84" s="37" t="n">
        <v>15638.87</v>
      </c>
      <c r="AA84" s="18" t="n">
        <v>1004.46</v>
      </c>
      <c r="AB84" s="19" t="n">
        <v>1231.16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973.12</v>
      </c>
      <c r="F85" s="9" t="n"/>
      <c r="G85" s="18" t="n">
        <v>986.91</v>
      </c>
      <c r="H85" s="18" t="n">
        <v>1094.2</v>
      </c>
      <c r="I85" s="18" t="n">
        <v>1821.14</v>
      </c>
      <c r="J85" s="18" t="n">
        <v>829.73</v>
      </c>
      <c r="K85" s="37" t="n">
        <v>4731.98</v>
      </c>
      <c r="L85" s="18" t="n">
        <v>1580.9</v>
      </c>
      <c r="M85" s="18" t="n">
        <v>6545.13</v>
      </c>
      <c r="N85" s="18" t="n">
        <v>2302.44</v>
      </c>
      <c r="P85" s="9" t="n"/>
      <c r="Q85" s="18" t="n">
        <v>7362.5</v>
      </c>
      <c r="R85" s="18" t="n">
        <v>5498.1</v>
      </c>
      <c r="S85" s="18" t="n">
        <v>8510.91</v>
      </c>
      <c r="T85" s="18" t="n">
        <v>2168.84</v>
      </c>
      <c r="U85" s="37" t="n">
        <v>23540.35</v>
      </c>
      <c r="V85" s="18" t="n">
        <v>5221.46</v>
      </c>
      <c r="W85" s="18" t="n">
        <v>6239.03</v>
      </c>
      <c r="X85" s="18" t="n">
        <v>2448.75</v>
      </c>
      <c r="Y85" s="18" t="n">
        <v>2230.42</v>
      </c>
      <c r="Z85" s="37" t="n">
        <v>16139.66</v>
      </c>
      <c r="AA85" s="18" t="n">
        <v>1175.61</v>
      </c>
      <c r="AB85" s="19" t="n">
        <v>1289.68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W86" s="18" t="n">
        <v>0</v>
      </c>
      <c r="X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3.1</v>
      </c>
      <c r="F87" s="9" t="n"/>
      <c r="G87" s="18" t="n">
        <v>6</v>
      </c>
      <c r="H87" s="18" t="n">
        <v>0</v>
      </c>
      <c r="I87" s="18" t="n">
        <v>0</v>
      </c>
      <c r="J87" s="18" t="n">
        <v>0.85</v>
      </c>
      <c r="K87" s="37" t="n">
        <v>6.85</v>
      </c>
      <c r="L87" s="18" t="n">
        <v>0</v>
      </c>
      <c r="M87" s="18" t="n">
        <v>0</v>
      </c>
      <c r="N87" s="18" t="n">
        <v>191.77</v>
      </c>
      <c r="P87" s="9" t="n"/>
      <c r="Q87" s="18" t="n">
        <v>233.05</v>
      </c>
      <c r="R87" s="18" t="n">
        <v>4.56</v>
      </c>
      <c r="S87" s="18" t="n">
        <v>46.16</v>
      </c>
      <c r="T87" s="18" t="n">
        <v>12.5</v>
      </c>
      <c r="U87" s="37" t="n">
        <v>296.27</v>
      </c>
      <c r="V87" s="18" t="n">
        <v>34.76</v>
      </c>
      <c r="W87" s="18" t="n">
        <v>74.09999999999999</v>
      </c>
      <c r="X87" s="18" t="n">
        <v>337.02</v>
      </c>
      <c r="Y87" s="18" t="n">
        <v>54.91</v>
      </c>
      <c r="Z87" s="37" t="n">
        <v>500.79</v>
      </c>
      <c r="AA87" s="18" t="n">
        <v>171.15</v>
      </c>
      <c r="AB87" s="19" t="n">
        <v>58.52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10432.51</v>
      </c>
      <c r="F88" s="9" t="n"/>
      <c r="G88" s="18" t="n">
        <v>54.23</v>
      </c>
      <c r="H88" s="18" t="n">
        <v>1154.53</v>
      </c>
      <c r="I88" s="18" t="n">
        <v>11035.93</v>
      </c>
      <c r="J88" s="18" t="n">
        <v>-12765.29</v>
      </c>
      <c r="K88" s="37" t="n">
        <v>-520.6</v>
      </c>
      <c r="L88" s="18" t="n">
        <v>14304.91</v>
      </c>
      <c r="M88" s="18" t="n">
        <v>3288.47</v>
      </c>
      <c r="N88" s="18" t="n">
        <v>-8265.360000000001</v>
      </c>
      <c r="O88" s="18" t="n">
        <v>-57162.07</v>
      </c>
      <c r="P88" s="37" t="n">
        <v>-47834.05</v>
      </c>
      <c r="Q88" s="18" t="n">
        <v>1326.76</v>
      </c>
      <c r="R88" s="18" t="n">
        <v>-8209.24</v>
      </c>
      <c r="S88" s="18" t="n">
        <v>-2816.15</v>
      </c>
      <c r="T88" s="18" t="n">
        <v>-5897.22</v>
      </c>
      <c r="U88" s="37" t="n">
        <v>-15595.85</v>
      </c>
      <c r="V88" s="18" t="n">
        <v>-396.91</v>
      </c>
      <c r="W88" s="18" t="n">
        <v>-21811.53</v>
      </c>
      <c r="X88" s="18" t="n">
        <v>-1034.75</v>
      </c>
      <c r="Y88" s="18" t="n">
        <v>-1158.71</v>
      </c>
      <c r="Z88" s="37" t="n">
        <v>-24401.9</v>
      </c>
      <c r="AA88" s="18" t="n">
        <v>-8178.71</v>
      </c>
      <c r="AB88" s="19" t="n">
        <v>-13006.45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42678.14</v>
      </c>
      <c r="F89" s="9" t="n"/>
      <c r="G89" s="18" t="n">
        <v>16474.12</v>
      </c>
      <c r="H89" s="18" t="n">
        <v>52050.46</v>
      </c>
      <c r="I89" s="18" t="n">
        <v>31230.73</v>
      </c>
      <c r="J89" s="18" t="n">
        <v>19353.74</v>
      </c>
      <c r="K89" s="37" t="n">
        <v>119109.05</v>
      </c>
      <c r="L89" s="18" t="n">
        <v>31490.72</v>
      </c>
      <c r="M89" s="18" t="n">
        <v>27954.36</v>
      </c>
      <c r="N89" s="18" t="n">
        <v>13142.11</v>
      </c>
      <c r="O89" s="18" t="n">
        <v>36612.62</v>
      </c>
      <c r="P89" s="37" t="n">
        <v>109199.81</v>
      </c>
      <c r="Q89" s="18" t="n">
        <v>17605.53</v>
      </c>
      <c r="R89" s="18" t="n">
        <v>7003.97</v>
      </c>
      <c r="S89" s="18" t="n">
        <v>6589.18</v>
      </c>
      <c r="T89" s="18" t="n">
        <v>0</v>
      </c>
      <c r="U89" s="37" t="n">
        <v>31198.68</v>
      </c>
      <c r="V89" s="18" t="n">
        <v>7215</v>
      </c>
      <c r="W89" s="18" t="n">
        <v>0</v>
      </c>
      <c r="X89" s="18" t="n">
        <v>0</v>
      </c>
      <c r="Y89" s="18" t="n">
        <v>0</v>
      </c>
      <c r="Z89" s="37" t="n">
        <v>7215</v>
      </c>
      <c r="AA89" s="18" t="n">
        <v>0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31421.71</v>
      </c>
      <c r="F90" s="9" t="n"/>
      <c r="G90" s="18" t="n">
        <v>15428.27</v>
      </c>
      <c r="H90" s="18" t="n">
        <v>40101.21</v>
      </c>
      <c r="I90" s="18" t="n">
        <v>20094.12</v>
      </c>
      <c r="J90" s="18" t="n">
        <v>32046.25</v>
      </c>
      <c r="K90" s="37" t="n">
        <v>107669.85</v>
      </c>
      <c r="L90" s="18" t="n">
        <v>17126.52</v>
      </c>
      <c r="M90" s="18" t="n">
        <v>12960.26</v>
      </c>
      <c r="N90" s="18" t="n">
        <v>20543.06</v>
      </c>
      <c r="O90" s="18" t="n">
        <v>93110.72</v>
      </c>
      <c r="P90" s="37" t="n">
        <v>143740.56</v>
      </c>
      <c r="Q90" s="18" t="n">
        <v>15447</v>
      </c>
      <c r="R90" s="18" t="n">
        <v>7083.57</v>
      </c>
      <c r="S90" s="18" t="n">
        <v>8530.219999999999</v>
      </c>
      <c r="T90" s="18" t="n">
        <v>5000</v>
      </c>
      <c r="U90" s="37" t="n">
        <v>36060.79</v>
      </c>
      <c r="V90" s="18" t="n">
        <v>6664.5</v>
      </c>
      <c r="W90" s="18" t="n">
        <v>10685.5</v>
      </c>
      <c r="X90" s="18" t="n">
        <v>0</v>
      </c>
      <c r="Y90" s="18" t="n">
        <v>0</v>
      </c>
      <c r="Z90" s="37" t="n">
        <v>17350</v>
      </c>
      <c r="AA90" s="18" t="n">
        <v>7174.5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7" t="n">
        <v>0</v>
      </c>
      <c r="L91" s="18" t="n">
        <v>0</v>
      </c>
      <c r="P91" s="9" t="n"/>
      <c r="Q91" s="18" t="n">
        <v>0</v>
      </c>
      <c r="R91" s="18" t="n">
        <v>0</v>
      </c>
      <c r="S91" s="18" t="n">
        <v>0</v>
      </c>
      <c r="T91" s="18" t="n">
        <v>0</v>
      </c>
      <c r="U91" s="37" t="n">
        <v>0</v>
      </c>
      <c r="V91" s="18" t="n">
        <v>0</v>
      </c>
      <c r="W91" s="18" t="n">
        <v>0</v>
      </c>
      <c r="X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882.08</v>
      </c>
      <c r="F92" s="9" t="n"/>
      <c r="G92" s="18" t="n">
        <v>889.12</v>
      </c>
      <c r="H92" s="18" t="n">
        <v>889.13</v>
      </c>
      <c r="I92" s="18" t="n">
        <v>0</v>
      </c>
      <c r="J92" s="18" t="n">
        <v>0</v>
      </c>
      <c r="K92" s="37" t="n">
        <v>1778.25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E93" s="18" t="n">
        <v>0</v>
      </c>
      <c r="F93" s="9" t="n"/>
      <c r="K93" s="9" t="n"/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E94" s="18" t="n">
        <v>0</v>
      </c>
      <c r="F94" s="9" t="n"/>
      <c r="I94" s="18" t="n">
        <v>0</v>
      </c>
      <c r="J94" s="18" t="n">
        <v>0</v>
      </c>
      <c r="K94" s="9" t="n"/>
      <c r="N94" s="18" t="n">
        <v>0</v>
      </c>
      <c r="O94" s="18" t="n">
        <v>0</v>
      </c>
      <c r="P94" s="9" t="n"/>
      <c r="Q94" s="18" t="n">
        <v>0</v>
      </c>
      <c r="R94" s="18" t="n">
        <v>7258.28</v>
      </c>
      <c r="S94" s="18" t="n">
        <v>0</v>
      </c>
      <c r="T94" s="18" t="n">
        <v>0</v>
      </c>
      <c r="U94" s="37" t="n">
        <v>7258.28</v>
      </c>
      <c r="V94" s="18" t="n">
        <v>0</v>
      </c>
      <c r="W94" s="18" t="n">
        <v>10161.6</v>
      </c>
      <c r="X94" s="18" t="n">
        <v>0</v>
      </c>
      <c r="Y94" s="18" t="n">
        <v>0</v>
      </c>
      <c r="Z94" s="37" t="n">
        <v>10161.6</v>
      </c>
      <c r="AA94" s="18" t="n">
        <v>0</v>
      </c>
      <c r="AB94" s="19" t="n">
        <v>11973.25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2183.17</v>
      </c>
      <c r="F95" s="9" t="n"/>
      <c r="G95" s="18" t="n">
        <v>-19398.2</v>
      </c>
      <c r="H95" s="18" t="n">
        <v>1735.6</v>
      </c>
      <c r="I95" s="18" t="n">
        <v>-16965.87</v>
      </c>
      <c r="J95" s="18" t="n">
        <v>43372.54</v>
      </c>
      <c r="K95" s="37" t="n">
        <v>8744.07</v>
      </c>
      <c r="L95" s="18" t="n">
        <v>-36098.53</v>
      </c>
      <c r="M95" s="18" t="n">
        <v>50346.11</v>
      </c>
      <c r="N95" s="18" t="n">
        <v>59796.27</v>
      </c>
      <c r="O95" s="18" t="n">
        <v>-74335.61</v>
      </c>
      <c r="P95" s="37" t="n">
        <v>-291.76</v>
      </c>
      <c r="Q95" s="18" t="n">
        <v>4748.49</v>
      </c>
      <c r="R95" s="18" t="n">
        <v>-11.38</v>
      </c>
      <c r="S95" s="18" t="n">
        <v>-30481.65</v>
      </c>
      <c r="T95" s="18" t="n">
        <v>86347.23</v>
      </c>
      <c r="U95" s="37" t="n">
        <v>60602.69</v>
      </c>
      <c r="V95" s="18" t="n">
        <v>72850.35000000001</v>
      </c>
      <c r="W95" s="18" t="n">
        <v>2083.98</v>
      </c>
      <c r="X95" s="18" t="n">
        <v>-18215.83</v>
      </c>
      <c r="Y95" s="18" t="n">
        <v>-33264.62</v>
      </c>
      <c r="Z95" s="37" t="n">
        <v>23453.88</v>
      </c>
      <c r="AA95" s="18" t="n">
        <v>-1678.32</v>
      </c>
      <c r="AB95" s="19" t="n">
        <v>-29009.86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903.67</v>
      </c>
      <c r="F96" s="9" t="n"/>
      <c r="G96" s="18" t="n">
        <v>13402.22</v>
      </c>
      <c r="H96" s="18" t="n">
        <v>964.96</v>
      </c>
      <c r="I96" s="18" t="n">
        <v>-8244.559999999999</v>
      </c>
      <c r="J96" s="18" t="n">
        <v>21023.45</v>
      </c>
      <c r="K96" s="37" t="n">
        <v>27146.07</v>
      </c>
      <c r="L96" s="18" t="n">
        <v>9096.08</v>
      </c>
      <c r="M96" s="18" t="n">
        <v>25329.62</v>
      </c>
      <c r="N96" s="18" t="n">
        <v>31026.23</v>
      </c>
      <c r="O96" s="18" t="n">
        <v>-38517.74</v>
      </c>
      <c r="P96" s="37" t="n">
        <v>26934.19</v>
      </c>
      <c r="Q96" s="18" t="n">
        <v>29447.16</v>
      </c>
      <c r="R96" s="18" t="n">
        <v>7.4</v>
      </c>
      <c r="S96" s="18" t="n">
        <v>-15452.59</v>
      </c>
      <c r="T96" s="18" t="n">
        <v>43390.02</v>
      </c>
      <c r="U96" s="37" t="n">
        <v>57391.99</v>
      </c>
      <c r="V96" s="18" t="n">
        <v>93840.55</v>
      </c>
      <c r="W96" s="18" t="n">
        <v>-480.67</v>
      </c>
      <c r="X96" s="18" t="n">
        <v>-7578.6</v>
      </c>
      <c r="Y96" s="18" t="n">
        <v>-4935.41</v>
      </c>
      <c r="Z96" s="37" t="n">
        <v>80845.87</v>
      </c>
      <c r="AA96" s="18" t="n">
        <v>79167.55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F97" s="9" t="n"/>
      <c r="I97" s="18" t="n">
        <v>100.69</v>
      </c>
      <c r="K97" s="9" t="n"/>
      <c r="N97" s="18" t="n">
        <v>864.41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F98" s="9" t="n"/>
      <c r="K98" s="9" t="n"/>
      <c r="P98" s="9" t="n"/>
      <c r="Q98" s="18" t="n">
        <v>239.47</v>
      </c>
      <c r="R98" s="18" t="n">
        <v>302.05</v>
      </c>
      <c r="S98" s="18" t="n">
        <v>210.99</v>
      </c>
      <c r="U98" s="9" t="n"/>
      <c r="V98" s="18" t="n">
        <v>344.83</v>
      </c>
      <c r="W98" s="18" t="n">
        <v>451.89</v>
      </c>
      <c r="X98" s="18" t="n">
        <v>617.53</v>
      </c>
      <c r="Y98" s="18" t="n">
        <v>371.24</v>
      </c>
      <c r="Z98" s="37" t="n">
        <v>1785.49</v>
      </c>
      <c r="AA98" s="18" t="n">
        <v>395.18</v>
      </c>
      <c r="AB98" s="19" t="n">
        <v>271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이자지급(CF)</t>
        </is>
      </c>
      <c r="F99" s="9" t="n"/>
      <c r="K99" s="9" t="n"/>
      <c r="P99" s="9" t="n"/>
      <c r="Q99" s="18" t="n">
        <v>-385.21</v>
      </c>
      <c r="R99" s="18" t="n">
        <v>-382.75</v>
      </c>
      <c r="U99" s="9" t="n"/>
      <c r="Z99" s="9" t="n"/>
      <c r="AA99" s="18" t="n">
        <v>-164.22</v>
      </c>
      <c r="AB99" s="19" t="n">
        <v>-113.25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0</v>
      </c>
      <c r="F37" s="37" t="n">
        <v>0</v>
      </c>
      <c r="G37" s="18" t="n">
        <v>0</v>
      </c>
      <c r="H37" s="18" t="n">
        <v>0</v>
      </c>
      <c r="I37" s="18" t="n">
        <v>0</v>
      </c>
      <c r="J37" s="18" t="n">
        <v>0</v>
      </c>
      <c r="K37" s="37" t="n">
        <v>0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2216.01</v>
      </c>
      <c r="F38" s="37" t="n">
        <v>2216.01</v>
      </c>
      <c r="G38" s="18" t="n">
        <v>2747.61</v>
      </c>
      <c r="H38" s="18" t="n">
        <v>3276.55</v>
      </c>
      <c r="I38" s="18" t="n">
        <v>3683.02</v>
      </c>
      <c r="J38" s="18" t="n">
        <v>0</v>
      </c>
      <c r="K38" s="37" t="n">
        <v>0</v>
      </c>
      <c r="M38" s="18" t="n">
        <v>46.28</v>
      </c>
      <c r="N38" s="18" t="n">
        <v>475.86</v>
      </c>
      <c r="O38" s="18" t="n">
        <v>0</v>
      </c>
      <c r="P38" s="37" t="n">
        <v>0</v>
      </c>
      <c r="R38" s="18" t="n">
        <v>248.45</v>
      </c>
      <c r="S38" s="18" t="n">
        <v>706.03</v>
      </c>
      <c r="T38" s="18" t="n">
        <v>617.38</v>
      </c>
      <c r="U38" s="37" t="n">
        <v>617.38</v>
      </c>
      <c r="V38" s="18" t="n">
        <v>1456.65</v>
      </c>
      <c r="W38" s="18" t="n">
        <v>2093.23</v>
      </c>
      <c r="X38" s="18" t="n">
        <v>2762.91</v>
      </c>
      <c r="Z38" s="9" t="n"/>
      <c r="AA38" s="18" t="n">
        <v>293.9</v>
      </c>
      <c r="AB38" s="19" t="n">
        <v>996.59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4892.53</v>
      </c>
      <c r="F39" s="37" t="n">
        <v>4892.53</v>
      </c>
      <c r="G39" s="18" t="n">
        <v>5598.6</v>
      </c>
      <c r="H39" s="18" t="n">
        <v>5070</v>
      </c>
      <c r="I39" s="18" t="n">
        <v>5903.38</v>
      </c>
      <c r="J39" s="18" t="n">
        <v>5536.66</v>
      </c>
      <c r="K39" s="37" t="n">
        <v>5536.66</v>
      </c>
      <c r="L39" s="18" t="n">
        <v>5974.77</v>
      </c>
      <c r="M39" s="18" t="n">
        <v>5461.18</v>
      </c>
      <c r="N39" s="18" t="n">
        <v>4967.15</v>
      </c>
      <c r="O39" s="18" t="n">
        <v>6250.4</v>
      </c>
      <c r="P39" s="37" t="n">
        <v>6250.4</v>
      </c>
      <c r="Q39" s="18" t="n">
        <v>6180.72</v>
      </c>
      <c r="R39" s="18" t="n">
        <v>6027.64</v>
      </c>
      <c r="S39" s="18" t="n">
        <v>5724.69</v>
      </c>
      <c r="T39" s="18" t="n">
        <v>6542.43</v>
      </c>
      <c r="U39" s="37" t="n">
        <v>6542.43</v>
      </c>
      <c r="V39" s="18" t="n">
        <v>6427.22</v>
      </c>
      <c r="W39" s="18" t="n">
        <v>5806.76</v>
      </c>
      <c r="X39" s="18" t="n">
        <v>4983.22</v>
      </c>
      <c r="Y39" s="18" t="n">
        <v>5888.99</v>
      </c>
      <c r="Z39" s="37" t="n">
        <v>5888.99</v>
      </c>
      <c r="AA39" s="18" t="n">
        <v>6179.46</v>
      </c>
      <c r="AB39" s="19" t="n">
        <v>6041.87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기타비유동금융부채</t>
        </is>
      </c>
      <c r="E40" s="18" t="n">
        <v>250</v>
      </c>
      <c r="F40" s="37" t="n">
        <v>250</v>
      </c>
      <c r="G40" s="18" t="n">
        <v>250</v>
      </c>
      <c r="H40" s="18" t="n">
        <v>250</v>
      </c>
      <c r="I40" s="18" t="n">
        <v>250</v>
      </c>
      <c r="J40" s="18" t="n">
        <v>250</v>
      </c>
      <c r="K40" s="37" t="n">
        <v>250</v>
      </c>
      <c r="L40" s="18" t="n">
        <v>250</v>
      </c>
      <c r="M40" s="18" t="n">
        <v>250</v>
      </c>
      <c r="N40" s="18" t="n">
        <v>250</v>
      </c>
      <c r="O40" s="18" t="n">
        <v>250</v>
      </c>
      <c r="P40" s="37" t="n">
        <v>250</v>
      </c>
      <c r="Q40" s="18" t="n">
        <v>250</v>
      </c>
      <c r="R40" s="18" t="n">
        <v>250</v>
      </c>
      <c r="S40" s="18" t="n">
        <v>250</v>
      </c>
      <c r="T40" s="18" t="n">
        <v>250</v>
      </c>
      <c r="U40" s="37" t="n">
        <v>250</v>
      </c>
      <c r="V40" s="18" t="n">
        <v>250</v>
      </c>
      <c r="W40" s="18" t="n">
        <v>250</v>
      </c>
      <c r="X40" s="18" t="n">
        <v>250</v>
      </c>
      <c r="Y40" s="18" t="n">
        <v>250</v>
      </c>
      <c r="Z40" s="37" t="n">
        <v>250</v>
      </c>
      <c r="AA40" s="18" t="n">
        <v>250</v>
      </c>
      <c r="AB40" s="19" t="n">
        <v>250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250</v>
      </c>
      <c r="F41" s="37" t="n">
        <v>250</v>
      </c>
      <c r="G41" s="18" t="n">
        <v>250</v>
      </c>
      <c r="H41" s="18" t="n">
        <v>250</v>
      </c>
      <c r="I41" s="18" t="n">
        <v>250</v>
      </c>
      <c r="J41" s="18" t="n">
        <v>250</v>
      </c>
      <c r="K41" s="37" t="n">
        <v>250</v>
      </c>
      <c r="L41" s="18" t="n">
        <v>250</v>
      </c>
      <c r="M41" s="18" t="n">
        <v>250</v>
      </c>
      <c r="N41" s="18" t="n">
        <v>250</v>
      </c>
      <c r="O41" s="18" t="n">
        <v>250</v>
      </c>
      <c r="P41" s="37" t="n">
        <v>250</v>
      </c>
      <c r="Q41" s="18" t="n">
        <v>250</v>
      </c>
      <c r="R41" s="18" t="n">
        <v>250</v>
      </c>
      <c r="S41" s="18" t="n">
        <v>250</v>
      </c>
      <c r="T41" s="18" t="n">
        <v>250</v>
      </c>
      <c r="U41" s="37" t="n">
        <v>250</v>
      </c>
      <c r="V41" s="18" t="n">
        <v>250</v>
      </c>
      <c r="W41" s="18" t="n">
        <v>250</v>
      </c>
      <c r="X41" s="18" t="n">
        <v>250</v>
      </c>
      <c r="Y41" s="18" t="n">
        <v>7229.39</v>
      </c>
      <c r="Z41" s="37" t="n">
        <v>7229.39</v>
      </c>
      <c r="AA41" s="18" t="n">
        <v>250</v>
      </c>
      <c r="AB41" s="19" t="n">
        <v>250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151902.4</v>
      </c>
      <c r="F42" s="37" t="n">
        <v>151902.4</v>
      </c>
      <c r="G42" s="18" t="n">
        <v>152319.07</v>
      </c>
      <c r="H42" s="18" t="n">
        <v>161164.11</v>
      </c>
      <c r="I42" s="18" t="n">
        <v>188978.33</v>
      </c>
      <c r="J42" s="18" t="n">
        <v>195129.04</v>
      </c>
      <c r="K42" s="37" t="n">
        <v>195129.04</v>
      </c>
      <c r="L42" s="18" t="n">
        <v>217873.06</v>
      </c>
      <c r="M42" s="18" t="n">
        <v>227774.25</v>
      </c>
      <c r="N42" s="18" t="n">
        <v>240944.88</v>
      </c>
      <c r="O42" s="18" t="n">
        <v>195423.07</v>
      </c>
      <c r="P42" s="37" t="n">
        <v>195423.07</v>
      </c>
      <c r="Q42" s="18" t="n">
        <v>198661.75</v>
      </c>
      <c r="R42" s="18" t="n">
        <v>197300.43</v>
      </c>
      <c r="S42" s="18" t="n">
        <v>196580.66</v>
      </c>
      <c r="T42" s="18" t="n">
        <v>253014.74</v>
      </c>
      <c r="U42" s="37" t="n">
        <v>253014.74</v>
      </c>
      <c r="V42" s="18" t="n">
        <v>263660.53</v>
      </c>
      <c r="W42" s="18" t="n">
        <v>251269.34</v>
      </c>
      <c r="X42" s="18" t="n">
        <v>238978.19</v>
      </c>
      <c r="Y42" s="18" t="n">
        <v>242665.19</v>
      </c>
      <c r="Z42" s="37" t="n">
        <v>242665.19</v>
      </c>
      <c r="AA42" s="18" t="n">
        <v>224838.78</v>
      </c>
      <c r="AB42" s="19" t="n">
        <v>216828.63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14832.53</v>
      </c>
      <c r="F43" s="37" t="n">
        <v>14832.53</v>
      </c>
      <c r="G43" s="18" t="n">
        <v>14993.56</v>
      </c>
      <c r="H43" s="18" t="n">
        <v>15142.51</v>
      </c>
      <c r="I43" s="18" t="n">
        <v>15212.03</v>
      </c>
      <c r="J43" s="18" t="n">
        <v>15212.03</v>
      </c>
      <c r="K43" s="37" t="n">
        <v>15212.03</v>
      </c>
      <c r="L43" s="18" t="n">
        <v>15212.03</v>
      </c>
      <c r="M43" s="18" t="n">
        <v>15324.75</v>
      </c>
      <c r="N43" s="18" t="n">
        <v>15324.75</v>
      </c>
      <c r="O43" s="18" t="n">
        <v>15324.75</v>
      </c>
      <c r="P43" s="37" t="n">
        <v>15324.75</v>
      </c>
      <c r="Q43" s="18" t="n">
        <v>15324.75</v>
      </c>
      <c r="R43" s="18" t="n">
        <v>15324.75</v>
      </c>
      <c r="S43" s="18" t="n">
        <v>15324.75</v>
      </c>
      <c r="T43" s="18" t="n">
        <v>15324.75</v>
      </c>
      <c r="U43" s="37" t="n">
        <v>15324.75</v>
      </c>
      <c r="V43" s="18" t="n">
        <v>15324.75</v>
      </c>
      <c r="W43" s="18" t="n">
        <v>15324.75</v>
      </c>
      <c r="X43" s="18" t="n">
        <v>15324.75</v>
      </c>
      <c r="Y43" s="18" t="n">
        <v>15324.75</v>
      </c>
      <c r="Z43" s="37" t="n">
        <v>15324.75</v>
      </c>
      <c r="AA43" s="18" t="n">
        <v>15324.75</v>
      </c>
      <c r="AB43" s="19" t="n">
        <v>15324.75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67972.67999999999</v>
      </c>
      <c r="F44" s="37" t="n">
        <v>67972.67999999999</v>
      </c>
      <c r="G44" s="18" t="n">
        <v>70919.63</v>
      </c>
      <c r="H44" s="18" t="n">
        <v>73645.56</v>
      </c>
      <c r="I44" s="18" t="n">
        <v>74917.66</v>
      </c>
      <c r="J44" s="18" t="n">
        <v>74917.66</v>
      </c>
      <c r="K44" s="37" t="n">
        <v>74917.66</v>
      </c>
      <c r="L44" s="18" t="n">
        <v>74917.66</v>
      </c>
      <c r="M44" s="18" t="n">
        <v>76980.52</v>
      </c>
      <c r="N44" s="18" t="n">
        <v>77008.3</v>
      </c>
      <c r="O44" s="18" t="n">
        <v>76952.74000000001</v>
      </c>
      <c r="P44" s="37" t="n">
        <v>76952.74000000001</v>
      </c>
      <c r="Q44" s="18" t="n">
        <v>76952.74000000001</v>
      </c>
      <c r="R44" s="18" t="n">
        <v>76952.74000000001</v>
      </c>
      <c r="S44" s="18" t="n">
        <v>76952.74000000001</v>
      </c>
      <c r="T44" s="18" t="n">
        <v>76952.74000000001</v>
      </c>
      <c r="U44" s="37" t="n">
        <v>76952.74000000001</v>
      </c>
      <c r="V44" s="18" t="n">
        <v>81924.23</v>
      </c>
      <c r="W44" s="18" t="n">
        <v>80775.82000000001</v>
      </c>
      <c r="X44" s="18" t="n">
        <v>80775.82000000001</v>
      </c>
      <c r="Y44" s="18" t="n">
        <v>80775.82000000001</v>
      </c>
      <c r="Z44" s="37" t="n">
        <v>80775.82000000001</v>
      </c>
      <c r="AA44" s="18" t="n">
        <v>80775.82000000001</v>
      </c>
      <c r="AB44" s="19" t="n">
        <v>80806.72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-8528.809999999999</v>
      </c>
      <c r="F45" s="37" t="n">
        <v>-8528.809999999999</v>
      </c>
      <c r="G45" s="18" t="n">
        <v>-8528.809999999999</v>
      </c>
      <c r="H45" s="18" t="n">
        <v>-8528.809999999999</v>
      </c>
      <c r="I45" s="18" t="n">
        <v>-8528.809999999999</v>
      </c>
      <c r="J45" s="18" t="n">
        <v>-8528.809999999999</v>
      </c>
      <c r="K45" s="37" t="n">
        <v>-8528.809999999999</v>
      </c>
      <c r="L45" s="18" t="n">
        <v>-8528.809999999999</v>
      </c>
      <c r="M45" s="18" t="n">
        <v>-8528.809999999999</v>
      </c>
      <c r="N45" s="18" t="n">
        <v>-8528.809999999999</v>
      </c>
      <c r="O45" s="18" t="n">
        <v>-8528.809999999999</v>
      </c>
      <c r="P45" s="37" t="n">
        <v>-8528.809999999999</v>
      </c>
      <c r="Q45" s="18" t="n">
        <v>-8528.809999999999</v>
      </c>
      <c r="R45" s="18" t="n">
        <v>-8528.809999999999</v>
      </c>
      <c r="S45" s="18" t="n">
        <v>-8528.809999999999</v>
      </c>
      <c r="T45" s="18" t="n">
        <v>-8528.809999999999</v>
      </c>
      <c r="U45" s="37" t="n">
        <v>-8528.809999999999</v>
      </c>
      <c r="V45" s="18" t="n">
        <v>-1183.8</v>
      </c>
      <c r="W45" s="18" t="n">
        <v>-1183.8</v>
      </c>
      <c r="X45" s="18" t="n">
        <v>-981.36</v>
      </c>
      <c r="Y45" s="18" t="n">
        <v>-940.6</v>
      </c>
      <c r="Z45" s="37" t="n">
        <v>-940.6</v>
      </c>
      <c r="AA45" s="18" t="n">
        <v>-940.6</v>
      </c>
      <c r="AB45" s="19" t="n">
        <v>-971.5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67792.05</v>
      </c>
      <c r="F46" s="37" t="n">
        <v>67792.05</v>
      </c>
      <c r="G46" s="18" t="n">
        <v>58055.1</v>
      </c>
      <c r="H46" s="18" t="n">
        <v>60091.94</v>
      </c>
      <c r="I46" s="18" t="n">
        <v>64415.27</v>
      </c>
      <c r="J46" s="18" t="n">
        <v>67278.56</v>
      </c>
      <c r="K46" s="37" t="n">
        <v>67278.56</v>
      </c>
      <c r="L46" s="18" t="n">
        <v>57574.52</v>
      </c>
      <c r="M46" s="18" t="n">
        <v>65475.47</v>
      </c>
      <c r="N46" s="18" t="n">
        <v>75164.92999999999</v>
      </c>
      <c r="O46" s="18" t="n">
        <v>83053.22</v>
      </c>
      <c r="P46" s="37" t="n">
        <v>83053.22</v>
      </c>
      <c r="Q46" s="18" t="n">
        <v>84425.2</v>
      </c>
      <c r="R46" s="18" t="n">
        <v>87676.17</v>
      </c>
      <c r="S46" s="18" t="n">
        <v>96341.02</v>
      </c>
      <c r="T46" s="18" t="n">
        <v>116372.66</v>
      </c>
      <c r="U46" s="37" t="n">
        <v>116372.66</v>
      </c>
      <c r="V46" s="18" t="n">
        <v>115222.34</v>
      </c>
      <c r="W46" s="18" t="n">
        <v>126226.22</v>
      </c>
      <c r="X46" s="18" t="n">
        <v>146772.7</v>
      </c>
      <c r="Y46" s="18" t="n">
        <v>161817.14</v>
      </c>
      <c r="Z46" s="37" t="n">
        <v>161817.14</v>
      </c>
      <c r="AA46" s="18" t="n">
        <v>166861.49</v>
      </c>
      <c r="AB46" s="19" t="n">
        <v>193386.84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142068.45</v>
      </c>
      <c r="F47" s="37" t="n">
        <v>142068.45</v>
      </c>
      <c r="G47" s="18" t="n">
        <v>135439.48</v>
      </c>
      <c r="H47" s="18" t="n">
        <v>140351.21</v>
      </c>
      <c r="I47" s="18" t="n">
        <v>146016.14</v>
      </c>
      <c r="J47" s="18" t="n">
        <v>148879.43</v>
      </c>
      <c r="K47" s="37" t="n">
        <v>148879.43</v>
      </c>
      <c r="L47" s="18" t="n">
        <v>139175.39</v>
      </c>
      <c r="M47" s="18" t="n">
        <v>149251.92</v>
      </c>
      <c r="N47" s="18" t="n">
        <v>158969.17</v>
      </c>
      <c r="O47" s="18" t="n">
        <v>166801.9</v>
      </c>
      <c r="P47" s="37" t="n">
        <v>166801.9</v>
      </c>
      <c r="Q47" s="18" t="n">
        <v>168173.87</v>
      </c>
      <c r="R47" s="18" t="n">
        <v>171424.85</v>
      </c>
      <c r="S47" s="18" t="n">
        <v>180089.7</v>
      </c>
      <c r="T47" s="18" t="n">
        <v>200121.34</v>
      </c>
      <c r="U47" s="37" t="n">
        <v>200121.34</v>
      </c>
      <c r="V47" s="18" t="n">
        <v>211287.52</v>
      </c>
      <c r="W47" s="18" t="n">
        <v>221142.98</v>
      </c>
      <c r="X47" s="18" t="n">
        <v>241891.91</v>
      </c>
      <c r="Y47" s="18" t="n">
        <v>256977.1</v>
      </c>
      <c r="Z47" s="37" t="n">
        <v>256977.1</v>
      </c>
      <c r="AA47" s="18" t="n">
        <v>262021.46</v>
      </c>
      <c r="AB47" s="19" t="n">
        <v>288546.8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293970.85</v>
      </c>
      <c r="F48" s="37" t="n">
        <v>293970.85</v>
      </c>
      <c r="G48" s="18" t="n">
        <v>287758.55</v>
      </c>
      <c r="H48" s="18" t="n">
        <v>301515.32</v>
      </c>
      <c r="I48" s="18" t="n">
        <v>334994.47</v>
      </c>
      <c r="J48" s="18" t="n">
        <v>344008.47</v>
      </c>
      <c r="K48" s="37" t="n">
        <v>344008.47</v>
      </c>
      <c r="L48" s="18" t="n">
        <v>357048.45</v>
      </c>
      <c r="M48" s="18" t="n">
        <v>377026.17</v>
      </c>
      <c r="N48" s="18" t="n">
        <v>399914.04</v>
      </c>
      <c r="O48" s="18" t="n">
        <v>362224.98</v>
      </c>
      <c r="P48" s="37" t="n">
        <v>362224.98</v>
      </c>
      <c r="Q48" s="18" t="n">
        <v>366835.62</v>
      </c>
      <c r="R48" s="18" t="n">
        <v>368725.28</v>
      </c>
      <c r="S48" s="18" t="n">
        <v>376670.36</v>
      </c>
      <c r="T48" s="18" t="n">
        <v>453136.08</v>
      </c>
      <c r="U48" s="37" t="n">
        <v>453136.08</v>
      </c>
      <c r="V48" s="18" t="n">
        <v>474948.05</v>
      </c>
      <c r="W48" s="18" t="n">
        <v>472412.32</v>
      </c>
      <c r="X48" s="18" t="n">
        <v>480870.1</v>
      </c>
      <c r="Y48" s="18" t="n">
        <v>499642.29</v>
      </c>
      <c r="Z48" s="37" t="n">
        <v>499642.29</v>
      </c>
      <c r="AA48" s="18" t="n">
        <v>486860.24</v>
      </c>
      <c r="AB48" s="19" t="n">
        <v>505375.43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66554.10000000001</v>
      </c>
      <c r="F50" s="37" t="n">
        <v>66554.10000000001</v>
      </c>
      <c r="G50" s="18" t="n">
        <v>64209.78</v>
      </c>
      <c r="H50" s="18" t="n">
        <v>73638.49000000001</v>
      </c>
      <c r="I50" s="18" t="n">
        <v>85662.85000000001</v>
      </c>
      <c r="J50" s="18" t="n">
        <v>69038.53999999999</v>
      </c>
      <c r="K50" s="37" t="n">
        <v>69038.53999999999</v>
      </c>
      <c r="L50" s="18" t="n">
        <v>84628.21000000001</v>
      </c>
      <c r="M50" s="18" t="n">
        <v>97298.95</v>
      </c>
      <c r="N50" s="18" t="n">
        <v>89755.42</v>
      </c>
      <c r="O50" s="18" t="n">
        <v>33068.23</v>
      </c>
      <c r="P50" s="37" t="n">
        <v>33068.23</v>
      </c>
      <c r="Q50" s="18" t="n">
        <v>35549.51</v>
      </c>
      <c r="R50" s="18" t="n">
        <v>35951.79</v>
      </c>
      <c r="S50" s="18" t="n">
        <v>33822.97</v>
      </c>
      <c r="T50" s="18" t="n">
        <v>29666.5</v>
      </c>
      <c r="U50" s="37" t="n">
        <v>29666.5</v>
      </c>
      <c r="V50" s="18" t="n">
        <v>17332.5</v>
      </c>
      <c r="W50" s="18" t="n">
        <v>6782</v>
      </c>
      <c r="X50" s="18" t="n">
        <v>7011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43288.32</v>
      </c>
      <c r="F51" s="37" t="n">
        <v>43288.32</v>
      </c>
      <c r="G51" s="18" t="n">
        <v>50897.95</v>
      </c>
      <c r="H51" s="18" t="n">
        <v>58886.47</v>
      </c>
      <c r="I51" s="18" t="n">
        <v>78307.53</v>
      </c>
      <c r="J51" s="18" t="n">
        <v>41555.83</v>
      </c>
      <c r="K51" s="37" t="n">
        <v>41555.83</v>
      </c>
      <c r="L51" s="18" t="n">
        <v>77605.44</v>
      </c>
      <c r="M51" s="18" t="n">
        <v>64959.4</v>
      </c>
      <c r="N51" s="18" t="n">
        <v>26397.81</v>
      </c>
      <c r="O51" s="18" t="n">
        <v>8108.55</v>
      </c>
      <c r="P51" s="37" t="n">
        <v>8108.55</v>
      </c>
      <c r="Q51" s="18" t="n">
        <v>8229.190000000001</v>
      </c>
      <c r="R51" s="18" t="n">
        <v>8449.59</v>
      </c>
      <c r="S51" s="18" t="n">
        <v>21665.06</v>
      </c>
      <c r="T51" s="18" t="n">
        <v>-26079.29</v>
      </c>
      <c r="U51" s="37" t="n">
        <v>-26079.29</v>
      </c>
      <c r="V51" s="18" t="n">
        <v>-74268.42999999999</v>
      </c>
      <c r="W51" s="18" t="n">
        <v>-84532.03999999999</v>
      </c>
      <c r="X51" s="18" t="n">
        <v>-76663.28999999999</v>
      </c>
      <c r="Y51" s="18" t="n">
        <v>-78916.19</v>
      </c>
      <c r="Z51" s="37" t="n">
        <v>-78916.19</v>
      </c>
      <c r="AA51" s="18" t="n">
        <v>-77134.55</v>
      </c>
      <c r="AB51" s="19" t="n">
        <v>-48109.07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23412.08</v>
      </c>
      <c r="F52" s="37" t="n">
        <v>23412.08</v>
      </c>
      <c r="G52" s="18" t="n">
        <v>13458.13</v>
      </c>
      <c r="H52" s="18" t="n">
        <v>14898.32</v>
      </c>
      <c r="I52" s="18" t="n">
        <v>7501.62</v>
      </c>
      <c r="J52" s="18" t="n">
        <v>27629.01</v>
      </c>
      <c r="K52" s="37" t="n">
        <v>27629.01</v>
      </c>
      <c r="L52" s="18" t="n">
        <v>7169.07</v>
      </c>
      <c r="M52" s="18" t="n">
        <v>32485.85</v>
      </c>
      <c r="N52" s="18" t="n">
        <v>63503.91</v>
      </c>
      <c r="O52" s="18" t="n">
        <v>25105.98</v>
      </c>
      <c r="P52" s="37" t="n">
        <v>25105.98</v>
      </c>
      <c r="Q52" s="18" t="n">
        <v>27466.62</v>
      </c>
      <c r="R52" s="18" t="n">
        <v>27648.5</v>
      </c>
      <c r="S52" s="18" t="n">
        <v>12304.21</v>
      </c>
      <c r="T52" s="18" t="n">
        <v>55892.09</v>
      </c>
      <c r="U52" s="37" t="n">
        <v>55892.09</v>
      </c>
      <c r="V52" s="18" t="n">
        <v>91747.23</v>
      </c>
      <c r="W52" s="18" t="n">
        <v>91460.74000000001</v>
      </c>
      <c r="X52" s="18" t="n">
        <v>83830.99000000001</v>
      </c>
      <c r="Y52" s="18" t="n">
        <v>80617.88</v>
      </c>
      <c r="Z52" s="37" t="n">
        <v>80617.88</v>
      </c>
      <c r="AA52" s="18" t="n">
        <v>77349.52</v>
      </c>
      <c r="AB52" s="19" t="n">
        <v>48322.54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G53" s="18" t="n">
        <v>9817.040000000001</v>
      </c>
      <c r="K53" s="9" t="n"/>
      <c r="L53" s="18" t="n">
        <v>10082.69</v>
      </c>
      <c r="P53" s="9" t="n"/>
      <c r="Q53" s="18" t="n">
        <v>7258.28</v>
      </c>
      <c r="U53" s="9" t="n"/>
      <c r="V53" s="18" t="n">
        <v>10161.6</v>
      </c>
      <c r="W53" s="18" t="n">
        <v>0</v>
      </c>
      <c r="X53" s="18" t="n">
        <v>0</v>
      </c>
      <c r="Z53" s="9" t="n"/>
      <c r="AA53" s="18" t="n">
        <v>11973.25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F54" s="9" t="n"/>
      <c r="J54" s="18" t="n">
        <v>0</v>
      </c>
      <c r="K54" s="37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U54" s="9" t="n"/>
      <c r="V54" s="18" t="n">
        <v>0</v>
      </c>
      <c r="W54" s="18" t="n">
        <v>0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유동리스부채</t>
        </is>
      </c>
      <c r="F55" s="9" t="n"/>
      <c r="K55" s="9" t="n"/>
      <c r="P55" s="9" t="n"/>
      <c r="Q55" s="18" t="n">
        <v>3414.39</v>
      </c>
      <c r="R55" s="18" t="n">
        <v>3553.61</v>
      </c>
      <c r="S55" s="18" t="n">
        <v>3615.92</v>
      </c>
      <c r="U55" s="9" t="n"/>
      <c r="V55" s="18" t="n">
        <v>3022.04</v>
      </c>
      <c r="W55" s="18" t="n">
        <v>2193.56</v>
      </c>
      <c r="X55" s="18" t="n">
        <v>2053.7</v>
      </c>
      <c r="Y55" s="18" t="n">
        <v>4053.75</v>
      </c>
      <c r="Z55" s="37" t="n">
        <v>4053.75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리스부채</t>
        </is>
      </c>
      <c r="F56" s="9" t="n"/>
      <c r="K56" s="9" t="n"/>
      <c r="P56" s="9" t="n"/>
      <c r="Q56" s="18" t="n">
        <v>3414.39</v>
      </c>
      <c r="R56" s="18" t="n">
        <v>3553.61</v>
      </c>
      <c r="S56" s="18" t="n">
        <v>3615.92</v>
      </c>
      <c r="U56" s="9" t="n"/>
      <c r="V56" s="18" t="n">
        <v>3022.04</v>
      </c>
      <c r="W56" s="18" t="n">
        <v>2193.56</v>
      </c>
      <c r="X56" s="18" t="n">
        <v>2053.7</v>
      </c>
      <c r="Y56" s="18" t="n">
        <v>11033.14</v>
      </c>
      <c r="Z56" s="37" t="n">
        <v>11033.14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K57" s="9" t="n"/>
      <c r="P57" s="9" t="n"/>
      <c r="U57" s="9" t="n"/>
      <c r="Y57" s="18" t="n">
        <v>487.22</v>
      </c>
      <c r="Z57" s="37" t="n">
        <v>487.22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P58" s="9" t="n"/>
      <c r="U58" s="9" t="n"/>
      <c r="Y58" s="18" t="n">
        <v>6979.39</v>
      </c>
      <c r="Z58" s="37" t="n">
        <v>6979.39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 t="n"/>
      <c r="P26" s="37">
        <f>SUM(L26:O26)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28.049</v>
      </c>
      <c r="F28" s="28">
        <f>E28</f>
        <v/>
      </c>
      <c r="G28" s="27" t="n">
        <v>28.371</v>
      </c>
      <c r="H28" s="27" t="n">
        <v>28.669</v>
      </c>
      <c r="I28" s="27" t="n">
        <v>28.808</v>
      </c>
      <c r="J28" s="27" t="n">
        <v>28.808</v>
      </c>
      <c r="K28" s="28">
        <f>J28</f>
        <v/>
      </c>
      <c r="L28" s="27" t="n">
        <v>28.808</v>
      </c>
      <c r="M28" s="27" t="n">
        <v>29.033</v>
      </c>
      <c r="N28" s="27" t="n">
        <v>29.033</v>
      </c>
      <c r="O28" s="27" t="n">
        <v>29.033</v>
      </c>
      <c r="P28" s="28">
        <f>O28</f>
        <v/>
      </c>
      <c r="Q28" s="27" t="n">
        <v>29.033</v>
      </c>
      <c r="R28" s="27" t="n">
        <v>29.033</v>
      </c>
      <c r="S28" s="27" t="n">
        <v>29.033</v>
      </c>
      <c r="T28" s="27" t="n">
        <v>29.033</v>
      </c>
      <c r="U28" s="28">
        <f>T28</f>
        <v/>
      </c>
      <c r="V28" s="27" t="n">
        <v>29.933</v>
      </c>
      <c r="W28" s="27" t="n">
        <v>29.933</v>
      </c>
      <c r="X28" s="27" t="n">
        <v>29.933</v>
      </c>
      <c r="Y28" s="27" t="n">
        <v>29.933</v>
      </c>
      <c r="Z28" s="28">
        <f>Y28</f>
        <v/>
      </c>
      <c r="AA28" s="27" t="n">
        <v>29.933</v>
      </c>
      <c r="AB28" s="29" t="n">
        <v>29.941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350</v>
      </c>
      <c r="F31" s="37" t="n">
        <v>350</v>
      </c>
      <c r="G31" s="18" t="n"/>
      <c r="H31" s="18" t="n"/>
      <c r="I31" s="18" t="n"/>
      <c r="J31" s="18" t="n">
        <v>350</v>
      </c>
      <c r="K31" s="37">
        <f>SUM(G31:J31)</f>
        <v/>
      </c>
      <c r="L31" s="18" t="n"/>
      <c r="M31" s="18" t="n"/>
      <c r="N31" s="18" t="n"/>
      <c r="O31" s="18" t="n">
        <v>250</v>
      </c>
      <c r="P31" s="37">
        <f>SUM(L31:O31)</f>
        <v/>
      </c>
      <c r="Q31" s="18" t="n"/>
      <c r="R31" s="18" t="n"/>
      <c r="S31" s="18" t="n"/>
      <c r="T31" s="18" t="n">
        <v>350</v>
      </c>
      <c r="U31" s="37">
        <f>SUM(Q31:T31)</f>
        <v/>
      </c>
      <c r="V31" s="18" t="n"/>
      <c r="W31" s="18" t="n"/>
      <c r="X31" s="18" t="n"/>
      <c r="Y31" s="18" t="n">
        <v>400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1052.96</v>
      </c>
      <c r="F34" s="37" t="n"/>
      <c r="G34" s="18" t="n">
        <v>1078.85</v>
      </c>
      <c r="H34" s="18" t="n">
        <v>1065.6</v>
      </c>
      <c r="I34" s="18" t="n">
        <v>912.61</v>
      </c>
      <c r="J34" s="18" t="n">
        <v>1284.47</v>
      </c>
      <c r="K34" s="37">
        <f>SUM(G34:J34)</f>
        <v/>
      </c>
      <c r="L34" s="18" t="n">
        <v>1240.83</v>
      </c>
      <c r="M34" s="18" t="n">
        <v>1440</v>
      </c>
      <c r="N34" s="18" t="n">
        <v>1243.05</v>
      </c>
      <c r="O34" s="18" t="n">
        <v>1390.2</v>
      </c>
      <c r="P34" s="37">
        <f>SUM(L34:O34)</f>
        <v/>
      </c>
      <c r="Q34" s="18" t="n">
        <v>1372.71</v>
      </c>
      <c r="R34" s="18" t="n">
        <v>1378.46</v>
      </c>
      <c r="S34" s="18" t="n">
        <v>1365.46</v>
      </c>
      <c r="T34" s="18" t="n">
        <v>1857.47</v>
      </c>
      <c r="U34" s="37">
        <f>SUM(Q34:T34)</f>
        <v/>
      </c>
      <c r="V34" s="18" t="n">
        <v>1723.66</v>
      </c>
      <c r="W34" s="18" t="n">
        <v>1933.22</v>
      </c>
      <c r="X34" s="18" t="n">
        <v>2011.06</v>
      </c>
      <c r="Y34" s="18" t="n">
        <v>1753.91</v>
      </c>
      <c r="Z34" s="37">
        <f>SUM(V34:Y34)</f>
        <v/>
      </c>
      <c r="AA34" s="18" t="n">
        <v>1691.29</v>
      </c>
      <c r="AB34" s="19" t="n">
        <v>2245.34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50.6</v>
      </c>
      <c r="F35" s="37" t="n"/>
      <c r="G35" s="18" t="n">
        <v>13.04</v>
      </c>
      <c r="H35" s="18" t="n">
        <v>58.33</v>
      </c>
      <c r="I35" s="18" t="n">
        <v>111.93</v>
      </c>
      <c r="J35" s="18" t="n">
        <v>-30.54</v>
      </c>
      <c r="K35" s="37">
        <f>SUM(G35:J35)</f>
        <v/>
      </c>
      <c r="L35" s="18" t="n">
        <v>36.54</v>
      </c>
      <c r="M35" s="18" t="n">
        <v>86.2</v>
      </c>
      <c r="N35" s="18" t="n">
        <v>121.27</v>
      </c>
      <c r="O35" s="18" t="n">
        <v>129.4</v>
      </c>
      <c r="P35" s="37">
        <f>SUM(L35:O35)</f>
        <v/>
      </c>
      <c r="Q35" s="18" t="n">
        <v>101.26</v>
      </c>
      <c r="R35" s="18" t="n">
        <v>123.32</v>
      </c>
      <c r="S35" s="18" t="n">
        <v>114.19</v>
      </c>
      <c r="T35" s="18" t="n">
        <v>201.11</v>
      </c>
      <c r="U35" s="37">
        <f>SUM(Q35:T35)</f>
        <v/>
      </c>
      <c r="V35" s="18" t="n">
        <v>125.33</v>
      </c>
      <c r="W35" s="18" t="n">
        <v>169.32</v>
      </c>
      <c r="X35" s="18" t="n">
        <v>235.1</v>
      </c>
      <c r="Y35" s="18" t="n">
        <v>195.83</v>
      </c>
      <c r="Z35" s="37">
        <f>SUM(V35:Y35)</f>
        <v/>
      </c>
      <c r="AA35" s="18" t="n">
        <v>198.54</v>
      </c>
      <c r="AB35" s="19" t="n">
        <v>359.4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2660.1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5.91</v>
      </c>
    </row>
    <row r="32">
      <c r="C32" s="2" t="inlineStr">
        <is>
          <t>pbr_now</t>
        </is>
      </c>
      <c r="D32" t="n">
        <v>1.62</v>
      </c>
    </row>
    <row r="33">
      <c r="C33" s="2" t="inlineStr">
        <is>
          <t>roe_fwd</t>
        </is>
      </c>
      <c r="D33" t="n">
        <v>0.2741</v>
      </c>
    </row>
    <row r="34">
      <c r="C34" s="2" t="inlineStr">
        <is>
          <t>fair_pbr</t>
        </is>
      </c>
      <c r="D34" t="n">
        <v>3.05</v>
      </c>
    </row>
    <row r="35">
      <c r="C35" s="2" t="inlineStr">
        <is>
          <t>fair_value_pbr</t>
        </is>
      </c>
      <c r="D35" t="n">
        <v>29600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