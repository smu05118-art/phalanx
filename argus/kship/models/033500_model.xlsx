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228852억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238682억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245625억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254609억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266902억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281773억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297366억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312870억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326444억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228852억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238682억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245625억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254609억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266902억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281773억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297366억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312870억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326444억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2291억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1090억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1186억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1402억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1652억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1880억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2024억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2291억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14740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13540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15366.2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0.435326932</v>
      </c>
      <c r="AE21" s="25" t="n"/>
      <c r="AF21" s="24" t="n">
        <v>0.334895372</v>
      </c>
      <c r="AG21" s="24" t="n">
        <v>0.133953997</v>
      </c>
      <c r="AH21" s="24" t="n">
        <v>0.169060311</v>
      </c>
      <c r="AI21" s="24" t="n">
        <v>0.166264141</v>
      </c>
      <c r="AJ21" s="25" t="n"/>
      <c r="AK21" s="24" t="n">
        <v>0.180537715</v>
      </c>
      <c r="AL21" s="24" t="n">
        <v>0.210650757</v>
      </c>
      <c r="AM21" s="24" t="n">
        <v>0.22882714</v>
      </c>
      <c r="AN21" s="24" t="n">
        <v>0.223085831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0.109964885</v>
      </c>
      <c r="AE23" s="25">
        <f>IFERROR(subQ!AE9/subQ!AE5,"")</f>
        <v/>
      </c>
      <c r="AF23" s="24" t="n">
        <v>0.109961465</v>
      </c>
      <c r="AG23" s="24" t="n">
        <v>0.109963827</v>
      </c>
      <c r="AH23" s="24" t="n">
        <v>0.109962239</v>
      </c>
      <c r="AI23" s="24" t="n">
        <v>0.109962534</v>
      </c>
      <c r="AJ23" s="25">
        <f>IFERROR(subQ!AJ9/subQ!AJ5,"")</f>
        <v/>
      </c>
      <c r="AK23" s="24" t="n">
        <v>0.109961355</v>
      </c>
      <c r="AL23" s="24" t="n">
        <v>0.109964476</v>
      </c>
      <c r="AM23" s="24" t="n">
        <v>0.109963984</v>
      </c>
      <c r="AN23" s="24" t="n">
        <v>0.109964411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0.007100742</v>
      </c>
      <c r="AD29" s="30" t="n">
        <v>0.009242396</v>
      </c>
      <c r="AE29" s="31" t="n"/>
      <c r="AF29" s="30" t="n">
        <v>-0.002605496</v>
      </c>
      <c r="AG29" s="30" t="n">
        <v>119.767857463</v>
      </c>
      <c r="AH29" s="30" t="n">
        <v>-0.000755194</v>
      </c>
      <c r="AI29" s="30" t="n">
        <v>0.002413661</v>
      </c>
      <c r="AJ29" s="31" t="n"/>
      <c r="AK29" s="30" t="n">
        <v>0.007593831</v>
      </c>
      <c r="AL29" s="30" t="n">
        <v>119.769319638</v>
      </c>
      <c r="AM29" s="30" t="n">
        <v>-0.001467254</v>
      </c>
      <c r="AN29" s="30" t="n">
        <v>0.015972279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0.007100742</v>
      </c>
      <c r="AD30" s="30" t="n">
        <v>0.009242396</v>
      </c>
      <c r="AE30" s="31" t="n"/>
      <c r="AF30" s="30" t="n">
        <v>-0.002605496</v>
      </c>
      <c r="AG30" s="30" t="n">
        <v>119.767857463</v>
      </c>
      <c r="AH30" s="30" t="n">
        <v>-0.000755194</v>
      </c>
      <c r="AI30" s="30" t="n">
        <v>0.002413661</v>
      </c>
      <c r="AJ30" s="31" t="n"/>
      <c r="AK30" s="30" t="n">
        <v>0.007593831</v>
      </c>
      <c r="AL30" s="30" t="n">
        <v>119.769319638</v>
      </c>
      <c r="AM30" s="30" t="n">
        <v>-0.001467254</v>
      </c>
      <c r="AN30" s="30" t="n">
        <v>0.015972279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0.310169492</v>
      </c>
      <c r="AE32" s="25" t="n"/>
      <c r="AF32" s="24" t="n">
        <v>0.213342553</v>
      </c>
      <c r="AG32" s="24" t="n">
        <v>0.088503465</v>
      </c>
      <c r="AH32" s="24" t="n">
        <v>0.18226418</v>
      </c>
      <c r="AI32" s="24" t="n">
        <v>0.178334714</v>
      </c>
      <c r="AJ32" s="25" t="n"/>
      <c r="AK32" s="24" t="n">
        <v>0.138161364</v>
      </c>
      <c r="AL32" s="24" t="n">
        <v>0.076581015</v>
      </c>
      <c r="AM32" s="24" t="n">
        <v>0.132205486</v>
      </c>
      <c r="AN32" s="24" t="n">
        <v>0.134327445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0.309188103</v>
      </c>
      <c r="AE33" s="25" t="n"/>
      <c r="AF33" s="24" t="n">
        <v>0.212848099</v>
      </c>
      <c r="AG33" s="24" t="n">
        <v>0.088329725</v>
      </c>
      <c r="AH33" s="24" t="n">
        <v>0.18192699</v>
      </c>
      <c r="AI33" s="24" t="n">
        <v>0.178063826</v>
      </c>
      <c r="AJ33" s="25" t="n"/>
      <c r="AK33" s="24" t="n">
        <v>0.13798322</v>
      </c>
      <c r="AL33" s="24" t="n">
        <v>0.076494244</v>
      </c>
      <c r="AM33" s="24" t="n">
        <v>0.132066335</v>
      </c>
      <c r="AN33" s="24" t="n">
        <v>0.134202554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14740</v>
      </c>
      <c r="E41" s="2" t="inlineStr">
        <is>
          <t>원 — 네이버 정규장 종가(aik 확정종가 대조 · aik 14,500원)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20261014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0.2404330508805499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0.06289855273246168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0.01808510986290105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2680.1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5.5</v>
      </c>
    </row>
    <row r="32">
      <c r="C32" s="2" t="inlineStr">
        <is>
          <t>pbr_now</t>
        </is>
      </c>
      <c r="D32" t="n">
        <v>1.52</v>
      </c>
    </row>
    <row r="33">
      <c r="C33" s="2" t="inlineStr">
        <is>
          <t>roe_fwd</t>
        </is>
      </c>
      <c r="D33" t="n">
        <v>0.2762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