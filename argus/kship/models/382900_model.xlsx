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변수!$C$1:$AL$1</definedName>
    <definedName name="환율">변수!$C$6:$AL$13</definedName>
    <definedName name="BS연결H">BS연결!$C$1:$AL$1</definedName>
    <definedName name="BS연결">BS연결!$C$5:$AL$95</definedName>
    <definedName name="BS별도H">BS별도!$C$1:$AL$1</definedName>
    <definedName name="BS별도">BS별도!$C$5:$AL$95</definedName>
    <definedName name="SUBQH">subQ!$A$1:$AL$1</definedName>
    <definedName name="subQ">subQ!$A$5:$AL$40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Z6" authorId="0" shapeId="0">
      <text>
        <t>모델 assumptions.fx — 가정 — 마지막 ECB 관측치를 2028Q4 까지 평평하게 둔다. 선도환율·컨센서스 아님.</t>
      </text>
    </comment>
    <comment ref="AA6" authorId="0" shapeId="0">
      <text>
        <t>모델 assumptions.fx — 가정 — 마지막 ECB 관측치를 2028Q4 까지 평평하게 둔다. 선도환율·컨센서스 아님.</t>
      </text>
    </commen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E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J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Z7" authorId="0" shapeId="0">
      <text>
        <t>모델 assumptions.fx — 가정 — 마지막 ECB 관측치를 2028Q4 까지 평평하게 둔다. 선도환율·컨센서스 아님.</t>
      </text>
    </comment>
    <comment ref="AA7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E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J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A8" authorId="0" shapeId="0">
      <text>
        <t>fx.json quarters(partial — 분기 진행 중 실측 평균)</t>
      </text>
    </comment>
    <comment ref="AC8" authorId="0" shapeId="0">
      <text>
        <t>fx.json forward(flat_last_end) — 가정</t>
      </text>
    </comment>
    <comment ref="AD8" authorId="0" shapeId="0">
      <text>
        <t>fx.json forward(flat_last_end) — 가정</t>
      </text>
    </comment>
    <comment ref="AE8" authorId="0" shapeId="0">
      <text>
        <t>fx.json forward(flat_last_end) — 가정</t>
      </text>
    </comment>
    <comment ref="AF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J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A9" authorId="0" shapeId="0">
      <text>
        <t>fx.json quarters(partial — 분기 진행 중 실측 평균)</t>
      </text>
    </comment>
    <comment ref="AC9" authorId="0" shapeId="0">
      <text>
        <t>fx.json forward(flat_last_end) — 가정</t>
      </text>
    </comment>
    <comment ref="AD9" authorId="0" shapeId="0">
      <text>
        <t>fx.json forward(flat_last_end) — 가정</t>
      </text>
    </comment>
    <comment ref="AE9" authorId="0" shapeId="0">
      <text>
        <t>fx.json forward(flat_last_end) — 가정</t>
      </text>
    </comment>
    <comment ref="AF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J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A10" authorId="0" shapeId="0">
      <text>
        <t>fx.json quarters(partial — 분기 진행 중 실측 평균)</t>
      </text>
    </comment>
    <comment ref="AC10" authorId="0" shapeId="0">
      <text>
        <t>fx.json forward(flat_last_end) — 가정</t>
      </text>
    </comment>
    <comment ref="AD10" authorId="0" shapeId="0">
      <text>
        <t>fx.json forward(flat_last_end) — 가정</t>
      </text>
    </comment>
    <comment ref="AE10" authorId="0" shapeId="0">
      <text>
        <t>fx.json forward(flat_last_end) — 가정</t>
      </text>
    </comment>
    <comment ref="AF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J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A11" authorId="0" shapeId="0">
      <text>
        <t>fx.json quarters(partial — 분기 진행 중 실측 평균)</t>
      </text>
    </comment>
    <comment ref="AC11" authorId="0" shapeId="0">
      <text>
        <t>fx.json forward(flat_last_end) — 가정</t>
      </text>
    </comment>
    <comment ref="AD11" authorId="0" shapeId="0">
      <text>
        <t>fx.json forward(flat_last_end) — 가정</t>
      </text>
    </comment>
    <comment ref="AE11" authorId="0" shapeId="0">
      <text>
        <t>fx.json forward(flat_last_end) — 가정</t>
      </text>
    </comment>
    <comment ref="AF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J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A12" authorId="0" shapeId="0">
      <text>
        <t>fx.json quarters(partial — 분기 진행 중 실측 평균)</t>
      </text>
    </comment>
    <comment ref="AC12" authorId="0" shapeId="0">
      <text>
        <t>fx.json forward(flat_last_end) — 가정</t>
      </text>
    </comment>
    <comment ref="AD12" authorId="0" shapeId="0">
      <text>
        <t>fx.json forward(flat_last_end) — 가정</t>
      </text>
    </comment>
    <comment ref="AE12" authorId="0" shapeId="0">
      <text>
        <t>fx.json forward(flat_last_end) — 가정</t>
      </text>
    </comment>
    <comment ref="AF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J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A13" authorId="0" shapeId="0">
      <text>
        <t>fx.json quarters(partial — 분기 진행 중 실측 평균)</t>
      </text>
    </comment>
    <comment ref="AC13" authorId="0" shapeId="0">
      <text>
        <t>fx.json forward(flat_last_end) — 가정</t>
      </text>
    </comment>
    <comment ref="AD13" authorId="0" shapeId="0">
      <text>
        <t>fx.json forward(flat_last_end) — 가정</t>
      </text>
    </comment>
    <comment ref="AE13" authorId="0" shapeId="0">
      <text>
        <t>fx.json forward(flat_last_end) — 가정</t>
      </text>
    </comment>
    <comment ref="AF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J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A15" authorId="0" shapeId="0">
      <text>
        <t>분기 진행 중(partial) — aikstockdata/토스 일봉</t>
      </text>
    </comment>
    <comment ref="AA16" authorId="0" shapeId="0">
      <text>
        <t>분기 진행 중(partial) — aikstockdata/토스 일봉</t>
      </text>
    </comment>
    <comment ref="AA17" authorId="0" shapeId="0">
      <text>
        <t>분기 진행 중(partial) — aikstockdata/토스 일봉</t>
      </text>
    </comment>
    <comment ref="AA18" authorId="0" shapeId="0">
      <text>
        <t>분기 진행 중(partial) — aikstockdata/토스 일봉</t>
      </text>
    </comment>
    <comment ref="Z21" authorId="0" shapeId="0">
      <text>
        <t>모델값 역산(implied): v / 전년동기 − 1
전년동기 × (1+29.0%) — g=최근 4분기 합 YoY 29.0% 클립(−30~+50%), 연차별 절반 감쇠(가정)</t>
      </text>
    </comment>
    <comment ref="AA21" authorId="0" shapeId="0">
      <text>
        <t>모델값 역산(implied): v / 전년동기 − 1
전년동기 × (1+29.0%) — g=최근 4분기 합 YoY 29.0% 클립(−30~+50%), 연차별 절반 감쇠(가정)</t>
      </text>
    </comment>
    <comment ref="AC21" authorId="0" shapeId="0">
      <text>
        <t>모델값 역산(implied): v / 전년동기 − 1
전년동기 × (1+29.0%) — g=최근 4분기 합 YoY 29.0% 클립(−30~+50%), 연차별 절반 감쇠(가정)</t>
      </text>
    </comment>
    <comment ref="AD21" authorId="0" shapeId="0">
      <text>
        <t>모델값 역산(implied): v / 전년동기 − 1
전년동기 × (1+29.0%) — g=최근 4분기 합 YoY 29.0% 클립(−30~+50%), 연차별 절반 감쇠(가정)</t>
      </text>
    </comment>
    <comment ref="AE21" authorId="0" shapeId="0">
      <text>
        <t>모델값 역산(implied): v / 전년동기 − 1
전년동기 × (1+14.5%) — g=최근 4분기 합 YoY 29.0% 클립(−30~+50%), 연차별 절반 감쇠(가정)</t>
      </text>
    </comment>
    <comment ref="AF21" authorId="0" shapeId="0">
      <text>
        <t>모델값 역산(implied): v / 전년동기 − 1
전년동기 × (1+14.5%) — g=최근 4분기 합 YoY 29.0% 클립(−30~+50%), 연차별 절반 감쇠(가정)</t>
      </text>
    </comment>
    <comment ref="AH21" authorId="0" shapeId="0">
      <text>
        <t>모델값 역산(implied): v / 전년동기 − 1
전년동기 × (1+14.5%) — g=최근 4분기 합 YoY 29.0% 클립(−30~+50%), 연차별 절반 감쇠(가정)</t>
      </text>
    </comment>
    <comment ref="AI21" authorId="0" shapeId="0">
      <text>
        <t>모델값 역산(implied): v / 전년동기 − 1
전년동기 × (1+14.5%) — g=최근 4분기 합 YoY 29.0% 클립(−30~+50%), 연차별 절반 감쇠(가정)</t>
      </text>
    </comment>
    <comment ref="AJ21" authorId="0" shapeId="0">
      <text>
        <t>모델값 역산(implied): v / 전년동기 − 1
전년동기 × (1+7.2%) — g=최근 4분기 합 YoY 29.0% 클립(−30~+50%), 연차별 절반 감쇠(가정)</t>
      </text>
    </comment>
    <comment ref="AK21" authorId="0" shapeId="0">
      <text>
        <t>모델값 역산(implied): v / 전년동기 − 1
전년동기 × (1+7.2%) — g=최근 4분기 합 YoY 29.0% 클립(−30~+50%), 연차별 절반 감쇠(가정)</t>
      </text>
    </comment>
    <comment ref="Z22" authorId="0" shapeId="0">
      <text>
        <t>3절 스칼라 '판관비율' 참조 — 숫자로 덮어쓰면 이 분기만 바뀐다
매출액 × 판관비율 9.37%(최근 4분기 중위)</t>
      </text>
    </comment>
    <comment ref="AA22" authorId="0" shapeId="0">
      <text>
        <t>3절 스칼라 '판관비율' 참조 — 숫자로 덮어쓰면 이 분기만 바뀐다
매출액 × 판관비율 9.37%(최근 4분기 중위)</t>
      </text>
    </comment>
    <comment ref="AC22" authorId="0" shapeId="0">
      <text>
        <t>3절 스칼라 '판관비율' 참조 — 숫자로 덮어쓰면 이 분기만 바뀐다
매출액 × 판관비율 9.37%(최근 4분기 중위)</t>
      </text>
    </comment>
    <comment ref="AD22" authorId="0" shapeId="0">
      <text>
        <t>3절 스칼라 '판관비율' 참조 — 숫자로 덮어쓰면 이 분기만 바뀐다
매출액 × 판관비율 9.37%(최근 4분기 중위)</t>
      </text>
    </comment>
    <comment ref="AE22" authorId="0" shapeId="0">
      <text>
        <t>3절 스칼라 '판관비율' 참조 — 숫자로 덮어쓰면 이 분기만 바뀐다
매출액 × 판관비율 9.37%(최근 4분기 중위)</t>
      </text>
    </comment>
    <comment ref="AF22" authorId="0" shapeId="0">
      <text>
        <t>3절 스칼라 '판관비율' 참조 — 숫자로 덮어쓰면 이 분기만 바뀐다
매출액 × 판관비율 9.37%(최근 4분기 중위)</t>
      </text>
    </comment>
    <comment ref="AH22" authorId="0" shapeId="0">
      <text>
        <t>3절 스칼라 '판관비율' 참조 — 숫자로 덮어쓰면 이 분기만 바뀐다
매출액 × 판관비율 9.37%(최근 4분기 중위)</t>
      </text>
    </comment>
    <comment ref="AI22" authorId="0" shapeId="0">
      <text>
        <t>3절 스칼라 '판관비율' 참조 — 숫자로 덮어쓰면 이 분기만 바뀐다
매출액 × 판관비율 9.37%(최근 4분기 중위)</t>
      </text>
    </comment>
    <comment ref="AJ22" authorId="0" shapeId="0">
      <text>
        <t>3절 스칼라 '판관비율' 참조 — 숫자로 덮어쓰면 이 분기만 바뀐다
매출액 × 판관비율 9.37%(최근 4분기 중위)</t>
      </text>
    </comment>
    <comment ref="AK22" authorId="0" shapeId="0">
      <text>
        <t>3절 스칼라 '판관비율' 참조 — 숫자로 덮어쓰면 이 분기만 바뀐다
매출액 × 판관비율 9.37%(최근 4분기 중위)</t>
      </text>
    </comment>
    <comment ref="Z23" authorId="0" shapeId="0">
      <text>
        <t>모델값 역산(implied): v / 매출액
매출액 × OPM(최근 8분기 OPM 중위 1.4% 유지(클립 −20~40%))</t>
      </text>
    </comment>
    <comment ref="AA23" authorId="0" shapeId="0">
      <text>
        <t>모델값 역산(implied): v / 매출액
매출액 × OPM(최근 8분기 OPM 중위 1.4% 유지(클립 −20~40%))</t>
      </text>
    </comment>
    <comment ref="AC23" authorId="0" shapeId="0">
      <text>
        <t>모델값 역산(implied): v / 매출액
매출액 × OPM(최근 8분기 OPM 중위 1.4% 유지(클립 −20~40%))</t>
      </text>
    </comment>
    <comment ref="AD23" authorId="0" shapeId="0">
      <text>
        <t>모델값 역산(implied): v / 매출액
매출액 × OPM(최근 8분기 OPM 중위 1.4% 유지(클립 −20~40%))</t>
      </text>
    </comment>
    <comment ref="AE23" authorId="0" shapeId="0">
      <text>
        <t>모델값 역산(implied): v / 매출액
매출액 × OPM(최근 8분기 OPM 중위 1.4% 유지(클립 −20~40%))</t>
      </text>
    </comment>
    <comment ref="AF23" authorId="0" shapeId="0">
      <text>
        <t>모델값 역산(implied): v / 매출액
매출액 × OPM(최근 8분기 OPM 중위 1.4% 유지(클립 −20~40%))</t>
      </text>
    </comment>
    <comment ref="AH23" authorId="0" shapeId="0">
      <text>
        <t>모델값 역산(implied): v / 매출액
매출액 × OPM(최근 8분기 OPM 중위 1.4% 유지(클립 −20~40%))</t>
      </text>
    </comment>
    <comment ref="AI23" authorId="0" shapeId="0">
      <text>
        <t>모델값 역산(implied): v / 매출액
매출액 × OPM(최근 8분기 OPM 중위 1.4% 유지(클립 −20~40%))</t>
      </text>
    </comment>
    <comment ref="AJ23" authorId="0" shapeId="0">
      <text>
        <t>모델값 역산(implied): v / 매출액
매출액 × OPM(최근 8분기 OPM 중위 1.4% 유지(클립 −20~40%))</t>
      </text>
    </comment>
    <comment ref="AK23" authorId="0" shapeId="0">
      <text>
        <t>모델값 역산(implied): v / 매출액
매출액 × OPM(최근 8분기 OPM 중위 1.4% 유지(클립 −20~40%))</t>
      </text>
    </comment>
    <comment ref="Z24" authorId="0" shapeId="0">
      <text>
        <t>모델값 역산(implied): 모델 v 그대로
일회성 미가정 → 0</t>
      </text>
    </comment>
    <comment ref="AA24" authorId="0" shapeId="0">
      <text>
        <t>모델값 역산(implied): 모델 v 그대로
일회성 미가정 → 0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E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J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Z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A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C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D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E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F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H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I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J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K25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Z26" authorId="0" shapeId="0">
      <text>
        <t>3절 스칼라 '지배주주비중' 참조 — 숫자로 덮어쓰면 이 분기만 바뀐다
당기순이익 × (1 − 비지배 비중 0.0%, 최근 8분기 실측)</t>
      </text>
    </comment>
    <comment ref="AA26" authorId="0" shapeId="0">
      <text>
        <t>3절 스칼라 '지배주주비중' 참조 — 숫자로 덮어쓰면 이 분기만 바뀐다
당기순이익 × (1 − 비지배 비중 0.0%, 최근 8분기 실측)</t>
      </text>
    </comment>
    <comment ref="AC26" authorId="0" shapeId="0">
      <text>
        <t>3절 스칼라 '지배주주비중' 참조 — 숫자로 덮어쓰면 이 분기만 바뀐다
당기순이익 × (1 − 비지배 비중 0.0%, 최근 8분기 실측)</t>
      </text>
    </comment>
    <comment ref="AD26" authorId="0" shapeId="0">
      <text>
        <t>3절 스칼라 '지배주주비중' 참조 — 숫자로 덮어쓰면 이 분기만 바뀐다
당기순이익 × (1 − 비지배 비중 0.0%, 최근 8분기 실측)</t>
      </text>
    </comment>
    <comment ref="AE26" authorId="0" shapeId="0">
      <text>
        <t>3절 스칼라 '지배주주비중' 참조 — 숫자로 덮어쓰면 이 분기만 바뀐다
당기순이익 × (1 − 비지배 비중 0.0%, 최근 8분기 실측)</t>
      </text>
    </comment>
    <comment ref="AF26" authorId="0" shapeId="0">
      <text>
        <t>3절 스칼라 '지배주주비중' 참조 — 숫자로 덮어쓰면 이 분기만 바뀐다
당기순이익 × (1 − 비지배 비중 0.0%, 최근 8분기 실측)</t>
      </text>
    </comment>
    <comment ref="AH26" authorId="0" shapeId="0">
      <text>
        <t>3절 스칼라 '지배주주비중' 참조 — 숫자로 덮어쓰면 이 분기만 바뀐다
당기순이익 × (1 − 비지배 비중 0.0%, 최근 8분기 실측)</t>
      </text>
    </comment>
    <comment ref="AI26" authorId="0" shapeId="0">
      <text>
        <t>3절 스칼라 '지배주주비중' 참조 — 숫자로 덮어쓰면 이 분기만 바뀐다
당기순이익 × (1 − 비지배 비중 0.0%, 최근 8분기 실측)</t>
      </text>
    </comment>
    <comment ref="AJ26" authorId="0" shapeId="0">
      <text>
        <t>3절 스칼라 '지배주주비중' 참조 — 숫자로 덮어쓰면 이 분기만 바뀐다
당기순이익 × (1 − 비지배 비중 0.0%, 최근 8분기 실측)</t>
      </text>
    </comment>
    <comment ref="AK26" authorId="0" shapeId="0">
      <text>
        <t>3절 스칼라 '지배주주비중' 참조 — 숫자로 덮어쓰면 이 분기만 바뀐다
당기순이익 × (1 − 비지배 비중 0.0%, 최근 8분기 실측)</t>
      </text>
    </comment>
    <comment ref="Z27" authorId="0" shapeId="0">
      <text>
        <t>모델값 역산(implied): 모델 v 그대로
최근 4분기 감가상각비 중위 유지</t>
      </text>
    </comment>
    <comment ref="AA27" authorId="0" shapeId="0">
      <text>
        <t>모델값 역산(implied): 모델 v 그대로
최근 4분기 감가상각비 중위 유지</t>
      </text>
    </comment>
    <comment ref="AC27" authorId="0" shapeId="0">
      <text>
        <t>모델값 역산(implied): 모델 v 그대로
최근 4분기 감가상각비 중위 유지</t>
      </text>
    </comment>
    <comment ref="AD27" authorId="0" shapeId="0">
      <text>
        <t>모델값 역산(implied): 모델 v 그대로
최근 4분기 감가상각비 중위 유지</t>
      </text>
    </comment>
    <comment ref="AE27" authorId="0" shapeId="0">
      <text>
        <t>모델값 역산(implied): 모델 v 그대로
최근 4분기 감가상각비 중위 유지</t>
      </text>
    </comment>
    <comment ref="AF27" authorId="0" shapeId="0">
      <text>
        <t>모델값 역산(implied): 모델 v 그대로
최근 4분기 감가상각비 중위 유지</t>
      </text>
    </comment>
    <comment ref="AH27" authorId="0" shapeId="0">
      <text>
        <t>모델값 역산(implied): 모델 v 그대로
최근 4분기 감가상각비 중위 유지</t>
      </text>
    </comment>
    <comment ref="AI27" authorId="0" shapeId="0">
      <text>
        <t>모델값 역산(implied): 모델 v 그대로
최근 4분기 감가상각비 중위 유지</t>
      </text>
    </comment>
    <comment ref="AJ27" authorId="0" shapeId="0">
      <text>
        <t>모델값 역산(implied): 모델 v 그대로
최근 4분기 감가상각비 중위 유지</t>
      </text>
    </comment>
    <comment ref="AK27" authorId="0" shapeId="0">
      <text>
        <t>모델값 역산(implied): 모델 v 그대로
최근 4분기 감가상각비 중위 유지</t>
      </text>
    </comment>
    <comment ref="Z28" authorId="0" shapeId="0">
      <text>
        <t>모델값 역산(implied): v / 전분기 − 1
마지막 실적 유지(가정)</t>
      </text>
    </comment>
    <comment ref="AA28" authorId="0" shapeId="0">
      <text>
        <t>모델값 역산(implied): v / 전분기 − 1
마지막 실적 유지(가정)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E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J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Z29" authorId="0" shapeId="0">
      <text>
        <t>모델값 역산(implied): 전분기(시트값) + 당기순이익(시트 수식값) − v
전분기 + 당기순이익 − 배당(Q2 지급 가정)</t>
      </text>
    </comment>
    <comment ref="AA29" authorId="0" shapeId="0">
      <text>
        <t>모델값 역산(implied): 전분기(시트값) + 당기순이익(시트 수식값) − v
전분기 + 당기순이익 − 배당(Q2 지급 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E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J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Z30" authorId="0" shapeId="0">
      <text>
        <t>모델값 역산(implied): 전분기(시트값) + 지배주주순이익(시트 수식값) − v
전분기 + 지배주주순이익 − 배당</t>
      </text>
    </comment>
    <comment ref="AA30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E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J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Z31" authorId="0" shapeId="0">
      <text>
        <t>모델값 역산(implied): v / 전분기 − 1
마지막 실적 유지(가정)</t>
      </text>
    </comment>
    <comment ref="AA31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E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J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Z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A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C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E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F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H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I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J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K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Z33" authorId="0" shapeId="0">
      <text>
        <t>모델값 역산(implied): v / 전분기 − 1
전분기 + FCF 근사 — 순차입금 롤과 같은 가정</t>
      </text>
    </comment>
    <comment ref="AA33" authorId="0" shapeId="0">
      <text>
        <t>모델값 역산(implied): v / 전분기 − 1
전분기 + FCF 근사 — 순차입금 롤과 같은 가정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AE33" authorId="0" shapeId="0">
      <text>
        <t>모델값 역산(implied): v / 전분기 − 1
전분기 + FCF 근사 — 순차입금 롤과 같은 가정</t>
      </text>
    </comment>
    <comment ref="AF33" authorId="0" shapeId="0">
      <text>
        <t>모델값 역산(implied): v / 전분기 − 1
전분기 + FCF 근사 — 순차입금 롤과 같은 가정</t>
      </text>
    </comment>
    <comment ref="AH33" authorId="0" shapeId="0">
      <text>
        <t>모델값 역산(implied): v / 전분기 − 1
전분기 + FCF 근사 — 순차입금 롤과 같은 가정</t>
      </text>
    </comment>
    <comment ref="AI33" authorId="0" shapeId="0">
      <text>
        <t>모델값 역산(implied): v / 전분기 − 1
전분기 + FCF 근사 — 순차입금 롤과 같은 가정</t>
      </text>
    </comment>
    <comment ref="AJ33" authorId="0" shapeId="0">
      <text>
        <t>모델값 역산(implied): v / 전분기 − 1
전분기 + FCF 근사 — 순차입금 롤과 같은 가정</t>
      </text>
    </comment>
    <comment ref="AK33" authorId="0" shapeId="0">
      <text>
        <t>모델값 역산(implied): v / 전분기 − 1
전분기 + FCF 근사 — 순차입금 롤과 같은 가정</t>
      </text>
    </comment>
    <comment ref="Z36" authorId="0" shapeId="0">
      <text>
        <t>모델값 역산(implied): v / 전분기 − 1
유통주식수 유지 — fin.shares.common_outstanding(2026Q2)</t>
      </text>
    </comment>
    <comment ref="AA36" authorId="0" shapeId="0">
      <text>
        <t>모델값 역산(implied): v / 전분기 − 1
유통주식수 유지 — fin.shares.common_outstanding(2026Q2)</t>
      </text>
    </comment>
    <comment ref="AC36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v / 전분기 − 1
유통주식수 유지 — fin.shares.common_outstanding(2026Q2)</t>
      </text>
    </comment>
    <comment ref="AE36" authorId="0" shapeId="0">
      <text>
        <t>모델값 역산(implied): v / 전분기 − 1
유통주식수 유지 — fin.shares.common_outstanding(2026Q2)</t>
      </text>
    </comment>
    <comment ref="AF36" authorId="0" shapeId="0">
      <text>
        <t>모델값 역산(implied): v / 전분기 − 1
유통주식수 유지 — fin.shares.common_outstanding(2026Q2)</t>
      </text>
    </comment>
    <comment ref="AH36" authorId="0" shapeId="0">
      <text>
        <t>모델값 역산(implied): v / 전분기 − 1
유통주식수 유지 — fin.shares.common_outstanding(2026Q2)</t>
      </text>
    </comment>
    <comment ref="AI36" authorId="0" shapeId="0">
      <text>
        <t>모델값 역산(implied): v / 전분기 − 1
유통주식수 유지 — fin.shares.common_outstanding(2026Q2)</t>
      </text>
    </comment>
    <comment ref="AJ36" authorId="0" shapeId="0">
      <text>
        <t>모델값 역산(implied): v / 전분기 − 1
유통주식수 유지 — fin.shares.common_outstanding(2026Q2)</t>
      </text>
    </comment>
    <comment ref="AK36" authorId="0" shapeId="0">
      <text>
        <t>모델값 역산(implied): v / 전분기 − 1
유통주식수 유지 — fin.shares.common_outstanding(2026Q2)</t>
      </text>
    </comment>
    <comment ref="AA37" authorId="0" shapeId="0">
      <text>
        <t>모델값 역산(implied): 모델 v 그대로
직전 결산 DPS 0원 유지</t>
      </text>
    </comment>
    <comment ref="AF37" authorId="0" shapeId="0">
      <text>
        <t>모델값 역산(implied): 모델 v 그대로
직전 결산 DPS 0원 유지</t>
      </text>
    </comment>
    <comment ref="AK37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Z5" authorId="0" shapeId="0">
      <text>
        <t>추정: 전년동기 × (1+29.0%) — g=최근 4분기 합 YoY 29.0% 클립(−30~+50%), 연차별 절반 감쇠(가정)
[yoy]</t>
      </text>
    </comment>
    <comment ref="AA5" authorId="0" shapeId="0">
      <text>
        <t>추정: 전년동기 × (1+29.0%) — g=최근 4분기 합 YoY 29.0% 클립(−30~+50%), 연차별 절반 감쇠(가정)
[yoy]</t>
      </text>
    </comment>
    <comment ref="AC5" authorId="0" shapeId="0">
      <text>
        <t>추정: 전년동기 × (1+29.0%) — g=최근 4분기 합 YoY 29.0% 클립(−30~+50%), 연차별 절반 감쇠(가정)
[yoy]</t>
      </text>
    </comment>
    <comment ref="AD5" authorId="0" shapeId="0">
      <text>
        <t>추정: 전년동기 × (1+29.0%) — g=최근 4분기 합 YoY 29.0% 클립(−30~+50%), 연차별 절반 감쇠(가정)
[yoy]</t>
      </text>
    </comment>
    <comment ref="AE5" authorId="0" shapeId="0">
      <text>
        <t>추정: 전년동기 × (1+14.5%) — g=최근 4분기 합 YoY 29.0% 클립(−30~+50%), 연차별 절반 감쇠(가정)
[yoy]</t>
      </text>
    </comment>
    <comment ref="AF5" authorId="0" shapeId="0">
      <text>
        <t>추정: 전년동기 × (1+14.5%) — g=최근 4분기 합 YoY 29.0% 클립(−30~+50%), 연차별 절반 감쇠(가정)
[yoy]</t>
      </text>
    </comment>
    <comment ref="AH5" authorId="0" shapeId="0">
      <text>
        <t>추정: 전년동기 × (1+14.5%) — g=최근 4분기 합 YoY 29.0% 클립(−30~+50%), 연차별 절반 감쇠(가정)
[yoy]</t>
      </text>
    </comment>
    <comment ref="AI5" authorId="0" shapeId="0">
      <text>
        <t>추정: 전년동기 × (1+14.5%) — g=최근 4분기 합 YoY 29.0% 클립(−30~+50%), 연차별 절반 감쇠(가정)
[yoy]</t>
      </text>
    </comment>
    <comment ref="AJ5" authorId="0" shapeId="0">
      <text>
        <t>추정: 전년동기 × (1+7.2%) — g=최근 4분기 합 YoY 29.0% 클립(−30~+50%), 연차별 절반 감쇠(가정)
[yoy]</t>
      </text>
    </comment>
    <comment ref="AK5" authorId="0" shapeId="0">
      <text>
        <t>추정: 전년동기 × (1+7.2%) — g=최근 4분기 합 YoY 29.0% 클립(−30~+50%), 연차별 절반 감쇠(가정)
[yoy]</t>
      </text>
    </comment>
    <comment ref="Z6" authorId="0" shapeId="0">
      <text>
        <t>추정: 매출액 − 매출총이익(항등식)
[identity]</t>
      </text>
    </comment>
    <comment ref="AA6" authorId="0" shapeId="0">
      <text>
        <t>추정: 매출액 − 매출총이익(항등식)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E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J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Z7" authorId="0" shapeId="0">
      <text>
        <t>추정: 영업이익 + 판관비 − 기타영업손익(항등식)
[identity]</t>
      </text>
    </comment>
    <comment ref="AA7" authorId="0" shapeId="0">
      <text>
        <t>추정: 영업이익 + 판관비 − 기타영업손익(항등식)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E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J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Z8" authorId="0" shapeId="0">
      <text>
        <t>추정: 매출액 × 판관비율 9.37%(최근 4분기 중위)
[ratio]</t>
      </text>
    </comment>
    <comment ref="AA8" authorId="0" shapeId="0">
      <text>
        <t>추정: 매출액 × 판관비율 9.37%(최근 4분기 중위)
[ratio]</t>
      </text>
    </comment>
    <comment ref="AC8" authorId="0" shapeId="0">
      <text>
        <t>추정: 매출액 × 판관비율 9.37%(최근 4분기 중위)
[ratio]</t>
      </text>
    </comment>
    <comment ref="AD8" authorId="0" shapeId="0">
      <text>
        <t>추정: 매출액 × 판관비율 9.37%(최근 4분기 중위)
[ratio]</t>
      </text>
    </comment>
    <comment ref="AE8" authorId="0" shapeId="0">
      <text>
        <t>추정: 매출액 × 판관비율 9.37%(최근 4분기 중위)
[ratio]</t>
      </text>
    </comment>
    <comment ref="AF8" authorId="0" shapeId="0">
      <text>
        <t>추정: 매출액 × 판관비율 9.37%(최근 4분기 중위)
[ratio]</t>
      </text>
    </comment>
    <comment ref="AH8" authorId="0" shapeId="0">
      <text>
        <t>추정: 매출액 × 판관비율 9.37%(최근 4분기 중위)
[ratio]</t>
      </text>
    </comment>
    <comment ref="AI8" authorId="0" shapeId="0">
      <text>
        <t>추정: 매출액 × 판관비율 9.37%(최근 4분기 중위)
[ratio]</t>
      </text>
    </comment>
    <comment ref="AJ8" authorId="0" shapeId="0">
      <text>
        <t>추정: 매출액 × 판관비율 9.37%(최근 4분기 중위)
[ratio]</t>
      </text>
    </comment>
    <comment ref="AK8" authorId="0" shapeId="0">
      <text>
        <t>추정: 매출액 × 판관비율 9.37%(최근 4분기 중위)
[ratio]</t>
      </text>
    </comment>
    <comment ref="Z9" authorId="0" shapeId="0">
      <text>
        <t>추정: 매출액 × OPM(최근 8분기 OPM 중위 1.4% 유지(클립 −20~40%))
[ratio]</t>
      </text>
    </comment>
    <comment ref="AA9" authorId="0" shapeId="0">
      <text>
        <t>추정: 매출액 × OPM(최근 8분기 OPM 중위 1.4% 유지(클립 −20~40%))
[ratio]</t>
      </text>
    </comment>
    <comment ref="AC9" authorId="0" shapeId="0">
      <text>
        <t>추정: 매출액 × OPM(최근 8분기 OPM 중위 1.4% 유지(클립 −20~40%))
[ratio]</t>
      </text>
    </comment>
    <comment ref="AD9" authorId="0" shapeId="0">
      <text>
        <t>추정: 매출액 × OPM(최근 8분기 OPM 중위 1.4% 유지(클립 −20~40%))
[ratio]</t>
      </text>
    </comment>
    <comment ref="AE9" authorId="0" shapeId="0">
      <text>
        <t>추정: 매출액 × OPM(최근 8분기 OPM 중위 1.4% 유지(클립 −20~40%))
[ratio]</t>
      </text>
    </comment>
    <comment ref="AF9" authorId="0" shapeId="0">
      <text>
        <t>추정: 매출액 × OPM(최근 8분기 OPM 중위 1.4% 유지(클립 −20~40%))
[ratio]</t>
      </text>
    </comment>
    <comment ref="AH9" authorId="0" shapeId="0">
      <text>
        <t>추정: 매출액 × OPM(최근 8분기 OPM 중위 1.4% 유지(클립 −20~40%))
[ratio]</t>
      </text>
    </comment>
    <comment ref="AI9" authorId="0" shapeId="0">
      <text>
        <t>추정: 매출액 × OPM(최근 8분기 OPM 중위 1.4% 유지(클립 −20~40%))
[ratio]</t>
      </text>
    </comment>
    <comment ref="AJ9" authorId="0" shapeId="0">
      <text>
        <t>추정: 매출액 × OPM(최근 8분기 OPM 중위 1.4% 유지(클립 −20~40%))
[ratio]</t>
      </text>
    </comment>
    <comment ref="AK9" authorId="0" shapeId="0">
      <text>
        <t>추정: 매출액 × OPM(최근 8분기 OPM 중위 1.4% 유지(클립 −20~40%))
[ratio]</t>
      </text>
    </comment>
    <comment ref="Z10" authorId="0" shapeId="0">
      <text>
        <t>추정: 최근 8분기 OPM 중위 1.4% 유지(클립 −20~40%)
[divide]</t>
      </text>
    </comment>
    <comment ref="AA10" authorId="0" shapeId="0">
      <text>
        <t>추정: 최근 8분기 OPM 중위 1.4% 유지(클립 −20~40%)
[divide]</t>
      </text>
    </comment>
    <comment ref="AC10" authorId="0" shapeId="0">
      <text>
        <t>추정: 최근 8분기 OPM 중위 1.4% 유지(클립 −20~40%)
[divide]</t>
      </text>
    </comment>
    <comment ref="AD10" authorId="0" shapeId="0">
      <text>
        <t>추정: 최근 8분기 OPM 중위 1.4% 유지(클립 −20~40%)
[divide]</t>
      </text>
    </comment>
    <comment ref="AE10" authorId="0" shapeId="0">
      <text>
        <t>추정: 최근 8분기 OPM 중위 1.4% 유지(클립 −20~40%)
[divide]</t>
      </text>
    </comment>
    <comment ref="AF10" authorId="0" shapeId="0">
      <text>
        <t>추정: 최근 8분기 OPM 중위 1.4% 유지(클립 −20~40%)
[divide]</t>
      </text>
    </comment>
    <comment ref="AH10" authorId="0" shapeId="0">
      <text>
        <t>추정: 최근 8분기 OPM 중위 1.4% 유지(클립 −20~40%)
[divide]</t>
      </text>
    </comment>
    <comment ref="AI10" authorId="0" shapeId="0">
      <text>
        <t>추정: 최근 8분기 OPM 중위 1.4% 유지(클립 −20~40%)
[divide]</t>
      </text>
    </comment>
    <comment ref="AJ10" authorId="0" shapeId="0">
      <text>
        <t>추정: 최근 8분기 OPM 중위 1.4% 유지(클립 −20~40%)
[divide]</t>
      </text>
    </comment>
    <comment ref="AK10" authorId="0" shapeId="0">
      <text>
        <t>추정: 최근 8분기 OPM 중위 1.4% 유지(클립 −20~40%)
[divide]</t>
      </text>
    </comment>
    <comment ref="Z11" authorId="0" shapeId="0">
      <text>
        <t>추정: 이자손익 + 외환손익 0 + 파생상품손익 0 + 기타금융손익 +0.00억(잔차 실측 0분기 &lt; 4 → 0) (항등식); 이자손익 = 이자발생자산 297억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A11" authorId="0" shapeId="0">
      <text>
        <t>추정: 이자손익 + 외환손익 0 + 파생상품손익 0 + 기타금융손익 +0.00억(잔차 실측 0분기 &lt; 4 → 0) (항등식); 이자손익 = 이자발생자산 291억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285억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277억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E11" authorId="0" shapeId="0">
      <text>
        <t>추정: 이자손익 + 외환손익 0 + 파생상품손익 0 + 기타금융손익 +0.00억(잔차 실측 0분기 &lt; 4 → 0) (항등식); 이자손익 = 이자발생자산 272억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265억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260억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252억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J11" authorId="0" shapeId="0">
      <text>
        <t>추정: 이자손익 + 외환손익 0 + 파생상품손익 0 + 기타금융손익 +0.00억(잔차 실측 0분기 &lt; 4 → 0) (항등식); 이자손익 = 이자발생자산 247억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240억 × 4.93%(주석 이자수익 ÷ 평균 이자발생자산(2024Q2~2025Q1)) − 총차입금 1232억 × 3.93%(주석 이자비용 ÷ 평균 총차입금(2024Q2~2025Q1)) (연율) ÷ 4; 환율 효과는 환관련손익 행 별도
[identity]</t>
      </text>
    </comment>
    <comment ref="Z12" authorId="0" shapeId="0">
      <text>
        <t>추정: 이자발생자산 297억 × 4.93%(주석 이자수익 ÷ 평균 이자발생자산(2024Q2~2025Q1)) − 총차입금 1232억 × 3.93%(주석 이자비용 ÷ 평균 총차입금(2024Q2~2025Q1)) (연율) ÷ 4
[interest]</t>
      </text>
    </comment>
    <comment ref="AA12" authorId="0" shapeId="0">
      <text>
        <t>추정: 이자발생자산 291억 × 4.93%(주석 이자수익 ÷ 평균 이자발생자산(2024Q2~2025Q1)) − 총차입금 1232억 × 3.93%(주석 이자비용 ÷ 평균 총차입금(2024Q2~2025Q1)) (연율) ÷ 4
[interest]</t>
      </text>
    </comment>
    <comment ref="AC12" authorId="0" shapeId="0">
      <text>
        <t>추정: 이자발생자산 285억 × 4.93%(주석 이자수익 ÷ 평균 이자발생자산(2024Q2~2025Q1)) − 총차입금 1232억 × 3.93%(주석 이자비용 ÷ 평균 총차입금(2024Q2~2025Q1)) (연율) ÷ 4
[interest]</t>
      </text>
    </comment>
    <comment ref="AD12" authorId="0" shapeId="0">
      <text>
        <t>추정: 이자발생자산 277억 × 4.93%(주석 이자수익 ÷ 평균 이자발생자산(2024Q2~2025Q1)) − 총차입금 1232억 × 3.93%(주석 이자비용 ÷ 평균 총차입금(2024Q2~2025Q1)) (연율) ÷ 4
[interest]</t>
      </text>
    </comment>
    <comment ref="AE12" authorId="0" shapeId="0">
      <text>
        <t>추정: 이자발생자산 272억 × 4.93%(주석 이자수익 ÷ 평균 이자발생자산(2024Q2~2025Q1)) − 총차입금 1232억 × 3.93%(주석 이자비용 ÷ 평균 총차입금(2024Q2~2025Q1)) (연율) ÷ 4
[interest]</t>
      </text>
    </comment>
    <comment ref="AF12" authorId="0" shapeId="0">
      <text>
        <t>추정: 이자발생자산 265억 × 4.93%(주석 이자수익 ÷ 평균 이자발생자산(2024Q2~2025Q1)) − 총차입금 1232억 × 3.93%(주석 이자비용 ÷ 평균 총차입금(2024Q2~2025Q1)) (연율) ÷ 4
[interest]</t>
      </text>
    </comment>
    <comment ref="AH12" authorId="0" shapeId="0">
      <text>
        <t>추정: 이자발생자산 260억 × 4.93%(주석 이자수익 ÷ 평균 이자발생자산(2024Q2~2025Q1)) − 총차입금 1232억 × 3.93%(주석 이자비용 ÷ 평균 총차입금(2024Q2~2025Q1)) (연율) ÷ 4
[interest]</t>
      </text>
    </comment>
    <comment ref="AI12" authorId="0" shapeId="0">
      <text>
        <t>추정: 이자발생자산 252억 × 4.93%(주석 이자수익 ÷ 평균 이자발생자산(2024Q2~2025Q1)) − 총차입금 1232억 × 3.93%(주석 이자비용 ÷ 평균 총차입금(2024Q2~2025Q1)) (연율) ÷ 4
[interest]</t>
      </text>
    </comment>
    <comment ref="AJ12" authorId="0" shapeId="0">
      <text>
        <t>추정: 이자발생자산 247억 × 4.93%(주석 이자수익 ÷ 평균 이자발생자산(2024Q2~2025Q1)) − 총차입금 1232억 × 3.93%(주석 이자비용 ÷ 평균 총차입금(2024Q2~2025Q1)) (연율) ÷ 4
[interest]</t>
      </text>
    </comment>
    <comment ref="AK12" authorId="0" shapeId="0">
      <text>
        <t>추정: 이자발생자산 240억 × 4.93%(주석 이자수익 ÷ 평균 이자발생자산(2024Q2~2025Q1)) − 총차입금 1232억 × 3.93%(주석 이자비용 ÷ 평균 총차입금(2024Q2~2025Q1)) (연율) ÷ 4
[interest]</t>
      </text>
    </comment>
    <comment ref="Z13" authorId="0" shapeId="0">
      <text>
        <t>추정: 일회성 미가정 → 0
[abs]</t>
      </text>
    </comment>
    <comment ref="AA13" authorId="0" shapeId="0">
      <text>
        <t>추정: 일회성 미가정 → 0
[abs]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E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J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Z14" authorId="0" shapeId="0">
      <text>
        <t>추정: 영업이익 + 금융손익 + 기타영업외 + 지분법 + 환관련(항등식)
[identity]</t>
      </text>
    </comment>
    <comment ref="AA14" authorId="0" shapeId="0">
      <text>
        <t>추정: 영업이익 + 금융손익 + 기타영업외 + 지분법 + 환관련(항등식)
[identity]</t>
      </text>
    </comment>
    <comment ref="AC14" authorId="0" shapeId="0">
      <text>
        <t>추정: 영업이익 + 금융손익 + 기타영업외 + 지분법 + 환관련(항등식)
[identity]</t>
      </text>
    </comment>
    <comment ref="AD14" authorId="0" shapeId="0">
      <text>
        <t>추정: 영업이익 + 금융손익 + 기타영업외 + 지분법 + 환관련(항등식)
[identity]</t>
      </text>
    </comment>
    <comment ref="AE14" authorId="0" shapeId="0">
      <text>
        <t>추정: 영업이익 + 금융손익 + 기타영업외 + 지분법 + 환관련(항등식)
[identity]</t>
      </text>
    </comment>
    <comment ref="AF14" authorId="0" shapeId="0">
      <text>
        <t>추정: 영업이익 + 금융손익 + 기타영업외 + 지분법 + 환관련(항등식)
[identity]</t>
      </text>
    </comment>
    <comment ref="AH14" authorId="0" shapeId="0">
      <text>
        <t>추정: 영업이익 + 금융손익 + 기타영업외 + 지분법 + 환관련(항등식)
[identity]</t>
      </text>
    </comment>
    <comment ref="AI14" authorId="0" shapeId="0">
      <text>
        <t>추정: 영업이익 + 금융손익 + 기타영업외 + 지분법 + 환관련(항등식)
[identity]</t>
      </text>
    </comment>
    <comment ref="AJ14" authorId="0" shapeId="0">
      <text>
        <t>추정: 영업이익 + 금융손익 + 기타영업외 + 지분법 + 환관련(항등식)
[identity]</t>
      </text>
    </comment>
    <comment ref="AK14" authorId="0" shapeId="0">
      <text>
        <t>추정: 영업이익 + 금융손익 + 기타영업외 + 지분법 + 환관련(항등식)
[identity]</t>
      </text>
    </comment>
    <comment ref="Z15" authorId="0" shapeId="0">
      <text>
        <t>추정: max(세전, 0) × 세율 22.0%(최근 12분기 세전 합 ≤ 0; 세전 &gt; 0 분기 중위 0.0% 도 5~27% 밖 → 법정세율 근사 22% 가정)
[ratio]</t>
      </text>
    </comment>
    <comment ref="AA15" authorId="0" shapeId="0">
      <text>
        <t>추정: max(세전, 0) × 세율 22.0%(최근 12분기 세전 합 ≤ 0; 세전 &gt; 0 분기 중위 0.0% 도 5~27% 밖 → 법정세율 근사 22% 가정)
[ratio]</t>
      </text>
    </comment>
    <comment ref="AC15" authorId="0" shapeId="0">
      <text>
        <t>추정: max(세전, 0) × 세율 22.0%(최근 12분기 세전 합 ≤ 0; 세전 &gt; 0 분기 중위 0.0% 도 5~27% 밖 → 법정세율 근사 22% 가정)
[ratio]</t>
      </text>
    </comment>
    <comment ref="AD15" authorId="0" shapeId="0">
      <text>
        <t>추정: max(세전, 0) × 세율 22.0%(최근 12분기 세전 합 ≤ 0; 세전 &gt; 0 분기 중위 0.0% 도 5~27% 밖 → 법정세율 근사 22% 가정)
[ratio]</t>
      </text>
    </comment>
    <comment ref="AE15" authorId="0" shapeId="0">
      <text>
        <t>추정: max(세전, 0) × 세율 22.0%(최근 12분기 세전 합 ≤ 0; 세전 &gt; 0 분기 중위 0.0% 도 5~27% 밖 → 법정세율 근사 22% 가정)
[ratio]</t>
      </text>
    </comment>
    <comment ref="AF15" authorId="0" shapeId="0">
      <text>
        <t>추정: max(세전, 0) × 세율 22.0%(최근 12분기 세전 합 ≤ 0; 세전 &gt; 0 분기 중위 0.0% 도 5~27% 밖 → 법정세율 근사 22% 가정)
[ratio]</t>
      </text>
    </comment>
    <comment ref="AH15" authorId="0" shapeId="0">
      <text>
        <t>추정: max(세전, 0) × 세율 22.0%(최근 12분기 세전 합 ≤ 0; 세전 &gt; 0 분기 중위 0.0% 도 5~27% 밖 → 법정세율 근사 22% 가정)
[ratio]</t>
      </text>
    </comment>
    <comment ref="AI15" authorId="0" shapeId="0">
      <text>
        <t>추정: max(세전, 0) × 세율 22.0%(최근 12분기 세전 합 ≤ 0; 세전 &gt; 0 분기 중위 0.0% 도 5~27% 밖 → 법정세율 근사 22% 가정)
[ratio]</t>
      </text>
    </comment>
    <comment ref="AJ15" authorId="0" shapeId="0">
      <text>
        <t>추정: max(세전, 0) × 세율 22.0%(최근 12분기 세전 합 ≤ 0; 세전 &gt; 0 분기 중위 0.0% 도 5~27% 밖 → 법정세율 근사 22% 가정)
[ratio]</t>
      </text>
    </comment>
    <comment ref="AK15" authorId="0" shapeId="0">
      <text>
        <t>추정: max(세전, 0) × 세율 22.0%(최근 12분기 세전 합 ≤ 0; 세전 &gt; 0 분기 중위 0.0% 도 5~27% 밖 → 법정세율 근사 22% 가정)
[ratio]</t>
      </text>
    </comment>
    <comment ref="Z16" authorId="0" shapeId="0">
      <text>
        <t>추정: 세전이익 − 법인세비용(항등식)
[identity]</t>
      </text>
    </comment>
    <comment ref="AA16" authorId="0" shapeId="0">
      <text>
        <t>추정: 세전이익 − 법인세비용(항등식)
[identity]</t>
      </text>
    </comment>
    <comment ref="AC16" authorId="0" shapeId="0">
      <text>
        <t>추정: 세전이익 − 법인세비용(항등식)
[identity]</t>
      </text>
    </comment>
    <comment ref="AD16" authorId="0" shapeId="0">
      <text>
        <t>추정: 세전이익 − 법인세비용(항등식)
[identity]</t>
      </text>
    </comment>
    <comment ref="AE16" authorId="0" shapeId="0">
      <text>
        <t>추정: 세전이익 − 법인세비용(항등식)
[identity]</t>
      </text>
    </comment>
    <comment ref="AF16" authorId="0" shapeId="0">
      <text>
        <t>추정: 세전이익 − 법인세비용(항등식)
[identity]</t>
      </text>
    </comment>
    <comment ref="AH16" authorId="0" shapeId="0">
      <text>
        <t>추정: 세전이익 − 법인세비용(항등식)
[identity]</t>
      </text>
    </comment>
    <comment ref="AI16" authorId="0" shapeId="0">
      <text>
        <t>추정: 세전이익 − 법인세비용(항등식)
[identity]</t>
      </text>
    </comment>
    <comment ref="AJ16" authorId="0" shapeId="0">
      <text>
        <t>추정: 세전이익 − 법인세비용(항등식)
[identity]</t>
      </text>
    </comment>
    <comment ref="AK16" authorId="0" shapeId="0">
      <text>
        <t>추정: 세전이익 − 법인세비용(항등식)
[identity]</t>
      </text>
    </comment>
    <comment ref="Z17" authorId="0" shapeId="0">
      <text>
        <t>추정: 당기순이익 × (1 − 비지배 비중 0.0%, 최근 8분기 실측)
[ratio]</t>
      </text>
    </comment>
    <comment ref="AA17" authorId="0" shapeId="0">
      <text>
        <t>추정: 당기순이익 × (1 − 비지배 비중 0.0%, 최근 8분기 실측)
[ratio]</t>
      </text>
    </comment>
    <comment ref="AC17" authorId="0" shapeId="0">
      <text>
        <t>추정: 당기순이익 × (1 − 비지배 비중 0.0%, 최근 8분기 실측)
[ratio]</t>
      </text>
    </comment>
    <comment ref="AD17" authorId="0" shapeId="0">
      <text>
        <t>추정: 당기순이익 × (1 − 비지배 비중 0.0%, 최근 8분기 실측)
[ratio]</t>
      </text>
    </comment>
    <comment ref="AE17" authorId="0" shapeId="0">
      <text>
        <t>추정: 당기순이익 × (1 − 비지배 비중 0.0%, 최근 8분기 실측)
[ratio]</t>
      </text>
    </comment>
    <comment ref="AF17" authorId="0" shapeId="0">
      <text>
        <t>추정: 당기순이익 × (1 − 비지배 비중 0.0%, 최근 8분기 실측)
[ratio]</t>
      </text>
    </comment>
    <comment ref="AH17" authorId="0" shapeId="0">
      <text>
        <t>추정: 당기순이익 × (1 − 비지배 비중 0.0%, 최근 8분기 실측)
[ratio]</t>
      </text>
    </comment>
    <comment ref="AI17" authorId="0" shapeId="0">
      <text>
        <t>추정: 당기순이익 × (1 − 비지배 비중 0.0%, 최근 8분기 실측)
[ratio]</t>
      </text>
    </comment>
    <comment ref="AJ17" authorId="0" shapeId="0">
      <text>
        <t>추정: 당기순이익 × (1 − 비지배 비중 0.0%, 최근 8분기 실측)
[ratio]</t>
      </text>
    </comment>
    <comment ref="AK17" authorId="0" shapeId="0">
      <text>
        <t>추정: 당기순이익 × (1 − 비지배 비중 0.0%, 최근 8분기 실측)
[ratio]</t>
      </text>
    </comment>
    <comment ref="Z18" authorId="0" shapeId="0">
      <text>
        <t>추정: 최근 4분기 감가상각비 중위 유지
[abs]</t>
      </text>
    </comment>
    <comment ref="AA18" authorId="0" shapeId="0">
      <text>
        <t>추정: 최근 4분기 감가상각비 중위 유지
[abs]</t>
      </text>
    </comment>
    <comment ref="AC18" authorId="0" shapeId="0">
      <text>
        <t>추정: 최근 4분기 감가상각비 중위 유지
[abs]</t>
      </text>
    </comment>
    <comment ref="AD18" authorId="0" shapeId="0">
      <text>
        <t>추정: 최근 4분기 감가상각비 중위 유지
[abs]</t>
      </text>
    </comment>
    <comment ref="AE18" authorId="0" shapeId="0">
      <text>
        <t>추정: 최근 4분기 감가상각비 중위 유지
[abs]</t>
      </text>
    </comment>
    <comment ref="AF18" authorId="0" shapeId="0">
      <text>
        <t>추정: 최근 4분기 감가상각비 중위 유지
[abs]</t>
      </text>
    </comment>
    <comment ref="AH18" authorId="0" shapeId="0">
      <text>
        <t>추정: 최근 4분기 감가상각비 중위 유지
[abs]</t>
      </text>
    </comment>
    <comment ref="AI18" authorId="0" shapeId="0">
      <text>
        <t>추정: 최근 4분기 감가상각비 중위 유지
[abs]</t>
      </text>
    </comment>
    <comment ref="AJ18" authorId="0" shapeId="0">
      <text>
        <t>추정: 최근 4분기 감가상각비 중위 유지
[abs]</t>
      </text>
    </comment>
    <comment ref="AK18" authorId="0" shapeId="0">
      <text>
        <t>추정: 최근 4분기 감가상각비 중위 유지
[abs]</t>
      </text>
    </comment>
    <comment ref="E19" authorId="0" shapeId="0">
      <text>
        <t>실측(계정 매핑 없음(파생·부문·시세 행) — 모델값 직접) — 영업이익 + 감가상각비(CF)</t>
      </text>
    </comment>
    <comment ref="F19" authorId="0" shapeId="0">
      <text>
        <t>실측(계정 매핑 없음(파생·부문·시세 행) — 모델값 직접) — 영업이익 + 감가상각비(CF)</t>
      </text>
    </comment>
    <comment ref="G19" authorId="0" shapeId="0">
      <text>
        <t>실측(계정 매핑 없음(파생·부문·시세 행) — 모델값 직접) — 영업이익 + 감가상각비(CF)</t>
      </text>
    </comment>
    <comment ref="I19" authorId="0" shapeId="0">
      <text>
        <t>실측(계정 매핑 없음(파생·부문·시세 행) — 모델값 직접) — 영업이익 + 감가상각비(CF)</t>
      </text>
    </comment>
    <comment ref="J19" authorId="0" shapeId="0">
      <text>
        <t>실측(계정 매핑 없음(파생·부문·시세 행) — 모델값 직접) — 영업이익 + 감가상각비(CF)</t>
      </text>
    </comment>
    <comment ref="K19" authorId="0" shapeId="0">
      <text>
        <t>실측(계정 매핑 없음(파생·부문·시세 행) — 모델값 직접) — 영업이익 + 감가상각비(CF)</t>
      </text>
    </comment>
    <comment ref="L19" authorId="0" shapeId="0">
      <text>
        <t>실측(계정 매핑 없음(파생·부문·시세 행) — 모델값 직접) — 영업이익 + 감가상각비(CF)</t>
      </text>
    </comment>
    <comment ref="N19" authorId="0" shapeId="0">
      <text>
        <t>실측(계정 매핑 없음(파생·부문·시세 행) — 모델값 직접) — 영업이익 + 감가상각비(CF)</t>
      </text>
    </comment>
    <comment ref="O19" authorId="0" shapeId="0">
      <text>
        <t>실측(계정 매핑 없음(파생·부문·시세 행) — 모델값 직접) — 영업이익 + 감가상각비(CF)</t>
      </text>
    </comment>
    <comment ref="P19" authorId="0" shapeId="0">
      <text>
        <t>실측(계정 매핑 없음(파생·부문·시세 행) — 모델값 직접) — 영업이익 + 감가상각비(CF)</t>
      </text>
    </comment>
    <comment ref="Q19" authorId="0" shapeId="0">
      <text>
        <t>실측(계정 매핑 없음(파생·부문·시세 행) — 모델값 직접) — 영업이익 + 감가상각비(CF)</t>
      </text>
    </comment>
    <comment ref="S19" authorId="0" shapeId="0">
      <text>
        <t>실측(계정 매핑 없음(파생·부문·시세 행) — 모델값 직접) — 영업이익 + 감가상각비(CF)</t>
      </text>
    </comment>
    <comment ref="T19" authorId="0" shapeId="0">
      <text>
        <t>실측(계정 매핑 없음(파생·부문·시세 행) — 모델값 직접) — 영업이익 + 감가상각비(CF)</t>
      </text>
    </comment>
    <comment ref="U19" authorId="0" shapeId="0">
      <text>
        <t>실측(계정 매핑 없음(파생·부문·시세 행) — 모델값 직접) — 영업이익 + 감가상각비(CF)</t>
      </text>
    </comment>
    <comment ref="V19" authorId="0" shapeId="0">
      <text>
        <t>실측(계정 매핑 없음(파생·부문·시세 행) — 모델값 직접) — 영업이익 + 감가상각비(CF)</t>
      </text>
    </comment>
    <comment ref="X19" authorId="0" shapeId="0">
      <text>
        <t>실측(계정 매핑 없음(파생·부문·시세 행) — 모델값 직접) — 영업이익 + 감가상각비(CF)</t>
      </text>
    </comment>
    <comment ref="Y19" authorId="0" shapeId="0">
      <text>
        <t>실측(계정 매핑 없음(파생·부문·시세 행) — 모델값 직접) — 영업이익 + 감가상각비(CF)</t>
      </text>
    </comment>
    <comment ref="Z19" authorId="0" shapeId="0">
      <text>
        <t>추정: 영업이익 + 감가상각비
[identity]</t>
      </text>
    </comment>
    <comment ref="AA19" authorId="0" shapeId="0">
      <text>
        <t>추정: 영업이익 + 감가상각비
[identity]</t>
      </text>
    </comment>
    <comment ref="AC19" authorId="0" shapeId="0">
      <text>
        <t>추정: 영업이익 + 감가상각비
[identity]</t>
      </text>
    </comment>
    <comment ref="AD19" authorId="0" shapeId="0">
      <text>
        <t>추정: 영업이익 + 감가상각비
[identity]</t>
      </text>
    </comment>
    <comment ref="AE19" authorId="0" shapeId="0">
      <text>
        <t>추정: 영업이익 + 감가상각비
[identity]</t>
      </text>
    </comment>
    <comment ref="AF19" authorId="0" shapeId="0">
      <text>
        <t>추정: 영업이익 + 감가상각비
[identity]</t>
      </text>
    </comment>
    <comment ref="AH19" authorId="0" shapeId="0">
      <text>
        <t>추정: 영업이익 + 감가상각비
[identity]</t>
      </text>
    </comment>
    <comment ref="AI19" authorId="0" shapeId="0">
      <text>
        <t>추정: 영업이익 + 감가상각비
[identity]</t>
      </text>
    </comment>
    <comment ref="AJ19" authorId="0" shapeId="0">
      <text>
        <t>추정: 영업이익 + 감가상각비
[identity]</t>
      </text>
    </comment>
    <comment ref="AK19" authorId="0" shapeId="0">
      <text>
        <t>추정: 영업이익 + 감가상각비
[identity]</t>
      </text>
    </comment>
    <comment ref="H20" authorId="0" shapeId="0">
      <text>
        <t>연간 실측(BS 시트에 2022.12A 없음 — 모델 a 값 직접)</t>
      </text>
    </comment>
    <comment ref="Z20" authorId="0" shapeId="0">
      <text>
        <t>추정: 부채총계 + 자본총계(항등식)
[identity]</t>
      </text>
    </comment>
    <comment ref="AA20" authorId="0" shapeId="0">
      <text>
        <t>추정: 부채총계 + 자본총계(항등식)
[identity]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E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AJ20" authorId="0" shapeId="0">
      <text>
        <t>추정: 부채총계 + 자본총계(항등식)
[identity]</t>
      </text>
    </comment>
    <comment ref="AK20" authorId="0" shapeId="0">
      <text>
        <t>추정: 부채총계 + 자본총계(항등식)
[identity]</t>
      </text>
    </comment>
    <comment ref="H21" authorId="0" shapeId="0">
      <text>
        <t>연간 실측(BS 시트에 2022.12A 없음 — 모델 a 값 직접)</t>
      </text>
    </comment>
    <comment ref="Z21" authorId="0" shapeId="0">
      <text>
        <t>추정: 마지막 실적 유지(가정)
[qoq]</t>
      </text>
    </comment>
    <comment ref="AA21" authorId="0" shapeId="0">
      <text>
        <t>추정: 마지막 실적 유지(가정)
[qoq]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E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AJ21" authorId="0" shapeId="0">
      <text>
        <t>추정: 마지막 실적 유지(가정)
[qoq]</t>
      </text>
    </comment>
    <comment ref="AK21" authorId="0" shapeId="0">
      <text>
        <t>추정: 마지막 실적 유지(가정)
[qoq]</t>
      </text>
    </comment>
    <comment ref="H22" authorId="0" shapeId="0">
      <text>
        <t>연간 실측(BS 시트에 2022.12A 없음 — 모델 a 값 직접)</t>
      </text>
    </comment>
    <comment ref="Z22" authorId="0" shapeId="0">
      <text>
        <t>추정: 전분기 + 당기순이익 − 배당(Q2 지급 가정)
[roll]</t>
      </text>
    </comment>
    <comment ref="AA22" authorId="0" shapeId="0">
      <text>
        <t>추정: 전분기 + 당기순이익 − 배당(Q2 지급 가정)
[roll]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E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AJ22" authorId="0" shapeId="0">
      <text>
        <t>추정: 전분기 + 당기순이익 − 배당(Q2 지급 가정)
[roll]</t>
      </text>
    </comment>
    <comment ref="AK22" authorId="0" shapeId="0">
      <text>
        <t>추정: 전분기 + 당기순이익 − 배당(Q2 지급 가정)
[roll]</t>
      </text>
    </comment>
    <comment ref="H23" authorId="0" shapeId="0">
      <text>
        <t>연간 실측(BS 시트에 2022.12A 없음 — 모델 a 값 직접)</t>
      </text>
    </comment>
    <comment ref="Z23" authorId="0" shapeId="0">
      <text>
        <t>추정: 전분기 + 지배주주순이익 − 배당
[roll]</t>
      </text>
    </comment>
    <comment ref="AA23" authorId="0" shapeId="0">
      <text>
        <t>추정: 전분기 + 지배주주순이익 − 배당
[roll]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E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AJ23" authorId="0" shapeId="0">
      <text>
        <t>추정: 전분기 + 지배주주순이익 − 배당
[roll]</t>
      </text>
    </comment>
    <comment ref="AK23" authorId="0" shapeId="0">
      <text>
        <t>추정: 전분기 + 지배주주순이익 − 배당
[roll]</t>
      </text>
    </comment>
    <comment ref="H24" authorId="0" shapeId="0">
      <text>
        <t>연간 실측(BS 시트에 2022.12A 없음 — 모델 a 값 직접)</t>
      </text>
    </comment>
    <comment ref="Z24" authorId="0" shapeId="0">
      <text>
        <t>추정: 마지막 실적 유지(가정)
[qoq]</t>
      </text>
    </comment>
    <comment ref="AA24" authorId="0" shapeId="0">
      <text>
        <t>추정: 마지막 실적 유지(가정)
[qoq]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E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J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H25" authorId="0" shapeId="0">
      <text>
        <t>연간 실측(BS 시트에 2022.12A 없음 — 모델 a 값 직접)</t>
      </text>
    </comment>
    <comment ref="Z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A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C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D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E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F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H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I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J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K25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H26" authorId="0" shapeId="0">
      <text>
        <t>연간 실측(BS 시트에 2022.12A 없음 — 모델 a 값 직접)</t>
      </text>
    </comment>
    <comment ref="Z26" authorId="0" shapeId="0">
      <text>
        <t>추정: 전분기 + FCF 근사 — 순차입금 롤과 같은 가정
[qoq]</t>
      </text>
    </comment>
    <comment ref="AA26" authorId="0" shapeId="0">
      <text>
        <t>추정: 전분기 + FCF 근사 — 순차입금 롤과 같은 가정
[qoq]</t>
      </text>
    </comment>
    <comment ref="AC26" authorId="0" shapeId="0">
      <text>
        <t>추정: 전분기 + FCF 근사 — 순차입금 롤과 같은 가정
[qoq]</t>
      </text>
    </comment>
    <comment ref="AD26" authorId="0" shapeId="0">
      <text>
        <t>추정: 전분기 + FCF 근사 — 순차입금 롤과 같은 가정
[qoq]</t>
      </text>
    </comment>
    <comment ref="AE26" authorId="0" shapeId="0">
      <text>
        <t>추정: 전분기 + FCF 근사 — 순차입금 롤과 같은 가정
[qoq]</t>
      </text>
    </comment>
    <comment ref="AF26" authorId="0" shapeId="0">
      <text>
        <t>추정: 전분기 + FCF 근사 — 순차입금 롤과 같은 가정
[qoq]</t>
      </text>
    </comment>
    <comment ref="AH26" authorId="0" shapeId="0">
      <text>
        <t>추정: 전분기 + FCF 근사 — 순차입금 롤과 같은 가정
[qoq]</t>
      </text>
    </comment>
    <comment ref="AI26" authorId="0" shapeId="0">
      <text>
        <t>추정: 전분기 + FCF 근사 — 순차입금 롤과 같은 가정
[qoq]</t>
      </text>
    </comment>
    <comment ref="AJ26" authorId="0" shapeId="0">
      <text>
        <t>추정: 전분기 + FCF 근사 — 순차입금 롤과 같은 가정
[qoq]</t>
      </text>
    </comment>
    <comment ref="AK26" authorId="0" shapeId="0">
      <text>
        <t>추정: 전분기 + FCF 근사 — 순차입금 롤과 같은 가정
[qoq]</t>
      </text>
    </comment>
    <comment ref="H27" authorId="0" shapeId="0">
      <text>
        <t>연간 실측(BS 시트에 2022.12A 없음 — 모델 a 값 직접)</t>
      </text>
    </comment>
    <comment ref="E29" authorId="0" shapeId="0">
      <text>
        <t>실측(계정 매핑 없음(파생·부문·시세 행) — 모델값 직접) — fin.shares.common_outstanding</t>
      </text>
    </comment>
    <comment ref="F29" authorId="0" shapeId="0">
      <text>
        <t>실측(계정 매핑 없음(파생·부문·시세 행) — 모델값 직접) — fin.shares.common_outstanding</t>
      </text>
    </comment>
    <comment ref="G29" authorId="0" shapeId="0">
      <text>
        <t>실측(계정 매핑 없음(파생·부문·시세 행) — 모델값 직접) — fin.shares.common_outstanding</t>
      </text>
    </comment>
    <comment ref="I29" authorId="0" shapeId="0">
      <text>
        <t>실측(계정 매핑 없음(파생·부문·시세 행) — 모델값 직접) — fin.shares.common_outstanding</t>
      </text>
    </comment>
    <comment ref="J29" authorId="0" shapeId="0">
      <text>
        <t>실측(계정 매핑 없음(파생·부문·시세 행) — 모델값 직접) — fin.shares.common_outstanding</t>
      </text>
    </comment>
    <comment ref="K29" authorId="0" shapeId="0">
      <text>
        <t>실측(계정 매핑 없음(파생·부문·시세 행) — 모델값 직접) — fin.shares.common_outstanding</t>
      </text>
    </comment>
    <comment ref="L29" authorId="0" shapeId="0">
      <text>
        <t>실측(계정 매핑 없음(파생·부문·시세 행) — 모델값 직접) — fin.shares.common_outstanding</t>
      </text>
    </comment>
    <comment ref="N29" authorId="0" shapeId="0">
      <text>
        <t>실측(계정 매핑 없음(파생·부문·시세 행) — 모델값 직접) — fin.shares.common_outstanding</t>
      </text>
    </comment>
    <comment ref="O29" authorId="0" shapeId="0">
      <text>
        <t>실측(계정 매핑 없음(파생·부문·시세 행) — 모델값 직접) — fin.shares.common_outstanding</t>
      </text>
    </comment>
    <comment ref="P29" authorId="0" shapeId="0">
      <text>
        <t>실측(계정 매핑 없음(파생·부문·시세 행) — 모델값 직접) — fin.shares.common_outstanding</t>
      </text>
    </comment>
    <comment ref="Q29" authorId="0" shapeId="0">
      <text>
        <t>실측(계정 매핑 없음(파생·부문·시세 행) — 모델값 직접) — fin.shares.common_outstanding</t>
      </text>
    </comment>
    <comment ref="S29" authorId="0" shapeId="0">
      <text>
        <t>실측(계정 매핑 없음(파생·부문·시세 행) — 모델값 직접) — fin.shares.common_outstanding</t>
      </text>
    </comment>
    <comment ref="T29" authorId="0" shapeId="0">
      <text>
        <t>실측(계정 매핑 없음(파생·부문·시세 행) — 모델값 직접) — fin.shares.common_outstanding</t>
      </text>
    </comment>
    <comment ref="U29" authorId="0" shapeId="0">
      <text>
        <t>실측(계정 매핑 없음(파생·부문·시세 행) — 모델값 직접) — fin.shares.common_outstanding</t>
      </text>
    </comment>
    <comment ref="V29" authorId="0" shapeId="0">
      <text>
        <t>실측(계정 매핑 없음(파생·부문·시세 행) — 모델값 직접) — fin.shares.common_outstanding</t>
      </text>
    </comment>
    <comment ref="X29" authorId="0" shapeId="0">
      <text>
        <t>실측(계정 매핑 없음(파생·부문·시세 행) — 모델값 직접) — fin.shares.common_outstanding</t>
      </text>
    </comment>
    <comment ref="Y29" authorId="0" shapeId="0">
      <text>
        <t>실측(계정 매핑 없음(파생·부문·시세 행) — 모델값 직접) — fin.shares.common_outstanding</t>
      </text>
    </comment>
    <comment ref="Z29" authorId="0" shapeId="0">
      <text>
        <t>추정: 유통주식수 유지 — fin.shares.common_outstanding(2026Q2)
[qoq]</t>
      </text>
    </comment>
    <comment ref="AA29" authorId="0" shapeId="0">
      <text>
        <t>추정: 유통주식수 유지 — fin.shares.common_outstanding(2026Q2)
[qoq]</t>
      </text>
    </comment>
    <comment ref="AC29" authorId="0" shapeId="0">
      <text>
        <t>추정: 유통주식수 유지 — fin.shares.common_outstanding(2026Q2)
[qoq]</t>
      </text>
    </comment>
    <comment ref="AD29" authorId="0" shapeId="0">
      <text>
        <t>추정: 유통주식수 유지 — fin.shares.common_outstanding(2026Q2)
[qoq]</t>
      </text>
    </comment>
    <comment ref="AE29" authorId="0" shapeId="0">
      <text>
        <t>추정: 유통주식수 유지 — fin.shares.common_outstanding(2026Q2)
[qoq]</t>
      </text>
    </comment>
    <comment ref="AF29" authorId="0" shapeId="0">
      <text>
        <t>추정: 유통주식수 유지 — fin.shares.common_outstanding(2026Q2)
[qoq]</t>
      </text>
    </comment>
    <comment ref="AH29" authorId="0" shapeId="0">
      <text>
        <t>추정: 유통주식수 유지 — fin.shares.common_outstanding(2026Q2)
[qoq]</t>
      </text>
    </comment>
    <comment ref="AI29" authorId="0" shapeId="0">
      <text>
        <t>추정: 유통주식수 유지 — fin.shares.common_outstanding(2026Q2)
[qoq]</t>
      </text>
    </comment>
    <comment ref="AJ29" authorId="0" shapeId="0">
      <text>
        <t>추정: 유통주식수 유지 — fin.shares.common_outstanding(2026Q2)
[qoq]</t>
      </text>
    </comment>
    <comment ref="AK29" authorId="0" shapeId="0">
      <text>
        <t>추정: 유통주식수 유지 — fin.shares.common_outstanding(2026Q2)
[qoq]</t>
      </text>
    </comment>
    <comment ref="Z30" authorId="0" shapeId="0">
      <text>
        <t>추정: 지배주주순이익 ÷ 유통주식수
[per_share]</t>
      </text>
    </comment>
    <comment ref="AA30" authorId="0" shapeId="0">
      <text>
        <t>추정: 지배주주순이익 ÷ 유통주식수
[per_share]</t>
      </text>
    </comment>
    <comment ref="AC30" authorId="0" shapeId="0">
      <text>
        <t>추정: 지배주주순이익 ÷ 유통주식수
[per_share]</t>
      </text>
    </comment>
    <comment ref="AD30" authorId="0" shapeId="0">
      <text>
        <t>추정: 지배주주순이익 ÷ 유통주식수
[per_share]</t>
      </text>
    </comment>
    <comment ref="AE30" authorId="0" shapeId="0">
      <text>
        <t>추정: 지배주주순이익 ÷ 유통주식수
[per_share]</t>
      </text>
    </comment>
    <comment ref="AF30" authorId="0" shapeId="0">
      <text>
        <t>추정: 지배주주순이익 ÷ 유통주식수
[per_share]</t>
      </text>
    </comment>
    <comment ref="AH30" authorId="0" shapeId="0">
      <text>
        <t>추정: 지배주주순이익 ÷ 유통주식수
[per_share]</t>
      </text>
    </comment>
    <comment ref="AI30" authorId="0" shapeId="0">
      <text>
        <t>추정: 지배주주순이익 ÷ 유통주식수
[per_share]</t>
      </text>
    </comment>
    <comment ref="AJ30" authorId="0" shapeId="0">
      <text>
        <t>추정: 지배주주순이익 ÷ 유통주식수
[per_share]</t>
      </text>
    </comment>
    <comment ref="AK30" authorId="0" shapeId="0">
      <text>
        <t>추정: 지배주주순이익 ÷ 유통주식수
[per_share]</t>
      </text>
    </comment>
    <comment ref="Z31" authorId="0" shapeId="0">
      <text>
        <t>추정: 지배주주지분 ÷ 유통주식수
[per_share]</t>
      </text>
    </comment>
    <comment ref="AA31" authorId="0" shapeId="0">
      <text>
        <t>추정: 지배주주지분 ÷ 유통주식수
[per_share]</t>
      </text>
    </comment>
    <comment ref="AC31" authorId="0" shapeId="0">
      <text>
        <t>추정: 지배주주지분 ÷ 유통주식수
[per_share]</t>
      </text>
    </comment>
    <comment ref="AD31" authorId="0" shapeId="0">
      <text>
        <t>추정: 지배주주지분 ÷ 유통주식수
[per_share]</t>
      </text>
    </comment>
    <comment ref="AE31" authorId="0" shapeId="0">
      <text>
        <t>추정: 지배주주지분 ÷ 유통주식수
[per_share]</t>
      </text>
    </comment>
    <comment ref="AF31" authorId="0" shapeId="0">
      <text>
        <t>추정: 지배주주지분 ÷ 유통주식수
[per_share]</t>
      </text>
    </comment>
    <comment ref="AH31" authorId="0" shapeId="0">
      <text>
        <t>추정: 지배주주지분 ÷ 유통주식수
[per_share]</t>
      </text>
    </comment>
    <comment ref="AI31" authorId="0" shapeId="0">
      <text>
        <t>추정: 지배주주지분 ÷ 유통주식수
[per_share]</t>
      </text>
    </comment>
    <comment ref="AJ31" authorId="0" shapeId="0">
      <text>
        <t>추정: 지배주주지분 ÷ 유통주식수
[per_share]</t>
      </text>
    </comment>
    <comment ref="AK31" authorId="0" shapeId="0">
      <text>
        <t>추정: 지배주주지분 ÷ 유통주식수
[per_share]</t>
      </text>
    </comment>
    <comment ref="G32" authorId="0" shapeId="0">
      <text>
        <t>실측(계정 매핑 없음(파생·부문·시세 행) — 모델값 직접) — fin.dividend.dps_common(연간, Q4 에 표기)</t>
      </text>
    </comment>
    <comment ref="H32" authorId="0" shapeId="0">
      <text>
        <t>연간(actual) — 분기 미완 연도, 모델 a 값 직접</t>
      </text>
    </comment>
    <comment ref="L32" authorId="0" shapeId="0">
      <text>
        <t>실측(계정 매핑 없음(파생·부문·시세 행) — 모델값 직접) — fin.dividend.dps_common(연간, Q4 에 표기)</t>
      </text>
    </comment>
    <comment ref="Q32" authorId="0" shapeId="0">
      <text>
        <t>실측(계정 매핑 없음(파생·부문·시세 행) — 모델값 직접) — fin.dividend.dps_common(연간, Q4 에 표기)</t>
      </text>
    </comment>
    <comment ref="V32" authorId="0" shapeId="0">
      <text>
        <t>실측(계정 매핑 없음(파생·부문·시세 행) — 모델값 직접) — fin.dividend.dps_common(연간, Q4 에 표기)</t>
      </text>
    </comment>
    <comment ref="AA32" authorId="0" shapeId="0">
      <text>
        <t>추정: 직전 결산 DPS 0원 유지
[abs]</t>
      </text>
    </comment>
    <comment ref="AF32" authorId="0" shapeId="0">
      <text>
        <t>추정: 직전 결산 DPS 0원 유지
[abs]</t>
      </text>
    </comment>
    <comment ref="AK32" authorId="0" shapeId="0">
      <text>
        <t>추정: 직전 결산 DPS 0원 유지
[abs]</t>
      </text>
    </comment>
    <comment ref="Z34" authorId="0" shapeId="0">
      <text>
        <t>추정: 현재 종가 ÷ BPS(추정 포함)
[valuation]</t>
      </text>
    </comment>
    <comment ref="AA34" authorId="0" shapeId="0">
      <text>
        <t>추정: 현재 종가 ÷ BPS(추정 포함)
[valuation]</t>
      </text>
    </comment>
    <comment ref="AC34" authorId="0" shapeId="0">
      <text>
        <t>추정: 현재 종가 ÷ BPS(추정 포함)
[valuation]</t>
      </text>
    </comment>
    <comment ref="AD34" authorId="0" shapeId="0">
      <text>
        <t>추정: 현재 종가 ÷ BPS(추정 포함)
[valuation]</t>
      </text>
    </comment>
    <comment ref="AE34" authorId="0" shapeId="0">
      <text>
        <t>추정: 현재 종가 ÷ BPS(추정 포함)
[valuation]</t>
      </text>
    </comment>
    <comment ref="AF34" authorId="0" shapeId="0">
      <text>
        <t>추정: 현재 종가 ÷ BPS(추정 포함)
[valuation]</t>
      </text>
    </comment>
    <comment ref="AH34" authorId="0" shapeId="0">
      <text>
        <t>추정: 현재 종가 ÷ BPS(추정 포함)
[valuation]</t>
      </text>
    </comment>
    <comment ref="AI34" authorId="0" shapeId="0">
      <text>
        <t>추정: 현재 종가 ÷ BPS(추정 포함)
[valuation]</t>
      </text>
    </comment>
    <comment ref="AJ34" authorId="0" shapeId="0">
      <text>
        <t>추정: 현재 종가 ÷ BPS(추정 포함)
[valuation]</t>
      </text>
    </comment>
    <comment ref="AK34" authorId="0" shapeId="0">
      <text>
        <t>추정: 현재 종가 ÷ BPS(추정 포함)
[valuation]</t>
      </text>
    </comment>
    <comment ref="E35" authorId="0" shapeId="0">
      <text>
        <t>실측(계정 매핑 없음(파생·부문·시세 행) — 모델값 직접) — = 매출액(부문 미분리)</t>
      </text>
    </comment>
    <comment ref="F35" authorId="0" shapeId="0">
      <text>
        <t>실측(계정 매핑 없음(파생·부문·시세 행) — 모델값 직접) — = 매출액(부문 미분리)</t>
      </text>
    </comment>
    <comment ref="G35" authorId="0" shapeId="0">
      <text>
        <t>실측(계정 매핑 없음(파생·부문·시세 행) — 모델값 직접) — = 매출액(부문 미분리)</t>
      </text>
    </comment>
    <comment ref="I35" authorId="0" shapeId="0">
      <text>
        <t>실측(계정 매핑 없음(파생·부문·시세 행) — 모델값 직접) — = 매출액(부문 미분리)</t>
      </text>
    </comment>
    <comment ref="J35" authorId="0" shapeId="0">
      <text>
        <t>실측(계정 매핑 없음(파생·부문·시세 행) — 모델값 직접) — = 매출액(부문 미분리)</t>
      </text>
    </comment>
    <comment ref="K35" authorId="0" shapeId="0">
      <text>
        <t>실측(계정 매핑 없음(파생·부문·시세 행) — 모델값 직접) — = 매출액(부문 미분리)</t>
      </text>
    </comment>
    <comment ref="L35" authorId="0" shapeId="0">
      <text>
        <t>실측(계정 매핑 없음(파생·부문·시세 행) — 모델값 직접) — = 매출액(부문 미분리)</t>
      </text>
    </comment>
    <comment ref="N35" authorId="0" shapeId="0">
      <text>
        <t>실측(계정 매핑 없음(파생·부문·시세 행) — 모델값 직접) — = 매출액(부문 미분리)</t>
      </text>
    </comment>
    <comment ref="O35" authorId="0" shapeId="0">
      <text>
        <t>실측(계정 매핑 없음(파생·부문·시세 행) — 모델값 직접) — = 매출액(부문 미분리)</t>
      </text>
    </comment>
    <comment ref="P35" authorId="0" shapeId="0">
      <text>
        <t>실측(계정 매핑 없음(파생·부문·시세 행) — 모델값 직접) — = 매출액(부문 미분리)</t>
      </text>
    </comment>
    <comment ref="Q35" authorId="0" shapeId="0">
      <text>
        <t>실측(계정 매핑 없음(파생·부문·시세 행) — 모델값 직접) — = 매출액(부문 미분리)</t>
      </text>
    </comment>
    <comment ref="S35" authorId="0" shapeId="0">
      <text>
        <t>실측(계정 매핑 없음(파생·부문·시세 행) — 모델값 직접) — = 매출액(부문 미분리)</t>
      </text>
    </comment>
    <comment ref="T35" authorId="0" shapeId="0">
      <text>
        <t>실측(계정 매핑 없음(파생·부문·시세 행) — 모델값 직접) — = 매출액(부문 미분리)</t>
      </text>
    </comment>
    <comment ref="U35" authorId="0" shapeId="0">
      <text>
        <t>실측(계정 매핑 없음(파생·부문·시세 행) — 모델값 직접) — = 매출액(부문 미분리)</t>
      </text>
    </comment>
    <comment ref="V35" authorId="0" shapeId="0">
      <text>
        <t>실측(계정 매핑 없음(파생·부문·시세 행) — 모델값 직접) — = 매출액(부문 미분리)</t>
      </text>
    </comment>
    <comment ref="X35" authorId="0" shapeId="0">
      <text>
        <t>실측(계정 매핑 없음(파생·부문·시세 행) — 모델값 직접) — = 매출액(부문 미분리)</t>
      </text>
    </comment>
    <comment ref="Y35" authorId="0" shapeId="0">
      <text>
        <t>실측(계정 매핑 없음(파생·부문·시세 행) — 모델값 직접) — = 매출액(부문 미분리)</t>
      </text>
    </comment>
    <comment ref="Z35" authorId="0" shapeId="0">
      <text>
        <t>추정: = 매출액 추정(부문 미분리)
[identity]</t>
      </text>
    </comment>
    <comment ref="AA35" authorId="0" shapeId="0">
      <text>
        <t>추정: = 매출액 추정(부문 미분리)
[identity]</t>
      </text>
    </comment>
    <comment ref="AC35" authorId="0" shapeId="0">
      <text>
        <t>추정: = 매출액 추정(부문 미분리)
[identity]</t>
      </text>
    </comment>
    <comment ref="AD35" authorId="0" shapeId="0">
      <text>
        <t>추정: = 매출액 추정(부문 미분리)
[identity]</t>
      </text>
    </comment>
    <comment ref="AE35" authorId="0" shapeId="0">
      <text>
        <t>추정: = 매출액 추정(부문 미분리)
[identity]</t>
      </text>
    </comment>
    <comment ref="AF35" authorId="0" shapeId="0">
      <text>
        <t>추정: = 매출액 추정(부문 미분리)
[identity]</t>
      </text>
    </comment>
    <comment ref="AH35" authorId="0" shapeId="0">
      <text>
        <t>추정: = 매출액 추정(부문 미분리)
[identity]</t>
      </text>
    </comment>
    <comment ref="AI35" authorId="0" shapeId="0">
      <text>
        <t>추정: = 매출액 추정(부문 미분리)
[identity]</t>
      </text>
    </comment>
    <comment ref="AJ35" authorId="0" shapeId="0">
      <text>
        <t>추정: = 매출액 추정(부문 미분리)
[identity]</t>
      </text>
    </comment>
    <comment ref="AK35" authorId="0" shapeId="0">
      <text>
        <t>추정: = 매출액 추정(부문 미분리)
[identity]</t>
      </text>
    </comment>
    <comment ref="E36" authorId="0" shapeId="0">
      <text>
        <t>실측(계정 매핑 없음(파생·부문·시세 행) — 모델값 직접) — = 영업이익(부문 미분리)</t>
      </text>
    </comment>
    <comment ref="F36" authorId="0" shapeId="0">
      <text>
        <t>실측(계정 매핑 없음(파생·부문·시세 행) — 모델값 직접) — = 영업이익(부문 미분리)</t>
      </text>
    </comment>
    <comment ref="G36" authorId="0" shapeId="0">
      <text>
        <t>실측(계정 매핑 없음(파생·부문·시세 행) — 모델값 직접) — = 영업이익(부문 미분리)</t>
      </text>
    </comment>
    <comment ref="I36" authorId="0" shapeId="0">
      <text>
        <t>실측(계정 매핑 없음(파생·부문·시세 행) — 모델값 직접) — = 영업이익(부문 미분리)</t>
      </text>
    </comment>
    <comment ref="J36" authorId="0" shapeId="0">
      <text>
        <t>실측(계정 매핑 없음(파생·부문·시세 행) — 모델값 직접) — = 영업이익(부문 미분리)</t>
      </text>
    </comment>
    <comment ref="K36" authorId="0" shapeId="0">
      <text>
        <t>실측(계정 매핑 없음(파생·부문·시세 행) — 모델값 직접) — = 영업이익(부문 미분리)</t>
      </text>
    </comment>
    <comment ref="L36" authorId="0" shapeId="0">
      <text>
        <t>실측(계정 매핑 없음(파생·부문·시세 행) — 모델값 직접) — = 영업이익(부문 미분리)</t>
      </text>
    </comment>
    <comment ref="N36" authorId="0" shapeId="0">
      <text>
        <t>실측(계정 매핑 없음(파생·부문·시세 행) — 모델값 직접) — = 영업이익(부문 미분리)</t>
      </text>
    </comment>
    <comment ref="O36" authorId="0" shapeId="0">
      <text>
        <t>실측(계정 매핑 없음(파생·부문·시세 행) — 모델값 직접) — = 영업이익(부문 미분리)</t>
      </text>
    </comment>
    <comment ref="P36" authorId="0" shapeId="0">
      <text>
        <t>실측(계정 매핑 없음(파생·부문·시세 행) — 모델값 직접) — = 영업이익(부문 미분리)</t>
      </text>
    </comment>
    <comment ref="Q36" authorId="0" shapeId="0">
      <text>
        <t>실측(계정 매핑 없음(파생·부문·시세 행) — 모델값 직접) — = 영업이익(부문 미분리)</t>
      </text>
    </comment>
    <comment ref="S36" authorId="0" shapeId="0">
      <text>
        <t>실측(계정 매핑 없음(파생·부문·시세 행) — 모델값 직접) — = 영업이익(부문 미분리)</t>
      </text>
    </comment>
    <comment ref="T36" authorId="0" shapeId="0">
      <text>
        <t>실측(계정 매핑 없음(파생·부문·시세 행) — 모델값 직접) — = 영업이익(부문 미분리)</t>
      </text>
    </comment>
    <comment ref="U36" authorId="0" shapeId="0">
      <text>
        <t>실측(계정 매핑 없음(파생·부문·시세 행) — 모델값 직접) — = 영업이익(부문 미분리)</t>
      </text>
    </comment>
    <comment ref="V36" authorId="0" shapeId="0">
      <text>
        <t>실측(계정 매핑 없음(파생·부문·시세 행) — 모델값 직접) — = 영업이익(부문 미분리)</t>
      </text>
    </comment>
    <comment ref="X36" authorId="0" shapeId="0">
      <text>
        <t>실측(계정 매핑 없음(파생·부문·시세 행) — 모델값 직접) — = 영업이익(부문 미분리)</t>
      </text>
    </comment>
    <comment ref="Y36" authorId="0" shapeId="0">
      <text>
        <t>실측(계정 매핑 없음(파생·부문·시세 행) — 모델값 직접) — = 영업이익(부문 미분리)</t>
      </text>
    </comment>
    <comment ref="Z36" authorId="0" shapeId="0">
      <text>
        <t>추정: = 매출액 × OPM(부문 미분리)
[identity]</t>
      </text>
    </comment>
    <comment ref="AA36" authorId="0" shapeId="0">
      <text>
        <t>추정: = 매출액 × OPM(부문 미분리)
[identity]</t>
      </text>
    </comment>
    <comment ref="AC36" authorId="0" shapeId="0">
      <text>
        <t>추정: = 매출액 × OPM(부문 미분리)
[identity]</t>
      </text>
    </comment>
    <comment ref="AD36" authorId="0" shapeId="0">
      <text>
        <t>추정: = 매출액 × OPM(부문 미분리)
[identity]</t>
      </text>
    </comment>
    <comment ref="AE36" authorId="0" shapeId="0">
      <text>
        <t>추정: = 매출액 × OPM(부문 미분리)
[identity]</t>
      </text>
    </comment>
    <comment ref="AF36" authorId="0" shapeId="0">
      <text>
        <t>추정: = 매출액 × OPM(부문 미분리)
[identity]</t>
      </text>
    </comment>
    <comment ref="AH36" authorId="0" shapeId="0">
      <text>
        <t>추정: = 매출액 × OPM(부문 미분리)
[identity]</t>
      </text>
    </comment>
    <comment ref="AI36" authorId="0" shapeId="0">
      <text>
        <t>추정: = 매출액 × OPM(부문 미분리)
[identity]</t>
      </text>
    </comment>
    <comment ref="AJ36" authorId="0" shapeId="0">
      <text>
        <t>추정: = 매출액 × OPM(부문 미분리)
[identity]</t>
      </text>
    </comment>
    <comment ref="AK36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범한퓨얼셀(382900)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9.37%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4.89% / 부채 3.93% — 이자손익 = (전분기 이자발생자산 × 자산이자율 − 전분기 총차입금 × 부채이자율)/4, 최소자승 역산(모델 assumptions [0.0493, 0.0393] 는 4자리 반올림이라 그대로 쓰면 ±1억 어긋남) · 출처: {"asset": "주석 이자수익 ÷ 평균 이자발생자산(2024Q2~2025Q1)", "debt": "주석 이자비용 ÷ 평균 총차입금(2024Q2~2025Q1)"}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8">
      <c r="A28" t="inlineStr">
        <is>
          <t>· 밸류에이션 — PER 밴드 10.0/15.0/20.0배(sector_default(레퍼런스 TP_PE PB 예시 10/15/20배; 과거 PER 중위 152.1배가 3~40 밖(턴어라운드 왜곡)))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assets/models/382900.json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연결 손익 없는 분기 6개는 별도 재무제표로 보충(셀 src 표기; fin issues no_cons_statements·no_prior_ytd; 겹치는 마지막 분기 2026Q2 연결/별도 매출 +0.0%): 2022Q2, 2022Q3, 2022Q4, 2023Q1, 2023Q2, 2023Q3</t>
        </is>
      </c>
    </row>
    <row r="34">
      <c r="A34" t="inlineStr">
        <is>
          <t>백테스트: {"freeze": "2025Q2", "horizon": 4, "revenue_wape_pct": 51.1, "op_wape_pct": 104.4,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152.12, "rev_act": 103.99, "op_pred": 2.16, "op_act": 8.42}, {"q": "2025Q4", "rev_pred": 128.35, "rev_act": 154.55, "op_pred": 1.82, "op_act": -8.21}, {"q": "2026Q1", "rev_pred": 144.47, "rev_act": 50.54, "op_pred": 2.05, "op_act": -21.45}, {"q": "2026Q2", "rev_pred": 97.65, "rev_act": 178.25, "op_pred": 1.39, "op_act": -32.33}]}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C1" s="2" t="inlineStr">
        <is>
          <t>이름: 변수H</t>
        </is>
      </c>
      <c r="E1" s="3" t="inlineStr">
        <is>
          <t>2Q22</t>
        </is>
      </c>
      <c r="F1" s="3" t="inlineStr">
        <is>
          <t>3Q22</t>
        </is>
      </c>
      <c r="G1" s="3" t="inlineStr">
        <is>
          <t>4Q22</t>
        </is>
      </c>
      <c r="H1" s="3" t="n">
        <v>2022</v>
      </c>
      <c r="I1" s="3" t="inlineStr">
        <is>
          <t>1Q23</t>
        </is>
      </c>
      <c r="J1" s="3" t="inlineStr">
        <is>
          <t>2Q23</t>
        </is>
      </c>
      <c r="K1" s="3" t="inlineStr">
        <is>
          <t>3Q23</t>
        </is>
      </c>
      <c r="L1" s="3" t="inlineStr">
        <is>
          <t>4Q23</t>
        </is>
      </c>
      <c r="M1" s="3" t="n">
        <v>2023</v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n">
        <v>2024</v>
      </c>
      <c r="S1" s="3" t="inlineStr">
        <is>
          <t>1Q25</t>
        </is>
      </c>
      <c r="T1" s="3" t="inlineStr">
        <is>
          <t>2Q25</t>
        </is>
      </c>
      <c r="U1" s="3" t="inlineStr">
        <is>
          <t>3Q25</t>
        </is>
      </c>
      <c r="V1" s="3" t="inlineStr">
        <is>
          <t>4Q25</t>
        </is>
      </c>
      <c r="W1" s="3" t="n">
        <v>2025</v>
      </c>
      <c r="X1" s="3" t="inlineStr">
        <is>
          <t>1Q26</t>
        </is>
      </c>
      <c r="Y1" s="4" t="inlineStr">
        <is>
          <t>2Q26</t>
        </is>
      </c>
      <c r="Z1" s="3" t="inlineStr">
        <is>
          <t>3Q26</t>
        </is>
      </c>
      <c r="AA1" s="3" t="inlineStr">
        <is>
          <t>4Q26</t>
        </is>
      </c>
      <c r="AB1" s="3" t="n">
        <v>2026</v>
      </c>
      <c r="AC1" s="3" t="inlineStr">
        <is>
          <t>1Q27</t>
        </is>
      </c>
      <c r="AD1" s="3" t="inlineStr">
        <is>
          <t>2Q27</t>
        </is>
      </c>
      <c r="AE1" s="3" t="inlineStr">
        <is>
          <t>3Q27</t>
        </is>
      </c>
      <c r="AF1" s="3" t="inlineStr">
        <is>
          <t>4Q27</t>
        </is>
      </c>
      <c r="AG1" s="3" t="n">
        <v>2027</v>
      </c>
      <c r="AH1" s="3" t="inlineStr">
        <is>
          <t>1Q28</t>
        </is>
      </c>
      <c r="AI1" s="3" t="inlineStr">
        <is>
          <t>2Q28</t>
        </is>
      </c>
      <c r="AJ1" s="3" t="inlineStr">
        <is>
          <t>3Q28</t>
        </is>
      </c>
      <c r="AK1" s="3" t="inlineStr">
        <is>
          <t>4Q28</t>
        </is>
      </c>
      <c r="AL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Y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6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</row>
    <row r="4">
      <c r="E4" s="7" t="inlineStr">
        <is>
          <t>2022.06</t>
        </is>
      </c>
      <c r="F4" s="7" t="inlineStr">
        <is>
          <t>2022.09</t>
        </is>
      </c>
      <c r="G4" s="7" t="inlineStr">
        <is>
          <t>2022.12</t>
        </is>
      </c>
      <c r="H4" s="7" t="inlineStr">
        <is>
          <t>2022.12A</t>
        </is>
      </c>
      <c r="I4" s="7" t="inlineStr">
        <is>
          <t>2023.03</t>
        </is>
      </c>
      <c r="J4" s="7" t="inlineStr">
        <is>
          <t>2023.06</t>
        </is>
      </c>
      <c r="K4" s="7" t="inlineStr">
        <is>
          <t>2023.09</t>
        </is>
      </c>
      <c r="L4" s="7" t="inlineStr">
        <is>
          <t>2023.12</t>
        </is>
      </c>
      <c r="M4" s="7" t="inlineStr">
        <is>
          <t>2023.12A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2024.12A</t>
        </is>
      </c>
      <c r="S4" s="7" t="inlineStr">
        <is>
          <t>2025.03</t>
        </is>
      </c>
      <c r="T4" s="7" t="inlineStr">
        <is>
          <t>2025.06</t>
        </is>
      </c>
      <c r="U4" s="7" t="inlineStr">
        <is>
          <t>2025.09</t>
        </is>
      </c>
      <c r="V4" s="7" t="inlineStr">
        <is>
          <t>2025.12</t>
        </is>
      </c>
      <c r="W4" s="7" t="inlineStr">
        <is>
          <t>2025.12A</t>
        </is>
      </c>
      <c r="X4" s="7" t="inlineStr">
        <is>
          <t>2026.03</t>
        </is>
      </c>
      <c r="Y4" s="8" t="inlineStr">
        <is>
          <t>2026.06</t>
        </is>
      </c>
      <c r="Z4" s="7" t="inlineStr">
        <is>
          <t>2026.09</t>
        </is>
      </c>
      <c r="AA4" s="7" t="inlineStr">
        <is>
          <t>2026.12</t>
        </is>
      </c>
      <c r="AB4" s="7" t="inlineStr">
        <is>
          <t>2026.12A</t>
        </is>
      </c>
      <c r="AC4" s="7" t="inlineStr">
        <is>
          <t>2027.03</t>
        </is>
      </c>
      <c r="AD4" s="7" t="inlineStr">
        <is>
          <t>2027.06</t>
        </is>
      </c>
      <c r="AE4" s="7" t="inlineStr">
        <is>
          <t>2027.09</t>
        </is>
      </c>
      <c r="AF4" s="7" t="inlineStr">
        <is>
          <t>2027.12</t>
        </is>
      </c>
      <c r="AG4" s="7" t="inlineStr">
        <is>
          <t>2027.12A</t>
        </is>
      </c>
      <c r="AH4" s="7" t="inlineStr">
        <is>
          <t>2028.03</t>
        </is>
      </c>
      <c r="AI4" s="7" t="inlineStr">
        <is>
          <t>2028.06</t>
        </is>
      </c>
      <c r="AJ4" s="7" t="inlineStr">
        <is>
          <t>2028.09</t>
        </is>
      </c>
      <c r="AK4" s="7" t="inlineStr">
        <is>
          <t>2028.12</t>
        </is>
      </c>
      <c r="AL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H5" s="9" t="n"/>
      <c r="M5" s="9" t="n"/>
      <c r="R5" s="9" t="n"/>
      <c r="W5" s="9" t="n"/>
      <c r="Y5" s="5" t="n"/>
      <c r="Z5" s="10" t="n"/>
      <c r="AA5" s="10" t="n"/>
      <c r="AB5" s="11" t="n"/>
      <c r="AC5" s="10" t="n"/>
      <c r="AD5" s="10" t="n"/>
      <c r="AE5" s="10" t="n"/>
      <c r="AF5" s="10" t="n"/>
      <c r="AG5" s="11" t="n"/>
      <c r="AH5" s="10" t="n"/>
      <c r="AI5" s="10" t="n"/>
      <c r="AJ5" s="10" t="n"/>
      <c r="AK5" s="10" t="n"/>
      <c r="AL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1262.09</v>
      </c>
      <c r="F6" s="13" t="n">
        <v>1341.93</v>
      </c>
      <c r="G6" s="13" t="n">
        <v>1360.12</v>
      </c>
      <c r="H6" s="14" t="n">
        <v>1292.98</v>
      </c>
      <c r="I6" s="13" t="n">
        <v>1276.95</v>
      </c>
      <c r="J6" s="13" t="n">
        <v>1315.69</v>
      </c>
      <c r="K6" s="13" t="n">
        <v>1313.62</v>
      </c>
      <c r="L6" s="13" t="n">
        <v>1322.01</v>
      </c>
      <c r="M6" s="14" t="n">
        <v>1306.85</v>
      </c>
      <c r="N6" s="13" t="n">
        <v>1330.14</v>
      </c>
      <c r="O6" s="13" t="n">
        <v>1371.28</v>
      </c>
      <c r="P6" s="13" t="n">
        <v>1356.22</v>
      </c>
      <c r="Q6" s="13" t="n">
        <v>1396.3</v>
      </c>
      <c r="R6" s="14" t="n">
        <v>1363.53</v>
      </c>
      <c r="S6" s="13" t="n">
        <v>1452.28</v>
      </c>
      <c r="T6" s="13" t="n">
        <v>1398.52</v>
      </c>
      <c r="U6" s="13" t="n">
        <v>1386.95</v>
      </c>
      <c r="V6" s="13" t="n">
        <v>1449.19</v>
      </c>
      <c r="W6" s="14" t="n">
        <v>1421.52</v>
      </c>
      <c r="X6" s="13" t="n">
        <v>1466.12</v>
      </c>
      <c r="Y6" s="15" t="n">
        <v>1501.75</v>
      </c>
      <c r="Z6" s="16" t="n">
        <v>1418.75</v>
      </c>
      <c r="AA6" s="16" t="n">
        <v>1345.14</v>
      </c>
      <c r="AB6" s="17" t="n">
        <v>1457.21</v>
      </c>
      <c r="AC6" s="16" t="n">
        <v>1341.49</v>
      </c>
      <c r="AD6" s="16" t="n">
        <v>1341.49</v>
      </c>
      <c r="AE6" s="16" t="n">
        <v>1341.49</v>
      </c>
      <c r="AF6" s="16" t="n">
        <v>1341.49</v>
      </c>
      <c r="AG6" s="11" t="n"/>
      <c r="AH6" s="16" t="n">
        <v>1341.49</v>
      </c>
      <c r="AI6" s="16" t="n">
        <v>1341.49</v>
      </c>
      <c r="AJ6" s="16" t="n">
        <v>1341.49</v>
      </c>
      <c r="AK6" s="16" t="n">
        <v>1341.49</v>
      </c>
      <c r="AL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1301.24</v>
      </c>
      <c r="F7" s="13" t="n">
        <v>1436.9</v>
      </c>
      <c r="G7" s="13" t="n">
        <v>1260.16</v>
      </c>
      <c r="H7" s="14" t="n">
        <v>1260.16</v>
      </c>
      <c r="I7" s="13" t="n">
        <v>1305.99</v>
      </c>
      <c r="J7" s="13" t="n">
        <v>1321.44</v>
      </c>
      <c r="K7" s="13" t="n">
        <v>1345.35</v>
      </c>
      <c r="L7" s="13" t="n">
        <v>1297.43</v>
      </c>
      <c r="M7" s="14" t="n">
        <v>1297.43</v>
      </c>
      <c r="N7" s="13" t="n">
        <v>1349.25</v>
      </c>
      <c r="O7" s="13" t="n">
        <v>1377.73</v>
      </c>
      <c r="P7" s="13" t="n">
        <v>1312.17</v>
      </c>
      <c r="Q7" s="13" t="n">
        <v>1474.78</v>
      </c>
      <c r="R7" s="14" t="n">
        <v>1474.78</v>
      </c>
      <c r="S7" s="13" t="n">
        <v>1474.54</v>
      </c>
      <c r="T7" s="13" t="n">
        <v>1355.13</v>
      </c>
      <c r="U7" s="13" t="n">
        <v>1403.67</v>
      </c>
      <c r="V7" s="13" t="n">
        <v>1444.2</v>
      </c>
      <c r="W7" s="14" t="n">
        <v>1444.2</v>
      </c>
      <c r="X7" s="13" t="n">
        <v>1524.8</v>
      </c>
      <c r="Y7" s="15" t="n">
        <v>1550.89</v>
      </c>
      <c r="Z7" s="16" t="n">
        <v>1355.4</v>
      </c>
      <c r="AA7" s="16" t="n">
        <v>1341.49</v>
      </c>
      <c r="AB7" s="17" t="n">
        <v>1341.49</v>
      </c>
      <c r="AC7" s="16" t="n">
        <v>1341.49</v>
      </c>
      <c r="AD7" s="16" t="n">
        <v>1341.49</v>
      </c>
      <c r="AE7" s="16" t="n">
        <v>1341.49</v>
      </c>
      <c r="AF7" s="16" t="n">
        <v>1341.49</v>
      </c>
      <c r="AG7" s="11" t="n"/>
      <c r="AH7" s="16" t="n">
        <v>1341.49</v>
      </c>
      <c r="AI7" s="16" t="n">
        <v>1341.49</v>
      </c>
      <c r="AJ7" s="16" t="n">
        <v>1341.49</v>
      </c>
      <c r="AK7" s="16" t="n">
        <v>1341.49</v>
      </c>
      <c r="AL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972.23</v>
      </c>
      <c r="F8" s="13" t="n">
        <v>970.61</v>
      </c>
      <c r="G8" s="13" t="n">
        <v>961.03</v>
      </c>
      <c r="H8" s="14" t="n">
        <v>985.1</v>
      </c>
      <c r="I8" s="13" t="n">
        <v>964.89</v>
      </c>
      <c r="J8" s="13" t="n">
        <v>957.36</v>
      </c>
      <c r="K8" s="13" t="n">
        <v>909</v>
      </c>
      <c r="L8" s="13" t="n">
        <v>893.22</v>
      </c>
      <c r="M8" s="14" t="n">
        <v>931.11</v>
      </c>
      <c r="N8" s="13" t="n">
        <v>896.29</v>
      </c>
      <c r="O8" s="13" t="n">
        <v>880.14</v>
      </c>
      <c r="P8" s="13" t="n">
        <v>909.35</v>
      </c>
      <c r="Q8" s="13" t="n">
        <v>917.25</v>
      </c>
      <c r="R8" s="14" t="n">
        <v>900.92</v>
      </c>
      <c r="S8" s="13" t="n">
        <v>952.59</v>
      </c>
      <c r="T8" s="13" t="n">
        <v>967.92</v>
      </c>
      <c r="U8" s="13" t="n">
        <v>940.3200000000001</v>
      </c>
      <c r="V8" s="13" t="n">
        <v>940.77</v>
      </c>
      <c r="W8" s="14" t="n">
        <v>950.17</v>
      </c>
      <c r="X8" s="13" t="n">
        <v>934.39</v>
      </c>
      <c r="Y8" s="15" t="n">
        <v>942.16</v>
      </c>
      <c r="Z8" s="16" t="n">
        <v>890.41</v>
      </c>
      <c r="AA8" s="16" t="n">
        <v>850.79</v>
      </c>
      <c r="AB8" s="17" t="n">
        <v>919.21</v>
      </c>
      <c r="AC8" s="16" t="n">
        <v>847.7</v>
      </c>
      <c r="AD8" s="16" t="n">
        <v>847.7</v>
      </c>
      <c r="AE8" s="16" t="n">
        <v>847.7</v>
      </c>
      <c r="AF8" s="16" t="n">
        <v>847.7</v>
      </c>
      <c r="AG8" s="11" t="n"/>
      <c r="AH8" s="16" t="n">
        <v>847.7</v>
      </c>
      <c r="AI8" s="16" t="n">
        <v>847.7</v>
      </c>
      <c r="AJ8" s="16" t="n">
        <v>847.7</v>
      </c>
      <c r="AK8" s="16" t="n">
        <v>847.7</v>
      </c>
      <c r="AL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954.9</v>
      </c>
      <c r="F9" s="13" t="n">
        <v>993.29</v>
      </c>
      <c r="G9" s="13" t="n">
        <v>955.54</v>
      </c>
      <c r="H9" s="14" t="n">
        <v>955.54</v>
      </c>
      <c r="I9" s="13" t="n">
        <v>980.62</v>
      </c>
      <c r="J9" s="13" t="n">
        <v>913.67</v>
      </c>
      <c r="K9" s="13" t="n">
        <v>901.47</v>
      </c>
      <c r="L9" s="13" t="n">
        <v>917.04</v>
      </c>
      <c r="M9" s="14" t="n">
        <v>917.04</v>
      </c>
      <c r="N9" s="13" t="n">
        <v>892.42</v>
      </c>
      <c r="O9" s="13" t="n">
        <v>857.76</v>
      </c>
      <c r="P9" s="13" t="n">
        <v>919.21</v>
      </c>
      <c r="Q9" s="13" t="n">
        <v>939.65</v>
      </c>
      <c r="R9" s="14" t="n">
        <v>939.65</v>
      </c>
      <c r="S9" s="13" t="n">
        <v>986.84</v>
      </c>
      <c r="T9" s="13" t="n">
        <v>938.85</v>
      </c>
      <c r="U9" s="13" t="n">
        <v>948.49</v>
      </c>
      <c r="V9" s="13" t="n">
        <v>921.8099999999999</v>
      </c>
      <c r="W9" s="14" t="n">
        <v>921.8099999999999</v>
      </c>
      <c r="X9" s="13" t="n">
        <v>955.99</v>
      </c>
      <c r="Y9" s="15" t="n">
        <v>954.75</v>
      </c>
      <c r="Z9" s="16" t="n">
        <v>863.3099999999999</v>
      </c>
      <c r="AA9" s="16" t="n">
        <v>847.7</v>
      </c>
      <c r="AB9" s="17" t="n">
        <v>847.7</v>
      </c>
      <c r="AC9" s="16" t="n">
        <v>847.7</v>
      </c>
      <c r="AD9" s="16" t="n">
        <v>847.7</v>
      </c>
      <c r="AE9" s="16" t="n">
        <v>847.7</v>
      </c>
      <c r="AF9" s="16" t="n">
        <v>847.7</v>
      </c>
      <c r="AG9" s="11" t="n"/>
      <c r="AH9" s="16" t="n">
        <v>847.7</v>
      </c>
      <c r="AI9" s="16" t="n">
        <v>847.7</v>
      </c>
      <c r="AJ9" s="16" t="n">
        <v>847.7</v>
      </c>
      <c r="AK9" s="16" t="n">
        <v>847.7</v>
      </c>
      <c r="AL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1343.31</v>
      </c>
      <c r="F10" s="13" t="n">
        <v>1350.63</v>
      </c>
      <c r="G10" s="13" t="n">
        <v>1386.07</v>
      </c>
      <c r="H10" s="14" t="n">
        <v>1358.07</v>
      </c>
      <c r="I10" s="13" t="n">
        <v>1369.93</v>
      </c>
      <c r="J10" s="13" t="n">
        <v>1432.41</v>
      </c>
      <c r="K10" s="13" t="n">
        <v>1429.41</v>
      </c>
      <c r="L10" s="13" t="n">
        <v>1420.91</v>
      </c>
      <c r="M10" s="14" t="n">
        <v>1412.88</v>
      </c>
      <c r="N10" s="13" t="n">
        <v>1444.21</v>
      </c>
      <c r="O10" s="13" t="n">
        <v>1476.42</v>
      </c>
      <c r="P10" s="13" t="n">
        <v>1489.3</v>
      </c>
      <c r="Q10" s="13" t="n">
        <v>1490.78</v>
      </c>
      <c r="R10" s="14" t="n">
        <v>1475.4</v>
      </c>
      <c r="S10" s="13" t="n">
        <v>1528.33</v>
      </c>
      <c r="T10" s="13" t="n">
        <v>1585.13</v>
      </c>
      <c r="U10" s="13" t="n">
        <v>1620.04</v>
      </c>
      <c r="V10" s="13" t="n">
        <v>1686.02</v>
      </c>
      <c r="W10" s="14" t="n">
        <v>1605.45</v>
      </c>
      <c r="X10" s="13" t="n">
        <v>1715.47</v>
      </c>
      <c r="Y10" s="15" t="n">
        <v>1746.09</v>
      </c>
      <c r="Z10" s="16" t="n">
        <v>1631.97</v>
      </c>
      <c r="AA10" s="16" t="n">
        <v>1509.74</v>
      </c>
      <c r="AB10" s="17" t="n">
        <v>1689.95</v>
      </c>
      <c r="AC10" s="16" t="n">
        <v>1503.27</v>
      </c>
      <c r="AD10" s="16" t="n">
        <v>1503.27</v>
      </c>
      <c r="AE10" s="16" t="n">
        <v>1503.27</v>
      </c>
      <c r="AF10" s="16" t="n">
        <v>1503.27</v>
      </c>
      <c r="AG10" s="11" t="n"/>
      <c r="AH10" s="16" t="n">
        <v>1503.27</v>
      </c>
      <c r="AI10" s="16" t="n">
        <v>1503.27</v>
      </c>
      <c r="AJ10" s="16" t="n">
        <v>1503.27</v>
      </c>
      <c r="AK10" s="16" t="n">
        <v>1503.27</v>
      </c>
      <c r="AL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1351.6</v>
      </c>
      <c r="F11" s="13" t="n">
        <v>1400.62</v>
      </c>
      <c r="G11" s="13" t="n">
        <v>1344.08</v>
      </c>
      <c r="H11" s="14" t="n">
        <v>1344.08</v>
      </c>
      <c r="I11" s="13" t="n">
        <v>1420.26</v>
      </c>
      <c r="J11" s="13" t="n">
        <v>1435.88</v>
      </c>
      <c r="K11" s="13" t="n">
        <v>1425.26</v>
      </c>
      <c r="L11" s="13" t="n">
        <v>1433.66</v>
      </c>
      <c r="M11" s="14" t="n">
        <v>1433.66</v>
      </c>
      <c r="N11" s="13" t="n">
        <v>1458.68</v>
      </c>
      <c r="O11" s="13" t="n">
        <v>1474.86</v>
      </c>
      <c r="P11" s="13" t="n">
        <v>1469.1</v>
      </c>
      <c r="Q11" s="13" t="n">
        <v>1532.14</v>
      </c>
      <c r="R11" s="14" t="n">
        <v>1532.14</v>
      </c>
      <c r="S11" s="13" t="n">
        <v>1594.72</v>
      </c>
      <c r="T11" s="13" t="n">
        <v>1588.22</v>
      </c>
      <c r="U11" s="13" t="n">
        <v>1648.04</v>
      </c>
      <c r="V11" s="13" t="n">
        <v>1696.94</v>
      </c>
      <c r="W11" s="14" t="n">
        <v>1696.94</v>
      </c>
      <c r="X11" s="13" t="n">
        <v>1753.21</v>
      </c>
      <c r="Y11" s="15" t="n">
        <v>1767.09</v>
      </c>
      <c r="Z11" s="16" t="n">
        <v>1539.06</v>
      </c>
      <c r="AA11" s="16" t="n">
        <v>1503.27</v>
      </c>
      <c r="AB11" s="17" t="n">
        <v>1503.27</v>
      </c>
      <c r="AC11" s="16" t="n">
        <v>1503.27</v>
      </c>
      <c r="AD11" s="16" t="n">
        <v>1503.27</v>
      </c>
      <c r="AE11" s="16" t="n">
        <v>1503.27</v>
      </c>
      <c r="AF11" s="16" t="n">
        <v>1503.27</v>
      </c>
      <c r="AG11" s="11" t="n"/>
      <c r="AH11" s="16" t="n">
        <v>1503.27</v>
      </c>
      <c r="AI11" s="16" t="n">
        <v>1503.27</v>
      </c>
      <c r="AJ11" s="16" t="n">
        <v>1503.27</v>
      </c>
      <c r="AK11" s="16" t="n">
        <v>1503.27</v>
      </c>
      <c r="AL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190.76</v>
      </c>
      <c r="F12" s="13" t="n">
        <v>195.79</v>
      </c>
      <c r="G12" s="13" t="n">
        <v>191.09</v>
      </c>
      <c r="H12" s="14" t="n">
        <v>191.93</v>
      </c>
      <c r="I12" s="13" t="n">
        <v>186.59</v>
      </c>
      <c r="J12" s="13" t="n">
        <v>187.45</v>
      </c>
      <c r="K12" s="13" t="n">
        <v>181.28</v>
      </c>
      <c r="L12" s="13" t="n">
        <v>182.86</v>
      </c>
      <c r="M12" s="14" t="n">
        <v>184.52</v>
      </c>
      <c r="N12" s="13" t="n">
        <v>185.04</v>
      </c>
      <c r="O12" s="13" t="n">
        <v>189.35</v>
      </c>
      <c r="P12" s="13" t="n">
        <v>189.24</v>
      </c>
      <c r="Q12" s="13" t="n">
        <v>194.24</v>
      </c>
      <c r="R12" s="14" t="n">
        <v>189.49</v>
      </c>
      <c r="S12" s="13" t="n">
        <v>199.63</v>
      </c>
      <c r="T12" s="13" t="n">
        <v>193.41</v>
      </c>
      <c r="U12" s="13" t="n">
        <v>193.79</v>
      </c>
      <c r="V12" s="13" t="n">
        <v>204.38</v>
      </c>
      <c r="W12" s="14" t="n">
        <v>197.8</v>
      </c>
      <c r="X12" s="13" t="n">
        <v>211.75</v>
      </c>
      <c r="Y12" s="15" t="n">
        <v>220.8</v>
      </c>
      <c r="Z12" s="16" t="n">
        <v>210.43</v>
      </c>
      <c r="AA12" s="16" t="n">
        <v>200.69</v>
      </c>
      <c r="AB12" s="17" t="n">
        <v>213.75</v>
      </c>
      <c r="AC12" s="16" t="n">
        <v>200.46</v>
      </c>
      <c r="AD12" s="16" t="n">
        <v>200.46</v>
      </c>
      <c r="AE12" s="16" t="n">
        <v>200.46</v>
      </c>
      <c r="AF12" s="16" t="n">
        <v>200.46</v>
      </c>
      <c r="AG12" s="11" t="n"/>
      <c r="AH12" s="16" t="n">
        <v>200.46</v>
      </c>
      <c r="AI12" s="16" t="n">
        <v>200.46</v>
      </c>
      <c r="AJ12" s="16" t="n">
        <v>200.46</v>
      </c>
      <c r="AK12" s="16" t="n">
        <v>200.46</v>
      </c>
      <c r="AL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194.13</v>
      </c>
      <c r="F13" s="13" t="n">
        <v>201.92</v>
      </c>
      <c r="G13" s="13" t="n">
        <v>182.67</v>
      </c>
      <c r="H13" s="14" t="n">
        <v>182.67</v>
      </c>
      <c r="I13" s="13" t="n">
        <v>189.97</v>
      </c>
      <c r="J13" s="13" t="n">
        <v>181.8</v>
      </c>
      <c r="K13" s="13" t="n">
        <v>184.26</v>
      </c>
      <c r="L13" s="13" t="n">
        <v>182.61</v>
      </c>
      <c r="M13" s="14" t="n">
        <v>182.61</v>
      </c>
      <c r="N13" s="13" t="n">
        <v>186.66</v>
      </c>
      <c r="O13" s="13" t="n">
        <v>189.7</v>
      </c>
      <c r="P13" s="13" t="n">
        <v>187.12</v>
      </c>
      <c r="Q13" s="13" t="n">
        <v>202.04</v>
      </c>
      <c r="R13" s="14" t="n">
        <v>202.04</v>
      </c>
      <c r="S13" s="13" t="n">
        <v>203.3</v>
      </c>
      <c r="T13" s="13" t="n">
        <v>189.14</v>
      </c>
      <c r="U13" s="13" t="n">
        <v>197.16</v>
      </c>
      <c r="V13" s="13" t="n">
        <v>206.28</v>
      </c>
      <c r="W13" s="14" t="n">
        <v>206.28</v>
      </c>
      <c r="X13" s="13" t="n">
        <v>220.97</v>
      </c>
      <c r="Y13" s="15" t="n">
        <v>228.56</v>
      </c>
      <c r="Z13" s="16" t="n">
        <v>202.16</v>
      </c>
      <c r="AA13" s="16" t="n">
        <v>200.46</v>
      </c>
      <c r="AB13" s="17" t="n">
        <v>200.46</v>
      </c>
      <c r="AC13" s="16" t="n">
        <v>200.46</v>
      </c>
      <c r="AD13" s="16" t="n">
        <v>200.46</v>
      </c>
      <c r="AE13" s="16" t="n">
        <v>200.46</v>
      </c>
      <c r="AF13" s="16" t="n">
        <v>200.46</v>
      </c>
      <c r="AG13" s="11" t="n"/>
      <c r="AH13" s="16" t="n">
        <v>200.46</v>
      </c>
      <c r="AI13" s="16" t="n">
        <v>200.46</v>
      </c>
      <c r="AJ13" s="16" t="n">
        <v>200.46</v>
      </c>
      <c r="AK13" s="16" t="n">
        <v>200.46</v>
      </c>
      <c r="AL13" s="11" t="n"/>
    </row>
    <row r="14">
      <c r="B14" s="1" t="inlineStr">
        <is>
          <t>1b. 종가</t>
        </is>
      </c>
      <c r="H14" s="9" t="n"/>
      <c r="M14" s="9" t="n"/>
      <c r="R14" s="9" t="n"/>
      <c r="W14" s="9" t="n"/>
      <c r="Y14" s="5" t="n"/>
      <c r="Z14" s="10" t="n"/>
      <c r="AA14" s="10" t="n"/>
      <c r="AB14" s="11" t="n"/>
      <c r="AC14" s="10" t="n"/>
      <c r="AD14" s="10" t="n"/>
      <c r="AE14" s="10" t="n"/>
      <c r="AF14" s="10" t="n"/>
      <c r="AG14" s="11" t="n"/>
      <c r="AH14" s="10" t="n"/>
      <c r="AI14" s="10" t="n"/>
      <c r="AJ14" s="10" t="n"/>
      <c r="AK14" s="10" t="n"/>
      <c r="AL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35250</v>
      </c>
      <c r="F15" s="18" t="n">
        <v>25600</v>
      </c>
      <c r="G15" s="18" t="n">
        <v>26100</v>
      </c>
      <c r="H15" s="9" t="n"/>
      <c r="I15" s="18" t="n">
        <v>27600</v>
      </c>
      <c r="J15" s="18" t="n">
        <v>28450</v>
      </c>
      <c r="K15" s="18" t="n">
        <v>19740</v>
      </c>
      <c r="L15" s="18" t="n">
        <v>20250</v>
      </c>
      <c r="M15" s="9" t="n"/>
      <c r="N15" s="18" t="n">
        <v>18530</v>
      </c>
      <c r="O15" s="18" t="n">
        <v>22200</v>
      </c>
      <c r="P15" s="18" t="n">
        <v>15810</v>
      </c>
      <c r="Q15" s="18" t="n">
        <v>12830</v>
      </c>
      <c r="R15" s="9" t="n"/>
      <c r="S15" s="18" t="n">
        <v>14170</v>
      </c>
      <c r="T15" s="18" t="n">
        <v>18130</v>
      </c>
      <c r="U15" s="18" t="n">
        <v>28550</v>
      </c>
      <c r="V15" s="18" t="n">
        <v>26200</v>
      </c>
      <c r="W15" s="9" t="n"/>
      <c r="X15" s="18" t="n">
        <v>25750</v>
      </c>
      <c r="Y15" s="19" t="n">
        <v>24150</v>
      </c>
      <c r="Z15" s="20" t="n">
        <v>25050</v>
      </c>
      <c r="AA15" s="20" t="n">
        <v>24400</v>
      </c>
      <c r="AB15" s="11" t="n"/>
      <c r="AC15" s="10" t="n"/>
      <c r="AD15" s="10" t="n"/>
      <c r="AE15" s="10" t="n"/>
      <c r="AF15" s="10" t="n"/>
      <c r="AG15" s="11" t="n"/>
      <c r="AH15" s="10" t="n"/>
      <c r="AI15" s="10" t="n"/>
      <c r="AJ15" s="10" t="n"/>
      <c r="AK15" s="10" t="n"/>
      <c r="AL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52400</v>
      </c>
      <c r="F16" s="18" t="n">
        <v>45250</v>
      </c>
      <c r="G16" s="18" t="n">
        <v>33500</v>
      </c>
      <c r="H16" s="9" t="n"/>
      <c r="I16" s="18" t="n">
        <v>31450</v>
      </c>
      <c r="J16" s="18" t="n">
        <v>32300</v>
      </c>
      <c r="K16" s="18" t="n">
        <v>28850</v>
      </c>
      <c r="L16" s="18" t="n">
        <v>23100</v>
      </c>
      <c r="M16" s="9" t="n"/>
      <c r="N16" s="18" t="n">
        <v>21700</v>
      </c>
      <c r="O16" s="18" t="n">
        <v>29500</v>
      </c>
      <c r="P16" s="18" t="n">
        <v>21950</v>
      </c>
      <c r="Q16" s="18" t="n">
        <v>16090</v>
      </c>
      <c r="R16" s="9" t="n"/>
      <c r="S16" s="18" t="n">
        <v>16780</v>
      </c>
      <c r="T16" s="18" t="n">
        <v>21250</v>
      </c>
      <c r="U16" s="18" t="n">
        <v>35950</v>
      </c>
      <c r="V16" s="18" t="n">
        <v>44200</v>
      </c>
      <c r="W16" s="9" t="n"/>
      <c r="X16" s="18" t="n">
        <v>36300</v>
      </c>
      <c r="Y16" s="19" t="n">
        <v>43700</v>
      </c>
      <c r="Z16" s="20" t="n">
        <v>28200</v>
      </c>
      <c r="AA16" s="20" t="n">
        <v>26450</v>
      </c>
      <c r="AB16" s="11" t="n"/>
      <c r="AC16" s="10" t="n"/>
      <c r="AD16" s="10" t="n"/>
      <c r="AE16" s="10" t="n"/>
      <c r="AF16" s="10" t="n"/>
      <c r="AG16" s="11" t="n"/>
      <c r="AH16" s="10" t="n"/>
      <c r="AI16" s="10" t="n"/>
      <c r="AJ16" s="10" t="n"/>
      <c r="AK16" s="10" t="n"/>
      <c r="AL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30300</v>
      </c>
      <c r="F17" s="18" t="n">
        <v>25000</v>
      </c>
      <c r="G17" s="18" t="n">
        <v>23600</v>
      </c>
      <c r="H17" s="9" t="n"/>
      <c r="I17" s="18" t="n">
        <v>24050</v>
      </c>
      <c r="J17" s="18" t="n">
        <v>25950</v>
      </c>
      <c r="K17" s="18" t="n">
        <v>19400</v>
      </c>
      <c r="L17" s="18" t="n">
        <v>16630</v>
      </c>
      <c r="M17" s="9" t="n"/>
      <c r="N17" s="18" t="n">
        <v>17210</v>
      </c>
      <c r="O17" s="18" t="n">
        <v>17300</v>
      </c>
      <c r="P17" s="18" t="n">
        <v>14500</v>
      </c>
      <c r="Q17" s="18" t="n">
        <v>11300</v>
      </c>
      <c r="R17" s="9" t="n"/>
      <c r="S17" s="18" t="n">
        <v>12900</v>
      </c>
      <c r="T17" s="18" t="n">
        <v>12590</v>
      </c>
      <c r="U17" s="18" t="n">
        <v>17000</v>
      </c>
      <c r="V17" s="18" t="n">
        <v>26000</v>
      </c>
      <c r="W17" s="9" t="n"/>
      <c r="X17" s="18" t="n">
        <v>24350</v>
      </c>
      <c r="Y17" s="19" t="n">
        <v>21100</v>
      </c>
      <c r="Z17" s="20" t="n">
        <v>11810</v>
      </c>
      <c r="AA17" s="20" t="n">
        <v>24050</v>
      </c>
      <c r="AB17" s="11" t="n"/>
      <c r="AC17" s="10" t="n"/>
      <c r="AD17" s="10" t="n"/>
      <c r="AE17" s="10" t="n"/>
      <c r="AF17" s="10" t="n"/>
      <c r="AG17" s="11" t="n"/>
      <c r="AH17" s="10" t="n"/>
      <c r="AI17" s="10" t="n"/>
      <c r="AJ17" s="10" t="n"/>
      <c r="AK17" s="10" t="n"/>
      <c r="AL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37470</v>
      </c>
      <c r="F18" s="18" t="n">
        <v>32902.4</v>
      </c>
      <c r="G18" s="18" t="n">
        <v>27931.5</v>
      </c>
      <c r="H18" s="9" t="n"/>
      <c r="I18" s="18" t="n">
        <v>28058.1</v>
      </c>
      <c r="J18" s="18" t="n">
        <v>28250.8</v>
      </c>
      <c r="K18" s="18" t="n">
        <v>23875</v>
      </c>
      <c r="L18" s="18" t="n">
        <v>18674.3</v>
      </c>
      <c r="M18" s="9" t="n"/>
      <c r="N18" s="18" t="n">
        <v>18942.6</v>
      </c>
      <c r="O18" s="18" t="n">
        <v>20921.3</v>
      </c>
      <c r="P18" s="18" t="n">
        <v>17361.5</v>
      </c>
      <c r="Q18" s="18" t="n">
        <v>13716.7</v>
      </c>
      <c r="R18" s="9" t="n"/>
      <c r="S18" s="18" t="n">
        <v>14663.8</v>
      </c>
      <c r="T18" s="18" t="n">
        <v>16378.5</v>
      </c>
      <c r="U18" s="18" t="n">
        <v>21695.5</v>
      </c>
      <c r="V18" s="18" t="n">
        <v>30210.2</v>
      </c>
      <c r="W18" s="9" t="n"/>
      <c r="X18" s="18" t="n">
        <v>30416.9</v>
      </c>
      <c r="Y18" s="19" t="n">
        <v>29614.8</v>
      </c>
      <c r="Z18" s="20" t="n">
        <v>18741.1</v>
      </c>
      <c r="AA18" s="20" t="n">
        <v>25150</v>
      </c>
      <c r="AB18" s="11" t="n"/>
      <c r="AC18" s="10" t="n"/>
      <c r="AD18" s="10" t="n"/>
      <c r="AE18" s="10" t="n"/>
      <c r="AF18" s="10" t="n"/>
      <c r="AG18" s="11" t="n"/>
      <c r="AH18" s="10" t="n"/>
      <c r="AI18" s="10" t="n"/>
      <c r="AJ18" s="10" t="n"/>
      <c r="AK18" s="10" t="n"/>
      <c r="AL18" s="11" t="n"/>
    </row>
    <row r="19">
      <c r="H19" s="9" t="n"/>
      <c r="M19" s="9" t="n"/>
      <c r="R19" s="9" t="n"/>
      <c r="W19" s="9" t="n"/>
      <c r="Y19" s="5" t="n"/>
      <c r="Z19" s="10" t="n"/>
      <c r="AA19" s="10" t="n"/>
      <c r="AB19" s="11" t="n"/>
      <c r="AC19" s="10" t="n"/>
      <c r="AD19" s="10" t="n"/>
      <c r="AE19" s="10" t="n"/>
      <c r="AF19" s="10" t="n"/>
      <c r="AG19" s="11" t="n"/>
      <c r="AH19" s="10" t="n"/>
      <c r="AI19" s="10" t="n"/>
      <c r="AJ19" s="10" t="n"/>
      <c r="AK19" s="10" t="n"/>
      <c r="AL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H20" s="9" t="n"/>
      <c r="M20" s="9" t="n"/>
      <c r="R20" s="9" t="n"/>
      <c r="W20" s="9" t="n"/>
      <c r="Y20" s="5" t="n"/>
      <c r="Z20" s="10" t="n"/>
      <c r="AA20" s="10" t="n"/>
      <c r="AB20" s="11" t="n"/>
      <c r="AC20" s="10" t="n"/>
      <c r="AD20" s="10" t="n"/>
      <c r="AE20" s="10" t="n"/>
      <c r="AF20" s="10" t="n"/>
      <c r="AG20" s="11" t="n"/>
      <c r="AH20" s="10" t="n"/>
      <c r="AI20" s="10" t="n"/>
      <c r="AJ20" s="10" t="n"/>
      <c r="AK20" s="10" t="n"/>
      <c r="AL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1" t="n"/>
      <c r="G21" s="21" t="n"/>
      <c r="H21" s="22" t="n"/>
      <c r="I21" s="21" t="n"/>
      <c r="J21" s="21">
        <f>IFERROR(subQ!J5/subQ!E5-1,"")</f>
        <v/>
      </c>
      <c r="K21" s="21">
        <f>IFERROR(subQ!K5/subQ!F5-1,"")</f>
        <v/>
      </c>
      <c r="L21" s="21">
        <f>IFERROR(subQ!L5/subQ!G5-1,"")</f>
        <v/>
      </c>
      <c r="M21" s="22" t="n"/>
      <c r="N21" s="21">
        <f>IFERROR(subQ!N5/subQ!I5-1,"")</f>
        <v/>
      </c>
      <c r="O21" s="21">
        <f>IFERROR(subQ!O5/subQ!J5-1,"")</f>
        <v/>
      </c>
      <c r="P21" s="21">
        <f>IFERROR(subQ!P5/subQ!K5-1,"")</f>
        <v/>
      </c>
      <c r="Q21" s="21">
        <f>IFERROR(subQ!Q5/subQ!L5-1,"")</f>
        <v/>
      </c>
      <c r="R21" s="22" t="n"/>
      <c r="S21" s="21">
        <f>IFERROR(subQ!S5/subQ!N5-1,"")</f>
        <v/>
      </c>
      <c r="T21" s="21">
        <f>IFERROR(subQ!T5/subQ!O5-1,"")</f>
        <v/>
      </c>
      <c r="U21" s="21">
        <f>IFERROR(subQ!U5/subQ!P5-1,"")</f>
        <v/>
      </c>
      <c r="V21" s="21">
        <f>IFERROR(subQ!V5/subQ!Q5-1,"")</f>
        <v/>
      </c>
      <c r="W21" s="22" t="n"/>
      <c r="X21" s="21">
        <f>IFERROR(subQ!X5/subQ!S5-1,"")</f>
        <v/>
      </c>
      <c r="Y21" s="23">
        <f>IFERROR(subQ!Y5/subQ!T5-1,"")</f>
        <v/>
      </c>
      <c r="Z21" s="24" t="n">
        <v>0.289653156</v>
      </c>
      <c r="AA21" s="24" t="n">
        <v>0.289587856</v>
      </c>
      <c r="AB21" s="25" t="n"/>
      <c r="AC21" s="24" t="n">
        <v>0.289702169</v>
      </c>
      <c r="AD21" s="24" t="n">
        <v>0.289593991</v>
      </c>
      <c r="AE21" s="24" t="n">
        <v>0.144731936</v>
      </c>
      <c r="AF21" s="24" t="n">
        <v>0.144806824</v>
      </c>
      <c r="AG21" s="25" t="n"/>
      <c r="AH21" s="24" t="n">
        <v>0.144676281</v>
      </c>
      <c r="AI21" s="24" t="n">
        <v>0.144820986</v>
      </c>
      <c r="AJ21" s="24" t="n">
        <v>0.07243355899999999</v>
      </c>
      <c r="AK21" s="24" t="n">
        <v>0.07240533</v>
      </c>
      <c r="AL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1">
        <f>IFERROR(subQ!F8/subQ!F5,"")</f>
        <v/>
      </c>
      <c r="G22" s="21">
        <f>IFERROR(subQ!G8/subQ!G5,"")</f>
        <v/>
      </c>
      <c r="H22" s="22">
        <f>IFERROR(subQ!H8/subQ!H5,"")</f>
        <v/>
      </c>
      <c r="I22" s="21">
        <f>IFERROR(subQ!I8/subQ!I5,"")</f>
        <v/>
      </c>
      <c r="J22" s="21">
        <f>IFERROR(subQ!J8/subQ!J5,"")</f>
        <v/>
      </c>
      <c r="K22" s="21">
        <f>IFERROR(subQ!K8/subQ!K5,"")</f>
        <v/>
      </c>
      <c r="L22" s="21">
        <f>IFERROR(subQ!L8/subQ!L5,"")</f>
        <v/>
      </c>
      <c r="M22" s="22">
        <f>IFERROR(subQ!M8/subQ!M5,"")</f>
        <v/>
      </c>
      <c r="N22" s="21">
        <f>IFERROR(subQ!N8/subQ!N5,"")</f>
        <v/>
      </c>
      <c r="O22" s="21">
        <f>IFERROR(subQ!O8/subQ!O5,"")</f>
        <v/>
      </c>
      <c r="P22" s="21">
        <f>IFERROR(subQ!P8/subQ!P5,"")</f>
        <v/>
      </c>
      <c r="Q22" s="21">
        <f>IFERROR(subQ!Q8/subQ!Q5,"")</f>
        <v/>
      </c>
      <c r="R22" s="22">
        <f>IFERROR(subQ!R8/subQ!R5,"")</f>
        <v/>
      </c>
      <c r="S22" s="21">
        <f>IFERROR(subQ!S8/subQ!S5,"")</f>
        <v/>
      </c>
      <c r="T22" s="21">
        <f>IFERROR(subQ!T8/subQ!T5,"")</f>
        <v/>
      </c>
      <c r="U22" s="21">
        <f>IFERROR(subQ!U8/subQ!U5,"")</f>
        <v/>
      </c>
      <c r="V22" s="21">
        <f>IFERROR(subQ!V8/subQ!V5,"")</f>
        <v/>
      </c>
      <c r="W22" s="22">
        <f>IFERROR(subQ!W8/subQ!W5,"")</f>
        <v/>
      </c>
      <c r="X22" s="21">
        <f>IFERROR(subQ!X8/subQ!X5,"")</f>
        <v/>
      </c>
      <c r="Y22" s="23">
        <f>IFERROR(subQ!Y8/subQ!Y5,"")</f>
        <v/>
      </c>
      <c r="Z22" s="26">
        <f>$D$48</f>
        <v/>
      </c>
      <c r="AA22" s="26">
        <f>$D$48</f>
        <v/>
      </c>
      <c r="AB22" s="25">
        <f>IFERROR(subQ!AB8/subQ!AB5,"")</f>
        <v/>
      </c>
      <c r="AC22" s="26">
        <f>$D$48</f>
        <v/>
      </c>
      <c r="AD22" s="26">
        <f>$D$48</f>
        <v/>
      </c>
      <c r="AE22" s="26">
        <f>$D$48</f>
        <v/>
      </c>
      <c r="AF22" s="26">
        <f>$D$48</f>
        <v/>
      </c>
      <c r="AG22" s="25">
        <f>IFERROR(subQ!AG8/subQ!AG5,"")</f>
        <v/>
      </c>
      <c r="AH22" s="26">
        <f>$D$48</f>
        <v/>
      </c>
      <c r="AI22" s="26">
        <f>$D$48</f>
        <v/>
      </c>
      <c r="AJ22" s="26">
        <f>$D$48</f>
        <v/>
      </c>
      <c r="AK22" s="26">
        <f>$D$48</f>
        <v/>
      </c>
      <c r="AL22" s="25">
        <f>IFERROR(subQ!AL8/subQ!AL5,"")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1">
        <f>IFERROR(subQ!F9/subQ!F5,"")</f>
        <v/>
      </c>
      <c r="G23" s="21">
        <f>IFERROR(subQ!G9/subQ!G5,"")</f>
        <v/>
      </c>
      <c r="H23" s="22">
        <f>IFERROR(subQ!H9/subQ!H5,"")</f>
        <v/>
      </c>
      <c r="I23" s="21">
        <f>IFERROR(subQ!I9/subQ!I5,"")</f>
        <v/>
      </c>
      <c r="J23" s="21">
        <f>IFERROR(subQ!J9/subQ!J5,"")</f>
        <v/>
      </c>
      <c r="K23" s="21">
        <f>IFERROR(subQ!K9/subQ!K5,"")</f>
        <v/>
      </c>
      <c r="L23" s="21">
        <f>IFERROR(subQ!L9/subQ!L5,"")</f>
        <v/>
      </c>
      <c r="M23" s="22">
        <f>IFERROR(subQ!M9/subQ!M5,"")</f>
        <v/>
      </c>
      <c r="N23" s="21">
        <f>IFERROR(subQ!N9/subQ!N5,"")</f>
        <v/>
      </c>
      <c r="O23" s="21">
        <f>IFERROR(subQ!O9/subQ!O5,"")</f>
        <v/>
      </c>
      <c r="P23" s="21">
        <f>IFERROR(subQ!P9/subQ!P5,"")</f>
        <v/>
      </c>
      <c r="Q23" s="21">
        <f>IFERROR(subQ!Q9/subQ!Q5,"")</f>
        <v/>
      </c>
      <c r="R23" s="22">
        <f>IFERROR(subQ!R9/subQ!R5,"")</f>
        <v/>
      </c>
      <c r="S23" s="21">
        <f>IFERROR(subQ!S9/subQ!S5,"")</f>
        <v/>
      </c>
      <c r="T23" s="21">
        <f>IFERROR(subQ!T9/subQ!T5,"")</f>
        <v/>
      </c>
      <c r="U23" s="21">
        <f>IFERROR(subQ!U9/subQ!U5,"")</f>
        <v/>
      </c>
      <c r="V23" s="21">
        <f>IFERROR(subQ!V9/subQ!V5,"")</f>
        <v/>
      </c>
      <c r="W23" s="22">
        <f>IFERROR(subQ!W9/subQ!W5,"")</f>
        <v/>
      </c>
      <c r="X23" s="21">
        <f>IFERROR(subQ!X9/subQ!X5,"")</f>
        <v/>
      </c>
      <c r="Y23" s="23">
        <f>IFERROR(subQ!Y9/subQ!Y5,"")</f>
        <v/>
      </c>
      <c r="Z23" s="24" t="n">
        <v>0.014167474</v>
      </c>
      <c r="AA23" s="24" t="n">
        <v>0.014199699</v>
      </c>
      <c r="AB23" s="25">
        <f>IFERROR(subQ!AB9/subQ!AB5,"")</f>
        <v/>
      </c>
      <c r="AC23" s="24" t="n">
        <v>0.01426818</v>
      </c>
      <c r="AD23" s="24" t="n">
        <v>0.014181929</v>
      </c>
      <c r="AE23" s="24" t="n">
        <v>0.014200104</v>
      </c>
      <c r="AF23" s="24" t="n">
        <v>0.014200561</v>
      </c>
      <c r="AG23" s="25">
        <f>IFERROR(subQ!AG9/subQ!AG5,"")</f>
        <v/>
      </c>
      <c r="AH23" s="24" t="n">
        <v>0.014207211</v>
      </c>
      <c r="AI23" s="24" t="n">
        <v>0.014211886</v>
      </c>
      <c r="AJ23" s="24" t="n">
        <v>0.014212828</v>
      </c>
      <c r="AK23" s="24" t="n">
        <v>0.014222658</v>
      </c>
      <c r="AL23" s="25">
        <f>IFERROR(subQ!AL9/subQ!AL5,"")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7">
        <f>subQ!F13</f>
        <v/>
      </c>
      <c r="G24" s="27">
        <f>subQ!G13</f>
        <v/>
      </c>
      <c r="H24" s="28">
        <f>subQ!H13</f>
        <v/>
      </c>
      <c r="I24" s="27">
        <f>subQ!I13</f>
        <v/>
      </c>
      <c r="J24" s="27">
        <f>subQ!J13</f>
        <v/>
      </c>
      <c r="K24" s="27">
        <f>subQ!K13</f>
        <v/>
      </c>
      <c r="L24" s="27">
        <f>subQ!L13</f>
        <v/>
      </c>
      <c r="M24" s="28">
        <f>subQ!M13</f>
        <v/>
      </c>
      <c r="N24" s="27">
        <f>subQ!N13</f>
        <v/>
      </c>
      <c r="O24" s="27">
        <f>subQ!O13</f>
        <v/>
      </c>
      <c r="P24" s="27">
        <f>subQ!P13</f>
        <v/>
      </c>
      <c r="Q24" s="27">
        <f>subQ!Q13</f>
        <v/>
      </c>
      <c r="R24" s="28">
        <f>subQ!R13</f>
        <v/>
      </c>
      <c r="S24" s="27">
        <f>subQ!S13</f>
        <v/>
      </c>
      <c r="T24" s="27">
        <f>subQ!T13</f>
        <v/>
      </c>
      <c r="U24" s="27">
        <f>subQ!U13</f>
        <v/>
      </c>
      <c r="V24" s="27">
        <f>subQ!V13</f>
        <v/>
      </c>
      <c r="W24" s="28">
        <f>subQ!W13</f>
        <v/>
      </c>
      <c r="X24" s="27">
        <f>subQ!X13</f>
        <v/>
      </c>
      <c r="Y24" s="29">
        <f>subQ!Y13</f>
        <v/>
      </c>
      <c r="Z24" s="30" t="n">
        <v>0</v>
      </c>
      <c r="AA24" s="30" t="n">
        <v>0</v>
      </c>
      <c r="AB24" s="31">
        <f>subQ!AB13</f>
        <v/>
      </c>
      <c r="AC24" s="30" t="n">
        <v>0</v>
      </c>
      <c r="AD24" s="30" t="n">
        <v>0</v>
      </c>
      <c r="AE24" s="30" t="n">
        <v>0</v>
      </c>
      <c r="AF24" s="30" t="n">
        <v>0</v>
      </c>
      <c r="AG24" s="31">
        <f>subQ!AG13</f>
        <v/>
      </c>
      <c r="AH24" s="30" t="n">
        <v>0</v>
      </c>
      <c r="AI24" s="30" t="n">
        <v>0</v>
      </c>
      <c r="AJ24" s="30" t="n">
        <v>0</v>
      </c>
      <c r="AK24" s="30" t="n">
        <v>0</v>
      </c>
      <c r="AL24" s="31">
        <f>subQ!AL13</f>
        <v/>
      </c>
    </row>
    <row r="25">
      <c r="A25" s="12" t="inlineStr">
        <is>
          <t>drv:법인세비용</t>
        </is>
      </c>
      <c r="B25" s="2" t="inlineStr">
        <is>
          <t>ratio</t>
        </is>
      </c>
      <c r="C25" t="inlineStr">
        <is>
          <t>법인세율(/세전)</t>
        </is>
      </c>
      <c r="E25" s="21">
        <f>IFERROR(subQ!E15/subQ!E14,"")</f>
        <v/>
      </c>
      <c r="F25" s="21">
        <f>IFERROR(subQ!F15/subQ!F14,"")</f>
        <v/>
      </c>
      <c r="G25" s="21">
        <f>IFERROR(subQ!G15/subQ!G14,"")</f>
        <v/>
      </c>
      <c r="H25" s="22">
        <f>IFERROR(subQ!H15/subQ!H14,"")</f>
        <v/>
      </c>
      <c r="I25" s="21">
        <f>IFERROR(subQ!I15/subQ!I14,"")</f>
        <v/>
      </c>
      <c r="J25" s="21">
        <f>IFERROR(subQ!J15/subQ!J14,"")</f>
        <v/>
      </c>
      <c r="K25" s="21">
        <f>IFERROR(subQ!K15/subQ!K14,"")</f>
        <v/>
      </c>
      <c r="L25" s="21">
        <f>IFERROR(subQ!L15/subQ!L14,"")</f>
        <v/>
      </c>
      <c r="M25" s="22">
        <f>IFERROR(subQ!M15/subQ!M14,"")</f>
        <v/>
      </c>
      <c r="N25" s="21">
        <f>IFERROR(subQ!N15/subQ!N14,"")</f>
        <v/>
      </c>
      <c r="O25" s="21">
        <f>IFERROR(subQ!O15/subQ!O14,"")</f>
        <v/>
      </c>
      <c r="P25" s="21">
        <f>IFERROR(subQ!P15/subQ!P14,"")</f>
        <v/>
      </c>
      <c r="Q25" s="21">
        <f>IFERROR(subQ!Q15/subQ!Q14,"")</f>
        <v/>
      </c>
      <c r="R25" s="22">
        <f>IFERROR(subQ!R15/subQ!R14,"")</f>
        <v/>
      </c>
      <c r="S25" s="21">
        <f>IFERROR(subQ!S15/subQ!S14,"")</f>
        <v/>
      </c>
      <c r="T25" s="21">
        <f>IFERROR(subQ!T15/subQ!T14,"")</f>
        <v/>
      </c>
      <c r="U25" s="21">
        <f>IFERROR(subQ!U15/subQ!U14,"")</f>
        <v/>
      </c>
      <c r="V25" s="21">
        <f>IFERROR(subQ!V15/subQ!V14,"")</f>
        <v/>
      </c>
      <c r="W25" s="22">
        <f>IFERROR(subQ!W15/subQ!W14,"")</f>
        <v/>
      </c>
      <c r="X25" s="21">
        <f>IFERROR(subQ!X15/subQ!X14,"")</f>
        <v/>
      </c>
      <c r="Y25" s="23">
        <f>IFERROR(subQ!Y15/subQ!Y14,"")</f>
        <v/>
      </c>
      <c r="Z25" s="24" t="n">
        <v>-0</v>
      </c>
      <c r="AA25" s="24" t="n">
        <v>-0</v>
      </c>
      <c r="AB25" s="25">
        <f>IFERROR(subQ!AB15/subQ!AB14,"")</f>
        <v/>
      </c>
      <c r="AC25" s="24" t="n">
        <v>-0</v>
      </c>
      <c r="AD25" s="24" t="n">
        <v>-0</v>
      </c>
      <c r="AE25" s="24" t="n">
        <v>-0</v>
      </c>
      <c r="AF25" s="24" t="n">
        <v>-0</v>
      </c>
      <c r="AG25" s="25">
        <f>IFERROR(subQ!AG15/subQ!AG14,"")</f>
        <v/>
      </c>
      <c r="AH25" s="24" t="n">
        <v>-0</v>
      </c>
      <c r="AI25" s="24" t="n">
        <v>-0</v>
      </c>
      <c r="AJ25" s="24" t="n">
        <v>-0</v>
      </c>
      <c r="AK25" s="24" t="n">
        <v>-0</v>
      </c>
      <c r="AL25" s="25">
        <f>IFERROR(subQ!AL15/subQ!AL14,"")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1">
        <f>IFERROR(subQ!F17/subQ!F16,"")</f>
        <v/>
      </c>
      <c r="G26" s="21">
        <f>IFERROR(subQ!G17/subQ!G16,"")</f>
        <v/>
      </c>
      <c r="H26" s="22">
        <f>IFERROR(subQ!H17/subQ!H16,"")</f>
        <v/>
      </c>
      <c r="I26" s="21">
        <f>IFERROR(subQ!I17/subQ!I16,"")</f>
        <v/>
      </c>
      <c r="J26" s="21">
        <f>IFERROR(subQ!J17/subQ!J16,"")</f>
        <v/>
      </c>
      <c r="K26" s="21">
        <f>IFERROR(subQ!K17/subQ!K16,"")</f>
        <v/>
      </c>
      <c r="L26" s="21">
        <f>IFERROR(subQ!L17/subQ!L16,"")</f>
        <v/>
      </c>
      <c r="M26" s="22">
        <f>IFERROR(subQ!M17/subQ!M16,"")</f>
        <v/>
      </c>
      <c r="N26" s="21">
        <f>IFERROR(subQ!N17/subQ!N16,"")</f>
        <v/>
      </c>
      <c r="O26" s="21">
        <f>IFERROR(subQ!O17/subQ!O16,"")</f>
        <v/>
      </c>
      <c r="P26" s="21">
        <f>IFERROR(subQ!P17/subQ!P16,"")</f>
        <v/>
      </c>
      <c r="Q26" s="21">
        <f>IFERROR(subQ!Q17/subQ!Q16,"")</f>
        <v/>
      </c>
      <c r="R26" s="22">
        <f>IFERROR(subQ!R17/subQ!R16,"")</f>
        <v/>
      </c>
      <c r="S26" s="21">
        <f>IFERROR(subQ!S17/subQ!S16,"")</f>
        <v/>
      </c>
      <c r="T26" s="21">
        <f>IFERROR(subQ!T17/subQ!T16,"")</f>
        <v/>
      </c>
      <c r="U26" s="21">
        <f>IFERROR(subQ!U17/subQ!U16,"")</f>
        <v/>
      </c>
      <c r="V26" s="21">
        <f>IFERROR(subQ!V17/subQ!V16,"")</f>
        <v/>
      </c>
      <c r="W26" s="22">
        <f>IFERROR(subQ!W17/subQ!W16,"")</f>
        <v/>
      </c>
      <c r="X26" s="21">
        <f>IFERROR(subQ!X17/subQ!X16,"")</f>
        <v/>
      </c>
      <c r="Y26" s="23">
        <f>IFERROR(subQ!Y17/subQ!Y16,"")</f>
        <v/>
      </c>
      <c r="Z26" s="26">
        <f>$D$49</f>
        <v/>
      </c>
      <c r="AA26" s="26">
        <f>$D$49</f>
        <v/>
      </c>
      <c r="AB26" s="25">
        <f>IFERROR(subQ!AB17/subQ!AB16,"")</f>
        <v/>
      </c>
      <c r="AC26" s="26">
        <f>$D$49</f>
        <v/>
      </c>
      <c r="AD26" s="26">
        <f>$D$49</f>
        <v/>
      </c>
      <c r="AE26" s="26">
        <f>$D$49</f>
        <v/>
      </c>
      <c r="AF26" s="26">
        <f>$D$49</f>
        <v/>
      </c>
      <c r="AG26" s="25">
        <f>IFERROR(subQ!AG17/subQ!AG16,"")</f>
        <v/>
      </c>
      <c r="AH26" s="26">
        <f>$D$49</f>
        <v/>
      </c>
      <c r="AI26" s="26">
        <f>$D$49</f>
        <v/>
      </c>
      <c r="AJ26" s="26">
        <f>$D$49</f>
        <v/>
      </c>
      <c r="AK26" s="26">
        <f>$D$49</f>
        <v/>
      </c>
      <c r="AL26" s="25">
        <f>IFERROR(subQ!AL17/subQ!AL16,"")</f>
        <v/>
      </c>
    </row>
    <row r="27">
      <c r="A27" s="12" t="inlineStr">
        <is>
          <t>drv:감가상각비</t>
        </is>
      </c>
      <c r="B27" s="2" t="inlineStr">
        <is>
          <t>abs</t>
        </is>
      </c>
      <c r="C27" t="inlineStr">
        <is>
          <t>감가상각비 (가정, 억원)</t>
        </is>
      </c>
      <c r="E27" s="27">
        <f>subQ!E18</f>
        <v/>
      </c>
      <c r="F27" s="27">
        <f>subQ!F18</f>
        <v/>
      </c>
      <c r="G27" s="27">
        <f>subQ!G18</f>
        <v/>
      </c>
      <c r="H27" s="28">
        <f>subQ!H18</f>
        <v/>
      </c>
      <c r="I27" s="27">
        <f>subQ!I18</f>
        <v/>
      </c>
      <c r="J27" s="27">
        <f>subQ!J18</f>
        <v/>
      </c>
      <c r="K27" s="27">
        <f>subQ!K18</f>
        <v/>
      </c>
      <c r="L27" s="27">
        <f>subQ!L18</f>
        <v/>
      </c>
      <c r="M27" s="28">
        <f>subQ!M18</f>
        <v/>
      </c>
      <c r="N27" s="27">
        <f>subQ!N18</f>
        <v/>
      </c>
      <c r="O27" s="27">
        <f>subQ!O18</f>
        <v/>
      </c>
      <c r="P27" s="27">
        <f>subQ!P18</f>
        <v/>
      </c>
      <c r="Q27" s="27">
        <f>subQ!Q18</f>
        <v/>
      </c>
      <c r="R27" s="28">
        <f>subQ!R18</f>
        <v/>
      </c>
      <c r="S27" s="27">
        <f>subQ!S18</f>
        <v/>
      </c>
      <c r="T27" s="27">
        <f>subQ!T18</f>
        <v/>
      </c>
      <c r="U27" s="27">
        <f>subQ!U18</f>
        <v/>
      </c>
      <c r="V27" s="27">
        <f>subQ!V18</f>
        <v/>
      </c>
      <c r="W27" s="28">
        <f>subQ!W18</f>
        <v/>
      </c>
      <c r="X27" s="27">
        <f>subQ!X18</f>
        <v/>
      </c>
      <c r="Y27" s="29">
        <f>subQ!Y18</f>
        <v/>
      </c>
      <c r="Z27" s="30" t="n">
        <v>5.16</v>
      </c>
      <c r="AA27" s="30" t="n">
        <v>5.16</v>
      </c>
      <c r="AB27" s="31">
        <f>subQ!AB18</f>
        <v/>
      </c>
      <c r="AC27" s="30" t="n">
        <v>5.16</v>
      </c>
      <c r="AD27" s="30" t="n">
        <v>5.16</v>
      </c>
      <c r="AE27" s="30" t="n">
        <v>5.16</v>
      </c>
      <c r="AF27" s="30" t="n">
        <v>5.16</v>
      </c>
      <c r="AG27" s="31">
        <f>subQ!AG18</f>
        <v/>
      </c>
      <c r="AH27" s="30" t="n">
        <v>5.16</v>
      </c>
      <c r="AI27" s="30" t="n">
        <v>5.16</v>
      </c>
      <c r="AJ27" s="30" t="n">
        <v>5.16</v>
      </c>
      <c r="AK27" s="30" t="n">
        <v>5.16</v>
      </c>
      <c r="AL27" s="31">
        <f>subQ!AL18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1">
        <f>IFERROR(subQ!F21/subQ!E21-1,"")</f>
        <v/>
      </c>
      <c r="G28" s="21">
        <f>IFERROR(subQ!G21/subQ!F21-1,"")</f>
        <v/>
      </c>
      <c r="H28" s="22" t="n"/>
      <c r="I28" s="21">
        <f>IFERROR(subQ!I21/subQ!G21-1,"")</f>
        <v/>
      </c>
      <c r="J28" s="21">
        <f>IFERROR(subQ!J21/subQ!I21-1,"")</f>
        <v/>
      </c>
      <c r="K28" s="21">
        <f>IFERROR(subQ!K21/subQ!J21-1,"")</f>
        <v/>
      </c>
      <c r="L28" s="21">
        <f>IFERROR(subQ!L21/subQ!K21-1,"")</f>
        <v/>
      </c>
      <c r="M28" s="22" t="n"/>
      <c r="N28" s="21">
        <f>IFERROR(subQ!N21/subQ!L21-1,"")</f>
        <v/>
      </c>
      <c r="O28" s="21">
        <f>IFERROR(subQ!O21/subQ!N21-1,"")</f>
        <v/>
      </c>
      <c r="P28" s="21">
        <f>IFERROR(subQ!P21/subQ!O21-1,"")</f>
        <v/>
      </c>
      <c r="Q28" s="21">
        <f>IFERROR(subQ!Q21/subQ!P21-1,"")</f>
        <v/>
      </c>
      <c r="R28" s="22" t="n"/>
      <c r="S28" s="21">
        <f>IFERROR(subQ!S21/subQ!Q21-1,"")</f>
        <v/>
      </c>
      <c r="T28" s="21">
        <f>IFERROR(subQ!T21/subQ!S21-1,"")</f>
        <v/>
      </c>
      <c r="U28" s="21">
        <f>IFERROR(subQ!U21/subQ!T21-1,"")</f>
        <v/>
      </c>
      <c r="V28" s="21">
        <f>IFERROR(subQ!V21/subQ!U21-1,"")</f>
        <v/>
      </c>
      <c r="W28" s="22" t="n"/>
      <c r="X28" s="21">
        <f>IFERROR(subQ!X21/subQ!V21-1,"")</f>
        <v/>
      </c>
      <c r="Y28" s="23">
        <f>IFERROR(subQ!Y21/subQ!X21-1,"")</f>
        <v/>
      </c>
      <c r="Z28" s="24" t="n">
        <v>2.395e-06</v>
      </c>
      <c r="AA28" s="24" t="n">
        <v>0</v>
      </c>
      <c r="AB28" s="25" t="n"/>
      <c r="AC28" s="24" t="n">
        <v>0</v>
      </c>
      <c r="AD28" s="24" t="n">
        <v>0</v>
      </c>
      <c r="AE28" s="24" t="n">
        <v>0</v>
      </c>
      <c r="AF28" s="24" t="n">
        <v>0</v>
      </c>
      <c r="AG28" s="25" t="n"/>
      <c r="AH28" s="24" t="n">
        <v>0</v>
      </c>
      <c r="AI28" s="24" t="n">
        <v>0</v>
      </c>
      <c r="AJ28" s="24" t="n">
        <v>0</v>
      </c>
      <c r="AK28" s="24" t="n">
        <v>0</v>
      </c>
      <c r="AL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7">
        <f>IFERROR(subQ!E22+subQ!F16-subQ!F22,"")</f>
        <v/>
      </c>
      <c r="G29" s="27">
        <f>IFERROR(subQ!F22+subQ!G16-subQ!G22,"")</f>
        <v/>
      </c>
      <c r="H29" s="28" t="n"/>
      <c r="I29" s="27">
        <f>IFERROR(subQ!G22+subQ!I16-subQ!I22,"")</f>
        <v/>
      </c>
      <c r="J29" s="27">
        <f>IFERROR(subQ!I22+subQ!J16-subQ!J22,"")</f>
        <v/>
      </c>
      <c r="K29" s="27">
        <f>IFERROR(subQ!J22+subQ!K16-subQ!K22,"")</f>
        <v/>
      </c>
      <c r="L29" s="27">
        <f>IFERROR(subQ!K22+subQ!L16-subQ!L22,"")</f>
        <v/>
      </c>
      <c r="M29" s="28" t="n"/>
      <c r="N29" s="27">
        <f>IFERROR(subQ!L22+subQ!N16-subQ!N22,"")</f>
        <v/>
      </c>
      <c r="O29" s="27">
        <f>IFERROR(subQ!N22+subQ!O16-subQ!O22,"")</f>
        <v/>
      </c>
      <c r="P29" s="27">
        <f>IFERROR(subQ!O22+subQ!P16-subQ!P22,"")</f>
        <v/>
      </c>
      <c r="Q29" s="27">
        <f>IFERROR(subQ!P22+subQ!Q16-subQ!Q22,"")</f>
        <v/>
      </c>
      <c r="R29" s="28" t="n"/>
      <c r="S29" s="27">
        <f>IFERROR(subQ!Q22+subQ!S16-subQ!S22,"")</f>
        <v/>
      </c>
      <c r="T29" s="27">
        <f>IFERROR(subQ!S22+subQ!T16-subQ!T22,"")</f>
        <v/>
      </c>
      <c r="U29" s="27">
        <f>IFERROR(subQ!T22+subQ!U16-subQ!U22,"")</f>
        <v/>
      </c>
      <c r="V29" s="27">
        <f>IFERROR(subQ!U22+subQ!V16-subQ!V22,"")</f>
        <v/>
      </c>
      <c r="W29" s="28" t="n"/>
      <c r="X29" s="27">
        <f>IFERROR(subQ!V22+subQ!X16-subQ!X22,"")</f>
        <v/>
      </c>
      <c r="Y29" s="29">
        <f>IFERROR(subQ!X22+subQ!Y16-subQ!Y22,"")</f>
        <v/>
      </c>
      <c r="Z29" s="30" t="n">
        <v>-0.007541919</v>
      </c>
      <c r="AA29" s="30" t="n">
        <v>0.000416409</v>
      </c>
      <c r="AB29" s="31" t="n"/>
      <c r="AC29" s="30" t="n">
        <v>0.000543429</v>
      </c>
      <c r="AD29" s="30" t="n">
        <v>-0.013436241</v>
      </c>
      <c r="AE29" s="30" t="n">
        <v>-5.263e-06</v>
      </c>
      <c r="AF29" s="30" t="n">
        <v>-0.000646678</v>
      </c>
      <c r="AG29" s="31" t="n"/>
      <c r="AH29" s="30" t="n">
        <v>0.00070409</v>
      </c>
      <c r="AI29" s="30" t="n">
        <v>0.004521633</v>
      </c>
      <c r="AJ29" s="30" t="n">
        <v>-8.934e-05</v>
      </c>
      <c r="AK29" s="30" t="n">
        <v>0.00743363</v>
      </c>
      <c r="AL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7">
        <f>IFERROR(subQ!E23+subQ!F17-subQ!F23,"")</f>
        <v/>
      </c>
      <c r="G30" s="27">
        <f>IFERROR(subQ!F23+subQ!G17-subQ!G23,"")</f>
        <v/>
      </c>
      <c r="H30" s="28" t="n"/>
      <c r="I30" s="27">
        <f>IFERROR(subQ!G23+subQ!I17-subQ!I23,"")</f>
        <v/>
      </c>
      <c r="J30" s="27">
        <f>IFERROR(subQ!I23+subQ!J17-subQ!J23,"")</f>
        <v/>
      </c>
      <c r="K30" s="27">
        <f>IFERROR(subQ!J23+subQ!K17-subQ!K23,"")</f>
        <v/>
      </c>
      <c r="L30" s="27">
        <f>IFERROR(subQ!K23+subQ!L17-subQ!L23,"")</f>
        <v/>
      </c>
      <c r="M30" s="28" t="n"/>
      <c r="N30" s="27">
        <f>IFERROR(subQ!L23+subQ!N17-subQ!N23,"")</f>
        <v/>
      </c>
      <c r="O30" s="27">
        <f>IFERROR(subQ!N23+subQ!O17-subQ!O23,"")</f>
        <v/>
      </c>
      <c r="P30" s="27">
        <f>IFERROR(subQ!O23+subQ!P17-subQ!P23,"")</f>
        <v/>
      </c>
      <c r="Q30" s="27">
        <f>IFERROR(subQ!P23+subQ!Q17-subQ!Q23,"")</f>
        <v/>
      </c>
      <c r="R30" s="28" t="n"/>
      <c r="S30" s="27">
        <f>IFERROR(subQ!Q23+subQ!S17-subQ!S23,"")</f>
        <v/>
      </c>
      <c r="T30" s="27">
        <f>IFERROR(subQ!S23+subQ!T17-subQ!T23,"")</f>
        <v/>
      </c>
      <c r="U30" s="27">
        <f>IFERROR(subQ!T23+subQ!U17-subQ!U23,"")</f>
        <v/>
      </c>
      <c r="V30" s="27">
        <f>IFERROR(subQ!U23+subQ!V17-subQ!V23,"")</f>
        <v/>
      </c>
      <c r="W30" s="28" t="n"/>
      <c r="X30" s="27">
        <f>IFERROR(subQ!V23+subQ!X17-subQ!X23,"")</f>
        <v/>
      </c>
      <c r="Y30" s="29">
        <f>IFERROR(subQ!X23+subQ!Y17-subQ!Y23,"")</f>
        <v/>
      </c>
      <c r="Z30" s="30" t="n">
        <v>-0.009441919</v>
      </c>
      <c r="AA30" s="30" t="n">
        <v>0.000416409</v>
      </c>
      <c r="AB30" s="31" t="n"/>
      <c r="AC30" s="30" t="n">
        <v>0.000543429</v>
      </c>
      <c r="AD30" s="30" t="n">
        <v>-0.003436241</v>
      </c>
      <c r="AE30" s="30" t="n">
        <v>-5.263e-06</v>
      </c>
      <c r="AF30" s="30" t="n">
        <v>-0.010646678</v>
      </c>
      <c r="AG30" s="31" t="n"/>
      <c r="AH30" s="30" t="n">
        <v>0.00070409</v>
      </c>
      <c r="AI30" s="30" t="n">
        <v>0.004521633</v>
      </c>
      <c r="AJ30" s="30" t="n">
        <v>0.00991066</v>
      </c>
      <c r="AK30" s="30" t="n">
        <v>-0.00256637</v>
      </c>
      <c r="AL30" s="31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1">
        <f>IFERROR(subQ!F24/subQ!E24-1,"")</f>
        <v/>
      </c>
      <c r="G31" s="21">
        <f>IFERROR(subQ!G24/subQ!F24-1,"")</f>
        <v/>
      </c>
      <c r="H31" s="22" t="n"/>
      <c r="I31" s="21">
        <f>IFERROR(subQ!I24/subQ!G24-1,"")</f>
        <v/>
      </c>
      <c r="J31" s="21">
        <f>IFERROR(subQ!J24/subQ!I24-1,"")</f>
        <v/>
      </c>
      <c r="K31" s="21">
        <f>IFERROR(subQ!K24/subQ!J24-1,"")</f>
        <v/>
      </c>
      <c r="L31" s="21">
        <f>IFERROR(subQ!L24/subQ!K24-1,"")</f>
        <v/>
      </c>
      <c r="M31" s="22" t="n"/>
      <c r="N31" s="21">
        <f>IFERROR(subQ!N24/subQ!L24-1,"")</f>
        <v/>
      </c>
      <c r="O31" s="21">
        <f>IFERROR(subQ!O24/subQ!N24-1,"")</f>
        <v/>
      </c>
      <c r="P31" s="21">
        <f>IFERROR(subQ!P24/subQ!O24-1,"")</f>
        <v/>
      </c>
      <c r="Q31" s="21">
        <f>IFERROR(subQ!Q24/subQ!P24-1,"")</f>
        <v/>
      </c>
      <c r="R31" s="22" t="n"/>
      <c r="S31" s="21">
        <f>IFERROR(subQ!S24/subQ!Q24-1,"")</f>
        <v/>
      </c>
      <c r="T31" s="21">
        <f>IFERROR(subQ!T24/subQ!S24-1,"")</f>
        <v/>
      </c>
      <c r="U31" s="21">
        <f>IFERROR(subQ!U24/subQ!T24-1,"")</f>
        <v/>
      </c>
      <c r="V31" s="21">
        <f>IFERROR(subQ!V24/subQ!U24-1,"")</f>
        <v/>
      </c>
      <c r="W31" s="22" t="n"/>
      <c r="X31" s="21">
        <f>IFERROR(subQ!X24/subQ!V24-1,"")</f>
        <v/>
      </c>
      <c r="Y31" s="23">
        <f>IFERROR(subQ!Y24/subQ!X24-1,"")</f>
        <v/>
      </c>
      <c r="Z31" s="24" t="n">
        <v>1.38e-06</v>
      </c>
      <c r="AA31" s="24" t="n">
        <v>0</v>
      </c>
      <c r="AB31" s="25" t="n"/>
      <c r="AC31" s="24" t="n">
        <v>0</v>
      </c>
      <c r="AD31" s="24" t="n">
        <v>0</v>
      </c>
      <c r="AE31" s="24" t="n">
        <v>0</v>
      </c>
      <c r="AF31" s="24" t="n">
        <v>0</v>
      </c>
      <c r="AG31" s="25" t="n"/>
      <c r="AH31" s="24" t="n">
        <v>0</v>
      </c>
      <c r="AI31" s="24" t="n">
        <v>0</v>
      </c>
      <c r="AJ31" s="24" t="n">
        <v>0</v>
      </c>
      <c r="AK31" s="24" t="n">
        <v>0</v>
      </c>
      <c r="AL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1">
        <f>IFERROR(subQ!F25/subQ!E25-1,"")</f>
        <v/>
      </c>
      <c r="G32" s="21">
        <f>IFERROR(subQ!G25/subQ!F25-1,"")</f>
        <v/>
      </c>
      <c r="H32" s="22" t="n"/>
      <c r="I32" s="21">
        <f>IFERROR(subQ!I25/subQ!G25-1,"")</f>
        <v/>
      </c>
      <c r="J32" s="21">
        <f>IFERROR(subQ!J25/subQ!I25-1,"")</f>
        <v/>
      </c>
      <c r="K32" s="21">
        <f>IFERROR(subQ!K25/subQ!J25-1,"")</f>
        <v/>
      </c>
      <c r="L32" s="21">
        <f>IFERROR(subQ!L25/subQ!K25-1,"")</f>
        <v/>
      </c>
      <c r="M32" s="22" t="n"/>
      <c r="N32" s="21">
        <f>IFERROR(subQ!N25/subQ!L25-1,"")</f>
        <v/>
      </c>
      <c r="O32" s="21">
        <f>IFERROR(subQ!O25/subQ!N25-1,"")</f>
        <v/>
      </c>
      <c r="P32" s="21">
        <f>IFERROR(subQ!P25/subQ!O25-1,"")</f>
        <v/>
      </c>
      <c r="Q32" s="21">
        <f>IFERROR(subQ!Q25/subQ!P25-1,"")</f>
        <v/>
      </c>
      <c r="R32" s="22" t="n"/>
      <c r="S32" s="21">
        <f>IFERROR(subQ!S25/subQ!Q25-1,"")</f>
        <v/>
      </c>
      <c r="T32" s="21">
        <f>IFERROR(subQ!T25/subQ!S25-1,"")</f>
        <v/>
      </c>
      <c r="U32" s="21">
        <f>IFERROR(subQ!U25/subQ!T25-1,"")</f>
        <v/>
      </c>
      <c r="V32" s="21">
        <f>IFERROR(subQ!V25/subQ!U25-1,"")</f>
        <v/>
      </c>
      <c r="W32" s="22" t="n"/>
      <c r="X32" s="21">
        <f>IFERROR(subQ!X25/subQ!V25-1,"")</f>
        <v/>
      </c>
      <c r="Y32" s="23">
        <f>IFERROR(subQ!Y25/subQ!X25-1,"")</f>
        <v/>
      </c>
      <c r="Z32" s="24" t="n">
        <v>0.006490235</v>
      </c>
      <c r="AA32" s="24" t="n">
        <v>0.005606263</v>
      </c>
      <c r="AB32" s="25" t="n"/>
      <c r="AC32" s="24" t="n">
        <v>0.00751159</v>
      </c>
      <c r="AD32" s="24" t="n">
        <v>0.005281041</v>
      </c>
      <c r="AE32" s="24" t="n">
        <v>0.006363829</v>
      </c>
      <c r="AF32" s="24" t="n">
        <v>0.005383206</v>
      </c>
      <c r="AG32" s="25" t="n"/>
      <c r="AH32" s="24" t="n">
        <v>0.007501861</v>
      </c>
      <c r="AI32" s="24" t="n">
        <v>0.005001895</v>
      </c>
      <c r="AJ32" s="24" t="n">
        <v>0.006353216</v>
      </c>
      <c r="AK32" s="24" t="n">
        <v>0.005329612</v>
      </c>
      <c r="AL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1">
        <f>IFERROR(subQ!F26/subQ!E26-1,"")</f>
        <v/>
      </c>
      <c r="G33" s="21">
        <f>IFERROR(subQ!G26/subQ!F26-1,"")</f>
        <v/>
      </c>
      <c r="H33" s="22" t="n"/>
      <c r="I33" s="21">
        <f>IFERROR(subQ!I26/subQ!G26-1,"")</f>
        <v/>
      </c>
      <c r="J33" s="21">
        <f>IFERROR(subQ!J26/subQ!I26-1,"")</f>
        <v/>
      </c>
      <c r="K33" s="21">
        <f>IFERROR(subQ!K26/subQ!J26-1,"")</f>
        <v/>
      </c>
      <c r="L33" s="21">
        <f>IFERROR(subQ!L26/subQ!K26-1,"")</f>
        <v/>
      </c>
      <c r="M33" s="22" t="n"/>
      <c r="N33" s="21">
        <f>IFERROR(subQ!N26/subQ!L26-1,"")</f>
        <v/>
      </c>
      <c r="O33" s="21">
        <f>IFERROR(subQ!O26/subQ!N26-1,"")</f>
        <v/>
      </c>
      <c r="P33" s="21">
        <f>IFERROR(subQ!P26/subQ!O26-1,"")</f>
        <v/>
      </c>
      <c r="Q33" s="21">
        <f>IFERROR(subQ!Q26/subQ!P26-1,"")</f>
        <v/>
      </c>
      <c r="R33" s="22" t="n"/>
      <c r="S33" s="21">
        <f>IFERROR(subQ!S26/subQ!Q26-1,"")</f>
        <v/>
      </c>
      <c r="T33" s="21">
        <f>IFERROR(subQ!T26/subQ!S26-1,"")</f>
        <v/>
      </c>
      <c r="U33" s="21">
        <f>IFERROR(subQ!U26/subQ!T26-1,"")</f>
        <v/>
      </c>
      <c r="V33" s="21">
        <f>IFERROR(subQ!V26/subQ!U26-1,"")</f>
        <v/>
      </c>
      <c r="W33" s="22" t="n"/>
      <c r="X33" s="21">
        <f>IFERROR(subQ!X26/subQ!V26-1,"")</f>
        <v/>
      </c>
      <c r="Y33" s="23">
        <f>IFERROR(subQ!Y26/subQ!X26-1,"")</f>
        <v/>
      </c>
      <c r="Z33" s="24" t="n">
        <v>-0.02202364</v>
      </c>
      <c r="AA33" s="24" t="n">
        <v>-0.01963819</v>
      </c>
      <c r="AB33" s="25" t="n"/>
      <c r="AC33" s="24" t="n">
        <v>-0.026942642</v>
      </c>
      <c r="AD33" s="24" t="n">
        <v>-0.019612792</v>
      </c>
      <c r="AE33" s="24" t="n">
        <v>-0.024234178</v>
      </c>
      <c r="AF33" s="24" t="n">
        <v>-0.021142685</v>
      </c>
      <c r="AG33" s="25" t="n"/>
      <c r="AH33" s="24" t="n">
        <v>-0.030262195</v>
      </c>
      <c r="AI33" s="24" t="n">
        <v>-0.020963195</v>
      </c>
      <c r="AJ33" s="24" t="n">
        <v>-0.02733282</v>
      </c>
      <c r="AK33" s="24" t="n">
        <v>-0.02372316</v>
      </c>
      <c r="AL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1">
        <f>IFERROR(subQ!F27/subQ!E27-1,"")</f>
        <v/>
      </c>
      <c r="G34" s="21">
        <f>IFERROR(subQ!G27/subQ!F27-1,"")</f>
        <v/>
      </c>
      <c r="H34" s="22" t="n"/>
      <c r="I34" s="21">
        <f>IFERROR(subQ!I27/subQ!G27-1,"")</f>
        <v/>
      </c>
      <c r="J34" s="21">
        <f>IFERROR(subQ!J27/subQ!I27-1,"")</f>
        <v/>
      </c>
      <c r="K34" s="21">
        <f>IFERROR(subQ!K27/subQ!J27-1,"")</f>
        <v/>
      </c>
      <c r="L34" s="21">
        <f>IFERROR(subQ!L27/subQ!K27-1,"")</f>
        <v/>
      </c>
      <c r="M34" s="22" t="n"/>
      <c r="N34" s="21">
        <f>IFERROR(subQ!N27/subQ!L27-1,"")</f>
        <v/>
      </c>
      <c r="O34" s="21">
        <f>IFERROR(subQ!O27/subQ!N27-1,"")</f>
        <v/>
      </c>
      <c r="P34" s="21">
        <f>IFERROR(subQ!P27/subQ!O27-1,"")</f>
        <v/>
      </c>
      <c r="Q34" s="21">
        <f>IFERROR(subQ!Q27/subQ!P27-1,"")</f>
        <v/>
      </c>
      <c r="R34" s="22" t="n"/>
      <c r="S34" s="21">
        <f>IFERROR(subQ!S27/subQ!Q27-1,"")</f>
        <v/>
      </c>
      <c r="T34" s="21">
        <f>IFERROR(subQ!T27/subQ!S27-1,"")</f>
        <v/>
      </c>
      <c r="U34" s="21">
        <f>IFERROR(subQ!U27/subQ!T27-1,"")</f>
        <v/>
      </c>
      <c r="V34" s="21">
        <f>IFERROR(subQ!V27/subQ!U27-1,"")</f>
        <v/>
      </c>
      <c r="W34" s="22" t="n"/>
      <c r="X34" s="21">
        <f>IFERROR(subQ!X27/subQ!V27-1,"")</f>
        <v/>
      </c>
      <c r="Y34" s="23">
        <f>IFERROR(subQ!Y27/subQ!X27-1,"")</f>
        <v/>
      </c>
      <c r="Z34" s="32" t="n"/>
      <c r="AA34" s="32" t="n"/>
      <c r="AB34" s="25" t="n"/>
      <c r="AC34" s="32" t="n"/>
      <c r="AD34" s="32" t="n"/>
      <c r="AE34" s="32" t="n"/>
      <c r="AF34" s="32" t="n"/>
      <c r="AG34" s="25" t="n"/>
      <c r="AH34" s="32" t="n"/>
      <c r="AI34" s="32" t="n"/>
      <c r="AJ34" s="32" t="n"/>
      <c r="AK34" s="32" t="n"/>
      <c r="AL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1" t="n"/>
      <c r="G35" s="21" t="n"/>
      <c r="H35" s="22" t="n"/>
      <c r="I35" s="21" t="n"/>
      <c r="J35" s="21">
        <f>IFERROR(subQ!J28/subQ!E28-1,"")</f>
        <v/>
      </c>
      <c r="K35" s="21">
        <f>IFERROR(subQ!K28/subQ!F28-1,"")</f>
        <v/>
      </c>
      <c r="L35" s="21">
        <f>IFERROR(subQ!L28/subQ!G28-1,"")</f>
        <v/>
      </c>
      <c r="M35" s="22" t="n"/>
      <c r="N35" s="21">
        <f>IFERROR(subQ!N28/subQ!I28-1,"")</f>
        <v/>
      </c>
      <c r="O35" s="21">
        <f>IFERROR(subQ!O28/subQ!J28-1,"")</f>
        <v/>
      </c>
      <c r="P35" s="21">
        <f>IFERROR(subQ!P28/subQ!K28-1,"")</f>
        <v/>
      </c>
      <c r="Q35" s="21">
        <f>IFERROR(subQ!Q28/subQ!L28-1,"")</f>
        <v/>
      </c>
      <c r="R35" s="22" t="n"/>
      <c r="S35" s="21">
        <f>IFERROR(subQ!S28/subQ!N28-1,"")</f>
        <v/>
      </c>
      <c r="T35" s="21">
        <f>IFERROR(subQ!T28/subQ!O28-1,"")</f>
        <v/>
      </c>
      <c r="U35" s="21">
        <f>IFERROR(subQ!U28/subQ!P28-1,"")</f>
        <v/>
      </c>
      <c r="V35" s="21">
        <f>IFERROR(subQ!V28/subQ!Q28-1,"")</f>
        <v/>
      </c>
      <c r="W35" s="22" t="n"/>
      <c r="X35" s="21">
        <f>IFERROR(subQ!X28/subQ!S28-1,"")</f>
        <v/>
      </c>
      <c r="Y35" s="23">
        <f>IFERROR(subQ!Y28/subQ!T28-1,"")</f>
        <v/>
      </c>
      <c r="Z35" s="32" t="n"/>
      <c r="AA35" s="32" t="n"/>
      <c r="AB35" s="25" t="n"/>
      <c r="AC35" s="32" t="n"/>
      <c r="AD35" s="32" t="n"/>
      <c r="AE35" s="32" t="n"/>
      <c r="AF35" s="32" t="n"/>
      <c r="AG35" s="25" t="n"/>
      <c r="AH35" s="32" t="n"/>
      <c r="AI35" s="32" t="n"/>
      <c r="AJ35" s="32" t="n"/>
      <c r="AK35" s="32" t="n"/>
      <c r="AL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1">
        <f>IFERROR(subQ!F29/subQ!E29-1,"")</f>
        <v/>
      </c>
      <c r="G36" s="21">
        <f>IFERROR(subQ!G29/subQ!F29-1,"")</f>
        <v/>
      </c>
      <c r="H36" s="22" t="n"/>
      <c r="I36" s="21">
        <f>IFERROR(subQ!I29/subQ!G29-1,"")</f>
        <v/>
      </c>
      <c r="J36" s="21">
        <f>IFERROR(subQ!J29/subQ!I29-1,"")</f>
        <v/>
      </c>
      <c r="K36" s="21">
        <f>IFERROR(subQ!K29/subQ!J29-1,"")</f>
        <v/>
      </c>
      <c r="L36" s="21">
        <f>IFERROR(subQ!L29/subQ!K29-1,"")</f>
        <v/>
      </c>
      <c r="M36" s="22" t="n"/>
      <c r="N36" s="21">
        <f>IFERROR(subQ!N29/subQ!L29-1,"")</f>
        <v/>
      </c>
      <c r="O36" s="21">
        <f>IFERROR(subQ!O29/subQ!N29-1,"")</f>
        <v/>
      </c>
      <c r="P36" s="21">
        <f>IFERROR(subQ!P29/subQ!O29-1,"")</f>
        <v/>
      </c>
      <c r="Q36" s="21">
        <f>IFERROR(subQ!Q29/subQ!P29-1,"")</f>
        <v/>
      </c>
      <c r="R36" s="22" t="n"/>
      <c r="S36" s="21">
        <f>IFERROR(subQ!S29/subQ!Q29-1,"")</f>
        <v/>
      </c>
      <c r="T36" s="21">
        <f>IFERROR(subQ!T29/subQ!S29-1,"")</f>
        <v/>
      </c>
      <c r="U36" s="21">
        <f>IFERROR(subQ!U29/subQ!T29-1,"")</f>
        <v/>
      </c>
      <c r="V36" s="21">
        <f>IFERROR(subQ!V29/subQ!U29-1,"")</f>
        <v/>
      </c>
      <c r="W36" s="22" t="n"/>
      <c r="X36" s="21">
        <f>IFERROR(subQ!X29/subQ!V29-1,"")</f>
        <v/>
      </c>
      <c r="Y36" s="23">
        <f>IFERROR(subQ!Y29/subQ!X29-1,"")</f>
        <v/>
      </c>
      <c r="Z36" s="24" t="n">
        <v>0</v>
      </c>
      <c r="AA36" s="24" t="n">
        <v>0</v>
      </c>
      <c r="AB36" s="25" t="n"/>
      <c r="AC36" s="24" t="n">
        <v>0</v>
      </c>
      <c r="AD36" s="24" t="n">
        <v>0</v>
      </c>
      <c r="AE36" s="24" t="n">
        <v>0</v>
      </c>
      <c r="AF36" s="24" t="n">
        <v>0</v>
      </c>
      <c r="AG36" s="25" t="n"/>
      <c r="AH36" s="24" t="n">
        <v>0</v>
      </c>
      <c r="AI36" s="24" t="n">
        <v>0</v>
      </c>
      <c r="AJ36" s="24" t="n">
        <v>0</v>
      </c>
      <c r="AK36" s="24" t="n">
        <v>0</v>
      </c>
      <c r="AL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7">
        <f>subQ!E32</f>
        <v/>
      </c>
      <c r="F37" s="27">
        <f>subQ!F32</f>
        <v/>
      </c>
      <c r="G37" s="27">
        <f>subQ!G32</f>
        <v/>
      </c>
      <c r="H37" s="28">
        <f>subQ!H32</f>
        <v/>
      </c>
      <c r="I37" s="27">
        <f>subQ!I32</f>
        <v/>
      </c>
      <c r="J37" s="27">
        <f>subQ!J32</f>
        <v/>
      </c>
      <c r="K37" s="27">
        <f>subQ!K32</f>
        <v/>
      </c>
      <c r="L37" s="27">
        <f>subQ!L32</f>
        <v/>
      </c>
      <c r="M37" s="28">
        <f>subQ!M32</f>
        <v/>
      </c>
      <c r="N37" s="27">
        <f>subQ!N32</f>
        <v/>
      </c>
      <c r="O37" s="27">
        <f>subQ!O32</f>
        <v/>
      </c>
      <c r="P37" s="27">
        <f>subQ!P32</f>
        <v/>
      </c>
      <c r="Q37" s="27">
        <f>subQ!Q32</f>
        <v/>
      </c>
      <c r="R37" s="28">
        <f>subQ!R32</f>
        <v/>
      </c>
      <c r="S37" s="27">
        <f>subQ!S32</f>
        <v/>
      </c>
      <c r="T37" s="27">
        <f>subQ!T32</f>
        <v/>
      </c>
      <c r="U37" s="27">
        <f>subQ!U32</f>
        <v/>
      </c>
      <c r="V37" s="27">
        <f>subQ!V32</f>
        <v/>
      </c>
      <c r="W37" s="28">
        <f>subQ!W32</f>
        <v/>
      </c>
      <c r="X37" s="27">
        <f>subQ!X32</f>
        <v/>
      </c>
      <c r="Y37" s="29">
        <f>subQ!Y32</f>
        <v/>
      </c>
      <c r="Z37" s="33" t="n"/>
      <c r="AA37" s="30" t="n">
        <v>0</v>
      </c>
      <c r="AB37" s="31">
        <f>subQ!AB32</f>
        <v/>
      </c>
      <c r="AC37" s="33" t="n"/>
      <c r="AD37" s="33" t="n"/>
      <c r="AE37" s="33" t="n"/>
      <c r="AF37" s="30" t="n">
        <v>0</v>
      </c>
      <c r="AG37" s="31">
        <f>subQ!AG32</f>
        <v/>
      </c>
      <c r="AH37" s="33" t="n"/>
      <c r="AI37" s="33" t="n"/>
      <c r="AJ37" s="33" t="n"/>
      <c r="AK37" s="30" t="n">
        <v>0</v>
      </c>
      <c r="AL37" s="31">
        <f>subQ!AL32</f>
        <v/>
      </c>
    </row>
    <row r="38">
      <c r="H38" s="9" t="n"/>
      <c r="M38" s="9" t="n"/>
      <c r="R38" s="9" t="n"/>
      <c r="W38" s="9" t="n"/>
      <c r="Y38" s="5" t="n"/>
      <c r="Z38" s="10" t="n"/>
      <c r="AA38" s="10" t="n"/>
      <c r="AB38" s="11" t="n"/>
      <c r="AC38" s="10" t="n"/>
      <c r="AD38" s="10" t="n"/>
      <c r="AE38" s="10" t="n"/>
      <c r="AF38" s="10" t="n"/>
      <c r="AG38" s="11" t="n"/>
      <c r="AH38" s="10" t="n"/>
      <c r="AI38" s="10" t="n"/>
      <c r="AJ38" s="10" t="n"/>
      <c r="AK38" s="10" t="n"/>
      <c r="AL38" s="11" t="n"/>
    </row>
    <row r="39">
      <c r="B39" s="1" t="inlineStr">
        <is>
          <t>3. 밸류에이션·스칼라</t>
        </is>
      </c>
      <c r="C39" s="2" t="inlineStr">
        <is>
          <t>노란 셀 = 가정. '연결' 표시는 추정 전 분기 수식이 이 셀을 참조한다는 뜻</t>
        </is>
      </c>
      <c r="H39" s="9" t="n"/>
      <c r="M39" s="9" t="n"/>
      <c r="R39" s="9" t="n"/>
      <c r="W39" s="9" t="n"/>
      <c r="Y39" s="5" t="n"/>
      <c r="Z39" s="10" t="n"/>
      <c r="AA39" s="10" t="n"/>
      <c r="AB39" s="11" t="n"/>
      <c r="AC39" s="10" t="n"/>
      <c r="AD39" s="10" t="n"/>
      <c r="AE39" s="10" t="n"/>
      <c r="AF39" s="10" t="n"/>
      <c r="AG39" s="11" t="n"/>
      <c r="AH39" s="10" t="n"/>
      <c r="AI39" s="10" t="n"/>
      <c r="AJ39" s="10" t="n"/>
      <c r="AK39" s="10" t="n"/>
      <c r="AL39" s="11" t="n"/>
    </row>
    <row r="40">
      <c r="A40" s="12" t="inlineStr">
        <is>
          <t>sc:종가</t>
        </is>
      </c>
      <c r="C40" t="inlineStr">
        <is>
          <t>종가</t>
        </is>
      </c>
      <c r="D40" s="34" t="n">
        <v>24400</v>
      </c>
      <c r="E40" s="2" t="inlineStr">
        <is>
          <t>원 — 네이버 정규장 종가(aik 확정종가 대조 · aik 25,150원)</t>
        </is>
      </c>
      <c r="H40" s="9" t="n"/>
      <c r="M40" s="9" t="n"/>
      <c r="R40" s="9" t="n"/>
      <c r="W40" s="9" t="n"/>
      <c r="Y40" s="5" t="n"/>
      <c r="Z40" s="10" t="n"/>
      <c r="AA40" s="10" t="n"/>
      <c r="AB40" s="11" t="n"/>
      <c r="AC40" s="10" t="n"/>
      <c r="AD40" s="10" t="n"/>
      <c r="AE40" s="10" t="n"/>
      <c r="AF40" s="10" t="n"/>
      <c r="AG40" s="11" t="n"/>
      <c r="AH40" s="10" t="n"/>
      <c r="AI40" s="10" t="n"/>
      <c r="AJ40" s="10" t="n"/>
      <c r="AK40" s="10" t="n"/>
      <c r="AL40" s="11" t="n"/>
    </row>
    <row r="41">
      <c r="A41" s="12" t="inlineStr">
        <is>
          <t>sc:기준일</t>
        </is>
      </c>
      <c r="C41" t="inlineStr">
        <is>
          <t>기준일</t>
        </is>
      </c>
      <c r="D41" s="35" t="inlineStr">
        <is>
          <t>20261008</t>
        </is>
      </c>
      <c r="E41" s="2" t="inlineStr">
        <is>
          <t>종가 기준일</t>
        </is>
      </c>
      <c r="H41" s="9" t="n"/>
      <c r="M41" s="9" t="n"/>
      <c r="R41" s="9" t="n"/>
      <c r="W41" s="9" t="n"/>
      <c r="Y41" s="5" t="n"/>
      <c r="Z41" s="10" t="n"/>
      <c r="AA41" s="10" t="n"/>
      <c r="AB41" s="11" t="n"/>
      <c r="AC41" s="10" t="n"/>
      <c r="AD41" s="10" t="n"/>
      <c r="AE41" s="10" t="n"/>
      <c r="AF41" s="10" t="n"/>
      <c r="AG41" s="11" t="n"/>
      <c r="AH41" s="10" t="n"/>
      <c r="AI41" s="10" t="n"/>
      <c r="AJ41" s="10" t="n"/>
      <c r="AK41" s="10" t="n"/>
      <c r="AL41" s="11" t="n"/>
    </row>
    <row r="42">
      <c r="A42" s="12" t="inlineStr">
        <is>
          <t>sc:COE</t>
        </is>
      </c>
      <c r="C42" t="inlineStr">
        <is>
          <t>COE</t>
        </is>
      </c>
      <c r="D42" s="24" t="n">
        <v>0.09</v>
      </c>
      <c r="E42" s="2" t="inlineStr">
        <is>
          <t>자기자본비용(가정) — TP 적정 PBR = ROE/COE</t>
        </is>
      </c>
      <c r="H42" s="9" t="n"/>
      <c r="M42" s="9" t="n"/>
      <c r="R42" s="9" t="n"/>
      <c r="W42" s="9" t="n"/>
      <c r="Y42" s="5" t="n"/>
      <c r="Z42" s="10" t="n"/>
      <c r="AA42" s="10" t="n"/>
      <c r="AB42" s="11" t="n"/>
      <c r="AC42" s="10" t="n"/>
      <c r="AD42" s="10" t="n"/>
      <c r="AE42" s="10" t="n"/>
      <c r="AF42" s="10" t="n"/>
      <c r="AG42" s="11" t="n"/>
      <c r="AH42" s="10" t="n"/>
      <c r="AI42" s="10" t="n"/>
      <c r="AJ42" s="10" t="n"/>
      <c r="AK42" s="10" t="n"/>
      <c r="AL42" s="11" t="n"/>
    </row>
    <row r="43">
      <c r="A43" s="12" t="inlineStr">
        <is>
          <t>sc:PER_lo</t>
        </is>
      </c>
      <c r="C43" t="inlineStr">
        <is>
          <t>PER_lo</t>
        </is>
      </c>
      <c r="D43" s="30" t="n">
        <v>10</v>
      </c>
      <c r="E43" s="2" t="inlineStr">
        <is>
          <t>PER 밴드 하단(배) — sector_default(레퍼런스 TP_PE PB 예시 10/15/20배; 과거 PER 중위 152.1배가 3~40 밖(턴어라운드 왜곡))</t>
        </is>
      </c>
      <c r="H43" s="9" t="n"/>
      <c r="M43" s="9" t="n"/>
      <c r="R43" s="9" t="n"/>
      <c r="W43" s="9" t="n"/>
      <c r="Y43" s="5" t="n"/>
      <c r="Z43" s="10" t="n"/>
      <c r="AA43" s="10" t="n"/>
      <c r="AB43" s="11" t="n"/>
      <c r="AC43" s="10" t="n"/>
      <c r="AD43" s="10" t="n"/>
      <c r="AE43" s="10" t="n"/>
      <c r="AF43" s="10" t="n"/>
      <c r="AG43" s="11" t="n"/>
      <c r="AH43" s="10" t="n"/>
      <c r="AI43" s="10" t="n"/>
      <c r="AJ43" s="10" t="n"/>
      <c r="AK43" s="10" t="n"/>
      <c r="AL43" s="11" t="n"/>
    </row>
    <row r="44">
      <c r="A44" s="12" t="inlineStr">
        <is>
          <t>sc:PER_mid</t>
        </is>
      </c>
      <c r="C44" t="inlineStr">
        <is>
          <t>PER_mid</t>
        </is>
      </c>
      <c r="D44" s="30" t="n">
        <v>15</v>
      </c>
      <c r="E44" s="2" t="inlineStr">
        <is>
          <t>PER 밴드 중단(배)</t>
        </is>
      </c>
      <c r="H44" s="9" t="n"/>
      <c r="M44" s="9" t="n"/>
      <c r="R44" s="9" t="n"/>
      <c r="W44" s="9" t="n"/>
      <c r="Y44" s="5" t="n"/>
      <c r="Z44" s="10" t="n"/>
      <c r="AA44" s="10" t="n"/>
      <c r="AB44" s="11" t="n"/>
      <c r="AC44" s="10" t="n"/>
      <c r="AD44" s="10" t="n"/>
      <c r="AE44" s="10" t="n"/>
      <c r="AF44" s="10" t="n"/>
      <c r="AG44" s="11" t="n"/>
      <c r="AH44" s="10" t="n"/>
      <c r="AI44" s="10" t="n"/>
      <c r="AJ44" s="10" t="n"/>
      <c r="AK44" s="10" t="n"/>
      <c r="AL44" s="11" t="n"/>
    </row>
    <row r="45">
      <c r="A45" s="12" t="inlineStr">
        <is>
          <t>sc:PER_hi</t>
        </is>
      </c>
      <c r="C45" t="inlineStr">
        <is>
          <t>PER_hi</t>
        </is>
      </c>
      <c r="D45" s="30" t="n">
        <v>20</v>
      </c>
      <c r="E45" s="2" t="inlineStr">
        <is>
          <t>PER 밴드 상단(배)</t>
        </is>
      </c>
      <c r="H45" s="9" t="n"/>
      <c r="M45" s="9" t="n"/>
      <c r="R45" s="9" t="n"/>
      <c r="W45" s="9" t="n"/>
      <c r="Y45" s="5" t="n"/>
      <c r="Z45" s="10" t="n"/>
      <c r="AA45" s="10" t="n"/>
      <c r="AB45" s="11" t="n"/>
      <c r="AC45" s="10" t="n"/>
      <c r="AD45" s="10" t="n"/>
      <c r="AE45" s="10" t="n"/>
      <c r="AF45" s="10" t="n"/>
      <c r="AG45" s="11" t="n"/>
      <c r="AH45" s="10" t="n"/>
      <c r="AI45" s="10" t="n"/>
      <c r="AJ45" s="10" t="n"/>
      <c r="AK45" s="10" t="n"/>
      <c r="AL45" s="11" t="n"/>
    </row>
    <row r="46">
      <c r="A46" s="12" t="inlineStr">
        <is>
          <t>sc:EPS_Y1가중</t>
        </is>
      </c>
      <c r="C46" t="inlineStr">
        <is>
          <t>EPS_Y1가중</t>
        </is>
      </c>
      <c r="D46" s="24" t="n">
        <v>0.5</v>
      </c>
      <c r="E46" s="2" t="inlineStr">
        <is>
          <t>12M fwd EPS = FY(last_actual연도)E × w + FY+1E × (1−w) — 기준 분기 2Q 이면 0.5(가정)</t>
        </is>
      </c>
      <c r="H46" s="9" t="n"/>
      <c r="M46" s="9" t="n"/>
      <c r="R46" s="9" t="n"/>
      <c r="W46" s="9" t="n"/>
      <c r="Y46" s="5" t="n"/>
      <c r="Z46" s="10" t="n"/>
      <c r="AA46" s="10" t="n"/>
      <c r="AB46" s="11" t="n"/>
      <c r="AC46" s="10" t="n"/>
      <c r="AD46" s="10" t="n"/>
      <c r="AE46" s="10" t="n"/>
      <c r="AF46" s="10" t="n"/>
      <c r="AG46" s="11" t="n"/>
      <c r="AH46" s="10" t="n"/>
      <c r="AI46" s="10" t="n"/>
      <c r="AJ46" s="10" t="n"/>
      <c r="AK46" s="10" t="n"/>
      <c r="AL46" s="11" t="n"/>
    </row>
    <row r="47">
      <c r="A47" s="12" t="inlineStr">
        <is>
          <t>sc:세율</t>
        </is>
      </c>
      <c r="C47" t="inlineStr">
        <is>
          <t>세율</t>
        </is>
      </c>
      <c r="D47" s="36" t="n">
        <v>0.22</v>
      </c>
      <c r="E47" s="2" t="inlineStr">
        <is>
          <t>참고(연결 안 됨: MAX(세전,0)×단일 세율로 재현 불가(지주 자회사 합산 등) → 분기별 역산) — 모델 assumptions 값 · 최근 12분기 세전 합 ≤ 0; 세전 &gt; 0 분기 중위 0.0% 도 5~27% 밖 → 법정세율 근사 22% 가정</t>
        </is>
      </c>
      <c r="H47" s="9" t="n"/>
      <c r="M47" s="9" t="n"/>
      <c r="R47" s="9" t="n"/>
      <c r="W47" s="9" t="n"/>
      <c r="Y47" s="5" t="n"/>
      <c r="Z47" s="10" t="n"/>
      <c r="AA47" s="10" t="n"/>
      <c r="AB47" s="11" t="n"/>
      <c r="AC47" s="10" t="n"/>
      <c r="AD47" s="10" t="n"/>
      <c r="AE47" s="10" t="n"/>
      <c r="AF47" s="10" t="n"/>
      <c r="AG47" s="11" t="n"/>
      <c r="AH47" s="10" t="n"/>
      <c r="AI47" s="10" t="n"/>
      <c r="AJ47" s="10" t="n"/>
      <c r="AK47" s="10" t="n"/>
      <c r="AL47" s="11" t="n"/>
    </row>
    <row r="48">
      <c r="A48" s="12" t="inlineStr">
        <is>
          <t>sc:판관비율</t>
        </is>
      </c>
      <c r="C48" t="inlineStr">
        <is>
          <t>판관비율</t>
        </is>
      </c>
      <c r="D48" s="36" t="n">
        <v>0.09373844061392075</v>
      </c>
      <c r="E48" s="2" t="inlineStr">
        <is>
          <t>연결 — 판관비 = 매출액 × 판관비율(역산, 재현 오차 ≤ 0.05억 · 모델 assumptions 0.0937)</t>
        </is>
      </c>
      <c r="H48" s="9" t="n"/>
      <c r="M48" s="9" t="n"/>
      <c r="R48" s="9" t="n"/>
      <c r="W48" s="9" t="n"/>
      <c r="Y48" s="5" t="n"/>
      <c r="Z48" s="10" t="n"/>
      <c r="AA48" s="10" t="n"/>
      <c r="AB48" s="11" t="n"/>
      <c r="AC48" s="10" t="n"/>
      <c r="AD48" s="10" t="n"/>
      <c r="AE48" s="10" t="n"/>
      <c r="AF48" s="10" t="n"/>
      <c r="AG48" s="11" t="n"/>
      <c r="AH48" s="10" t="n"/>
      <c r="AI48" s="10" t="n"/>
      <c r="AJ48" s="10" t="n"/>
      <c r="AK48" s="10" t="n"/>
      <c r="AL48" s="11" t="n"/>
    </row>
    <row r="49">
      <c r="A49" s="12" t="inlineStr">
        <is>
          <t>sc:지배주주비중</t>
        </is>
      </c>
      <c r="C49" t="inlineStr">
        <is>
          <t>지배주주비중</t>
        </is>
      </c>
      <c r="D49" s="36" t="n">
        <v>1</v>
      </c>
      <c r="E49" s="2" t="inlineStr">
        <is>
          <t>연결 — 지배주주순이익 = 당기순이익 × 비중(역산, 재현 오차 ≤ 0.05억)</t>
        </is>
      </c>
      <c r="H49" s="9" t="n"/>
      <c r="M49" s="9" t="n"/>
      <c r="R49" s="9" t="n"/>
      <c r="W49" s="9" t="n"/>
      <c r="Y49" s="5" t="n"/>
      <c r="Z49" s="10" t="n"/>
      <c r="AA49" s="10" t="n"/>
      <c r="AB49" s="11" t="n"/>
      <c r="AC49" s="10" t="n"/>
      <c r="AD49" s="10" t="n"/>
      <c r="AE49" s="10" t="n"/>
      <c r="AF49" s="10" t="n"/>
      <c r="AG49" s="11" t="n"/>
      <c r="AH49" s="10" t="n"/>
      <c r="AI49" s="10" t="n"/>
      <c r="AJ49" s="10" t="n"/>
      <c r="AK49" s="10" t="n"/>
      <c r="AL49" s="11" t="n"/>
    </row>
    <row r="50">
      <c r="A50" s="12" t="inlineStr">
        <is>
          <t>sc:이자율_자산</t>
        </is>
      </c>
      <c r="C50" t="inlineStr">
        <is>
          <t>이자율_자산</t>
        </is>
      </c>
      <c r="D50" s="36" t="n">
        <v>0.04894776875943081</v>
      </c>
      <c r="E50" s="2" t="inlineStr">
        <is>
          <t>연결 — 이자손익 = (전분기 이자발생자산 × 자산이자율 − 전분기 총차입금 × 부채이자율)/4(역산, 재현 오차 ≤ 0.05억 · 모델 assumptions 0.0493)</t>
        </is>
      </c>
      <c r="H50" s="9" t="n"/>
      <c r="M50" s="9" t="n"/>
      <c r="R50" s="9" t="n"/>
      <c r="W50" s="9" t="n"/>
      <c r="Y50" s="5" t="n"/>
      <c r="Z50" s="10" t="n"/>
      <c r="AA50" s="10" t="n"/>
      <c r="AB50" s="11" t="n"/>
      <c r="AC50" s="10" t="n"/>
      <c r="AD50" s="10" t="n"/>
      <c r="AE50" s="10" t="n"/>
      <c r="AF50" s="10" t="n"/>
      <c r="AG50" s="11" t="n"/>
      <c r="AH50" s="10" t="n"/>
      <c r="AI50" s="10" t="n"/>
      <c r="AJ50" s="10" t="n"/>
      <c r="AK50" s="10" t="n"/>
      <c r="AL50" s="11" t="n"/>
    </row>
    <row r="51">
      <c r="A51" s="12" t="inlineStr">
        <is>
          <t>sc:이자율_부채</t>
        </is>
      </c>
      <c r="C51" t="inlineStr">
        <is>
          <t>이자율_부채</t>
        </is>
      </c>
      <c r="D51" s="36" t="n">
        <v>0.03927536169843043</v>
      </c>
      <c r="E51" s="2" t="inlineStr">
        <is>
          <t>연결 — 같은 수식의 부채 쪽(총차입금 행이 없으면 0)(역산, 재현 오차 ≤ 0.05억 · 모델 assumptions 0.0393)</t>
        </is>
      </c>
      <c r="H51" s="9" t="n"/>
      <c r="M51" s="9" t="n"/>
      <c r="R51" s="9" t="n"/>
      <c r="W51" s="9" t="n"/>
      <c r="Y51" s="5" t="n"/>
      <c r="Z51" s="10" t="n"/>
      <c r="AA51" s="10" t="n"/>
      <c r="AB51" s="11" t="n"/>
      <c r="AC51" s="10" t="n"/>
      <c r="AD51" s="10" t="n"/>
      <c r="AE51" s="10" t="n"/>
      <c r="AF51" s="10" t="n"/>
      <c r="AG51" s="11" t="n"/>
      <c r="AH51" s="10" t="n"/>
      <c r="AI51" s="10" t="n"/>
      <c r="AJ51" s="10" t="n"/>
      <c r="AK51" s="10" t="n"/>
      <c r="AL51" s="11" t="n"/>
    </row>
    <row r="52">
      <c r="A52" s="12" t="inlineStr">
        <is>
          <t>sc:배당성향</t>
        </is>
      </c>
      <c r="C52" t="inlineStr">
        <is>
          <t>배당성향</t>
        </is>
      </c>
      <c r="D52" s="24" t="n">
        <v>0</v>
      </c>
      <c r="E52" s="2" t="inlineStr">
        <is>
          <t>배당성향(참고 — 모델은 직전 DPS 유지·Q2 지급 가정)</t>
        </is>
      </c>
      <c r="H52" s="9" t="n"/>
      <c r="M52" s="9" t="n"/>
      <c r="R52" s="9" t="n"/>
      <c r="W52" s="9" t="n"/>
      <c r="Y52" s="5" t="n"/>
      <c r="Z52" s="10" t="n"/>
      <c r="AA52" s="10" t="n"/>
      <c r="AB52" s="11" t="n"/>
      <c r="AC52" s="10" t="n"/>
      <c r="AD52" s="10" t="n"/>
      <c r="AE52" s="10" t="n"/>
      <c r="AF52" s="10" t="n"/>
      <c r="AG52" s="11" t="n"/>
      <c r="AH52" s="10" t="n"/>
      <c r="AI52" s="10" t="n"/>
      <c r="AJ52" s="10" t="n"/>
      <c r="AK52" s="10" t="n"/>
      <c r="AL52" s="11" t="n"/>
    </row>
    <row r="53">
      <c r="A53" s="12" t="inlineStr">
        <is>
          <t>sc:외화순노출_백만$</t>
        </is>
      </c>
      <c r="C53" t="inlineStr">
        <is>
          <t>외화순노출_백만$</t>
        </is>
      </c>
      <c r="D53" s="30" t="n"/>
      <c r="E53" s="2" t="inlineStr">
        <is>
          <t>외화 순노출 × Δ기말환율 (외화 시트 방식) — 외화 순노출 미공시(face) → 0 + 표기</t>
        </is>
      </c>
      <c r="H53" s="9" t="n"/>
      <c r="M53" s="9" t="n"/>
      <c r="R53" s="9" t="n"/>
      <c r="W53" s="9" t="n"/>
      <c r="Y53" s="5" t="n"/>
      <c r="Z53" s="10" t="n"/>
      <c r="AA53" s="10" t="n"/>
      <c r="AB53" s="11" t="n"/>
      <c r="AC53" s="10" t="n"/>
      <c r="AD53" s="10" t="n"/>
      <c r="AE53" s="10" t="n"/>
      <c r="AF53" s="10" t="n"/>
      <c r="AG53" s="11" t="n"/>
      <c r="AH53" s="10" t="n"/>
      <c r="AI53" s="10" t="n"/>
      <c r="AJ53" s="10" t="n"/>
      <c r="AK53" s="10" t="n"/>
      <c r="AL53" s="11" t="n"/>
    </row>
    <row r="54">
      <c r="A54" s="12" t="inlineStr">
        <is>
          <t>sc:헤지비율</t>
        </is>
      </c>
      <c r="C54" t="inlineStr">
        <is>
          <t>헤지비율</t>
        </is>
      </c>
      <c r="D54" s="24" t="n"/>
      <c r="E54" s="2" t="inlineStr">
        <is>
          <t>sls 없음</t>
        </is>
      </c>
      <c r="H54" s="9" t="n"/>
      <c r="M54" s="9" t="n"/>
      <c r="R54" s="9" t="n"/>
      <c r="W54" s="9" t="n"/>
      <c r="Y54" s="5" t="n"/>
      <c r="Z54" s="10" t="n"/>
      <c r="AA54" s="10" t="n"/>
      <c r="AB54" s="11" t="n"/>
      <c r="AC54" s="10" t="n"/>
      <c r="AD54" s="10" t="n"/>
      <c r="AE54" s="10" t="n"/>
      <c r="AF54" s="10" t="n"/>
      <c r="AG54" s="11" t="n"/>
      <c r="AH54" s="10" t="n"/>
      <c r="AI54" s="10" t="n"/>
      <c r="AJ54" s="10" t="n"/>
      <c r="AK54" s="10" t="n"/>
      <c r="AL54" s="11" t="n"/>
    </row>
    <row r="55">
      <c r="A55" s="12" t="inlineStr">
        <is>
          <t>sc:헤지환율_약정</t>
        </is>
      </c>
      <c r="C55" t="inlineStr">
        <is>
          <t>헤지환율_약정</t>
        </is>
      </c>
      <c r="D55" s="16" t="n"/>
      <c r="E55" s="2" t="inlineStr">
        <is>
          <t>sls 없음</t>
        </is>
      </c>
      <c r="H55" s="9" t="n"/>
      <c r="M55" s="9" t="n"/>
      <c r="R55" s="9" t="n"/>
      <c r="W55" s="9" t="n"/>
      <c r="Y55" s="5" t="n"/>
      <c r="Z55" s="10" t="n"/>
      <c r="AA55" s="10" t="n"/>
      <c r="AB55" s="11" t="n"/>
      <c r="AC55" s="10" t="n"/>
      <c r="AD55" s="10" t="n"/>
      <c r="AE55" s="10" t="n"/>
      <c r="AF55" s="10" t="n"/>
      <c r="AG55" s="11" t="n"/>
      <c r="AH55" s="10" t="n"/>
      <c r="AI55" s="10" t="n"/>
      <c r="AJ55" s="10" t="n"/>
      <c r="AK55" s="10" t="n"/>
      <c r="AL5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2Q22</t>
        </is>
      </c>
      <c r="F1" s="3" t="inlineStr">
        <is>
          <t>3Q22</t>
        </is>
      </c>
      <c r="G1" s="3" t="inlineStr">
        <is>
          <t>4Q22</t>
        </is>
      </c>
      <c r="H1" s="3" t="n">
        <v>2022</v>
      </c>
      <c r="I1" s="3" t="inlineStr">
        <is>
          <t>1Q23</t>
        </is>
      </c>
      <c r="J1" s="3" t="inlineStr">
        <is>
          <t>2Q23</t>
        </is>
      </c>
      <c r="K1" s="3" t="inlineStr">
        <is>
          <t>3Q23</t>
        </is>
      </c>
      <c r="L1" s="3" t="inlineStr">
        <is>
          <t>4Q23</t>
        </is>
      </c>
      <c r="M1" s="3" t="n">
        <v>2023</v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n">
        <v>2024</v>
      </c>
      <c r="S1" s="3" t="inlineStr">
        <is>
          <t>1Q25</t>
        </is>
      </c>
      <c r="T1" s="3" t="inlineStr">
        <is>
          <t>2Q25</t>
        </is>
      </c>
      <c r="U1" s="3" t="inlineStr">
        <is>
          <t>3Q25</t>
        </is>
      </c>
      <c r="V1" s="3" t="inlineStr">
        <is>
          <t>4Q25</t>
        </is>
      </c>
      <c r="W1" s="3" t="n">
        <v>2025</v>
      </c>
      <c r="X1" s="3" t="inlineStr">
        <is>
          <t>1Q26</t>
        </is>
      </c>
      <c r="Y1" s="4" t="inlineStr">
        <is>
          <t>2Q26</t>
        </is>
      </c>
      <c r="Z1" s="3" t="inlineStr">
        <is>
          <t>3Q26</t>
        </is>
      </c>
      <c r="AA1" s="3" t="inlineStr">
        <is>
          <t>4Q26</t>
        </is>
      </c>
      <c r="AB1" s="3" t="n">
        <v>2026</v>
      </c>
      <c r="AC1" s="3" t="inlineStr">
        <is>
          <t>1Q27</t>
        </is>
      </c>
      <c r="AD1" s="3" t="inlineStr">
        <is>
          <t>2Q27</t>
        </is>
      </c>
      <c r="AE1" s="3" t="inlineStr">
        <is>
          <t>3Q27</t>
        </is>
      </c>
      <c r="AF1" s="3" t="inlineStr">
        <is>
          <t>4Q27</t>
        </is>
      </c>
      <c r="AG1" s="3" t="n">
        <v>2027</v>
      </c>
      <c r="AH1" s="3" t="inlineStr">
        <is>
          <t>1Q28</t>
        </is>
      </c>
      <c r="AI1" s="3" t="inlineStr">
        <is>
          <t>2Q28</t>
        </is>
      </c>
      <c r="AJ1" s="3" t="inlineStr">
        <is>
          <t>3Q28</t>
        </is>
      </c>
      <c r="AK1" s="3" t="inlineStr">
        <is>
          <t>4Q28</t>
        </is>
      </c>
      <c r="AL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Y2" s="5" t="n"/>
    </row>
    <row r="3">
      <c r="B3" t="inlineStr">
        <is>
          <t>범한퓨얼셀(연)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6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2022.06</t>
        </is>
      </c>
      <c r="F4" s="7" t="inlineStr">
        <is>
          <t>2022.09</t>
        </is>
      </c>
      <c r="G4" s="7" t="inlineStr">
        <is>
          <t>2022.12</t>
        </is>
      </c>
      <c r="H4" s="7" t="inlineStr">
        <is>
          <t>2022.12A</t>
        </is>
      </c>
      <c r="I4" s="7" t="inlineStr">
        <is>
          <t>2023.03</t>
        </is>
      </c>
      <c r="J4" s="7" t="inlineStr">
        <is>
          <t>2023.06</t>
        </is>
      </c>
      <c r="K4" s="7" t="inlineStr">
        <is>
          <t>2023.09</t>
        </is>
      </c>
      <c r="L4" s="7" t="inlineStr">
        <is>
          <t>2023.12</t>
        </is>
      </c>
      <c r="M4" s="7" t="inlineStr">
        <is>
          <t>2023.12A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2024.12A</t>
        </is>
      </c>
      <c r="S4" s="7" t="inlineStr">
        <is>
          <t>2025.03</t>
        </is>
      </c>
      <c r="T4" s="7" t="inlineStr">
        <is>
          <t>2025.06</t>
        </is>
      </c>
      <c r="U4" s="7" t="inlineStr">
        <is>
          <t>2025.09</t>
        </is>
      </c>
      <c r="V4" s="7" t="inlineStr">
        <is>
          <t>2025.12</t>
        </is>
      </c>
      <c r="W4" s="7" t="inlineStr">
        <is>
          <t>2025.12A</t>
        </is>
      </c>
      <c r="X4" s="7" t="inlineStr">
        <is>
          <t>2026.03</t>
        </is>
      </c>
      <c r="Y4" s="8" t="inlineStr">
        <is>
          <t>2026.06</t>
        </is>
      </c>
      <c r="Z4" s="7" t="inlineStr">
        <is>
          <t>2026.09</t>
        </is>
      </c>
      <c r="AA4" s="7" t="inlineStr">
        <is>
          <t>2026.12</t>
        </is>
      </c>
      <c r="AB4" s="7" t="inlineStr">
        <is>
          <t>2026.12A</t>
        </is>
      </c>
      <c r="AC4" s="7" t="inlineStr">
        <is>
          <t>2027.03</t>
        </is>
      </c>
      <c r="AD4" s="7" t="inlineStr">
        <is>
          <t>2027.06</t>
        </is>
      </c>
      <c r="AE4" s="7" t="inlineStr">
        <is>
          <t>2027.09</t>
        </is>
      </c>
      <c r="AF4" s="7" t="inlineStr">
        <is>
          <t>2027.12</t>
        </is>
      </c>
      <c r="AG4" s="7" t="inlineStr">
        <is>
          <t>2027.12A</t>
        </is>
      </c>
      <c r="AH4" s="7" t="inlineStr">
        <is>
          <t>2028.03</t>
        </is>
      </c>
      <c r="AI4" s="7" t="inlineStr">
        <is>
          <t>2028.06</t>
        </is>
      </c>
      <c r="AJ4" s="7" t="inlineStr">
        <is>
          <t>2028.09</t>
        </is>
      </c>
      <c r="AK4" s="7" t="inlineStr">
        <is>
          <t>2028.12</t>
        </is>
      </c>
      <c r="AL4" s="7" t="inlineStr">
        <is>
          <t>2028.12A</t>
        </is>
      </c>
    </row>
    <row r="5">
      <c r="A5" t="n">
        <v>1</v>
      </c>
      <c r="C5" t="inlineStr">
        <is>
          <t>유동자산</t>
        </is>
      </c>
      <c r="H5" s="9" t="n"/>
      <c r="L5" s="18" t="n">
        <v>89028.47</v>
      </c>
      <c r="M5" s="37" t="n">
        <v>89028.47</v>
      </c>
      <c r="N5" s="18" t="n">
        <v>78664.34</v>
      </c>
      <c r="O5" s="18" t="n">
        <v>76383.22</v>
      </c>
      <c r="P5" s="18" t="n">
        <v>72699.49000000001</v>
      </c>
      <c r="Q5" s="18" t="n">
        <v>87944.00999999999</v>
      </c>
      <c r="R5" s="37" t="n">
        <v>87944.00999999999</v>
      </c>
      <c r="S5" s="18" t="n">
        <v>88788.95</v>
      </c>
      <c r="T5" s="18" t="n">
        <v>92384.06</v>
      </c>
      <c r="U5" s="18" t="n">
        <v>86456.73</v>
      </c>
      <c r="V5" s="18" t="n">
        <v>129650.83</v>
      </c>
      <c r="W5" s="37" t="n">
        <v>129650.83</v>
      </c>
      <c r="X5" s="18" t="n">
        <v>125052.52</v>
      </c>
      <c r="Y5" s="19" t="n">
        <v>110872.56</v>
      </c>
      <c r="Z5" s="10" t="n"/>
      <c r="AA5" s="10" t="n"/>
      <c r="AB5" s="11" t="n"/>
      <c r="AC5" s="10" t="n"/>
      <c r="AD5" s="10" t="n"/>
      <c r="AE5" s="10" t="n"/>
      <c r="AF5" s="10" t="n"/>
      <c r="AG5" s="11" t="n"/>
      <c r="AH5" s="10" t="n"/>
      <c r="AI5" s="10" t="n"/>
      <c r="AJ5" s="10" t="n"/>
      <c r="AK5" s="10" t="n"/>
      <c r="AL5" s="11" t="n"/>
    </row>
    <row r="6">
      <c r="A6" t="n">
        <v>1</v>
      </c>
      <c r="C6" t="inlineStr">
        <is>
          <t>현금및현금성자산</t>
        </is>
      </c>
      <c r="H6" s="9" t="n"/>
      <c r="L6" s="18" t="n">
        <v>26732.9</v>
      </c>
      <c r="M6" s="37" t="n">
        <v>26732.9</v>
      </c>
      <c r="N6" s="18" t="n">
        <v>2817.92</v>
      </c>
      <c r="O6" s="18" t="n">
        <v>26929.3</v>
      </c>
      <c r="P6" s="18" t="n">
        <v>17192.62</v>
      </c>
      <c r="Q6" s="18" t="n">
        <v>19597.33</v>
      </c>
      <c r="R6" s="37" t="n">
        <v>19597.33</v>
      </c>
      <c r="S6" s="18" t="n">
        <v>25886.48</v>
      </c>
      <c r="T6" s="18" t="n">
        <v>13731.92</v>
      </c>
      <c r="U6" s="18" t="n">
        <v>7986.22</v>
      </c>
      <c r="V6" s="18" t="n">
        <v>45853.97</v>
      </c>
      <c r="W6" s="37" t="n">
        <v>45853.97</v>
      </c>
      <c r="X6" s="18" t="n">
        <v>21114.54</v>
      </c>
      <c r="Y6" s="19" t="n">
        <v>19840.45</v>
      </c>
      <c r="Z6" s="10" t="n"/>
      <c r="AA6" s="10" t="n"/>
      <c r="AB6" s="11" t="n"/>
      <c r="AC6" s="10" t="n"/>
      <c r="AD6" s="10" t="n"/>
      <c r="AE6" s="10" t="n"/>
      <c r="AF6" s="10" t="n"/>
      <c r="AG6" s="11" t="n"/>
      <c r="AH6" s="10" t="n"/>
      <c r="AI6" s="10" t="n"/>
      <c r="AJ6" s="10" t="n"/>
      <c r="AK6" s="10" t="n"/>
      <c r="AL6" s="11" t="n"/>
    </row>
    <row r="7">
      <c r="A7" t="n">
        <v>1</v>
      </c>
      <c r="C7" t="inlineStr">
        <is>
          <t>단기금융상품</t>
        </is>
      </c>
      <c r="H7" s="9" t="n"/>
      <c r="L7" s="18" t="n">
        <v>15540</v>
      </c>
      <c r="M7" s="37" t="n">
        <v>15540</v>
      </c>
      <c r="N7" s="18" t="n">
        <v>5630</v>
      </c>
      <c r="O7" s="18" t="n">
        <v>5360</v>
      </c>
      <c r="P7" s="18" t="n">
        <v>4450</v>
      </c>
      <c r="Q7" s="18" t="n">
        <v>3540</v>
      </c>
      <c r="R7" s="37" t="n">
        <v>3540</v>
      </c>
      <c r="S7" s="18" t="n">
        <v>600</v>
      </c>
      <c r="T7" s="18" t="n">
        <v>2651.36</v>
      </c>
      <c r="U7" s="18" t="n">
        <v>2651.36</v>
      </c>
      <c r="V7" s="18" t="n">
        <v>2651.36</v>
      </c>
      <c r="W7" s="37" t="n">
        <v>2651.36</v>
      </c>
      <c r="X7" s="18" t="n">
        <v>7651.36</v>
      </c>
      <c r="Y7" s="19" t="n">
        <v>2351</v>
      </c>
      <c r="Z7" s="10" t="n"/>
      <c r="AA7" s="10" t="n"/>
      <c r="AB7" s="11" t="n"/>
      <c r="AC7" s="10" t="n"/>
      <c r="AD7" s="10" t="n"/>
      <c r="AE7" s="10" t="n"/>
      <c r="AF7" s="10" t="n"/>
      <c r="AG7" s="11" t="n"/>
      <c r="AH7" s="10" t="n"/>
      <c r="AI7" s="10" t="n"/>
      <c r="AJ7" s="10" t="n"/>
      <c r="AK7" s="10" t="n"/>
      <c r="AL7" s="11" t="n"/>
    </row>
    <row r="8">
      <c r="A8" t="n">
        <v>1</v>
      </c>
      <c r="C8" t="inlineStr">
        <is>
          <t>단기금융자산</t>
        </is>
      </c>
      <c r="H8" s="9" t="n"/>
      <c r="L8" s="18" t="n">
        <v>15540</v>
      </c>
      <c r="M8" s="37" t="n">
        <v>15540</v>
      </c>
      <c r="N8" s="18" t="n">
        <v>5630</v>
      </c>
      <c r="O8" s="18" t="n">
        <v>5360</v>
      </c>
      <c r="P8" s="18" t="n">
        <v>4450</v>
      </c>
      <c r="Q8" s="18" t="n">
        <v>3540</v>
      </c>
      <c r="R8" s="37" t="n">
        <v>3540</v>
      </c>
      <c r="S8" s="18" t="n">
        <v>600</v>
      </c>
      <c r="T8" s="18" t="n">
        <v>2651.36</v>
      </c>
      <c r="U8" s="18" t="n">
        <v>2651.36</v>
      </c>
      <c r="V8" s="18" t="n">
        <v>2651.36</v>
      </c>
      <c r="W8" s="37" t="n">
        <v>2651.36</v>
      </c>
      <c r="X8" s="18" t="n">
        <v>7651.36</v>
      </c>
      <c r="Y8" s="19" t="n">
        <v>2351</v>
      </c>
      <c r="Z8" s="10" t="n"/>
      <c r="AA8" s="10" t="n"/>
      <c r="AB8" s="11" t="n"/>
      <c r="AC8" s="10" t="n"/>
      <c r="AD8" s="10" t="n"/>
      <c r="AE8" s="10" t="n"/>
      <c r="AF8" s="10" t="n"/>
      <c r="AG8" s="11" t="n"/>
      <c r="AH8" s="10" t="n"/>
      <c r="AI8" s="10" t="n"/>
      <c r="AJ8" s="10" t="n"/>
      <c r="AK8" s="10" t="n"/>
      <c r="AL8" s="11" t="n"/>
    </row>
    <row r="9">
      <c r="A9" t="n">
        <v>1</v>
      </c>
      <c r="C9" t="inlineStr">
        <is>
          <t>단기투자자산(공정가치)</t>
        </is>
      </c>
      <c r="H9" s="9" t="n"/>
      <c r="L9" s="18" t="n">
        <v>52.09</v>
      </c>
      <c r="M9" s="37" t="n">
        <v>52.09</v>
      </c>
      <c r="N9" s="18" t="n">
        <v>12.35</v>
      </c>
      <c r="O9" s="18" t="n">
        <v>12.45</v>
      </c>
      <c r="P9" s="18" t="n">
        <v>12.55</v>
      </c>
      <c r="Q9" s="18" t="n">
        <v>2699.87</v>
      </c>
      <c r="R9" s="37" t="n">
        <v>2699.87</v>
      </c>
      <c r="S9" s="18" t="n">
        <v>2687.53</v>
      </c>
      <c r="T9" s="18" t="n">
        <v>2687.53</v>
      </c>
      <c r="U9" s="18" t="n">
        <v>2687.53</v>
      </c>
      <c r="V9" s="18" t="n">
        <v>2887.42</v>
      </c>
      <c r="W9" s="37" t="n">
        <v>2887.42</v>
      </c>
      <c r="X9" s="18" t="n">
        <v>2887.42</v>
      </c>
      <c r="Y9" s="19" t="n">
        <v>2887.42</v>
      </c>
      <c r="Z9" s="10" t="n"/>
      <c r="AA9" s="10" t="n"/>
      <c r="AB9" s="11" t="n"/>
      <c r="AC9" s="10" t="n"/>
      <c r="AD9" s="10" t="n"/>
      <c r="AE9" s="10" t="n"/>
      <c r="AF9" s="10" t="n"/>
      <c r="AG9" s="11" t="n"/>
      <c r="AH9" s="10" t="n"/>
      <c r="AI9" s="10" t="n"/>
      <c r="AJ9" s="10" t="n"/>
      <c r="AK9" s="10" t="n"/>
      <c r="AL9" s="11" t="n"/>
    </row>
    <row r="10">
      <c r="A10" t="n">
        <v>1</v>
      </c>
      <c r="C10" t="inlineStr">
        <is>
          <t>매출채권및기타채권</t>
        </is>
      </c>
      <c r="H10" s="9" t="n"/>
      <c r="L10" s="18" t="n">
        <v>19237.51</v>
      </c>
      <c r="M10" s="37" t="n">
        <v>19237.51</v>
      </c>
      <c r="N10" s="18" t="n">
        <v>41826.51</v>
      </c>
      <c r="O10" s="18" t="n">
        <v>14479.48</v>
      </c>
      <c r="P10" s="18" t="n">
        <v>21479.18</v>
      </c>
      <c r="Q10" s="18" t="n">
        <v>39804.81</v>
      </c>
      <c r="R10" s="37" t="n">
        <v>39804.81</v>
      </c>
      <c r="S10" s="18" t="n">
        <v>42172.66</v>
      </c>
      <c r="T10" s="18" t="n">
        <v>48435.93</v>
      </c>
      <c r="U10" s="18" t="n">
        <v>47634.36</v>
      </c>
      <c r="V10" s="18" t="n">
        <v>48702.23</v>
      </c>
      <c r="W10" s="37" t="n">
        <v>48702.23</v>
      </c>
      <c r="X10" s="18" t="n">
        <v>52310.41</v>
      </c>
      <c r="Y10" s="19" t="n">
        <v>52137.88</v>
      </c>
      <c r="Z10" s="10" t="n"/>
      <c r="AA10" s="10" t="n"/>
      <c r="AB10" s="11" t="n"/>
      <c r="AC10" s="10" t="n"/>
      <c r="AD10" s="10" t="n"/>
      <c r="AE10" s="10" t="n"/>
      <c r="AF10" s="10" t="n"/>
      <c r="AG10" s="11" t="n"/>
      <c r="AH10" s="10" t="n"/>
      <c r="AI10" s="10" t="n"/>
      <c r="AJ10" s="10" t="n"/>
      <c r="AK10" s="10" t="n"/>
      <c r="AL10" s="11" t="n"/>
    </row>
    <row r="11">
      <c r="A11" t="n">
        <v>1</v>
      </c>
      <c r="C11" t="inlineStr">
        <is>
          <t>계약자산</t>
        </is>
      </c>
      <c r="H11" s="9" t="n"/>
      <c r="L11" s="18" t="n">
        <v>9255.73</v>
      </c>
      <c r="M11" s="37" t="n">
        <v>9255.73</v>
      </c>
      <c r="N11" s="18" t="n">
        <v>9095.549999999999</v>
      </c>
      <c r="O11" s="18" t="n">
        <v>9620.15</v>
      </c>
      <c r="P11" s="18" t="n">
        <v>10310.92</v>
      </c>
      <c r="Q11" s="18" t="n">
        <v>5907.38</v>
      </c>
      <c r="R11" s="37" t="n">
        <v>5907.38</v>
      </c>
      <c r="S11" s="18" t="n">
        <v>3323.67</v>
      </c>
      <c r="T11" s="18" t="n">
        <v>10175.87</v>
      </c>
      <c r="U11" s="18" t="n">
        <v>9141.360000000001</v>
      </c>
      <c r="V11" s="18" t="n">
        <v>10343.67</v>
      </c>
      <c r="W11" s="37" t="n">
        <v>10343.67</v>
      </c>
      <c r="X11" s="18" t="n">
        <v>9128.41</v>
      </c>
      <c r="Y11" s="19" t="n">
        <v>439.94</v>
      </c>
      <c r="Z11" s="10" t="n"/>
      <c r="AA11" s="10" t="n"/>
      <c r="AB11" s="11" t="n"/>
      <c r="AC11" s="10" t="n"/>
      <c r="AD11" s="10" t="n"/>
      <c r="AE11" s="10" t="n"/>
      <c r="AF11" s="10" t="n"/>
      <c r="AG11" s="11" t="n"/>
      <c r="AH11" s="10" t="n"/>
      <c r="AI11" s="10" t="n"/>
      <c r="AJ11" s="10" t="n"/>
      <c r="AK11" s="10" t="n"/>
      <c r="AL11" s="11" t="n"/>
    </row>
    <row r="12">
      <c r="A12" t="n">
        <v>1</v>
      </c>
      <c r="C12" t="inlineStr">
        <is>
          <t>재고자산</t>
        </is>
      </c>
      <c r="H12" s="9" t="n"/>
      <c r="L12" s="18" t="n">
        <v>16502.04</v>
      </c>
      <c r="M12" s="37" t="n">
        <v>16502.04</v>
      </c>
      <c r="N12" s="18" t="n">
        <v>18140.08</v>
      </c>
      <c r="O12" s="18" t="n">
        <v>19297.2</v>
      </c>
      <c r="P12" s="18" t="n">
        <v>17761.96</v>
      </c>
      <c r="Q12" s="18" t="n">
        <v>15681.99</v>
      </c>
      <c r="R12" s="37" t="n">
        <v>15681.99</v>
      </c>
      <c r="S12" s="18" t="n">
        <v>12869.69</v>
      </c>
      <c r="T12" s="18" t="n">
        <v>12963.13</v>
      </c>
      <c r="U12" s="18" t="n">
        <v>13808.6</v>
      </c>
      <c r="V12" s="18" t="n">
        <v>14059.45</v>
      </c>
      <c r="W12" s="37" t="n">
        <v>14059.45</v>
      </c>
      <c r="X12" s="18" t="n">
        <v>17938.99</v>
      </c>
      <c r="Y12" s="19" t="n">
        <v>21115.81</v>
      </c>
      <c r="Z12" s="10" t="n"/>
      <c r="AA12" s="10" t="n"/>
      <c r="AB12" s="11" t="n"/>
      <c r="AC12" s="10" t="n"/>
      <c r="AD12" s="10" t="n"/>
      <c r="AE12" s="10" t="n"/>
      <c r="AF12" s="10" t="n"/>
      <c r="AG12" s="11" t="n"/>
      <c r="AH12" s="10" t="n"/>
      <c r="AI12" s="10" t="n"/>
      <c r="AJ12" s="10" t="n"/>
      <c r="AK12" s="10" t="n"/>
      <c r="AL12" s="11" t="n"/>
    </row>
    <row r="13">
      <c r="A13" t="n">
        <v>1</v>
      </c>
      <c r="C13" t="inlineStr">
        <is>
          <t>기타유동자산</t>
        </is>
      </c>
      <c r="H13" s="9" t="n"/>
      <c r="L13" s="18" t="n">
        <v>1241.19</v>
      </c>
      <c r="M13" s="37" t="n">
        <v>1241.19</v>
      </c>
      <c r="N13" s="18" t="n">
        <v>633.3099999999999</v>
      </c>
      <c r="O13" s="18" t="n">
        <v>558.6900000000001</v>
      </c>
      <c r="P13" s="18" t="n">
        <v>1309.71</v>
      </c>
      <c r="Q13" s="18" t="n">
        <v>508.77</v>
      </c>
      <c r="R13" s="37" t="n">
        <v>508.77</v>
      </c>
      <c r="S13" s="18" t="n">
        <v>1016.64</v>
      </c>
      <c r="T13" s="18" t="n">
        <v>1598.68</v>
      </c>
      <c r="U13" s="18" t="n">
        <v>2333.33</v>
      </c>
      <c r="V13" s="18" t="n">
        <v>4840.5</v>
      </c>
      <c r="W13" s="37" t="n">
        <v>4840.5</v>
      </c>
      <c r="X13" s="18" t="n">
        <v>13698.7</v>
      </c>
      <c r="Y13" s="19" t="n">
        <v>11887.62</v>
      </c>
      <c r="Z13" s="10" t="n"/>
      <c r="AA13" s="10" t="n"/>
      <c r="AB13" s="11" t="n"/>
      <c r="AC13" s="10" t="n"/>
      <c r="AD13" s="10" t="n"/>
      <c r="AE13" s="10" t="n"/>
      <c r="AF13" s="10" t="n"/>
      <c r="AG13" s="11" t="n"/>
      <c r="AH13" s="10" t="n"/>
      <c r="AI13" s="10" t="n"/>
      <c r="AJ13" s="10" t="n"/>
      <c r="AK13" s="10" t="n"/>
      <c r="AL13" s="11" t="n"/>
    </row>
    <row r="14">
      <c r="A14" t="n">
        <v>1</v>
      </c>
      <c r="C14" t="inlineStr">
        <is>
          <t>당기법인세자산(선급법인세)</t>
        </is>
      </c>
      <c r="H14" s="9" t="n"/>
      <c r="L14" s="18" t="n">
        <v>467.01</v>
      </c>
      <c r="M14" s="37" t="n">
        <v>467.01</v>
      </c>
      <c r="N14" s="18" t="n">
        <v>508.6</v>
      </c>
      <c r="O14" s="18" t="n">
        <v>125.95</v>
      </c>
      <c r="P14" s="18" t="n">
        <v>182.56</v>
      </c>
      <c r="Q14" s="18" t="n">
        <v>203.85</v>
      </c>
      <c r="R14" s="37" t="n">
        <v>203.85</v>
      </c>
      <c r="S14" s="18" t="n">
        <v>232.28</v>
      </c>
      <c r="T14" s="18" t="n">
        <v>139.64</v>
      </c>
      <c r="U14" s="18" t="n">
        <v>213.95</v>
      </c>
      <c r="V14" s="18" t="n">
        <v>312.22</v>
      </c>
      <c r="W14" s="37" t="n">
        <v>312.22</v>
      </c>
      <c r="X14" s="18" t="n">
        <v>322.68</v>
      </c>
      <c r="Y14" s="19" t="n">
        <v>212.44</v>
      </c>
      <c r="Z14" s="10" t="n"/>
      <c r="AA14" s="10" t="n"/>
      <c r="AB14" s="11" t="n"/>
      <c r="AC14" s="10" t="n"/>
      <c r="AD14" s="10" t="n"/>
      <c r="AE14" s="10" t="n"/>
      <c r="AF14" s="10" t="n"/>
      <c r="AG14" s="11" t="n"/>
      <c r="AH14" s="10" t="n"/>
      <c r="AI14" s="10" t="n"/>
      <c r="AJ14" s="10" t="n"/>
      <c r="AK14" s="10" t="n"/>
      <c r="AL14" s="11" t="n"/>
    </row>
    <row r="15">
      <c r="A15" t="n">
        <v>1</v>
      </c>
      <c r="C15" t="inlineStr">
        <is>
          <t>비유동자산</t>
        </is>
      </c>
      <c r="H15" s="9" t="n"/>
      <c r="L15" s="18" t="n">
        <v>34607.2</v>
      </c>
      <c r="M15" s="37" t="n">
        <v>34607.2</v>
      </c>
      <c r="N15" s="18" t="n">
        <v>152692.81</v>
      </c>
      <c r="O15" s="18" t="n">
        <v>151776.8</v>
      </c>
      <c r="P15" s="18" t="n">
        <v>150386.2</v>
      </c>
      <c r="Q15" s="18" t="n">
        <v>224474.91</v>
      </c>
      <c r="R15" s="37" t="n">
        <v>224474.91</v>
      </c>
      <c r="S15" s="18" t="n">
        <v>225062.59</v>
      </c>
      <c r="T15" s="18" t="n">
        <v>217577.27</v>
      </c>
      <c r="U15" s="18" t="n">
        <v>222901.31</v>
      </c>
      <c r="V15" s="18" t="n">
        <v>222709.94</v>
      </c>
      <c r="W15" s="37" t="n">
        <v>222709.94</v>
      </c>
      <c r="X15" s="18" t="n">
        <v>225990.09</v>
      </c>
      <c r="Y15" s="19" t="n">
        <v>225697.2</v>
      </c>
      <c r="Z15" s="10" t="n"/>
      <c r="AA15" s="10" t="n"/>
      <c r="AB15" s="11" t="n"/>
      <c r="AC15" s="10" t="n"/>
      <c r="AD15" s="10" t="n"/>
      <c r="AE15" s="10" t="n"/>
      <c r="AF15" s="10" t="n"/>
      <c r="AG15" s="11" t="n"/>
      <c r="AH15" s="10" t="n"/>
      <c r="AI15" s="10" t="n"/>
      <c r="AJ15" s="10" t="n"/>
      <c r="AK15" s="10" t="n"/>
      <c r="AL15" s="11" t="n"/>
    </row>
    <row r="16">
      <c r="A16" t="n">
        <v>1</v>
      </c>
      <c r="C16" t="inlineStr">
        <is>
          <t>장기금융자산</t>
        </is>
      </c>
      <c r="H16" s="9" t="n"/>
      <c r="L16" s="18" t="n">
        <v>8106.68</v>
      </c>
      <c r="M16" s="37" t="n">
        <v>8106.68</v>
      </c>
      <c r="N16" s="18" t="n">
        <v>8131.12</v>
      </c>
      <c r="O16" s="18" t="n">
        <v>8131.12</v>
      </c>
      <c r="P16" s="18" t="n">
        <v>8131.12</v>
      </c>
      <c r="Q16" s="18" t="n">
        <v>4631.12</v>
      </c>
      <c r="R16" s="37" t="n">
        <v>4631.12</v>
      </c>
      <c r="S16" s="18" t="n">
        <v>4949.61</v>
      </c>
      <c r="T16" s="18" t="n">
        <v>4949.61</v>
      </c>
      <c r="U16" s="18" t="n">
        <v>8959.610000000001</v>
      </c>
      <c r="V16" s="18" t="n">
        <v>7084.61</v>
      </c>
      <c r="W16" s="37" t="n">
        <v>7084.61</v>
      </c>
      <c r="X16" s="18" t="n">
        <v>7539.33</v>
      </c>
      <c r="Y16" s="19" t="n">
        <v>7539.33</v>
      </c>
      <c r="Z16" s="10" t="n"/>
      <c r="AA16" s="10" t="n"/>
      <c r="AB16" s="11" t="n"/>
      <c r="AC16" s="10" t="n"/>
      <c r="AD16" s="10" t="n"/>
      <c r="AE16" s="10" t="n"/>
      <c r="AF16" s="10" t="n"/>
      <c r="AG16" s="11" t="n"/>
      <c r="AH16" s="10" t="n"/>
      <c r="AI16" s="10" t="n"/>
      <c r="AJ16" s="10" t="n"/>
      <c r="AK16" s="10" t="n"/>
      <c r="AL16" s="11" t="n"/>
    </row>
    <row r="17">
      <c r="A17" t="n">
        <v>1</v>
      </c>
      <c r="C17" t="inlineStr">
        <is>
          <t>투자자산</t>
        </is>
      </c>
      <c r="H17" s="9" t="n"/>
      <c r="L17" s="18" t="n">
        <v>8106.68</v>
      </c>
      <c r="M17" s="37" t="n">
        <v>8106.68</v>
      </c>
      <c r="N17" s="18" t="n">
        <v>8131.12</v>
      </c>
      <c r="O17" s="18" t="n">
        <v>8131.12</v>
      </c>
      <c r="P17" s="18" t="n">
        <v>8131.12</v>
      </c>
      <c r="Q17" s="18" t="n">
        <v>4631.12</v>
      </c>
      <c r="R17" s="37" t="n">
        <v>4631.12</v>
      </c>
      <c r="S17" s="18" t="n">
        <v>4949.61</v>
      </c>
      <c r="T17" s="18" t="n">
        <v>4949.61</v>
      </c>
      <c r="U17" s="18" t="n">
        <v>8959.610000000001</v>
      </c>
      <c r="V17" s="18" t="n">
        <v>7084.61</v>
      </c>
      <c r="W17" s="37" t="n">
        <v>7084.61</v>
      </c>
      <c r="X17" s="18" t="n">
        <v>7539.33</v>
      </c>
      <c r="Y17" s="19" t="n">
        <v>7539.33</v>
      </c>
      <c r="Z17" s="10" t="n"/>
      <c r="AA17" s="10" t="n"/>
      <c r="AB17" s="11" t="n"/>
      <c r="AC17" s="10" t="n"/>
      <c r="AD17" s="10" t="n"/>
      <c r="AE17" s="10" t="n"/>
      <c r="AF17" s="10" t="n"/>
      <c r="AG17" s="11" t="n"/>
      <c r="AH17" s="10" t="n"/>
      <c r="AI17" s="10" t="n"/>
      <c r="AJ17" s="10" t="n"/>
      <c r="AK17" s="10" t="n"/>
      <c r="AL17" s="11" t="n"/>
    </row>
    <row r="18">
      <c r="A18" t="n">
        <v>1</v>
      </c>
      <c r="C18" t="inlineStr">
        <is>
          <t>유형자산</t>
        </is>
      </c>
      <c r="H18" s="9" t="n"/>
      <c r="L18" s="18" t="n">
        <v>13690.61</v>
      </c>
      <c r="M18" s="37" t="n">
        <v>13690.61</v>
      </c>
      <c r="N18" s="18" t="n">
        <v>129999.39</v>
      </c>
      <c r="O18" s="18" t="n">
        <v>13382.26</v>
      </c>
      <c r="P18" s="18" t="n">
        <v>10410.07</v>
      </c>
      <c r="Q18" s="18" t="n">
        <v>205067.33</v>
      </c>
      <c r="R18" s="37" t="n">
        <v>205067.33</v>
      </c>
      <c r="S18" s="18" t="n">
        <v>204893.65</v>
      </c>
      <c r="T18" s="18" t="n">
        <v>204936.01</v>
      </c>
      <c r="U18" s="18" t="n">
        <v>204604.8</v>
      </c>
      <c r="V18" s="18" t="n">
        <v>204798.02</v>
      </c>
      <c r="W18" s="37" t="n">
        <v>204798.02</v>
      </c>
      <c r="X18" s="18" t="n">
        <v>206985.99</v>
      </c>
      <c r="Y18" s="19" t="n">
        <v>207054.21</v>
      </c>
      <c r="Z18" s="10" t="n"/>
      <c r="AA18" s="10" t="n"/>
      <c r="AB18" s="11" t="n"/>
      <c r="AC18" s="10" t="n"/>
      <c r="AD18" s="10" t="n"/>
      <c r="AE18" s="10" t="n"/>
      <c r="AF18" s="10" t="n"/>
      <c r="AG18" s="11" t="n"/>
      <c r="AH18" s="10" t="n"/>
      <c r="AI18" s="10" t="n"/>
      <c r="AJ18" s="10" t="n"/>
      <c r="AK18" s="10" t="n"/>
      <c r="AL18" s="11" t="n"/>
    </row>
    <row r="19">
      <c r="A19" t="n">
        <v>1</v>
      </c>
      <c r="C19" t="inlineStr">
        <is>
          <t>사용권자산</t>
        </is>
      </c>
      <c r="H19" s="9" t="n"/>
      <c r="L19" s="18" t="n">
        <v>1322.23</v>
      </c>
      <c r="M19" s="37" t="n">
        <v>1322.23</v>
      </c>
      <c r="N19" s="18" t="n">
        <v>1270.41</v>
      </c>
      <c r="O19" s="18" t="n">
        <v>1199.18</v>
      </c>
      <c r="P19" s="18" t="n">
        <v>1146.59</v>
      </c>
      <c r="Q19" s="18" t="n">
        <v>1116.82</v>
      </c>
      <c r="R19" s="37" t="n">
        <v>1116.82</v>
      </c>
      <c r="S19" s="18" t="n">
        <v>1025.59</v>
      </c>
      <c r="T19" s="18" t="n">
        <v>982.42</v>
      </c>
      <c r="U19" s="18" t="n">
        <v>1419.54</v>
      </c>
      <c r="V19" s="18" t="n">
        <v>1123.75</v>
      </c>
      <c r="W19" s="37" t="n">
        <v>1123.75</v>
      </c>
      <c r="X19" s="18" t="n">
        <v>1075.31</v>
      </c>
      <c r="Y19" s="19" t="n">
        <v>1028.08</v>
      </c>
      <c r="Z19" s="10" t="n"/>
      <c r="AA19" s="10" t="n"/>
      <c r="AB19" s="11" t="n"/>
      <c r="AC19" s="10" t="n"/>
      <c r="AD19" s="10" t="n"/>
      <c r="AE19" s="10" t="n"/>
      <c r="AF19" s="10" t="n"/>
      <c r="AG19" s="11" t="n"/>
      <c r="AH19" s="10" t="n"/>
      <c r="AI19" s="10" t="n"/>
      <c r="AJ19" s="10" t="n"/>
      <c r="AK19" s="10" t="n"/>
      <c r="AL19" s="11" t="n"/>
    </row>
    <row r="20">
      <c r="A20" t="n">
        <v>1</v>
      </c>
      <c r="C20" t="inlineStr">
        <is>
          <t>기타비유동자산</t>
        </is>
      </c>
      <c r="H20" s="9" t="n"/>
      <c r="L20" s="18" t="n">
        <v>1465.9</v>
      </c>
      <c r="M20" s="37" t="n">
        <v>1465.9</v>
      </c>
      <c r="N20" s="18" t="n">
        <v>1447.91</v>
      </c>
      <c r="O20" s="18" t="n">
        <v>1351.6</v>
      </c>
      <c r="P20" s="18" t="n">
        <v>1268.14</v>
      </c>
      <c r="Q20" s="18" t="n">
        <v>1206.82</v>
      </c>
      <c r="R20" s="37" t="n">
        <v>1206.82</v>
      </c>
      <c r="S20" s="18" t="n">
        <v>1086.16</v>
      </c>
      <c r="T20" s="18" t="n">
        <v>1031.56</v>
      </c>
      <c r="U20" s="18" t="n">
        <v>1490.93</v>
      </c>
      <c r="V20" s="18" t="n">
        <v>1189.43</v>
      </c>
      <c r="W20" s="37" t="n">
        <v>1189.43</v>
      </c>
      <c r="X20" s="18" t="n">
        <v>1125.78</v>
      </c>
      <c r="Y20" s="19" t="n">
        <v>1087.54</v>
      </c>
      <c r="Z20" s="10" t="n"/>
      <c r="AA20" s="10" t="n"/>
      <c r="AB20" s="11" t="n"/>
      <c r="AC20" s="10" t="n"/>
      <c r="AD20" s="10" t="n"/>
      <c r="AE20" s="10" t="n"/>
      <c r="AF20" s="10" t="n"/>
      <c r="AG20" s="11" t="n"/>
      <c r="AH20" s="10" t="n"/>
      <c r="AI20" s="10" t="n"/>
      <c r="AJ20" s="10" t="n"/>
      <c r="AK20" s="10" t="n"/>
      <c r="AL20" s="11" t="n"/>
    </row>
    <row r="21">
      <c r="A21" t="n">
        <v>1</v>
      </c>
      <c r="C21" t="inlineStr">
        <is>
          <t>무형자산</t>
        </is>
      </c>
      <c r="H21" s="9" t="n"/>
      <c r="L21" s="18" t="n">
        <v>2717.95</v>
      </c>
      <c r="M21" s="37" t="n">
        <v>2717.95</v>
      </c>
      <c r="N21" s="18" t="n">
        <v>2720.25</v>
      </c>
      <c r="O21" s="18" t="n">
        <v>2682.51</v>
      </c>
      <c r="P21" s="18" t="n">
        <v>5458.7</v>
      </c>
      <c r="Q21" s="18" t="n">
        <v>5237.08</v>
      </c>
      <c r="R21" s="37" t="n">
        <v>5237.08</v>
      </c>
      <c r="S21" s="18" t="n">
        <v>5050.91</v>
      </c>
      <c r="T21" s="18" t="n">
        <v>5052.5</v>
      </c>
      <c r="U21" s="18" t="n">
        <v>4843.19</v>
      </c>
      <c r="V21" s="18" t="n">
        <v>4685.33</v>
      </c>
      <c r="W21" s="37" t="n">
        <v>4685.33</v>
      </c>
      <c r="X21" s="18" t="n">
        <v>4521.93</v>
      </c>
      <c r="Y21" s="19" t="n">
        <v>4541</v>
      </c>
      <c r="Z21" s="10" t="n"/>
      <c r="AA21" s="10" t="n"/>
      <c r="AB21" s="11" t="n"/>
      <c r="AC21" s="10" t="n"/>
      <c r="AD21" s="10" t="n"/>
      <c r="AE21" s="10" t="n"/>
      <c r="AF21" s="10" t="n"/>
      <c r="AG21" s="11" t="n"/>
      <c r="AH21" s="10" t="n"/>
      <c r="AI21" s="10" t="n"/>
      <c r="AJ21" s="10" t="n"/>
      <c r="AK21" s="10" t="n"/>
      <c r="AL21" s="11" t="n"/>
    </row>
    <row r="22">
      <c r="A22" t="n">
        <v>1</v>
      </c>
      <c r="C22" t="inlineStr">
        <is>
          <t>이연법인세자산</t>
        </is>
      </c>
      <c r="H22" s="9" t="n"/>
      <c r="L22" s="18" t="n">
        <v>1237.2</v>
      </c>
      <c r="M22" s="37" t="n">
        <v>1237.2</v>
      </c>
      <c r="N22" s="18" t="n">
        <v>1237.2</v>
      </c>
      <c r="O22" s="18" t="n">
        <v>1102.86</v>
      </c>
      <c r="P22" s="18" t="n">
        <v>1102.86</v>
      </c>
      <c r="Q22" s="18" t="n">
        <v>0</v>
      </c>
      <c r="R22" s="37" t="n">
        <v>0</v>
      </c>
      <c r="V22" s="18" t="n">
        <v>0</v>
      </c>
      <c r="W22" s="37" t="n">
        <v>0</v>
      </c>
      <c r="Y22" s="5" t="n"/>
      <c r="Z22" s="10" t="n"/>
      <c r="AA22" s="10" t="n"/>
      <c r="AB22" s="11" t="n"/>
      <c r="AC22" s="10" t="n"/>
      <c r="AD22" s="10" t="n"/>
      <c r="AE22" s="10" t="n"/>
      <c r="AF22" s="10" t="n"/>
      <c r="AG22" s="11" t="n"/>
      <c r="AH22" s="10" t="n"/>
      <c r="AI22" s="10" t="n"/>
      <c r="AJ22" s="10" t="n"/>
      <c r="AK22" s="10" t="n"/>
      <c r="AL22" s="11" t="n"/>
    </row>
    <row r="23">
      <c r="A23" t="n">
        <v>1</v>
      </c>
      <c r="C23" t="inlineStr">
        <is>
          <t>자산총계</t>
        </is>
      </c>
      <c r="H23" s="9" t="n"/>
      <c r="L23" s="18" t="n">
        <v>123635.67</v>
      </c>
      <c r="M23" s="37" t="n">
        <v>123635.67</v>
      </c>
      <c r="N23" s="18" t="n">
        <v>231357.15</v>
      </c>
      <c r="O23" s="18" t="n">
        <v>228160.02</v>
      </c>
      <c r="P23" s="18" t="n">
        <v>223085.69</v>
      </c>
      <c r="Q23" s="18" t="n">
        <v>312418.93</v>
      </c>
      <c r="R23" s="37" t="n">
        <v>312418.93</v>
      </c>
      <c r="S23" s="18" t="n">
        <v>313851.54</v>
      </c>
      <c r="T23" s="18" t="n">
        <v>309961.34</v>
      </c>
      <c r="U23" s="18" t="n">
        <v>309358.04</v>
      </c>
      <c r="V23" s="18" t="n">
        <v>352360.77</v>
      </c>
      <c r="W23" s="37" t="n">
        <v>352360.77</v>
      </c>
      <c r="X23" s="18" t="n">
        <v>351042.61</v>
      </c>
      <c r="Y23" s="19" t="n">
        <v>336569.76</v>
      </c>
      <c r="Z23" s="10" t="n"/>
      <c r="AA23" s="10" t="n"/>
      <c r="AB23" s="11" t="n"/>
      <c r="AC23" s="10" t="n"/>
      <c r="AD23" s="10" t="n"/>
      <c r="AE23" s="10" t="n"/>
      <c r="AF23" s="10" t="n"/>
      <c r="AG23" s="11" t="n"/>
      <c r="AH23" s="10" t="n"/>
      <c r="AI23" s="10" t="n"/>
      <c r="AJ23" s="10" t="n"/>
      <c r="AK23" s="10" t="n"/>
      <c r="AL23" s="11" t="n"/>
    </row>
    <row r="24">
      <c r="A24" t="n">
        <v>1</v>
      </c>
      <c r="C24" t="inlineStr">
        <is>
          <t>유동부채</t>
        </is>
      </c>
      <c r="H24" s="9" t="n"/>
      <c r="L24" s="18" t="n">
        <v>10647.87</v>
      </c>
      <c r="M24" s="37" t="n">
        <v>10647.87</v>
      </c>
      <c r="N24" s="18" t="n">
        <v>30796.56</v>
      </c>
      <c r="O24" s="18" t="n">
        <v>28173.41</v>
      </c>
      <c r="P24" s="18" t="n">
        <v>23066.24</v>
      </c>
      <c r="Q24" s="18" t="n">
        <v>41752.13</v>
      </c>
      <c r="R24" s="37" t="n">
        <v>41752.13</v>
      </c>
      <c r="S24" s="18" t="n">
        <v>43001.66</v>
      </c>
      <c r="T24" s="18" t="n">
        <v>40009.22</v>
      </c>
      <c r="U24" s="18" t="n">
        <v>40620.34</v>
      </c>
      <c r="V24" s="18" t="n">
        <v>84803.17999999999</v>
      </c>
      <c r="W24" s="37" t="n">
        <v>84803.17999999999</v>
      </c>
      <c r="X24" s="18" t="n">
        <v>165915.11</v>
      </c>
      <c r="Y24" s="19" t="n">
        <v>163667.48</v>
      </c>
      <c r="Z24" s="10" t="n"/>
      <c r="AA24" s="10" t="n"/>
      <c r="AB24" s="11" t="n"/>
      <c r="AC24" s="10" t="n"/>
      <c r="AD24" s="10" t="n"/>
      <c r="AE24" s="10" t="n"/>
      <c r="AF24" s="10" t="n"/>
      <c r="AG24" s="11" t="n"/>
      <c r="AH24" s="10" t="n"/>
      <c r="AI24" s="10" t="n"/>
      <c r="AJ24" s="10" t="n"/>
      <c r="AK24" s="10" t="n"/>
      <c r="AL24" s="11" t="n"/>
    </row>
    <row r="25">
      <c r="A25" t="n">
        <v>1</v>
      </c>
      <c r="C25" t="inlineStr">
        <is>
          <t>매입채무및기타채무</t>
        </is>
      </c>
      <c r="H25" s="9" t="n"/>
      <c r="L25" s="18" t="n">
        <v>4928.09</v>
      </c>
      <c r="M25" s="37" t="n">
        <v>4928.09</v>
      </c>
      <c r="N25" s="18" t="n">
        <v>5266.91</v>
      </c>
      <c r="O25" s="18" t="n">
        <v>5628.93</v>
      </c>
      <c r="P25" s="18" t="n">
        <v>5560.2</v>
      </c>
      <c r="Q25" s="18" t="n">
        <v>5077.61</v>
      </c>
      <c r="R25" s="37" t="n">
        <v>5077.61</v>
      </c>
      <c r="S25" s="18" t="n">
        <v>5026.43</v>
      </c>
      <c r="T25" s="18" t="n">
        <v>5840.4</v>
      </c>
      <c r="U25" s="18" t="n">
        <v>5867.05</v>
      </c>
      <c r="V25" s="18" t="n">
        <v>12248.55</v>
      </c>
      <c r="W25" s="37" t="n">
        <v>12248.55</v>
      </c>
      <c r="X25" s="18" t="n">
        <v>8297.440000000001</v>
      </c>
      <c r="Y25" s="19" t="n">
        <v>10735.1</v>
      </c>
      <c r="Z25" s="10" t="n"/>
      <c r="AA25" s="10" t="n"/>
      <c r="AB25" s="11" t="n"/>
      <c r="AC25" s="10" t="n"/>
      <c r="AD25" s="10" t="n"/>
      <c r="AE25" s="10" t="n"/>
      <c r="AF25" s="10" t="n"/>
      <c r="AG25" s="11" t="n"/>
      <c r="AH25" s="10" t="n"/>
      <c r="AI25" s="10" t="n"/>
      <c r="AJ25" s="10" t="n"/>
      <c r="AK25" s="10" t="n"/>
      <c r="AL25" s="11" t="n"/>
    </row>
    <row r="26">
      <c r="A26" t="n">
        <v>1</v>
      </c>
      <c r="C26" t="inlineStr">
        <is>
          <t>계약부채</t>
        </is>
      </c>
      <c r="H26" s="9" t="n"/>
      <c r="L26" s="18" t="n">
        <v>0</v>
      </c>
      <c r="M26" s="37" t="n">
        <v>0</v>
      </c>
      <c r="N26" s="18" t="n">
        <v>20064.66</v>
      </c>
      <c r="O26" s="18" t="n">
        <v>16090.44</v>
      </c>
      <c r="P26" s="18" t="n">
        <v>10975.58</v>
      </c>
      <c r="Q26" s="18" t="n">
        <v>9347.549999999999</v>
      </c>
      <c r="R26" s="37" t="n">
        <v>9347.549999999999</v>
      </c>
      <c r="S26" s="18" t="n">
        <v>7708.47</v>
      </c>
      <c r="T26" s="18" t="n">
        <v>4316.21</v>
      </c>
      <c r="U26" s="18" t="n">
        <v>3212.12</v>
      </c>
      <c r="V26" s="18" t="n">
        <v>27046.57</v>
      </c>
      <c r="W26" s="37" t="n">
        <v>27046.57</v>
      </c>
      <c r="X26" s="18" t="n">
        <v>26562.04</v>
      </c>
      <c r="Y26" s="19" t="n">
        <v>14957.59</v>
      </c>
      <c r="Z26" s="10" t="n"/>
      <c r="AA26" s="10" t="n"/>
      <c r="AB26" s="11" t="n"/>
      <c r="AC26" s="10" t="n"/>
      <c r="AD26" s="10" t="n"/>
      <c r="AE26" s="10" t="n"/>
      <c r="AF26" s="10" t="n"/>
      <c r="AG26" s="11" t="n"/>
      <c r="AH26" s="10" t="n"/>
      <c r="AI26" s="10" t="n"/>
      <c r="AJ26" s="10" t="n"/>
      <c r="AK26" s="10" t="n"/>
      <c r="AL26" s="11" t="n"/>
    </row>
    <row r="27">
      <c r="A27" t="n">
        <v>1</v>
      </c>
      <c r="C27" t="inlineStr">
        <is>
          <t>단기차입금</t>
        </is>
      </c>
      <c r="H27" s="9" t="n"/>
      <c r="L27" s="18" t="n">
        <v>5000</v>
      </c>
      <c r="M27" s="37" t="n">
        <v>5000</v>
      </c>
      <c r="N27" s="18" t="n">
        <v>5000</v>
      </c>
      <c r="O27" s="18" t="n">
        <v>6000</v>
      </c>
      <c r="P27" s="18" t="n">
        <v>6000</v>
      </c>
      <c r="Q27" s="18" t="n">
        <v>22785.01</v>
      </c>
      <c r="R27" s="37" t="n">
        <v>22785.01</v>
      </c>
      <c r="S27" s="18" t="n">
        <v>25008.92</v>
      </c>
      <c r="T27" s="18" t="n">
        <v>24737.08</v>
      </c>
      <c r="U27" s="18" t="n">
        <v>26809.57</v>
      </c>
      <c r="V27" s="18" t="n">
        <v>35410.7</v>
      </c>
      <c r="W27" s="37" t="n">
        <v>35410.7</v>
      </c>
      <c r="X27" s="18" t="n">
        <v>120338.23</v>
      </c>
      <c r="Y27" s="19" t="n">
        <v>123207.83</v>
      </c>
      <c r="Z27" s="10" t="n"/>
      <c r="AA27" s="10" t="n"/>
      <c r="AB27" s="11" t="n"/>
      <c r="AC27" s="10" t="n"/>
      <c r="AD27" s="10" t="n"/>
      <c r="AE27" s="10" t="n"/>
      <c r="AF27" s="10" t="n"/>
      <c r="AG27" s="11" t="n"/>
      <c r="AH27" s="10" t="n"/>
      <c r="AI27" s="10" t="n"/>
      <c r="AJ27" s="10" t="n"/>
      <c r="AK27" s="10" t="n"/>
      <c r="AL27" s="11" t="n"/>
    </row>
    <row r="28">
      <c r="A28" t="n">
        <v>1</v>
      </c>
      <c r="C28" t="inlineStr">
        <is>
          <t>유동리스부채</t>
        </is>
      </c>
      <c r="H28" s="9" t="n"/>
      <c r="L28" s="18" t="n">
        <v>167.76</v>
      </c>
      <c r="M28" s="37" t="n">
        <v>167.76</v>
      </c>
      <c r="N28" s="18" t="n">
        <v>153.64</v>
      </c>
      <c r="O28" s="18" t="n">
        <v>134.37</v>
      </c>
      <c r="P28" s="18" t="n">
        <v>120.25</v>
      </c>
      <c r="Q28" s="18" t="n">
        <v>120.62</v>
      </c>
      <c r="R28" s="37" t="n">
        <v>120.62</v>
      </c>
      <c r="S28" s="18" t="n">
        <v>119.08</v>
      </c>
      <c r="T28" s="18" t="n">
        <v>116.23</v>
      </c>
      <c r="U28" s="18" t="n">
        <v>168.46</v>
      </c>
      <c r="V28" s="18" t="n">
        <v>163.92</v>
      </c>
      <c r="W28" s="37" t="n">
        <v>163.92</v>
      </c>
      <c r="X28" s="18" t="n">
        <v>154.52</v>
      </c>
      <c r="Y28" s="19" t="n">
        <v>146.75</v>
      </c>
      <c r="Z28" s="10" t="n"/>
      <c r="AA28" s="10" t="n"/>
      <c r="AB28" s="11" t="n"/>
      <c r="AC28" s="10" t="n"/>
      <c r="AD28" s="10" t="n"/>
      <c r="AE28" s="10" t="n"/>
      <c r="AF28" s="10" t="n"/>
      <c r="AG28" s="11" t="n"/>
      <c r="AH28" s="10" t="n"/>
      <c r="AI28" s="10" t="n"/>
      <c r="AJ28" s="10" t="n"/>
      <c r="AK28" s="10" t="n"/>
      <c r="AL28" s="11" t="n"/>
    </row>
    <row r="29">
      <c r="A29" t="n">
        <v>1</v>
      </c>
      <c r="C29" t="inlineStr">
        <is>
          <t>리스부채</t>
        </is>
      </c>
      <c r="H29" s="9" t="n"/>
      <c r="L29" s="18" t="n">
        <v>1217.15</v>
      </c>
      <c r="M29" s="37" t="n">
        <v>1217.15</v>
      </c>
      <c r="N29" s="18" t="n">
        <v>1186.97</v>
      </c>
      <c r="O29" s="18" t="n">
        <v>1136.75</v>
      </c>
      <c r="P29" s="18" t="n">
        <v>1103.64</v>
      </c>
      <c r="Q29" s="18" t="n">
        <v>1080.55</v>
      </c>
      <c r="R29" s="37" t="n">
        <v>1080.55</v>
      </c>
      <c r="S29" s="18" t="n">
        <v>1010.5</v>
      </c>
      <c r="T29" s="18" t="n">
        <v>987.5599999999999</v>
      </c>
      <c r="U29" s="18" t="n">
        <v>1448.35</v>
      </c>
      <c r="V29" s="18" t="n">
        <v>1140.94</v>
      </c>
      <c r="W29" s="37" t="n">
        <v>1140.94</v>
      </c>
      <c r="X29" s="18" t="n">
        <v>1108.1</v>
      </c>
      <c r="Y29" s="19" t="n">
        <v>1076.37</v>
      </c>
      <c r="Z29" s="10" t="n"/>
      <c r="AA29" s="10" t="n"/>
      <c r="AB29" s="11" t="n"/>
      <c r="AC29" s="10" t="n"/>
      <c r="AD29" s="10" t="n"/>
      <c r="AE29" s="10" t="n"/>
      <c r="AF29" s="10" t="n"/>
      <c r="AG29" s="11" t="n"/>
      <c r="AH29" s="10" t="n"/>
      <c r="AI29" s="10" t="n"/>
      <c r="AJ29" s="10" t="n"/>
      <c r="AK29" s="10" t="n"/>
      <c r="AL29" s="11" t="n"/>
    </row>
    <row r="30">
      <c r="A30" t="n">
        <v>1</v>
      </c>
      <c r="C30" t="inlineStr">
        <is>
          <t>단기금융부채</t>
        </is>
      </c>
      <c r="H30" s="9" t="n"/>
      <c r="L30" s="18" t="n">
        <v>167.76</v>
      </c>
      <c r="M30" s="37" t="n">
        <v>167.76</v>
      </c>
      <c r="N30" s="18" t="n">
        <v>153.64</v>
      </c>
      <c r="O30" s="18" t="n">
        <v>134.37</v>
      </c>
      <c r="P30" s="18" t="n">
        <v>120.25</v>
      </c>
      <c r="Q30" s="18" t="n">
        <v>4201.66</v>
      </c>
      <c r="R30" s="37" t="n">
        <v>4201.66</v>
      </c>
      <c r="S30" s="18" t="n">
        <v>4200.12</v>
      </c>
      <c r="T30" s="18" t="n">
        <v>4197.27</v>
      </c>
      <c r="U30" s="18" t="n">
        <v>4249.5</v>
      </c>
      <c r="V30" s="18" t="n">
        <v>9718.49</v>
      </c>
      <c r="W30" s="37" t="n">
        <v>9718.49</v>
      </c>
      <c r="X30" s="18" t="n">
        <v>9709.09</v>
      </c>
      <c r="Y30" s="19" t="n">
        <v>13520.55</v>
      </c>
      <c r="Z30" s="10" t="n"/>
      <c r="AA30" s="10" t="n"/>
      <c r="AB30" s="11" t="n"/>
      <c r="AC30" s="10" t="n"/>
      <c r="AD30" s="10" t="n"/>
      <c r="AE30" s="10" t="n"/>
      <c r="AF30" s="10" t="n"/>
      <c r="AG30" s="11" t="n"/>
      <c r="AH30" s="10" t="n"/>
      <c r="AI30" s="10" t="n"/>
      <c r="AJ30" s="10" t="n"/>
      <c r="AK30" s="10" t="n"/>
      <c r="AL30" s="11" t="n"/>
    </row>
    <row r="31">
      <c r="A31" t="n">
        <v>1</v>
      </c>
      <c r="C31" t="inlineStr">
        <is>
          <t>당기법인세부채(미지급법인세)</t>
        </is>
      </c>
      <c r="H31" s="9" t="n"/>
      <c r="L31" s="18" t="n">
        <v>0</v>
      </c>
      <c r="M31" s="37" t="n">
        <v>0</v>
      </c>
      <c r="R31" s="9" t="n"/>
      <c r="W31" s="9" t="n"/>
      <c r="Y31" s="5" t="n"/>
      <c r="Z31" s="10" t="n"/>
      <c r="AA31" s="10" t="n"/>
      <c r="AB31" s="11" t="n"/>
      <c r="AC31" s="10" t="n"/>
      <c r="AD31" s="10" t="n"/>
      <c r="AE31" s="10" t="n"/>
      <c r="AF31" s="10" t="n"/>
      <c r="AG31" s="11" t="n"/>
      <c r="AH31" s="10" t="n"/>
      <c r="AI31" s="10" t="n"/>
      <c r="AJ31" s="10" t="n"/>
      <c r="AK31" s="10" t="n"/>
      <c r="AL31" s="11" t="n"/>
    </row>
    <row r="32">
      <c r="A32" t="n">
        <v>1</v>
      </c>
      <c r="C32" t="inlineStr">
        <is>
          <t>단기충당부채</t>
        </is>
      </c>
      <c r="H32" s="9" t="n"/>
      <c r="L32" s="18" t="n">
        <v>103.86</v>
      </c>
      <c r="M32" s="37" t="n">
        <v>103.86</v>
      </c>
      <c r="N32" s="18" t="n">
        <v>126.2</v>
      </c>
      <c r="O32" s="18" t="n">
        <v>122.91</v>
      </c>
      <c r="P32" s="18" t="n">
        <v>163.36</v>
      </c>
      <c r="Q32" s="18" t="n">
        <v>106.93</v>
      </c>
      <c r="R32" s="37" t="n">
        <v>106.93</v>
      </c>
      <c r="S32" s="18" t="n">
        <v>841.34</v>
      </c>
      <c r="T32" s="18" t="n">
        <v>712.65</v>
      </c>
      <c r="U32" s="18" t="n">
        <v>291.24</v>
      </c>
      <c r="V32" s="18" t="n">
        <v>246.66</v>
      </c>
      <c r="W32" s="37" t="n">
        <v>246.66</v>
      </c>
      <c r="X32" s="18" t="n">
        <v>835.29</v>
      </c>
      <c r="Y32" s="19" t="n">
        <v>1005.26</v>
      </c>
      <c r="Z32" s="10" t="n"/>
      <c r="AA32" s="10" t="n"/>
      <c r="AB32" s="11" t="n"/>
      <c r="AC32" s="10" t="n"/>
      <c r="AD32" s="10" t="n"/>
      <c r="AE32" s="10" t="n"/>
      <c r="AF32" s="10" t="n"/>
      <c r="AG32" s="11" t="n"/>
      <c r="AH32" s="10" t="n"/>
      <c r="AI32" s="10" t="n"/>
      <c r="AJ32" s="10" t="n"/>
      <c r="AK32" s="10" t="n"/>
      <c r="AL32" s="11" t="n"/>
    </row>
    <row r="33">
      <c r="A33" t="n">
        <v>1</v>
      </c>
      <c r="C33" t="inlineStr">
        <is>
          <t>기타유동부채</t>
        </is>
      </c>
      <c r="H33" s="9" t="n"/>
      <c r="L33" s="18" t="n">
        <v>448.16</v>
      </c>
      <c r="M33" s="37" t="n">
        <v>448.16</v>
      </c>
      <c r="N33" s="18" t="n">
        <v>185.15</v>
      </c>
      <c r="O33" s="18" t="n">
        <v>196.75</v>
      </c>
      <c r="P33" s="18" t="n">
        <v>246.84</v>
      </c>
      <c r="Q33" s="18" t="n">
        <v>233.37</v>
      </c>
      <c r="R33" s="37" t="n">
        <v>233.37</v>
      </c>
      <c r="S33" s="18" t="n">
        <v>216.39</v>
      </c>
      <c r="T33" s="18" t="n">
        <v>205.62</v>
      </c>
      <c r="U33" s="18" t="n">
        <v>190.87</v>
      </c>
      <c r="V33" s="18" t="n">
        <v>132.21</v>
      </c>
      <c r="W33" s="37" t="n">
        <v>132.21</v>
      </c>
      <c r="X33" s="18" t="n">
        <v>173.03</v>
      </c>
      <c r="Y33" s="19" t="n">
        <v>241.16</v>
      </c>
      <c r="Z33" s="10" t="n"/>
      <c r="AA33" s="10" t="n"/>
      <c r="AB33" s="11" t="n"/>
      <c r="AC33" s="10" t="n"/>
      <c r="AD33" s="10" t="n"/>
      <c r="AE33" s="10" t="n"/>
      <c r="AF33" s="10" t="n"/>
      <c r="AG33" s="11" t="n"/>
      <c r="AH33" s="10" t="n"/>
      <c r="AI33" s="10" t="n"/>
      <c r="AJ33" s="10" t="n"/>
      <c r="AK33" s="10" t="n"/>
      <c r="AL33" s="11" t="n"/>
    </row>
    <row r="34">
      <c r="A34" t="n">
        <v>1</v>
      </c>
      <c r="C34" t="inlineStr">
        <is>
          <t>비유동부채</t>
        </is>
      </c>
      <c r="H34" s="9" t="n"/>
      <c r="L34" s="18" t="n">
        <v>7091.18</v>
      </c>
      <c r="M34" s="37" t="n">
        <v>7091.18</v>
      </c>
      <c r="N34" s="18" t="n">
        <v>95286.74000000001</v>
      </c>
      <c r="O34" s="18" t="n">
        <v>93806.17</v>
      </c>
      <c r="P34" s="18" t="n">
        <v>93134.17</v>
      </c>
      <c r="Q34" s="18" t="n">
        <v>104814.39</v>
      </c>
      <c r="R34" s="37" t="n">
        <v>104814.39</v>
      </c>
      <c r="S34" s="18" t="n">
        <v>105070.2</v>
      </c>
      <c r="T34" s="18" t="n">
        <v>104639.26</v>
      </c>
      <c r="U34" s="18" t="n">
        <v>103195.48</v>
      </c>
      <c r="V34" s="18" t="n">
        <v>104864.33</v>
      </c>
      <c r="W34" s="37" t="n">
        <v>104864.33</v>
      </c>
      <c r="X34" s="18" t="n">
        <v>24091.29</v>
      </c>
      <c r="Y34" s="19" t="n">
        <v>15842.09</v>
      </c>
      <c r="Z34" s="10" t="n"/>
      <c r="AA34" s="10" t="n"/>
      <c r="AB34" s="11" t="n"/>
      <c r="AC34" s="10" t="n"/>
      <c r="AD34" s="10" t="n"/>
      <c r="AE34" s="10" t="n"/>
      <c r="AF34" s="10" t="n"/>
      <c r="AG34" s="11" t="n"/>
      <c r="AH34" s="10" t="n"/>
      <c r="AI34" s="10" t="n"/>
      <c r="AJ34" s="10" t="n"/>
      <c r="AK34" s="10" t="n"/>
      <c r="AL34" s="11" t="n"/>
    </row>
    <row r="35">
      <c r="A35" t="n">
        <v>1</v>
      </c>
      <c r="C35" t="inlineStr">
        <is>
          <t>장기차입금</t>
        </is>
      </c>
      <c r="H35" s="9" t="n"/>
      <c r="L35" s="18" t="n">
        <v>3090</v>
      </c>
      <c r="M35" s="37" t="n">
        <v>3090</v>
      </c>
      <c r="N35" s="18" t="n">
        <v>91090</v>
      </c>
      <c r="O35" s="18" t="n">
        <v>90090</v>
      </c>
      <c r="P35" s="18" t="n">
        <v>90090</v>
      </c>
      <c r="Q35" s="18" t="n">
        <v>90090</v>
      </c>
      <c r="R35" s="37" t="n">
        <v>90090</v>
      </c>
      <c r="S35" s="18" t="n">
        <v>90090</v>
      </c>
      <c r="T35" s="18" t="n">
        <v>90090</v>
      </c>
      <c r="U35" s="18" t="n">
        <v>88000</v>
      </c>
      <c r="V35" s="18" t="n">
        <v>88000</v>
      </c>
      <c r="W35" s="37" t="n">
        <v>88000</v>
      </c>
      <c r="X35" s="18" t="n">
        <v>7025.28</v>
      </c>
      <c r="Y35" s="19" t="n">
        <v>0</v>
      </c>
      <c r="Z35" s="10" t="n"/>
      <c r="AA35" s="10" t="n"/>
      <c r="AB35" s="11" t="n"/>
      <c r="AC35" s="10" t="n"/>
      <c r="AD35" s="10" t="n"/>
      <c r="AE35" s="10" t="n"/>
      <c r="AF35" s="10" t="n"/>
      <c r="AG35" s="11" t="n"/>
      <c r="AH35" s="10" t="n"/>
      <c r="AI35" s="10" t="n"/>
      <c r="AJ35" s="10" t="n"/>
      <c r="AK35" s="10" t="n"/>
      <c r="AL35" s="11" t="n"/>
    </row>
    <row r="36">
      <c r="A36" t="n">
        <v>1</v>
      </c>
      <c r="C36" t="inlineStr">
        <is>
          <t>비유동리스부채</t>
        </is>
      </c>
      <c r="H36" s="9" t="n"/>
      <c r="L36" s="18" t="n">
        <v>1049.39</v>
      </c>
      <c r="M36" s="37" t="n">
        <v>1049.39</v>
      </c>
      <c r="N36" s="18" t="n">
        <v>1033.33</v>
      </c>
      <c r="O36" s="18" t="n">
        <v>1002.38</v>
      </c>
      <c r="P36" s="18" t="n">
        <v>983.39</v>
      </c>
      <c r="Q36" s="18" t="n">
        <v>959.9299999999999</v>
      </c>
      <c r="R36" s="37" t="n">
        <v>959.9299999999999</v>
      </c>
      <c r="S36" s="18" t="n">
        <v>891.42</v>
      </c>
      <c r="T36" s="18" t="n">
        <v>871.33</v>
      </c>
      <c r="U36" s="18" t="n">
        <v>1279.89</v>
      </c>
      <c r="V36" s="18" t="n">
        <v>977.02</v>
      </c>
      <c r="W36" s="37" t="n">
        <v>977.02</v>
      </c>
      <c r="X36" s="18" t="n">
        <v>953.58</v>
      </c>
      <c r="Y36" s="19" t="n">
        <v>929.62</v>
      </c>
      <c r="Z36" s="10" t="n"/>
      <c r="AA36" s="10" t="n"/>
      <c r="AB36" s="11" t="n"/>
      <c r="AC36" s="10" t="n"/>
      <c r="AD36" s="10" t="n"/>
      <c r="AE36" s="10" t="n"/>
      <c r="AF36" s="10" t="n"/>
      <c r="AG36" s="11" t="n"/>
      <c r="AH36" s="10" t="n"/>
      <c r="AI36" s="10" t="n"/>
      <c r="AJ36" s="10" t="n"/>
      <c r="AK36" s="10" t="n"/>
      <c r="AL36" s="11" t="n"/>
    </row>
    <row r="37">
      <c r="A37" t="n">
        <v>1</v>
      </c>
      <c r="C37" t="inlineStr">
        <is>
          <t>장기금융부채</t>
        </is>
      </c>
      <c r="H37" s="9" t="n"/>
      <c r="L37" s="18" t="n">
        <v>1049.39</v>
      </c>
      <c r="M37" s="37" t="n">
        <v>1049.39</v>
      </c>
      <c r="N37" s="18" t="n">
        <v>1033.33</v>
      </c>
      <c r="O37" s="18" t="n">
        <v>1002.38</v>
      </c>
      <c r="P37" s="18" t="n">
        <v>983.39</v>
      </c>
      <c r="Q37" s="18" t="n">
        <v>959.9299999999999</v>
      </c>
      <c r="R37" s="37" t="n">
        <v>959.9299999999999</v>
      </c>
      <c r="S37" s="18" t="n">
        <v>891.42</v>
      </c>
      <c r="T37" s="18" t="n">
        <v>871.33</v>
      </c>
      <c r="U37" s="18" t="n">
        <v>1279.89</v>
      </c>
      <c r="V37" s="18" t="n">
        <v>977.02</v>
      </c>
      <c r="W37" s="37" t="n">
        <v>977.02</v>
      </c>
      <c r="X37" s="18" t="n">
        <v>953.58</v>
      </c>
      <c r="Y37" s="19" t="n">
        <v>929.62</v>
      </c>
      <c r="Z37" s="10" t="n"/>
      <c r="AA37" s="10" t="n"/>
      <c r="AB37" s="11" t="n"/>
      <c r="AC37" s="10" t="n"/>
      <c r="AD37" s="10" t="n"/>
      <c r="AE37" s="10" t="n"/>
      <c r="AF37" s="10" t="n"/>
      <c r="AG37" s="11" t="n"/>
      <c r="AH37" s="10" t="n"/>
      <c r="AI37" s="10" t="n"/>
      <c r="AJ37" s="10" t="n"/>
      <c r="AK37" s="10" t="n"/>
      <c r="AL37" s="11" t="n"/>
    </row>
    <row r="38">
      <c r="A38" t="n">
        <v>1</v>
      </c>
      <c r="C38" t="inlineStr">
        <is>
          <t>확정급여부채</t>
        </is>
      </c>
      <c r="H38" s="9" t="n"/>
      <c r="L38" s="18" t="n">
        <v>338.53</v>
      </c>
      <c r="M38" s="37" t="n">
        <v>338.53</v>
      </c>
      <c r="N38" s="18" t="n">
        <v>488.6</v>
      </c>
      <c r="O38" s="18" t="n">
        <v>625.52</v>
      </c>
      <c r="P38" s="18" t="n">
        <v>759.51</v>
      </c>
      <c r="Q38" s="18" t="n">
        <v>913.67</v>
      </c>
      <c r="R38" s="37" t="n">
        <v>913.67</v>
      </c>
      <c r="S38" s="18" t="n">
        <v>1093.17</v>
      </c>
      <c r="T38" s="18" t="n">
        <v>1277.01</v>
      </c>
      <c r="U38" s="18" t="n">
        <v>1451.31</v>
      </c>
      <c r="V38" s="18" t="n">
        <v>760</v>
      </c>
      <c r="W38" s="37" t="n">
        <v>760</v>
      </c>
      <c r="X38" s="18" t="n">
        <v>957.75</v>
      </c>
      <c r="Y38" s="19" t="n">
        <v>990.04</v>
      </c>
      <c r="Z38" s="10" t="n"/>
      <c r="AA38" s="10" t="n"/>
      <c r="AB38" s="11" t="n"/>
      <c r="AC38" s="10" t="n"/>
      <c r="AD38" s="10" t="n"/>
      <c r="AE38" s="10" t="n"/>
      <c r="AF38" s="10" t="n"/>
      <c r="AG38" s="11" t="n"/>
      <c r="AH38" s="10" t="n"/>
      <c r="AI38" s="10" t="n"/>
      <c r="AJ38" s="10" t="n"/>
      <c r="AK38" s="10" t="n"/>
      <c r="AL38" s="11" t="n"/>
    </row>
    <row r="39">
      <c r="A39" t="n">
        <v>1</v>
      </c>
      <c r="C39" t="inlineStr">
        <is>
          <t>기타비유동부채</t>
        </is>
      </c>
      <c r="H39" s="9" t="n"/>
      <c r="L39" s="18" t="n">
        <v>30.43</v>
      </c>
      <c r="M39" s="37" t="n">
        <v>30.43</v>
      </c>
      <c r="N39" s="18" t="n">
        <v>31.98</v>
      </c>
      <c r="O39" s="18" t="n">
        <v>33.54</v>
      </c>
      <c r="P39" s="18" t="n">
        <v>35.1</v>
      </c>
      <c r="Q39" s="18" t="n">
        <v>34.93</v>
      </c>
      <c r="R39" s="37" t="n">
        <v>34.93</v>
      </c>
      <c r="S39" s="18" t="n">
        <v>36.59</v>
      </c>
      <c r="T39" s="18" t="n">
        <v>38.39</v>
      </c>
      <c r="U39" s="18" t="n">
        <v>40.12</v>
      </c>
      <c r="V39" s="18" t="n">
        <v>43.77</v>
      </c>
      <c r="W39" s="37" t="n">
        <v>43.77</v>
      </c>
      <c r="X39" s="18" t="n">
        <v>45.65</v>
      </c>
      <c r="Y39" s="19" t="n">
        <v>47.54</v>
      </c>
      <c r="Z39" s="10" t="n"/>
      <c r="AA39" s="10" t="n"/>
      <c r="AB39" s="11" t="n"/>
      <c r="AC39" s="10" t="n"/>
      <c r="AD39" s="10" t="n"/>
      <c r="AE39" s="10" t="n"/>
      <c r="AF39" s="10" t="n"/>
      <c r="AG39" s="11" t="n"/>
      <c r="AH39" s="10" t="n"/>
      <c r="AI39" s="10" t="n"/>
      <c r="AJ39" s="10" t="n"/>
      <c r="AK39" s="10" t="n"/>
      <c r="AL39" s="11" t="n"/>
    </row>
    <row r="40">
      <c r="A40" t="n">
        <v>1</v>
      </c>
      <c r="C40" t="inlineStr">
        <is>
          <t>부채총계</t>
        </is>
      </c>
      <c r="H40" s="9" t="n"/>
      <c r="L40" s="18" t="n">
        <v>17739.06</v>
      </c>
      <c r="M40" s="37" t="n">
        <v>17739.06</v>
      </c>
      <c r="N40" s="18" t="n">
        <v>126083.3</v>
      </c>
      <c r="O40" s="18" t="n">
        <v>121979.57</v>
      </c>
      <c r="P40" s="18" t="n">
        <v>116200.41</v>
      </c>
      <c r="Q40" s="18" t="n">
        <v>146566.52</v>
      </c>
      <c r="R40" s="37" t="n">
        <v>146566.52</v>
      </c>
      <c r="S40" s="18" t="n">
        <v>148071.87</v>
      </c>
      <c r="T40" s="18" t="n">
        <v>144648.48</v>
      </c>
      <c r="U40" s="18" t="n">
        <v>143815.82</v>
      </c>
      <c r="V40" s="18" t="n">
        <v>189667.51</v>
      </c>
      <c r="W40" s="37" t="n">
        <v>189667.51</v>
      </c>
      <c r="X40" s="18" t="n">
        <v>190006.4</v>
      </c>
      <c r="Y40" s="19" t="n">
        <v>179509.57</v>
      </c>
      <c r="Z40" s="10" t="n"/>
      <c r="AA40" s="10" t="n"/>
      <c r="AB40" s="11" t="n"/>
      <c r="AC40" s="10" t="n"/>
      <c r="AD40" s="10" t="n"/>
      <c r="AE40" s="10" t="n"/>
      <c r="AF40" s="10" t="n"/>
      <c r="AG40" s="11" t="n"/>
      <c r="AH40" s="10" t="n"/>
      <c r="AI40" s="10" t="n"/>
      <c r="AJ40" s="10" t="n"/>
      <c r="AK40" s="10" t="n"/>
      <c r="AL40" s="11" t="n"/>
    </row>
    <row r="41">
      <c r="A41" t="n">
        <v>1</v>
      </c>
      <c r="C41" t="inlineStr">
        <is>
          <t>지배주주지분</t>
        </is>
      </c>
      <c r="H41" s="9" t="n"/>
      <c r="L41" s="18" t="n">
        <v>103901.83</v>
      </c>
      <c r="M41" s="37" t="n">
        <v>103901.83</v>
      </c>
      <c r="N41" s="18" t="n">
        <v>103319.43</v>
      </c>
      <c r="O41" s="18" t="n">
        <v>104241.26</v>
      </c>
      <c r="P41" s="18" t="n">
        <v>105016.48</v>
      </c>
      <c r="Q41" s="18" t="n">
        <v>164067.07</v>
      </c>
      <c r="R41" s="37" t="n">
        <v>164067.07</v>
      </c>
      <c r="S41" s="18" t="n">
        <v>164071.91</v>
      </c>
      <c r="T41" s="18" t="n">
        <v>163694.17</v>
      </c>
      <c r="U41" s="18" t="n">
        <v>164030.72</v>
      </c>
      <c r="V41" s="18" t="n">
        <v>161305.57</v>
      </c>
      <c r="W41" s="37" t="n">
        <v>161305.57</v>
      </c>
      <c r="X41" s="18" t="n">
        <v>159659.58</v>
      </c>
      <c r="Y41" s="19" t="n">
        <v>155873</v>
      </c>
      <c r="Z41" s="10" t="n"/>
      <c r="AA41" s="10" t="n"/>
      <c r="AB41" s="11" t="n"/>
      <c r="AC41" s="10" t="n"/>
      <c r="AD41" s="10" t="n"/>
      <c r="AE41" s="10" t="n"/>
      <c r="AF41" s="10" t="n"/>
      <c r="AG41" s="11" t="n"/>
      <c r="AH41" s="10" t="n"/>
      <c r="AI41" s="10" t="n"/>
      <c r="AJ41" s="10" t="n"/>
      <c r="AK41" s="10" t="n"/>
      <c r="AL41" s="11" t="n"/>
    </row>
    <row r="42">
      <c r="A42" t="n">
        <v>1</v>
      </c>
      <c r="C42" t="inlineStr">
        <is>
          <t>자본금</t>
        </is>
      </c>
      <c r="H42" s="9" t="n"/>
      <c r="L42" s="18" t="n">
        <v>4380.5</v>
      </c>
      <c r="M42" s="37" t="n">
        <v>4380.5</v>
      </c>
      <c r="N42" s="18" t="n">
        <v>4380.5</v>
      </c>
      <c r="O42" s="18" t="n">
        <v>4380.5</v>
      </c>
      <c r="P42" s="18" t="n">
        <v>4380.5</v>
      </c>
      <c r="Q42" s="18" t="n">
        <v>4380.5</v>
      </c>
      <c r="R42" s="37" t="n">
        <v>4380.5</v>
      </c>
      <c r="S42" s="18" t="n">
        <v>4380.5</v>
      </c>
      <c r="T42" s="18" t="n">
        <v>4380.5</v>
      </c>
      <c r="U42" s="18" t="n">
        <v>4380.5</v>
      </c>
      <c r="V42" s="18" t="n">
        <v>4380.5</v>
      </c>
      <c r="W42" s="37" t="n">
        <v>4380.5</v>
      </c>
      <c r="X42" s="18" t="n">
        <v>4380.5</v>
      </c>
      <c r="Y42" s="19" t="n">
        <v>4380.5</v>
      </c>
      <c r="Z42" s="10" t="n"/>
      <c r="AA42" s="10" t="n"/>
      <c r="AB42" s="11" t="n"/>
      <c r="AC42" s="10" t="n"/>
      <c r="AD42" s="10" t="n"/>
      <c r="AE42" s="10" t="n"/>
      <c r="AF42" s="10" t="n"/>
      <c r="AG42" s="11" t="n"/>
      <c r="AH42" s="10" t="n"/>
      <c r="AI42" s="10" t="n"/>
      <c r="AJ42" s="10" t="n"/>
      <c r="AK42" s="10" t="n"/>
      <c r="AL42" s="11" t="n"/>
    </row>
    <row r="43">
      <c r="A43" t="n">
        <v>1</v>
      </c>
      <c r="C43" t="inlineStr">
        <is>
          <t>자본잉여금</t>
        </is>
      </c>
      <c r="H43" s="9" t="n"/>
      <c r="L43" s="18" t="n">
        <v>92513.42</v>
      </c>
      <c r="M43" s="37" t="n">
        <v>92513.42</v>
      </c>
      <c r="N43" s="18" t="n">
        <v>92527.78999999999</v>
      </c>
      <c r="O43" s="18" t="n">
        <v>92538.2</v>
      </c>
      <c r="P43" s="18" t="n">
        <v>92538.2</v>
      </c>
      <c r="Q43" s="18" t="n">
        <v>92538.2</v>
      </c>
      <c r="R43" s="37" t="n">
        <v>92538.2</v>
      </c>
      <c r="S43" s="18" t="n">
        <v>92538.2</v>
      </c>
      <c r="T43" s="18" t="n">
        <v>92538.2</v>
      </c>
      <c r="U43" s="18" t="n">
        <v>92538.2</v>
      </c>
      <c r="V43" s="18" t="n">
        <v>92538.2</v>
      </c>
      <c r="W43" s="37" t="n">
        <v>92538.2</v>
      </c>
      <c r="X43" s="18" t="n">
        <v>92538.2</v>
      </c>
      <c r="Y43" s="19" t="n">
        <v>92538.2</v>
      </c>
      <c r="Z43" s="10" t="n"/>
      <c r="AA43" s="10" t="n"/>
      <c r="AB43" s="11" t="n"/>
      <c r="AC43" s="10" t="n"/>
      <c r="AD43" s="10" t="n"/>
      <c r="AE43" s="10" t="n"/>
      <c r="AF43" s="10" t="n"/>
      <c r="AG43" s="11" t="n"/>
      <c r="AH43" s="10" t="n"/>
      <c r="AI43" s="10" t="n"/>
      <c r="AJ43" s="10" t="n"/>
      <c r="AK43" s="10" t="n"/>
      <c r="AL43" s="11" t="n"/>
    </row>
    <row r="44">
      <c r="A44" t="n">
        <v>1</v>
      </c>
      <c r="C44" t="inlineStr">
        <is>
          <t>이익잉여금</t>
        </is>
      </c>
      <c r="H44" s="9" t="n"/>
      <c r="L44" s="18" t="n">
        <v>7007.91</v>
      </c>
      <c r="M44" s="37" t="n">
        <v>7007.91</v>
      </c>
      <c r="N44" s="18" t="n">
        <v>6411.14</v>
      </c>
      <c r="O44" s="18" t="n">
        <v>7322.57</v>
      </c>
      <c r="P44" s="18" t="n">
        <v>8097.78</v>
      </c>
      <c r="Q44" s="18" t="n">
        <v>7452.06</v>
      </c>
      <c r="R44" s="37" t="n">
        <v>7452.06</v>
      </c>
      <c r="S44" s="18" t="n">
        <v>7456.9</v>
      </c>
      <c r="T44" s="18" t="n">
        <v>7079.16</v>
      </c>
      <c r="U44" s="18" t="n">
        <v>7415.71</v>
      </c>
      <c r="V44" s="18" t="n">
        <v>8935.43</v>
      </c>
      <c r="W44" s="37" t="n">
        <v>8935.43</v>
      </c>
      <c r="X44" s="18" t="n">
        <v>7289.44</v>
      </c>
      <c r="Y44" s="19" t="n">
        <v>3502.86</v>
      </c>
      <c r="Z44" s="10" t="n"/>
      <c r="AA44" s="10" t="n"/>
      <c r="AB44" s="11" t="n"/>
      <c r="AC44" s="10" t="n"/>
      <c r="AD44" s="10" t="n"/>
      <c r="AE44" s="10" t="n"/>
      <c r="AF44" s="10" t="n"/>
      <c r="AG44" s="11" t="n"/>
      <c r="AH44" s="10" t="n"/>
      <c r="AI44" s="10" t="n"/>
      <c r="AJ44" s="10" t="n"/>
      <c r="AK44" s="10" t="n"/>
      <c r="AL44" s="11" t="n"/>
    </row>
    <row r="45">
      <c r="A45" t="n">
        <v>1</v>
      </c>
      <c r="C45" t="inlineStr">
        <is>
          <t>비지배주주지분</t>
        </is>
      </c>
      <c r="H45" s="9" t="n"/>
      <c r="L45" s="18" t="n">
        <v>1994.79</v>
      </c>
      <c r="M45" s="37" t="n">
        <v>1994.79</v>
      </c>
      <c r="N45" s="18" t="n">
        <v>1954.41</v>
      </c>
      <c r="O45" s="18" t="n">
        <v>1939.18</v>
      </c>
      <c r="P45" s="18" t="n">
        <v>1868.8</v>
      </c>
      <c r="Q45" s="18" t="n">
        <v>1785.34</v>
      </c>
      <c r="R45" s="37" t="n">
        <v>1785.34</v>
      </c>
      <c r="S45" s="18" t="n">
        <v>1707.76</v>
      </c>
      <c r="T45" s="18" t="n">
        <v>1618.68</v>
      </c>
      <c r="U45" s="18" t="n">
        <v>1511.49</v>
      </c>
      <c r="V45" s="18" t="n">
        <v>1387.69</v>
      </c>
      <c r="W45" s="37" t="n">
        <v>1387.69</v>
      </c>
      <c r="X45" s="18" t="n">
        <v>1376.62</v>
      </c>
      <c r="Y45" s="19" t="n">
        <v>1187.19</v>
      </c>
      <c r="Z45" s="10" t="n"/>
      <c r="AA45" s="10" t="n"/>
      <c r="AB45" s="11" t="n"/>
      <c r="AC45" s="10" t="n"/>
      <c r="AD45" s="10" t="n"/>
      <c r="AE45" s="10" t="n"/>
      <c r="AF45" s="10" t="n"/>
      <c r="AG45" s="11" t="n"/>
      <c r="AH45" s="10" t="n"/>
      <c r="AI45" s="10" t="n"/>
      <c r="AJ45" s="10" t="n"/>
      <c r="AK45" s="10" t="n"/>
      <c r="AL45" s="11" t="n"/>
    </row>
    <row r="46">
      <c r="A46" t="n">
        <v>1</v>
      </c>
      <c r="C46" t="inlineStr">
        <is>
          <t>자본총계</t>
        </is>
      </c>
      <c r="H46" s="9" t="n"/>
      <c r="L46" s="18" t="n">
        <v>105896.62</v>
      </c>
      <c r="M46" s="37" t="n">
        <v>105896.62</v>
      </c>
      <c r="N46" s="18" t="n">
        <v>105273.84</v>
      </c>
      <c r="O46" s="18" t="n">
        <v>106180.45</v>
      </c>
      <c r="P46" s="18" t="n">
        <v>106885.28</v>
      </c>
      <c r="Q46" s="18" t="n">
        <v>165852.41</v>
      </c>
      <c r="R46" s="37" t="n">
        <v>165852.41</v>
      </c>
      <c r="S46" s="18" t="n">
        <v>165779.67</v>
      </c>
      <c r="T46" s="18" t="n">
        <v>165312.85</v>
      </c>
      <c r="U46" s="18" t="n">
        <v>165542.22</v>
      </c>
      <c r="V46" s="18" t="n">
        <v>162693.26</v>
      </c>
      <c r="W46" s="37" t="n">
        <v>162693.26</v>
      </c>
      <c r="X46" s="18" t="n">
        <v>161036.2</v>
      </c>
      <c r="Y46" s="19" t="n">
        <v>157060.19</v>
      </c>
      <c r="Z46" s="10" t="n"/>
      <c r="AA46" s="10" t="n"/>
      <c r="AB46" s="11" t="n"/>
      <c r="AC46" s="10" t="n"/>
      <c r="AD46" s="10" t="n"/>
      <c r="AE46" s="10" t="n"/>
      <c r="AF46" s="10" t="n"/>
      <c r="AG46" s="11" t="n"/>
      <c r="AH46" s="10" t="n"/>
      <c r="AI46" s="10" t="n"/>
      <c r="AJ46" s="10" t="n"/>
      <c r="AK46" s="10" t="n"/>
      <c r="AL46" s="11" t="n"/>
    </row>
    <row r="47">
      <c r="A47" t="n">
        <v>1</v>
      </c>
      <c r="C47" t="inlineStr">
        <is>
          <t>부채와자본총계</t>
        </is>
      </c>
      <c r="H47" s="9" t="n"/>
      <c r="L47" s="18" t="n">
        <v>123635.67</v>
      </c>
      <c r="M47" s="37" t="n">
        <v>123635.67</v>
      </c>
      <c r="N47" s="18" t="n">
        <v>231357.15</v>
      </c>
      <c r="O47" s="18" t="n">
        <v>228160.02</v>
      </c>
      <c r="P47" s="18" t="n">
        <v>223085.69</v>
      </c>
      <c r="Q47" s="18" t="n">
        <v>312418.93</v>
      </c>
      <c r="R47" s="37" t="n">
        <v>312418.93</v>
      </c>
      <c r="S47" s="18" t="n">
        <v>313851.54</v>
      </c>
      <c r="T47" s="18" t="n">
        <v>309961.34</v>
      </c>
      <c r="U47" s="18" t="n">
        <v>309358.04</v>
      </c>
      <c r="V47" s="18" t="n">
        <v>352360.77</v>
      </c>
      <c r="W47" s="37" t="n">
        <v>352360.77</v>
      </c>
      <c r="X47" s="18" t="n">
        <v>351042.61</v>
      </c>
      <c r="Y47" s="19" t="n">
        <v>336569.76</v>
      </c>
      <c r="Z47" s="10" t="n"/>
      <c r="AA47" s="10" t="n"/>
      <c r="AB47" s="11" t="n"/>
      <c r="AC47" s="10" t="n"/>
      <c r="AD47" s="10" t="n"/>
      <c r="AE47" s="10" t="n"/>
      <c r="AF47" s="10" t="n"/>
      <c r="AG47" s="11" t="n"/>
      <c r="AH47" s="10" t="n"/>
      <c r="AI47" s="10" t="n"/>
      <c r="AJ47" s="10" t="n"/>
      <c r="AK47" s="10" t="n"/>
      <c r="AL47" s="11" t="n"/>
    </row>
    <row r="48">
      <c r="A48" t="n">
        <v>1</v>
      </c>
      <c r="C48" t="inlineStr">
        <is>
          <t>총차입금</t>
        </is>
      </c>
      <c r="H48" s="9" t="n"/>
      <c r="L48" s="18" t="n">
        <v>8090</v>
      </c>
      <c r="M48" s="37" t="n">
        <v>8090</v>
      </c>
      <c r="N48" s="18" t="n">
        <v>96090</v>
      </c>
      <c r="O48" s="18" t="n">
        <v>96090</v>
      </c>
      <c r="P48" s="18" t="n">
        <v>96090</v>
      </c>
      <c r="Q48" s="18" t="n">
        <v>124660.02</v>
      </c>
      <c r="R48" s="37" t="n">
        <v>124660.02</v>
      </c>
      <c r="S48" s="18" t="n">
        <v>127107.84</v>
      </c>
      <c r="T48" s="18" t="n">
        <v>127064.16</v>
      </c>
      <c r="U48" s="18" t="n">
        <v>127279.14</v>
      </c>
      <c r="V48" s="18" t="n">
        <v>134731.4</v>
      </c>
      <c r="W48" s="37" t="n">
        <v>134731.4</v>
      </c>
      <c r="X48" s="18" t="n">
        <v>127363.51</v>
      </c>
      <c r="Y48" s="19" t="n">
        <v>123207.83</v>
      </c>
      <c r="Z48" s="10" t="n"/>
      <c r="AA48" s="10" t="n"/>
      <c r="AB48" s="11" t="n"/>
      <c r="AC48" s="10" t="n"/>
      <c r="AD48" s="10" t="n"/>
      <c r="AE48" s="10" t="n"/>
      <c r="AF48" s="10" t="n"/>
      <c r="AG48" s="11" t="n"/>
      <c r="AH48" s="10" t="n"/>
      <c r="AI48" s="10" t="n"/>
      <c r="AJ48" s="10" t="n"/>
      <c r="AK48" s="10" t="n"/>
      <c r="AL48" s="11" t="n"/>
    </row>
    <row r="49">
      <c r="A49" t="n">
        <v>1</v>
      </c>
      <c r="C49" t="inlineStr">
        <is>
          <t>순차입금</t>
        </is>
      </c>
      <c r="H49" s="9" t="n"/>
      <c r="L49" s="18" t="n">
        <v>-34182.9</v>
      </c>
      <c r="M49" s="37" t="n">
        <v>-34182.9</v>
      </c>
      <c r="N49" s="18" t="n">
        <v>87642.08</v>
      </c>
      <c r="O49" s="18" t="n">
        <v>63800.7</v>
      </c>
      <c r="P49" s="18" t="n">
        <v>74447.38</v>
      </c>
      <c r="Q49" s="18" t="n">
        <v>101522.69</v>
      </c>
      <c r="R49" s="37" t="n">
        <v>101522.69</v>
      </c>
      <c r="S49" s="18" t="n">
        <v>100621.36</v>
      </c>
      <c r="T49" s="18" t="n">
        <v>110680.88</v>
      </c>
      <c r="U49" s="18" t="n">
        <v>116641.56</v>
      </c>
      <c r="V49" s="18" t="n">
        <v>86226.07000000001</v>
      </c>
      <c r="W49" s="37" t="n">
        <v>86226.07000000001</v>
      </c>
      <c r="X49" s="18" t="n">
        <v>98597.61</v>
      </c>
      <c r="Y49" s="19" t="n">
        <v>101016.38</v>
      </c>
      <c r="Z49" s="10" t="n"/>
      <c r="AA49" s="10" t="n"/>
      <c r="AB49" s="11" t="n"/>
      <c r="AC49" s="10" t="n"/>
      <c r="AD49" s="10" t="n"/>
      <c r="AE49" s="10" t="n"/>
      <c r="AF49" s="10" t="n"/>
      <c r="AG49" s="11" t="n"/>
      <c r="AH49" s="10" t="n"/>
      <c r="AI49" s="10" t="n"/>
      <c r="AJ49" s="10" t="n"/>
      <c r="AK49" s="10" t="n"/>
      <c r="AL49" s="11" t="n"/>
    </row>
    <row r="50">
      <c r="A50" t="n">
        <v>1</v>
      </c>
      <c r="C50" t="inlineStr">
        <is>
          <t>이자발생자산</t>
        </is>
      </c>
      <c r="H50" s="9" t="n"/>
      <c r="L50" s="18" t="n">
        <v>50379.58</v>
      </c>
      <c r="M50" s="37" t="n">
        <v>50379.58</v>
      </c>
      <c r="N50" s="18" t="n">
        <v>16579.04</v>
      </c>
      <c r="O50" s="18" t="n">
        <v>40420.42</v>
      </c>
      <c r="P50" s="18" t="n">
        <v>29773.74</v>
      </c>
      <c r="Q50" s="18" t="n">
        <v>27768.45</v>
      </c>
      <c r="R50" s="37" t="n">
        <v>27768.45</v>
      </c>
      <c r="S50" s="18" t="n">
        <v>31436.09</v>
      </c>
      <c r="T50" s="18" t="n">
        <v>21332.89</v>
      </c>
      <c r="U50" s="18" t="n">
        <v>19597.19</v>
      </c>
      <c r="V50" s="18" t="n">
        <v>55589.94</v>
      </c>
      <c r="W50" s="37" t="n">
        <v>55589.94</v>
      </c>
      <c r="X50" s="18" t="n">
        <v>36305.23</v>
      </c>
      <c r="Y50" s="19" t="n">
        <v>29730.78</v>
      </c>
      <c r="Z50" s="10" t="n"/>
      <c r="AA50" s="10" t="n"/>
      <c r="AB50" s="11" t="n"/>
      <c r="AC50" s="10" t="n"/>
      <c r="AD50" s="10" t="n"/>
      <c r="AE50" s="10" t="n"/>
      <c r="AF50" s="10" t="n"/>
      <c r="AG50" s="11" t="n"/>
      <c r="AH50" s="10" t="n"/>
      <c r="AI50" s="10" t="n"/>
      <c r="AJ50" s="10" t="n"/>
      <c r="AK50" s="10" t="n"/>
      <c r="AL50" s="11" t="n"/>
    </row>
    <row r="51">
      <c r="A51" t="n">
        <v>1</v>
      </c>
      <c r="C51" t="inlineStr">
        <is>
          <t>투자부동산</t>
        </is>
      </c>
      <c r="H51" s="9" t="n"/>
      <c r="M51" s="9" t="n"/>
      <c r="O51" s="18" t="n">
        <v>116302.65</v>
      </c>
      <c r="P51" s="18" t="n">
        <v>116194.1</v>
      </c>
      <c r="R51" s="9" t="n"/>
      <c r="W51" s="9" t="n"/>
      <c r="Y51" s="5" t="n"/>
      <c r="Z51" s="10" t="n"/>
      <c r="AA51" s="10" t="n"/>
      <c r="AB51" s="11" t="n"/>
      <c r="AC51" s="10" t="n"/>
      <c r="AD51" s="10" t="n"/>
      <c r="AE51" s="10" t="n"/>
      <c r="AF51" s="10" t="n"/>
      <c r="AG51" s="11" t="n"/>
      <c r="AH51" s="10" t="n"/>
      <c r="AI51" s="10" t="n"/>
      <c r="AJ51" s="10" t="n"/>
      <c r="AK51" s="10" t="n"/>
      <c r="AL51" s="11" t="n"/>
    </row>
    <row r="52">
      <c r="A52" t="n">
        <v>1</v>
      </c>
      <c r="C52" t="inlineStr">
        <is>
          <t>기타유동금융부채</t>
        </is>
      </c>
      <c r="H52" s="9" t="n"/>
      <c r="M52" s="9" t="n"/>
      <c r="Q52" s="18" t="n">
        <v>4081.04</v>
      </c>
      <c r="R52" s="37" t="n">
        <v>4081.04</v>
      </c>
      <c r="S52" s="18" t="n">
        <v>4081.04</v>
      </c>
      <c r="T52" s="18" t="n">
        <v>4081.04</v>
      </c>
      <c r="U52" s="18" t="n">
        <v>4081.04</v>
      </c>
      <c r="V52" s="18" t="n">
        <v>9554.57</v>
      </c>
      <c r="W52" s="37" t="n">
        <v>9554.57</v>
      </c>
      <c r="X52" s="18" t="n">
        <v>9554.57</v>
      </c>
      <c r="Y52" s="19" t="n">
        <v>13373.8</v>
      </c>
      <c r="Z52" s="10" t="n"/>
      <c r="AA52" s="10" t="n"/>
      <c r="AB52" s="11" t="n"/>
      <c r="AC52" s="10" t="n"/>
      <c r="AD52" s="10" t="n"/>
      <c r="AE52" s="10" t="n"/>
      <c r="AF52" s="10" t="n"/>
      <c r="AG52" s="11" t="n"/>
      <c r="AH52" s="10" t="n"/>
      <c r="AI52" s="10" t="n"/>
      <c r="AJ52" s="10" t="n"/>
      <c r="AK52" s="10" t="n"/>
      <c r="AL52" s="11" t="n"/>
    </row>
    <row r="53">
      <c r="A53" t="n">
        <v>1</v>
      </c>
      <c r="C53" t="inlineStr">
        <is>
          <t>이연법인세부채</t>
        </is>
      </c>
      <c r="H53" s="9" t="n"/>
      <c r="M53" s="9" t="n"/>
      <c r="Q53" s="18" t="n">
        <v>11480.74</v>
      </c>
      <c r="R53" s="37" t="n">
        <v>11480.74</v>
      </c>
      <c r="S53" s="18" t="n">
        <v>11480.74</v>
      </c>
      <c r="T53" s="18" t="n">
        <v>11555.1</v>
      </c>
      <c r="U53" s="18" t="n">
        <v>11555.1</v>
      </c>
      <c r="V53" s="18" t="n">
        <v>14160.66</v>
      </c>
      <c r="W53" s="37" t="n">
        <v>14160.66</v>
      </c>
      <c r="X53" s="18" t="n">
        <v>14160.66</v>
      </c>
      <c r="Y53" s="19" t="n">
        <v>12939.38</v>
      </c>
      <c r="Z53" s="10" t="n"/>
      <c r="AA53" s="10" t="n"/>
      <c r="AB53" s="11" t="n"/>
      <c r="AC53" s="10" t="n"/>
      <c r="AD53" s="10" t="n"/>
      <c r="AE53" s="10" t="n"/>
      <c r="AF53" s="10" t="n"/>
      <c r="AG53" s="11" t="n"/>
      <c r="AH53" s="10" t="n"/>
      <c r="AI53" s="10" t="n"/>
      <c r="AJ53" s="10" t="n"/>
      <c r="AK53" s="10" t="n"/>
      <c r="AL53" s="11" t="n"/>
    </row>
    <row r="54">
      <c r="A54" t="n">
        <v>1</v>
      </c>
      <c r="C54" t="inlineStr">
        <is>
          <t>기타포괄이익누계액</t>
        </is>
      </c>
      <c r="H54" s="9" t="n"/>
      <c r="M54" s="9" t="n"/>
      <c r="Q54" s="18" t="n">
        <v>59696.31</v>
      </c>
      <c r="R54" s="37" t="n">
        <v>59696.31</v>
      </c>
      <c r="S54" s="18" t="n">
        <v>59696.31</v>
      </c>
      <c r="T54" s="18" t="n">
        <v>59696.31</v>
      </c>
      <c r="U54" s="18" t="n">
        <v>59696.31</v>
      </c>
      <c r="V54" s="18" t="n">
        <v>55451.44</v>
      </c>
      <c r="W54" s="37" t="n">
        <v>55451.44</v>
      </c>
      <c r="X54" s="18" t="n">
        <v>55451.44</v>
      </c>
      <c r="Y54" s="19" t="n">
        <v>55451.44</v>
      </c>
      <c r="Z54" s="10" t="n"/>
      <c r="AA54" s="10" t="n"/>
      <c r="AB54" s="11" t="n"/>
      <c r="AC54" s="10" t="n"/>
      <c r="AD54" s="10" t="n"/>
      <c r="AE54" s="10" t="n"/>
      <c r="AF54" s="10" t="n"/>
      <c r="AG54" s="11" t="n"/>
      <c r="AH54" s="10" t="n"/>
      <c r="AI54" s="10" t="n"/>
      <c r="AJ54" s="10" t="n"/>
      <c r="AK54" s="10" t="n"/>
      <c r="AL54" s="11" t="n"/>
    </row>
    <row r="55">
      <c r="A55" t="n">
        <v>1</v>
      </c>
      <c r="C55" t="inlineStr">
        <is>
          <t>사채</t>
        </is>
      </c>
      <c r="H55" s="9" t="n"/>
      <c r="M55" s="9" t="n"/>
      <c r="Q55" s="18" t="n">
        <v>11785.01</v>
      </c>
      <c r="R55" s="37" t="n">
        <v>11785.01</v>
      </c>
      <c r="S55" s="18" t="n">
        <v>12008.92</v>
      </c>
      <c r="T55" s="18" t="n">
        <v>12237.08</v>
      </c>
      <c r="U55" s="18" t="n">
        <v>12469.57</v>
      </c>
      <c r="V55" s="18" t="n">
        <v>11320.7</v>
      </c>
      <c r="W55" s="37" t="n">
        <v>11320.7</v>
      </c>
      <c r="Y55" s="5" t="n"/>
      <c r="Z55" s="10" t="n"/>
      <c r="AA55" s="10" t="n"/>
      <c r="AB55" s="11" t="n"/>
      <c r="AC55" s="10" t="n"/>
      <c r="AD55" s="10" t="n"/>
      <c r="AE55" s="10" t="n"/>
      <c r="AF55" s="10" t="n"/>
      <c r="AG55" s="11" t="n"/>
      <c r="AH55" s="10" t="n"/>
      <c r="AI55" s="10" t="n"/>
      <c r="AJ55" s="10" t="n"/>
      <c r="AK55" s="10" t="n"/>
      <c r="AL55" s="11" t="n"/>
    </row>
    <row r="56">
      <c r="A56" t="n">
        <v>1</v>
      </c>
      <c r="C56" t="inlineStr">
        <is>
          <t>단기금융부채(face)</t>
        </is>
      </c>
      <c r="H56" s="9" t="n"/>
      <c r="M56" s="9" t="n"/>
      <c r="R56" s="9" t="n"/>
      <c r="W56" s="9" t="n"/>
      <c r="Y56" s="19" t="n">
        <v>123207.83</v>
      </c>
      <c r="Z56" s="10" t="n"/>
      <c r="AA56" s="10" t="n"/>
      <c r="AB56" s="11" t="n"/>
      <c r="AC56" s="10" t="n"/>
      <c r="AD56" s="10" t="n"/>
      <c r="AE56" s="10" t="n"/>
      <c r="AF56" s="10" t="n"/>
      <c r="AG56" s="11" t="n"/>
      <c r="AH56" s="10" t="n"/>
      <c r="AI56" s="10" t="n"/>
      <c r="AJ56" s="10" t="n"/>
      <c r="AK56" s="10" t="n"/>
      <c r="AL56" s="11" t="n"/>
    </row>
    <row r="57">
      <c r="A57" t="n">
        <v>1</v>
      </c>
      <c r="C57" t="inlineStr">
        <is>
          <t>장기금융부채(face)</t>
        </is>
      </c>
      <c r="H57" s="9" t="n"/>
      <c r="M57" s="9" t="n"/>
      <c r="R57" s="9" t="n"/>
      <c r="W57" s="9" t="n"/>
      <c r="Y57" s="19" t="n">
        <v>0</v>
      </c>
      <c r="Z57" s="10" t="n"/>
      <c r="AA57" s="10" t="n"/>
      <c r="AB57" s="11" t="n"/>
      <c r="AC57" s="10" t="n"/>
      <c r="AD57" s="10" t="n"/>
      <c r="AE57" s="10" t="n"/>
      <c r="AF57" s="10" t="n"/>
      <c r="AG57" s="11" t="n"/>
      <c r="AH57" s="10" t="n"/>
      <c r="AI57" s="10" t="n"/>
      <c r="AJ57" s="10" t="n"/>
      <c r="AK57" s="10" t="n"/>
      <c r="AL57" s="11" t="n"/>
    </row>
    <row r="58">
      <c r="A58" t="n">
        <v>1</v>
      </c>
      <c r="C58" t="inlineStr">
        <is>
          <t>매출액(수익)</t>
        </is>
      </c>
      <c r="H58" s="9" t="n"/>
      <c r="L58" s="18" t="n">
        <v>7450.42</v>
      </c>
      <c r="M58" s="9" t="n"/>
      <c r="N58" s="18" t="n">
        <v>6719.84</v>
      </c>
      <c r="O58" s="18" t="n">
        <v>9194.01</v>
      </c>
      <c r="P58" s="18" t="n">
        <v>11000.03</v>
      </c>
      <c r="Q58" s="18" t="n">
        <v>9280.799999999999</v>
      </c>
      <c r="R58" s="37" t="n">
        <v>36194.68</v>
      </c>
      <c r="S58" s="18" t="n">
        <v>10446.45</v>
      </c>
      <c r="T58" s="18" t="n">
        <v>7061.17</v>
      </c>
      <c r="U58" s="18" t="n">
        <v>10398.92</v>
      </c>
      <c r="V58" s="18" t="n">
        <v>15454.55</v>
      </c>
      <c r="W58" s="37" t="n">
        <v>43361.09</v>
      </c>
      <c r="X58" s="18" t="n">
        <v>5053.88</v>
      </c>
      <c r="Y58" s="19" t="n">
        <v>17824.99</v>
      </c>
      <c r="Z58" s="10" t="n"/>
      <c r="AA58" s="10" t="n"/>
      <c r="AB58" s="11" t="n"/>
      <c r="AC58" s="10" t="n"/>
      <c r="AD58" s="10" t="n"/>
      <c r="AE58" s="10" t="n"/>
      <c r="AF58" s="10" t="n"/>
      <c r="AG58" s="11" t="n"/>
      <c r="AH58" s="10" t="n"/>
      <c r="AI58" s="10" t="n"/>
      <c r="AJ58" s="10" t="n"/>
      <c r="AK58" s="10" t="n"/>
      <c r="AL58" s="11" t="n"/>
    </row>
    <row r="59">
      <c r="A59" t="n">
        <v>1</v>
      </c>
      <c r="C59" t="inlineStr">
        <is>
          <t>매출원가</t>
        </is>
      </c>
      <c r="H59" s="9" t="n"/>
      <c r="L59" s="18" t="n">
        <v>8731.35</v>
      </c>
      <c r="M59" s="9" t="n"/>
      <c r="N59" s="18" t="n">
        <v>6447.46</v>
      </c>
      <c r="O59" s="18" t="n">
        <v>6693.01</v>
      </c>
      <c r="P59" s="18" t="n">
        <v>8828.98</v>
      </c>
      <c r="Q59" s="18" t="n">
        <v>7973.61</v>
      </c>
      <c r="R59" s="37" t="n">
        <v>29943.06</v>
      </c>
      <c r="S59" s="18" t="n">
        <v>8736.040000000001</v>
      </c>
      <c r="T59" s="18" t="n">
        <v>5738.35</v>
      </c>
      <c r="U59" s="18" t="n">
        <v>8500.41</v>
      </c>
      <c r="V59" s="18" t="n">
        <v>14952.79</v>
      </c>
      <c r="W59" s="37" t="n">
        <v>37927.59</v>
      </c>
      <c r="X59" s="18" t="n">
        <v>6362.33</v>
      </c>
      <c r="Y59" s="19" t="n">
        <v>19527.47</v>
      </c>
      <c r="Z59" s="10" t="n"/>
      <c r="AA59" s="10" t="n"/>
      <c r="AB59" s="11" t="n"/>
      <c r="AC59" s="10" t="n"/>
      <c r="AD59" s="10" t="n"/>
      <c r="AE59" s="10" t="n"/>
      <c r="AF59" s="10" t="n"/>
      <c r="AG59" s="11" t="n"/>
      <c r="AH59" s="10" t="n"/>
      <c r="AI59" s="10" t="n"/>
      <c r="AJ59" s="10" t="n"/>
      <c r="AK59" s="10" t="n"/>
      <c r="AL59" s="11" t="n"/>
    </row>
    <row r="60">
      <c r="A60" t="n">
        <v>1</v>
      </c>
      <c r="C60" t="inlineStr">
        <is>
          <t>매출총이익</t>
        </is>
      </c>
      <c r="H60" s="9" t="n"/>
      <c r="L60" s="18" t="n">
        <v>-1280.93</v>
      </c>
      <c r="M60" s="9" t="n"/>
      <c r="N60" s="18" t="n">
        <v>272.38</v>
      </c>
      <c r="O60" s="18" t="n">
        <v>2500.99</v>
      </c>
      <c r="P60" s="18" t="n">
        <v>2171.05</v>
      </c>
      <c r="Q60" s="18" t="n">
        <v>1307.2</v>
      </c>
      <c r="R60" s="37" t="n">
        <v>6251.62</v>
      </c>
      <c r="S60" s="18" t="n">
        <v>1710.41</v>
      </c>
      <c r="T60" s="18" t="n">
        <v>1322.81</v>
      </c>
      <c r="U60" s="18" t="n">
        <v>1898.51</v>
      </c>
      <c r="V60" s="18" t="n">
        <v>501.76</v>
      </c>
      <c r="W60" s="37" t="n">
        <v>5433.49</v>
      </c>
      <c r="X60" s="18" t="n">
        <v>-1308.45</v>
      </c>
      <c r="Y60" s="19" t="n">
        <v>-1702.47</v>
      </c>
      <c r="Z60" s="10" t="n"/>
      <c r="AA60" s="10" t="n"/>
      <c r="AB60" s="11" t="n"/>
      <c r="AC60" s="10" t="n"/>
      <c r="AD60" s="10" t="n"/>
      <c r="AE60" s="10" t="n"/>
      <c r="AF60" s="10" t="n"/>
      <c r="AG60" s="11" t="n"/>
      <c r="AH60" s="10" t="n"/>
      <c r="AI60" s="10" t="n"/>
      <c r="AJ60" s="10" t="n"/>
      <c r="AK60" s="10" t="n"/>
      <c r="AL60" s="11" t="n"/>
    </row>
    <row r="61">
      <c r="A61" t="n">
        <v>1</v>
      </c>
      <c r="C61" t="inlineStr">
        <is>
          <t>판관비</t>
        </is>
      </c>
      <c r="H61" s="9" t="n"/>
      <c r="L61" s="18" t="n">
        <v>765.54</v>
      </c>
      <c r="M61" s="9" t="n"/>
      <c r="N61" s="18" t="n">
        <v>907.8099999999999</v>
      </c>
      <c r="O61" s="18" t="n">
        <v>850.8099999999999</v>
      </c>
      <c r="P61" s="18" t="n">
        <v>832.6900000000001</v>
      </c>
      <c r="Q61" s="18" t="n">
        <v>1249.17</v>
      </c>
      <c r="R61" s="37" t="n">
        <v>3840.48</v>
      </c>
      <c r="S61" s="18" t="n">
        <v>1030.14</v>
      </c>
      <c r="T61" s="18" t="n">
        <v>1166.39</v>
      </c>
      <c r="U61" s="18" t="n">
        <v>1056.59</v>
      </c>
      <c r="V61" s="18" t="n">
        <v>1322.54</v>
      </c>
      <c r="W61" s="37" t="n">
        <v>4575.66</v>
      </c>
      <c r="X61" s="18" t="n">
        <v>836.67</v>
      </c>
      <c r="Y61" s="19" t="n">
        <v>1530.79</v>
      </c>
      <c r="Z61" s="10" t="n"/>
      <c r="AA61" s="10" t="n"/>
      <c r="AB61" s="11" t="n"/>
      <c r="AC61" s="10" t="n"/>
      <c r="AD61" s="10" t="n"/>
      <c r="AE61" s="10" t="n"/>
      <c r="AF61" s="10" t="n"/>
      <c r="AG61" s="11" t="n"/>
      <c r="AH61" s="10" t="n"/>
      <c r="AI61" s="10" t="n"/>
      <c r="AJ61" s="10" t="n"/>
      <c r="AK61" s="10" t="n"/>
      <c r="AL61" s="11" t="n"/>
    </row>
    <row r="62">
      <c r="A62" t="n">
        <v>1</v>
      </c>
      <c r="C62" t="inlineStr">
        <is>
          <t>영업이익</t>
        </is>
      </c>
      <c r="H62" s="9" t="n"/>
      <c r="L62" s="18" t="n">
        <v>-2046.47</v>
      </c>
      <c r="M62" s="9" t="n"/>
      <c r="N62" s="18" t="n">
        <v>-635.4299999999999</v>
      </c>
      <c r="O62" s="18" t="n">
        <v>1650.18</v>
      </c>
      <c r="P62" s="18" t="n">
        <v>1338.36</v>
      </c>
      <c r="Q62" s="18" t="n">
        <v>58.03</v>
      </c>
      <c r="R62" s="37" t="n">
        <v>2411.14</v>
      </c>
      <c r="S62" s="18" t="n">
        <v>680.28</v>
      </c>
      <c r="T62" s="18" t="n">
        <v>156.43</v>
      </c>
      <c r="U62" s="18" t="n">
        <v>841.9299999999999</v>
      </c>
      <c r="V62" s="18" t="n">
        <v>-820.78</v>
      </c>
      <c r="W62" s="37" t="n">
        <v>857.86</v>
      </c>
      <c r="X62" s="18" t="n">
        <v>-2145.12</v>
      </c>
      <c r="Y62" s="19" t="n">
        <v>-3233.27</v>
      </c>
      <c r="Z62" s="10" t="n"/>
      <c r="AA62" s="10" t="n"/>
      <c r="AB62" s="11" t="n"/>
      <c r="AC62" s="10" t="n"/>
      <c r="AD62" s="10" t="n"/>
      <c r="AE62" s="10" t="n"/>
      <c r="AF62" s="10" t="n"/>
      <c r="AG62" s="11" t="n"/>
      <c r="AH62" s="10" t="n"/>
      <c r="AI62" s="10" t="n"/>
      <c r="AJ62" s="10" t="n"/>
      <c r="AK62" s="10" t="n"/>
      <c r="AL62" s="11" t="n"/>
    </row>
    <row r="63">
      <c r="A63" t="n">
        <v>1</v>
      </c>
      <c r="C63" t="inlineStr">
        <is>
          <t>금융수익</t>
        </is>
      </c>
      <c r="H63" s="9" t="n"/>
      <c r="L63" s="18" t="n">
        <v>513.77</v>
      </c>
      <c r="M63" s="9" t="n"/>
      <c r="N63" s="18" t="n">
        <v>387.04</v>
      </c>
      <c r="O63" s="18" t="n">
        <v>333.56</v>
      </c>
      <c r="P63" s="18" t="n">
        <v>353.3</v>
      </c>
      <c r="Q63" s="18" t="n">
        <v>762.24</v>
      </c>
      <c r="R63" s="37" t="n">
        <v>1836.14</v>
      </c>
      <c r="S63" s="18" t="n">
        <v>540.38</v>
      </c>
      <c r="T63" s="18" t="n">
        <v>566.9</v>
      </c>
      <c r="U63" s="18" t="n">
        <v>517.03</v>
      </c>
      <c r="V63" s="18" t="n">
        <v>6312.34</v>
      </c>
      <c r="W63" s="37" t="n">
        <v>7936.65</v>
      </c>
      <c r="X63" s="18" t="n">
        <v>562.11</v>
      </c>
      <c r="Y63" s="19" t="n">
        <v>1106.75</v>
      </c>
      <c r="Z63" s="10" t="n"/>
      <c r="AA63" s="10" t="n"/>
      <c r="AB63" s="11" t="n"/>
      <c r="AC63" s="10" t="n"/>
      <c r="AD63" s="10" t="n"/>
      <c r="AE63" s="10" t="n"/>
      <c r="AF63" s="10" t="n"/>
      <c r="AG63" s="11" t="n"/>
      <c r="AH63" s="10" t="n"/>
      <c r="AI63" s="10" t="n"/>
      <c r="AJ63" s="10" t="n"/>
      <c r="AK63" s="10" t="n"/>
      <c r="AL63" s="11" t="n"/>
    </row>
    <row r="64">
      <c r="A64" t="n">
        <v>1</v>
      </c>
      <c r="C64" t="inlineStr">
        <is>
          <t>금융비용</t>
        </is>
      </c>
      <c r="H64" s="9" t="n"/>
      <c r="L64" s="18" t="n">
        <v>100.24</v>
      </c>
      <c r="M64" s="9" t="n"/>
      <c r="N64" s="18" t="n">
        <v>405.09</v>
      </c>
      <c r="O64" s="18" t="n">
        <v>968.38</v>
      </c>
      <c r="P64" s="18" t="n">
        <v>983.92</v>
      </c>
      <c r="Q64" s="18" t="n">
        <v>1709.99</v>
      </c>
      <c r="R64" s="37" t="n">
        <v>4067.38</v>
      </c>
      <c r="S64" s="18" t="n">
        <v>1238.07</v>
      </c>
      <c r="T64" s="18" t="n">
        <v>1156.32</v>
      </c>
      <c r="U64" s="18" t="n">
        <v>1101.3</v>
      </c>
      <c r="V64" s="18" t="n">
        <v>4036.32</v>
      </c>
      <c r="W64" s="37" t="n">
        <v>7532.01</v>
      </c>
      <c r="X64" s="18" t="n">
        <v>1608.56</v>
      </c>
      <c r="Y64" s="19" t="n">
        <v>1885.98</v>
      </c>
      <c r="Z64" s="10" t="n"/>
      <c r="AA64" s="10" t="n"/>
      <c r="AB64" s="11" t="n"/>
      <c r="AC64" s="10" t="n"/>
      <c r="AD64" s="10" t="n"/>
      <c r="AE64" s="10" t="n"/>
      <c r="AF64" s="10" t="n"/>
      <c r="AG64" s="11" t="n"/>
      <c r="AH64" s="10" t="n"/>
      <c r="AI64" s="10" t="n"/>
      <c r="AJ64" s="10" t="n"/>
      <c r="AK64" s="10" t="n"/>
      <c r="AL64" s="11" t="n"/>
    </row>
    <row r="65">
      <c r="A65" t="n">
        <v>1</v>
      </c>
      <c r="C65" t="inlineStr">
        <is>
          <t>기타영업외수익</t>
        </is>
      </c>
      <c r="H65" s="9" t="n"/>
      <c r="L65" s="18" t="n">
        <v>29.37</v>
      </c>
      <c r="M65" s="9" t="n"/>
      <c r="N65" s="18" t="n">
        <v>33.33</v>
      </c>
      <c r="O65" s="18" t="n">
        <v>73.16</v>
      </c>
      <c r="P65" s="18" t="n">
        <v>15.09</v>
      </c>
      <c r="Q65" s="18" t="n">
        <v>87.13</v>
      </c>
      <c r="R65" s="37" t="n">
        <v>208.71</v>
      </c>
      <c r="S65" s="18" t="n">
        <v>6.5</v>
      </c>
      <c r="T65" s="18" t="n">
        <v>64.59</v>
      </c>
      <c r="U65" s="18" t="n">
        <v>17.48</v>
      </c>
      <c r="V65" s="18" t="n">
        <v>22.46</v>
      </c>
      <c r="W65" s="37" t="n">
        <v>111.03</v>
      </c>
      <c r="X65" s="18" t="n">
        <v>1611.05</v>
      </c>
      <c r="Y65" s="19" t="n">
        <v>-1144.06</v>
      </c>
      <c r="Z65" s="10" t="n"/>
      <c r="AA65" s="10" t="n"/>
      <c r="AB65" s="11" t="n"/>
      <c r="AC65" s="10" t="n"/>
      <c r="AD65" s="10" t="n"/>
      <c r="AE65" s="10" t="n"/>
      <c r="AF65" s="10" t="n"/>
      <c r="AG65" s="11" t="n"/>
      <c r="AH65" s="10" t="n"/>
      <c r="AI65" s="10" t="n"/>
      <c r="AJ65" s="10" t="n"/>
      <c r="AK65" s="10" t="n"/>
      <c r="AL65" s="11" t="n"/>
    </row>
    <row r="66">
      <c r="A66" t="n">
        <v>1</v>
      </c>
      <c r="C66" t="inlineStr">
        <is>
          <t>기타영업외비용</t>
        </is>
      </c>
      <c r="H66" s="9" t="n"/>
      <c r="L66" s="18" t="n">
        <v>84.97</v>
      </c>
      <c r="M66" s="9" t="n"/>
      <c r="N66" s="18" t="n">
        <v>16.99</v>
      </c>
      <c r="O66" s="18" t="n">
        <v>59.28</v>
      </c>
      <c r="P66" s="18" t="n">
        <v>18</v>
      </c>
      <c r="Q66" s="18" t="n">
        <v>15.11</v>
      </c>
      <c r="R66" s="37" t="n">
        <v>109.38</v>
      </c>
      <c r="S66" s="18" t="n">
        <v>61.82</v>
      </c>
      <c r="T66" s="18" t="n">
        <v>24.04</v>
      </c>
      <c r="U66" s="18" t="n">
        <v>45.79</v>
      </c>
      <c r="V66" s="18" t="n">
        <v>94.84999999999999</v>
      </c>
      <c r="W66" s="37" t="n">
        <v>226.5</v>
      </c>
      <c r="X66" s="18" t="n">
        <v>88.63</v>
      </c>
      <c r="Y66" s="19" t="n">
        <v>30.2</v>
      </c>
      <c r="Z66" s="10" t="n"/>
      <c r="AA66" s="10" t="n"/>
      <c r="AB66" s="11" t="n"/>
      <c r="AC66" s="10" t="n"/>
      <c r="AD66" s="10" t="n"/>
      <c r="AE66" s="10" t="n"/>
      <c r="AF66" s="10" t="n"/>
      <c r="AG66" s="11" t="n"/>
      <c r="AH66" s="10" t="n"/>
      <c r="AI66" s="10" t="n"/>
      <c r="AJ66" s="10" t="n"/>
      <c r="AK66" s="10" t="n"/>
      <c r="AL66" s="11" t="n"/>
    </row>
    <row r="67">
      <c r="A67" t="n">
        <v>1</v>
      </c>
      <c r="C67" t="inlineStr">
        <is>
          <t>법인세비용차감전계속사업이익</t>
        </is>
      </c>
      <c r="H67" s="9" t="n"/>
      <c r="L67" s="18" t="n">
        <v>-1688.54</v>
      </c>
      <c r="M67" s="9" t="n"/>
      <c r="N67" s="18" t="n">
        <v>-637.14</v>
      </c>
      <c r="O67" s="18" t="n">
        <v>1029.24</v>
      </c>
      <c r="P67" s="18" t="n">
        <v>704.83</v>
      </c>
      <c r="Q67" s="18" t="n">
        <v>-817.7</v>
      </c>
      <c r="R67" s="37" t="n">
        <v>279.23</v>
      </c>
      <c r="S67" s="18" t="n">
        <v>-72.73</v>
      </c>
      <c r="T67" s="18" t="n">
        <v>-392.45</v>
      </c>
      <c r="U67" s="18" t="n">
        <v>229.36</v>
      </c>
      <c r="V67" s="18" t="n">
        <v>1382.85</v>
      </c>
      <c r="W67" s="37" t="n">
        <v>1147.03</v>
      </c>
      <c r="X67" s="18" t="n">
        <v>-1669.15</v>
      </c>
      <c r="Y67" s="19" t="n">
        <v>-5186.75</v>
      </c>
      <c r="Z67" s="10" t="n"/>
      <c r="AA67" s="10" t="n"/>
      <c r="AB67" s="11" t="n"/>
      <c r="AC67" s="10" t="n"/>
      <c r="AD67" s="10" t="n"/>
      <c r="AE67" s="10" t="n"/>
      <c r="AF67" s="10" t="n"/>
      <c r="AG67" s="11" t="n"/>
      <c r="AH67" s="10" t="n"/>
      <c r="AI67" s="10" t="n"/>
      <c r="AJ67" s="10" t="n"/>
      <c r="AK67" s="10" t="n"/>
      <c r="AL67" s="11" t="n"/>
    </row>
    <row r="68">
      <c r="A68" t="n">
        <v>1</v>
      </c>
      <c r="C68" t="inlineStr">
        <is>
          <t>법인세비용</t>
        </is>
      </c>
      <c r="H68" s="9" t="n"/>
      <c r="L68" s="18" t="n">
        <v>-542.73</v>
      </c>
      <c r="M68" s="9" t="n"/>
      <c r="N68" s="18" t="n">
        <v>0</v>
      </c>
      <c r="O68" s="18" t="n">
        <v>133.04</v>
      </c>
      <c r="P68" s="18" t="n">
        <v>0</v>
      </c>
      <c r="Q68" s="18" t="n">
        <v>-478.9</v>
      </c>
      <c r="R68" s="37" t="n">
        <v>-345.86</v>
      </c>
      <c r="S68" s="18" t="n">
        <v>0</v>
      </c>
      <c r="T68" s="18" t="n">
        <v>74.37</v>
      </c>
      <c r="U68" s="18" t="n">
        <v>0</v>
      </c>
      <c r="V68" s="18" t="n">
        <v>-109.42</v>
      </c>
      <c r="W68" s="37" t="n">
        <v>-35.05</v>
      </c>
      <c r="X68" s="18" t="n">
        <v>0</v>
      </c>
      <c r="Y68" s="19" t="n">
        <v>-1198.64</v>
      </c>
      <c r="Z68" s="10" t="n"/>
      <c r="AA68" s="10" t="n"/>
      <c r="AB68" s="11" t="n"/>
      <c r="AC68" s="10" t="n"/>
      <c r="AD68" s="10" t="n"/>
      <c r="AE68" s="10" t="n"/>
      <c r="AF68" s="10" t="n"/>
      <c r="AG68" s="11" t="n"/>
      <c r="AH68" s="10" t="n"/>
      <c r="AI68" s="10" t="n"/>
      <c r="AJ68" s="10" t="n"/>
      <c r="AK68" s="10" t="n"/>
      <c r="AL68" s="11" t="n"/>
    </row>
    <row r="69">
      <c r="A69" t="n">
        <v>1</v>
      </c>
      <c r="C69" t="inlineStr">
        <is>
          <t>당기순이익</t>
        </is>
      </c>
      <c r="H69" s="9" t="n"/>
      <c r="L69" s="18" t="n">
        <v>-1145.81</v>
      </c>
      <c r="M69" s="9" t="n"/>
      <c r="N69" s="18" t="n">
        <v>-637.14</v>
      </c>
      <c r="O69" s="18" t="n">
        <v>896.2</v>
      </c>
      <c r="P69" s="18" t="n">
        <v>704.83</v>
      </c>
      <c r="Q69" s="18" t="n">
        <v>-338.8</v>
      </c>
      <c r="R69" s="37" t="n">
        <v>625.09</v>
      </c>
      <c r="S69" s="18" t="n">
        <v>-72.73</v>
      </c>
      <c r="T69" s="18" t="n">
        <v>-466.82</v>
      </c>
      <c r="U69" s="18" t="n">
        <v>229.36</v>
      </c>
      <c r="V69" s="18" t="n">
        <v>1492.27</v>
      </c>
      <c r="W69" s="37" t="n">
        <v>1182.08</v>
      </c>
      <c r="X69" s="18" t="n">
        <v>-1669.15</v>
      </c>
      <c r="Y69" s="19" t="n">
        <v>-3988.11</v>
      </c>
      <c r="Z69" s="10" t="n"/>
      <c r="AA69" s="10" t="n"/>
      <c r="AB69" s="11" t="n"/>
      <c r="AC69" s="10" t="n"/>
      <c r="AD69" s="10" t="n"/>
      <c r="AE69" s="10" t="n"/>
      <c r="AF69" s="10" t="n"/>
      <c r="AG69" s="11" t="n"/>
      <c r="AH69" s="10" t="n"/>
      <c r="AI69" s="10" t="n"/>
      <c r="AJ69" s="10" t="n"/>
      <c r="AK69" s="10" t="n"/>
      <c r="AL69" s="11" t="n"/>
    </row>
    <row r="70">
      <c r="A70" t="n">
        <v>1</v>
      </c>
      <c r="C70" t="inlineStr">
        <is>
          <t>총포괄손익</t>
        </is>
      </c>
      <c r="H70" s="9" t="n"/>
      <c r="L70" s="18" t="n">
        <v>-1188.63</v>
      </c>
      <c r="M70" s="9" t="n"/>
      <c r="N70" s="18" t="n">
        <v>-637.14</v>
      </c>
      <c r="O70" s="18" t="n">
        <v>896.2</v>
      </c>
      <c r="P70" s="18" t="n">
        <v>704.83</v>
      </c>
      <c r="Q70" s="18" t="n">
        <v>58967.13</v>
      </c>
      <c r="R70" s="37" t="n">
        <v>59931.02</v>
      </c>
      <c r="S70" s="18" t="n">
        <v>-72.73</v>
      </c>
      <c r="T70" s="18" t="n">
        <v>-466.82</v>
      </c>
      <c r="U70" s="18" t="n">
        <v>229.36</v>
      </c>
      <c r="V70" s="18" t="n">
        <v>-2864.07</v>
      </c>
      <c r="W70" s="37" t="n">
        <v>-3174.26</v>
      </c>
      <c r="X70" s="18" t="n">
        <v>-1669.15</v>
      </c>
      <c r="Y70" s="19" t="n">
        <v>-3988.11</v>
      </c>
      <c r="Z70" s="10" t="n"/>
      <c r="AA70" s="10" t="n"/>
      <c r="AB70" s="11" t="n"/>
      <c r="AC70" s="10" t="n"/>
      <c r="AD70" s="10" t="n"/>
      <c r="AE70" s="10" t="n"/>
      <c r="AF70" s="10" t="n"/>
      <c r="AG70" s="11" t="n"/>
      <c r="AH70" s="10" t="n"/>
      <c r="AI70" s="10" t="n"/>
      <c r="AJ70" s="10" t="n"/>
      <c r="AK70" s="10" t="n"/>
      <c r="AL70" s="11" t="n"/>
    </row>
    <row r="71">
      <c r="A71" t="n">
        <v>1</v>
      </c>
      <c r="C71" t="inlineStr">
        <is>
          <t>(지배주주지분)당기순이익</t>
        </is>
      </c>
      <c r="H71" s="9" t="n"/>
      <c r="L71" s="18" t="n">
        <v>-1090.6</v>
      </c>
      <c r="M71" s="9" t="n"/>
      <c r="N71" s="18" t="n">
        <v>-596.77</v>
      </c>
      <c r="O71" s="18" t="n">
        <v>911.4299999999999</v>
      </c>
      <c r="P71" s="18" t="n">
        <v>775.21</v>
      </c>
      <c r="Q71" s="18" t="n">
        <v>-255.33</v>
      </c>
      <c r="R71" s="37" t="n">
        <v>834.54</v>
      </c>
      <c r="S71" s="18" t="n">
        <v>4.84</v>
      </c>
      <c r="T71" s="18" t="n">
        <v>-377.74</v>
      </c>
      <c r="U71" s="18" t="n">
        <v>336.55</v>
      </c>
      <c r="V71" s="18" t="n">
        <v>1626.51</v>
      </c>
      <c r="W71" s="37" t="n">
        <v>1590.16</v>
      </c>
      <c r="X71" s="18" t="n">
        <v>-1645.99</v>
      </c>
      <c r="Y71" s="19" t="n">
        <v>-3786.59</v>
      </c>
      <c r="Z71" s="10" t="n"/>
      <c r="AA71" s="10" t="n"/>
      <c r="AB71" s="11" t="n"/>
      <c r="AC71" s="10" t="n"/>
      <c r="AD71" s="10" t="n"/>
      <c r="AE71" s="10" t="n"/>
      <c r="AF71" s="10" t="n"/>
      <c r="AG71" s="11" t="n"/>
      <c r="AH71" s="10" t="n"/>
      <c r="AI71" s="10" t="n"/>
      <c r="AJ71" s="10" t="n"/>
      <c r="AK71" s="10" t="n"/>
      <c r="AL71" s="11" t="n"/>
    </row>
    <row r="72">
      <c r="A72" t="n">
        <v>1</v>
      </c>
      <c r="C72" t="inlineStr">
        <is>
          <t>(비지배주주지분)당기순이익</t>
        </is>
      </c>
      <c r="H72" s="9" t="n"/>
      <c r="L72" s="18" t="n">
        <v>-55.21</v>
      </c>
      <c r="M72" s="9" t="n"/>
      <c r="N72" s="18" t="n">
        <v>-40.38</v>
      </c>
      <c r="O72" s="18" t="n">
        <v>-15.23</v>
      </c>
      <c r="P72" s="18" t="n">
        <v>-70.38</v>
      </c>
      <c r="Q72" s="18" t="n">
        <v>-83.47</v>
      </c>
      <c r="R72" s="37" t="n">
        <v>-209.46</v>
      </c>
      <c r="S72" s="18" t="n">
        <v>-77.56999999999999</v>
      </c>
      <c r="T72" s="18" t="n">
        <v>-89.08</v>
      </c>
      <c r="U72" s="18" t="n">
        <v>-107.19</v>
      </c>
      <c r="V72" s="18" t="n">
        <v>-134.24</v>
      </c>
      <c r="W72" s="37" t="n">
        <v>-408.08</v>
      </c>
      <c r="X72" s="18" t="n">
        <v>-23.16</v>
      </c>
      <c r="Y72" s="19" t="n">
        <v>-201.52</v>
      </c>
      <c r="Z72" s="10" t="n"/>
      <c r="AA72" s="10" t="n"/>
      <c r="AB72" s="11" t="n"/>
      <c r="AC72" s="10" t="n"/>
      <c r="AD72" s="10" t="n"/>
      <c r="AE72" s="10" t="n"/>
      <c r="AF72" s="10" t="n"/>
      <c r="AG72" s="11" t="n"/>
      <c r="AH72" s="10" t="n"/>
      <c r="AI72" s="10" t="n"/>
      <c r="AJ72" s="10" t="n"/>
      <c r="AK72" s="10" t="n"/>
      <c r="AL72" s="11" t="n"/>
    </row>
    <row r="73">
      <c r="A73" t="n">
        <v>1</v>
      </c>
      <c r="C73" t="inlineStr">
        <is>
          <t>금융손익</t>
        </is>
      </c>
      <c r="H73" s="9" t="n"/>
      <c r="L73" s="18" t="n">
        <v>413.53</v>
      </c>
      <c r="M73" s="9" t="n"/>
      <c r="N73" s="18" t="n">
        <v>-18.05</v>
      </c>
      <c r="O73" s="18" t="n">
        <v>-634.8200000000001</v>
      </c>
      <c r="P73" s="18" t="n">
        <v>-630.62</v>
      </c>
      <c r="Q73" s="18" t="n">
        <v>-947.75</v>
      </c>
      <c r="R73" s="37" t="n">
        <v>-2231.24</v>
      </c>
      <c r="S73" s="18" t="n">
        <v>-697.6900000000001</v>
      </c>
      <c r="T73" s="18" t="n">
        <v>-589.42</v>
      </c>
      <c r="U73" s="18" t="n">
        <v>-584.27</v>
      </c>
      <c r="V73" s="18" t="n">
        <v>2276.02</v>
      </c>
      <c r="W73" s="37" t="n">
        <v>404.64</v>
      </c>
      <c r="X73" s="18" t="n">
        <v>-1046.45</v>
      </c>
      <c r="Y73" s="19" t="n">
        <v>-779.23</v>
      </c>
      <c r="Z73" s="10" t="n"/>
      <c r="AA73" s="10" t="n"/>
      <c r="AB73" s="11" t="n"/>
      <c r="AC73" s="10" t="n"/>
      <c r="AD73" s="10" t="n"/>
      <c r="AE73" s="10" t="n"/>
      <c r="AF73" s="10" t="n"/>
      <c r="AG73" s="11" t="n"/>
      <c r="AH73" s="10" t="n"/>
      <c r="AI73" s="10" t="n"/>
      <c r="AJ73" s="10" t="n"/>
      <c r="AK73" s="10" t="n"/>
      <c r="AL73" s="11" t="n"/>
    </row>
    <row r="74">
      <c r="A74" t="n">
        <v>1</v>
      </c>
      <c r="C74" t="inlineStr">
        <is>
          <t>기타영업외손익</t>
        </is>
      </c>
      <c r="H74" s="9" t="n"/>
      <c r="L74" s="18" t="n">
        <v>-55.6</v>
      </c>
      <c r="M74" s="9" t="n"/>
      <c r="N74" s="18" t="n">
        <v>16.34</v>
      </c>
      <c r="O74" s="18" t="n">
        <v>13.88</v>
      </c>
      <c r="P74" s="18" t="n">
        <v>-2.91</v>
      </c>
      <c r="Q74" s="18" t="n">
        <v>72.02</v>
      </c>
      <c r="R74" s="37" t="n">
        <v>99.33</v>
      </c>
      <c r="S74" s="18" t="n">
        <v>-55.32</v>
      </c>
      <c r="T74" s="18" t="n">
        <v>40.55</v>
      </c>
      <c r="U74" s="18" t="n">
        <v>-28.31</v>
      </c>
      <c r="V74" s="18" t="n">
        <v>-72.39</v>
      </c>
      <c r="W74" s="37" t="n">
        <v>-115.47</v>
      </c>
      <c r="X74" s="18" t="n">
        <v>1522.42</v>
      </c>
      <c r="Y74" s="19" t="n">
        <v>-1174.26</v>
      </c>
      <c r="Z74" s="10" t="n"/>
      <c r="AA74" s="10" t="n"/>
      <c r="AB74" s="11" t="n"/>
      <c r="AC74" s="10" t="n"/>
      <c r="AD74" s="10" t="n"/>
      <c r="AE74" s="10" t="n"/>
      <c r="AF74" s="10" t="n"/>
      <c r="AG74" s="11" t="n"/>
      <c r="AH74" s="10" t="n"/>
      <c r="AI74" s="10" t="n"/>
      <c r="AJ74" s="10" t="n"/>
      <c r="AK74" s="10" t="n"/>
      <c r="AL74" s="11" t="n"/>
    </row>
    <row r="75">
      <c r="A75" t="n">
        <v>1</v>
      </c>
      <c r="C75" t="inlineStr">
        <is>
          <t>계속사업이익</t>
        </is>
      </c>
      <c r="H75" s="9" t="n"/>
      <c r="L75" s="18" t="n">
        <v>-1145.81</v>
      </c>
      <c r="M75" s="9" t="n"/>
      <c r="N75" s="18" t="n">
        <v>-637.14</v>
      </c>
      <c r="O75" s="18" t="n">
        <v>896.2</v>
      </c>
      <c r="P75" s="18" t="n">
        <v>704.83</v>
      </c>
      <c r="Q75" s="18" t="n">
        <v>-338.8</v>
      </c>
      <c r="R75" s="37" t="n">
        <v>625.09</v>
      </c>
      <c r="S75" s="18" t="n">
        <v>-72.73</v>
      </c>
      <c r="T75" s="18" t="n">
        <v>-466.82</v>
      </c>
      <c r="U75" s="18" t="n">
        <v>229.36</v>
      </c>
      <c r="V75" s="18" t="n">
        <v>1492.27</v>
      </c>
      <c r="W75" s="37" t="n">
        <v>1182.08</v>
      </c>
      <c r="X75" s="18" t="n">
        <v>-1669.15</v>
      </c>
      <c r="Y75" s="19" t="n">
        <v>-3988.11</v>
      </c>
      <c r="Z75" s="10" t="n"/>
      <c r="AA75" s="10" t="n"/>
      <c r="AB75" s="11" t="n"/>
      <c r="AC75" s="10" t="n"/>
      <c r="AD75" s="10" t="n"/>
      <c r="AE75" s="10" t="n"/>
      <c r="AF75" s="10" t="n"/>
      <c r="AG75" s="11" t="n"/>
      <c r="AH75" s="10" t="n"/>
      <c r="AI75" s="10" t="n"/>
      <c r="AJ75" s="10" t="n"/>
      <c r="AK75" s="10" t="n"/>
      <c r="AL75" s="11" t="n"/>
    </row>
    <row r="76">
      <c r="A76" t="n">
        <v>1</v>
      </c>
      <c r="C76" t="inlineStr">
        <is>
          <t>이자수익</t>
        </is>
      </c>
      <c r="H76" s="9" t="n"/>
      <c r="L76" s="18" t="n">
        <v>513.77</v>
      </c>
      <c r="M76" s="9" t="n"/>
      <c r="N76" s="18" t="n">
        <v>362.6</v>
      </c>
      <c r="O76" s="18" t="n">
        <v>333.56</v>
      </c>
      <c r="P76" s="18" t="n">
        <v>353.3</v>
      </c>
      <c r="Q76" s="18" t="n">
        <v>389.74</v>
      </c>
      <c r="R76" s="37" t="n">
        <v>1439.2</v>
      </c>
      <c r="S76" s="18" t="n">
        <v>517.98</v>
      </c>
      <c r="W76" s="9" t="n"/>
      <c r="Y76" s="5" t="n"/>
      <c r="Z76" s="10" t="n"/>
      <c r="AA76" s="10" t="n"/>
      <c r="AB76" s="11" t="n"/>
      <c r="AC76" s="10" t="n"/>
      <c r="AD76" s="10" t="n"/>
      <c r="AE76" s="10" t="n"/>
      <c r="AF76" s="10" t="n"/>
      <c r="AG76" s="11" t="n"/>
      <c r="AH76" s="10" t="n"/>
      <c r="AI76" s="10" t="n"/>
      <c r="AJ76" s="10" t="n"/>
      <c r="AK76" s="10" t="n"/>
      <c r="AL76" s="11" t="n"/>
    </row>
    <row r="77">
      <c r="A77" t="n">
        <v>1</v>
      </c>
      <c r="C77" t="inlineStr">
        <is>
          <t>이자비용</t>
        </is>
      </c>
      <c r="H77" s="9" t="n"/>
      <c r="L77" s="18" t="n">
        <v>100.24</v>
      </c>
      <c r="M77" s="9" t="n"/>
      <c r="N77" s="18" t="n">
        <v>405.09</v>
      </c>
      <c r="O77" s="18" t="n">
        <v>968.38</v>
      </c>
      <c r="P77" s="18" t="n">
        <v>983.92</v>
      </c>
      <c r="Q77" s="18" t="n">
        <v>1176.78</v>
      </c>
      <c r="R77" s="37" t="n">
        <v>3534.17</v>
      </c>
      <c r="S77" s="18" t="n">
        <v>1238.07</v>
      </c>
      <c r="W77" s="9" t="n"/>
      <c r="Y77" s="5" t="n"/>
      <c r="Z77" s="10" t="n"/>
      <c r="AA77" s="10" t="n"/>
      <c r="AB77" s="11" t="n"/>
      <c r="AC77" s="10" t="n"/>
      <c r="AD77" s="10" t="n"/>
      <c r="AE77" s="10" t="n"/>
      <c r="AF77" s="10" t="n"/>
      <c r="AG77" s="11" t="n"/>
      <c r="AH77" s="10" t="n"/>
      <c r="AI77" s="10" t="n"/>
      <c r="AJ77" s="10" t="n"/>
      <c r="AK77" s="10" t="n"/>
      <c r="AL77" s="11" t="n"/>
    </row>
    <row r="78">
      <c r="A78" t="n">
        <v>1</v>
      </c>
      <c r="C78" t="inlineStr">
        <is>
          <t>이자손익</t>
        </is>
      </c>
      <c r="H78" s="9" t="n"/>
      <c r="L78" s="18" t="n">
        <v>413.53</v>
      </c>
      <c r="M78" s="9" t="n"/>
      <c r="N78" s="18" t="n">
        <v>-42.49</v>
      </c>
      <c r="O78" s="18" t="n">
        <v>-634.8200000000001</v>
      </c>
      <c r="P78" s="18" t="n">
        <v>-630.62</v>
      </c>
      <c r="Q78" s="18" t="n">
        <v>-787.04</v>
      </c>
      <c r="R78" s="37" t="n">
        <v>-2094.97</v>
      </c>
      <c r="S78" s="18" t="n">
        <v>-720.09</v>
      </c>
      <c r="W78" s="9" t="n"/>
      <c r="Y78" s="5" t="n"/>
      <c r="Z78" s="10" t="n"/>
      <c r="AA78" s="10" t="n"/>
      <c r="AB78" s="11" t="n"/>
      <c r="AC78" s="10" t="n"/>
      <c r="AD78" s="10" t="n"/>
      <c r="AE78" s="10" t="n"/>
      <c r="AF78" s="10" t="n"/>
      <c r="AG78" s="11" t="n"/>
      <c r="AH78" s="10" t="n"/>
      <c r="AI78" s="10" t="n"/>
      <c r="AJ78" s="10" t="n"/>
      <c r="AK78" s="10" t="n"/>
      <c r="AL78" s="11" t="n"/>
    </row>
    <row r="79">
      <c r="A79" t="n">
        <v>1</v>
      </c>
      <c r="C79" t="inlineStr">
        <is>
          <t>영업활동으로인한현금흐름</t>
        </is>
      </c>
      <c r="H79" s="9" t="n"/>
      <c r="L79" s="18" t="n">
        <v>3190.35</v>
      </c>
      <c r="M79" s="9" t="n"/>
      <c r="N79" s="18" t="n">
        <v>-5439.91</v>
      </c>
      <c r="O79" s="18" t="n">
        <v>18754.8</v>
      </c>
      <c r="P79" s="18" t="n">
        <v>-7021.01</v>
      </c>
      <c r="Q79" s="18" t="n">
        <v>2612.06</v>
      </c>
      <c r="R79" s="37" t="n">
        <v>8905.940000000001</v>
      </c>
      <c r="S79" s="18" t="n">
        <v>1393.17</v>
      </c>
      <c r="T79" s="18" t="n">
        <v>367.76</v>
      </c>
      <c r="U79" s="18" t="n">
        <v>-1381.07</v>
      </c>
      <c r="V79" s="18" t="n">
        <v>21303.26</v>
      </c>
      <c r="W79" s="37" t="n">
        <v>21683.12</v>
      </c>
      <c r="X79" s="18" t="n">
        <v>-15326.48</v>
      </c>
      <c r="Y79" s="19" t="n">
        <v>-4061.11</v>
      </c>
      <c r="Z79" s="10" t="n"/>
      <c r="AA79" s="10" t="n"/>
      <c r="AB79" s="11" t="n"/>
      <c r="AC79" s="10" t="n"/>
      <c r="AD79" s="10" t="n"/>
      <c r="AE79" s="10" t="n"/>
      <c r="AF79" s="10" t="n"/>
      <c r="AG79" s="11" t="n"/>
      <c r="AH79" s="10" t="n"/>
      <c r="AI79" s="10" t="n"/>
      <c r="AJ79" s="10" t="n"/>
      <c r="AK79" s="10" t="n"/>
      <c r="AL79" s="11" t="n"/>
    </row>
    <row r="80">
      <c r="A80" t="n">
        <v>1</v>
      </c>
      <c r="C80" t="inlineStr">
        <is>
          <t>감가상각비</t>
        </is>
      </c>
      <c r="H80" s="9" t="n"/>
      <c r="L80" s="18" t="n">
        <v>340.45</v>
      </c>
      <c r="M80" s="9" t="n"/>
      <c r="N80" s="18" t="n">
        <v>405.32</v>
      </c>
      <c r="O80" s="18" t="n">
        <v>446.48</v>
      </c>
      <c r="P80" s="18" t="n">
        <v>444.16</v>
      </c>
      <c r="Q80" s="18" t="n">
        <v>437.22</v>
      </c>
      <c r="R80" s="37" t="n">
        <v>1733.18</v>
      </c>
      <c r="S80" s="18" t="n">
        <v>441.4</v>
      </c>
      <c r="T80" s="18" t="n">
        <v>460.01</v>
      </c>
      <c r="U80" s="18" t="n">
        <v>481.48</v>
      </c>
      <c r="V80" s="18" t="n">
        <v>515.9400000000001</v>
      </c>
      <c r="W80" s="37" t="n">
        <v>1898.83</v>
      </c>
      <c r="X80" s="18" t="n">
        <v>515.92</v>
      </c>
      <c r="Y80" s="19" t="n">
        <v>537.61</v>
      </c>
      <c r="Z80" s="10" t="n"/>
      <c r="AA80" s="10" t="n"/>
      <c r="AB80" s="11" t="n"/>
      <c r="AC80" s="10" t="n"/>
      <c r="AD80" s="10" t="n"/>
      <c r="AE80" s="10" t="n"/>
      <c r="AF80" s="10" t="n"/>
      <c r="AG80" s="11" t="n"/>
      <c r="AH80" s="10" t="n"/>
      <c r="AI80" s="10" t="n"/>
      <c r="AJ80" s="10" t="n"/>
      <c r="AK80" s="10" t="n"/>
      <c r="AL80" s="11" t="n"/>
    </row>
    <row r="81">
      <c r="A81" t="n">
        <v>1</v>
      </c>
      <c r="C81" t="inlineStr">
        <is>
          <t>무형자산상각비</t>
        </is>
      </c>
      <c r="H81" s="9" t="n"/>
      <c r="L81" s="18" t="n">
        <v>66.12</v>
      </c>
      <c r="M81" s="9" t="n"/>
      <c r="N81" s="18" t="n">
        <v>66.39</v>
      </c>
      <c r="O81" s="18" t="n">
        <v>68.03</v>
      </c>
      <c r="P81" s="18" t="n">
        <v>111.05</v>
      </c>
      <c r="Q81" s="18" t="n">
        <v>225.38</v>
      </c>
      <c r="R81" s="37" t="n">
        <v>470.85</v>
      </c>
      <c r="S81" s="18" t="n">
        <v>189.29</v>
      </c>
      <c r="T81" s="18" t="n">
        <v>179.99</v>
      </c>
      <c r="U81" s="18" t="n">
        <v>170.78</v>
      </c>
      <c r="V81" s="18" t="n">
        <v>170.03</v>
      </c>
      <c r="W81" s="37" t="n">
        <v>710.09</v>
      </c>
      <c r="X81" s="18" t="n">
        <v>170.03</v>
      </c>
      <c r="Y81" s="19" t="n">
        <v>169.37</v>
      </c>
      <c r="Z81" s="10" t="n"/>
      <c r="AA81" s="10" t="n"/>
      <c r="AB81" s="11" t="n"/>
      <c r="AC81" s="10" t="n"/>
      <c r="AD81" s="10" t="n"/>
      <c r="AE81" s="10" t="n"/>
      <c r="AF81" s="10" t="n"/>
      <c r="AG81" s="11" t="n"/>
      <c r="AH81" s="10" t="n"/>
      <c r="AI81" s="10" t="n"/>
      <c r="AJ81" s="10" t="n"/>
      <c r="AK81" s="10" t="n"/>
      <c r="AL81" s="11" t="n"/>
    </row>
    <row r="82">
      <c r="A82" t="n">
        <v>1</v>
      </c>
      <c r="C82" t="inlineStr">
        <is>
          <t>이자수취(CF)</t>
        </is>
      </c>
      <c r="H82" s="9" t="n"/>
      <c r="L82" s="18" t="n">
        <v>299.44</v>
      </c>
      <c r="M82" s="9" t="n"/>
      <c r="N82" s="18" t="n">
        <v>271</v>
      </c>
      <c r="O82" s="18" t="n">
        <v>396</v>
      </c>
      <c r="P82" s="18" t="n">
        <v>362.39</v>
      </c>
      <c r="Q82" s="18" t="n">
        <v>172.35</v>
      </c>
      <c r="R82" s="37" t="n">
        <v>1201.74</v>
      </c>
      <c r="S82" s="18" t="n">
        <v>165.34</v>
      </c>
      <c r="T82" s="18" t="n">
        <v>508.18</v>
      </c>
      <c r="U82" s="18" t="n">
        <v>279.27</v>
      </c>
      <c r="V82" s="18" t="n">
        <v>879.38</v>
      </c>
      <c r="W82" s="37" t="n">
        <v>1832.17</v>
      </c>
      <c r="X82" s="18" t="n">
        <v>69.93000000000001</v>
      </c>
      <c r="Y82" s="19" t="n">
        <v>778.64</v>
      </c>
      <c r="Z82" s="10" t="n"/>
      <c r="AA82" s="10" t="n"/>
      <c r="AB82" s="11" t="n"/>
      <c r="AC82" s="10" t="n"/>
      <c r="AD82" s="10" t="n"/>
      <c r="AE82" s="10" t="n"/>
      <c r="AF82" s="10" t="n"/>
      <c r="AG82" s="11" t="n"/>
      <c r="AH82" s="10" t="n"/>
      <c r="AI82" s="10" t="n"/>
      <c r="AJ82" s="10" t="n"/>
      <c r="AK82" s="10" t="n"/>
      <c r="AL82" s="11" t="n"/>
    </row>
    <row r="83">
      <c r="A83" t="n">
        <v>1</v>
      </c>
      <c r="C83" t="inlineStr">
        <is>
          <t>이자지급(CF)</t>
        </is>
      </c>
      <c r="H83" s="9" t="n"/>
      <c r="L83" s="18" t="n">
        <v>-131.95</v>
      </c>
      <c r="M83" s="9" t="n"/>
      <c r="N83" s="18" t="n">
        <v>-374.72</v>
      </c>
      <c r="O83" s="18" t="n">
        <v>-980.23</v>
      </c>
      <c r="P83" s="18" t="n">
        <v>-991.25</v>
      </c>
      <c r="Q83" s="18" t="n">
        <v>-1004.01</v>
      </c>
      <c r="R83" s="37" t="n">
        <v>-3350.21</v>
      </c>
      <c r="S83" s="18" t="n">
        <v>-1013.81</v>
      </c>
      <c r="T83" s="18" t="n">
        <v>-945.74</v>
      </c>
      <c r="U83" s="18" t="n">
        <v>-870.3200000000001</v>
      </c>
      <c r="V83" s="18" t="n">
        <v>-877.87</v>
      </c>
      <c r="W83" s="37" t="n">
        <v>-3707.74</v>
      </c>
      <c r="X83" s="18" t="n">
        <v>-939.9400000000001</v>
      </c>
      <c r="Y83" s="19" t="n">
        <v>-952.52</v>
      </c>
      <c r="Z83" s="10" t="n"/>
      <c r="AA83" s="10" t="n"/>
      <c r="AB83" s="11" t="n"/>
      <c r="AC83" s="10" t="n"/>
      <c r="AD83" s="10" t="n"/>
      <c r="AE83" s="10" t="n"/>
      <c r="AF83" s="10" t="n"/>
      <c r="AG83" s="11" t="n"/>
      <c r="AH83" s="10" t="n"/>
      <c r="AI83" s="10" t="n"/>
      <c r="AJ83" s="10" t="n"/>
      <c r="AK83" s="10" t="n"/>
      <c r="AL83" s="11" t="n"/>
    </row>
    <row r="84">
      <c r="A84" t="n">
        <v>1</v>
      </c>
      <c r="C84" t="inlineStr">
        <is>
          <t>법인세납부(CF)</t>
        </is>
      </c>
      <c r="H84" s="9" t="n"/>
      <c r="L84" s="18" t="n">
        <v>-56.89</v>
      </c>
      <c r="M84" s="9" t="n"/>
      <c r="N84" s="18" t="n">
        <v>-41.59</v>
      </c>
      <c r="O84" s="18" t="n">
        <v>383.95</v>
      </c>
      <c r="P84" s="18" t="n">
        <v>-56.61</v>
      </c>
      <c r="Q84" s="18" t="n">
        <v>-21.3</v>
      </c>
      <c r="R84" s="37" t="n">
        <v>264.45</v>
      </c>
      <c r="S84" s="18" t="n">
        <v>-28.43</v>
      </c>
      <c r="T84" s="18" t="n">
        <v>92.64</v>
      </c>
      <c r="U84" s="18" t="n">
        <v>-74.31</v>
      </c>
      <c r="V84" s="18" t="n">
        <v>-101.96</v>
      </c>
      <c r="W84" s="37" t="n">
        <v>-112.06</v>
      </c>
      <c r="X84" s="18" t="n">
        <v>-10.45</v>
      </c>
      <c r="Y84" s="19" t="n">
        <v>87.59</v>
      </c>
      <c r="Z84" s="10" t="n"/>
      <c r="AA84" s="10" t="n"/>
      <c r="AB84" s="11" t="n"/>
      <c r="AC84" s="10" t="n"/>
      <c r="AD84" s="10" t="n"/>
      <c r="AE84" s="10" t="n"/>
      <c r="AF84" s="10" t="n"/>
      <c r="AG84" s="11" t="n"/>
      <c r="AH84" s="10" t="n"/>
      <c r="AI84" s="10" t="n"/>
      <c r="AJ84" s="10" t="n"/>
      <c r="AK84" s="10" t="n"/>
      <c r="AL84" s="11" t="n"/>
    </row>
    <row r="85">
      <c r="A85" t="n">
        <v>1</v>
      </c>
      <c r="C85" t="inlineStr">
        <is>
          <t>투자활동으로인한현금흐름</t>
        </is>
      </c>
      <c r="H85" s="9" t="n"/>
      <c r="L85" s="18" t="n">
        <v>-12024.34</v>
      </c>
      <c r="M85" s="9" t="n"/>
      <c r="N85" s="18" t="n">
        <v>-106453.41</v>
      </c>
      <c r="O85" s="18" t="n">
        <v>5413.59</v>
      </c>
      <c r="P85" s="18" t="n">
        <v>-2679.26</v>
      </c>
      <c r="Q85" s="18" t="n">
        <v>-18052.02</v>
      </c>
      <c r="R85" s="37" t="n">
        <v>-121771.1</v>
      </c>
      <c r="S85" s="18" t="n">
        <v>2915.55</v>
      </c>
      <c r="T85" s="18" t="n">
        <v>-11999.52</v>
      </c>
      <c r="U85" s="18" t="n">
        <v>-4089.06</v>
      </c>
      <c r="V85" s="18" t="n">
        <v>217.08</v>
      </c>
      <c r="W85" s="37" t="n">
        <v>-12955.95</v>
      </c>
      <c r="X85" s="18" t="n">
        <v>-12980.04</v>
      </c>
      <c r="Y85" s="19" t="n">
        <v>3592.94</v>
      </c>
      <c r="Z85" s="10" t="n"/>
      <c r="AA85" s="10" t="n"/>
      <c r="AB85" s="11" t="n"/>
      <c r="AC85" s="10" t="n"/>
      <c r="AD85" s="10" t="n"/>
      <c r="AE85" s="10" t="n"/>
      <c r="AF85" s="10" t="n"/>
      <c r="AG85" s="11" t="n"/>
      <c r="AH85" s="10" t="n"/>
      <c r="AI85" s="10" t="n"/>
      <c r="AJ85" s="10" t="n"/>
      <c r="AK85" s="10" t="n"/>
      <c r="AL85" s="11" t="n"/>
    </row>
    <row r="86">
      <c r="A86" t="n">
        <v>1</v>
      </c>
      <c r="C86" t="inlineStr">
        <is>
          <t>재무활동으로인한현금흐름</t>
        </is>
      </c>
      <c r="H86" s="9" t="n"/>
      <c r="L86" s="18" t="n">
        <v>-53.46</v>
      </c>
      <c r="M86" s="9" t="n"/>
      <c r="N86" s="18" t="n">
        <v>87959.69</v>
      </c>
      <c r="O86" s="18" t="n">
        <v>-40.86</v>
      </c>
      <c r="P86" s="18" t="n">
        <v>-33.92</v>
      </c>
      <c r="Q86" s="18" t="n">
        <v>17843.86</v>
      </c>
      <c r="R86" s="37" t="n">
        <v>105728.77</v>
      </c>
      <c r="S86" s="18" t="n">
        <v>1978.09</v>
      </c>
      <c r="T86" s="18" t="n">
        <v>-522.9299999999999</v>
      </c>
      <c r="U86" s="18" t="n">
        <v>-277.65</v>
      </c>
      <c r="V86" s="18" t="n">
        <v>16436.37</v>
      </c>
      <c r="W86" s="37" t="n">
        <v>17613.88</v>
      </c>
      <c r="X86" s="18" t="n">
        <v>3231.89</v>
      </c>
      <c r="Y86" s="19" t="n">
        <v>-793.08</v>
      </c>
      <c r="Z86" s="10" t="n"/>
      <c r="AA86" s="10" t="n"/>
      <c r="AB86" s="11" t="n"/>
      <c r="AC86" s="10" t="n"/>
      <c r="AD86" s="10" t="n"/>
      <c r="AE86" s="10" t="n"/>
      <c r="AF86" s="10" t="n"/>
      <c r="AG86" s="11" t="n"/>
      <c r="AH86" s="10" t="n"/>
      <c r="AI86" s="10" t="n"/>
      <c r="AJ86" s="10" t="n"/>
      <c r="AK86" s="10" t="n"/>
      <c r="AL86" s="11" t="n"/>
    </row>
    <row r="87">
      <c r="A87" t="n">
        <v>1</v>
      </c>
      <c r="C87" t="inlineStr">
        <is>
          <t>단기차입금의증가</t>
        </is>
      </c>
      <c r="H87" s="9" t="n"/>
      <c r="L87" s="18" t="n">
        <v>0</v>
      </c>
      <c r="M87" s="9" t="n"/>
      <c r="P87" s="18" t="n">
        <v>0</v>
      </c>
      <c r="Q87" s="18" t="n">
        <v>5000</v>
      </c>
      <c r="R87" s="9" t="n"/>
      <c r="S87" s="18" t="n">
        <v>5000</v>
      </c>
      <c r="T87" s="18" t="n">
        <v>0</v>
      </c>
      <c r="U87" s="18" t="n">
        <v>0</v>
      </c>
      <c r="V87" s="18" t="n">
        <v>10000</v>
      </c>
      <c r="W87" s="37" t="n">
        <v>15000</v>
      </c>
      <c r="X87" s="18" t="n">
        <v>0</v>
      </c>
      <c r="Y87" s="19" t="n">
        <v>0</v>
      </c>
      <c r="Z87" s="10" t="n"/>
      <c r="AA87" s="10" t="n"/>
      <c r="AB87" s="11" t="n"/>
      <c r="AC87" s="10" t="n"/>
      <c r="AD87" s="10" t="n"/>
      <c r="AE87" s="10" t="n"/>
      <c r="AF87" s="10" t="n"/>
      <c r="AG87" s="11" t="n"/>
      <c r="AH87" s="10" t="n"/>
      <c r="AI87" s="10" t="n"/>
      <c r="AJ87" s="10" t="n"/>
      <c r="AK87" s="10" t="n"/>
      <c r="AL87" s="11" t="n"/>
    </row>
    <row r="88">
      <c r="A88" t="n">
        <v>1</v>
      </c>
      <c r="C88" t="inlineStr">
        <is>
          <t>장기차입금의증가</t>
        </is>
      </c>
      <c r="H88" s="9" t="n"/>
      <c r="L88" s="18" t="n">
        <v>0</v>
      </c>
      <c r="M88" s="9" t="n"/>
      <c r="N88" s="18" t="n">
        <v>88000</v>
      </c>
      <c r="O88" s="18" t="n">
        <v>0</v>
      </c>
      <c r="P88" s="18" t="n">
        <v>0</v>
      </c>
      <c r="Q88" s="18" t="n">
        <v>0</v>
      </c>
      <c r="R88" s="37" t="n">
        <v>88000</v>
      </c>
      <c r="S88" s="18" t="n">
        <v>0</v>
      </c>
      <c r="T88" s="18" t="n">
        <v>0</v>
      </c>
      <c r="U88" s="18" t="n">
        <v>0</v>
      </c>
      <c r="V88" s="18" t="n">
        <v>0</v>
      </c>
      <c r="W88" s="37" t="n">
        <v>0</v>
      </c>
      <c r="Y88" s="5" t="n"/>
      <c r="Z88" s="10" t="n"/>
      <c r="AA88" s="10" t="n"/>
      <c r="AB88" s="11" t="n"/>
      <c r="AC88" s="10" t="n"/>
      <c r="AD88" s="10" t="n"/>
      <c r="AE88" s="10" t="n"/>
      <c r="AF88" s="10" t="n"/>
      <c r="AG88" s="11" t="n"/>
      <c r="AH88" s="10" t="n"/>
      <c r="AI88" s="10" t="n"/>
      <c r="AJ88" s="10" t="n"/>
      <c r="AK88" s="10" t="n"/>
      <c r="AL88" s="11" t="n"/>
    </row>
    <row r="89">
      <c r="A89" t="n">
        <v>1</v>
      </c>
      <c r="C89" t="inlineStr">
        <is>
          <t>단기차입금의감소</t>
        </is>
      </c>
      <c r="H89" s="9" t="n"/>
      <c r="L89" s="18" t="n">
        <v>0</v>
      </c>
      <c r="M89" s="9" t="n"/>
      <c r="P89" s="18" t="n">
        <v>0</v>
      </c>
      <c r="Q89" s="18" t="n">
        <v>0</v>
      </c>
      <c r="R89" s="9" t="n"/>
      <c r="S89" s="18" t="n">
        <v>2000</v>
      </c>
      <c r="T89" s="18" t="n">
        <v>500</v>
      </c>
      <c r="U89" s="18" t="n">
        <v>250</v>
      </c>
      <c r="V89" s="18" t="n">
        <v>250</v>
      </c>
      <c r="W89" s="37" t="n">
        <v>3000</v>
      </c>
      <c r="X89" s="18" t="n">
        <v>3750</v>
      </c>
      <c r="Y89" s="19" t="n">
        <v>750</v>
      </c>
      <c r="Z89" s="10" t="n"/>
      <c r="AA89" s="10" t="n"/>
      <c r="AB89" s="11" t="n"/>
      <c r="AC89" s="10" t="n"/>
      <c r="AD89" s="10" t="n"/>
      <c r="AE89" s="10" t="n"/>
      <c r="AF89" s="10" t="n"/>
      <c r="AG89" s="11" t="n"/>
      <c r="AH89" s="10" t="n"/>
      <c r="AI89" s="10" t="n"/>
      <c r="AJ89" s="10" t="n"/>
      <c r="AK89" s="10" t="n"/>
      <c r="AL89" s="11" t="n"/>
    </row>
    <row r="90">
      <c r="A90" t="n">
        <v>1</v>
      </c>
      <c r="C90" t="inlineStr">
        <is>
          <t>장기차입금의감소</t>
        </is>
      </c>
      <c r="H90" s="9" t="n"/>
      <c r="L90" s="18" t="n">
        <v>0</v>
      </c>
      <c r="M90" s="9" t="n"/>
      <c r="Q90" s="18" t="n">
        <v>0</v>
      </c>
      <c r="R90" s="9" t="n"/>
      <c r="W90" s="9" t="n"/>
      <c r="Y90" s="5" t="n"/>
      <c r="Z90" s="10" t="n"/>
      <c r="AA90" s="10" t="n"/>
      <c r="AB90" s="11" t="n"/>
      <c r="AC90" s="10" t="n"/>
      <c r="AD90" s="10" t="n"/>
      <c r="AE90" s="10" t="n"/>
      <c r="AF90" s="10" t="n"/>
      <c r="AG90" s="11" t="n"/>
      <c r="AH90" s="10" t="n"/>
      <c r="AI90" s="10" t="n"/>
      <c r="AJ90" s="10" t="n"/>
      <c r="AK90" s="10" t="n"/>
      <c r="AL90" s="11" t="n"/>
    </row>
    <row r="91">
      <c r="A91" t="n">
        <v>1</v>
      </c>
      <c r="C91" t="inlineStr">
        <is>
          <t>유동성장기부채의감소</t>
        </is>
      </c>
      <c r="H91" s="9" t="n"/>
      <c r="L91" s="18" t="n">
        <v>0</v>
      </c>
      <c r="M91" s="9" t="n"/>
      <c r="P91" s="18" t="n">
        <v>0</v>
      </c>
      <c r="Q91" s="18" t="n">
        <v>0</v>
      </c>
      <c r="R91" s="9" t="n"/>
      <c r="S91" s="18" t="n">
        <v>1000</v>
      </c>
      <c r="T91" s="18" t="n">
        <v>0</v>
      </c>
      <c r="U91" s="18" t="n">
        <v>0</v>
      </c>
      <c r="V91" s="18" t="n">
        <v>0</v>
      </c>
      <c r="W91" s="37" t="n">
        <v>1000</v>
      </c>
      <c r="X91" s="18" t="n">
        <v>0</v>
      </c>
      <c r="Y91" s="19" t="n">
        <v>0</v>
      </c>
      <c r="Z91" s="10" t="n"/>
      <c r="AA91" s="10" t="n"/>
      <c r="AB91" s="11" t="n"/>
      <c r="AC91" s="10" t="n"/>
      <c r="AD91" s="10" t="n"/>
      <c r="AE91" s="10" t="n"/>
      <c r="AF91" s="10" t="n"/>
      <c r="AG91" s="11" t="n"/>
      <c r="AH91" s="10" t="n"/>
      <c r="AI91" s="10" t="n"/>
      <c r="AJ91" s="10" t="n"/>
      <c r="AK91" s="10" t="n"/>
      <c r="AL91" s="11" t="n"/>
    </row>
    <row r="92">
      <c r="A92" t="n">
        <v>1</v>
      </c>
      <c r="C92" t="inlineStr">
        <is>
          <t>리스부채의상환</t>
        </is>
      </c>
      <c r="H92" s="9" t="n"/>
      <c r="L92" s="18" t="n">
        <v>7.71</v>
      </c>
      <c r="M92" s="9" t="n"/>
      <c r="N92" s="18" t="n">
        <v>40.31</v>
      </c>
      <c r="O92" s="18" t="n">
        <v>40.86</v>
      </c>
      <c r="P92" s="18" t="n">
        <v>33.92</v>
      </c>
      <c r="Q92" s="18" t="n">
        <v>23.09</v>
      </c>
      <c r="R92" s="37" t="n">
        <v>138.18</v>
      </c>
      <c r="S92" s="18" t="n">
        <v>21.91</v>
      </c>
      <c r="T92" s="18" t="n">
        <v>22.93</v>
      </c>
      <c r="U92" s="18" t="n">
        <v>27.65</v>
      </c>
      <c r="V92" s="18" t="n">
        <v>47.85</v>
      </c>
      <c r="W92" s="37" t="n">
        <v>120.34</v>
      </c>
      <c r="X92" s="18" t="n">
        <v>43.27</v>
      </c>
      <c r="Y92" s="19" t="n">
        <v>43.08</v>
      </c>
      <c r="Z92" s="10" t="n"/>
      <c r="AA92" s="10" t="n"/>
      <c r="AB92" s="11" t="n"/>
      <c r="AC92" s="10" t="n"/>
      <c r="AD92" s="10" t="n"/>
      <c r="AE92" s="10" t="n"/>
      <c r="AF92" s="10" t="n"/>
      <c r="AG92" s="11" t="n"/>
      <c r="AH92" s="10" t="n"/>
      <c r="AI92" s="10" t="n"/>
      <c r="AJ92" s="10" t="n"/>
      <c r="AK92" s="10" t="n"/>
      <c r="AL92" s="11" t="n"/>
    </row>
    <row r="93">
      <c r="A93" t="n">
        <v>1</v>
      </c>
      <c r="C93" t="inlineStr">
        <is>
          <t>현금및현금성자산의증감</t>
        </is>
      </c>
      <c r="H93" s="9" t="n"/>
      <c r="L93" s="18" t="n">
        <v>-8904.18</v>
      </c>
      <c r="M93" s="9" t="n"/>
      <c r="N93" s="18" t="n">
        <v>-23914.98</v>
      </c>
      <c r="O93" s="18" t="n">
        <v>24111.38</v>
      </c>
      <c r="P93" s="18" t="n">
        <v>-9736.690000000001</v>
      </c>
      <c r="Q93" s="18" t="n">
        <v>2404.72</v>
      </c>
      <c r="R93" s="37" t="n">
        <v>-7135.57</v>
      </c>
      <c r="S93" s="18" t="n">
        <v>6289.14</v>
      </c>
      <c r="T93" s="18" t="n">
        <v>-12154.55</v>
      </c>
      <c r="U93" s="18" t="n">
        <v>-5745.7</v>
      </c>
      <c r="V93" s="18" t="n">
        <v>37952.16</v>
      </c>
      <c r="W93" s="37" t="n">
        <v>26341.05</v>
      </c>
      <c r="X93" s="18" t="n">
        <v>-25074.62</v>
      </c>
      <c r="Y93" s="5" t="n"/>
      <c r="Z93" s="10" t="n"/>
      <c r="AA93" s="10" t="n"/>
      <c r="AB93" s="11" t="n"/>
      <c r="AC93" s="10" t="n"/>
      <c r="AD93" s="10" t="n"/>
      <c r="AE93" s="10" t="n"/>
      <c r="AF93" s="10" t="n"/>
      <c r="AG93" s="11" t="n"/>
      <c r="AH93" s="10" t="n"/>
      <c r="AI93" s="10" t="n"/>
      <c r="AJ93" s="10" t="n"/>
      <c r="AK93" s="10" t="n"/>
      <c r="AL93" s="11" t="n"/>
    </row>
    <row r="94">
      <c r="A94" t="n">
        <v>1</v>
      </c>
      <c r="C94" t="inlineStr">
        <is>
          <t>기말현금및현금성자산</t>
        </is>
      </c>
      <c r="H94" s="9" t="n"/>
      <c r="L94" s="18" t="n">
        <v>-8904.18</v>
      </c>
      <c r="M94" s="9" t="n"/>
      <c r="N94" s="18" t="n">
        <v>2817.92</v>
      </c>
      <c r="O94" s="18" t="n">
        <v>24111.38</v>
      </c>
      <c r="P94" s="18" t="n">
        <v>-9736.68</v>
      </c>
      <c r="Q94" s="18" t="n">
        <v>2404.71</v>
      </c>
      <c r="R94" s="37" t="n">
        <v>19597.33</v>
      </c>
      <c r="S94" s="18" t="n">
        <v>25886.48</v>
      </c>
      <c r="T94" s="18" t="n">
        <v>-12154.56</v>
      </c>
      <c r="U94" s="18" t="n">
        <v>-5745.7</v>
      </c>
      <c r="V94" s="18" t="n">
        <v>37867.75</v>
      </c>
      <c r="W94" s="37" t="n">
        <v>45853.97</v>
      </c>
      <c r="X94" s="18" t="n">
        <v>21114.54</v>
      </c>
      <c r="Y94" s="19" t="n">
        <v>-1274.09</v>
      </c>
      <c r="Z94" s="10" t="n"/>
      <c r="AA94" s="10" t="n"/>
      <c r="AB94" s="11" t="n"/>
      <c r="AC94" s="10" t="n"/>
      <c r="AD94" s="10" t="n"/>
      <c r="AE94" s="10" t="n"/>
      <c r="AF94" s="10" t="n"/>
      <c r="AG94" s="11" t="n"/>
      <c r="AH94" s="10" t="n"/>
      <c r="AI94" s="10" t="n"/>
      <c r="AJ94" s="10" t="n"/>
      <c r="AK94" s="10" t="n"/>
      <c r="AL94" s="11" t="n"/>
    </row>
    <row r="95">
      <c r="A95" t="n">
        <v>1</v>
      </c>
      <c r="C95" t="inlineStr">
        <is>
          <t>배당금수취(CF)</t>
        </is>
      </c>
      <c r="H95" s="9" t="n"/>
      <c r="M95" s="9" t="n"/>
      <c r="R95" s="9" t="n"/>
      <c r="U95" s="18" t="n">
        <v>0</v>
      </c>
      <c r="V95" s="18" t="n">
        <v>0</v>
      </c>
      <c r="W95" s="9" t="n"/>
      <c r="Y95" s="5" t="n"/>
      <c r="Z95" s="10" t="n"/>
      <c r="AA95" s="10" t="n"/>
      <c r="AB95" s="11" t="n"/>
      <c r="AC95" s="10" t="n"/>
      <c r="AD95" s="10" t="n"/>
      <c r="AE95" s="10" t="n"/>
      <c r="AF95" s="10" t="n"/>
      <c r="AG95" s="11" t="n"/>
      <c r="AH95" s="10" t="n"/>
      <c r="AI95" s="10" t="n"/>
      <c r="AJ95" s="10" t="n"/>
      <c r="AK95" s="10" t="n"/>
      <c r="AL9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2Q22</t>
        </is>
      </c>
      <c r="F1" s="3" t="inlineStr">
        <is>
          <t>3Q22</t>
        </is>
      </c>
      <c r="G1" s="3" t="inlineStr">
        <is>
          <t>4Q22</t>
        </is>
      </c>
      <c r="H1" s="3" t="n">
        <v>2022</v>
      </c>
      <c r="I1" s="3" t="inlineStr">
        <is>
          <t>1Q23</t>
        </is>
      </c>
      <c r="J1" s="3" t="inlineStr">
        <is>
          <t>2Q23</t>
        </is>
      </c>
      <c r="K1" s="3" t="inlineStr">
        <is>
          <t>3Q23</t>
        </is>
      </c>
      <c r="L1" s="3" t="inlineStr">
        <is>
          <t>4Q23</t>
        </is>
      </c>
      <c r="M1" s="3" t="n">
        <v>2023</v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n">
        <v>2024</v>
      </c>
      <c r="S1" s="3" t="inlineStr">
        <is>
          <t>1Q25</t>
        </is>
      </c>
      <c r="T1" s="3" t="inlineStr">
        <is>
          <t>2Q25</t>
        </is>
      </c>
      <c r="U1" s="3" t="inlineStr">
        <is>
          <t>3Q25</t>
        </is>
      </c>
      <c r="V1" s="3" t="inlineStr">
        <is>
          <t>4Q25</t>
        </is>
      </c>
      <c r="W1" s="3" t="n">
        <v>2025</v>
      </c>
      <c r="X1" s="3" t="inlineStr">
        <is>
          <t>1Q26</t>
        </is>
      </c>
      <c r="Y1" s="4" t="inlineStr">
        <is>
          <t>2Q26</t>
        </is>
      </c>
      <c r="Z1" s="3" t="inlineStr">
        <is>
          <t>3Q26</t>
        </is>
      </c>
      <c r="AA1" s="3" t="inlineStr">
        <is>
          <t>4Q26</t>
        </is>
      </c>
      <c r="AB1" s="3" t="n">
        <v>2026</v>
      </c>
      <c r="AC1" s="3" t="inlineStr">
        <is>
          <t>1Q27</t>
        </is>
      </c>
      <c r="AD1" s="3" t="inlineStr">
        <is>
          <t>2Q27</t>
        </is>
      </c>
      <c r="AE1" s="3" t="inlineStr">
        <is>
          <t>3Q27</t>
        </is>
      </c>
      <c r="AF1" s="3" t="inlineStr">
        <is>
          <t>4Q27</t>
        </is>
      </c>
      <c r="AG1" s="3" t="n">
        <v>2027</v>
      </c>
      <c r="AH1" s="3" t="inlineStr">
        <is>
          <t>1Q28</t>
        </is>
      </c>
      <c r="AI1" s="3" t="inlineStr">
        <is>
          <t>2Q28</t>
        </is>
      </c>
      <c r="AJ1" s="3" t="inlineStr">
        <is>
          <t>3Q28</t>
        </is>
      </c>
      <c r="AK1" s="3" t="inlineStr">
        <is>
          <t>4Q28</t>
        </is>
      </c>
      <c r="AL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Y2" s="5" t="n"/>
    </row>
    <row r="3">
      <c r="B3" t="inlineStr">
        <is>
          <t>범한퓨얼셀(별)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6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2022.06</t>
        </is>
      </c>
      <c r="F4" s="7" t="inlineStr">
        <is>
          <t>2022.09</t>
        </is>
      </c>
      <c r="G4" s="7" t="inlineStr">
        <is>
          <t>2022.12</t>
        </is>
      </c>
      <c r="H4" s="7" t="inlineStr">
        <is>
          <t>2022.12A</t>
        </is>
      </c>
      <c r="I4" s="7" t="inlineStr">
        <is>
          <t>2023.03</t>
        </is>
      </c>
      <c r="J4" s="7" t="inlineStr">
        <is>
          <t>2023.06</t>
        </is>
      </c>
      <c r="K4" s="7" t="inlineStr">
        <is>
          <t>2023.09</t>
        </is>
      </c>
      <c r="L4" s="7" t="inlineStr">
        <is>
          <t>2023.12</t>
        </is>
      </c>
      <c r="M4" s="7" t="inlineStr">
        <is>
          <t>2023.12A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2024.12A</t>
        </is>
      </c>
      <c r="S4" s="7" t="inlineStr">
        <is>
          <t>2025.03</t>
        </is>
      </c>
      <c r="T4" s="7" t="inlineStr">
        <is>
          <t>2025.06</t>
        </is>
      </c>
      <c r="U4" s="7" t="inlineStr">
        <is>
          <t>2025.09</t>
        </is>
      </c>
      <c r="V4" s="7" t="inlineStr">
        <is>
          <t>2025.12</t>
        </is>
      </c>
      <c r="W4" s="7" t="inlineStr">
        <is>
          <t>2025.12A</t>
        </is>
      </c>
      <c r="X4" s="7" t="inlineStr">
        <is>
          <t>2026.03</t>
        </is>
      </c>
      <c r="Y4" s="8" t="inlineStr">
        <is>
          <t>2026.06</t>
        </is>
      </c>
      <c r="Z4" s="7" t="inlineStr">
        <is>
          <t>2026.09</t>
        </is>
      </c>
      <c r="AA4" s="7" t="inlineStr">
        <is>
          <t>2026.12</t>
        </is>
      </c>
      <c r="AB4" s="7" t="inlineStr">
        <is>
          <t>2026.12A</t>
        </is>
      </c>
      <c r="AC4" s="7" t="inlineStr">
        <is>
          <t>2027.03</t>
        </is>
      </c>
      <c r="AD4" s="7" t="inlineStr">
        <is>
          <t>2027.06</t>
        </is>
      </c>
      <c r="AE4" s="7" t="inlineStr">
        <is>
          <t>2027.09</t>
        </is>
      </c>
      <c r="AF4" s="7" t="inlineStr">
        <is>
          <t>2027.12</t>
        </is>
      </c>
      <c r="AG4" s="7" t="inlineStr">
        <is>
          <t>2027.12A</t>
        </is>
      </c>
      <c r="AH4" s="7" t="inlineStr">
        <is>
          <t>2028.03</t>
        </is>
      </c>
      <c r="AI4" s="7" t="inlineStr">
        <is>
          <t>2028.06</t>
        </is>
      </c>
      <c r="AJ4" s="7" t="inlineStr">
        <is>
          <t>2028.09</t>
        </is>
      </c>
      <c r="AK4" s="7" t="inlineStr">
        <is>
          <t>2028.12</t>
        </is>
      </c>
      <c r="AL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114458.15</v>
      </c>
      <c r="F5" s="18" t="n">
        <v>114290.53</v>
      </c>
      <c r="G5" s="18" t="n">
        <v>103753.55</v>
      </c>
      <c r="H5" s="37" t="n">
        <v>103753.55</v>
      </c>
      <c r="I5" s="18" t="n">
        <v>97022.25</v>
      </c>
      <c r="J5" s="18" t="n">
        <v>102450.84</v>
      </c>
      <c r="K5" s="18" t="n">
        <v>96405.19</v>
      </c>
      <c r="L5" s="18" t="n">
        <v>85052.2</v>
      </c>
      <c r="M5" s="37" t="n">
        <v>85052.2</v>
      </c>
      <c r="N5" s="18" t="n">
        <v>75072.06</v>
      </c>
      <c r="O5" s="18" t="n">
        <v>72705.69</v>
      </c>
      <c r="P5" s="18" t="n">
        <v>69211.78</v>
      </c>
      <c r="Q5" s="18" t="n">
        <v>85624.39999999999</v>
      </c>
      <c r="R5" s="37" t="n">
        <v>85624.39999999999</v>
      </c>
      <c r="S5" s="18" t="n">
        <v>86757.78999999999</v>
      </c>
      <c r="T5" s="18" t="n">
        <v>91089.64</v>
      </c>
      <c r="U5" s="18" t="n">
        <v>85674.92999999999</v>
      </c>
      <c r="V5" s="18" t="n">
        <v>129005.09</v>
      </c>
      <c r="W5" s="37" t="n">
        <v>129005.09</v>
      </c>
      <c r="X5" s="18" t="n">
        <v>124017.58</v>
      </c>
      <c r="Y5" s="19" t="n">
        <v>110998.72</v>
      </c>
      <c r="Z5" s="10" t="n"/>
      <c r="AA5" s="10" t="n"/>
      <c r="AB5" s="11" t="n"/>
      <c r="AC5" s="10" t="n"/>
      <c r="AD5" s="10" t="n"/>
      <c r="AE5" s="10" t="n"/>
      <c r="AF5" s="10" t="n"/>
      <c r="AG5" s="11" t="n"/>
      <c r="AH5" s="10" t="n"/>
      <c r="AI5" s="10" t="n"/>
      <c r="AJ5" s="10" t="n"/>
      <c r="AK5" s="10" t="n"/>
      <c r="AL5" s="11" t="n"/>
    </row>
    <row r="6">
      <c r="A6" t="n">
        <v>1</v>
      </c>
      <c r="C6" t="inlineStr">
        <is>
          <t>현금및현금성자산</t>
        </is>
      </c>
      <c r="E6" s="18" t="n">
        <v>89978.89999999999</v>
      </c>
      <c r="F6" s="18" t="n">
        <v>16279.67</v>
      </c>
      <c r="G6" s="18" t="n">
        <v>22958.12</v>
      </c>
      <c r="H6" s="37" t="n">
        <v>22958.12</v>
      </c>
      <c r="I6" s="18" t="n">
        <v>30031.84</v>
      </c>
      <c r="J6" s="18" t="n">
        <v>15829.3</v>
      </c>
      <c r="K6" s="18" t="n">
        <v>35637.08</v>
      </c>
      <c r="L6" s="18" t="n">
        <v>26629.85</v>
      </c>
      <c r="M6" s="37" t="n">
        <v>26629.85</v>
      </c>
      <c r="N6" s="18" t="n">
        <v>2750.94</v>
      </c>
      <c r="O6" s="18" t="n">
        <v>26775.18</v>
      </c>
      <c r="P6" s="18" t="n">
        <v>16801.7</v>
      </c>
      <c r="Q6" s="18" t="n">
        <v>19009.47</v>
      </c>
      <c r="R6" s="37" t="n">
        <v>19009.47</v>
      </c>
      <c r="S6" s="18" t="n">
        <v>25416.47</v>
      </c>
      <c r="T6" s="18" t="n">
        <v>13321.65</v>
      </c>
      <c r="U6" s="18" t="n">
        <v>7462.37</v>
      </c>
      <c r="V6" s="18" t="n">
        <v>45601.24</v>
      </c>
      <c r="W6" s="37" t="n">
        <v>45601.24</v>
      </c>
      <c r="X6" s="18" t="n">
        <v>18696.87</v>
      </c>
      <c r="Y6" s="19" t="n">
        <v>19327.03</v>
      </c>
      <c r="Z6" s="10" t="n"/>
      <c r="AA6" s="10" t="n"/>
      <c r="AB6" s="11" t="n"/>
      <c r="AC6" s="10" t="n"/>
      <c r="AD6" s="10" t="n"/>
      <c r="AE6" s="10" t="n"/>
      <c r="AF6" s="10" t="n"/>
      <c r="AG6" s="11" t="n"/>
      <c r="AH6" s="10" t="n"/>
      <c r="AI6" s="10" t="n"/>
      <c r="AJ6" s="10" t="n"/>
      <c r="AK6" s="10" t="n"/>
      <c r="AL6" s="11" t="n"/>
    </row>
    <row r="7">
      <c r="A7" t="n">
        <v>1</v>
      </c>
      <c r="C7" t="inlineStr">
        <is>
          <t>단기금융상품</t>
        </is>
      </c>
      <c r="E7" s="18" t="n">
        <v>2530</v>
      </c>
      <c r="F7" s="18" t="n">
        <v>73510</v>
      </c>
      <c r="G7" s="18" t="n">
        <v>53600</v>
      </c>
      <c r="H7" s="37" t="n">
        <v>53600</v>
      </c>
      <c r="I7" s="18" t="n">
        <v>33690</v>
      </c>
      <c r="J7" s="18" t="n">
        <v>46622.59</v>
      </c>
      <c r="K7" s="18" t="n">
        <v>19000.14</v>
      </c>
      <c r="L7" s="18" t="n">
        <v>15540</v>
      </c>
      <c r="M7" s="37" t="n">
        <v>15540</v>
      </c>
      <c r="N7" s="18" t="n">
        <v>5630</v>
      </c>
      <c r="O7" s="18" t="n">
        <v>5360</v>
      </c>
      <c r="P7" s="18" t="n">
        <v>4450</v>
      </c>
      <c r="Q7" s="18" t="n">
        <v>3540</v>
      </c>
      <c r="R7" s="37" t="n">
        <v>3540</v>
      </c>
      <c r="S7" s="18" t="n">
        <v>600</v>
      </c>
      <c r="T7" s="18" t="n">
        <v>2651.36</v>
      </c>
      <c r="U7" s="18" t="n">
        <v>2651.36</v>
      </c>
      <c r="V7" s="18" t="n">
        <v>2651.36</v>
      </c>
      <c r="W7" s="37" t="n">
        <v>2651.36</v>
      </c>
      <c r="X7" s="18" t="n">
        <v>7651.36</v>
      </c>
      <c r="Y7" s="19" t="n">
        <v>2351</v>
      </c>
      <c r="Z7" s="10" t="n"/>
      <c r="AA7" s="10" t="n"/>
      <c r="AB7" s="11" t="n"/>
      <c r="AC7" s="10" t="n"/>
      <c r="AD7" s="10" t="n"/>
      <c r="AE7" s="10" t="n"/>
      <c r="AF7" s="10" t="n"/>
      <c r="AG7" s="11" t="n"/>
      <c r="AH7" s="10" t="n"/>
      <c r="AI7" s="10" t="n"/>
      <c r="AJ7" s="10" t="n"/>
      <c r="AK7" s="10" t="n"/>
      <c r="AL7" s="11" t="n"/>
    </row>
    <row r="8">
      <c r="A8" t="n">
        <v>1</v>
      </c>
      <c r="C8" t="inlineStr">
        <is>
          <t>단기금융자산</t>
        </is>
      </c>
      <c r="E8" s="18" t="n">
        <v>2530</v>
      </c>
      <c r="F8" s="18" t="n">
        <v>73510</v>
      </c>
      <c r="G8" s="18" t="n">
        <v>53600</v>
      </c>
      <c r="H8" s="37" t="n">
        <v>53600</v>
      </c>
      <c r="I8" s="18" t="n">
        <v>33690</v>
      </c>
      <c r="J8" s="18" t="n">
        <v>46622.59</v>
      </c>
      <c r="K8" s="18" t="n">
        <v>19000.14</v>
      </c>
      <c r="L8" s="18" t="n">
        <v>15540</v>
      </c>
      <c r="M8" s="37" t="n">
        <v>15540</v>
      </c>
      <c r="N8" s="18" t="n">
        <v>5630</v>
      </c>
      <c r="O8" s="18" t="n">
        <v>5360</v>
      </c>
      <c r="P8" s="18" t="n">
        <v>4450</v>
      </c>
      <c r="Q8" s="18" t="n">
        <v>3540</v>
      </c>
      <c r="R8" s="37" t="n">
        <v>3540</v>
      </c>
      <c r="S8" s="18" t="n">
        <v>600</v>
      </c>
      <c r="T8" s="18" t="n">
        <v>2651.36</v>
      </c>
      <c r="U8" s="18" t="n">
        <v>2651.36</v>
      </c>
      <c r="V8" s="18" t="n">
        <v>2651.36</v>
      </c>
      <c r="W8" s="37" t="n">
        <v>2651.36</v>
      </c>
      <c r="X8" s="18" t="n">
        <v>7651.36</v>
      </c>
      <c r="Y8" s="19" t="n">
        <v>2351</v>
      </c>
      <c r="Z8" s="10" t="n"/>
      <c r="AA8" s="10" t="n"/>
      <c r="AB8" s="11" t="n"/>
      <c r="AC8" s="10" t="n"/>
      <c r="AD8" s="10" t="n"/>
      <c r="AE8" s="10" t="n"/>
      <c r="AF8" s="10" t="n"/>
      <c r="AG8" s="11" t="n"/>
      <c r="AH8" s="10" t="n"/>
      <c r="AI8" s="10" t="n"/>
      <c r="AJ8" s="10" t="n"/>
      <c r="AK8" s="10" t="n"/>
      <c r="AL8" s="11" t="n"/>
    </row>
    <row r="9">
      <c r="A9" t="n">
        <v>1</v>
      </c>
      <c r="C9" t="inlineStr">
        <is>
          <t>매출채권및기타채권</t>
        </is>
      </c>
      <c r="E9" s="18" t="n">
        <v>7963.55</v>
      </c>
      <c r="F9" s="18" t="n">
        <v>6898.83</v>
      </c>
      <c r="G9" s="18" t="n">
        <v>4668.59</v>
      </c>
      <c r="H9" s="37" t="n">
        <v>4668.59</v>
      </c>
      <c r="I9" s="18" t="n">
        <v>7346.63</v>
      </c>
      <c r="J9" s="18" t="n">
        <v>6846.83</v>
      </c>
      <c r="K9" s="18" t="n">
        <v>4963.28</v>
      </c>
      <c r="L9" s="18" t="n">
        <v>15418.49</v>
      </c>
      <c r="M9" s="37" t="n">
        <v>15418.49</v>
      </c>
      <c r="N9" s="18" t="n">
        <v>38314.44</v>
      </c>
      <c r="O9" s="18" t="n">
        <v>10969.78</v>
      </c>
      <c r="P9" s="18" t="n">
        <v>19211.56</v>
      </c>
      <c r="Q9" s="18" t="n">
        <v>38107.03</v>
      </c>
      <c r="R9" s="37" t="n">
        <v>38107.03</v>
      </c>
      <c r="S9" s="18" t="n">
        <v>40737.17</v>
      </c>
      <c r="T9" s="18" t="n">
        <v>47588.34</v>
      </c>
      <c r="U9" s="18" t="n">
        <v>47413.09</v>
      </c>
      <c r="V9" s="18" t="n">
        <v>48381.85</v>
      </c>
      <c r="W9" s="37" t="n">
        <v>48381.85</v>
      </c>
      <c r="X9" s="18" t="n">
        <v>51864.52</v>
      </c>
      <c r="Y9" s="19" t="n">
        <v>51330.02</v>
      </c>
      <c r="Z9" s="10" t="n"/>
      <c r="AA9" s="10" t="n"/>
      <c r="AB9" s="11" t="n"/>
      <c r="AC9" s="10" t="n"/>
      <c r="AD9" s="10" t="n"/>
      <c r="AE9" s="10" t="n"/>
      <c r="AF9" s="10" t="n"/>
      <c r="AG9" s="11" t="n"/>
      <c r="AH9" s="10" t="n"/>
      <c r="AI9" s="10" t="n"/>
      <c r="AJ9" s="10" t="n"/>
      <c r="AK9" s="10" t="n"/>
      <c r="AL9" s="11" t="n"/>
    </row>
    <row r="10">
      <c r="A10" t="n">
        <v>1</v>
      </c>
      <c r="C10" t="inlineStr">
        <is>
          <t>재고자산</t>
        </is>
      </c>
      <c r="E10" s="18" t="n">
        <v>6019.45</v>
      </c>
      <c r="F10" s="18" t="n">
        <v>8289.049999999999</v>
      </c>
      <c r="G10" s="18" t="n">
        <v>10925.5</v>
      </c>
      <c r="H10" s="37" t="n">
        <v>10925.5</v>
      </c>
      <c r="I10" s="18" t="n">
        <v>10319.53</v>
      </c>
      <c r="J10" s="18" t="n">
        <v>14316.07</v>
      </c>
      <c r="K10" s="18" t="n">
        <v>15449.61</v>
      </c>
      <c r="L10" s="18" t="n">
        <v>16502.04</v>
      </c>
      <c r="M10" s="37" t="n">
        <v>16502.04</v>
      </c>
      <c r="N10" s="18" t="n">
        <v>18140.08</v>
      </c>
      <c r="O10" s="18" t="n">
        <v>19297.2</v>
      </c>
      <c r="P10" s="18" t="n">
        <v>17761.96</v>
      </c>
      <c r="Q10" s="18" t="n">
        <v>15681.99</v>
      </c>
      <c r="R10" s="37" t="n">
        <v>15681.99</v>
      </c>
      <c r="S10" s="18" t="n">
        <v>12869.69</v>
      </c>
      <c r="T10" s="18" t="n">
        <v>12963.07</v>
      </c>
      <c r="U10" s="18" t="n">
        <v>13794.35</v>
      </c>
      <c r="V10" s="18" t="n">
        <v>14045.17</v>
      </c>
      <c r="W10" s="37" t="n">
        <v>14045.17</v>
      </c>
      <c r="X10" s="18" t="n">
        <v>17701.26</v>
      </c>
      <c r="Y10" s="19" t="n">
        <v>19485.29</v>
      </c>
      <c r="Z10" s="10" t="n"/>
      <c r="AA10" s="10" t="n"/>
      <c r="AB10" s="11" t="n"/>
      <c r="AC10" s="10" t="n"/>
      <c r="AD10" s="10" t="n"/>
      <c r="AE10" s="10" t="n"/>
      <c r="AF10" s="10" t="n"/>
      <c r="AG10" s="11" t="n"/>
      <c r="AH10" s="10" t="n"/>
      <c r="AI10" s="10" t="n"/>
      <c r="AJ10" s="10" t="n"/>
      <c r="AK10" s="10" t="n"/>
      <c r="AL10" s="11" t="n"/>
    </row>
    <row r="11">
      <c r="A11" t="n">
        <v>1</v>
      </c>
      <c r="C11" t="inlineStr">
        <is>
          <t>계약자산</t>
        </is>
      </c>
      <c r="E11" s="18" t="n">
        <v>2668.9</v>
      </c>
      <c r="F11" s="18" t="n">
        <v>5073.44</v>
      </c>
      <c r="G11" s="18" t="n">
        <v>8787.73</v>
      </c>
      <c r="H11" s="37" t="n">
        <v>8787.73</v>
      </c>
      <c r="I11" s="18" t="n">
        <v>12948.93</v>
      </c>
      <c r="J11" s="18" t="n">
        <v>17052.45</v>
      </c>
      <c r="K11" s="18" t="n">
        <v>18487.52</v>
      </c>
      <c r="L11" s="18" t="n">
        <v>9255.73</v>
      </c>
      <c r="M11" s="37" t="n">
        <v>9255.73</v>
      </c>
      <c r="N11" s="18" t="n">
        <v>9095.549999999999</v>
      </c>
      <c r="O11" s="18" t="n">
        <v>9620.15</v>
      </c>
      <c r="P11" s="18" t="n">
        <v>10310.92</v>
      </c>
      <c r="Q11" s="18" t="n">
        <v>5907.38</v>
      </c>
      <c r="R11" s="37" t="n">
        <v>5907.38</v>
      </c>
      <c r="S11" s="18" t="n">
        <v>3323.67</v>
      </c>
      <c r="T11" s="18" t="n">
        <v>10175.87</v>
      </c>
      <c r="U11" s="18" t="n">
        <v>9141.360000000001</v>
      </c>
      <c r="V11" s="18" t="n">
        <v>10343.67</v>
      </c>
      <c r="W11" s="37" t="n">
        <v>10343.67</v>
      </c>
      <c r="X11" s="18" t="n">
        <v>9128.41</v>
      </c>
      <c r="Y11" s="19" t="n">
        <v>439.94</v>
      </c>
      <c r="Z11" s="10" t="n"/>
      <c r="AA11" s="10" t="n"/>
      <c r="AB11" s="11" t="n"/>
      <c r="AC11" s="10" t="n"/>
      <c r="AD11" s="10" t="n"/>
      <c r="AE11" s="10" t="n"/>
      <c r="AF11" s="10" t="n"/>
      <c r="AG11" s="11" t="n"/>
      <c r="AH11" s="10" t="n"/>
      <c r="AI11" s="10" t="n"/>
      <c r="AJ11" s="10" t="n"/>
      <c r="AK11" s="10" t="n"/>
      <c r="AL11" s="11" t="n"/>
    </row>
    <row r="12">
      <c r="A12" t="n">
        <v>1</v>
      </c>
      <c r="C12" t="inlineStr">
        <is>
          <t>기타유동자산</t>
        </is>
      </c>
      <c r="E12" s="18" t="n">
        <v>5297.35</v>
      </c>
      <c r="F12" s="18" t="n">
        <v>4239.54</v>
      </c>
      <c r="G12" s="18" t="n">
        <v>2390.27</v>
      </c>
      <c r="H12" s="37" t="n">
        <v>2390.27</v>
      </c>
      <c r="I12" s="18" t="n">
        <v>2314.49</v>
      </c>
      <c r="J12" s="18" t="n">
        <v>1662.01</v>
      </c>
      <c r="K12" s="18" t="n">
        <v>2462.46</v>
      </c>
      <c r="L12" s="18" t="n">
        <v>1239.64</v>
      </c>
      <c r="M12" s="37" t="n">
        <v>1239.64</v>
      </c>
      <c r="N12" s="18" t="n">
        <v>633.3099999999999</v>
      </c>
      <c r="O12" s="18" t="n">
        <v>558.6900000000001</v>
      </c>
      <c r="P12" s="18" t="n">
        <v>505.25</v>
      </c>
      <c r="Q12" s="18" t="n">
        <v>507.44</v>
      </c>
      <c r="R12" s="37" t="n">
        <v>507.44</v>
      </c>
      <c r="S12" s="18" t="n">
        <v>918.95</v>
      </c>
      <c r="T12" s="18" t="n">
        <v>1582.36</v>
      </c>
      <c r="U12" s="18" t="n">
        <v>2333.17</v>
      </c>
      <c r="V12" s="18" t="n">
        <v>4804.46</v>
      </c>
      <c r="W12" s="37" t="n">
        <v>4804.46</v>
      </c>
      <c r="X12" s="18" t="n">
        <v>15787.53</v>
      </c>
      <c r="Y12" s="19" t="n">
        <v>14965.98</v>
      </c>
      <c r="Z12" s="10" t="n"/>
      <c r="AA12" s="10" t="n"/>
      <c r="AB12" s="11" t="n"/>
      <c r="AC12" s="10" t="n"/>
      <c r="AD12" s="10" t="n"/>
      <c r="AE12" s="10" t="n"/>
      <c r="AF12" s="10" t="n"/>
      <c r="AG12" s="11" t="n"/>
      <c r="AH12" s="10" t="n"/>
      <c r="AI12" s="10" t="n"/>
      <c r="AJ12" s="10" t="n"/>
      <c r="AK12" s="10" t="n"/>
      <c r="AL12" s="11" t="n"/>
    </row>
    <row r="13">
      <c r="A13" t="n">
        <v>1</v>
      </c>
      <c r="C13" t="inlineStr">
        <is>
          <t>비유동자산</t>
        </is>
      </c>
      <c r="E13" s="18" t="n">
        <v>23459.25</v>
      </c>
      <c r="F13" s="18" t="n">
        <v>23243.08</v>
      </c>
      <c r="G13" s="18" t="n">
        <v>25948.5</v>
      </c>
      <c r="H13" s="37" t="n">
        <v>25948.5</v>
      </c>
      <c r="I13" s="18" t="n">
        <v>27217.28</v>
      </c>
      <c r="J13" s="18" t="n">
        <v>26935.06</v>
      </c>
      <c r="K13" s="18" t="n">
        <v>26563.91</v>
      </c>
      <c r="L13" s="18" t="n">
        <v>36181.61</v>
      </c>
      <c r="M13" s="37" t="n">
        <v>36181.61</v>
      </c>
      <c r="N13" s="18" t="n">
        <v>154246.03</v>
      </c>
      <c r="O13" s="18" t="n">
        <v>153449.71</v>
      </c>
      <c r="P13" s="18" t="n">
        <v>152018.73</v>
      </c>
      <c r="Q13" s="18" t="n">
        <v>225055.74</v>
      </c>
      <c r="R13" s="37" t="n">
        <v>225055.74</v>
      </c>
      <c r="S13" s="18" t="n">
        <v>225571.54</v>
      </c>
      <c r="T13" s="18" t="n">
        <v>217694.25</v>
      </c>
      <c r="U13" s="18" t="n">
        <v>222594.89</v>
      </c>
      <c r="V13" s="18" t="n">
        <v>222823.24</v>
      </c>
      <c r="W13" s="37" t="n">
        <v>222823.24</v>
      </c>
      <c r="X13" s="18" t="n">
        <v>226254.05</v>
      </c>
      <c r="Y13" s="19" t="n">
        <v>225869.29</v>
      </c>
      <c r="Z13" s="10" t="n"/>
      <c r="AA13" s="10" t="n"/>
      <c r="AB13" s="11" t="n"/>
      <c r="AC13" s="10" t="n"/>
      <c r="AD13" s="10" t="n"/>
      <c r="AE13" s="10" t="n"/>
      <c r="AF13" s="10" t="n"/>
      <c r="AG13" s="11" t="n"/>
      <c r="AH13" s="10" t="n"/>
      <c r="AI13" s="10" t="n"/>
      <c r="AJ13" s="10" t="n"/>
      <c r="AK13" s="10" t="n"/>
      <c r="AL13" s="11" t="n"/>
    </row>
    <row r="14">
      <c r="A14" t="n">
        <v>1</v>
      </c>
      <c r="C14" t="inlineStr">
        <is>
          <t>장기금융자산</t>
        </is>
      </c>
      <c r="E14" s="18" t="n">
        <v>7635.8</v>
      </c>
      <c r="F14" s="18" t="n">
        <v>7635.8</v>
      </c>
      <c r="G14" s="18" t="n">
        <v>7587.15</v>
      </c>
      <c r="H14" s="37" t="n">
        <v>7587.15</v>
      </c>
      <c r="I14" s="18" t="n">
        <v>7606.68</v>
      </c>
      <c r="J14" s="18" t="n">
        <v>7606.68</v>
      </c>
      <c r="K14" s="18" t="n">
        <v>7606.68</v>
      </c>
      <c r="L14" s="18" t="n">
        <v>8106.68</v>
      </c>
      <c r="M14" s="37" t="n">
        <v>8106.68</v>
      </c>
      <c r="N14" s="18" t="n">
        <v>8131.12</v>
      </c>
      <c r="O14" s="18" t="n">
        <v>8131.12</v>
      </c>
      <c r="P14" s="18" t="n">
        <v>8131.12</v>
      </c>
      <c r="Q14" s="18" t="n">
        <v>4631.12</v>
      </c>
      <c r="R14" s="37" t="n">
        <v>4631.12</v>
      </c>
      <c r="S14" s="18" t="n">
        <v>4949.61</v>
      </c>
      <c r="T14" s="18" t="n">
        <v>4949.61</v>
      </c>
      <c r="U14" s="18" t="n">
        <v>8959.610000000001</v>
      </c>
      <c r="V14" s="18" t="n">
        <v>7084.61</v>
      </c>
      <c r="W14" s="37" t="n">
        <v>7084.61</v>
      </c>
      <c r="X14" s="18" t="n">
        <v>7539.33</v>
      </c>
      <c r="Y14" s="19" t="n">
        <v>7539.33</v>
      </c>
      <c r="Z14" s="10" t="n"/>
      <c r="AA14" s="10" t="n"/>
      <c r="AB14" s="11" t="n"/>
      <c r="AC14" s="10" t="n"/>
      <c r="AD14" s="10" t="n"/>
      <c r="AE14" s="10" t="n"/>
      <c r="AF14" s="10" t="n"/>
      <c r="AG14" s="11" t="n"/>
      <c r="AH14" s="10" t="n"/>
      <c r="AI14" s="10" t="n"/>
      <c r="AJ14" s="10" t="n"/>
      <c r="AK14" s="10" t="n"/>
      <c r="AL14" s="11" t="n"/>
    </row>
    <row r="15">
      <c r="A15" t="n">
        <v>1</v>
      </c>
      <c r="C15" t="inlineStr">
        <is>
          <t>투자자산</t>
        </is>
      </c>
      <c r="E15" s="18" t="n">
        <v>7635.8</v>
      </c>
      <c r="F15" s="18" t="n">
        <v>7635.8</v>
      </c>
      <c r="G15" s="18" t="n">
        <v>7587.15</v>
      </c>
      <c r="H15" s="37" t="n">
        <v>7587.15</v>
      </c>
      <c r="I15" s="18" t="n">
        <v>7606.68</v>
      </c>
      <c r="J15" s="18" t="n">
        <v>7606.68</v>
      </c>
      <c r="K15" s="18" t="n">
        <v>7606.68</v>
      </c>
      <c r="L15" s="18" t="n">
        <v>13056.68</v>
      </c>
      <c r="M15" s="37" t="n">
        <v>13056.68</v>
      </c>
      <c r="N15" s="18" t="n">
        <v>13081.12</v>
      </c>
      <c r="O15" s="18" t="n">
        <v>13081.12</v>
      </c>
      <c r="P15" s="18" t="n">
        <v>13081.12</v>
      </c>
      <c r="Q15" s="18" t="n">
        <v>9581.120000000001</v>
      </c>
      <c r="R15" s="37" t="n">
        <v>9581.120000000001</v>
      </c>
      <c r="S15" s="18" t="n">
        <v>9899.610000000001</v>
      </c>
      <c r="T15" s="18" t="n">
        <v>9899.610000000001</v>
      </c>
      <c r="U15" s="18" t="n">
        <v>13909.61</v>
      </c>
      <c r="V15" s="18" t="n">
        <v>12034.61</v>
      </c>
      <c r="W15" s="37" t="n">
        <v>12034.61</v>
      </c>
      <c r="X15" s="18" t="n">
        <v>12489.33</v>
      </c>
      <c r="Y15" s="19" t="n">
        <v>12489.33</v>
      </c>
      <c r="Z15" s="10" t="n"/>
      <c r="AA15" s="10" t="n"/>
      <c r="AB15" s="11" t="n"/>
      <c r="AC15" s="10" t="n"/>
      <c r="AD15" s="10" t="n"/>
      <c r="AE15" s="10" t="n"/>
      <c r="AF15" s="10" t="n"/>
      <c r="AG15" s="11" t="n"/>
      <c r="AH15" s="10" t="n"/>
      <c r="AI15" s="10" t="n"/>
      <c r="AJ15" s="10" t="n"/>
      <c r="AK15" s="10" t="n"/>
      <c r="AL15" s="11" t="n"/>
    </row>
    <row r="16">
      <c r="A16" t="n">
        <v>1</v>
      </c>
      <c r="C16" t="inlineStr">
        <is>
          <t>유형자산</t>
        </is>
      </c>
      <c r="E16" s="18" t="n">
        <v>7538.41</v>
      </c>
      <c r="F16" s="18" t="n">
        <v>7406.52</v>
      </c>
      <c r="G16" s="18" t="n">
        <v>9287.48</v>
      </c>
      <c r="H16" s="37" t="n">
        <v>9287.48</v>
      </c>
      <c r="I16" s="18" t="n">
        <v>10768.03</v>
      </c>
      <c r="J16" s="18" t="n">
        <v>10986.07</v>
      </c>
      <c r="K16" s="18" t="n">
        <v>10783.11</v>
      </c>
      <c r="L16" s="18" t="n">
        <v>10708.3</v>
      </c>
      <c r="M16" s="37" t="n">
        <v>10708.3</v>
      </c>
      <c r="N16" s="18" t="n">
        <v>126989.18</v>
      </c>
      <c r="O16" s="18" t="n">
        <v>10367.06</v>
      </c>
      <c r="P16" s="18" t="n">
        <v>10178.14</v>
      </c>
      <c r="Q16" s="18" t="n">
        <v>203706.51</v>
      </c>
      <c r="R16" s="37" t="n">
        <v>203706.51</v>
      </c>
      <c r="S16" s="18" t="n">
        <v>203384.5</v>
      </c>
      <c r="T16" s="18" t="n">
        <v>202956.06</v>
      </c>
      <c r="U16" s="18" t="n">
        <v>202602.93</v>
      </c>
      <c r="V16" s="18" t="n">
        <v>202895.33</v>
      </c>
      <c r="W16" s="37" t="n">
        <v>202895.33</v>
      </c>
      <c r="X16" s="18" t="n">
        <v>205138.14</v>
      </c>
      <c r="Y16" s="19" t="n">
        <v>205027.75</v>
      </c>
      <c r="Z16" s="10" t="n"/>
      <c r="AA16" s="10" t="n"/>
      <c r="AB16" s="11" t="n"/>
      <c r="AC16" s="10" t="n"/>
      <c r="AD16" s="10" t="n"/>
      <c r="AE16" s="10" t="n"/>
      <c r="AF16" s="10" t="n"/>
      <c r="AG16" s="11" t="n"/>
      <c r="AH16" s="10" t="n"/>
      <c r="AI16" s="10" t="n"/>
      <c r="AJ16" s="10" t="n"/>
      <c r="AK16" s="10" t="n"/>
      <c r="AL16" s="11" t="n"/>
    </row>
    <row r="17">
      <c r="A17" t="n">
        <v>1</v>
      </c>
      <c r="C17" t="inlineStr">
        <is>
          <t>사용권자산</t>
        </is>
      </c>
      <c r="E17" s="18" t="n">
        <v>811.52</v>
      </c>
      <c r="F17" s="18" t="n">
        <v>775.42</v>
      </c>
      <c r="G17" s="18" t="n">
        <v>861.33</v>
      </c>
      <c r="H17" s="37" t="n">
        <v>861.33</v>
      </c>
      <c r="I17" s="18" t="n">
        <v>1010.98</v>
      </c>
      <c r="J17" s="18" t="n">
        <v>1150.47</v>
      </c>
      <c r="K17" s="18" t="n">
        <v>1106.08</v>
      </c>
      <c r="L17" s="18" t="n">
        <v>1053.51</v>
      </c>
      <c r="M17" s="37" t="n">
        <v>1053.51</v>
      </c>
      <c r="N17" s="18" t="n">
        <v>1008.58</v>
      </c>
      <c r="O17" s="18" t="n">
        <v>944.24</v>
      </c>
      <c r="P17" s="18" t="n">
        <v>898.54</v>
      </c>
      <c r="Q17" s="18" t="n">
        <v>875.66</v>
      </c>
      <c r="R17" s="37" t="n">
        <v>875.66</v>
      </c>
      <c r="S17" s="18" t="n">
        <v>791.3200000000001</v>
      </c>
      <c r="T17" s="18" t="n">
        <v>755.04</v>
      </c>
      <c r="U17" s="18" t="n">
        <v>718.76</v>
      </c>
      <c r="V17" s="18" t="n">
        <v>682.85</v>
      </c>
      <c r="W17" s="37" t="n">
        <v>682.85</v>
      </c>
      <c r="X17" s="18" t="n">
        <v>658.11</v>
      </c>
      <c r="Y17" s="19" t="n">
        <v>634.59</v>
      </c>
      <c r="Z17" s="10" t="n"/>
      <c r="AA17" s="10" t="n"/>
      <c r="AB17" s="11" t="n"/>
      <c r="AC17" s="10" t="n"/>
      <c r="AD17" s="10" t="n"/>
      <c r="AE17" s="10" t="n"/>
      <c r="AF17" s="10" t="n"/>
      <c r="AG17" s="11" t="n"/>
      <c r="AH17" s="10" t="n"/>
      <c r="AI17" s="10" t="n"/>
      <c r="AJ17" s="10" t="n"/>
      <c r="AK17" s="10" t="n"/>
      <c r="AL17" s="11" t="n"/>
    </row>
    <row r="18">
      <c r="A18" t="n">
        <v>1</v>
      </c>
      <c r="C18" t="inlineStr">
        <is>
          <t>기타비유동자산</t>
        </is>
      </c>
      <c r="E18" s="18" t="n">
        <v>1289.89</v>
      </c>
      <c r="F18" s="18" t="n">
        <v>1197.5</v>
      </c>
      <c r="G18" s="18" t="n">
        <v>1226.68</v>
      </c>
      <c r="H18" s="37" t="n">
        <v>1226.68</v>
      </c>
      <c r="I18" s="18" t="n">
        <v>1321.21</v>
      </c>
      <c r="J18" s="18" t="n">
        <v>1405.83</v>
      </c>
      <c r="K18" s="18" t="n">
        <v>1306.1</v>
      </c>
      <c r="L18" s="18" t="n">
        <v>1197.18</v>
      </c>
      <c r="M18" s="37" t="n">
        <v>1197.18</v>
      </c>
      <c r="N18" s="18" t="n">
        <v>1186.08</v>
      </c>
      <c r="O18" s="18" t="n">
        <v>1096.66</v>
      </c>
      <c r="P18" s="18" t="n">
        <v>1020.09</v>
      </c>
      <c r="Q18" s="18" t="n">
        <v>965.66</v>
      </c>
      <c r="R18" s="37" t="n">
        <v>965.66</v>
      </c>
      <c r="S18" s="18" t="n">
        <v>851.89</v>
      </c>
      <c r="T18" s="18" t="n">
        <v>804.1799999999999</v>
      </c>
      <c r="U18" s="18" t="n">
        <v>790.15</v>
      </c>
      <c r="V18" s="18" t="n">
        <v>748.53</v>
      </c>
      <c r="W18" s="37" t="n">
        <v>748.53</v>
      </c>
      <c r="X18" s="18" t="n">
        <v>708.58</v>
      </c>
      <c r="Y18" s="19" t="n">
        <v>694.05</v>
      </c>
      <c r="Z18" s="10" t="n"/>
      <c r="AA18" s="10" t="n"/>
      <c r="AB18" s="11" t="n"/>
      <c r="AC18" s="10" t="n"/>
      <c r="AD18" s="10" t="n"/>
      <c r="AE18" s="10" t="n"/>
      <c r="AF18" s="10" t="n"/>
      <c r="AG18" s="11" t="n"/>
      <c r="AH18" s="10" t="n"/>
      <c r="AI18" s="10" t="n"/>
      <c r="AJ18" s="10" t="n"/>
      <c r="AK18" s="10" t="n"/>
      <c r="AL18" s="11" t="n"/>
    </row>
    <row r="19">
      <c r="A19" t="n">
        <v>1</v>
      </c>
      <c r="C19" t="inlineStr">
        <is>
          <t>무형자산</t>
        </is>
      </c>
      <c r="E19" s="18" t="n">
        <v>2844.95</v>
      </c>
      <c r="F19" s="18" t="n">
        <v>2905.22</v>
      </c>
      <c r="G19" s="18" t="n">
        <v>2835.41</v>
      </c>
      <c r="H19" s="37" t="n">
        <v>2835.41</v>
      </c>
      <c r="I19" s="18" t="n">
        <v>2918.46</v>
      </c>
      <c r="J19" s="18" t="n">
        <v>2855.7</v>
      </c>
      <c r="K19" s="18" t="n">
        <v>2766.29</v>
      </c>
      <c r="L19" s="18" t="n">
        <v>2717.95</v>
      </c>
      <c r="M19" s="37" t="n">
        <v>2717.95</v>
      </c>
      <c r="N19" s="18" t="n">
        <v>2720.25</v>
      </c>
      <c r="O19" s="18" t="n">
        <v>2682.51</v>
      </c>
      <c r="P19" s="18" t="n">
        <v>2628.35</v>
      </c>
      <c r="Q19" s="18" t="n">
        <v>2477.23</v>
      </c>
      <c r="R19" s="37" t="n">
        <v>2477.23</v>
      </c>
      <c r="S19" s="18" t="n">
        <v>2360.85</v>
      </c>
      <c r="T19" s="18" t="n">
        <v>2434.58</v>
      </c>
      <c r="U19" s="18" t="n">
        <v>2297.43</v>
      </c>
      <c r="V19" s="18" t="n">
        <v>2211.72</v>
      </c>
      <c r="W19" s="37" t="n">
        <v>2211.72</v>
      </c>
      <c r="X19" s="18" t="n">
        <v>2120.47</v>
      </c>
      <c r="Y19" s="19" t="n">
        <v>2210.6</v>
      </c>
      <c r="Z19" s="10" t="n"/>
      <c r="AA19" s="10" t="n"/>
      <c r="AB19" s="11" t="n"/>
      <c r="AC19" s="10" t="n"/>
      <c r="AD19" s="10" t="n"/>
      <c r="AE19" s="10" t="n"/>
      <c r="AF19" s="10" t="n"/>
      <c r="AG19" s="11" t="n"/>
      <c r="AH19" s="10" t="n"/>
      <c r="AI19" s="10" t="n"/>
      <c r="AJ19" s="10" t="n"/>
      <c r="AK19" s="10" t="n"/>
      <c r="AL19" s="11" t="n"/>
    </row>
    <row r="20">
      <c r="A20" t="n">
        <v>1</v>
      </c>
      <c r="C20" t="inlineStr">
        <is>
          <t>이연법인세자산</t>
        </is>
      </c>
      <c r="E20" s="18" t="n">
        <v>417.92</v>
      </c>
      <c r="F20" s="18" t="n">
        <v>417.92</v>
      </c>
      <c r="G20" s="18" t="n">
        <v>305.47</v>
      </c>
      <c r="H20" s="37" t="n">
        <v>305.47</v>
      </c>
      <c r="I20" s="18" t="n">
        <v>305.47</v>
      </c>
      <c r="J20" s="18" t="n">
        <v>695.71</v>
      </c>
      <c r="K20" s="18" t="n">
        <v>695.71</v>
      </c>
      <c r="L20" s="18" t="n">
        <v>1237.2</v>
      </c>
      <c r="M20" s="37" t="n">
        <v>1237.2</v>
      </c>
      <c r="N20" s="18" t="n">
        <v>1237.2</v>
      </c>
      <c r="O20" s="18" t="n">
        <v>1102.86</v>
      </c>
      <c r="P20" s="18" t="n">
        <v>1102.86</v>
      </c>
      <c r="Q20" s="18" t="n">
        <v>0</v>
      </c>
      <c r="R20" s="37" t="n">
        <v>0</v>
      </c>
      <c r="V20" s="18" t="n">
        <v>0</v>
      </c>
      <c r="W20" s="37" t="n">
        <v>0</v>
      </c>
      <c r="Y20" s="5" t="n"/>
      <c r="Z20" s="10" t="n"/>
      <c r="AA20" s="10" t="n"/>
      <c r="AB20" s="11" t="n"/>
      <c r="AC20" s="10" t="n"/>
      <c r="AD20" s="10" t="n"/>
      <c r="AE20" s="10" t="n"/>
      <c r="AF20" s="10" t="n"/>
      <c r="AG20" s="11" t="n"/>
      <c r="AH20" s="10" t="n"/>
      <c r="AI20" s="10" t="n"/>
      <c r="AJ20" s="10" t="n"/>
      <c r="AK20" s="10" t="n"/>
      <c r="AL20" s="11" t="n"/>
    </row>
    <row r="21">
      <c r="A21" t="n">
        <v>1</v>
      </c>
      <c r="C21" t="inlineStr">
        <is>
          <t>자산총계</t>
        </is>
      </c>
      <c r="E21" s="18" t="n">
        <v>137917.4</v>
      </c>
      <c r="F21" s="18" t="n">
        <v>137533.61</v>
      </c>
      <c r="G21" s="18" t="n">
        <v>129702.05</v>
      </c>
      <c r="H21" s="37" t="n">
        <v>129702.05</v>
      </c>
      <c r="I21" s="18" t="n">
        <v>124239.54</v>
      </c>
      <c r="J21" s="18" t="n">
        <v>129385.9</v>
      </c>
      <c r="K21" s="18" t="n">
        <v>122969.1</v>
      </c>
      <c r="L21" s="18" t="n">
        <v>121233.81</v>
      </c>
      <c r="M21" s="37" t="n">
        <v>121233.81</v>
      </c>
      <c r="N21" s="18" t="n">
        <v>229318.1</v>
      </c>
      <c r="O21" s="18" t="n">
        <v>226155.41</v>
      </c>
      <c r="P21" s="18" t="n">
        <v>221230.51</v>
      </c>
      <c r="Q21" s="18" t="n">
        <v>310680.14</v>
      </c>
      <c r="R21" s="37" t="n">
        <v>310680.14</v>
      </c>
      <c r="S21" s="18" t="n">
        <v>312329.33</v>
      </c>
      <c r="T21" s="18" t="n">
        <v>308783.88</v>
      </c>
      <c r="U21" s="18" t="n">
        <v>308269.82</v>
      </c>
      <c r="V21" s="18" t="n">
        <v>351828.33</v>
      </c>
      <c r="W21" s="37" t="n">
        <v>351828.33</v>
      </c>
      <c r="X21" s="18" t="n">
        <v>350271.63</v>
      </c>
      <c r="Y21" s="19" t="n">
        <v>336868</v>
      </c>
      <c r="Z21" s="10" t="n"/>
      <c r="AA21" s="10" t="n"/>
      <c r="AB21" s="11" t="n"/>
      <c r="AC21" s="10" t="n"/>
      <c r="AD21" s="10" t="n"/>
      <c r="AE21" s="10" t="n"/>
      <c r="AF21" s="10" t="n"/>
      <c r="AG21" s="11" t="n"/>
      <c r="AH21" s="10" t="n"/>
      <c r="AI21" s="10" t="n"/>
      <c r="AJ21" s="10" t="n"/>
      <c r="AK21" s="10" t="n"/>
      <c r="AL21" s="11" t="n"/>
    </row>
    <row r="22">
      <c r="A22" t="n">
        <v>1</v>
      </c>
      <c r="C22" t="inlineStr">
        <is>
          <t>유동부채</t>
        </is>
      </c>
      <c r="E22" s="18" t="n">
        <v>20626.58</v>
      </c>
      <c r="F22" s="18" t="n">
        <v>21638.65</v>
      </c>
      <c r="G22" s="18" t="n">
        <v>17042.64</v>
      </c>
      <c r="H22" s="37" t="n">
        <v>17042.64</v>
      </c>
      <c r="I22" s="18" t="n">
        <v>11720.44</v>
      </c>
      <c r="J22" s="18" t="n">
        <v>16205.76</v>
      </c>
      <c r="K22" s="18" t="n">
        <v>10773.4</v>
      </c>
      <c r="L22" s="18" t="n">
        <v>10330.35</v>
      </c>
      <c r="M22" s="37" t="n">
        <v>10330.35</v>
      </c>
      <c r="N22" s="18" t="n">
        <v>30701.84</v>
      </c>
      <c r="O22" s="18" t="n">
        <v>28058.91</v>
      </c>
      <c r="P22" s="18" t="n">
        <v>22858.62</v>
      </c>
      <c r="Q22" s="18" t="n">
        <v>41406.76</v>
      </c>
      <c r="R22" s="37" t="n">
        <v>41406.76</v>
      </c>
      <c r="S22" s="18" t="n">
        <v>42611.35</v>
      </c>
      <c r="T22" s="18" t="n">
        <v>39685.18</v>
      </c>
      <c r="U22" s="18" t="n">
        <v>40446.51</v>
      </c>
      <c r="V22" s="18" t="n">
        <v>84463.64</v>
      </c>
      <c r="W22" s="37" t="n">
        <v>84463.64</v>
      </c>
      <c r="X22" s="18" t="n">
        <v>165250.85</v>
      </c>
      <c r="Y22" s="19" t="n">
        <v>163380.03</v>
      </c>
      <c r="Z22" s="10" t="n"/>
      <c r="AA22" s="10" t="n"/>
      <c r="AB22" s="11" t="n"/>
      <c r="AC22" s="10" t="n"/>
      <c r="AD22" s="10" t="n"/>
      <c r="AE22" s="10" t="n"/>
      <c r="AF22" s="10" t="n"/>
      <c r="AG22" s="11" t="n"/>
      <c r="AH22" s="10" t="n"/>
      <c r="AI22" s="10" t="n"/>
      <c r="AJ22" s="10" t="n"/>
      <c r="AK22" s="10" t="n"/>
      <c r="AL22" s="11" t="n"/>
    </row>
    <row r="23">
      <c r="A23" t="n">
        <v>1</v>
      </c>
      <c r="C23" t="inlineStr">
        <is>
          <t>매입채무및기타채무</t>
        </is>
      </c>
      <c r="E23" s="18" t="n">
        <v>5004.85</v>
      </c>
      <c r="F23" s="18" t="n">
        <v>8751.200000000001</v>
      </c>
      <c r="G23" s="18" t="n">
        <v>9278.99</v>
      </c>
      <c r="H23" s="37" t="n">
        <v>9278.99</v>
      </c>
      <c r="I23" s="18" t="n">
        <v>6904.36</v>
      </c>
      <c r="J23" s="18" t="n">
        <v>8128.91</v>
      </c>
      <c r="K23" s="18" t="n">
        <v>3602.51</v>
      </c>
      <c r="L23" s="18" t="n">
        <v>4907.27</v>
      </c>
      <c r="M23" s="37" t="n">
        <v>4907.27</v>
      </c>
      <c r="N23" s="18" t="n">
        <v>5218.18</v>
      </c>
      <c r="O23" s="18" t="n">
        <v>5561</v>
      </c>
      <c r="P23" s="18" t="n">
        <v>5461.16</v>
      </c>
      <c r="Q23" s="18" t="n">
        <v>4774.05</v>
      </c>
      <c r="R23" s="37" t="n">
        <v>4774.05</v>
      </c>
      <c r="S23" s="18" t="n">
        <v>4682.6</v>
      </c>
      <c r="T23" s="18" t="n">
        <v>5566.66</v>
      </c>
      <c r="U23" s="18" t="n">
        <v>5797.14</v>
      </c>
      <c r="V23" s="18" t="n">
        <v>12012.39</v>
      </c>
      <c r="W23" s="37" t="n">
        <v>12012.39</v>
      </c>
      <c r="X23" s="18" t="n">
        <v>7737.04</v>
      </c>
      <c r="Y23" s="19" t="n">
        <v>10579.25</v>
      </c>
      <c r="Z23" s="10" t="n"/>
      <c r="AA23" s="10" t="n"/>
      <c r="AB23" s="11" t="n"/>
      <c r="AC23" s="10" t="n"/>
      <c r="AD23" s="10" t="n"/>
      <c r="AE23" s="10" t="n"/>
      <c r="AF23" s="10" t="n"/>
      <c r="AG23" s="11" t="n"/>
      <c r="AH23" s="10" t="n"/>
      <c r="AI23" s="10" t="n"/>
      <c r="AJ23" s="10" t="n"/>
      <c r="AK23" s="10" t="n"/>
      <c r="AL23" s="11" t="n"/>
    </row>
    <row r="24">
      <c r="A24" t="n">
        <v>1</v>
      </c>
      <c r="C24" t="inlineStr">
        <is>
          <t>계약부채</t>
        </is>
      </c>
      <c r="E24" s="18" t="n">
        <v>11509.15</v>
      </c>
      <c r="F24" s="18" t="n">
        <v>8437.59</v>
      </c>
      <c r="G24" s="18" t="n">
        <v>2943.19</v>
      </c>
      <c r="H24" s="37" t="n">
        <v>2943.19</v>
      </c>
      <c r="I24" s="18" t="n">
        <v>756</v>
      </c>
      <c r="J24" s="18" t="n">
        <v>2034.58</v>
      </c>
      <c r="K24" s="18" t="n">
        <v>1541</v>
      </c>
      <c r="L24" s="18" t="n">
        <v>0</v>
      </c>
      <c r="M24" s="37" t="n">
        <v>0</v>
      </c>
      <c r="N24" s="18" t="n">
        <v>20064.66</v>
      </c>
      <c r="O24" s="18" t="n">
        <v>16090.44</v>
      </c>
      <c r="P24" s="18" t="n">
        <v>10975.58</v>
      </c>
      <c r="Q24" s="18" t="n">
        <v>9347.549999999999</v>
      </c>
      <c r="R24" s="37" t="n">
        <v>9347.549999999999</v>
      </c>
      <c r="S24" s="18" t="n">
        <v>7708.47</v>
      </c>
      <c r="T24" s="18" t="n">
        <v>4316.21</v>
      </c>
      <c r="U24" s="18" t="n">
        <v>3212.12</v>
      </c>
      <c r="V24" s="18" t="n">
        <v>27046.57</v>
      </c>
      <c r="W24" s="37" t="n">
        <v>27046.57</v>
      </c>
      <c r="X24" s="18" t="n">
        <v>26562.04</v>
      </c>
      <c r="Y24" s="19" t="n">
        <v>14957.59</v>
      </c>
      <c r="Z24" s="10" t="n"/>
      <c r="AA24" s="10" t="n"/>
      <c r="AB24" s="11" t="n"/>
      <c r="AC24" s="10" t="n"/>
      <c r="AD24" s="10" t="n"/>
      <c r="AE24" s="10" t="n"/>
      <c r="AF24" s="10" t="n"/>
      <c r="AG24" s="11" t="n"/>
      <c r="AH24" s="10" t="n"/>
      <c r="AI24" s="10" t="n"/>
      <c r="AJ24" s="10" t="n"/>
      <c r="AK24" s="10" t="n"/>
      <c r="AL24" s="11" t="n"/>
    </row>
    <row r="25">
      <c r="A25" t="n">
        <v>1</v>
      </c>
      <c r="C25" t="inlineStr">
        <is>
          <t>단기차입금</t>
        </is>
      </c>
      <c r="E25" s="18" t="n">
        <v>3110</v>
      </c>
      <c r="F25" s="18" t="n">
        <v>3220</v>
      </c>
      <c r="G25" s="18" t="n">
        <v>3330</v>
      </c>
      <c r="H25" s="37" t="n">
        <v>3330</v>
      </c>
      <c r="I25" s="18" t="n">
        <v>3440</v>
      </c>
      <c r="J25" s="18" t="n">
        <v>5440</v>
      </c>
      <c r="K25" s="18" t="n">
        <v>5000</v>
      </c>
      <c r="L25" s="18" t="n">
        <v>5000</v>
      </c>
      <c r="M25" s="37" t="n">
        <v>5000</v>
      </c>
      <c r="N25" s="18" t="n">
        <v>5000</v>
      </c>
      <c r="O25" s="18" t="n">
        <v>6000</v>
      </c>
      <c r="P25" s="18" t="n">
        <v>6000</v>
      </c>
      <c r="Q25" s="18" t="n">
        <v>22785.01</v>
      </c>
      <c r="R25" s="37" t="n">
        <v>22785.01</v>
      </c>
      <c r="S25" s="18" t="n">
        <v>25008.92</v>
      </c>
      <c r="T25" s="18" t="n">
        <v>24737.08</v>
      </c>
      <c r="U25" s="18" t="n">
        <v>26809.57</v>
      </c>
      <c r="V25" s="18" t="n">
        <v>35410.7</v>
      </c>
      <c r="W25" s="37" t="n">
        <v>35410.7</v>
      </c>
      <c r="X25" s="18" t="n">
        <v>120338.23</v>
      </c>
      <c r="Y25" s="19" t="n">
        <v>123207.83</v>
      </c>
      <c r="Z25" s="10" t="n"/>
      <c r="AA25" s="10" t="n"/>
      <c r="AB25" s="11" t="n"/>
      <c r="AC25" s="10" t="n"/>
      <c r="AD25" s="10" t="n"/>
      <c r="AE25" s="10" t="n"/>
      <c r="AF25" s="10" t="n"/>
      <c r="AG25" s="11" t="n"/>
      <c r="AH25" s="10" t="n"/>
      <c r="AI25" s="10" t="n"/>
      <c r="AJ25" s="10" t="n"/>
      <c r="AK25" s="10" t="n"/>
      <c r="AL25" s="11" t="n"/>
    </row>
    <row r="26">
      <c r="A26" t="n">
        <v>1</v>
      </c>
      <c r="C26" t="inlineStr">
        <is>
          <t>유동리스부채</t>
        </is>
      </c>
      <c r="E26" s="18" t="n">
        <v>113.54</v>
      </c>
      <c r="F26" s="18" t="n">
        <v>102.03</v>
      </c>
      <c r="G26" s="18" t="n">
        <v>128.34</v>
      </c>
      <c r="H26" s="37" t="n">
        <v>128.34</v>
      </c>
      <c r="I26" s="18" t="n">
        <v>162.31</v>
      </c>
      <c r="J26" s="18" t="n">
        <v>149.71</v>
      </c>
      <c r="K26" s="18" t="n">
        <v>147.05</v>
      </c>
      <c r="L26" s="18" t="n">
        <v>131.65</v>
      </c>
      <c r="M26" s="37" t="n">
        <v>131.65</v>
      </c>
      <c r="N26" s="18" t="n">
        <v>117.53</v>
      </c>
      <c r="O26" s="18" t="n">
        <v>98.25</v>
      </c>
      <c r="P26" s="18" t="n">
        <v>84.13</v>
      </c>
      <c r="Q26" s="18" t="n">
        <v>84.51000000000001</v>
      </c>
      <c r="R26" s="37" t="n">
        <v>84.51000000000001</v>
      </c>
      <c r="S26" s="18" t="n">
        <v>82.09</v>
      </c>
      <c r="T26" s="18" t="n">
        <v>78.78</v>
      </c>
      <c r="U26" s="18" t="n">
        <v>75.02</v>
      </c>
      <c r="V26" s="18" t="n">
        <v>69.84999999999999</v>
      </c>
      <c r="W26" s="37" t="n">
        <v>69.84999999999999</v>
      </c>
      <c r="X26" s="18" t="n">
        <v>60.33</v>
      </c>
      <c r="Y26" s="19" t="n">
        <v>52.45</v>
      </c>
      <c r="Z26" s="10" t="n"/>
      <c r="AA26" s="10" t="n"/>
      <c r="AB26" s="11" t="n"/>
      <c r="AC26" s="10" t="n"/>
      <c r="AD26" s="10" t="n"/>
      <c r="AE26" s="10" t="n"/>
      <c r="AF26" s="10" t="n"/>
      <c r="AG26" s="11" t="n"/>
      <c r="AH26" s="10" t="n"/>
      <c r="AI26" s="10" t="n"/>
      <c r="AJ26" s="10" t="n"/>
      <c r="AK26" s="10" t="n"/>
      <c r="AL26" s="11" t="n"/>
    </row>
    <row r="27">
      <c r="A27" t="n">
        <v>1</v>
      </c>
      <c r="C27" t="inlineStr">
        <is>
          <t>리스부채</t>
        </is>
      </c>
      <c r="E27" s="18" t="n">
        <v>846.67</v>
      </c>
      <c r="F27" s="18" t="n">
        <v>813.0599999999999</v>
      </c>
      <c r="G27" s="18" t="n">
        <v>904.86</v>
      </c>
      <c r="H27" s="37" t="n">
        <v>904.86</v>
      </c>
      <c r="I27" s="18" t="n">
        <v>1058.99</v>
      </c>
      <c r="J27" s="18" t="n">
        <v>1019.37</v>
      </c>
      <c r="K27" s="18" t="n">
        <v>992.45</v>
      </c>
      <c r="L27" s="18" t="n">
        <v>957.1799999999999</v>
      </c>
      <c r="M27" s="37" t="n">
        <v>957.1799999999999</v>
      </c>
      <c r="N27" s="18" t="n">
        <v>929.15</v>
      </c>
      <c r="O27" s="18" t="n">
        <v>881.14</v>
      </c>
      <c r="P27" s="18" t="n">
        <v>850.3099999999999</v>
      </c>
      <c r="Q27" s="18" t="n">
        <v>829.5700000000001</v>
      </c>
      <c r="R27" s="37" t="n">
        <v>829.5700000000001</v>
      </c>
      <c r="S27" s="18" t="n">
        <v>761.9400000000001</v>
      </c>
      <c r="T27" s="18" t="n">
        <v>741.49</v>
      </c>
      <c r="U27" s="18" t="n">
        <v>720.8200000000001</v>
      </c>
      <c r="V27" s="18" t="n">
        <v>699.9299999999999</v>
      </c>
      <c r="W27" s="37" t="n">
        <v>699.9299999999999</v>
      </c>
      <c r="X27" s="18" t="n">
        <v>690.53</v>
      </c>
      <c r="Y27" s="19" t="n">
        <v>682.26</v>
      </c>
      <c r="Z27" s="10" t="n"/>
      <c r="AA27" s="10" t="n"/>
      <c r="AB27" s="11" t="n"/>
      <c r="AC27" s="10" t="n"/>
      <c r="AD27" s="10" t="n"/>
      <c r="AE27" s="10" t="n"/>
      <c r="AF27" s="10" t="n"/>
      <c r="AG27" s="11" t="n"/>
      <c r="AH27" s="10" t="n"/>
      <c r="AI27" s="10" t="n"/>
      <c r="AJ27" s="10" t="n"/>
      <c r="AK27" s="10" t="n"/>
      <c r="AL27" s="11" t="n"/>
    </row>
    <row r="28">
      <c r="A28" t="n">
        <v>1</v>
      </c>
      <c r="C28" t="inlineStr">
        <is>
          <t>단기금융부채</t>
        </is>
      </c>
      <c r="E28" s="18" t="n">
        <v>113.54</v>
      </c>
      <c r="F28" s="18" t="n">
        <v>102.03</v>
      </c>
      <c r="G28" s="18" t="n">
        <v>128.34</v>
      </c>
      <c r="H28" s="37" t="n">
        <v>128.34</v>
      </c>
      <c r="I28" s="18" t="n">
        <v>162.31</v>
      </c>
      <c r="J28" s="18" t="n">
        <v>149.71</v>
      </c>
      <c r="K28" s="18" t="n">
        <v>147.05</v>
      </c>
      <c r="L28" s="18" t="n">
        <v>131.65</v>
      </c>
      <c r="M28" s="37" t="n">
        <v>131.65</v>
      </c>
      <c r="N28" s="18" t="n">
        <v>117.53</v>
      </c>
      <c r="O28" s="18" t="n">
        <v>98.25</v>
      </c>
      <c r="P28" s="18" t="n">
        <v>84.13</v>
      </c>
      <c r="Q28" s="18" t="n">
        <v>4165.55</v>
      </c>
      <c r="R28" s="37" t="n">
        <v>4165.55</v>
      </c>
      <c r="S28" s="18" t="n">
        <v>4163.13</v>
      </c>
      <c r="T28" s="18" t="n">
        <v>4159.82</v>
      </c>
      <c r="U28" s="18" t="n">
        <v>4156.06</v>
      </c>
      <c r="V28" s="18" t="n">
        <v>9624.42</v>
      </c>
      <c r="W28" s="37" t="n">
        <v>9624.42</v>
      </c>
      <c r="X28" s="18" t="n">
        <v>9614.9</v>
      </c>
      <c r="Y28" s="19" t="n">
        <v>13426.25</v>
      </c>
      <c r="Z28" s="10" t="n"/>
      <c r="AA28" s="10" t="n"/>
      <c r="AB28" s="11" t="n"/>
      <c r="AC28" s="10" t="n"/>
      <c r="AD28" s="10" t="n"/>
      <c r="AE28" s="10" t="n"/>
      <c r="AF28" s="10" t="n"/>
      <c r="AG28" s="11" t="n"/>
      <c r="AH28" s="10" t="n"/>
      <c r="AI28" s="10" t="n"/>
      <c r="AJ28" s="10" t="n"/>
      <c r="AK28" s="10" t="n"/>
      <c r="AL28" s="11" t="n"/>
    </row>
    <row r="29">
      <c r="A29" t="n">
        <v>1</v>
      </c>
      <c r="C29" t="inlineStr">
        <is>
          <t>당기법인세부채(미지급법인세)</t>
        </is>
      </c>
      <c r="E29" s="18" t="n">
        <v>320.6</v>
      </c>
      <c r="F29" s="18" t="n">
        <v>634.52</v>
      </c>
      <c r="G29" s="18" t="n">
        <v>0</v>
      </c>
      <c r="H29" s="37" t="n">
        <v>0</v>
      </c>
      <c r="L29" s="18" t="n">
        <v>0</v>
      </c>
      <c r="M29" s="37" t="n">
        <v>0</v>
      </c>
      <c r="R29" s="9" t="n"/>
      <c r="W29" s="9" t="n"/>
      <c r="Y29" s="5" t="n"/>
      <c r="Z29" s="10" t="n"/>
      <c r="AA29" s="10" t="n"/>
      <c r="AB29" s="11" t="n"/>
      <c r="AC29" s="10" t="n"/>
      <c r="AD29" s="10" t="n"/>
      <c r="AE29" s="10" t="n"/>
      <c r="AF29" s="10" t="n"/>
      <c r="AG29" s="11" t="n"/>
      <c r="AH29" s="10" t="n"/>
      <c r="AI29" s="10" t="n"/>
      <c r="AJ29" s="10" t="n"/>
      <c r="AK29" s="10" t="n"/>
      <c r="AL29" s="11" t="n"/>
    </row>
    <row r="30">
      <c r="A30" t="n">
        <v>1</v>
      </c>
      <c r="C30" t="inlineStr">
        <is>
          <t>단기충당부채</t>
        </is>
      </c>
      <c r="E30" s="18" t="n">
        <v>419.89</v>
      </c>
      <c r="F30" s="18" t="n">
        <v>345.39</v>
      </c>
      <c r="G30" s="18" t="n">
        <v>296.95</v>
      </c>
      <c r="H30" s="37" t="n">
        <v>296.95</v>
      </c>
      <c r="I30" s="18" t="n">
        <v>280.74</v>
      </c>
      <c r="J30" s="18" t="n">
        <v>274.26</v>
      </c>
      <c r="K30" s="18" t="n">
        <v>278.63</v>
      </c>
      <c r="L30" s="18" t="n">
        <v>103.86</v>
      </c>
      <c r="M30" s="37" t="n">
        <v>103.86</v>
      </c>
      <c r="N30" s="18" t="n">
        <v>126.2</v>
      </c>
      <c r="O30" s="18" t="n">
        <v>122.91</v>
      </c>
      <c r="P30" s="18" t="n">
        <v>163.36</v>
      </c>
      <c r="Q30" s="18" t="n">
        <v>106.93</v>
      </c>
      <c r="R30" s="37" t="n">
        <v>106.93</v>
      </c>
      <c r="S30" s="18" t="n">
        <v>841.34</v>
      </c>
      <c r="T30" s="18" t="n">
        <v>712.65</v>
      </c>
      <c r="U30" s="18" t="n">
        <v>291.24</v>
      </c>
      <c r="V30" s="18" t="n">
        <v>246.66</v>
      </c>
      <c r="W30" s="37" t="n">
        <v>246.66</v>
      </c>
      <c r="X30" s="18" t="n">
        <v>835.29</v>
      </c>
      <c r="Y30" s="19" t="n">
        <v>1005.26</v>
      </c>
      <c r="Z30" s="10" t="n"/>
      <c r="AA30" s="10" t="n"/>
      <c r="AB30" s="11" t="n"/>
      <c r="AC30" s="10" t="n"/>
      <c r="AD30" s="10" t="n"/>
      <c r="AE30" s="10" t="n"/>
      <c r="AF30" s="10" t="n"/>
      <c r="AG30" s="11" t="n"/>
      <c r="AH30" s="10" t="n"/>
      <c r="AI30" s="10" t="n"/>
      <c r="AJ30" s="10" t="n"/>
      <c r="AK30" s="10" t="n"/>
      <c r="AL30" s="11" t="n"/>
    </row>
    <row r="31">
      <c r="A31" t="n">
        <v>1</v>
      </c>
      <c r="C31" t="inlineStr">
        <is>
          <t>기타유동부채</t>
        </is>
      </c>
      <c r="E31" s="18" t="n">
        <v>148.55</v>
      </c>
      <c r="F31" s="18" t="n">
        <v>147.92</v>
      </c>
      <c r="G31" s="18" t="n">
        <v>1065.17</v>
      </c>
      <c r="H31" s="37" t="n">
        <v>1065.17</v>
      </c>
      <c r="I31" s="18" t="n">
        <v>177.04</v>
      </c>
      <c r="J31" s="18" t="n">
        <v>178.3</v>
      </c>
      <c r="K31" s="18" t="n">
        <v>204.21</v>
      </c>
      <c r="L31" s="18" t="n">
        <v>187.57</v>
      </c>
      <c r="M31" s="37" t="n">
        <v>187.57</v>
      </c>
      <c r="N31" s="18" t="n">
        <v>175.29</v>
      </c>
      <c r="O31" s="18" t="n">
        <v>186.3</v>
      </c>
      <c r="P31" s="18" t="n">
        <v>174.37</v>
      </c>
      <c r="Q31" s="18" t="n">
        <v>227.68</v>
      </c>
      <c r="R31" s="37" t="n">
        <v>227.68</v>
      </c>
      <c r="S31" s="18" t="n">
        <v>206.9</v>
      </c>
      <c r="T31" s="18" t="n">
        <v>192.77</v>
      </c>
      <c r="U31" s="18" t="n">
        <v>180.4</v>
      </c>
      <c r="V31" s="18" t="n">
        <v>122.89</v>
      </c>
      <c r="W31" s="37" t="n">
        <v>122.89</v>
      </c>
      <c r="X31" s="18" t="n">
        <v>163.35</v>
      </c>
      <c r="Y31" s="19" t="n">
        <v>203.86</v>
      </c>
      <c r="Z31" s="10" t="n"/>
      <c r="AA31" s="10" t="n"/>
      <c r="AB31" s="11" t="n"/>
      <c r="AC31" s="10" t="n"/>
      <c r="AD31" s="10" t="n"/>
      <c r="AE31" s="10" t="n"/>
      <c r="AF31" s="10" t="n"/>
      <c r="AG31" s="11" t="n"/>
      <c r="AH31" s="10" t="n"/>
      <c r="AI31" s="10" t="n"/>
      <c r="AJ31" s="10" t="n"/>
      <c r="AK31" s="10" t="n"/>
      <c r="AL31" s="11" t="n"/>
    </row>
    <row r="32">
      <c r="A32" t="n">
        <v>1</v>
      </c>
      <c r="C32" t="inlineStr">
        <is>
          <t>비유동부채</t>
        </is>
      </c>
      <c r="E32" s="18" t="n">
        <v>6301.81</v>
      </c>
      <c r="F32" s="18" t="n">
        <v>6553.1</v>
      </c>
      <c r="G32" s="18" t="n">
        <v>6250.5</v>
      </c>
      <c r="H32" s="37" t="n">
        <v>6250.5</v>
      </c>
      <c r="I32" s="18" t="n">
        <v>5545.6</v>
      </c>
      <c r="J32" s="18" t="n">
        <v>6602.5</v>
      </c>
      <c r="K32" s="18" t="n">
        <v>7088.53</v>
      </c>
      <c r="L32" s="18" t="n">
        <v>6867.32</v>
      </c>
      <c r="M32" s="37" t="n">
        <v>6867.32</v>
      </c>
      <c r="N32" s="18" t="n">
        <v>95065.03</v>
      </c>
      <c r="O32" s="18" t="n">
        <v>93586.67</v>
      </c>
      <c r="P32" s="18" t="n">
        <v>92916.96000000001</v>
      </c>
      <c r="Q32" s="18" t="n">
        <v>104566.35</v>
      </c>
      <c r="R32" s="37" t="n">
        <v>104566.35</v>
      </c>
      <c r="S32" s="18" t="n">
        <v>104818.84</v>
      </c>
      <c r="T32" s="18" t="n">
        <v>104362.25</v>
      </c>
      <c r="U32" s="18" t="n">
        <v>102491.53</v>
      </c>
      <c r="V32" s="18" t="n">
        <v>104422.71</v>
      </c>
      <c r="W32" s="37" t="n">
        <v>104422.71</v>
      </c>
      <c r="X32" s="18" t="n">
        <v>23668.37</v>
      </c>
      <c r="Y32" s="19" t="n">
        <v>15435.63</v>
      </c>
      <c r="Z32" s="10" t="n"/>
      <c r="AA32" s="10" t="n"/>
      <c r="AB32" s="11" t="n"/>
      <c r="AC32" s="10" t="n"/>
      <c r="AD32" s="10" t="n"/>
      <c r="AE32" s="10" t="n"/>
      <c r="AF32" s="10" t="n"/>
      <c r="AG32" s="11" t="n"/>
      <c r="AH32" s="10" t="n"/>
      <c r="AI32" s="10" t="n"/>
      <c r="AJ32" s="10" t="n"/>
      <c r="AK32" s="10" t="n"/>
      <c r="AL32" s="11" t="n"/>
    </row>
    <row r="33">
      <c r="A33" t="n">
        <v>1</v>
      </c>
      <c r="C33" t="inlineStr">
        <is>
          <t>장기차입금</t>
        </is>
      </c>
      <c r="E33" s="18" t="n">
        <v>2090</v>
      </c>
      <c r="F33" s="18" t="n">
        <v>1980</v>
      </c>
      <c r="G33" s="18" t="n">
        <v>1870</v>
      </c>
      <c r="H33" s="37" t="n">
        <v>1870</v>
      </c>
      <c r="I33" s="18" t="n">
        <v>1760</v>
      </c>
      <c r="J33" s="18" t="n">
        <v>2650</v>
      </c>
      <c r="K33" s="18" t="n">
        <v>3090</v>
      </c>
      <c r="L33" s="18" t="n">
        <v>3090</v>
      </c>
      <c r="M33" s="37" t="n">
        <v>3090</v>
      </c>
      <c r="N33" s="18" t="n">
        <v>91090</v>
      </c>
      <c r="O33" s="18" t="n">
        <v>90090</v>
      </c>
      <c r="P33" s="18" t="n">
        <v>90090</v>
      </c>
      <c r="Q33" s="18" t="n">
        <v>90090</v>
      </c>
      <c r="R33" s="37" t="n">
        <v>90090</v>
      </c>
      <c r="S33" s="18" t="n">
        <v>90090</v>
      </c>
      <c r="T33" s="18" t="n">
        <v>90090</v>
      </c>
      <c r="U33" s="18" t="n">
        <v>88000</v>
      </c>
      <c r="V33" s="18" t="n">
        <v>88000</v>
      </c>
      <c r="W33" s="37" t="n">
        <v>88000</v>
      </c>
      <c r="X33" s="18" t="n">
        <v>7025.28</v>
      </c>
      <c r="Y33" s="19" t="n">
        <v>0</v>
      </c>
      <c r="Z33" s="10" t="n"/>
      <c r="AA33" s="10" t="n"/>
      <c r="AB33" s="11" t="n"/>
      <c r="AC33" s="10" t="n"/>
      <c r="AD33" s="10" t="n"/>
      <c r="AE33" s="10" t="n"/>
      <c r="AF33" s="10" t="n"/>
      <c r="AG33" s="11" t="n"/>
      <c r="AH33" s="10" t="n"/>
      <c r="AI33" s="10" t="n"/>
      <c r="AJ33" s="10" t="n"/>
      <c r="AK33" s="10" t="n"/>
      <c r="AL33" s="11" t="n"/>
    </row>
    <row r="34">
      <c r="A34" t="n">
        <v>1</v>
      </c>
      <c r="C34" t="inlineStr">
        <is>
          <t>비유동리스부채</t>
        </is>
      </c>
      <c r="E34" s="18" t="n">
        <v>733.13</v>
      </c>
      <c r="F34" s="18" t="n">
        <v>711.03</v>
      </c>
      <c r="G34" s="18" t="n">
        <v>776.52</v>
      </c>
      <c r="H34" s="37" t="n">
        <v>776.52</v>
      </c>
      <c r="I34" s="18" t="n">
        <v>896.6799999999999</v>
      </c>
      <c r="J34" s="18" t="n">
        <v>869.66</v>
      </c>
      <c r="K34" s="18" t="n">
        <v>845.4</v>
      </c>
      <c r="L34" s="18" t="n">
        <v>825.53</v>
      </c>
      <c r="M34" s="37" t="n">
        <v>825.53</v>
      </c>
      <c r="N34" s="18" t="n">
        <v>811.62</v>
      </c>
      <c r="O34" s="18" t="n">
        <v>782.89</v>
      </c>
      <c r="P34" s="18" t="n">
        <v>766.1799999999999</v>
      </c>
      <c r="Q34" s="18" t="n">
        <v>745.0599999999999</v>
      </c>
      <c r="R34" s="37" t="n">
        <v>745.0599999999999</v>
      </c>
      <c r="S34" s="18" t="n">
        <v>679.85</v>
      </c>
      <c r="T34" s="18" t="n">
        <v>662.71</v>
      </c>
      <c r="U34" s="18" t="n">
        <v>645.8</v>
      </c>
      <c r="V34" s="18" t="n">
        <v>630.08</v>
      </c>
      <c r="W34" s="37" t="n">
        <v>630.08</v>
      </c>
      <c r="X34" s="18" t="n">
        <v>630.2</v>
      </c>
      <c r="Y34" s="19" t="n">
        <v>629.8099999999999</v>
      </c>
      <c r="Z34" s="10" t="n"/>
      <c r="AA34" s="10" t="n"/>
      <c r="AB34" s="11" t="n"/>
      <c r="AC34" s="10" t="n"/>
      <c r="AD34" s="10" t="n"/>
      <c r="AE34" s="10" t="n"/>
      <c r="AF34" s="10" t="n"/>
      <c r="AG34" s="11" t="n"/>
      <c r="AH34" s="10" t="n"/>
      <c r="AI34" s="10" t="n"/>
      <c r="AJ34" s="10" t="n"/>
      <c r="AK34" s="10" t="n"/>
      <c r="AL34" s="11" t="n"/>
    </row>
    <row r="35">
      <c r="A35" t="n">
        <v>1</v>
      </c>
      <c r="C35" t="inlineStr">
        <is>
          <t>장기금융부채</t>
        </is>
      </c>
      <c r="E35" s="18" t="n">
        <v>733.13</v>
      </c>
      <c r="F35" s="18" t="n">
        <v>711.03</v>
      </c>
      <c r="G35" s="18" t="n">
        <v>776.52</v>
      </c>
      <c r="H35" s="37" t="n">
        <v>776.52</v>
      </c>
      <c r="I35" s="18" t="n">
        <v>896.6799999999999</v>
      </c>
      <c r="J35" s="18" t="n">
        <v>869.66</v>
      </c>
      <c r="K35" s="18" t="n">
        <v>845.4</v>
      </c>
      <c r="L35" s="18" t="n">
        <v>825.53</v>
      </c>
      <c r="M35" s="37" t="n">
        <v>825.53</v>
      </c>
      <c r="N35" s="18" t="n">
        <v>811.62</v>
      </c>
      <c r="O35" s="18" t="n">
        <v>782.89</v>
      </c>
      <c r="P35" s="18" t="n">
        <v>766.1799999999999</v>
      </c>
      <c r="Q35" s="18" t="n">
        <v>745.0599999999999</v>
      </c>
      <c r="R35" s="37" t="n">
        <v>745.0599999999999</v>
      </c>
      <c r="S35" s="18" t="n">
        <v>679.85</v>
      </c>
      <c r="T35" s="18" t="n">
        <v>662.71</v>
      </c>
      <c r="U35" s="18" t="n">
        <v>645.8</v>
      </c>
      <c r="V35" s="18" t="n">
        <v>630.08</v>
      </c>
      <c r="W35" s="37" t="n">
        <v>630.08</v>
      </c>
      <c r="X35" s="18" t="n">
        <v>630.2</v>
      </c>
      <c r="Y35" s="19" t="n">
        <v>629.8099999999999</v>
      </c>
      <c r="Z35" s="10" t="n"/>
      <c r="AA35" s="10" t="n"/>
      <c r="AB35" s="11" t="n"/>
      <c r="AC35" s="10" t="n"/>
      <c r="AD35" s="10" t="n"/>
      <c r="AE35" s="10" t="n"/>
      <c r="AF35" s="10" t="n"/>
      <c r="AG35" s="11" t="n"/>
      <c r="AH35" s="10" t="n"/>
      <c r="AI35" s="10" t="n"/>
      <c r="AJ35" s="10" t="n"/>
      <c r="AK35" s="10" t="n"/>
      <c r="AL35" s="11" t="n"/>
    </row>
    <row r="36">
      <c r="A36" t="n">
        <v>1</v>
      </c>
      <c r="C36" t="inlineStr">
        <is>
          <t>확정급여부채</t>
        </is>
      </c>
      <c r="E36" s="18" t="n">
        <v>1424.81</v>
      </c>
      <c r="F36" s="18" t="n">
        <v>1562.5</v>
      </c>
      <c r="G36" s="18" t="n">
        <v>1183.55</v>
      </c>
      <c r="H36" s="37" t="n">
        <v>1183.55</v>
      </c>
      <c r="I36" s="18" t="n">
        <v>398.48</v>
      </c>
      <c r="J36" s="18" t="n">
        <v>530.91</v>
      </c>
      <c r="K36" s="18" t="n">
        <v>560.34</v>
      </c>
      <c r="L36" s="18" t="n">
        <v>338.53</v>
      </c>
      <c r="M36" s="37" t="n">
        <v>338.53</v>
      </c>
      <c r="N36" s="18" t="n">
        <v>488.6</v>
      </c>
      <c r="O36" s="18" t="n">
        <v>625.52</v>
      </c>
      <c r="P36" s="18" t="n">
        <v>759.51</v>
      </c>
      <c r="Q36" s="18" t="n">
        <v>880.67</v>
      </c>
      <c r="R36" s="37" t="n">
        <v>880.67</v>
      </c>
      <c r="S36" s="18" t="n">
        <v>1053.55</v>
      </c>
      <c r="T36" s="18" t="n">
        <v>1226.43</v>
      </c>
      <c r="U36" s="18" t="n">
        <v>1399.32</v>
      </c>
      <c r="V36" s="18" t="n">
        <v>683.26</v>
      </c>
      <c r="W36" s="37" t="n">
        <v>683.26</v>
      </c>
      <c r="X36" s="18" t="n">
        <v>876.25</v>
      </c>
      <c r="Y36" s="19" t="n">
        <v>901.5</v>
      </c>
      <c r="Z36" s="10" t="n"/>
      <c r="AA36" s="10" t="n"/>
      <c r="AB36" s="11" t="n"/>
      <c r="AC36" s="10" t="n"/>
      <c r="AD36" s="10" t="n"/>
      <c r="AE36" s="10" t="n"/>
      <c r="AF36" s="10" t="n"/>
      <c r="AG36" s="11" t="n"/>
      <c r="AH36" s="10" t="n"/>
      <c r="AI36" s="10" t="n"/>
      <c r="AJ36" s="10" t="n"/>
      <c r="AK36" s="10" t="n"/>
      <c r="AL36" s="11" t="n"/>
    </row>
    <row r="37">
      <c r="A37" t="n">
        <v>1</v>
      </c>
      <c r="C37" t="inlineStr">
        <is>
          <t>기타비유동부채</t>
        </is>
      </c>
      <c r="E37" s="18" t="n">
        <v>28.46</v>
      </c>
      <c r="F37" s="18" t="n">
        <v>29.76</v>
      </c>
      <c r="G37" s="18" t="n">
        <v>28.17</v>
      </c>
      <c r="H37" s="37" t="n">
        <v>28.17</v>
      </c>
      <c r="I37" s="18" t="n">
        <v>29.51</v>
      </c>
      <c r="J37" s="18" t="n">
        <v>30.84</v>
      </c>
      <c r="K37" s="18" t="n">
        <v>32.18</v>
      </c>
      <c r="L37" s="18" t="n">
        <v>30.43</v>
      </c>
      <c r="M37" s="37" t="n">
        <v>30.43</v>
      </c>
      <c r="N37" s="18" t="n">
        <v>31.98</v>
      </c>
      <c r="O37" s="18" t="n">
        <v>33.54</v>
      </c>
      <c r="P37" s="18" t="n">
        <v>35.1</v>
      </c>
      <c r="Q37" s="18" t="n">
        <v>34.75</v>
      </c>
      <c r="R37" s="37" t="n">
        <v>34.75</v>
      </c>
      <c r="S37" s="18" t="n">
        <v>36.41</v>
      </c>
      <c r="T37" s="18" t="n">
        <v>38.08</v>
      </c>
      <c r="U37" s="18" t="n">
        <v>39.74</v>
      </c>
      <c r="V37" s="18" t="n">
        <v>43.32</v>
      </c>
      <c r="W37" s="37" t="n">
        <v>43.32</v>
      </c>
      <c r="X37" s="18" t="n">
        <v>45.12</v>
      </c>
      <c r="Y37" s="19" t="n">
        <v>46.92</v>
      </c>
      <c r="Z37" s="10" t="n"/>
      <c r="AA37" s="10" t="n"/>
      <c r="AB37" s="11" t="n"/>
      <c r="AC37" s="10" t="n"/>
      <c r="AD37" s="10" t="n"/>
      <c r="AE37" s="10" t="n"/>
      <c r="AF37" s="10" t="n"/>
      <c r="AG37" s="11" t="n"/>
      <c r="AH37" s="10" t="n"/>
      <c r="AI37" s="10" t="n"/>
      <c r="AJ37" s="10" t="n"/>
      <c r="AK37" s="10" t="n"/>
      <c r="AL37" s="11" t="n"/>
    </row>
    <row r="38">
      <c r="A38" t="n">
        <v>1</v>
      </c>
      <c r="C38" t="inlineStr">
        <is>
          <t>부채총계</t>
        </is>
      </c>
      <c r="E38" s="18" t="n">
        <v>26928.39</v>
      </c>
      <c r="F38" s="18" t="n">
        <v>28191.75</v>
      </c>
      <c r="G38" s="18" t="n">
        <v>23293.14</v>
      </c>
      <c r="H38" s="37" t="n">
        <v>23293.14</v>
      </c>
      <c r="I38" s="18" t="n">
        <v>17266.04</v>
      </c>
      <c r="J38" s="18" t="n">
        <v>22808.26</v>
      </c>
      <c r="K38" s="18" t="n">
        <v>17861.93</v>
      </c>
      <c r="L38" s="18" t="n">
        <v>17197.67</v>
      </c>
      <c r="M38" s="37" t="n">
        <v>17197.67</v>
      </c>
      <c r="N38" s="18" t="n">
        <v>125766.88</v>
      </c>
      <c r="O38" s="18" t="n">
        <v>121645.59</v>
      </c>
      <c r="P38" s="18" t="n">
        <v>115775.57</v>
      </c>
      <c r="Q38" s="18" t="n">
        <v>145973.11</v>
      </c>
      <c r="R38" s="37" t="n">
        <v>145973.11</v>
      </c>
      <c r="S38" s="18" t="n">
        <v>147430.19</v>
      </c>
      <c r="T38" s="18" t="n">
        <v>144047.44</v>
      </c>
      <c r="U38" s="18" t="n">
        <v>142938.04</v>
      </c>
      <c r="V38" s="18" t="n">
        <v>188886.35</v>
      </c>
      <c r="W38" s="37" t="n">
        <v>188886.35</v>
      </c>
      <c r="X38" s="18" t="n">
        <v>188919.21</v>
      </c>
      <c r="Y38" s="19" t="n">
        <v>178815.67</v>
      </c>
      <c r="Z38" s="10" t="n"/>
      <c r="AA38" s="10" t="n"/>
      <c r="AB38" s="11" t="n"/>
      <c r="AC38" s="10" t="n"/>
      <c r="AD38" s="10" t="n"/>
      <c r="AE38" s="10" t="n"/>
      <c r="AF38" s="10" t="n"/>
      <c r="AG38" s="11" t="n"/>
      <c r="AH38" s="10" t="n"/>
      <c r="AI38" s="10" t="n"/>
      <c r="AJ38" s="10" t="n"/>
      <c r="AK38" s="10" t="n"/>
      <c r="AL38" s="11" t="n"/>
    </row>
    <row r="39">
      <c r="A39" t="n">
        <v>1</v>
      </c>
      <c r="C39" t="inlineStr">
        <is>
          <t>자본금</t>
        </is>
      </c>
      <c r="E39" s="18" t="n">
        <v>4380.5</v>
      </c>
      <c r="F39" s="18" t="n">
        <v>4380.5</v>
      </c>
      <c r="G39" s="18" t="n">
        <v>4380.5</v>
      </c>
      <c r="H39" s="37" t="n">
        <v>4380.5</v>
      </c>
      <c r="I39" s="18" t="n">
        <v>4380.5</v>
      </c>
      <c r="J39" s="18" t="n">
        <v>4380.5</v>
      </c>
      <c r="K39" s="18" t="n">
        <v>4380.5</v>
      </c>
      <c r="L39" s="18" t="n">
        <v>4380.5</v>
      </c>
      <c r="M39" s="37" t="n">
        <v>4380.5</v>
      </c>
      <c r="N39" s="18" t="n">
        <v>4380.5</v>
      </c>
      <c r="O39" s="18" t="n">
        <v>4380.5</v>
      </c>
      <c r="P39" s="18" t="n">
        <v>4380.5</v>
      </c>
      <c r="Q39" s="18" t="n">
        <v>4380.5</v>
      </c>
      <c r="R39" s="37" t="n">
        <v>4380.5</v>
      </c>
      <c r="S39" s="18" t="n">
        <v>4380.5</v>
      </c>
      <c r="T39" s="18" t="n">
        <v>4380.5</v>
      </c>
      <c r="U39" s="18" t="n">
        <v>4380.5</v>
      </c>
      <c r="V39" s="18" t="n">
        <v>4380.5</v>
      </c>
      <c r="W39" s="37" t="n">
        <v>4380.5</v>
      </c>
      <c r="X39" s="18" t="n">
        <v>4380.5</v>
      </c>
      <c r="Y39" s="19" t="n">
        <v>4380.5</v>
      </c>
      <c r="Z39" s="10" t="n"/>
      <c r="AA39" s="10" t="n"/>
      <c r="AB39" s="11" t="n"/>
      <c r="AC39" s="10" t="n"/>
      <c r="AD39" s="10" t="n"/>
      <c r="AE39" s="10" t="n"/>
      <c r="AF39" s="10" t="n"/>
      <c r="AG39" s="11" t="n"/>
      <c r="AH39" s="10" t="n"/>
      <c r="AI39" s="10" t="n"/>
      <c r="AJ39" s="10" t="n"/>
      <c r="AK39" s="10" t="n"/>
      <c r="AL39" s="11" t="n"/>
    </row>
    <row r="40">
      <c r="A40" t="n">
        <v>1</v>
      </c>
      <c r="C40" t="inlineStr">
        <is>
          <t>자본잉여금</t>
        </is>
      </c>
      <c r="E40" s="18" t="n">
        <v>98129.17</v>
      </c>
      <c r="F40" s="18" t="n">
        <v>95077.91</v>
      </c>
      <c r="G40" s="18" t="n">
        <v>92602.21000000001</v>
      </c>
      <c r="H40" s="37" t="n">
        <v>92602.21000000001</v>
      </c>
      <c r="I40" s="18" t="n">
        <v>92577.66</v>
      </c>
      <c r="J40" s="18" t="n">
        <v>92581.5</v>
      </c>
      <c r="K40" s="18" t="n">
        <v>92585.34</v>
      </c>
      <c r="L40" s="18" t="n">
        <v>92513.42</v>
      </c>
      <c r="M40" s="37" t="n">
        <v>92513.42</v>
      </c>
      <c r="N40" s="18" t="n">
        <v>92527.78999999999</v>
      </c>
      <c r="O40" s="18" t="n">
        <v>92538.2</v>
      </c>
      <c r="P40" s="18" t="n">
        <v>92538.2</v>
      </c>
      <c r="Q40" s="18" t="n">
        <v>92538.2</v>
      </c>
      <c r="R40" s="37" t="n">
        <v>92538.2</v>
      </c>
      <c r="S40" s="18" t="n">
        <v>92538.2</v>
      </c>
      <c r="T40" s="18" t="n">
        <v>92538.2</v>
      </c>
      <c r="U40" s="18" t="n">
        <v>92538.2</v>
      </c>
      <c r="V40" s="18" t="n">
        <v>92538.2</v>
      </c>
      <c r="W40" s="37" t="n">
        <v>92538.2</v>
      </c>
      <c r="X40" s="18" t="n">
        <v>92538.2</v>
      </c>
      <c r="Y40" s="19" t="n">
        <v>92538.2</v>
      </c>
      <c r="Z40" s="10" t="n"/>
      <c r="AA40" s="10" t="n"/>
      <c r="AB40" s="11" t="n"/>
      <c r="AC40" s="10" t="n"/>
      <c r="AD40" s="10" t="n"/>
      <c r="AE40" s="10" t="n"/>
      <c r="AF40" s="10" t="n"/>
      <c r="AG40" s="11" t="n"/>
      <c r="AH40" s="10" t="n"/>
      <c r="AI40" s="10" t="n"/>
      <c r="AJ40" s="10" t="n"/>
      <c r="AK40" s="10" t="n"/>
      <c r="AL40" s="11" t="n"/>
    </row>
    <row r="41">
      <c r="A41" t="n">
        <v>1</v>
      </c>
      <c r="C41" t="inlineStr">
        <is>
          <t>이익잉여금</t>
        </is>
      </c>
      <c r="E41" s="18" t="n">
        <v>8479.34</v>
      </c>
      <c r="F41" s="18" t="n">
        <v>9883.450000000001</v>
      </c>
      <c r="G41" s="18" t="n">
        <v>9426.200000000001</v>
      </c>
      <c r="H41" s="37" t="n">
        <v>9426.200000000001</v>
      </c>
      <c r="I41" s="18" t="n">
        <v>10015.34</v>
      </c>
      <c r="J41" s="18" t="n">
        <v>9615.65</v>
      </c>
      <c r="K41" s="18" t="n">
        <v>8141.32</v>
      </c>
      <c r="L41" s="18" t="n">
        <v>7142.22</v>
      </c>
      <c r="M41" s="37" t="n">
        <v>7142.22</v>
      </c>
      <c r="N41" s="18" t="n">
        <v>6642.93</v>
      </c>
      <c r="O41" s="18" t="n">
        <v>7591.12</v>
      </c>
      <c r="P41" s="18" t="n">
        <v>8536.24</v>
      </c>
      <c r="Q41" s="18" t="n">
        <v>8092.02</v>
      </c>
      <c r="R41" s="37" t="n">
        <v>8092.02</v>
      </c>
      <c r="S41" s="18" t="n">
        <v>8284.129999999999</v>
      </c>
      <c r="T41" s="18" t="n">
        <v>8121.44</v>
      </c>
      <c r="U41" s="18" t="n">
        <v>8716.77</v>
      </c>
      <c r="V41" s="18" t="n">
        <v>10571.84</v>
      </c>
      <c r="W41" s="37" t="n">
        <v>10571.84</v>
      </c>
      <c r="X41" s="18" t="n">
        <v>8982.27</v>
      </c>
      <c r="Y41" s="19" t="n">
        <v>5682.2</v>
      </c>
      <c r="Z41" s="10" t="n"/>
      <c r="AA41" s="10" t="n"/>
      <c r="AB41" s="11" t="n"/>
      <c r="AC41" s="10" t="n"/>
      <c r="AD41" s="10" t="n"/>
      <c r="AE41" s="10" t="n"/>
      <c r="AF41" s="10" t="n"/>
      <c r="AG41" s="11" t="n"/>
      <c r="AH41" s="10" t="n"/>
      <c r="AI41" s="10" t="n"/>
      <c r="AJ41" s="10" t="n"/>
      <c r="AK41" s="10" t="n"/>
      <c r="AL41" s="11" t="n"/>
    </row>
    <row r="42">
      <c r="A42" t="n">
        <v>1</v>
      </c>
      <c r="C42" t="inlineStr">
        <is>
          <t>자본총계</t>
        </is>
      </c>
      <c r="E42" s="18" t="n">
        <v>110989.01</v>
      </c>
      <c r="F42" s="18" t="n">
        <v>109341.87</v>
      </c>
      <c r="G42" s="18" t="n">
        <v>106408.91</v>
      </c>
      <c r="H42" s="37" t="n">
        <v>106408.91</v>
      </c>
      <c r="I42" s="18" t="n">
        <v>106973.49</v>
      </c>
      <c r="J42" s="18" t="n">
        <v>106577.65</v>
      </c>
      <c r="K42" s="18" t="n">
        <v>105107.17</v>
      </c>
      <c r="L42" s="18" t="n">
        <v>104036.14</v>
      </c>
      <c r="M42" s="37" t="n">
        <v>104036.14</v>
      </c>
      <c r="N42" s="18" t="n">
        <v>103551.22</v>
      </c>
      <c r="O42" s="18" t="n">
        <v>104509.82</v>
      </c>
      <c r="P42" s="18" t="n">
        <v>105454.94</v>
      </c>
      <c r="Q42" s="18" t="n">
        <v>164707.03</v>
      </c>
      <c r="R42" s="37" t="n">
        <v>164707.03</v>
      </c>
      <c r="S42" s="18" t="n">
        <v>164899.14</v>
      </c>
      <c r="T42" s="18" t="n">
        <v>164736.45</v>
      </c>
      <c r="U42" s="18" t="n">
        <v>165331.78</v>
      </c>
      <c r="V42" s="18" t="n">
        <v>162941.98</v>
      </c>
      <c r="W42" s="37" t="n">
        <v>162941.98</v>
      </c>
      <c r="X42" s="18" t="n">
        <v>161352.42</v>
      </c>
      <c r="Y42" s="19" t="n">
        <v>158052.34</v>
      </c>
      <c r="Z42" s="10" t="n"/>
      <c r="AA42" s="10" t="n"/>
      <c r="AB42" s="11" t="n"/>
      <c r="AC42" s="10" t="n"/>
      <c r="AD42" s="10" t="n"/>
      <c r="AE42" s="10" t="n"/>
      <c r="AF42" s="10" t="n"/>
      <c r="AG42" s="11" t="n"/>
      <c r="AH42" s="10" t="n"/>
      <c r="AI42" s="10" t="n"/>
      <c r="AJ42" s="10" t="n"/>
      <c r="AK42" s="10" t="n"/>
      <c r="AL42" s="11" t="n"/>
    </row>
    <row r="43">
      <c r="A43" t="n">
        <v>1</v>
      </c>
      <c r="C43" t="inlineStr">
        <is>
          <t>부채와자본총계</t>
        </is>
      </c>
      <c r="E43" s="18" t="n">
        <v>137917.4</v>
      </c>
      <c r="F43" s="18" t="n">
        <v>137533.61</v>
      </c>
      <c r="G43" s="18" t="n">
        <v>129702.05</v>
      </c>
      <c r="H43" s="37" t="n">
        <v>129702.05</v>
      </c>
      <c r="I43" s="18" t="n">
        <v>124239.54</v>
      </c>
      <c r="J43" s="18" t="n">
        <v>129385.9</v>
      </c>
      <c r="K43" s="18" t="n">
        <v>122969.1</v>
      </c>
      <c r="L43" s="18" t="n">
        <v>121233.81</v>
      </c>
      <c r="M43" s="37" t="n">
        <v>121233.81</v>
      </c>
      <c r="N43" s="18" t="n">
        <v>229318.1</v>
      </c>
      <c r="O43" s="18" t="n">
        <v>226155.41</v>
      </c>
      <c r="P43" s="18" t="n">
        <v>221230.51</v>
      </c>
      <c r="Q43" s="18" t="n">
        <v>310680.14</v>
      </c>
      <c r="R43" s="37" t="n">
        <v>310680.14</v>
      </c>
      <c r="S43" s="18" t="n">
        <v>312329.33</v>
      </c>
      <c r="T43" s="18" t="n">
        <v>308783.88</v>
      </c>
      <c r="U43" s="18" t="n">
        <v>308269.82</v>
      </c>
      <c r="V43" s="18" t="n">
        <v>351828.33</v>
      </c>
      <c r="W43" s="37" t="n">
        <v>351828.33</v>
      </c>
      <c r="X43" s="18" t="n">
        <v>350271.63</v>
      </c>
      <c r="Y43" s="19" t="n">
        <v>336868</v>
      </c>
      <c r="Z43" s="10" t="n"/>
      <c r="AA43" s="10" t="n"/>
      <c r="AB43" s="11" t="n"/>
      <c r="AC43" s="10" t="n"/>
      <c r="AD43" s="10" t="n"/>
      <c r="AE43" s="10" t="n"/>
      <c r="AF43" s="10" t="n"/>
      <c r="AG43" s="11" t="n"/>
      <c r="AH43" s="10" t="n"/>
      <c r="AI43" s="10" t="n"/>
      <c r="AJ43" s="10" t="n"/>
      <c r="AK43" s="10" t="n"/>
      <c r="AL43" s="11" t="n"/>
    </row>
    <row r="44">
      <c r="A44" t="n">
        <v>1</v>
      </c>
      <c r="C44" t="inlineStr">
        <is>
          <t>지배주주지분</t>
        </is>
      </c>
      <c r="E44" s="18" t="n">
        <v>110989.01</v>
      </c>
      <c r="F44" s="18" t="n">
        <v>109341.87</v>
      </c>
      <c r="G44" s="18" t="n">
        <v>106408.91</v>
      </c>
      <c r="H44" s="37" t="n">
        <v>106408.91</v>
      </c>
      <c r="I44" s="18" t="n">
        <v>106973.49</v>
      </c>
      <c r="J44" s="18" t="n">
        <v>106577.65</v>
      </c>
      <c r="K44" s="18" t="n">
        <v>105107.17</v>
      </c>
      <c r="L44" s="18" t="n">
        <v>104036.14</v>
      </c>
      <c r="M44" s="37" t="n">
        <v>104036.14</v>
      </c>
      <c r="N44" s="18" t="n">
        <v>103551.22</v>
      </c>
      <c r="O44" s="18" t="n">
        <v>104509.82</v>
      </c>
      <c r="P44" s="18" t="n">
        <v>105454.94</v>
      </c>
      <c r="Q44" s="18" t="n">
        <v>164707.03</v>
      </c>
      <c r="R44" s="37" t="n">
        <v>164707.03</v>
      </c>
      <c r="S44" s="18" t="n">
        <v>164899.14</v>
      </c>
      <c r="T44" s="18" t="n">
        <v>164736.45</v>
      </c>
      <c r="U44" s="18" t="n">
        <v>165331.78</v>
      </c>
      <c r="V44" s="18" t="n">
        <v>162941.98</v>
      </c>
      <c r="W44" s="37" t="n">
        <v>162941.98</v>
      </c>
      <c r="X44" s="18" t="n">
        <v>161352.42</v>
      </c>
      <c r="Y44" s="19" t="n">
        <v>158052.34</v>
      </c>
      <c r="Z44" s="10" t="n"/>
      <c r="AA44" s="10" t="n"/>
      <c r="AB44" s="11" t="n"/>
      <c r="AC44" s="10" t="n"/>
      <c r="AD44" s="10" t="n"/>
      <c r="AE44" s="10" t="n"/>
      <c r="AF44" s="10" t="n"/>
      <c r="AG44" s="11" t="n"/>
      <c r="AH44" s="10" t="n"/>
      <c r="AI44" s="10" t="n"/>
      <c r="AJ44" s="10" t="n"/>
      <c r="AK44" s="10" t="n"/>
      <c r="AL44" s="11" t="n"/>
    </row>
    <row r="45">
      <c r="A45" t="n">
        <v>1</v>
      </c>
      <c r="C45" t="inlineStr">
        <is>
          <t>총차입금</t>
        </is>
      </c>
      <c r="E45" s="18" t="n">
        <v>5200</v>
      </c>
      <c r="F45" s="18" t="n">
        <v>5200</v>
      </c>
      <c r="G45" s="18" t="n">
        <v>5200</v>
      </c>
      <c r="H45" s="37" t="n">
        <v>5200</v>
      </c>
      <c r="I45" s="18" t="n">
        <v>5200</v>
      </c>
      <c r="J45" s="18" t="n">
        <v>8090</v>
      </c>
      <c r="K45" s="18" t="n">
        <v>8090</v>
      </c>
      <c r="L45" s="18" t="n">
        <v>8090</v>
      </c>
      <c r="M45" s="37" t="n">
        <v>8090</v>
      </c>
      <c r="N45" s="18" t="n">
        <v>96090</v>
      </c>
      <c r="O45" s="18" t="n">
        <v>96090</v>
      </c>
      <c r="P45" s="18" t="n">
        <v>96090</v>
      </c>
      <c r="Q45" s="18" t="n">
        <v>112875.01</v>
      </c>
      <c r="R45" s="37" t="n">
        <v>112875.01</v>
      </c>
      <c r="S45" s="18" t="n">
        <v>115098.92</v>
      </c>
      <c r="T45" s="18" t="n">
        <v>114827.08</v>
      </c>
      <c r="U45" s="18" t="n">
        <v>114809.57</v>
      </c>
      <c r="V45" s="18" t="n">
        <v>123410.7</v>
      </c>
      <c r="W45" s="37" t="n">
        <v>123410.7</v>
      </c>
      <c r="X45" s="18" t="n">
        <v>127363.51</v>
      </c>
      <c r="Y45" s="19" t="n">
        <v>123207.83</v>
      </c>
      <c r="Z45" s="10" t="n"/>
      <c r="AA45" s="10" t="n"/>
      <c r="AB45" s="11" t="n"/>
      <c r="AC45" s="10" t="n"/>
      <c r="AD45" s="10" t="n"/>
      <c r="AE45" s="10" t="n"/>
      <c r="AF45" s="10" t="n"/>
      <c r="AG45" s="11" t="n"/>
      <c r="AH45" s="10" t="n"/>
      <c r="AI45" s="10" t="n"/>
      <c r="AJ45" s="10" t="n"/>
      <c r="AK45" s="10" t="n"/>
      <c r="AL45" s="11" t="n"/>
    </row>
    <row r="46">
      <c r="A46" t="n">
        <v>1</v>
      </c>
      <c r="C46" t="inlineStr">
        <is>
          <t>순차입금</t>
        </is>
      </c>
      <c r="E46" s="18" t="n">
        <v>-87308.89999999999</v>
      </c>
      <c r="F46" s="18" t="n">
        <v>-84589.67</v>
      </c>
      <c r="G46" s="18" t="n">
        <v>-71358.12</v>
      </c>
      <c r="H46" s="37" t="n">
        <v>-71358.12</v>
      </c>
      <c r="I46" s="18" t="n">
        <v>-58521.84</v>
      </c>
      <c r="J46" s="18" t="n">
        <v>-54361.89</v>
      </c>
      <c r="K46" s="18" t="n">
        <v>-46547.22</v>
      </c>
      <c r="L46" s="18" t="n">
        <v>-34079.85</v>
      </c>
      <c r="M46" s="37" t="n">
        <v>-34079.85</v>
      </c>
      <c r="N46" s="18" t="n">
        <v>87709.06</v>
      </c>
      <c r="O46" s="18" t="n">
        <v>63954.82</v>
      </c>
      <c r="P46" s="18" t="n">
        <v>74838.3</v>
      </c>
      <c r="Q46" s="18" t="n">
        <v>90325.53999999999</v>
      </c>
      <c r="R46" s="37" t="n">
        <v>90325.53999999999</v>
      </c>
      <c r="S46" s="18" t="n">
        <v>89082.45</v>
      </c>
      <c r="T46" s="18" t="n">
        <v>98854.07000000001</v>
      </c>
      <c r="U46" s="18" t="n">
        <v>104695.84</v>
      </c>
      <c r="V46" s="18" t="n">
        <v>75158.10000000001</v>
      </c>
      <c r="W46" s="37" t="n">
        <v>75158.10000000001</v>
      </c>
      <c r="X46" s="18" t="n">
        <v>101015.28</v>
      </c>
      <c r="Y46" s="19" t="n">
        <v>101529.8</v>
      </c>
      <c r="Z46" s="10" t="n"/>
      <c r="AA46" s="10" t="n"/>
      <c r="AB46" s="11" t="n"/>
      <c r="AC46" s="10" t="n"/>
      <c r="AD46" s="10" t="n"/>
      <c r="AE46" s="10" t="n"/>
      <c r="AF46" s="10" t="n"/>
      <c r="AG46" s="11" t="n"/>
      <c r="AH46" s="10" t="n"/>
      <c r="AI46" s="10" t="n"/>
      <c r="AJ46" s="10" t="n"/>
      <c r="AK46" s="10" t="n"/>
      <c r="AL46" s="11" t="n"/>
    </row>
    <row r="47">
      <c r="A47" t="n">
        <v>1</v>
      </c>
      <c r="C47" t="inlineStr">
        <is>
          <t>이자발생자산</t>
        </is>
      </c>
      <c r="E47" s="18" t="n">
        <v>100144.7</v>
      </c>
      <c r="F47" s="18" t="n">
        <v>97425.47</v>
      </c>
      <c r="G47" s="18" t="n">
        <v>84145.27</v>
      </c>
      <c r="H47" s="37" t="n">
        <v>84145.27</v>
      </c>
      <c r="I47" s="18" t="n">
        <v>71328.52</v>
      </c>
      <c r="J47" s="18" t="n">
        <v>70058.57000000001</v>
      </c>
      <c r="K47" s="18" t="n">
        <v>62243.9</v>
      </c>
      <c r="L47" s="18" t="n">
        <v>50276.53</v>
      </c>
      <c r="M47" s="37" t="n">
        <v>50276.53</v>
      </c>
      <c r="N47" s="18" t="n">
        <v>16512.06</v>
      </c>
      <c r="O47" s="18" t="n">
        <v>40266.3</v>
      </c>
      <c r="P47" s="18" t="n">
        <v>29382.82</v>
      </c>
      <c r="Q47" s="18" t="n">
        <v>27180.59</v>
      </c>
      <c r="R47" s="37" t="n">
        <v>27180.59</v>
      </c>
      <c r="S47" s="18" t="n">
        <v>30966.08</v>
      </c>
      <c r="T47" s="18" t="n">
        <v>20922.62</v>
      </c>
      <c r="U47" s="18" t="n">
        <v>19073.34</v>
      </c>
      <c r="V47" s="18" t="n">
        <v>55337.21</v>
      </c>
      <c r="W47" s="37" t="n">
        <v>55337.21</v>
      </c>
      <c r="X47" s="18" t="n">
        <v>33887.56</v>
      </c>
      <c r="Y47" s="19" t="n">
        <v>29217.36</v>
      </c>
      <c r="Z47" s="10" t="n"/>
      <c r="AA47" s="10" t="n"/>
      <c r="AB47" s="11" t="n"/>
      <c r="AC47" s="10" t="n"/>
      <c r="AD47" s="10" t="n"/>
      <c r="AE47" s="10" t="n"/>
      <c r="AF47" s="10" t="n"/>
      <c r="AG47" s="11" t="n"/>
      <c r="AH47" s="10" t="n"/>
      <c r="AI47" s="10" t="n"/>
      <c r="AJ47" s="10" t="n"/>
      <c r="AK47" s="10" t="n"/>
      <c r="AL47" s="11" t="n"/>
    </row>
    <row r="48">
      <c r="A48" t="n">
        <v>1</v>
      </c>
      <c r="C48" t="inlineStr">
        <is>
          <t>당기법인세자산(선급법인세)</t>
        </is>
      </c>
      <c r="G48" s="18" t="n">
        <v>423.35</v>
      </c>
      <c r="H48" s="37" t="n">
        <v>423.35</v>
      </c>
      <c r="I48" s="18" t="n">
        <v>370.83</v>
      </c>
      <c r="J48" s="18" t="n">
        <v>121.59</v>
      </c>
      <c r="K48" s="18" t="n">
        <v>405.09</v>
      </c>
      <c r="L48" s="18" t="n">
        <v>466.45</v>
      </c>
      <c r="M48" s="37" t="n">
        <v>466.45</v>
      </c>
      <c r="N48" s="18" t="n">
        <v>507.73</v>
      </c>
      <c r="O48" s="18" t="n">
        <v>124.7</v>
      </c>
      <c r="P48" s="18" t="n">
        <v>170.39</v>
      </c>
      <c r="Q48" s="18" t="n">
        <v>183.55</v>
      </c>
      <c r="R48" s="37" t="n">
        <v>183.55</v>
      </c>
      <c r="S48" s="18" t="n">
        <v>204.32</v>
      </c>
      <c r="T48" s="18" t="n">
        <v>119.44</v>
      </c>
      <c r="U48" s="18" t="n">
        <v>191.69</v>
      </c>
      <c r="V48" s="18" t="n">
        <v>289.9</v>
      </c>
      <c r="W48" s="37" t="n">
        <v>289.9</v>
      </c>
      <c r="X48" s="18" t="n">
        <v>300.2</v>
      </c>
      <c r="Y48" s="19" t="n">
        <v>212.04</v>
      </c>
      <c r="Z48" s="10" t="n"/>
      <c r="AA48" s="10" t="n"/>
      <c r="AB48" s="11" t="n"/>
      <c r="AC48" s="10" t="n"/>
      <c r="AD48" s="10" t="n"/>
      <c r="AE48" s="10" t="n"/>
      <c r="AF48" s="10" t="n"/>
      <c r="AG48" s="11" t="n"/>
      <c r="AH48" s="10" t="n"/>
      <c r="AI48" s="10" t="n"/>
      <c r="AJ48" s="10" t="n"/>
      <c r="AK48" s="10" t="n"/>
      <c r="AL48" s="11" t="n"/>
    </row>
    <row r="49">
      <c r="A49" t="n">
        <v>1</v>
      </c>
      <c r="C49" t="inlineStr">
        <is>
          <t>기타유동금융부채</t>
        </is>
      </c>
      <c r="G49" s="18" t="n">
        <v>0</v>
      </c>
      <c r="H49" s="37" t="n">
        <v>0</v>
      </c>
      <c r="M49" s="9" t="n"/>
      <c r="Q49" s="18" t="n">
        <v>4081.04</v>
      </c>
      <c r="R49" s="37" t="n">
        <v>4081.04</v>
      </c>
      <c r="S49" s="18" t="n">
        <v>4081.04</v>
      </c>
      <c r="T49" s="18" t="n">
        <v>4081.04</v>
      </c>
      <c r="U49" s="18" t="n">
        <v>4081.04</v>
      </c>
      <c r="V49" s="18" t="n">
        <v>9554.57</v>
      </c>
      <c r="W49" s="37" t="n">
        <v>9554.57</v>
      </c>
      <c r="X49" s="18" t="n">
        <v>9554.57</v>
      </c>
      <c r="Y49" s="19" t="n">
        <v>13373.8</v>
      </c>
      <c r="Z49" s="10" t="n"/>
      <c r="AA49" s="10" t="n"/>
      <c r="AB49" s="11" t="n"/>
      <c r="AC49" s="10" t="n"/>
      <c r="AD49" s="10" t="n"/>
      <c r="AE49" s="10" t="n"/>
      <c r="AF49" s="10" t="n"/>
      <c r="AG49" s="11" t="n"/>
      <c r="AH49" s="10" t="n"/>
      <c r="AI49" s="10" t="n"/>
      <c r="AJ49" s="10" t="n"/>
      <c r="AK49" s="10" t="n"/>
      <c r="AL49" s="11" t="n"/>
    </row>
    <row r="50">
      <c r="A50" t="n">
        <v>1</v>
      </c>
      <c r="C50" t="inlineStr">
        <is>
          <t>종속기업및관계기업투자</t>
        </is>
      </c>
      <c r="H50" s="9" t="n"/>
      <c r="L50" s="18" t="n">
        <v>4950</v>
      </c>
      <c r="M50" s="37" t="n">
        <v>4950</v>
      </c>
      <c r="N50" s="18" t="n">
        <v>4950</v>
      </c>
      <c r="O50" s="18" t="n">
        <v>4950</v>
      </c>
      <c r="P50" s="18" t="n">
        <v>4950</v>
      </c>
      <c r="Q50" s="18" t="n">
        <v>4950</v>
      </c>
      <c r="R50" s="37" t="n">
        <v>4950</v>
      </c>
      <c r="S50" s="18" t="n">
        <v>4950</v>
      </c>
      <c r="T50" s="18" t="n">
        <v>4950</v>
      </c>
      <c r="U50" s="18" t="n">
        <v>4950</v>
      </c>
      <c r="V50" s="18" t="n">
        <v>4950</v>
      </c>
      <c r="W50" s="37" t="n">
        <v>4950</v>
      </c>
      <c r="X50" s="18" t="n">
        <v>4950</v>
      </c>
      <c r="Y50" s="19" t="n">
        <v>4950</v>
      </c>
      <c r="Z50" s="10" t="n"/>
      <c r="AA50" s="10" t="n"/>
      <c r="AB50" s="11" t="n"/>
      <c r="AC50" s="10" t="n"/>
      <c r="AD50" s="10" t="n"/>
      <c r="AE50" s="10" t="n"/>
      <c r="AF50" s="10" t="n"/>
      <c r="AG50" s="11" t="n"/>
      <c r="AH50" s="10" t="n"/>
      <c r="AI50" s="10" t="n"/>
      <c r="AJ50" s="10" t="n"/>
      <c r="AK50" s="10" t="n"/>
      <c r="AL50" s="11" t="n"/>
    </row>
    <row r="51">
      <c r="A51" t="n">
        <v>1</v>
      </c>
      <c r="C51" t="inlineStr">
        <is>
          <t>투자부동산</t>
        </is>
      </c>
      <c r="H51" s="9" t="n"/>
      <c r="M51" s="9" t="n"/>
      <c r="O51" s="18" t="n">
        <v>116302.65</v>
      </c>
      <c r="P51" s="18" t="n">
        <v>116194.1</v>
      </c>
      <c r="R51" s="9" t="n"/>
      <c r="W51" s="9" t="n"/>
      <c r="Y51" s="5" t="n"/>
      <c r="Z51" s="10" t="n"/>
      <c r="AA51" s="10" t="n"/>
      <c r="AB51" s="11" t="n"/>
      <c r="AC51" s="10" t="n"/>
      <c r="AD51" s="10" t="n"/>
      <c r="AE51" s="10" t="n"/>
      <c r="AF51" s="10" t="n"/>
      <c r="AG51" s="11" t="n"/>
      <c r="AH51" s="10" t="n"/>
      <c r="AI51" s="10" t="n"/>
      <c r="AJ51" s="10" t="n"/>
      <c r="AK51" s="10" t="n"/>
      <c r="AL51" s="11" t="n"/>
    </row>
    <row r="52">
      <c r="A52" t="n">
        <v>1</v>
      </c>
      <c r="C52" t="inlineStr">
        <is>
          <t>단기투자자산(공정가치)</t>
        </is>
      </c>
      <c r="H52" s="9" t="n"/>
      <c r="M52" s="9" t="n"/>
      <c r="Q52" s="18" t="n">
        <v>2687.53</v>
      </c>
      <c r="R52" s="37" t="n">
        <v>2687.53</v>
      </c>
      <c r="S52" s="18" t="n">
        <v>2687.53</v>
      </c>
      <c r="T52" s="18" t="n">
        <v>2687.53</v>
      </c>
      <c r="U52" s="18" t="n">
        <v>2687.53</v>
      </c>
      <c r="V52" s="18" t="n">
        <v>2887.42</v>
      </c>
      <c r="W52" s="37" t="n">
        <v>2887.42</v>
      </c>
      <c r="X52" s="18" t="n">
        <v>2887.42</v>
      </c>
      <c r="Y52" s="19" t="n">
        <v>2887.42</v>
      </c>
      <c r="Z52" s="10" t="n"/>
      <c r="AA52" s="10" t="n"/>
      <c r="AB52" s="11" t="n"/>
      <c r="AC52" s="10" t="n"/>
      <c r="AD52" s="10" t="n"/>
      <c r="AE52" s="10" t="n"/>
      <c r="AF52" s="10" t="n"/>
      <c r="AG52" s="11" t="n"/>
      <c r="AH52" s="10" t="n"/>
      <c r="AI52" s="10" t="n"/>
      <c r="AJ52" s="10" t="n"/>
      <c r="AK52" s="10" t="n"/>
      <c r="AL52" s="11" t="n"/>
    </row>
    <row r="53">
      <c r="A53" t="n">
        <v>1</v>
      </c>
      <c r="C53" t="inlineStr">
        <is>
          <t>이연법인세부채</t>
        </is>
      </c>
      <c r="H53" s="9" t="n"/>
      <c r="M53" s="9" t="n"/>
      <c r="Q53" s="18" t="n">
        <v>11480.74</v>
      </c>
      <c r="R53" s="37" t="n">
        <v>11480.74</v>
      </c>
      <c r="S53" s="18" t="n">
        <v>11480.74</v>
      </c>
      <c r="T53" s="18" t="n">
        <v>11555.1</v>
      </c>
      <c r="U53" s="18" t="n">
        <v>11555.1</v>
      </c>
      <c r="V53" s="18" t="n">
        <v>14160.66</v>
      </c>
      <c r="W53" s="37" t="n">
        <v>14160.66</v>
      </c>
      <c r="X53" s="18" t="n">
        <v>14160.66</v>
      </c>
      <c r="Y53" s="19" t="n">
        <v>12939.38</v>
      </c>
      <c r="Z53" s="10" t="n"/>
      <c r="AA53" s="10" t="n"/>
      <c r="AB53" s="11" t="n"/>
      <c r="AC53" s="10" t="n"/>
      <c r="AD53" s="10" t="n"/>
      <c r="AE53" s="10" t="n"/>
      <c r="AF53" s="10" t="n"/>
      <c r="AG53" s="11" t="n"/>
      <c r="AH53" s="10" t="n"/>
      <c r="AI53" s="10" t="n"/>
      <c r="AJ53" s="10" t="n"/>
      <c r="AK53" s="10" t="n"/>
      <c r="AL53" s="11" t="n"/>
    </row>
    <row r="54">
      <c r="A54" t="n">
        <v>1</v>
      </c>
      <c r="C54" t="inlineStr">
        <is>
          <t>기타포괄이익누계액</t>
        </is>
      </c>
      <c r="H54" s="9" t="n"/>
      <c r="M54" s="9" t="n"/>
      <c r="Q54" s="18" t="n">
        <v>59696.31</v>
      </c>
      <c r="R54" s="37" t="n">
        <v>59696.31</v>
      </c>
      <c r="S54" s="18" t="n">
        <v>59696.31</v>
      </c>
      <c r="T54" s="18" t="n">
        <v>59696.31</v>
      </c>
      <c r="U54" s="18" t="n">
        <v>59696.31</v>
      </c>
      <c r="V54" s="18" t="n">
        <v>55451.44</v>
      </c>
      <c r="W54" s="37" t="n">
        <v>55451.44</v>
      </c>
      <c r="X54" s="18" t="n">
        <v>55451.44</v>
      </c>
      <c r="Y54" s="19" t="n">
        <v>55451.44</v>
      </c>
      <c r="Z54" s="10" t="n"/>
      <c r="AA54" s="10" t="n"/>
      <c r="AB54" s="11" t="n"/>
      <c r="AC54" s="10" t="n"/>
      <c r="AD54" s="10" t="n"/>
      <c r="AE54" s="10" t="n"/>
      <c r="AF54" s="10" t="n"/>
      <c r="AG54" s="11" t="n"/>
      <c r="AH54" s="10" t="n"/>
      <c r="AI54" s="10" t="n"/>
      <c r="AJ54" s="10" t="n"/>
      <c r="AK54" s="10" t="n"/>
      <c r="AL54" s="11" t="n"/>
    </row>
    <row r="55">
      <c r="A55" t="n">
        <v>1</v>
      </c>
      <c r="C55" t="inlineStr">
        <is>
          <t>단기금융부채(face)</t>
        </is>
      </c>
      <c r="H55" s="9" t="n"/>
      <c r="M55" s="9" t="n"/>
      <c r="R55" s="9" t="n"/>
      <c r="W55" s="9" t="n"/>
      <c r="Y55" s="19" t="n">
        <v>123207.83</v>
      </c>
      <c r="Z55" s="10" t="n"/>
      <c r="AA55" s="10" t="n"/>
      <c r="AB55" s="11" t="n"/>
      <c r="AC55" s="10" t="n"/>
      <c r="AD55" s="10" t="n"/>
      <c r="AE55" s="10" t="n"/>
      <c r="AF55" s="10" t="n"/>
      <c r="AG55" s="11" t="n"/>
      <c r="AH55" s="10" t="n"/>
      <c r="AI55" s="10" t="n"/>
      <c r="AJ55" s="10" t="n"/>
      <c r="AK55" s="10" t="n"/>
      <c r="AL55" s="11" t="n"/>
    </row>
    <row r="56">
      <c r="A56" t="n">
        <v>1</v>
      </c>
      <c r="C56" t="inlineStr">
        <is>
          <t>장기금융부채(face)</t>
        </is>
      </c>
      <c r="H56" s="9" t="n"/>
      <c r="M56" s="9" t="n"/>
      <c r="R56" s="9" t="n"/>
      <c r="W56" s="9" t="n"/>
      <c r="Y56" s="19" t="n">
        <v>0</v>
      </c>
      <c r="Z56" s="10" t="n"/>
      <c r="AA56" s="10" t="n"/>
      <c r="AB56" s="11" t="n"/>
      <c r="AC56" s="10" t="n"/>
      <c r="AD56" s="10" t="n"/>
      <c r="AE56" s="10" t="n"/>
      <c r="AF56" s="10" t="n"/>
      <c r="AG56" s="11" t="n"/>
      <c r="AH56" s="10" t="n"/>
      <c r="AI56" s="10" t="n"/>
      <c r="AJ56" s="10" t="n"/>
      <c r="AK56" s="10" t="n"/>
      <c r="AL56" s="11" t="n"/>
    </row>
    <row r="57">
      <c r="A57" t="n">
        <v>1</v>
      </c>
      <c r="C57" t="inlineStr">
        <is>
          <t>매출액(수익)</t>
        </is>
      </c>
      <c r="E57" s="18" t="n">
        <v>14618.22</v>
      </c>
      <c r="F57" s="18" t="n">
        <v>14250.55</v>
      </c>
      <c r="G57" s="18" t="n">
        <v>13316.03</v>
      </c>
      <c r="H57" s="9" t="n"/>
      <c r="I57" s="18" t="n">
        <v>8857.17</v>
      </c>
      <c r="J57" s="18" t="n">
        <v>10247.32</v>
      </c>
      <c r="K57" s="18" t="n">
        <v>3960.77</v>
      </c>
      <c r="L57" s="18" t="n">
        <v>7450.42</v>
      </c>
      <c r="M57" s="37" t="n">
        <v>30515.68</v>
      </c>
      <c r="N57" s="18" t="n">
        <v>6719.84</v>
      </c>
      <c r="O57" s="18" t="n">
        <v>9194.01</v>
      </c>
      <c r="P57" s="18" t="n">
        <v>11000.03</v>
      </c>
      <c r="Q57" s="18" t="n">
        <v>9280.799999999999</v>
      </c>
      <c r="R57" s="37" t="n">
        <v>36194.68</v>
      </c>
      <c r="S57" s="18" t="n">
        <v>10446.45</v>
      </c>
      <c r="T57" s="18" t="n">
        <v>7061.17</v>
      </c>
      <c r="U57" s="18" t="n">
        <v>10398.92</v>
      </c>
      <c r="V57" s="18" t="n">
        <v>15454.55</v>
      </c>
      <c r="W57" s="37" t="n">
        <v>43361.09</v>
      </c>
      <c r="X57" s="18" t="n">
        <v>5053.88</v>
      </c>
      <c r="Y57" s="19" t="n">
        <v>17824.99</v>
      </c>
      <c r="Z57" s="10" t="n"/>
      <c r="AA57" s="10" t="n"/>
      <c r="AB57" s="11" t="n"/>
      <c r="AC57" s="10" t="n"/>
      <c r="AD57" s="10" t="n"/>
      <c r="AE57" s="10" t="n"/>
      <c r="AF57" s="10" t="n"/>
      <c r="AG57" s="11" t="n"/>
      <c r="AH57" s="10" t="n"/>
      <c r="AI57" s="10" t="n"/>
      <c r="AJ57" s="10" t="n"/>
      <c r="AK57" s="10" t="n"/>
      <c r="AL57" s="11" t="n"/>
    </row>
    <row r="58">
      <c r="A58" t="n">
        <v>1</v>
      </c>
      <c r="C58" t="inlineStr">
        <is>
          <t>매출원가</t>
        </is>
      </c>
      <c r="E58" s="18" t="n">
        <v>12331.31</v>
      </c>
      <c r="F58" s="18" t="n">
        <v>12489.73</v>
      </c>
      <c r="G58" s="18" t="n">
        <v>14102.88</v>
      </c>
      <c r="H58" s="9" t="n"/>
      <c r="I58" s="18" t="n">
        <v>8001.8</v>
      </c>
      <c r="J58" s="18" t="n">
        <v>10646.51</v>
      </c>
      <c r="K58" s="18" t="n">
        <v>4815.57</v>
      </c>
      <c r="L58" s="18" t="n">
        <v>8731.35</v>
      </c>
      <c r="M58" s="37" t="n">
        <v>32195.23</v>
      </c>
      <c r="N58" s="18" t="n">
        <v>6447.46</v>
      </c>
      <c r="O58" s="18" t="n">
        <v>6693.01</v>
      </c>
      <c r="P58" s="18" t="n">
        <v>8828.98</v>
      </c>
      <c r="Q58" s="18" t="n">
        <v>7973.61</v>
      </c>
      <c r="R58" s="37" t="n">
        <v>29943.06</v>
      </c>
      <c r="S58" s="18" t="n">
        <v>8736.040000000001</v>
      </c>
      <c r="T58" s="18" t="n">
        <v>5738.35</v>
      </c>
      <c r="U58" s="18" t="n">
        <v>8500.41</v>
      </c>
      <c r="V58" s="18" t="n">
        <v>14952.79</v>
      </c>
      <c r="W58" s="37" t="n">
        <v>37927.59</v>
      </c>
      <c r="X58" s="18" t="n">
        <v>6362.33</v>
      </c>
      <c r="Y58" s="19" t="n">
        <v>19527.47</v>
      </c>
      <c r="Z58" s="10" t="n"/>
      <c r="AA58" s="10" t="n"/>
      <c r="AB58" s="11" t="n"/>
      <c r="AC58" s="10" t="n"/>
      <c r="AD58" s="10" t="n"/>
      <c r="AE58" s="10" t="n"/>
      <c r="AF58" s="10" t="n"/>
      <c r="AG58" s="11" t="n"/>
      <c r="AH58" s="10" t="n"/>
      <c r="AI58" s="10" t="n"/>
      <c r="AJ58" s="10" t="n"/>
      <c r="AK58" s="10" t="n"/>
      <c r="AL58" s="11" t="n"/>
    </row>
    <row r="59">
      <c r="A59" t="n">
        <v>1</v>
      </c>
      <c r="C59" t="inlineStr">
        <is>
          <t>매출총이익</t>
        </is>
      </c>
      <c r="E59" s="18" t="n">
        <v>2286.91</v>
      </c>
      <c r="F59" s="18" t="n">
        <v>1760.83</v>
      </c>
      <c r="G59" s="18" t="n">
        <v>-786.86</v>
      </c>
      <c r="H59" s="9" t="n"/>
      <c r="I59" s="18" t="n">
        <v>855.36</v>
      </c>
      <c r="J59" s="18" t="n">
        <v>-399.19</v>
      </c>
      <c r="K59" s="18" t="n">
        <v>-854.8</v>
      </c>
      <c r="L59" s="18" t="n">
        <v>-1280.93</v>
      </c>
      <c r="M59" s="37" t="n">
        <v>-1679.56</v>
      </c>
      <c r="N59" s="18" t="n">
        <v>272.38</v>
      </c>
      <c r="O59" s="18" t="n">
        <v>2500.99</v>
      </c>
      <c r="P59" s="18" t="n">
        <v>2171.05</v>
      </c>
      <c r="Q59" s="18" t="n">
        <v>1307.2</v>
      </c>
      <c r="R59" s="37" t="n">
        <v>6251.62</v>
      </c>
      <c r="S59" s="18" t="n">
        <v>1710.41</v>
      </c>
      <c r="T59" s="18" t="n">
        <v>1322.81</v>
      </c>
      <c r="U59" s="18" t="n">
        <v>1898.51</v>
      </c>
      <c r="V59" s="18" t="n">
        <v>501.76</v>
      </c>
      <c r="W59" s="37" t="n">
        <v>5433.49</v>
      </c>
      <c r="X59" s="18" t="n">
        <v>-1308.45</v>
      </c>
      <c r="Y59" s="19" t="n">
        <v>-1702.47</v>
      </c>
      <c r="Z59" s="10" t="n"/>
      <c r="AA59" s="10" t="n"/>
      <c r="AB59" s="11" t="n"/>
      <c r="AC59" s="10" t="n"/>
      <c r="AD59" s="10" t="n"/>
      <c r="AE59" s="10" t="n"/>
      <c r="AF59" s="10" t="n"/>
      <c r="AG59" s="11" t="n"/>
      <c r="AH59" s="10" t="n"/>
      <c r="AI59" s="10" t="n"/>
      <c r="AJ59" s="10" t="n"/>
      <c r="AK59" s="10" t="n"/>
      <c r="AL59" s="11" t="n"/>
    </row>
    <row r="60">
      <c r="A60" t="n">
        <v>1</v>
      </c>
      <c r="C60" t="inlineStr">
        <is>
          <t>판관비</t>
        </is>
      </c>
      <c r="E60" s="18" t="n">
        <v>1357.12</v>
      </c>
      <c r="F60" s="18" t="n">
        <v>742.53</v>
      </c>
      <c r="G60" s="18" t="n">
        <v>1004.27</v>
      </c>
      <c r="H60" s="9" t="n"/>
      <c r="I60" s="18" t="n">
        <v>755.28</v>
      </c>
      <c r="J60" s="18" t="n">
        <v>986.3099999999999</v>
      </c>
      <c r="K60" s="18" t="n">
        <v>1053.68</v>
      </c>
      <c r="L60" s="18" t="n">
        <v>571.29</v>
      </c>
      <c r="M60" s="37" t="n">
        <v>3366.56</v>
      </c>
      <c r="N60" s="18" t="n">
        <v>775.45</v>
      </c>
      <c r="O60" s="18" t="n">
        <v>722.48</v>
      </c>
      <c r="P60" s="18" t="n">
        <v>575.24</v>
      </c>
      <c r="Q60" s="18" t="n">
        <v>921.61</v>
      </c>
      <c r="R60" s="37" t="n">
        <v>2994.78</v>
      </c>
      <c r="S60" s="18" t="n">
        <v>757.99</v>
      </c>
      <c r="T60" s="18" t="n">
        <v>820.71</v>
      </c>
      <c r="U60" s="18" t="n">
        <v>702.8</v>
      </c>
      <c r="V60" s="18" t="n">
        <v>855.3200000000001</v>
      </c>
      <c r="W60" s="37" t="n">
        <v>3136.82</v>
      </c>
      <c r="X60" s="18" t="n">
        <v>755.96</v>
      </c>
      <c r="Y60" s="19" t="n">
        <v>851.85</v>
      </c>
      <c r="Z60" s="10" t="n"/>
      <c r="AA60" s="10" t="n"/>
      <c r="AB60" s="11" t="n"/>
      <c r="AC60" s="10" t="n"/>
      <c r="AD60" s="10" t="n"/>
      <c r="AE60" s="10" t="n"/>
      <c r="AF60" s="10" t="n"/>
      <c r="AG60" s="11" t="n"/>
      <c r="AH60" s="10" t="n"/>
      <c r="AI60" s="10" t="n"/>
      <c r="AJ60" s="10" t="n"/>
      <c r="AK60" s="10" t="n"/>
      <c r="AL60" s="11" t="n"/>
    </row>
    <row r="61">
      <c r="A61" t="n">
        <v>1</v>
      </c>
      <c r="C61" t="inlineStr">
        <is>
          <t>영업이익</t>
        </is>
      </c>
      <c r="E61" s="18" t="n">
        <v>929.79</v>
      </c>
      <c r="F61" s="18" t="n">
        <v>1018.3</v>
      </c>
      <c r="G61" s="18" t="n">
        <v>-1791.12</v>
      </c>
      <c r="H61" s="9" t="n"/>
      <c r="I61" s="18" t="n">
        <v>100.09</v>
      </c>
      <c r="J61" s="18" t="n">
        <v>-1385.5</v>
      </c>
      <c r="K61" s="18" t="n">
        <v>-1908.48</v>
      </c>
      <c r="L61" s="18" t="n">
        <v>-1852.22</v>
      </c>
      <c r="M61" s="37" t="n">
        <v>-5046.11</v>
      </c>
      <c r="N61" s="18" t="n">
        <v>-503.08</v>
      </c>
      <c r="O61" s="18" t="n">
        <v>1778.52</v>
      </c>
      <c r="P61" s="18" t="n">
        <v>1595.81</v>
      </c>
      <c r="Q61" s="18" t="n">
        <v>385.58</v>
      </c>
      <c r="R61" s="37" t="n">
        <v>3256.83</v>
      </c>
      <c r="S61" s="18" t="n">
        <v>952.4299999999999</v>
      </c>
      <c r="T61" s="18" t="n">
        <v>502.1</v>
      </c>
      <c r="U61" s="18" t="n">
        <v>1195.71</v>
      </c>
      <c r="V61" s="18" t="n">
        <v>-353.57</v>
      </c>
      <c r="W61" s="37" t="n">
        <v>2296.67</v>
      </c>
      <c r="X61" s="18" t="n">
        <v>-2064.41</v>
      </c>
      <c r="Y61" s="19" t="n">
        <v>-2554.32</v>
      </c>
      <c r="Z61" s="10" t="n"/>
      <c r="AA61" s="10" t="n"/>
      <c r="AB61" s="11" t="n"/>
      <c r="AC61" s="10" t="n"/>
      <c r="AD61" s="10" t="n"/>
      <c r="AE61" s="10" t="n"/>
      <c r="AF61" s="10" t="n"/>
      <c r="AG61" s="11" t="n"/>
      <c r="AH61" s="10" t="n"/>
      <c r="AI61" s="10" t="n"/>
      <c r="AJ61" s="10" t="n"/>
      <c r="AK61" s="10" t="n"/>
      <c r="AL61" s="11" t="n"/>
    </row>
    <row r="62">
      <c r="A62" t="n">
        <v>1</v>
      </c>
      <c r="C62" t="inlineStr">
        <is>
          <t>금융수익</t>
        </is>
      </c>
      <c r="E62" s="18" t="n">
        <v>27.46</v>
      </c>
      <c r="F62" s="18" t="n">
        <v>1164.81</v>
      </c>
      <c r="G62" s="18" t="n">
        <v>264.42</v>
      </c>
      <c r="H62" s="9" t="n"/>
      <c r="I62" s="18" t="n">
        <v>829.59</v>
      </c>
      <c r="J62" s="18" t="n">
        <v>577.14</v>
      </c>
      <c r="K62" s="18" t="n">
        <v>502.66</v>
      </c>
      <c r="L62" s="18" t="n">
        <v>501.33</v>
      </c>
      <c r="M62" s="37" t="n">
        <v>2410.72</v>
      </c>
      <c r="N62" s="18" t="n">
        <v>386.53</v>
      </c>
      <c r="O62" s="18" t="n">
        <v>250.95</v>
      </c>
      <c r="P62" s="18" t="n">
        <v>321.1</v>
      </c>
      <c r="Q62" s="18" t="n">
        <v>740.97</v>
      </c>
      <c r="R62" s="37" t="n">
        <v>1699.55</v>
      </c>
      <c r="S62" s="18" t="n">
        <v>525.6</v>
      </c>
      <c r="T62" s="18" t="n">
        <v>559.24</v>
      </c>
      <c r="U62" s="18" t="n">
        <v>515.7</v>
      </c>
      <c r="V62" s="18" t="n">
        <v>6310.63</v>
      </c>
      <c r="W62" s="37" t="n">
        <v>7911.17</v>
      </c>
      <c r="X62" s="18" t="n">
        <v>559.8200000000001</v>
      </c>
      <c r="Y62" s="19" t="n">
        <v>1103.7</v>
      </c>
      <c r="Z62" s="10" t="n"/>
      <c r="AA62" s="10" t="n"/>
      <c r="AB62" s="11" t="n"/>
      <c r="AC62" s="10" t="n"/>
      <c r="AD62" s="10" t="n"/>
      <c r="AE62" s="10" t="n"/>
      <c r="AF62" s="10" t="n"/>
      <c r="AG62" s="11" t="n"/>
      <c r="AH62" s="10" t="n"/>
      <c r="AI62" s="10" t="n"/>
      <c r="AJ62" s="10" t="n"/>
      <c r="AK62" s="10" t="n"/>
      <c r="AL62" s="11" t="n"/>
    </row>
    <row r="63">
      <c r="A63" t="n">
        <v>1</v>
      </c>
      <c r="C63" t="inlineStr">
        <is>
          <t>금융비용</t>
        </is>
      </c>
      <c r="E63" s="18" t="n">
        <v>49.68</v>
      </c>
      <c r="F63" s="18" t="n">
        <v>67.2</v>
      </c>
      <c r="G63" s="18" t="n">
        <v>45.63</v>
      </c>
      <c r="H63" s="9" t="n"/>
      <c r="I63" s="18" t="n">
        <v>65.67</v>
      </c>
      <c r="J63" s="18" t="n">
        <v>84.34999999999999</v>
      </c>
      <c r="K63" s="18" t="n">
        <v>92.44</v>
      </c>
      <c r="L63" s="18" t="n">
        <v>93.06</v>
      </c>
      <c r="M63" s="37" t="n">
        <v>335.52</v>
      </c>
      <c r="N63" s="18" t="n">
        <v>397.65</v>
      </c>
      <c r="O63" s="18" t="n">
        <v>961</v>
      </c>
      <c r="P63" s="18" t="n">
        <v>976.61</v>
      </c>
      <c r="Q63" s="18" t="n">
        <v>1702.75</v>
      </c>
      <c r="R63" s="37" t="n">
        <v>4038.01</v>
      </c>
      <c r="S63" s="18" t="n">
        <v>1230.89</v>
      </c>
      <c r="T63" s="18" t="n">
        <v>1149.21</v>
      </c>
      <c r="U63" s="18" t="n">
        <v>1089.08</v>
      </c>
      <c r="V63" s="18" t="n">
        <v>4040.45</v>
      </c>
      <c r="W63" s="37" t="n">
        <v>7509.63</v>
      </c>
      <c r="X63" s="18" t="n">
        <v>1607.99</v>
      </c>
      <c r="Y63" s="19" t="n">
        <v>1885.45</v>
      </c>
      <c r="Z63" s="10" t="n"/>
      <c r="AA63" s="10" t="n"/>
      <c r="AB63" s="11" t="n"/>
      <c r="AC63" s="10" t="n"/>
      <c r="AD63" s="10" t="n"/>
      <c r="AE63" s="10" t="n"/>
      <c r="AF63" s="10" t="n"/>
      <c r="AG63" s="11" t="n"/>
      <c r="AH63" s="10" t="n"/>
      <c r="AI63" s="10" t="n"/>
      <c r="AJ63" s="10" t="n"/>
      <c r="AK63" s="10" t="n"/>
      <c r="AL63" s="11" t="n"/>
    </row>
    <row r="64">
      <c r="A64" t="n">
        <v>1</v>
      </c>
      <c r="C64" t="inlineStr">
        <is>
          <t>기타영업외수익</t>
        </is>
      </c>
      <c r="E64" s="18" t="n">
        <v>10.22</v>
      </c>
      <c r="F64" s="18" t="n">
        <v>86.06999999999999</v>
      </c>
      <c r="G64" s="18" t="n">
        <v>125.49</v>
      </c>
      <c r="H64" s="9" t="n"/>
      <c r="I64" s="18" t="n">
        <v>33.6</v>
      </c>
      <c r="J64" s="18" t="n">
        <v>52.36</v>
      </c>
      <c r="K64" s="18" t="n">
        <v>68.69</v>
      </c>
      <c r="L64" s="18" t="n">
        <v>29.36</v>
      </c>
      <c r="M64" s="37" t="n">
        <v>184.01</v>
      </c>
      <c r="N64" s="18" t="n">
        <v>31.9</v>
      </c>
      <c r="O64" s="18" t="n">
        <v>72</v>
      </c>
      <c r="P64" s="18" t="n">
        <v>15</v>
      </c>
      <c r="Q64" s="18" t="n">
        <v>64.42</v>
      </c>
      <c r="R64" s="37" t="n">
        <v>183.32</v>
      </c>
      <c r="S64" s="18" t="n">
        <v>6.11</v>
      </c>
      <c r="T64" s="18" t="n">
        <v>22.84</v>
      </c>
      <c r="U64" s="18" t="n">
        <v>18.78</v>
      </c>
      <c r="V64" s="18" t="n">
        <v>19.39</v>
      </c>
      <c r="W64" s="37" t="n">
        <v>67.12</v>
      </c>
      <c r="X64" s="18" t="n">
        <v>1611.55</v>
      </c>
      <c r="Y64" s="19" t="n">
        <v>-1144.73</v>
      </c>
      <c r="Z64" s="10" t="n"/>
      <c r="AA64" s="10" t="n"/>
      <c r="AB64" s="11" t="n"/>
      <c r="AC64" s="10" t="n"/>
      <c r="AD64" s="10" t="n"/>
      <c r="AE64" s="10" t="n"/>
      <c r="AF64" s="10" t="n"/>
      <c r="AG64" s="11" t="n"/>
      <c r="AH64" s="10" t="n"/>
      <c r="AI64" s="10" t="n"/>
      <c r="AJ64" s="10" t="n"/>
      <c r="AK64" s="10" t="n"/>
      <c r="AL64" s="11" t="n"/>
    </row>
    <row r="65">
      <c r="A65" t="n">
        <v>1</v>
      </c>
      <c r="C65" t="inlineStr">
        <is>
          <t>기타영업외비용</t>
        </is>
      </c>
      <c r="E65" s="18" t="n">
        <v>135.28</v>
      </c>
      <c r="F65" s="18" t="n">
        <v>241.17</v>
      </c>
      <c r="G65" s="18" t="n">
        <v>63.92</v>
      </c>
      <c r="H65" s="9" t="n"/>
      <c r="I65" s="18" t="n">
        <v>167.14</v>
      </c>
      <c r="J65" s="18" t="n">
        <v>73.73999999999999</v>
      </c>
      <c r="K65" s="18" t="n">
        <v>44.75</v>
      </c>
      <c r="L65" s="18" t="n">
        <v>84.42</v>
      </c>
      <c r="M65" s="37" t="n">
        <v>370.05</v>
      </c>
      <c r="N65" s="18" t="n">
        <v>16.99</v>
      </c>
      <c r="O65" s="18" t="n">
        <v>59.23</v>
      </c>
      <c r="P65" s="18" t="n">
        <v>10.19</v>
      </c>
      <c r="Q65" s="18" t="n">
        <v>20.97</v>
      </c>
      <c r="R65" s="37" t="n">
        <v>107.38</v>
      </c>
      <c r="S65" s="18" t="n">
        <v>61.13</v>
      </c>
      <c r="T65" s="18" t="n">
        <v>23.29</v>
      </c>
      <c r="U65" s="18" t="n">
        <v>45.79</v>
      </c>
      <c r="V65" s="18" t="n">
        <v>94.84999999999999</v>
      </c>
      <c r="W65" s="37" t="n">
        <v>225.06</v>
      </c>
      <c r="X65" s="18" t="n">
        <v>88.53</v>
      </c>
      <c r="Y65" s="19" t="n">
        <v>17.93</v>
      </c>
      <c r="Z65" s="10" t="n"/>
      <c r="AA65" s="10" t="n"/>
      <c r="AB65" s="11" t="n"/>
      <c r="AC65" s="10" t="n"/>
      <c r="AD65" s="10" t="n"/>
      <c r="AE65" s="10" t="n"/>
      <c r="AF65" s="10" t="n"/>
      <c r="AG65" s="11" t="n"/>
      <c r="AH65" s="10" t="n"/>
      <c r="AI65" s="10" t="n"/>
      <c r="AJ65" s="10" t="n"/>
      <c r="AK65" s="10" t="n"/>
      <c r="AL65" s="11" t="n"/>
    </row>
    <row r="66">
      <c r="A66" t="n">
        <v>1</v>
      </c>
      <c r="C66" t="inlineStr">
        <is>
          <t>법인세비용차감전계속사업이익</t>
        </is>
      </c>
      <c r="E66" s="18" t="n">
        <v>782.51</v>
      </c>
      <c r="F66" s="18" t="n">
        <v>1960.81</v>
      </c>
      <c r="G66" s="18" t="n">
        <v>-1510.76</v>
      </c>
      <c r="H66" s="9" t="n"/>
      <c r="I66" s="18" t="n">
        <v>730.48</v>
      </c>
      <c r="J66" s="18" t="n">
        <v>-914.1</v>
      </c>
      <c r="K66" s="18" t="n">
        <v>-1474.32</v>
      </c>
      <c r="L66" s="18" t="n">
        <v>-1499.01</v>
      </c>
      <c r="M66" s="37" t="n">
        <v>-3156.95</v>
      </c>
      <c r="N66" s="18" t="n">
        <v>-499.29</v>
      </c>
      <c r="O66" s="18" t="n">
        <v>1081.23</v>
      </c>
      <c r="P66" s="18" t="n">
        <v>945.12</v>
      </c>
      <c r="Q66" s="18" t="n">
        <v>-532.73</v>
      </c>
      <c r="R66" s="37" t="n">
        <v>994.33</v>
      </c>
      <c r="S66" s="18" t="n">
        <v>192.11</v>
      </c>
      <c r="T66" s="18" t="n">
        <v>-88.31999999999999</v>
      </c>
      <c r="U66" s="18" t="n">
        <v>595.33</v>
      </c>
      <c r="V66" s="18" t="n">
        <v>1841.14</v>
      </c>
      <c r="W66" s="37" t="n">
        <v>2540.26</v>
      </c>
      <c r="X66" s="18" t="n">
        <v>-1589.56</v>
      </c>
      <c r="Y66" s="19" t="n">
        <v>-4498.72</v>
      </c>
      <c r="Z66" s="10" t="n"/>
      <c r="AA66" s="10" t="n"/>
      <c r="AB66" s="11" t="n"/>
      <c r="AC66" s="10" t="n"/>
      <c r="AD66" s="10" t="n"/>
      <c r="AE66" s="10" t="n"/>
      <c r="AF66" s="10" t="n"/>
      <c r="AG66" s="11" t="n"/>
      <c r="AH66" s="10" t="n"/>
      <c r="AI66" s="10" t="n"/>
      <c r="AJ66" s="10" t="n"/>
      <c r="AK66" s="10" t="n"/>
      <c r="AL66" s="11" t="n"/>
    </row>
    <row r="67">
      <c r="A67" t="n">
        <v>1</v>
      </c>
      <c r="C67" t="inlineStr">
        <is>
          <t>법인세비용</t>
        </is>
      </c>
      <c r="E67" s="18" t="n">
        <v>126.12</v>
      </c>
      <c r="F67" s="18" t="n">
        <v>556.6900000000001</v>
      </c>
      <c r="G67" s="18" t="n">
        <v>-763.98</v>
      </c>
      <c r="H67" s="9" t="n"/>
      <c r="I67" s="18" t="n">
        <v>141.34</v>
      </c>
      <c r="J67" s="18" t="n">
        <v>-514.41</v>
      </c>
      <c r="K67" s="18" t="n">
        <v>0</v>
      </c>
      <c r="L67" s="18" t="n">
        <v>-542.73</v>
      </c>
      <c r="M67" s="37" t="n">
        <v>-915.8</v>
      </c>
      <c r="N67" s="18" t="n">
        <v>0</v>
      </c>
      <c r="O67" s="18" t="n">
        <v>133.04</v>
      </c>
      <c r="P67" s="18" t="n">
        <v>0</v>
      </c>
      <c r="Q67" s="18" t="n">
        <v>-478.9</v>
      </c>
      <c r="R67" s="37" t="n">
        <v>-345.86</v>
      </c>
      <c r="S67" s="18" t="n">
        <v>0</v>
      </c>
      <c r="T67" s="18" t="n">
        <v>74.37</v>
      </c>
      <c r="U67" s="18" t="n">
        <v>0</v>
      </c>
      <c r="V67" s="18" t="n">
        <v>-109.42</v>
      </c>
      <c r="W67" s="37" t="n">
        <v>-35.05</v>
      </c>
      <c r="X67" s="18" t="n">
        <v>0</v>
      </c>
      <c r="Y67" s="19" t="n">
        <v>-1198.64</v>
      </c>
      <c r="Z67" s="10" t="n"/>
      <c r="AA67" s="10" t="n"/>
      <c r="AB67" s="11" t="n"/>
      <c r="AC67" s="10" t="n"/>
      <c r="AD67" s="10" t="n"/>
      <c r="AE67" s="10" t="n"/>
      <c r="AF67" s="10" t="n"/>
      <c r="AG67" s="11" t="n"/>
      <c r="AH67" s="10" t="n"/>
      <c r="AI67" s="10" t="n"/>
      <c r="AJ67" s="10" t="n"/>
      <c r="AK67" s="10" t="n"/>
      <c r="AL67" s="11" t="n"/>
    </row>
    <row r="68">
      <c r="A68" t="n">
        <v>1</v>
      </c>
      <c r="C68" t="inlineStr">
        <is>
          <t>당기순이익</t>
        </is>
      </c>
      <c r="E68" s="18" t="n">
        <v>656.39</v>
      </c>
      <c r="F68" s="18" t="n">
        <v>1404.11</v>
      </c>
      <c r="G68" s="18" t="n">
        <v>-746.78</v>
      </c>
      <c r="H68" s="9" t="n"/>
      <c r="I68" s="18" t="n">
        <v>589.14</v>
      </c>
      <c r="J68" s="18" t="n">
        <v>-399.69</v>
      </c>
      <c r="K68" s="18" t="n">
        <v>-1474.32</v>
      </c>
      <c r="L68" s="18" t="n">
        <v>-956.28</v>
      </c>
      <c r="M68" s="37" t="n">
        <v>-2241.15</v>
      </c>
      <c r="N68" s="18" t="n">
        <v>-499.29</v>
      </c>
      <c r="O68" s="18" t="n">
        <v>948.1900000000001</v>
      </c>
      <c r="P68" s="18" t="n">
        <v>945.12</v>
      </c>
      <c r="Q68" s="18" t="n">
        <v>-53.83</v>
      </c>
      <c r="R68" s="37" t="n">
        <v>1340.19</v>
      </c>
      <c r="S68" s="18" t="n">
        <v>192.11</v>
      </c>
      <c r="T68" s="18" t="n">
        <v>-162.69</v>
      </c>
      <c r="U68" s="18" t="n">
        <v>595.33</v>
      </c>
      <c r="V68" s="18" t="n">
        <v>1950.57</v>
      </c>
      <c r="W68" s="37" t="n">
        <v>2575.32</v>
      </c>
      <c r="X68" s="18" t="n">
        <v>-1589.56</v>
      </c>
      <c r="Y68" s="19" t="n">
        <v>-3300.08</v>
      </c>
      <c r="Z68" s="10" t="n"/>
      <c r="AA68" s="10" t="n"/>
      <c r="AB68" s="11" t="n"/>
      <c r="AC68" s="10" t="n"/>
      <c r="AD68" s="10" t="n"/>
      <c r="AE68" s="10" t="n"/>
      <c r="AF68" s="10" t="n"/>
      <c r="AG68" s="11" t="n"/>
      <c r="AH68" s="10" t="n"/>
      <c r="AI68" s="10" t="n"/>
      <c r="AJ68" s="10" t="n"/>
      <c r="AK68" s="10" t="n"/>
      <c r="AL68" s="11" t="n"/>
    </row>
    <row r="69">
      <c r="A69" t="n">
        <v>1</v>
      </c>
      <c r="C69" t="inlineStr">
        <is>
          <t>총포괄손익</t>
        </is>
      </c>
      <c r="E69" s="18" t="n">
        <v>656.39</v>
      </c>
      <c r="F69" s="18" t="n">
        <v>1404.11</v>
      </c>
      <c r="G69" s="18" t="n">
        <v>-457.25</v>
      </c>
      <c r="H69" s="9" t="n"/>
      <c r="I69" s="18" t="n">
        <v>589.14</v>
      </c>
      <c r="J69" s="18" t="n">
        <v>-399.69</v>
      </c>
      <c r="K69" s="18" t="n">
        <v>-1474.32</v>
      </c>
      <c r="L69" s="18" t="n">
        <v>-999.1</v>
      </c>
      <c r="M69" s="37" t="n">
        <v>-2283.97</v>
      </c>
      <c r="N69" s="18" t="n">
        <v>-499.29</v>
      </c>
      <c r="O69" s="18" t="n">
        <v>948.1900000000001</v>
      </c>
      <c r="P69" s="18" t="n">
        <v>945.12</v>
      </c>
      <c r="Q69" s="18" t="n">
        <v>59252.09</v>
      </c>
      <c r="R69" s="37" t="n">
        <v>60646.11</v>
      </c>
      <c r="S69" s="18" t="n">
        <v>192.11</v>
      </c>
      <c r="T69" s="18" t="n">
        <v>-162.69</v>
      </c>
      <c r="U69" s="18" t="n">
        <v>595.33</v>
      </c>
      <c r="V69" s="18" t="n">
        <v>-2389.8</v>
      </c>
      <c r="W69" s="37" t="n">
        <v>-1765.05</v>
      </c>
      <c r="X69" s="18" t="n">
        <v>-1589.56</v>
      </c>
      <c r="Y69" s="19" t="n">
        <v>-3300.08</v>
      </c>
      <c r="Z69" s="10" t="n"/>
      <c r="AA69" s="10" t="n"/>
      <c r="AB69" s="11" t="n"/>
      <c r="AC69" s="10" t="n"/>
      <c r="AD69" s="10" t="n"/>
      <c r="AE69" s="10" t="n"/>
      <c r="AF69" s="10" t="n"/>
      <c r="AG69" s="11" t="n"/>
      <c r="AH69" s="10" t="n"/>
      <c r="AI69" s="10" t="n"/>
      <c r="AJ69" s="10" t="n"/>
      <c r="AK69" s="10" t="n"/>
      <c r="AL69" s="11" t="n"/>
    </row>
    <row r="70">
      <c r="A70" t="n">
        <v>1</v>
      </c>
      <c r="C70" t="inlineStr">
        <is>
          <t>금융손익</t>
        </is>
      </c>
      <c r="E70" s="18" t="n">
        <v>-22.22</v>
      </c>
      <c r="F70" s="18" t="n">
        <v>1097.61</v>
      </c>
      <c r="G70" s="18" t="n">
        <v>218.79</v>
      </c>
      <c r="H70" s="9" t="n"/>
      <c r="I70" s="18" t="n">
        <v>763.92</v>
      </c>
      <c r="J70" s="18" t="n">
        <v>492.79</v>
      </c>
      <c r="K70" s="18" t="n">
        <v>410.22</v>
      </c>
      <c r="L70" s="18" t="n">
        <v>408.27</v>
      </c>
      <c r="M70" s="37" t="n">
        <v>2075.2</v>
      </c>
      <c r="N70" s="18" t="n">
        <v>-11.12</v>
      </c>
      <c r="O70" s="18" t="n">
        <v>-710.05</v>
      </c>
      <c r="P70" s="18" t="n">
        <v>-655.51</v>
      </c>
      <c r="Q70" s="18" t="n">
        <v>-961.78</v>
      </c>
      <c r="R70" s="37" t="n">
        <v>-2338.46</v>
      </c>
      <c r="S70" s="18" t="n">
        <v>-705.29</v>
      </c>
      <c r="T70" s="18" t="n">
        <v>-589.97</v>
      </c>
      <c r="U70" s="18" t="n">
        <v>-573.38</v>
      </c>
      <c r="V70" s="18" t="n">
        <v>2270.18</v>
      </c>
      <c r="W70" s="37" t="n">
        <v>401.54</v>
      </c>
      <c r="X70" s="18" t="n">
        <v>-1048.17</v>
      </c>
      <c r="Y70" s="19" t="n">
        <v>-781.75</v>
      </c>
      <c r="Z70" s="10" t="n"/>
      <c r="AA70" s="10" t="n"/>
      <c r="AB70" s="11" t="n"/>
      <c r="AC70" s="10" t="n"/>
      <c r="AD70" s="10" t="n"/>
      <c r="AE70" s="10" t="n"/>
      <c r="AF70" s="10" t="n"/>
      <c r="AG70" s="11" t="n"/>
      <c r="AH70" s="10" t="n"/>
      <c r="AI70" s="10" t="n"/>
      <c r="AJ70" s="10" t="n"/>
      <c r="AK70" s="10" t="n"/>
      <c r="AL70" s="11" t="n"/>
    </row>
    <row r="71">
      <c r="A71" t="n">
        <v>1</v>
      </c>
      <c r="C71" t="inlineStr">
        <is>
          <t>기타영업외손익</t>
        </is>
      </c>
      <c r="E71" s="18" t="n">
        <v>-125.06</v>
      </c>
      <c r="F71" s="18" t="n">
        <v>-155.1</v>
      </c>
      <c r="G71" s="18" t="n">
        <v>61.57</v>
      </c>
      <c r="H71" s="9" t="n"/>
      <c r="I71" s="18" t="n">
        <v>-133.54</v>
      </c>
      <c r="J71" s="18" t="n">
        <v>-21.38</v>
      </c>
      <c r="K71" s="18" t="n">
        <v>23.94</v>
      </c>
      <c r="L71" s="18" t="n">
        <v>-55.06</v>
      </c>
      <c r="M71" s="37" t="n">
        <v>-186.04</v>
      </c>
      <c r="N71" s="18" t="n">
        <v>14.91</v>
      </c>
      <c r="O71" s="18" t="n">
        <v>12.77</v>
      </c>
      <c r="P71" s="18" t="n">
        <v>4.81</v>
      </c>
      <c r="Q71" s="18" t="n">
        <v>43.45</v>
      </c>
      <c r="R71" s="37" t="n">
        <v>75.94</v>
      </c>
      <c r="S71" s="18" t="n">
        <v>-55.02</v>
      </c>
      <c r="T71" s="18" t="n">
        <v>-0.45</v>
      </c>
      <c r="U71" s="18" t="n">
        <v>-27.01</v>
      </c>
      <c r="V71" s="18" t="n">
        <v>-75.45999999999999</v>
      </c>
      <c r="W71" s="37" t="n">
        <v>-157.94</v>
      </c>
      <c r="X71" s="18" t="n">
        <v>1523.02</v>
      </c>
      <c r="Y71" s="19" t="n">
        <v>-1162.66</v>
      </c>
      <c r="Z71" s="10" t="n"/>
      <c r="AA71" s="10" t="n"/>
      <c r="AB71" s="11" t="n"/>
      <c r="AC71" s="10" t="n"/>
      <c r="AD71" s="10" t="n"/>
      <c r="AE71" s="10" t="n"/>
      <c r="AF71" s="10" t="n"/>
      <c r="AG71" s="11" t="n"/>
      <c r="AH71" s="10" t="n"/>
      <c r="AI71" s="10" t="n"/>
      <c r="AJ71" s="10" t="n"/>
      <c r="AK71" s="10" t="n"/>
      <c r="AL71" s="11" t="n"/>
    </row>
    <row r="72">
      <c r="A72" t="n">
        <v>1</v>
      </c>
      <c r="C72" t="inlineStr">
        <is>
          <t>(지배주주지분)당기순이익</t>
        </is>
      </c>
      <c r="E72" s="18" t="n">
        <v>656.39</v>
      </c>
      <c r="F72" s="18" t="n">
        <v>1404.11</v>
      </c>
      <c r="G72" s="18" t="n">
        <v>-746.78</v>
      </c>
      <c r="H72" s="9" t="n"/>
      <c r="I72" s="18" t="n">
        <v>589.14</v>
      </c>
      <c r="J72" s="18" t="n">
        <v>-399.69</v>
      </c>
      <c r="K72" s="18" t="n">
        <v>-1474.32</v>
      </c>
      <c r="L72" s="18" t="n">
        <v>-956.28</v>
      </c>
      <c r="M72" s="37" t="n">
        <v>-2241.15</v>
      </c>
      <c r="N72" s="18" t="n">
        <v>-499.29</v>
      </c>
      <c r="O72" s="18" t="n">
        <v>948.1900000000001</v>
      </c>
      <c r="P72" s="18" t="n">
        <v>945.12</v>
      </c>
      <c r="Q72" s="18" t="n">
        <v>-53.83</v>
      </c>
      <c r="R72" s="37" t="n">
        <v>1340.19</v>
      </c>
      <c r="S72" s="18" t="n">
        <v>192.11</v>
      </c>
      <c r="T72" s="18" t="n">
        <v>-162.69</v>
      </c>
      <c r="U72" s="18" t="n">
        <v>595.33</v>
      </c>
      <c r="V72" s="18" t="n">
        <v>1950.57</v>
      </c>
      <c r="W72" s="37" t="n">
        <v>2575.32</v>
      </c>
      <c r="X72" s="18" t="n">
        <v>-1589.56</v>
      </c>
      <c r="Y72" s="19" t="n">
        <v>-3300.08</v>
      </c>
      <c r="Z72" s="10" t="n"/>
      <c r="AA72" s="10" t="n"/>
      <c r="AB72" s="11" t="n"/>
      <c r="AC72" s="10" t="n"/>
      <c r="AD72" s="10" t="n"/>
      <c r="AE72" s="10" t="n"/>
      <c r="AF72" s="10" t="n"/>
      <c r="AG72" s="11" t="n"/>
      <c r="AH72" s="10" t="n"/>
      <c r="AI72" s="10" t="n"/>
      <c r="AJ72" s="10" t="n"/>
      <c r="AK72" s="10" t="n"/>
      <c r="AL72" s="11" t="n"/>
    </row>
    <row r="73">
      <c r="A73" t="n">
        <v>1</v>
      </c>
      <c r="C73" t="inlineStr">
        <is>
          <t>계속사업이익</t>
        </is>
      </c>
      <c r="E73" s="18" t="n">
        <v>656.39</v>
      </c>
      <c r="F73" s="18" t="n">
        <v>1404.11</v>
      </c>
      <c r="G73" s="18" t="n">
        <v>-746.78</v>
      </c>
      <c r="H73" s="9" t="n"/>
      <c r="I73" s="18" t="n">
        <v>589.14</v>
      </c>
      <c r="J73" s="18" t="n">
        <v>-399.69</v>
      </c>
      <c r="K73" s="18" t="n">
        <v>-1474.32</v>
      </c>
      <c r="L73" s="18" t="n">
        <v>-956.28</v>
      </c>
      <c r="M73" s="37" t="n">
        <v>-2241.15</v>
      </c>
      <c r="N73" s="18" t="n">
        <v>-499.29</v>
      </c>
      <c r="O73" s="18" t="n">
        <v>948.1900000000001</v>
      </c>
      <c r="P73" s="18" t="n">
        <v>945.12</v>
      </c>
      <c r="Q73" s="18" t="n">
        <v>-53.83</v>
      </c>
      <c r="R73" s="37" t="n">
        <v>1340.19</v>
      </c>
      <c r="S73" s="18" t="n">
        <v>192.11</v>
      </c>
      <c r="T73" s="18" t="n">
        <v>-162.69</v>
      </c>
      <c r="U73" s="18" t="n">
        <v>595.33</v>
      </c>
      <c r="V73" s="18" t="n">
        <v>1950.57</v>
      </c>
      <c r="W73" s="37" t="n">
        <v>2575.32</v>
      </c>
      <c r="X73" s="18" t="n">
        <v>-1589.56</v>
      </c>
      <c r="Y73" s="19" t="n">
        <v>-3300.08</v>
      </c>
      <c r="Z73" s="10" t="n"/>
      <c r="AA73" s="10" t="n"/>
      <c r="AB73" s="11" t="n"/>
      <c r="AC73" s="10" t="n"/>
      <c r="AD73" s="10" t="n"/>
      <c r="AE73" s="10" t="n"/>
      <c r="AF73" s="10" t="n"/>
      <c r="AG73" s="11" t="n"/>
      <c r="AH73" s="10" t="n"/>
      <c r="AI73" s="10" t="n"/>
      <c r="AJ73" s="10" t="n"/>
      <c r="AK73" s="10" t="n"/>
      <c r="AL73" s="11" t="n"/>
    </row>
    <row r="74">
      <c r="A74" t="n">
        <v>1</v>
      </c>
      <c r="C74" t="inlineStr">
        <is>
          <t>이자수익</t>
        </is>
      </c>
      <c r="E74" s="18" t="n">
        <v>27.46</v>
      </c>
      <c r="F74" s="18" t="n">
        <v>1164.81</v>
      </c>
      <c r="G74" s="18" t="n">
        <v>258.66</v>
      </c>
      <c r="H74" s="9" t="n"/>
      <c r="I74" s="18" t="n">
        <v>810.0599999999999</v>
      </c>
      <c r="J74" s="18" t="n">
        <v>577.14</v>
      </c>
      <c r="K74" s="18" t="n">
        <v>502.66</v>
      </c>
      <c r="M74" s="9" t="n"/>
      <c r="R74" s="9" t="n"/>
      <c r="W74" s="9" t="n"/>
      <c r="Y74" s="5" t="n"/>
      <c r="Z74" s="10" t="n"/>
      <c r="AA74" s="10" t="n"/>
      <c r="AB74" s="11" t="n"/>
      <c r="AC74" s="10" t="n"/>
      <c r="AD74" s="10" t="n"/>
      <c r="AE74" s="10" t="n"/>
      <c r="AF74" s="10" t="n"/>
      <c r="AG74" s="11" t="n"/>
      <c r="AH74" s="10" t="n"/>
      <c r="AI74" s="10" t="n"/>
      <c r="AJ74" s="10" t="n"/>
      <c r="AK74" s="10" t="n"/>
      <c r="AL74" s="11" t="n"/>
    </row>
    <row r="75">
      <c r="A75" t="n">
        <v>1</v>
      </c>
      <c r="C75" t="inlineStr">
        <is>
          <t>이자비용</t>
        </is>
      </c>
      <c r="E75" s="18" t="n">
        <v>49.68</v>
      </c>
      <c r="F75" s="18" t="n">
        <v>67.2</v>
      </c>
      <c r="G75" s="18" t="n">
        <v>28.72</v>
      </c>
      <c r="H75" s="9" t="n"/>
      <c r="I75" s="18" t="n">
        <v>65.67</v>
      </c>
      <c r="J75" s="18" t="n">
        <v>84.34999999999999</v>
      </c>
      <c r="K75" s="18" t="n">
        <v>92.44</v>
      </c>
      <c r="M75" s="9" t="n"/>
      <c r="R75" s="9" t="n"/>
      <c r="W75" s="9" t="n"/>
      <c r="Y75" s="5" t="n"/>
      <c r="Z75" s="10" t="n"/>
      <c r="AA75" s="10" t="n"/>
      <c r="AB75" s="11" t="n"/>
      <c r="AC75" s="10" t="n"/>
      <c r="AD75" s="10" t="n"/>
      <c r="AE75" s="10" t="n"/>
      <c r="AF75" s="10" t="n"/>
      <c r="AG75" s="11" t="n"/>
      <c r="AH75" s="10" t="n"/>
      <c r="AI75" s="10" t="n"/>
      <c r="AJ75" s="10" t="n"/>
      <c r="AK75" s="10" t="n"/>
      <c r="AL75" s="11" t="n"/>
    </row>
    <row r="76">
      <c r="A76" t="n">
        <v>1</v>
      </c>
      <c r="C76" t="inlineStr">
        <is>
          <t>이자손익</t>
        </is>
      </c>
      <c r="E76" s="18" t="n">
        <v>-22.22</v>
      </c>
      <c r="F76" s="18" t="n">
        <v>1097.61</v>
      </c>
      <c r="G76" s="18" t="n">
        <v>229.94</v>
      </c>
      <c r="H76" s="9" t="n"/>
      <c r="I76" s="18" t="n">
        <v>744.39</v>
      </c>
      <c r="J76" s="18" t="n">
        <v>492.79</v>
      </c>
      <c r="K76" s="18" t="n">
        <v>410.22</v>
      </c>
      <c r="M76" s="9" t="n"/>
      <c r="R76" s="9" t="n"/>
      <c r="W76" s="9" t="n"/>
      <c r="Y76" s="5" t="n"/>
      <c r="Z76" s="10" t="n"/>
      <c r="AA76" s="10" t="n"/>
      <c r="AB76" s="11" t="n"/>
      <c r="AC76" s="10" t="n"/>
      <c r="AD76" s="10" t="n"/>
      <c r="AE76" s="10" t="n"/>
      <c r="AF76" s="10" t="n"/>
      <c r="AG76" s="11" t="n"/>
      <c r="AH76" s="10" t="n"/>
      <c r="AI76" s="10" t="n"/>
      <c r="AJ76" s="10" t="n"/>
      <c r="AK76" s="10" t="n"/>
      <c r="AL76" s="11" t="n"/>
    </row>
    <row r="77">
      <c r="A77" t="n">
        <v>1</v>
      </c>
      <c r="C77" t="inlineStr">
        <is>
          <t>배당금수익</t>
        </is>
      </c>
      <c r="E77" s="18" t="n">
        <v>0</v>
      </c>
      <c r="F77" s="18" t="n">
        <v>0</v>
      </c>
      <c r="G77" s="18" t="n">
        <v>0</v>
      </c>
      <c r="H77" s="9" t="n"/>
      <c r="M77" s="9" t="n"/>
      <c r="R77" s="9" t="n"/>
      <c r="W77" s="9" t="n"/>
      <c r="Y77" s="5" t="n"/>
      <c r="Z77" s="10" t="n"/>
      <c r="AA77" s="10" t="n"/>
      <c r="AB77" s="11" t="n"/>
      <c r="AC77" s="10" t="n"/>
      <c r="AD77" s="10" t="n"/>
      <c r="AE77" s="10" t="n"/>
      <c r="AF77" s="10" t="n"/>
      <c r="AG77" s="11" t="n"/>
      <c r="AH77" s="10" t="n"/>
      <c r="AI77" s="10" t="n"/>
      <c r="AJ77" s="10" t="n"/>
      <c r="AK77" s="10" t="n"/>
      <c r="AL77" s="11" t="n"/>
    </row>
    <row r="78">
      <c r="A78" t="n">
        <v>1</v>
      </c>
      <c r="C78" t="inlineStr">
        <is>
          <t>영업활동으로인한현금흐름</t>
        </is>
      </c>
      <c r="E78" s="18" t="n">
        <v>-11070.89</v>
      </c>
      <c r="F78" s="18" t="n">
        <v>847.7</v>
      </c>
      <c r="G78" s="18" t="n">
        <v>-9356.34</v>
      </c>
      <c r="H78" s="9" t="n"/>
      <c r="I78" s="18" t="n">
        <v>-10505.62</v>
      </c>
      <c r="J78" s="18" t="n">
        <v>-4060.75</v>
      </c>
      <c r="K78" s="18" t="n">
        <v>-7501.56</v>
      </c>
      <c r="L78" s="18" t="n">
        <v>3108.45</v>
      </c>
      <c r="M78" s="37" t="n">
        <v>-18959.48</v>
      </c>
      <c r="N78" s="18" t="n">
        <v>-5099.81</v>
      </c>
      <c r="O78" s="18" t="n">
        <v>18899.4</v>
      </c>
      <c r="P78" s="18" t="n">
        <v>-6049.73</v>
      </c>
      <c r="Q78" s="18" t="n">
        <v>1961.17</v>
      </c>
      <c r="R78" s="37" t="n">
        <v>9711.030000000001</v>
      </c>
      <c r="S78" s="18" t="n">
        <v>1833.13</v>
      </c>
      <c r="T78" s="18" t="n">
        <v>580.72</v>
      </c>
      <c r="U78" s="18" t="n">
        <v>-1565.78</v>
      </c>
      <c r="V78" s="18" t="n">
        <v>21575.54</v>
      </c>
      <c r="W78" s="37" t="n">
        <v>22423.61</v>
      </c>
      <c r="X78" s="18" t="n">
        <v>-17530.12</v>
      </c>
      <c r="Y78" s="19" t="n">
        <v>-2413.17</v>
      </c>
      <c r="Z78" s="10" t="n"/>
      <c r="AA78" s="10" t="n"/>
      <c r="AB78" s="11" t="n"/>
      <c r="AC78" s="10" t="n"/>
      <c r="AD78" s="10" t="n"/>
      <c r="AE78" s="10" t="n"/>
      <c r="AF78" s="10" t="n"/>
      <c r="AG78" s="11" t="n"/>
      <c r="AH78" s="10" t="n"/>
      <c r="AI78" s="10" t="n"/>
      <c r="AJ78" s="10" t="n"/>
      <c r="AK78" s="10" t="n"/>
      <c r="AL78" s="11" t="n"/>
    </row>
    <row r="79">
      <c r="A79" t="n">
        <v>1</v>
      </c>
      <c r="C79" t="inlineStr">
        <is>
          <t>감가상각비</t>
        </is>
      </c>
      <c r="E79" s="18" t="n">
        <v>215.59</v>
      </c>
      <c r="F79" s="18" t="n">
        <v>212.95</v>
      </c>
      <c r="G79" s="18" t="n">
        <v>272.07</v>
      </c>
      <c r="H79" s="9" t="n"/>
      <c r="I79" s="18" t="n">
        <v>284.13</v>
      </c>
      <c r="J79" s="18" t="n">
        <v>349.77</v>
      </c>
      <c r="K79" s="18" t="n">
        <v>327.61</v>
      </c>
      <c r="L79" s="18" t="n">
        <v>329.67</v>
      </c>
      <c r="M79" s="37" t="n">
        <v>1291.18</v>
      </c>
      <c r="N79" s="18" t="n">
        <v>391.33</v>
      </c>
      <c r="O79" s="18" t="n">
        <v>432.22</v>
      </c>
      <c r="P79" s="18" t="n">
        <v>426.13</v>
      </c>
      <c r="Q79" s="18" t="n">
        <v>418.04</v>
      </c>
      <c r="R79" s="37" t="n">
        <v>1667.72</v>
      </c>
      <c r="S79" s="18" t="n">
        <v>415.02</v>
      </c>
      <c r="T79" s="18" t="n">
        <v>408.33</v>
      </c>
      <c r="U79" s="18" t="n">
        <v>397.63</v>
      </c>
      <c r="V79" s="18" t="n">
        <v>421.01</v>
      </c>
      <c r="W79" s="37" t="n">
        <v>1641.99</v>
      </c>
      <c r="X79" s="18" t="n">
        <v>422.63</v>
      </c>
      <c r="Y79" s="19" t="n">
        <v>440.42</v>
      </c>
      <c r="Z79" s="10" t="n"/>
      <c r="AA79" s="10" t="n"/>
      <c r="AB79" s="11" t="n"/>
      <c r="AC79" s="10" t="n"/>
      <c r="AD79" s="10" t="n"/>
      <c r="AE79" s="10" t="n"/>
      <c r="AF79" s="10" t="n"/>
      <c r="AG79" s="11" t="n"/>
      <c r="AH79" s="10" t="n"/>
      <c r="AI79" s="10" t="n"/>
      <c r="AJ79" s="10" t="n"/>
      <c r="AK79" s="10" t="n"/>
      <c r="AL79" s="11" t="n"/>
    </row>
    <row r="80">
      <c r="A80" t="n">
        <v>1</v>
      </c>
      <c r="C80" t="inlineStr">
        <is>
          <t>무형자산상각비</t>
        </is>
      </c>
      <c r="E80" s="18" t="n">
        <v>71.04000000000001</v>
      </c>
      <c r="F80" s="18" t="n">
        <v>80.47</v>
      </c>
      <c r="G80" s="18" t="n">
        <v>81.2</v>
      </c>
      <c r="H80" s="9" t="n"/>
      <c r="I80" s="18" t="n">
        <v>81.23</v>
      </c>
      <c r="J80" s="18" t="n">
        <v>81.13</v>
      </c>
      <c r="K80" s="18" t="n">
        <v>70.84</v>
      </c>
      <c r="L80" s="18" t="n">
        <v>66.12</v>
      </c>
      <c r="M80" s="37" t="n">
        <v>299.32</v>
      </c>
      <c r="N80" s="18" t="n">
        <v>66.39</v>
      </c>
      <c r="O80" s="18" t="n">
        <v>68.03</v>
      </c>
      <c r="P80" s="18" t="n">
        <v>63.08</v>
      </c>
      <c r="Q80" s="18" t="n">
        <v>153.28</v>
      </c>
      <c r="R80" s="37" t="n">
        <v>350.78</v>
      </c>
      <c r="S80" s="18" t="n">
        <v>117.2</v>
      </c>
      <c r="T80" s="18" t="n">
        <v>107.84</v>
      </c>
      <c r="U80" s="18" t="n">
        <v>98.63</v>
      </c>
      <c r="V80" s="18" t="n">
        <v>97.88</v>
      </c>
      <c r="W80" s="37" t="n">
        <v>421.55</v>
      </c>
      <c r="X80" s="18" t="n">
        <v>97.88</v>
      </c>
      <c r="Y80" s="19" t="n">
        <v>97.16</v>
      </c>
      <c r="Z80" s="10" t="n"/>
      <c r="AA80" s="10" t="n"/>
      <c r="AB80" s="11" t="n"/>
      <c r="AC80" s="10" t="n"/>
      <c r="AD80" s="10" t="n"/>
      <c r="AE80" s="10" t="n"/>
      <c r="AF80" s="10" t="n"/>
      <c r="AG80" s="11" t="n"/>
      <c r="AH80" s="10" t="n"/>
      <c r="AI80" s="10" t="n"/>
      <c r="AJ80" s="10" t="n"/>
      <c r="AK80" s="10" t="n"/>
      <c r="AL80" s="11" t="n"/>
    </row>
    <row r="81">
      <c r="A81" t="n">
        <v>1</v>
      </c>
      <c r="C81" t="inlineStr">
        <is>
          <t>법인세납부(CF)</t>
        </is>
      </c>
      <c r="E81" s="18" t="n">
        <v>-221.82</v>
      </c>
      <c r="F81" s="18" t="n">
        <v>-242.77</v>
      </c>
      <c r="G81" s="18" t="n">
        <v>-245.64</v>
      </c>
      <c r="H81" s="9" t="n"/>
      <c r="I81" s="18" t="n">
        <v>-88.81999999999999</v>
      </c>
      <c r="J81" s="18" t="n">
        <v>373.42</v>
      </c>
      <c r="K81" s="18" t="n">
        <v>-277.87</v>
      </c>
      <c r="L81" s="18" t="n">
        <v>-56.34</v>
      </c>
      <c r="M81" s="37" t="n">
        <v>-49.61</v>
      </c>
      <c r="N81" s="18" t="n">
        <v>-41.28</v>
      </c>
      <c r="O81" s="18" t="n">
        <v>384.34</v>
      </c>
      <c r="P81" s="18" t="n">
        <v>-45.69</v>
      </c>
      <c r="Q81" s="18" t="n">
        <v>-13.16</v>
      </c>
      <c r="R81" s="37" t="n">
        <v>284.21</v>
      </c>
      <c r="S81" s="18" t="n">
        <v>-20.77</v>
      </c>
      <c r="T81" s="18" t="n">
        <v>84.87</v>
      </c>
      <c r="U81" s="18" t="n">
        <v>-72.23999999999999</v>
      </c>
      <c r="V81" s="18" t="n">
        <v>-101.9</v>
      </c>
      <c r="W81" s="37" t="n">
        <v>-110.04</v>
      </c>
      <c r="X81" s="18" t="n">
        <v>-10.3</v>
      </c>
      <c r="Y81" s="19" t="n">
        <v>65.53</v>
      </c>
      <c r="Z81" s="10" t="n"/>
      <c r="AA81" s="10" t="n"/>
      <c r="AB81" s="11" t="n"/>
      <c r="AC81" s="10" t="n"/>
      <c r="AD81" s="10" t="n"/>
      <c r="AE81" s="10" t="n"/>
      <c r="AF81" s="10" t="n"/>
      <c r="AG81" s="11" t="n"/>
      <c r="AH81" s="10" t="n"/>
      <c r="AI81" s="10" t="n"/>
      <c r="AJ81" s="10" t="n"/>
      <c r="AK81" s="10" t="n"/>
      <c r="AL81" s="11" t="n"/>
    </row>
    <row r="82">
      <c r="A82" t="n">
        <v>1</v>
      </c>
      <c r="C82" t="inlineStr">
        <is>
          <t>투자활동으로인한현금흐름</t>
        </is>
      </c>
      <c r="E82" s="18" t="n">
        <v>-4344.38</v>
      </c>
      <c r="F82" s="18" t="n">
        <v>-71443.75</v>
      </c>
      <c r="G82" s="18" t="n">
        <v>18544.86</v>
      </c>
      <c r="H82" s="9" t="n"/>
      <c r="I82" s="18" t="n">
        <v>17618.16</v>
      </c>
      <c r="J82" s="18" t="n">
        <v>-12972.34</v>
      </c>
      <c r="K82" s="18" t="n">
        <v>27357.36</v>
      </c>
      <c r="L82" s="18" t="n">
        <v>-12048.05</v>
      </c>
      <c r="M82" s="37" t="n">
        <v>19955.13</v>
      </c>
      <c r="N82" s="18" t="n">
        <v>-106758.16</v>
      </c>
      <c r="O82" s="18" t="n">
        <v>5180.69</v>
      </c>
      <c r="P82" s="18" t="n">
        <v>-3892.11</v>
      </c>
      <c r="Q82" s="18" t="n">
        <v>-17600.41</v>
      </c>
      <c r="R82" s="37" t="n">
        <v>-123069.99</v>
      </c>
      <c r="S82" s="18" t="n">
        <v>2591.03</v>
      </c>
      <c r="T82" s="18" t="n">
        <v>-12155.24</v>
      </c>
      <c r="U82" s="18" t="n">
        <v>-4024.9</v>
      </c>
      <c r="V82" s="18" t="n">
        <v>187.79</v>
      </c>
      <c r="W82" s="37" t="n">
        <v>-13401.32</v>
      </c>
      <c r="X82" s="18" t="n">
        <v>-12964.79</v>
      </c>
      <c r="Y82" s="19" t="n">
        <v>3825.8</v>
      </c>
      <c r="Z82" s="10" t="n"/>
      <c r="AA82" s="10" t="n"/>
      <c r="AB82" s="11" t="n"/>
      <c r="AC82" s="10" t="n"/>
      <c r="AD82" s="10" t="n"/>
      <c r="AE82" s="10" t="n"/>
      <c r="AF82" s="10" t="n"/>
      <c r="AG82" s="11" t="n"/>
      <c r="AH82" s="10" t="n"/>
      <c r="AI82" s="10" t="n"/>
      <c r="AJ82" s="10" t="n"/>
      <c r="AK82" s="10" t="n"/>
      <c r="AL82" s="11" t="n"/>
    </row>
    <row r="83">
      <c r="A83" t="n">
        <v>1</v>
      </c>
      <c r="C83" t="inlineStr">
        <is>
          <t>재무활동으로인한현금흐름</t>
        </is>
      </c>
      <c r="E83" s="18" t="n">
        <v>83709.03999999999</v>
      </c>
      <c r="F83" s="18" t="n">
        <v>-3103.18</v>
      </c>
      <c r="G83" s="18" t="n">
        <v>-2510.08</v>
      </c>
      <c r="H83" s="9" t="n"/>
      <c r="I83" s="18" t="n">
        <v>-38.81</v>
      </c>
      <c r="J83" s="18" t="n">
        <v>2830.55</v>
      </c>
      <c r="K83" s="18" t="n">
        <v>-48.02</v>
      </c>
      <c r="L83" s="18" t="n">
        <v>-51.45</v>
      </c>
      <c r="M83" s="37" t="n">
        <v>2692.27</v>
      </c>
      <c r="N83" s="18" t="n">
        <v>87961.84</v>
      </c>
      <c r="O83" s="18" t="n">
        <v>-38.63</v>
      </c>
      <c r="P83" s="18" t="n">
        <v>-31.64</v>
      </c>
      <c r="Q83" s="18" t="n">
        <v>17846.2</v>
      </c>
      <c r="R83" s="37" t="n">
        <v>105737.77</v>
      </c>
      <c r="S83" s="18" t="n">
        <v>1980.51</v>
      </c>
      <c r="T83" s="18" t="n">
        <v>-520.45</v>
      </c>
      <c r="U83" s="18" t="n">
        <v>-270.67</v>
      </c>
      <c r="V83" s="18" t="n">
        <v>16464.5</v>
      </c>
      <c r="W83" s="37" t="n">
        <v>17653.89</v>
      </c>
      <c r="X83" s="18" t="n">
        <v>3255.33</v>
      </c>
      <c r="Y83" s="19" t="n">
        <v>-769.63</v>
      </c>
      <c r="Z83" s="10" t="n"/>
      <c r="AA83" s="10" t="n"/>
      <c r="AB83" s="11" t="n"/>
      <c r="AC83" s="10" t="n"/>
      <c r="AD83" s="10" t="n"/>
      <c r="AE83" s="10" t="n"/>
      <c r="AF83" s="10" t="n"/>
      <c r="AG83" s="11" t="n"/>
      <c r="AH83" s="10" t="n"/>
      <c r="AI83" s="10" t="n"/>
      <c r="AJ83" s="10" t="n"/>
      <c r="AK83" s="10" t="n"/>
      <c r="AL83" s="11" t="n"/>
    </row>
    <row r="84">
      <c r="A84" t="n">
        <v>1</v>
      </c>
      <c r="C84" t="inlineStr">
        <is>
          <t>리스부채의상환</t>
        </is>
      </c>
      <c r="E84" s="18" t="n">
        <v>40.95</v>
      </c>
      <c r="F84" s="18" t="n">
        <v>40.94</v>
      </c>
      <c r="G84" s="18" t="n">
        <v>28.14</v>
      </c>
      <c r="H84" s="9" t="n"/>
      <c r="I84" s="18" t="n">
        <v>38.81</v>
      </c>
      <c r="J84" s="18" t="n">
        <v>59.45</v>
      </c>
      <c r="K84" s="18" t="n">
        <v>48.02</v>
      </c>
      <c r="L84" s="18" t="n">
        <v>5.7</v>
      </c>
      <c r="M84" s="37" t="n">
        <v>151.98</v>
      </c>
      <c r="N84" s="18" t="n">
        <v>38.16</v>
      </c>
      <c r="O84" s="18" t="n">
        <v>38.63</v>
      </c>
      <c r="P84" s="18" t="n">
        <v>31.64</v>
      </c>
      <c r="Q84" s="18" t="n">
        <v>20.74</v>
      </c>
      <c r="R84" s="37" t="n">
        <v>129.17</v>
      </c>
      <c r="S84" s="18" t="n">
        <v>19.49</v>
      </c>
      <c r="T84" s="18" t="n">
        <v>20.45</v>
      </c>
      <c r="U84" s="18" t="n">
        <v>20.67</v>
      </c>
      <c r="V84" s="18" t="n">
        <v>19.72</v>
      </c>
      <c r="W84" s="37" t="n">
        <v>80.33</v>
      </c>
      <c r="X84" s="18" t="n">
        <v>19.83</v>
      </c>
      <c r="Y84" s="19" t="n">
        <v>19.63</v>
      </c>
      <c r="Z84" s="10" t="n"/>
      <c r="AA84" s="10" t="n"/>
      <c r="AB84" s="11" t="n"/>
      <c r="AC84" s="10" t="n"/>
      <c r="AD84" s="10" t="n"/>
      <c r="AE84" s="10" t="n"/>
      <c r="AF84" s="10" t="n"/>
      <c r="AG84" s="11" t="n"/>
      <c r="AH84" s="10" t="n"/>
      <c r="AI84" s="10" t="n"/>
      <c r="AJ84" s="10" t="n"/>
      <c r="AK84" s="10" t="n"/>
      <c r="AL84" s="11" t="n"/>
    </row>
    <row r="85">
      <c r="A85" t="n">
        <v>1</v>
      </c>
      <c r="C85" t="inlineStr">
        <is>
          <t>현금및현금성자산의증감</t>
        </is>
      </c>
      <c r="E85" s="18" t="n">
        <v>68293.75999999999</v>
      </c>
      <c r="F85" s="18" t="n">
        <v>-73699.22</v>
      </c>
      <c r="G85" s="18" t="n">
        <v>6678.44</v>
      </c>
      <c r="H85" s="9" t="n"/>
      <c r="I85" s="18" t="n">
        <v>7073.73</v>
      </c>
      <c r="J85" s="18" t="n">
        <v>-14202.54</v>
      </c>
      <c r="K85" s="18" t="n">
        <v>19807.78</v>
      </c>
      <c r="L85" s="18" t="n">
        <v>-9007.24</v>
      </c>
      <c r="M85" s="37" t="n">
        <v>3671.73</v>
      </c>
      <c r="N85" s="18" t="n">
        <v>-23878.9</v>
      </c>
      <c r="O85" s="18" t="n">
        <v>24024.23</v>
      </c>
      <c r="P85" s="18" t="n">
        <v>-9973.469999999999</v>
      </c>
      <c r="Q85" s="18" t="n">
        <v>2207.77</v>
      </c>
      <c r="R85" s="37" t="n">
        <v>-7620.37</v>
      </c>
      <c r="S85" s="18" t="n">
        <v>6406.99</v>
      </c>
      <c r="T85" s="18" t="n">
        <v>-12094.81</v>
      </c>
      <c r="U85" s="18" t="n">
        <v>-5859.28</v>
      </c>
      <c r="V85" s="18" t="n">
        <v>38223.28</v>
      </c>
      <c r="W85" s="37" t="n">
        <v>26676.18</v>
      </c>
      <c r="X85" s="18" t="n">
        <v>-27239.58</v>
      </c>
      <c r="Y85" s="19" t="n">
        <v>965.37</v>
      </c>
      <c r="Z85" s="10" t="n"/>
      <c r="AA85" s="10" t="n"/>
      <c r="AB85" s="11" t="n"/>
      <c r="AC85" s="10" t="n"/>
      <c r="AD85" s="10" t="n"/>
      <c r="AE85" s="10" t="n"/>
      <c r="AF85" s="10" t="n"/>
      <c r="AG85" s="11" t="n"/>
      <c r="AH85" s="10" t="n"/>
      <c r="AI85" s="10" t="n"/>
      <c r="AJ85" s="10" t="n"/>
      <c r="AK85" s="10" t="n"/>
      <c r="AL85" s="11" t="n"/>
    </row>
    <row r="86">
      <c r="A86" t="n">
        <v>1</v>
      </c>
      <c r="C86" t="inlineStr">
        <is>
          <t>기말현금및현금성자산</t>
        </is>
      </c>
      <c r="E86" s="18" t="n">
        <v>68293.77</v>
      </c>
      <c r="F86" s="18" t="n">
        <v>-73699.23</v>
      </c>
      <c r="G86" s="18" t="n">
        <v>6678.45</v>
      </c>
      <c r="H86" s="9" t="n"/>
      <c r="I86" s="18" t="n">
        <v>30031.84</v>
      </c>
      <c r="J86" s="18" t="n">
        <v>-14202.54</v>
      </c>
      <c r="K86" s="18" t="n">
        <v>19807.78</v>
      </c>
      <c r="L86" s="18" t="n">
        <v>-9007.23</v>
      </c>
      <c r="M86" s="37" t="n">
        <v>26629.85</v>
      </c>
      <c r="N86" s="18" t="n">
        <v>2750.94</v>
      </c>
      <c r="O86" s="18" t="n">
        <v>24024.24</v>
      </c>
      <c r="P86" s="18" t="n">
        <v>-9973.48</v>
      </c>
      <c r="Q86" s="18" t="n">
        <v>2207.77</v>
      </c>
      <c r="R86" s="37" t="n">
        <v>19009.47</v>
      </c>
      <c r="S86" s="18" t="n">
        <v>25416.47</v>
      </c>
      <c r="T86" s="18" t="n">
        <v>-12094.82</v>
      </c>
      <c r="U86" s="18" t="n">
        <v>-5859.28</v>
      </c>
      <c r="V86" s="18" t="n">
        <v>38138.87</v>
      </c>
      <c r="W86" s="37" t="n">
        <v>45601.24</v>
      </c>
      <c r="X86" s="18" t="n">
        <v>18696.87</v>
      </c>
      <c r="Y86" s="19" t="n">
        <v>630.16</v>
      </c>
      <c r="Z86" s="10" t="n"/>
      <c r="AA86" s="10" t="n"/>
      <c r="AB86" s="11" t="n"/>
      <c r="AC86" s="10" t="n"/>
      <c r="AD86" s="10" t="n"/>
      <c r="AE86" s="10" t="n"/>
      <c r="AF86" s="10" t="n"/>
      <c r="AG86" s="11" t="n"/>
      <c r="AH86" s="10" t="n"/>
      <c r="AI86" s="10" t="n"/>
      <c r="AJ86" s="10" t="n"/>
      <c r="AK86" s="10" t="n"/>
      <c r="AL86" s="11" t="n"/>
    </row>
    <row r="87">
      <c r="A87" t="n">
        <v>1</v>
      </c>
      <c r="C87" t="inlineStr">
        <is>
          <t>단기차입금의증가</t>
        </is>
      </c>
      <c r="F87" s="18" t="n">
        <v>0</v>
      </c>
      <c r="G87" s="18" t="n">
        <v>0</v>
      </c>
      <c r="H87" s="9" t="n"/>
      <c r="K87" s="18" t="n">
        <v>0</v>
      </c>
      <c r="L87" s="18" t="n">
        <v>0</v>
      </c>
      <c r="M87" s="9" t="n"/>
      <c r="P87" s="18" t="n">
        <v>0</v>
      </c>
      <c r="Q87" s="18" t="n">
        <v>5000</v>
      </c>
      <c r="R87" s="9" t="n"/>
      <c r="S87" s="18" t="n">
        <v>5000</v>
      </c>
      <c r="T87" s="18" t="n">
        <v>0</v>
      </c>
      <c r="U87" s="18" t="n">
        <v>0</v>
      </c>
      <c r="V87" s="18" t="n">
        <v>10000</v>
      </c>
      <c r="W87" s="37" t="n">
        <v>15000</v>
      </c>
      <c r="X87" s="18" t="n">
        <v>0</v>
      </c>
      <c r="Y87" s="19" t="n">
        <v>0</v>
      </c>
      <c r="Z87" s="10" t="n"/>
      <c r="AA87" s="10" t="n"/>
      <c r="AB87" s="11" t="n"/>
      <c r="AC87" s="10" t="n"/>
      <c r="AD87" s="10" t="n"/>
      <c r="AE87" s="10" t="n"/>
      <c r="AF87" s="10" t="n"/>
      <c r="AG87" s="11" t="n"/>
      <c r="AH87" s="10" t="n"/>
      <c r="AI87" s="10" t="n"/>
      <c r="AJ87" s="10" t="n"/>
      <c r="AK87" s="10" t="n"/>
      <c r="AL87" s="11" t="n"/>
    </row>
    <row r="88">
      <c r="A88" t="n">
        <v>1</v>
      </c>
      <c r="C88" t="inlineStr">
        <is>
          <t>유동성장기부채의감소</t>
        </is>
      </c>
      <c r="F88" s="18" t="n">
        <v>0</v>
      </c>
      <c r="G88" s="18" t="n">
        <v>0</v>
      </c>
      <c r="H88" s="9" t="n"/>
      <c r="K88" s="18" t="n">
        <v>440</v>
      </c>
      <c r="L88" s="18" t="n">
        <v>0</v>
      </c>
      <c r="M88" s="9" t="n"/>
      <c r="P88" s="18" t="n">
        <v>0</v>
      </c>
      <c r="Q88" s="18" t="n">
        <v>0</v>
      </c>
      <c r="R88" s="9" t="n"/>
      <c r="S88" s="18" t="n">
        <v>1000</v>
      </c>
      <c r="T88" s="18" t="n">
        <v>0</v>
      </c>
      <c r="U88" s="18" t="n">
        <v>0</v>
      </c>
      <c r="V88" s="18" t="n">
        <v>0</v>
      </c>
      <c r="W88" s="37" t="n">
        <v>1000</v>
      </c>
      <c r="X88" s="18" t="n">
        <v>0</v>
      </c>
      <c r="Y88" s="19" t="n">
        <v>0</v>
      </c>
      <c r="Z88" s="10" t="n"/>
      <c r="AA88" s="10" t="n"/>
      <c r="AB88" s="11" t="n"/>
      <c r="AC88" s="10" t="n"/>
      <c r="AD88" s="10" t="n"/>
      <c r="AE88" s="10" t="n"/>
      <c r="AF88" s="10" t="n"/>
      <c r="AG88" s="11" t="n"/>
      <c r="AH88" s="10" t="n"/>
      <c r="AI88" s="10" t="n"/>
      <c r="AJ88" s="10" t="n"/>
      <c r="AK88" s="10" t="n"/>
      <c r="AL88" s="11" t="n"/>
    </row>
    <row r="89">
      <c r="A89" t="n">
        <v>1</v>
      </c>
      <c r="C89" t="inlineStr">
        <is>
          <t>자기주식의취득</t>
        </is>
      </c>
      <c r="G89" s="18" t="n">
        <v>2481.94</v>
      </c>
      <c r="H89" s="9" t="n"/>
      <c r="L89" s="18" t="n">
        <v>45.75</v>
      </c>
      <c r="M89" s="9" t="n"/>
      <c r="R89" s="9" t="n"/>
      <c r="W89" s="9" t="n"/>
      <c r="Y89" s="5" t="n"/>
      <c r="Z89" s="10" t="n"/>
      <c r="AA89" s="10" t="n"/>
      <c r="AB89" s="11" t="n"/>
      <c r="AC89" s="10" t="n"/>
      <c r="AD89" s="10" t="n"/>
      <c r="AE89" s="10" t="n"/>
      <c r="AF89" s="10" t="n"/>
      <c r="AG89" s="11" t="n"/>
      <c r="AH89" s="10" t="n"/>
      <c r="AI89" s="10" t="n"/>
      <c r="AJ89" s="10" t="n"/>
      <c r="AK89" s="10" t="n"/>
      <c r="AL89" s="11" t="n"/>
    </row>
    <row r="90">
      <c r="A90" t="n">
        <v>1</v>
      </c>
      <c r="C90" t="inlineStr">
        <is>
          <t>장기차입금의증가</t>
        </is>
      </c>
      <c r="H90" s="9" t="n"/>
      <c r="K90" s="18" t="n">
        <v>2090</v>
      </c>
      <c r="L90" s="18" t="n">
        <v>0</v>
      </c>
      <c r="M90" s="9" t="n"/>
      <c r="N90" s="18" t="n">
        <v>88000</v>
      </c>
      <c r="O90" s="18" t="n">
        <v>0</v>
      </c>
      <c r="P90" s="18" t="n">
        <v>0</v>
      </c>
      <c r="Q90" s="18" t="n">
        <v>0</v>
      </c>
      <c r="R90" s="37" t="n">
        <v>88000</v>
      </c>
      <c r="S90" s="18" t="n">
        <v>0</v>
      </c>
      <c r="T90" s="18" t="n">
        <v>0</v>
      </c>
      <c r="U90" s="18" t="n">
        <v>0</v>
      </c>
      <c r="V90" s="18" t="n">
        <v>0</v>
      </c>
      <c r="W90" s="37" t="n">
        <v>0</v>
      </c>
      <c r="Y90" s="5" t="n"/>
      <c r="Z90" s="10" t="n"/>
      <c r="AA90" s="10" t="n"/>
      <c r="AB90" s="11" t="n"/>
      <c r="AC90" s="10" t="n"/>
      <c r="AD90" s="10" t="n"/>
      <c r="AE90" s="10" t="n"/>
      <c r="AF90" s="10" t="n"/>
      <c r="AG90" s="11" t="n"/>
      <c r="AH90" s="10" t="n"/>
      <c r="AI90" s="10" t="n"/>
      <c r="AJ90" s="10" t="n"/>
      <c r="AK90" s="10" t="n"/>
      <c r="AL90" s="11" t="n"/>
    </row>
    <row r="91">
      <c r="A91" t="n">
        <v>1</v>
      </c>
      <c r="C91" t="inlineStr">
        <is>
          <t>단기차입금의감소</t>
        </is>
      </c>
      <c r="H91" s="9" t="n"/>
      <c r="K91" s="18" t="n">
        <v>0</v>
      </c>
      <c r="L91" s="18" t="n">
        <v>0</v>
      </c>
      <c r="M91" s="9" t="n"/>
      <c r="P91" s="18" t="n">
        <v>0</v>
      </c>
      <c r="Q91" s="18" t="n">
        <v>0</v>
      </c>
      <c r="R91" s="9" t="n"/>
      <c r="S91" s="18" t="n">
        <v>2000</v>
      </c>
      <c r="T91" s="18" t="n">
        <v>500</v>
      </c>
      <c r="U91" s="18" t="n">
        <v>250</v>
      </c>
      <c r="V91" s="18" t="n">
        <v>250</v>
      </c>
      <c r="W91" s="37" t="n">
        <v>3000</v>
      </c>
      <c r="X91" s="18" t="n">
        <v>3750</v>
      </c>
      <c r="Y91" s="19" t="n">
        <v>750</v>
      </c>
      <c r="Z91" s="10" t="n"/>
      <c r="AA91" s="10" t="n"/>
      <c r="AB91" s="11" t="n"/>
      <c r="AC91" s="10" t="n"/>
      <c r="AD91" s="10" t="n"/>
      <c r="AE91" s="10" t="n"/>
      <c r="AF91" s="10" t="n"/>
      <c r="AG91" s="11" t="n"/>
      <c r="AH91" s="10" t="n"/>
      <c r="AI91" s="10" t="n"/>
      <c r="AJ91" s="10" t="n"/>
      <c r="AK91" s="10" t="n"/>
      <c r="AL91" s="11" t="n"/>
    </row>
    <row r="92">
      <c r="A92" t="n">
        <v>1</v>
      </c>
      <c r="C92" t="inlineStr">
        <is>
          <t>이자수취(CF)</t>
        </is>
      </c>
      <c r="H92" s="9" t="n"/>
      <c r="L92" s="18" t="n">
        <v>295.85</v>
      </c>
      <c r="M92" s="9" t="n"/>
      <c r="N92" s="18" t="n">
        <v>269.72</v>
      </c>
      <c r="O92" s="18" t="n">
        <v>389.12</v>
      </c>
      <c r="P92" s="18" t="n">
        <v>321.08</v>
      </c>
      <c r="Q92" s="18" t="n">
        <v>141.07</v>
      </c>
      <c r="R92" s="37" t="n">
        <v>1120.99</v>
      </c>
      <c r="S92" s="18" t="n">
        <v>135.47</v>
      </c>
      <c r="T92" s="18" t="n">
        <v>460.36</v>
      </c>
      <c r="U92" s="18" t="n">
        <v>270.13</v>
      </c>
      <c r="V92" s="18" t="n">
        <v>877.7</v>
      </c>
      <c r="W92" s="37" t="n">
        <v>1743.66</v>
      </c>
      <c r="X92" s="18" t="n">
        <v>67.66</v>
      </c>
      <c r="Y92" s="19" t="n">
        <v>775.63</v>
      </c>
      <c r="Z92" s="10" t="n"/>
      <c r="AA92" s="10" t="n"/>
      <c r="AB92" s="11" t="n"/>
      <c r="AC92" s="10" t="n"/>
      <c r="AD92" s="10" t="n"/>
      <c r="AE92" s="10" t="n"/>
      <c r="AF92" s="10" t="n"/>
      <c r="AG92" s="11" t="n"/>
      <c r="AH92" s="10" t="n"/>
      <c r="AI92" s="10" t="n"/>
      <c r="AJ92" s="10" t="n"/>
      <c r="AK92" s="10" t="n"/>
      <c r="AL92" s="11" t="n"/>
    </row>
    <row r="93">
      <c r="A93" t="n">
        <v>1</v>
      </c>
      <c r="C93" t="inlineStr">
        <is>
          <t>이자지급(CF)</t>
        </is>
      </c>
      <c r="H93" s="9" t="n"/>
      <c r="L93" s="18" t="n">
        <v>-124.77</v>
      </c>
      <c r="M93" s="9" t="n"/>
      <c r="N93" s="18" t="n">
        <v>-367.28</v>
      </c>
      <c r="O93" s="18" t="n">
        <v>-722.79</v>
      </c>
      <c r="P93" s="18" t="n">
        <v>-1233.99</v>
      </c>
      <c r="Q93" s="18" t="n">
        <v>-996.75</v>
      </c>
      <c r="R93" s="37" t="n">
        <v>-3320.81</v>
      </c>
      <c r="S93" s="18" t="n">
        <v>-1006.62</v>
      </c>
      <c r="T93" s="18" t="n">
        <v>-938.64</v>
      </c>
      <c r="U93" s="18" t="n">
        <v>-858.09</v>
      </c>
      <c r="V93" s="18" t="n">
        <v>-882</v>
      </c>
      <c r="W93" s="37" t="n">
        <v>-3685.35</v>
      </c>
      <c r="X93" s="18" t="n">
        <v>-939.37</v>
      </c>
      <c r="Y93" s="19" t="n">
        <v>-951.98</v>
      </c>
      <c r="Z93" s="10" t="n"/>
      <c r="AA93" s="10" t="n"/>
      <c r="AB93" s="11" t="n"/>
      <c r="AC93" s="10" t="n"/>
      <c r="AD93" s="10" t="n"/>
      <c r="AE93" s="10" t="n"/>
      <c r="AF93" s="10" t="n"/>
      <c r="AG93" s="11" t="n"/>
      <c r="AH93" s="10" t="n"/>
      <c r="AI93" s="10" t="n"/>
      <c r="AJ93" s="10" t="n"/>
      <c r="AK93" s="10" t="n"/>
      <c r="AL93" s="11" t="n"/>
    </row>
    <row r="94">
      <c r="A94" t="n">
        <v>1</v>
      </c>
      <c r="C94" t="inlineStr">
        <is>
          <t>장기차입금의감소</t>
        </is>
      </c>
      <c r="H94" s="9" t="n"/>
      <c r="L94" s="18" t="n">
        <v>0</v>
      </c>
      <c r="M94" s="9" t="n"/>
      <c r="Q94" s="18" t="n">
        <v>0</v>
      </c>
      <c r="R94" s="9" t="n"/>
      <c r="W94" s="9" t="n"/>
      <c r="Y94" s="5" t="n"/>
      <c r="Z94" s="10" t="n"/>
      <c r="AA94" s="10" t="n"/>
      <c r="AB94" s="11" t="n"/>
      <c r="AC94" s="10" t="n"/>
      <c r="AD94" s="10" t="n"/>
      <c r="AE94" s="10" t="n"/>
      <c r="AF94" s="10" t="n"/>
      <c r="AG94" s="11" t="n"/>
      <c r="AH94" s="10" t="n"/>
      <c r="AI94" s="10" t="n"/>
      <c r="AJ94" s="10" t="n"/>
      <c r="AK94" s="10" t="n"/>
      <c r="AL94" s="11" t="n"/>
    </row>
    <row r="95">
      <c r="A95" t="n">
        <v>1</v>
      </c>
      <c r="C95" t="inlineStr">
        <is>
          <t>배당금수취(CF)</t>
        </is>
      </c>
      <c r="H95" s="9" t="n"/>
      <c r="M95" s="9" t="n"/>
      <c r="R95" s="9" t="n"/>
      <c r="U95" s="18" t="n">
        <v>0</v>
      </c>
      <c r="V95" s="18" t="n">
        <v>0</v>
      </c>
      <c r="W95" s="9" t="n"/>
      <c r="Y95" s="5" t="n"/>
      <c r="Z95" s="10" t="n"/>
      <c r="AA95" s="10" t="n"/>
      <c r="AB95" s="11" t="n"/>
      <c r="AC95" s="10" t="n"/>
      <c r="AD95" s="10" t="n"/>
      <c r="AE95" s="10" t="n"/>
      <c r="AF95" s="10" t="n"/>
      <c r="AG95" s="11" t="n"/>
      <c r="AH95" s="10" t="n"/>
      <c r="AI95" s="10" t="n"/>
      <c r="AJ95" s="10" t="n"/>
      <c r="AK95" s="10" t="n"/>
      <c r="AL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2Q22</t>
        </is>
      </c>
      <c r="F1" s="3" t="inlineStr">
        <is>
          <t>3Q22</t>
        </is>
      </c>
      <c r="G1" s="3" t="inlineStr">
        <is>
          <t>4Q22</t>
        </is>
      </c>
      <c r="H1" s="3" t="n">
        <v>2022</v>
      </c>
      <c r="I1" s="3" t="inlineStr">
        <is>
          <t>1Q23</t>
        </is>
      </c>
      <c r="J1" s="3" t="inlineStr">
        <is>
          <t>2Q23</t>
        </is>
      </c>
      <c r="K1" s="3" t="inlineStr">
        <is>
          <t>3Q23</t>
        </is>
      </c>
      <c r="L1" s="3" t="inlineStr">
        <is>
          <t>4Q23</t>
        </is>
      </c>
      <c r="M1" s="3" t="n">
        <v>2023</v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n">
        <v>2024</v>
      </c>
      <c r="S1" s="3" t="inlineStr">
        <is>
          <t>1Q25</t>
        </is>
      </c>
      <c r="T1" s="3" t="inlineStr">
        <is>
          <t>2Q25</t>
        </is>
      </c>
      <c r="U1" s="3" t="inlineStr">
        <is>
          <t>3Q25</t>
        </is>
      </c>
      <c r="V1" s="3" t="inlineStr">
        <is>
          <t>4Q25</t>
        </is>
      </c>
      <c r="W1" s="3" t="n">
        <v>2025</v>
      </c>
      <c r="X1" s="3" t="inlineStr">
        <is>
          <t>1Q26</t>
        </is>
      </c>
      <c r="Y1" s="4" t="inlineStr">
        <is>
          <t>2Q26</t>
        </is>
      </c>
      <c r="Z1" s="3" t="inlineStr">
        <is>
          <t>3Q26</t>
        </is>
      </c>
      <c r="AA1" s="3" t="inlineStr">
        <is>
          <t>4Q26</t>
        </is>
      </c>
      <c r="AB1" s="3" t="n">
        <v>2026</v>
      </c>
      <c r="AC1" s="3" t="inlineStr">
        <is>
          <t>1Q27</t>
        </is>
      </c>
      <c r="AD1" s="3" t="inlineStr">
        <is>
          <t>2Q27</t>
        </is>
      </c>
      <c r="AE1" s="3" t="inlineStr">
        <is>
          <t>3Q27</t>
        </is>
      </c>
      <c r="AF1" s="3" t="inlineStr">
        <is>
          <t>4Q27</t>
        </is>
      </c>
      <c r="AG1" s="3" t="n">
        <v>2027</v>
      </c>
      <c r="AH1" s="3" t="inlineStr">
        <is>
          <t>1Q28</t>
        </is>
      </c>
      <c r="AI1" s="3" t="inlineStr">
        <is>
          <t>2Q28</t>
        </is>
      </c>
      <c r="AJ1" s="3" t="inlineStr">
        <is>
          <t>3Q28</t>
        </is>
      </c>
      <c r="AK1" s="3" t="inlineStr">
        <is>
          <t>4Q28</t>
        </is>
      </c>
      <c r="AL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Y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6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</row>
    <row r="4">
      <c r="E4" s="7" t="inlineStr">
        <is>
          <t>2022.06</t>
        </is>
      </c>
      <c r="F4" s="7" t="inlineStr">
        <is>
          <t>2022.09</t>
        </is>
      </c>
      <c r="G4" s="7" t="inlineStr">
        <is>
          <t>2022.12</t>
        </is>
      </c>
      <c r="H4" s="7" t="inlineStr">
        <is>
          <t>2022.12A</t>
        </is>
      </c>
      <c r="I4" s="7" t="inlineStr">
        <is>
          <t>2023.03</t>
        </is>
      </c>
      <c r="J4" s="7" t="inlineStr">
        <is>
          <t>2023.06</t>
        </is>
      </c>
      <c r="K4" s="7" t="inlineStr">
        <is>
          <t>2023.09</t>
        </is>
      </c>
      <c r="L4" s="7" t="inlineStr">
        <is>
          <t>2023.12</t>
        </is>
      </c>
      <c r="M4" s="7" t="inlineStr">
        <is>
          <t>2023.12A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2024.12A</t>
        </is>
      </c>
      <c r="S4" s="7" t="inlineStr">
        <is>
          <t>2025.03</t>
        </is>
      </c>
      <c r="T4" s="7" t="inlineStr">
        <is>
          <t>2025.06</t>
        </is>
      </c>
      <c r="U4" s="7" t="inlineStr">
        <is>
          <t>2025.09</t>
        </is>
      </c>
      <c r="V4" s="7" t="inlineStr">
        <is>
          <t>2025.12</t>
        </is>
      </c>
      <c r="W4" s="7" t="inlineStr">
        <is>
          <t>2025.12A</t>
        </is>
      </c>
      <c r="X4" s="7" t="inlineStr">
        <is>
          <t>2026.03</t>
        </is>
      </c>
      <c r="Y4" s="8" t="inlineStr">
        <is>
          <t>2026.06</t>
        </is>
      </c>
      <c r="Z4" s="7" t="inlineStr">
        <is>
          <t>2026.09</t>
        </is>
      </c>
      <c r="AA4" s="7" t="inlineStr">
        <is>
          <t>2026.12</t>
        </is>
      </c>
      <c r="AB4" s="7" t="inlineStr">
        <is>
          <t>2026.12A</t>
        </is>
      </c>
      <c r="AC4" s="7" t="inlineStr">
        <is>
          <t>2027.03</t>
        </is>
      </c>
      <c r="AD4" s="7" t="inlineStr">
        <is>
          <t>2027.06</t>
        </is>
      </c>
      <c r="AE4" s="7" t="inlineStr">
        <is>
          <t>2027.09</t>
        </is>
      </c>
      <c r="AF4" s="7" t="inlineStr">
        <is>
          <t>2027.12</t>
        </is>
      </c>
      <c r="AG4" s="7" t="inlineStr">
        <is>
          <t>2027.12A</t>
        </is>
      </c>
      <c r="AH4" s="7" t="inlineStr">
        <is>
          <t>2028.03</t>
        </is>
      </c>
      <c r="AI4" s="7" t="inlineStr">
        <is>
          <t>2028.06</t>
        </is>
      </c>
      <c r="AJ4" s="7" t="inlineStr">
        <is>
          <t>2028.09</t>
        </is>
      </c>
      <c r="AK4" s="7" t="inlineStr">
        <is>
          <t>2028.12</t>
        </is>
      </c>
      <c r="AL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18">
        <f>IFERROR(VLOOKUP($D5,BS별도,MATCH(F$1,BS별도H,0),0)/100,"")</f>
        <v/>
      </c>
      <c r="G5" s="18">
        <f>IFERROR(VLOOKUP($D5,BS별도,MATCH(G$1,BS별도H,0),0)/100,"")</f>
        <v/>
      </c>
      <c r="H5" s="37" t="n"/>
      <c r="I5" s="18">
        <f>IFERROR(VLOOKUP($D5,BS별도,MATCH(I$1,BS별도H,0),0)/100,"")</f>
        <v/>
      </c>
      <c r="J5" s="18">
        <f>IFERROR(VLOOKUP($D5,BS별도,MATCH(J$1,BS별도H,0),0)/100,"")</f>
        <v/>
      </c>
      <c r="K5" s="18">
        <f>IFERROR(VLOOKUP($D5,BS별도,MATCH(K$1,BS별도H,0),0)/100,"")</f>
        <v/>
      </c>
      <c r="L5" s="18">
        <f>IFERROR(VLOOKUP($D5,BS연결,MATCH(L$1,BS연결H,0),0)/100,"")</f>
        <v/>
      </c>
      <c r="M5" s="37">
        <f>SUM(I5:L5)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18">
        <f>IFERROR(VLOOKUP($D5,BS연결,MATCH(P$1,BS연결H,0),0)/100,"")</f>
        <v/>
      </c>
      <c r="Q5" s="18">
        <f>IFERROR(VLOOKUP($D5,BS연결,MATCH(Q$1,BS연결H,0),0)/100,"")</f>
        <v/>
      </c>
      <c r="R5" s="37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18">
        <f>IFERROR(VLOOKUP($D5,BS연결,MATCH(U$1,BS연결H,0),0)/100,"")</f>
        <v/>
      </c>
      <c r="V5" s="18">
        <f>IFERROR(VLOOKUP($D5,BS연결,MATCH(V$1,BS연결H,0),0)/100,"")</f>
        <v/>
      </c>
      <c r="W5" s="37">
        <f>IFERROR(VLOOKUP($D5,BS연결,MATCH(W$1,BS연결H,0),0)/100,"")</f>
        <v/>
      </c>
      <c r="X5" s="18">
        <f>IFERROR(VLOOKUP($D5,BS연결,MATCH(X$1,BS연결H,0),0)/100,"")</f>
        <v/>
      </c>
      <c r="Y5" s="19">
        <f>IFERROR(VLOOKUP($D5,BS연결,MATCH(Y$1,BS연결H,0),0)/100,"")</f>
        <v/>
      </c>
      <c r="Z5" s="20">
        <f>IFERROR(U5*(1+변수!Z21),"")</f>
        <v/>
      </c>
      <c r="AA5" s="20">
        <f>IFERROR(V5*(1+변수!AA21),"")</f>
        <v/>
      </c>
      <c r="AB5" s="38">
        <f>SUM(X5:AA5)</f>
        <v/>
      </c>
      <c r="AC5" s="20">
        <f>IFERROR(X5*(1+변수!AC21),"")</f>
        <v/>
      </c>
      <c r="AD5" s="20">
        <f>IFERROR(Y5*(1+변수!AD21),"")</f>
        <v/>
      </c>
      <c r="AE5" s="20">
        <f>IFERROR(Z5*(1+변수!AE21),"")</f>
        <v/>
      </c>
      <c r="AF5" s="20">
        <f>IFERROR(AA5*(1+변수!AF21),"")</f>
        <v/>
      </c>
      <c r="AG5" s="38">
        <f>SUM(AC5:AF5)</f>
        <v/>
      </c>
      <c r="AH5" s="20">
        <f>IFERROR(AC5*(1+변수!AH21),"")</f>
        <v/>
      </c>
      <c r="AI5" s="20">
        <f>IFERROR(AD5*(1+변수!AI21),"")</f>
        <v/>
      </c>
      <c r="AJ5" s="20">
        <f>IFERROR(AE5*(1+변수!AJ21),"")</f>
        <v/>
      </c>
      <c r="AK5" s="20">
        <f>IFERROR(AF5*(1+변수!AK21),"")</f>
        <v/>
      </c>
      <c r="AL5" s="38">
        <f>SUM(AH5:AK5)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18">
        <f>IFERROR(VLOOKUP($D6,BS별도,MATCH(F$1,BS별도H,0),0)/100,"")</f>
        <v/>
      </c>
      <c r="G6" s="18">
        <f>IFERROR(VLOOKUP($D6,BS별도,MATCH(G$1,BS별도H,0),0)/100,"")</f>
        <v/>
      </c>
      <c r="H6" s="37" t="n"/>
      <c r="I6" s="18">
        <f>IFERROR(VLOOKUP($D6,BS별도,MATCH(I$1,BS별도H,0),0)/100,"")</f>
        <v/>
      </c>
      <c r="J6" s="18">
        <f>IFERROR(VLOOKUP($D6,BS별도,MATCH(J$1,BS별도H,0),0)/100,"")</f>
        <v/>
      </c>
      <c r="K6" s="18">
        <f>IFERROR(VLOOKUP($D6,BS별도,MATCH(K$1,BS별도H,0),0)/100,"")</f>
        <v/>
      </c>
      <c r="L6" s="18">
        <f>IFERROR(VLOOKUP($D6,BS연결,MATCH(L$1,BS연결H,0),0)/100,"")</f>
        <v/>
      </c>
      <c r="M6" s="37">
        <f>SUM(I6:L6)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18">
        <f>IFERROR(VLOOKUP($D6,BS연결,MATCH(P$1,BS연결H,0),0)/100,"")</f>
        <v/>
      </c>
      <c r="Q6" s="18">
        <f>IFERROR(VLOOKUP($D6,BS연결,MATCH(Q$1,BS연결H,0),0)/100,"")</f>
        <v/>
      </c>
      <c r="R6" s="37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18">
        <f>IFERROR(VLOOKUP($D6,BS연결,MATCH(U$1,BS연결H,0),0)/100,"")</f>
        <v/>
      </c>
      <c r="V6" s="18">
        <f>IFERROR(VLOOKUP($D6,BS연결,MATCH(V$1,BS연결H,0),0)/100,"")</f>
        <v/>
      </c>
      <c r="W6" s="37">
        <f>IFERROR(VLOOKUP($D6,BS연결,MATCH(W$1,BS연결H,0),0)/100,"")</f>
        <v/>
      </c>
      <c r="X6" s="18">
        <f>IFERROR(VLOOKUP($D6,BS연결,MATCH(X$1,BS연결H,0),0)/100,"")</f>
        <v/>
      </c>
      <c r="Y6" s="19">
        <f>IFERROR(VLOOKUP($D6,BS연결,MATCH(Y$1,BS연결H,0),0)/100,"")</f>
        <v/>
      </c>
      <c r="Z6" s="20">
        <f>IFERROR(Z5-Z7,"")</f>
        <v/>
      </c>
      <c r="AA6" s="20">
        <f>IFERROR(AA5-AA7,"")</f>
        <v/>
      </c>
      <c r="AB6" s="38">
        <f>SUM(X6:AA6)</f>
        <v/>
      </c>
      <c r="AC6" s="20">
        <f>IFERROR(AC5-AC7,"")</f>
        <v/>
      </c>
      <c r="AD6" s="20">
        <f>IFERROR(AD5-AD7,"")</f>
        <v/>
      </c>
      <c r="AE6" s="20">
        <f>IFERROR(AE5-AE7,"")</f>
        <v/>
      </c>
      <c r="AF6" s="20">
        <f>IFERROR(AF5-AF7,"")</f>
        <v/>
      </c>
      <c r="AG6" s="38">
        <f>SUM(AC6:AF6)</f>
        <v/>
      </c>
      <c r="AH6" s="20">
        <f>IFERROR(AH5-AH7,"")</f>
        <v/>
      </c>
      <c r="AI6" s="20">
        <f>IFERROR(AI5-AI7,"")</f>
        <v/>
      </c>
      <c r="AJ6" s="20">
        <f>IFERROR(AJ5-AJ7,"")</f>
        <v/>
      </c>
      <c r="AK6" s="20">
        <f>IFERROR(AK5-AK7,"")</f>
        <v/>
      </c>
      <c r="AL6" s="38">
        <f>SUM(AH6:AK6)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18">
        <f>IFERROR(VLOOKUP($D7,BS별도,MATCH(F$1,BS별도H,0),0)/100,"")</f>
        <v/>
      </c>
      <c r="G7" s="18">
        <f>IFERROR(VLOOKUP($D7,BS별도,MATCH(G$1,BS별도H,0),0)/100,"")</f>
        <v/>
      </c>
      <c r="H7" s="37" t="n"/>
      <c r="I7" s="18">
        <f>IFERROR(VLOOKUP($D7,BS별도,MATCH(I$1,BS별도H,0),0)/100,"")</f>
        <v/>
      </c>
      <c r="J7" s="18">
        <f>IFERROR(VLOOKUP($D7,BS별도,MATCH(J$1,BS별도H,0),0)/100,"")</f>
        <v/>
      </c>
      <c r="K7" s="18">
        <f>IFERROR(VLOOKUP($D7,BS별도,MATCH(K$1,BS별도H,0),0)/100,"")</f>
        <v/>
      </c>
      <c r="L7" s="18">
        <f>IFERROR(VLOOKUP($D7,BS연결,MATCH(L$1,BS연결H,0),0)/100,"")</f>
        <v/>
      </c>
      <c r="M7" s="37">
        <f>SUM(I7:L7)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18">
        <f>IFERROR(VLOOKUP($D7,BS연결,MATCH(P$1,BS연결H,0),0)/100,"")</f>
        <v/>
      </c>
      <c r="Q7" s="18">
        <f>IFERROR(VLOOKUP($D7,BS연결,MATCH(Q$1,BS연결H,0),0)/100,"")</f>
        <v/>
      </c>
      <c r="R7" s="37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18">
        <f>IFERROR(VLOOKUP($D7,BS연결,MATCH(U$1,BS연결H,0),0)/100,"")</f>
        <v/>
      </c>
      <c r="V7" s="18">
        <f>IFERROR(VLOOKUP($D7,BS연결,MATCH(V$1,BS연결H,0),0)/100,"")</f>
        <v/>
      </c>
      <c r="W7" s="37">
        <f>IFERROR(VLOOKUP($D7,BS연결,MATCH(W$1,BS연결H,0),0)/100,"")</f>
        <v/>
      </c>
      <c r="X7" s="18">
        <f>IFERROR(VLOOKUP($D7,BS연결,MATCH(X$1,BS연결H,0),0)/100,"")</f>
        <v/>
      </c>
      <c r="Y7" s="19">
        <f>IFERROR(VLOOKUP($D7,BS연결,MATCH(Y$1,BS연결H,0),0)/100,"")</f>
        <v/>
      </c>
      <c r="Z7" s="20">
        <f>IFERROR(Z9+Z8,"")</f>
        <v/>
      </c>
      <c r="AA7" s="20">
        <f>IFERROR(AA9+AA8,"")</f>
        <v/>
      </c>
      <c r="AB7" s="38">
        <f>SUM(X7:AA7)</f>
        <v/>
      </c>
      <c r="AC7" s="20">
        <f>IFERROR(AC9+AC8,"")</f>
        <v/>
      </c>
      <c r="AD7" s="20">
        <f>IFERROR(AD9+AD8,"")</f>
        <v/>
      </c>
      <c r="AE7" s="20">
        <f>IFERROR(AE9+AE8,"")</f>
        <v/>
      </c>
      <c r="AF7" s="20">
        <f>IFERROR(AF9+AF8,"")</f>
        <v/>
      </c>
      <c r="AG7" s="38">
        <f>SUM(AC7:AF7)</f>
        <v/>
      </c>
      <c r="AH7" s="20">
        <f>IFERROR(AH9+AH8,"")</f>
        <v/>
      </c>
      <c r="AI7" s="20">
        <f>IFERROR(AI9+AI8,"")</f>
        <v/>
      </c>
      <c r="AJ7" s="20">
        <f>IFERROR(AJ9+AJ8,"")</f>
        <v/>
      </c>
      <c r="AK7" s="20">
        <f>IFERROR(AK9+AK8,"")</f>
        <v/>
      </c>
      <c r="AL7" s="38">
        <f>SUM(AH7:AK7)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18">
        <f>IFERROR(VLOOKUP($D8,BS별도,MATCH(F$1,BS별도H,0),0)/100,"")</f>
        <v/>
      </c>
      <c r="G8" s="18">
        <f>IFERROR(VLOOKUP($D8,BS별도,MATCH(G$1,BS별도H,0),0)/100,"")</f>
        <v/>
      </c>
      <c r="H8" s="37" t="n"/>
      <c r="I8" s="18">
        <f>IFERROR(VLOOKUP($D8,BS별도,MATCH(I$1,BS별도H,0),0)/100,"")</f>
        <v/>
      </c>
      <c r="J8" s="18">
        <f>IFERROR(VLOOKUP($D8,BS별도,MATCH(J$1,BS별도H,0),0)/100,"")</f>
        <v/>
      </c>
      <c r="K8" s="18">
        <f>IFERROR(VLOOKUP($D8,BS별도,MATCH(K$1,BS별도H,0),0)/100,"")</f>
        <v/>
      </c>
      <c r="L8" s="18">
        <f>IFERROR(VLOOKUP($D8,BS연결,MATCH(L$1,BS연결H,0),0)/100,"")</f>
        <v/>
      </c>
      <c r="M8" s="37">
        <f>SUM(I8:L8)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18">
        <f>IFERROR(VLOOKUP($D8,BS연결,MATCH(P$1,BS연결H,0),0)/100,"")</f>
        <v/>
      </c>
      <c r="Q8" s="18">
        <f>IFERROR(VLOOKUP($D8,BS연결,MATCH(Q$1,BS연결H,0),0)/100,"")</f>
        <v/>
      </c>
      <c r="R8" s="37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18">
        <f>IFERROR(VLOOKUP($D8,BS연결,MATCH(U$1,BS연결H,0),0)/100,"")</f>
        <v/>
      </c>
      <c r="V8" s="18">
        <f>IFERROR(VLOOKUP($D8,BS연결,MATCH(V$1,BS연결H,0),0)/100,"")</f>
        <v/>
      </c>
      <c r="W8" s="37">
        <f>IFERROR(VLOOKUP($D8,BS연결,MATCH(W$1,BS연결H,0),0)/100,"")</f>
        <v/>
      </c>
      <c r="X8" s="18">
        <f>IFERROR(VLOOKUP($D8,BS연결,MATCH(X$1,BS연결H,0),0)/100,"")</f>
        <v/>
      </c>
      <c r="Y8" s="19">
        <f>IFERROR(VLOOKUP($D8,BS연결,MATCH(Y$1,BS연결H,0),0)/100,"")</f>
        <v/>
      </c>
      <c r="Z8" s="20">
        <f>IFERROR(Z5*변수!Z22,"")</f>
        <v/>
      </c>
      <c r="AA8" s="20">
        <f>IFERROR(AA5*변수!AA22,"")</f>
        <v/>
      </c>
      <c r="AB8" s="38">
        <f>SUM(X8:AA8)</f>
        <v/>
      </c>
      <c r="AC8" s="20">
        <f>IFERROR(AC5*변수!AC22,"")</f>
        <v/>
      </c>
      <c r="AD8" s="20">
        <f>IFERROR(AD5*변수!AD22,"")</f>
        <v/>
      </c>
      <c r="AE8" s="20">
        <f>IFERROR(AE5*변수!AE22,"")</f>
        <v/>
      </c>
      <c r="AF8" s="20">
        <f>IFERROR(AF5*변수!AF22,"")</f>
        <v/>
      </c>
      <c r="AG8" s="38">
        <f>SUM(AC8:AF8)</f>
        <v/>
      </c>
      <c r="AH8" s="20">
        <f>IFERROR(AH5*변수!AH22,"")</f>
        <v/>
      </c>
      <c r="AI8" s="20">
        <f>IFERROR(AI5*변수!AI22,"")</f>
        <v/>
      </c>
      <c r="AJ8" s="20">
        <f>IFERROR(AJ5*변수!AJ22,"")</f>
        <v/>
      </c>
      <c r="AK8" s="20">
        <f>IFERROR(AK5*변수!AK22,"")</f>
        <v/>
      </c>
      <c r="AL8" s="38">
        <f>SUM(AH8:AK8)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18">
        <f>IFERROR(VLOOKUP($D9,BS별도,MATCH(F$1,BS별도H,0),0)/100,"")</f>
        <v/>
      </c>
      <c r="G9" s="18">
        <f>IFERROR(VLOOKUP($D9,BS별도,MATCH(G$1,BS별도H,0),0)/100,"")</f>
        <v/>
      </c>
      <c r="H9" s="37" t="n"/>
      <c r="I9" s="18">
        <f>IFERROR(VLOOKUP($D9,BS별도,MATCH(I$1,BS별도H,0),0)/100,"")</f>
        <v/>
      </c>
      <c r="J9" s="18">
        <f>IFERROR(VLOOKUP($D9,BS별도,MATCH(J$1,BS별도H,0),0)/100,"")</f>
        <v/>
      </c>
      <c r="K9" s="18">
        <f>IFERROR(VLOOKUP($D9,BS별도,MATCH(K$1,BS별도H,0),0)/100,"")</f>
        <v/>
      </c>
      <c r="L9" s="18">
        <f>IFERROR(VLOOKUP($D9,BS연결,MATCH(L$1,BS연결H,0),0)/100,"")</f>
        <v/>
      </c>
      <c r="M9" s="37">
        <f>SUM(I9:L9)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18">
        <f>IFERROR(VLOOKUP($D9,BS연결,MATCH(P$1,BS연결H,0),0)/100,"")</f>
        <v/>
      </c>
      <c r="Q9" s="18">
        <f>IFERROR(VLOOKUP($D9,BS연결,MATCH(Q$1,BS연결H,0),0)/100,"")</f>
        <v/>
      </c>
      <c r="R9" s="37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18">
        <f>IFERROR(VLOOKUP($D9,BS연결,MATCH(U$1,BS연결H,0),0)/100,"")</f>
        <v/>
      </c>
      <c r="V9" s="18">
        <f>IFERROR(VLOOKUP($D9,BS연결,MATCH(V$1,BS연결H,0),0)/100,"")</f>
        <v/>
      </c>
      <c r="W9" s="37">
        <f>IFERROR(VLOOKUP($D9,BS연결,MATCH(W$1,BS연결H,0),0)/100,"")</f>
        <v/>
      </c>
      <c r="X9" s="18">
        <f>IFERROR(VLOOKUP($D9,BS연결,MATCH(X$1,BS연결H,0),0)/100,"")</f>
        <v/>
      </c>
      <c r="Y9" s="19">
        <f>IFERROR(VLOOKUP($D9,BS연결,MATCH(Y$1,BS연결H,0),0)/100,"")</f>
        <v/>
      </c>
      <c r="Z9" s="20">
        <f>IFERROR(Z5*변수!Z23,"")</f>
        <v/>
      </c>
      <c r="AA9" s="20">
        <f>IFERROR(AA5*변수!AA23,"")</f>
        <v/>
      </c>
      <c r="AB9" s="38">
        <f>SUM(X9:AA9)</f>
        <v/>
      </c>
      <c r="AC9" s="20">
        <f>IFERROR(AC5*변수!AC23,"")</f>
        <v/>
      </c>
      <c r="AD9" s="20">
        <f>IFERROR(AD5*변수!AD23,"")</f>
        <v/>
      </c>
      <c r="AE9" s="20">
        <f>IFERROR(AE5*변수!AE23,"")</f>
        <v/>
      </c>
      <c r="AF9" s="20">
        <f>IFERROR(AF5*변수!AF23,"")</f>
        <v/>
      </c>
      <c r="AG9" s="38">
        <f>SUM(AC9:AF9)</f>
        <v/>
      </c>
      <c r="AH9" s="20">
        <f>IFERROR(AH5*변수!AH23,"")</f>
        <v/>
      </c>
      <c r="AI9" s="20">
        <f>IFERROR(AI5*변수!AI23,"")</f>
        <v/>
      </c>
      <c r="AJ9" s="20">
        <f>IFERROR(AJ5*변수!AJ23,"")</f>
        <v/>
      </c>
      <c r="AK9" s="20">
        <f>IFERROR(AK5*변수!AK23,"")</f>
        <v/>
      </c>
      <c r="AL9" s="38">
        <f>SUM(AH9:AK9)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1">
        <f>IFERROR(F9/F5,"")</f>
        <v/>
      </c>
      <c r="G10" s="21">
        <f>IFERROR(G9/G5,"")</f>
        <v/>
      </c>
      <c r="H10" s="22" t="n"/>
      <c r="I10" s="21">
        <f>IFERROR(I9/I5,"")</f>
        <v/>
      </c>
      <c r="J10" s="21">
        <f>IFERROR(J9/J5,"")</f>
        <v/>
      </c>
      <c r="K10" s="21">
        <f>IFERROR(K9/K5,"")</f>
        <v/>
      </c>
      <c r="L10" s="21">
        <f>IFERROR(L9/L5,"")</f>
        <v/>
      </c>
      <c r="M10" s="22">
        <f>IFERROR(M9/M5,"")</f>
        <v/>
      </c>
      <c r="N10" s="21">
        <f>IFERROR(N9/N5,"")</f>
        <v/>
      </c>
      <c r="O10" s="21">
        <f>IFERROR(O9/O5,"")</f>
        <v/>
      </c>
      <c r="P10" s="21">
        <f>IFERROR(P9/P5,"")</f>
        <v/>
      </c>
      <c r="Q10" s="21">
        <f>IFERROR(Q9/Q5,"")</f>
        <v/>
      </c>
      <c r="R10" s="22">
        <f>IFERROR(R9/R5,"")</f>
        <v/>
      </c>
      <c r="S10" s="21">
        <f>IFERROR(S9/S5,"")</f>
        <v/>
      </c>
      <c r="T10" s="21">
        <f>IFERROR(T9/T5,"")</f>
        <v/>
      </c>
      <c r="U10" s="21">
        <f>IFERROR(U9/U5,"")</f>
        <v/>
      </c>
      <c r="V10" s="21">
        <f>IFERROR(V9/V5,"")</f>
        <v/>
      </c>
      <c r="W10" s="22">
        <f>IFERROR(W9/W5,"")</f>
        <v/>
      </c>
      <c r="X10" s="21">
        <f>IFERROR(X9/X5,"")</f>
        <v/>
      </c>
      <c r="Y10" s="23">
        <f>IFERROR(Y9/Y5,"")</f>
        <v/>
      </c>
      <c r="Z10" s="32">
        <f>IFERROR(Z9/Z5,"")</f>
        <v/>
      </c>
      <c r="AA10" s="32">
        <f>IFERROR(AA9/AA5,"")</f>
        <v/>
      </c>
      <c r="AB10" s="25">
        <f>IFERROR(AB9/AB5,"")</f>
        <v/>
      </c>
      <c r="AC10" s="32">
        <f>IFERROR(AC9/AC5,"")</f>
        <v/>
      </c>
      <c r="AD10" s="32">
        <f>IFERROR(AD9/AD5,"")</f>
        <v/>
      </c>
      <c r="AE10" s="32">
        <f>IFERROR(AE9/AE5,"")</f>
        <v/>
      </c>
      <c r="AF10" s="32">
        <f>IFERROR(AF9/AF5,"")</f>
        <v/>
      </c>
      <c r="AG10" s="25">
        <f>IFERROR(AG9/AG5,"")</f>
        <v/>
      </c>
      <c r="AH10" s="32">
        <f>IFERROR(AH9/AH5,"")</f>
        <v/>
      </c>
      <c r="AI10" s="32">
        <f>IFERROR(AI9/AI5,"")</f>
        <v/>
      </c>
      <c r="AJ10" s="32">
        <f>IFERROR(AJ9/AJ5,"")</f>
        <v/>
      </c>
      <c r="AK10" s="32">
        <f>IFERROR(AK9/AK5,"")</f>
        <v/>
      </c>
      <c r="AL10" s="25">
        <f>IFERROR(AL9/AL5,"")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18">
        <f>IFERROR(VLOOKUP($D11,BS별도,MATCH(F$1,BS별도H,0),0)/100,"")</f>
        <v/>
      </c>
      <c r="G11" s="18">
        <f>IFERROR(VLOOKUP($D11,BS별도,MATCH(G$1,BS별도H,0),0)/100,"")</f>
        <v/>
      </c>
      <c r="H11" s="37" t="n"/>
      <c r="I11" s="18">
        <f>IFERROR(VLOOKUP($D11,BS별도,MATCH(I$1,BS별도H,0),0)/100,"")</f>
        <v/>
      </c>
      <c r="J11" s="18">
        <f>IFERROR(VLOOKUP($D11,BS별도,MATCH(J$1,BS별도H,0),0)/100,"")</f>
        <v/>
      </c>
      <c r="K11" s="18">
        <f>IFERROR(VLOOKUP($D11,BS별도,MATCH(K$1,BS별도H,0),0)/100,"")</f>
        <v/>
      </c>
      <c r="L11" s="18">
        <f>IFERROR(VLOOKUP($D11,BS연결,MATCH(L$1,BS연결H,0),0)/100,"")</f>
        <v/>
      </c>
      <c r="M11" s="37">
        <f>SUM(I11:L11)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18">
        <f>IFERROR(VLOOKUP($D11,BS연결,MATCH(P$1,BS연결H,0),0)/100,"")</f>
        <v/>
      </c>
      <c r="Q11" s="18">
        <f>IFERROR(VLOOKUP($D11,BS연결,MATCH(Q$1,BS연결H,0),0)/100,"")</f>
        <v/>
      </c>
      <c r="R11" s="37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18">
        <f>IFERROR(VLOOKUP($D11,BS연결,MATCH(U$1,BS연결H,0),0)/100,"")</f>
        <v/>
      </c>
      <c r="V11" s="18">
        <f>IFERROR(VLOOKUP($D11,BS연결,MATCH(V$1,BS연결H,0),0)/100,"")</f>
        <v/>
      </c>
      <c r="W11" s="37">
        <f>IFERROR(VLOOKUP($D11,BS연결,MATCH(W$1,BS연결H,0),0)/100,"")</f>
        <v/>
      </c>
      <c r="X11" s="18">
        <f>IFERROR(VLOOKUP($D11,BS연결,MATCH(X$1,BS연결H,0),0)/100,"")</f>
        <v/>
      </c>
      <c r="Y11" s="19">
        <f>IFERROR(VLOOKUP($D11,BS연결,MATCH(Y$1,BS연결H,0),0)/100,"")</f>
        <v/>
      </c>
      <c r="Z11" s="20">
        <f>IFERROR(Z12,"")</f>
        <v/>
      </c>
      <c r="AA11" s="20">
        <f>IFERROR(AA12,"")</f>
        <v/>
      </c>
      <c r="AB11" s="38">
        <f>SUM(X11:AA11)</f>
        <v/>
      </c>
      <c r="AC11" s="20">
        <f>IFERROR(AC12,"")</f>
        <v/>
      </c>
      <c r="AD11" s="20">
        <f>IFERROR(AD12,"")</f>
        <v/>
      </c>
      <c r="AE11" s="20">
        <f>IFERROR(AE12,"")</f>
        <v/>
      </c>
      <c r="AF11" s="20">
        <f>IFERROR(AF12,"")</f>
        <v/>
      </c>
      <c r="AG11" s="38">
        <f>SUM(AC11:AF11)</f>
        <v/>
      </c>
      <c r="AH11" s="20">
        <f>IFERROR(AH12,"")</f>
        <v/>
      </c>
      <c r="AI11" s="20">
        <f>IFERROR(AI12,"")</f>
        <v/>
      </c>
      <c r="AJ11" s="20">
        <f>IFERROR(AJ12,"")</f>
        <v/>
      </c>
      <c r="AK11" s="20">
        <f>IFERROR(AK12,"")</f>
        <v/>
      </c>
      <c r="AL11" s="38">
        <f>SUM(AH11:AK11)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IFERROR(VLOOKUP($D12,BS별도,MATCH(E$1,BS별도H,0),0)/100,"")</f>
        <v/>
      </c>
      <c r="F12" s="18">
        <f>IFERROR(VLOOKUP($D12,BS별도,MATCH(F$1,BS별도H,0),0)/100,"")</f>
        <v/>
      </c>
      <c r="G12" s="18">
        <f>IFERROR(VLOOKUP($D12,BS별도,MATCH(G$1,BS별도H,0),0)/100,"")</f>
        <v/>
      </c>
      <c r="H12" s="37" t="n"/>
      <c r="I12" s="18">
        <f>IFERROR(VLOOKUP($D12,BS별도,MATCH(I$1,BS별도H,0),0)/100,"")</f>
        <v/>
      </c>
      <c r="J12" s="18">
        <f>IFERROR(VLOOKUP($D12,BS별도,MATCH(J$1,BS별도H,0),0)/100,"")</f>
        <v/>
      </c>
      <c r="K12" s="18">
        <f>IFERROR(VLOOKUP($D12,BS별도,MATCH(K$1,BS별도H,0),0)/100,"")</f>
        <v/>
      </c>
      <c r="L12" s="18">
        <f>IFERROR(VLOOKUP($D12,BS연결,MATCH(L$1,BS연결H,0),0)/100,"")</f>
        <v/>
      </c>
      <c r="M12" s="37">
        <f>SUM(I12:L12)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18">
        <f>IFERROR(VLOOKUP($D12,BS연결,MATCH(P$1,BS연결H,0),0)/100,"")</f>
        <v/>
      </c>
      <c r="Q12" s="18">
        <f>IFERROR(VLOOKUP($D12,BS연결,MATCH(Q$1,BS연결H,0),0)/100,"")</f>
        <v/>
      </c>
      <c r="R12" s="37">
        <f>IFERROR(VLOOKUP($D12,BS연결,MATCH(R$1,BS연결H,0),0)/100,"")</f>
        <v/>
      </c>
      <c r="S12" s="18">
        <f>IFERROR(VLOOKUP($D12,BS연결,MATCH(S$1,BS연결H,0),0)/100,"")</f>
        <v/>
      </c>
      <c r="T12" s="18" t="n"/>
      <c r="U12" s="18" t="n"/>
      <c r="V12" s="18" t="n"/>
      <c r="W12" s="37">
        <f>SUM(S12:V12)</f>
        <v/>
      </c>
      <c r="X12" s="18" t="n"/>
      <c r="Y12" s="19" t="n"/>
      <c r="Z12" s="20">
        <f>IFERROR((Y26*변수!$D$50-Y24*변수!$D$51)/4,"")</f>
        <v/>
      </c>
      <c r="AA12" s="20">
        <f>IFERROR((Z26*변수!$D$50-Z24*변수!$D$51)/4,"")</f>
        <v/>
      </c>
      <c r="AB12" s="38">
        <f>SUM(X12:AA12)</f>
        <v/>
      </c>
      <c r="AC12" s="20">
        <f>IFERROR((AA26*변수!$D$50-AA24*변수!$D$51)/4,"")</f>
        <v/>
      </c>
      <c r="AD12" s="20">
        <f>IFERROR((AC26*변수!$D$50-AC24*변수!$D$51)/4,"")</f>
        <v/>
      </c>
      <c r="AE12" s="20">
        <f>IFERROR((AD26*변수!$D$50-AD24*변수!$D$51)/4,"")</f>
        <v/>
      </c>
      <c r="AF12" s="20">
        <f>IFERROR((AE26*변수!$D$50-AE24*변수!$D$51)/4,"")</f>
        <v/>
      </c>
      <c r="AG12" s="38">
        <f>SUM(AC12:AF12)</f>
        <v/>
      </c>
      <c r="AH12" s="20">
        <f>IFERROR((AF26*변수!$D$50-AF24*변수!$D$51)/4,"")</f>
        <v/>
      </c>
      <c r="AI12" s="20">
        <f>IFERROR((AH26*변수!$D$50-AH24*변수!$D$51)/4,"")</f>
        <v/>
      </c>
      <c r="AJ12" s="20">
        <f>IFERROR((AI26*변수!$D$50-AI24*변수!$D$51)/4,"")</f>
        <v/>
      </c>
      <c r="AK12" s="20">
        <f>IFERROR((AJ26*변수!$D$50-AJ24*변수!$D$51)/4,"")</f>
        <v/>
      </c>
      <c r="AL12" s="38">
        <f>SUM(AH12:AK12)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IFERROR(VLOOKUP($D13,BS별도,MATCH(E$1,BS별도H,0),0)/100,"")</f>
        <v/>
      </c>
      <c r="F13" s="18">
        <f>IFERROR(VLOOKUP($D13,BS별도,MATCH(F$1,BS별도H,0),0)/100,"")</f>
        <v/>
      </c>
      <c r="G13" s="18">
        <f>IFERROR(VLOOKUP($D13,BS별도,MATCH(G$1,BS별도H,0),0)/100,"")</f>
        <v/>
      </c>
      <c r="H13" s="37" t="n"/>
      <c r="I13" s="18">
        <f>IFERROR(VLOOKUP($D13,BS별도,MATCH(I$1,BS별도H,0),0)/100,"")</f>
        <v/>
      </c>
      <c r="J13" s="18">
        <f>IFERROR(VLOOKUP($D13,BS별도,MATCH(J$1,BS별도H,0),0)/100,"")</f>
        <v/>
      </c>
      <c r="K13" s="18">
        <f>IFERROR(VLOOKUP($D13,BS별도,MATCH(K$1,BS별도H,0),0)/100,"")</f>
        <v/>
      </c>
      <c r="L13" s="18">
        <f>IFERROR(VLOOKUP($D13,BS연결,MATCH(L$1,BS연결H,0),0)/100,"")</f>
        <v/>
      </c>
      <c r="M13" s="37">
        <f>SUM(I13:L13)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18">
        <f>IFERROR(VLOOKUP($D13,BS연결,MATCH(P$1,BS연결H,0),0)/100,"")</f>
        <v/>
      </c>
      <c r="Q13" s="18">
        <f>IFERROR(VLOOKUP($D13,BS연결,MATCH(Q$1,BS연결H,0),0)/100,"")</f>
        <v/>
      </c>
      <c r="R13" s="37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18">
        <f>IFERROR(VLOOKUP($D13,BS연결,MATCH(U$1,BS연결H,0),0)/100,"")</f>
        <v/>
      </c>
      <c r="V13" s="18">
        <f>IFERROR(VLOOKUP($D13,BS연결,MATCH(V$1,BS연결H,0),0)/100,"")</f>
        <v/>
      </c>
      <c r="W13" s="37">
        <f>SUM(S13:V13)</f>
        <v/>
      </c>
      <c r="X13" s="18">
        <f>IFERROR(VLOOKUP($D13,BS연결,MATCH(X$1,BS연결H,0),0)/100,"")</f>
        <v/>
      </c>
      <c r="Y13" s="19">
        <f>IFERROR(VLOOKUP($D13,BS연결,MATCH(Y$1,BS연결H,0),0)/100,"")</f>
        <v/>
      </c>
      <c r="Z13" s="20">
        <f>변수!Z24</f>
        <v/>
      </c>
      <c r="AA13" s="20">
        <f>변수!AA24</f>
        <v/>
      </c>
      <c r="AB13" s="38">
        <f>SUM(X13:AA13)</f>
        <v/>
      </c>
      <c r="AC13" s="20">
        <f>변수!AC24</f>
        <v/>
      </c>
      <c r="AD13" s="20">
        <f>변수!AD24</f>
        <v/>
      </c>
      <c r="AE13" s="20">
        <f>변수!AE24</f>
        <v/>
      </c>
      <c r="AF13" s="20">
        <f>변수!AF24</f>
        <v/>
      </c>
      <c r="AG13" s="38">
        <f>SUM(AC13:AF13)</f>
        <v/>
      </c>
      <c r="AH13" s="20">
        <f>변수!AH24</f>
        <v/>
      </c>
      <c r="AI13" s="20">
        <f>변수!AI24</f>
        <v/>
      </c>
      <c r="AJ13" s="20">
        <f>변수!AJ24</f>
        <v/>
      </c>
      <c r="AK13" s="20">
        <f>변수!AK24</f>
        <v/>
      </c>
      <c r="AL13" s="38">
        <f>SUM(AH13:AK13)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IFERROR(VLOOKUP($D14,BS별도,MATCH(E$1,BS별도H,0),0)/100,"")</f>
        <v/>
      </c>
      <c r="F14" s="18">
        <f>IFERROR(VLOOKUP($D14,BS별도,MATCH(F$1,BS별도H,0),0)/100,"")</f>
        <v/>
      </c>
      <c r="G14" s="18">
        <f>IFERROR(VLOOKUP($D14,BS별도,MATCH(G$1,BS별도H,0),0)/100,"")</f>
        <v/>
      </c>
      <c r="H14" s="37" t="n"/>
      <c r="I14" s="18">
        <f>IFERROR(VLOOKUP($D14,BS별도,MATCH(I$1,BS별도H,0),0)/100,"")</f>
        <v/>
      </c>
      <c r="J14" s="18">
        <f>IFERROR(VLOOKUP($D14,BS별도,MATCH(J$1,BS별도H,0),0)/100,"")</f>
        <v/>
      </c>
      <c r="K14" s="18">
        <f>IFERROR(VLOOKUP($D14,BS별도,MATCH(K$1,BS별도H,0),0)/100,"")</f>
        <v/>
      </c>
      <c r="L14" s="18">
        <f>IFERROR(VLOOKUP($D14,BS연결,MATCH(L$1,BS연결H,0),0)/100,"")</f>
        <v/>
      </c>
      <c r="M14" s="37">
        <f>SUM(I14:L14)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18">
        <f>IFERROR(VLOOKUP($D14,BS연결,MATCH(P$1,BS연결H,0),0)/100,"")</f>
        <v/>
      </c>
      <c r="Q14" s="18">
        <f>IFERROR(VLOOKUP($D14,BS연결,MATCH(Q$1,BS연결H,0),0)/100,"")</f>
        <v/>
      </c>
      <c r="R14" s="37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18">
        <f>IFERROR(VLOOKUP($D14,BS연결,MATCH(U$1,BS연결H,0),0)/100,"")</f>
        <v/>
      </c>
      <c r="V14" s="18">
        <f>IFERROR(VLOOKUP($D14,BS연결,MATCH(V$1,BS연결H,0),0)/100,"")</f>
        <v/>
      </c>
      <c r="W14" s="37">
        <f>IFERROR(VLOOKUP($D14,BS연결,MATCH(W$1,BS연결H,0),0)/100,"")</f>
        <v/>
      </c>
      <c r="X14" s="18">
        <f>IFERROR(VLOOKUP($D14,BS연결,MATCH(X$1,BS연결H,0),0)/100,"")</f>
        <v/>
      </c>
      <c r="Y14" s="19">
        <f>IFERROR(VLOOKUP($D14,BS연결,MATCH(Y$1,BS연결H,0),0)/100,"")</f>
        <v/>
      </c>
      <c r="Z14" s="20">
        <f>IFERROR(Z9+Z11+Z13,"")</f>
        <v/>
      </c>
      <c r="AA14" s="20">
        <f>IFERROR(AA9+AA11+AA13,"")</f>
        <v/>
      </c>
      <c r="AB14" s="38">
        <f>SUM(X14:AA14)</f>
        <v/>
      </c>
      <c r="AC14" s="20">
        <f>IFERROR(AC9+AC11+AC13,"")</f>
        <v/>
      </c>
      <c r="AD14" s="20">
        <f>IFERROR(AD9+AD11+AD13,"")</f>
        <v/>
      </c>
      <c r="AE14" s="20">
        <f>IFERROR(AE9+AE11+AE13,"")</f>
        <v/>
      </c>
      <c r="AF14" s="20">
        <f>IFERROR(AF9+AF11+AF13,"")</f>
        <v/>
      </c>
      <c r="AG14" s="38">
        <f>SUM(AC14:AF14)</f>
        <v/>
      </c>
      <c r="AH14" s="20">
        <f>IFERROR(AH9+AH11+AH13,"")</f>
        <v/>
      </c>
      <c r="AI14" s="20">
        <f>IFERROR(AI9+AI11+AI13,"")</f>
        <v/>
      </c>
      <c r="AJ14" s="20">
        <f>IFERROR(AJ9+AJ11+AJ13,"")</f>
        <v/>
      </c>
      <c r="AK14" s="20">
        <f>IFERROR(AK9+AK11+AK13,"")</f>
        <v/>
      </c>
      <c r="AL14" s="38">
        <f>SUM(AH14:AK14)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IFERROR(VLOOKUP($D15,BS별도,MATCH(E$1,BS별도H,0),0)/100,"")</f>
        <v/>
      </c>
      <c r="F15" s="18">
        <f>IFERROR(VLOOKUP($D15,BS별도,MATCH(F$1,BS별도H,0),0)/100,"")</f>
        <v/>
      </c>
      <c r="G15" s="18">
        <f>IFERROR(VLOOKUP($D15,BS별도,MATCH(G$1,BS별도H,0),0)/100,"")</f>
        <v/>
      </c>
      <c r="H15" s="37" t="n"/>
      <c r="I15" s="18">
        <f>IFERROR(VLOOKUP($D15,BS별도,MATCH(I$1,BS별도H,0),0)/100,"")</f>
        <v/>
      </c>
      <c r="J15" s="18">
        <f>IFERROR(VLOOKUP($D15,BS별도,MATCH(J$1,BS별도H,0),0)/100,"")</f>
        <v/>
      </c>
      <c r="K15" s="18">
        <f>IFERROR(VLOOKUP($D15,BS별도,MATCH(K$1,BS별도H,0),0)/100,"")</f>
        <v/>
      </c>
      <c r="L15" s="18">
        <f>IFERROR(VLOOKUP($D15,BS연결,MATCH(L$1,BS연결H,0),0)/100,"")</f>
        <v/>
      </c>
      <c r="M15" s="37">
        <f>SUM(I15:L15)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18">
        <f>IFERROR(VLOOKUP($D15,BS연결,MATCH(P$1,BS연결H,0),0)/100,"")</f>
        <v/>
      </c>
      <c r="Q15" s="18">
        <f>IFERROR(VLOOKUP($D15,BS연결,MATCH(Q$1,BS연결H,0),0)/100,"")</f>
        <v/>
      </c>
      <c r="R15" s="37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18">
        <f>IFERROR(VLOOKUP($D15,BS연결,MATCH(U$1,BS연결H,0),0)/100,"")</f>
        <v/>
      </c>
      <c r="V15" s="18">
        <f>IFERROR(VLOOKUP($D15,BS연결,MATCH(V$1,BS연결H,0),0)/100,"")</f>
        <v/>
      </c>
      <c r="W15" s="37">
        <f>IFERROR(VLOOKUP($D15,BS연결,MATCH(W$1,BS연결H,0),0)/100,"")</f>
        <v/>
      </c>
      <c r="X15" s="18">
        <f>IFERROR(VLOOKUP($D15,BS연결,MATCH(X$1,BS연결H,0),0)/100,"")</f>
        <v/>
      </c>
      <c r="Y15" s="19">
        <f>IFERROR(VLOOKUP($D15,BS연결,MATCH(Y$1,BS연결H,0),0)/100,"")</f>
        <v/>
      </c>
      <c r="Z15" s="20">
        <f>IFERROR(Z14*변수!Z25,"")</f>
        <v/>
      </c>
      <c r="AA15" s="20">
        <f>IFERROR(AA14*변수!AA25,"")</f>
        <v/>
      </c>
      <c r="AB15" s="38">
        <f>SUM(X15:AA15)</f>
        <v/>
      </c>
      <c r="AC15" s="20">
        <f>IFERROR(AC14*변수!AC25,"")</f>
        <v/>
      </c>
      <c r="AD15" s="20">
        <f>IFERROR(AD14*변수!AD25,"")</f>
        <v/>
      </c>
      <c r="AE15" s="20">
        <f>IFERROR(AE14*변수!AE25,"")</f>
        <v/>
      </c>
      <c r="AF15" s="20">
        <f>IFERROR(AF14*변수!AF25,"")</f>
        <v/>
      </c>
      <c r="AG15" s="38">
        <f>SUM(AC15:AF15)</f>
        <v/>
      </c>
      <c r="AH15" s="20">
        <f>IFERROR(AH14*변수!AH25,"")</f>
        <v/>
      </c>
      <c r="AI15" s="20">
        <f>IFERROR(AI14*변수!AI25,"")</f>
        <v/>
      </c>
      <c r="AJ15" s="20">
        <f>IFERROR(AJ14*변수!AJ25,"")</f>
        <v/>
      </c>
      <c r="AK15" s="20">
        <f>IFERROR(AK14*변수!AK25,"")</f>
        <v/>
      </c>
      <c r="AL15" s="38">
        <f>SUM(AH15:AK15)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IFERROR(VLOOKUP($D16,BS별도,MATCH(E$1,BS별도H,0),0)/100,"")</f>
        <v/>
      </c>
      <c r="F16" s="18">
        <f>IFERROR(VLOOKUP($D16,BS별도,MATCH(F$1,BS별도H,0),0)/100,"")</f>
        <v/>
      </c>
      <c r="G16" s="18">
        <f>IFERROR(VLOOKUP($D16,BS별도,MATCH(G$1,BS별도H,0),0)/100,"")</f>
        <v/>
      </c>
      <c r="H16" s="37" t="n"/>
      <c r="I16" s="18">
        <f>IFERROR(VLOOKUP($D16,BS별도,MATCH(I$1,BS별도H,0),0)/100,"")</f>
        <v/>
      </c>
      <c r="J16" s="18">
        <f>IFERROR(VLOOKUP($D16,BS별도,MATCH(J$1,BS별도H,0),0)/100,"")</f>
        <v/>
      </c>
      <c r="K16" s="18">
        <f>IFERROR(VLOOKUP($D16,BS별도,MATCH(K$1,BS별도H,0),0)/100,"")</f>
        <v/>
      </c>
      <c r="L16" s="18">
        <f>IFERROR(VLOOKUP($D16,BS연결,MATCH(L$1,BS연결H,0),0)/100,"")</f>
        <v/>
      </c>
      <c r="M16" s="37">
        <f>SUM(I16:L16)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18">
        <f>IFERROR(VLOOKUP($D16,BS연결,MATCH(P$1,BS연결H,0),0)/100,"")</f>
        <v/>
      </c>
      <c r="Q16" s="18">
        <f>IFERROR(VLOOKUP($D16,BS연결,MATCH(Q$1,BS연결H,0),0)/100,"")</f>
        <v/>
      </c>
      <c r="R16" s="37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18">
        <f>IFERROR(VLOOKUP($D16,BS연결,MATCH(U$1,BS연결H,0),0)/100,"")</f>
        <v/>
      </c>
      <c r="V16" s="18">
        <f>IFERROR(VLOOKUP($D16,BS연결,MATCH(V$1,BS연결H,0),0)/100,"")</f>
        <v/>
      </c>
      <c r="W16" s="37">
        <f>IFERROR(VLOOKUP($D16,BS연결,MATCH(W$1,BS연결H,0),0)/100,"")</f>
        <v/>
      </c>
      <c r="X16" s="18">
        <f>IFERROR(VLOOKUP($D16,BS연결,MATCH(X$1,BS연결H,0),0)/100,"")</f>
        <v/>
      </c>
      <c r="Y16" s="19">
        <f>IFERROR(VLOOKUP($D16,BS연결,MATCH(Y$1,BS연결H,0),0)/100,"")</f>
        <v/>
      </c>
      <c r="Z16" s="20">
        <f>IFERROR(Z14-Z15,"")</f>
        <v/>
      </c>
      <c r="AA16" s="20">
        <f>IFERROR(AA14-AA15,"")</f>
        <v/>
      </c>
      <c r="AB16" s="38">
        <f>SUM(X16:AA16)</f>
        <v/>
      </c>
      <c r="AC16" s="20">
        <f>IFERROR(AC14-AC15,"")</f>
        <v/>
      </c>
      <c r="AD16" s="20">
        <f>IFERROR(AD14-AD15,"")</f>
        <v/>
      </c>
      <c r="AE16" s="20">
        <f>IFERROR(AE14-AE15,"")</f>
        <v/>
      </c>
      <c r="AF16" s="20">
        <f>IFERROR(AF14-AF15,"")</f>
        <v/>
      </c>
      <c r="AG16" s="38">
        <f>SUM(AC16:AF16)</f>
        <v/>
      </c>
      <c r="AH16" s="20">
        <f>IFERROR(AH14-AH15,"")</f>
        <v/>
      </c>
      <c r="AI16" s="20">
        <f>IFERROR(AI14-AI15,"")</f>
        <v/>
      </c>
      <c r="AJ16" s="20">
        <f>IFERROR(AJ14-AJ15,"")</f>
        <v/>
      </c>
      <c r="AK16" s="20">
        <f>IFERROR(AK14-AK15,"")</f>
        <v/>
      </c>
      <c r="AL16" s="38">
        <f>SUM(AH16:AK16)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IFERROR(VLOOKUP($D17,BS별도,MATCH(E$1,BS별도H,0),0)/100,"")</f>
        <v/>
      </c>
      <c r="F17" s="18">
        <f>IFERROR(VLOOKUP($D17,BS별도,MATCH(F$1,BS별도H,0),0)/100,"")</f>
        <v/>
      </c>
      <c r="G17" s="18">
        <f>IFERROR(VLOOKUP($D17,BS별도,MATCH(G$1,BS별도H,0),0)/100,"")</f>
        <v/>
      </c>
      <c r="H17" s="37" t="n"/>
      <c r="I17" s="18">
        <f>IFERROR(VLOOKUP($D17,BS별도,MATCH(I$1,BS별도H,0),0)/100,"")</f>
        <v/>
      </c>
      <c r="J17" s="18">
        <f>IFERROR(VLOOKUP($D17,BS별도,MATCH(J$1,BS별도H,0),0)/100,"")</f>
        <v/>
      </c>
      <c r="K17" s="18">
        <f>IFERROR(VLOOKUP($D17,BS별도,MATCH(K$1,BS별도H,0),0)/100,"")</f>
        <v/>
      </c>
      <c r="L17" s="18">
        <f>IFERROR(VLOOKUP($D17,BS연결,MATCH(L$1,BS연결H,0),0)/100,"")</f>
        <v/>
      </c>
      <c r="M17" s="37">
        <f>SUM(I17:L17)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18">
        <f>IFERROR(VLOOKUP($D17,BS연결,MATCH(P$1,BS연결H,0),0)/100,"")</f>
        <v/>
      </c>
      <c r="Q17" s="18">
        <f>IFERROR(VLOOKUP($D17,BS연결,MATCH(Q$1,BS연결H,0),0)/100,"")</f>
        <v/>
      </c>
      <c r="R17" s="37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18">
        <f>IFERROR(VLOOKUP($D17,BS연결,MATCH(U$1,BS연결H,0),0)/100,"")</f>
        <v/>
      </c>
      <c r="V17" s="18">
        <f>IFERROR(VLOOKUP($D17,BS연결,MATCH(V$1,BS연결H,0),0)/100,"")</f>
        <v/>
      </c>
      <c r="W17" s="37">
        <f>IFERROR(VLOOKUP($D17,BS연결,MATCH(W$1,BS연결H,0),0)/100,"")</f>
        <v/>
      </c>
      <c r="X17" s="18">
        <f>IFERROR(VLOOKUP($D17,BS연결,MATCH(X$1,BS연결H,0),0)/100,"")</f>
        <v/>
      </c>
      <c r="Y17" s="19">
        <f>IFERROR(VLOOKUP($D17,BS연결,MATCH(Y$1,BS연결H,0),0)/100,"")</f>
        <v/>
      </c>
      <c r="Z17" s="20">
        <f>IFERROR(Z16*변수!Z26,"")</f>
        <v/>
      </c>
      <c r="AA17" s="20">
        <f>IFERROR(AA16*변수!AA26,"")</f>
        <v/>
      </c>
      <c r="AB17" s="38">
        <f>SUM(X17:AA17)</f>
        <v/>
      </c>
      <c r="AC17" s="20">
        <f>IFERROR(AC16*변수!AC26,"")</f>
        <v/>
      </c>
      <c r="AD17" s="20">
        <f>IFERROR(AD16*변수!AD26,"")</f>
        <v/>
      </c>
      <c r="AE17" s="20">
        <f>IFERROR(AE16*변수!AE26,"")</f>
        <v/>
      </c>
      <c r="AF17" s="20">
        <f>IFERROR(AF16*변수!AF26,"")</f>
        <v/>
      </c>
      <c r="AG17" s="38">
        <f>SUM(AC17:AF17)</f>
        <v/>
      </c>
      <c r="AH17" s="20">
        <f>IFERROR(AH16*변수!AH26,"")</f>
        <v/>
      </c>
      <c r="AI17" s="20">
        <f>IFERROR(AI16*변수!AI26,"")</f>
        <v/>
      </c>
      <c r="AJ17" s="20">
        <f>IFERROR(AJ16*변수!AJ26,"")</f>
        <v/>
      </c>
      <c r="AK17" s="20">
        <f>IFERROR(AK16*변수!AK26,"")</f>
        <v/>
      </c>
      <c r="AL17" s="38">
        <f>SUM(AH17:AK17)</f>
        <v/>
      </c>
    </row>
    <row r="18">
      <c r="A18" s="12" t="inlineStr">
        <is>
          <t>감가상각비</t>
        </is>
      </c>
      <c r="B18" t="inlineStr">
        <is>
          <t>손익</t>
        </is>
      </c>
      <c r="C18" t="inlineStr">
        <is>
          <t>억원</t>
        </is>
      </c>
      <c r="D18" t="inlineStr">
        <is>
          <t>감가상각비</t>
        </is>
      </c>
      <c r="E18" s="18">
        <f>IFERROR(VLOOKUP($D18,BS별도,MATCH(E$1,BS별도H,0),0)/100,"")</f>
        <v/>
      </c>
      <c r="F18" s="18">
        <f>IFERROR(VLOOKUP($D18,BS별도,MATCH(F$1,BS별도H,0),0)/100,"")</f>
        <v/>
      </c>
      <c r="G18" s="18">
        <f>IFERROR(VLOOKUP($D18,BS별도,MATCH(G$1,BS별도H,0),0)/100,"")</f>
        <v/>
      </c>
      <c r="H18" s="37" t="n"/>
      <c r="I18" s="18">
        <f>IFERROR(VLOOKUP($D18,BS별도,MATCH(I$1,BS별도H,0),0)/100,"")</f>
        <v/>
      </c>
      <c r="J18" s="18">
        <f>IFERROR(VLOOKUP($D18,BS별도,MATCH(J$1,BS별도H,0),0)/100,"")</f>
        <v/>
      </c>
      <c r="K18" s="18">
        <f>IFERROR(VLOOKUP($D18,BS별도,MATCH(K$1,BS별도H,0),0)/100,"")</f>
        <v/>
      </c>
      <c r="L18" s="18">
        <f>IFERROR(VLOOKUP($D18,BS연결,MATCH(L$1,BS연결H,0),0)/100,"")</f>
        <v/>
      </c>
      <c r="M18" s="37">
        <f>SUM(I18:L18)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18">
        <f>IFERROR(VLOOKUP($D18,BS연결,MATCH(P$1,BS연결H,0),0)/100,"")</f>
        <v/>
      </c>
      <c r="Q18" s="18">
        <f>IFERROR(VLOOKUP($D18,BS연결,MATCH(Q$1,BS연결H,0),0)/100,"")</f>
        <v/>
      </c>
      <c r="R18" s="37">
        <f>SUM(N18:Q18)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18">
        <f>IFERROR(VLOOKUP($D18,BS연결,MATCH(U$1,BS연결H,0),0)/100,"")</f>
        <v/>
      </c>
      <c r="V18" s="18">
        <f>IFERROR(VLOOKUP($D18,BS연결,MATCH(V$1,BS연결H,0),0)/100,"")</f>
        <v/>
      </c>
      <c r="W18" s="37">
        <f>IFERROR(VLOOKUP($D18,BS연결,MATCH(W$1,BS연결H,0),0)/100,"")</f>
        <v/>
      </c>
      <c r="X18" s="18">
        <f>IFERROR(VLOOKUP($D18,BS연결,MATCH(X$1,BS연결H,0),0)/100,"")</f>
        <v/>
      </c>
      <c r="Y18" s="19">
        <f>IFERROR(VLOOKUP($D18,BS연결,MATCH(Y$1,BS연결H,0),0)/100,"")</f>
        <v/>
      </c>
      <c r="Z18" s="20">
        <f>변수!Z27</f>
        <v/>
      </c>
      <c r="AA18" s="20">
        <f>변수!AA27</f>
        <v/>
      </c>
      <c r="AB18" s="38">
        <f>SUM(X18:AA18)</f>
        <v/>
      </c>
      <c r="AC18" s="20">
        <f>변수!AC27</f>
        <v/>
      </c>
      <c r="AD18" s="20">
        <f>변수!AD27</f>
        <v/>
      </c>
      <c r="AE18" s="20">
        <f>변수!AE27</f>
        <v/>
      </c>
      <c r="AF18" s="20">
        <f>변수!AF27</f>
        <v/>
      </c>
      <c r="AG18" s="38">
        <f>SUM(AC18:AF18)</f>
        <v/>
      </c>
      <c r="AH18" s="20">
        <f>변수!AH27</f>
        <v/>
      </c>
      <c r="AI18" s="20">
        <f>변수!AI27</f>
        <v/>
      </c>
      <c r="AJ18" s="20">
        <f>변수!AJ27</f>
        <v/>
      </c>
      <c r="AK18" s="20">
        <f>변수!AK27</f>
        <v/>
      </c>
      <c r="AL18" s="38">
        <f>SUM(AH18:AK18)</f>
        <v/>
      </c>
    </row>
    <row r="19">
      <c r="A19" s="12" t="inlineStr">
        <is>
          <t>EBITDA</t>
        </is>
      </c>
      <c r="B19" t="inlineStr">
        <is>
          <t>손익</t>
        </is>
      </c>
      <c r="C19" t="inlineStr">
        <is>
          <t>억원</t>
        </is>
      </c>
      <c r="D19" t="inlineStr">
        <is>
          <t>EBITDA</t>
        </is>
      </c>
      <c r="E19" s="18" t="n">
        <v>11.45</v>
      </c>
      <c r="F19" s="18" t="n">
        <v>12.31</v>
      </c>
      <c r="G19" s="18" t="n">
        <v>-15.19</v>
      </c>
      <c r="H19" s="37" t="n"/>
      <c r="I19" s="18" t="n">
        <v>3.84</v>
      </c>
      <c r="J19" s="18" t="n">
        <v>-10.36</v>
      </c>
      <c r="K19" s="18" t="n">
        <v>-15.81</v>
      </c>
      <c r="L19" s="18" t="n">
        <v>-17.06</v>
      </c>
      <c r="M19" s="37">
        <f>SUM(I19:L19)</f>
        <v/>
      </c>
      <c r="N19" s="18" t="n">
        <v>-2.3</v>
      </c>
      <c r="O19" s="18" t="n">
        <v>20.97</v>
      </c>
      <c r="P19" s="18" t="n">
        <v>17.83</v>
      </c>
      <c r="Q19" s="18" t="n">
        <v>4.95</v>
      </c>
      <c r="R19" s="37">
        <f>SUM(N19:Q19)</f>
        <v/>
      </c>
      <c r="S19" s="18" t="n">
        <v>11.22</v>
      </c>
      <c r="T19" s="18" t="n">
        <v>6.16</v>
      </c>
      <c r="U19" s="18" t="n">
        <v>13.23</v>
      </c>
      <c r="V19" s="18" t="n">
        <v>-3.05</v>
      </c>
      <c r="W19" s="37">
        <f>SUM(S19:V19)</f>
        <v/>
      </c>
      <c r="X19" s="18" t="n">
        <v>-16.29</v>
      </c>
      <c r="Y19" s="19" t="n">
        <v>-26.96</v>
      </c>
      <c r="Z19" s="20">
        <f>IFERROR(Z9+Z18,"")</f>
        <v/>
      </c>
      <c r="AA19" s="20">
        <f>IFERROR(AA9+AA18,"")</f>
        <v/>
      </c>
      <c r="AB19" s="38">
        <f>SUM(X19:AA19)</f>
        <v/>
      </c>
      <c r="AC19" s="20">
        <f>IFERROR(AC9+AC18,"")</f>
        <v/>
      </c>
      <c r="AD19" s="20">
        <f>IFERROR(AD9+AD18,"")</f>
        <v/>
      </c>
      <c r="AE19" s="20">
        <f>IFERROR(AE9+AE18,"")</f>
        <v/>
      </c>
      <c r="AF19" s="20">
        <f>IFERROR(AF9+AF18,"")</f>
        <v/>
      </c>
      <c r="AG19" s="38">
        <f>SUM(AC19:AF19)</f>
        <v/>
      </c>
      <c r="AH19" s="20">
        <f>IFERROR(AH9+AH18,"")</f>
        <v/>
      </c>
      <c r="AI19" s="20">
        <f>IFERROR(AI9+AI18,"")</f>
        <v/>
      </c>
      <c r="AJ19" s="20">
        <f>IFERROR(AJ9+AJ18,"")</f>
        <v/>
      </c>
      <c r="AK19" s="20">
        <f>IFERROR(AK9+AK18,"")</f>
        <v/>
      </c>
      <c r="AL19" s="38">
        <f>SUM(AH19:AK19)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IFERROR(VLOOKUP($D20,BS별도,MATCH(E$1,BS별도H,0),0)/100,"")</f>
        <v/>
      </c>
      <c r="F20" s="18">
        <f>IFERROR(VLOOKUP($D20,BS별도,MATCH(F$1,BS별도H,0),0)/100,"")</f>
        <v/>
      </c>
      <c r="G20" s="18">
        <f>IFERROR(VLOOKUP($D20,BS별도,MATCH(G$1,BS별도H,0),0)/100,"")</f>
        <v/>
      </c>
      <c r="H20" s="37" t="n">
        <v>1297.02</v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18">
        <f>IFERROR(VLOOKUP($D20,BS별도,MATCH(K$1,BS별도H,0),0)/100,"")</f>
        <v/>
      </c>
      <c r="L20" s="18">
        <f>IFERROR(VLOOKUP($D20,BS연결,MATCH(L$1,BS연결H,0),0)/100,"")</f>
        <v/>
      </c>
      <c r="M20" s="37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18">
        <f>IFERROR(VLOOKUP($D20,BS연결,MATCH(P$1,BS연결H,0),0)/100,"")</f>
        <v/>
      </c>
      <c r="Q20" s="18">
        <f>IFERROR(VLOOKUP($D20,BS연결,MATCH(Q$1,BS연결H,0),0)/100,"")</f>
        <v/>
      </c>
      <c r="R20" s="37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18">
        <f>IFERROR(VLOOKUP($D20,BS연결,MATCH(U$1,BS연결H,0),0)/100,"")</f>
        <v/>
      </c>
      <c r="V20" s="18">
        <f>IFERROR(VLOOKUP($D20,BS연결,MATCH(V$1,BS연결H,0),0)/100,"")</f>
        <v/>
      </c>
      <c r="W20" s="37">
        <f>IFERROR(VLOOKUP($D20,BS연결,MATCH(W$1,BS연결H,0),0)/100,"")</f>
        <v/>
      </c>
      <c r="X20" s="18">
        <f>IFERROR(VLOOKUP($D20,BS연결,MATCH(X$1,BS연결H,0),0)/100,"")</f>
        <v/>
      </c>
      <c r="Y20" s="19">
        <f>IFERROR(VLOOKUP($D20,BS연결,MATCH(Y$1,BS연결H,0),0)/100,"")</f>
        <v/>
      </c>
      <c r="Z20" s="20">
        <f>IFERROR(Z21+Z22,"")</f>
        <v/>
      </c>
      <c r="AA20" s="20">
        <f>IFERROR(AA21+AA22,"")</f>
        <v/>
      </c>
      <c r="AB20" s="38">
        <f>AA20</f>
        <v/>
      </c>
      <c r="AC20" s="20">
        <f>IFERROR(AC21+AC22,"")</f>
        <v/>
      </c>
      <c r="AD20" s="20">
        <f>IFERROR(AD21+AD22,"")</f>
        <v/>
      </c>
      <c r="AE20" s="20">
        <f>IFERROR(AE21+AE22,"")</f>
        <v/>
      </c>
      <c r="AF20" s="20">
        <f>IFERROR(AF21+AF22,"")</f>
        <v/>
      </c>
      <c r="AG20" s="38">
        <f>AF20</f>
        <v/>
      </c>
      <c r="AH20" s="20">
        <f>IFERROR(AH21+AH22,"")</f>
        <v/>
      </c>
      <c r="AI20" s="20">
        <f>IFERROR(AI21+AI22,"")</f>
        <v/>
      </c>
      <c r="AJ20" s="20">
        <f>IFERROR(AJ21+AJ22,"")</f>
        <v/>
      </c>
      <c r="AK20" s="20">
        <f>IFERROR(AK21+AK22,"")</f>
        <v/>
      </c>
      <c r="AL20" s="38">
        <f>AK20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IFERROR(VLOOKUP($D21,BS별도,MATCH(E$1,BS별도H,0),0)/100,"")</f>
        <v/>
      </c>
      <c r="F21" s="18">
        <f>IFERROR(VLOOKUP($D21,BS별도,MATCH(F$1,BS별도H,0),0)/100,"")</f>
        <v/>
      </c>
      <c r="G21" s="18">
        <f>IFERROR(VLOOKUP($D21,BS별도,MATCH(G$1,BS별도H,0),0)/100,"")</f>
        <v/>
      </c>
      <c r="H21" s="37" t="n">
        <v>232.93</v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18">
        <f>IFERROR(VLOOKUP($D21,BS별도,MATCH(K$1,BS별도H,0),0)/100,"")</f>
        <v/>
      </c>
      <c r="L21" s="18">
        <f>IFERROR(VLOOKUP($D21,BS연결,MATCH(L$1,BS연결H,0),0)/100,"")</f>
        <v/>
      </c>
      <c r="M21" s="37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18">
        <f>IFERROR(VLOOKUP($D21,BS연결,MATCH(P$1,BS연결H,0),0)/100,"")</f>
        <v/>
      </c>
      <c r="Q21" s="18">
        <f>IFERROR(VLOOKUP($D21,BS연결,MATCH(Q$1,BS연결H,0),0)/100,"")</f>
        <v/>
      </c>
      <c r="R21" s="37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18">
        <f>IFERROR(VLOOKUP($D21,BS연결,MATCH(U$1,BS연결H,0),0)/100,"")</f>
        <v/>
      </c>
      <c r="V21" s="18">
        <f>IFERROR(VLOOKUP($D21,BS연결,MATCH(V$1,BS연결H,0),0)/100,"")</f>
        <v/>
      </c>
      <c r="W21" s="37">
        <f>IFERROR(VLOOKUP($D21,BS연결,MATCH(W$1,BS연결H,0),0)/100,"")</f>
        <v/>
      </c>
      <c r="X21" s="18">
        <f>IFERROR(VLOOKUP($D21,BS연결,MATCH(X$1,BS연결H,0),0)/100,"")</f>
        <v/>
      </c>
      <c r="Y21" s="19">
        <f>IFERROR(VLOOKUP($D21,BS연결,MATCH(Y$1,BS연결H,0),0)/100,"")</f>
        <v/>
      </c>
      <c r="Z21" s="20">
        <f>IFERROR(Y21*(1+변수!Z28),"")</f>
        <v/>
      </c>
      <c r="AA21" s="20">
        <f>IFERROR(Z21*(1+변수!AA28),"")</f>
        <v/>
      </c>
      <c r="AB21" s="38">
        <f>AA21</f>
        <v/>
      </c>
      <c r="AC21" s="20">
        <f>IFERROR(AA21*(1+변수!AC28),"")</f>
        <v/>
      </c>
      <c r="AD21" s="20">
        <f>IFERROR(AC21*(1+변수!AD28),"")</f>
        <v/>
      </c>
      <c r="AE21" s="20">
        <f>IFERROR(AD21*(1+변수!AE28),"")</f>
        <v/>
      </c>
      <c r="AF21" s="20">
        <f>IFERROR(AE21*(1+변수!AF28),"")</f>
        <v/>
      </c>
      <c r="AG21" s="38">
        <f>AF21</f>
        <v/>
      </c>
      <c r="AH21" s="20">
        <f>IFERROR(AF21*(1+변수!AH28),"")</f>
        <v/>
      </c>
      <c r="AI21" s="20">
        <f>IFERROR(AH21*(1+변수!AI28),"")</f>
        <v/>
      </c>
      <c r="AJ21" s="20">
        <f>IFERROR(AI21*(1+변수!AJ28),"")</f>
        <v/>
      </c>
      <c r="AK21" s="20">
        <f>IFERROR(AJ21*(1+변수!AK28),"")</f>
        <v/>
      </c>
      <c r="AL21" s="38">
        <f>AK21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IFERROR(VLOOKUP($D22,BS별도,MATCH(E$1,BS별도H,0),0)/100,"")</f>
        <v/>
      </c>
      <c r="F22" s="18">
        <f>IFERROR(VLOOKUP($D22,BS별도,MATCH(F$1,BS별도H,0),0)/100,"")</f>
        <v/>
      </c>
      <c r="G22" s="18">
        <f>IFERROR(VLOOKUP($D22,BS별도,MATCH(G$1,BS별도H,0),0)/100,"")</f>
        <v/>
      </c>
      <c r="H22" s="37" t="n">
        <v>1064.09</v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18">
        <f>IFERROR(VLOOKUP($D22,BS별도,MATCH(K$1,BS별도H,0),0)/100,"")</f>
        <v/>
      </c>
      <c r="L22" s="18">
        <f>IFERROR(VLOOKUP($D22,BS연결,MATCH(L$1,BS연결H,0),0)/100,"")</f>
        <v/>
      </c>
      <c r="M22" s="37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18">
        <f>IFERROR(VLOOKUP($D22,BS연결,MATCH(P$1,BS연결H,0),0)/100,"")</f>
        <v/>
      </c>
      <c r="Q22" s="18">
        <f>IFERROR(VLOOKUP($D22,BS연결,MATCH(Q$1,BS연결H,0),0)/100,"")</f>
        <v/>
      </c>
      <c r="R22" s="37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18">
        <f>IFERROR(VLOOKUP($D22,BS연결,MATCH(U$1,BS연결H,0),0)/100,"")</f>
        <v/>
      </c>
      <c r="V22" s="18">
        <f>IFERROR(VLOOKUP($D22,BS연결,MATCH(V$1,BS연결H,0),0)/100,"")</f>
        <v/>
      </c>
      <c r="W22" s="37">
        <f>IFERROR(VLOOKUP($D22,BS연결,MATCH(W$1,BS연결H,0),0)/100,"")</f>
        <v/>
      </c>
      <c r="X22" s="18">
        <f>IFERROR(VLOOKUP($D22,BS연결,MATCH(X$1,BS연결H,0),0)/100,"")</f>
        <v/>
      </c>
      <c r="Y22" s="19">
        <f>IFERROR(VLOOKUP($D22,BS연결,MATCH(Y$1,BS연결H,0),0)/100,"")</f>
        <v/>
      </c>
      <c r="Z22" s="20">
        <f>IFERROR(Y22+Z16-변수!Z29,"")</f>
        <v/>
      </c>
      <c r="AA22" s="20">
        <f>IFERROR(Z22+AA16-변수!AA29,"")</f>
        <v/>
      </c>
      <c r="AB22" s="38">
        <f>AA22</f>
        <v/>
      </c>
      <c r="AC22" s="20">
        <f>IFERROR(AA22+AC16-변수!AC29,"")</f>
        <v/>
      </c>
      <c r="AD22" s="20">
        <f>IFERROR(AC22+AD16-변수!AD29,"")</f>
        <v/>
      </c>
      <c r="AE22" s="20">
        <f>IFERROR(AD22+AE16-변수!AE29,"")</f>
        <v/>
      </c>
      <c r="AF22" s="20">
        <f>IFERROR(AE22+AF16-변수!AF29,"")</f>
        <v/>
      </c>
      <c r="AG22" s="38">
        <f>AF22</f>
        <v/>
      </c>
      <c r="AH22" s="20">
        <f>IFERROR(AF22+AH16-변수!AH29,"")</f>
        <v/>
      </c>
      <c r="AI22" s="20">
        <f>IFERROR(AH22+AI16-변수!AI29,"")</f>
        <v/>
      </c>
      <c r="AJ22" s="20">
        <f>IFERROR(AI22+AJ16-변수!AJ29,"")</f>
        <v/>
      </c>
      <c r="AK22" s="20">
        <f>IFERROR(AJ22+AK16-변수!AK29,"")</f>
        <v/>
      </c>
      <c r="AL22" s="38">
        <f>AK22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IFERROR(VLOOKUP($D23,BS별도,MATCH(E$1,BS별도H,0),0)/100,"")</f>
        <v/>
      </c>
      <c r="F23" s="18">
        <f>IFERROR(VLOOKUP($D23,BS별도,MATCH(F$1,BS별도H,0),0)/100,"")</f>
        <v/>
      </c>
      <c r="G23" s="18">
        <f>IFERROR(VLOOKUP($D23,BS별도,MATCH(G$1,BS별도H,0),0)/100,"")</f>
        <v/>
      </c>
      <c r="H23" s="37" t="n">
        <v>1064.09</v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18">
        <f>IFERROR(VLOOKUP($D23,BS별도,MATCH(K$1,BS별도H,0),0)/100,"")</f>
        <v/>
      </c>
      <c r="L23" s="18">
        <f>IFERROR(VLOOKUP($D23,BS연결,MATCH(L$1,BS연결H,0),0)/100,"")</f>
        <v/>
      </c>
      <c r="M23" s="37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18">
        <f>IFERROR(VLOOKUP($D23,BS연결,MATCH(P$1,BS연결H,0),0)/100,"")</f>
        <v/>
      </c>
      <c r="Q23" s="18">
        <f>IFERROR(VLOOKUP($D23,BS연결,MATCH(Q$1,BS연결H,0),0)/100,"")</f>
        <v/>
      </c>
      <c r="R23" s="37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18">
        <f>IFERROR(VLOOKUP($D23,BS연결,MATCH(U$1,BS연결H,0),0)/100,"")</f>
        <v/>
      </c>
      <c r="V23" s="18">
        <f>IFERROR(VLOOKUP($D23,BS연결,MATCH(V$1,BS연결H,0),0)/100,"")</f>
        <v/>
      </c>
      <c r="W23" s="37">
        <f>IFERROR(VLOOKUP($D23,BS연결,MATCH(W$1,BS연결H,0),0)/100,"")</f>
        <v/>
      </c>
      <c r="X23" s="18">
        <f>IFERROR(VLOOKUP($D23,BS연결,MATCH(X$1,BS연결H,0),0)/100,"")</f>
        <v/>
      </c>
      <c r="Y23" s="19">
        <f>IFERROR(VLOOKUP($D23,BS연결,MATCH(Y$1,BS연결H,0),0)/100,"")</f>
        <v/>
      </c>
      <c r="Z23" s="20">
        <f>IFERROR(Y23+Z17-변수!Z30,"")</f>
        <v/>
      </c>
      <c r="AA23" s="20">
        <f>IFERROR(Z23+AA17-변수!AA30,"")</f>
        <v/>
      </c>
      <c r="AB23" s="38">
        <f>AA23</f>
        <v/>
      </c>
      <c r="AC23" s="20">
        <f>IFERROR(AA23+AC17-변수!AC30,"")</f>
        <v/>
      </c>
      <c r="AD23" s="20">
        <f>IFERROR(AC23+AD17-변수!AD30,"")</f>
        <v/>
      </c>
      <c r="AE23" s="20">
        <f>IFERROR(AD23+AE17-변수!AE30,"")</f>
        <v/>
      </c>
      <c r="AF23" s="20">
        <f>IFERROR(AE23+AF17-변수!AF30,"")</f>
        <v/>
      </c>
      <c r="AG23" s="38">
        <f>AF23</f>
        <v/>
      </c>
      <c r="AH23" s="20">
        <f>IFERROR(AF23+AH17-변수!AH30,"")</f>
        <v/>
      </c>
      <c r="AI23" s="20">
        <f>IFERROR(AH23+AI17-변수!AI30,"")</f>
        <v/>
      </c>
      <c r="AJ23" s="20">
        <f>IFERROR(AI23+AJ17-변수!AJ30,"")</f>
        <v/>
      </c>
      <c r="AK23" s="20">
        <f>IFERROR(AJ23+AK17-변수!AK30,"")</f>
        <v/>
      </c>
      <c r="AL23" s="38">
        <f>AK23</f>
        <v/>
      </c>
    </row>
    <row r="24">
      <c r="A24" s="12" t="inlineStr">
        <is>
          <t>총차입금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총차입금</t>
        </is>
      </c>
      <c r="E24" s="18">
        <f>IFERROR(VLOOKUP($D24,BS별도,MATCH(E$1,BS별도H,0),0)/100,"")</f>
        <v/>
      </c>
      <c r="F24" s="18">
        <f>IFERROR(VLOOKUP($D24,BS별도,MATCH(F$1,BS별도H,0),0)/100,"")</f>
        <v/>
      </c>
      <c r="G24" s="18">
        <f>IFERROR(VLOOKUP($D24,BS별도,MATCH(G$1,BS별도H,0),0)/100,"")</f>
        <v/>
      </c>
      <c r="H24" s="37" t="n">
        <v>52</v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18">
        <f>IFERROR(VLOOKUP($D24,BS별도,MATCH(K$1,BS별도H,0),0)/100,"")</f>
        <v/>
      </c>
      <c r="L24" s="18">
        <f>IFERROR(VLOOKUP($D24,BS연결,MATCH(L$1,BS연결H,0),0)/100,"")</f>
        <v/>
      </c>
      <c r="M24" s="37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18">
        <f>IFERROR(VLOOKUP($D24,BS연결,MATCH(P$1,BS연결H,0),0)/100,"")</f>
        <v/>
      </c>
      <c r="Q24" s="18">
        <f>IFERROR(VLOOKUP($D24,BS연결,MATCH(Q$1,BS연결H,0),0)/100,"")</f>
        <v/>
      </c>
      <c r="R24" s="37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18">
        <f>IFERROR(VLOOKUP($D24,BS연결,MATCH(U$1,BS연결H,0),0)/100,"")</f>
        <v/>
      </c>
      <c r="V24" s="18">
        <f>IFERROR(VLOOKUP($D24,BS연결,MATCH(V$1,BS연결H,0),0)/100,"")</f>
        <v/>
      </c>
      <c r="W24" s="37">
        <f>IFERROR(VLOOKUP($D24,BS연결,MATCH(W$1,BS연결H,0),0)/100,"")</f>
        <v/>
      </c>
      <c r="X24" s="18">
        <f>IFERROR(VLOOKUP($D24,BS연결,MATCH(X$1,BS연결H,0),0)/100,"")</f>
        <v/>
      </c>
      <c r="Y24" s="19">
        <f>IFERROR(VLOOKUP($D24,BS연결,MATCH(Y$1,BS연결H,0),0)/100,"")</f>
        <v/>
      </c>
      <c r="Z24" s="20">
        <f>IFERROR(Y24*(1+변수!Z31),"")</f>
        <v/>
      </c>
      <c r="AA24" s="20">
        <f>IFERROR(Z24*(1+변수!AA31),"")</f>
        <v/>
      </c>
      <c r="AB24" s="38">
        <f>AA24</f>
        <v/>
      </c>
      <c r="AC24" s="20">
        <f>IFERROR(AA24*(1+변수!AC31),"")</f>
        <v/>
      </c>
      <c r="AD24" s="20">
        <f>IFERROR(AC24*(1+변수!AD31),"")</f>
        <v/>
      </c>
      <c r="AE24" s="20">
        <f>IFERROR(AD24*(1+변수!AE31),"")</f>
        <v/>
      </c>
      <c r="AF24" s="20">
        <f>IFERROR(AE24*(1+변수!AF31),"")</f>
        <v/>
      </c>
      <c r="AG24" s="38">
        <f>AF24</f>
        <v/>
      </c>
      <c r="AH24" s="20">
        <f>IFERROR(AF24*(1+변수!AH31),"")</f>
        <v/>
      </c>
      <c r="AI24" s="20">
        <f>IFERROR(AH24*(1+변수!AI31),"")</f>
        <v/>
      </c>
      <c r="AJ24" s="20">
        <f>IFERROR(AI24*(1+변수!AJ31),"")</f>
        <v/>
      </c>
      <c r="AK24" s="20">
        <f>IFERROR(AJ24*(1+변수!AK31),"")</f>
        <v/>
      </c>
      <c r="AL24" s="38">
        <f>AK24</f>
        <v/>
      </c>
    </row>
    <row r="25">
      <c r="A25" s="12" t="inlineStr">
        <is>
          <t>순차입금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순차입금</t>
        </is>
      </c>
      <c r="E25" s="18">
        <f>IFERROR(VLOOKUP($D25,BS별도,MATCH(E$1,BS별도H,0),0)/100,"")</f>
        <v/>
      </c>
      <c r="F25" s="18">
        <f>IFERROR(VLOOKUP($D25,BS별도,MATCH(F$1,BS별도H,0),0)/100,"")</f>
        <v/>
      </c>
      <c r="G25" s="18">
        <f>IFERROR(VLOOKUP($D25,BS별도,MATCH(G$1,BS별도H,0),0)/100,"")</f>
        <v/>
      </c>
      <c r="H25" s="37" t="n">
        <v>-713.58</v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18">
        <f>IFERROR(VLOOKUP($D25,BS별도,MATCH(K$1,BS별도H,0),0)/100,"")</f>
        <v/>
      </c>
      <c r="L25" s="18">
        <f>IFERROR(VLOOKUP($D25,BS연결,MATCH(L$1,BS연결H,0),0)/100,"")</f>
        <v/>
      </c>
      <c r="M25" s="37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18">
        <f>IFERROR(VLOOKUP($D25,BS연결,MATCH(P$1,BS연결H,0),0)/100,"")</f>
        <v/>
      </c>
      <c r="Q25" s="18">
        <f>IFERROR(VLOOKUP($D25,BS연결,MATCH(Q$1,BS연결H,0),0)/100,"")</f>
        <v/>
      </c>
      <c r="R25" s="37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18">
        <f>IFERROR(VLOOKUP($D25,BS연결,MATCH(U$1,BS연결H,0),0)/100,"")</f>
        <v/>
      </c>
      <c r="V25" s="18">
        <f>IFERROR(VLOOKUP($D25,BS연결,MATCH(V$1,BS연결H,0),0)/100,"")</f>
        <v/>
      </c>
      <c r="W25" s="37">
        <f>IFERROR(VLOOKUP($D25,BS연결,MATCH(W$1,BS연결H,0),0)/100,"")</f>
        <v/>
      </c>
      <c r="X25" s="18">
        <f>IFERROR(VLOOKUP($D25,BS연결,MATCH(X$1,BS연결H,0),0)/100,"")</f>
        <v/>
      </c>
      <c r="Y25" s="19">
        <f>IFERROR(VLOOKUP($D25,BS연결,MATCH(Y$1,BS연결H,0),0)/100,"")</f>
        <v/>
      </c>
      <c r="Z25" s="20">
        <f>IFERROR(Y25*(1+변수!Z32),"")</f>
        <v/>
      </c>
      <c r="AA25" s="20">
        <f>IFERROR(Z25*(1+변수!AA32),"")</f>
        <v/>
      </c>
      <c r="AB25" s="38">
        <f>AA25</f>
        <v/>
      </c>
      <c r="AC25" s="20">
        <f>IFERROR(AA25*(1+변수!AC32),"")</f>
        <v/>
      </c>
      <c r="AD25" s="20">
        <f>IFERROR(AC25*(1+변수!AD32),"")</f>
        <v/>
      </c>
      <c r="AE25" s="20">
        <f>IFERROR(AD25*(1+변수!AE32),"")</f>
        <v/>
      </c>
      <c r="AF25" s="20">
        <f>IFERROR(AE25*(1+변수!AF32),"")</f>
        <v/>
      </c>
      <c r="AG25" s="38">
        <f>AF25</f>
        <v/>
      </c>
      <c r="AH25" s="20">
        <f>IFERROR(AF25*(1+변수!AH32),"")</f>
        <v/>
      </c>
      <c r="AI25" s="20">
        <f>IFERROR(AH25*(1+변수!AI32),"")</f>
        <v/>
      </c>
      <c r="AJ25" s="20">
        <f>IFERROR(AI25*(1+변수!AJ32),"")</f>
        <v/>
      </c>
      <c r="AK25" s="20">
        <f>IFERROR(AJ25*(1+변수!AK32),"")</f>
        <v/>
      </c>
      <c r="AL25" s="38">
        <f>AK25</f>
        <v/>
      </c>
    </row>
    <row r="26">
      <c r="A26" s="12" t="inlineStr">
        <is>
          <t>이자발생자산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이자발생자산</t>
        </is>
      </c>
      <c r="E26" s="18">
        <f>IFERROR(VLOOKUP($D26,BS별도,MATCH(E$1,BS별도H,0),0)/100,"")</f>
        <v/>
      </c>
      <c r="F26" s="18">
        <f>IFERROR(VLOOKUP($D26,BS별도,MATCH(F$1,BS별도H,0),0)/100,"")</f>
        <v/>
      </c>
      <c r="G26" s="18">
        <f>IFERROR(VLOOKUP($D26,BS별도,MATCH(G$1,BS별도H,0),0)/100,"")</f>
        <v/>
      </c>
      <c r="H26" s="37" t="n">
        <v>841.45</v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18">
        <f>IFERROR(VLOOKUP($D26,BS별도,MATCH(K$1,BS별도H,0),0)/100,"")</f>
        <v/>
      </c>
      <c r="L26" s="18">
        <f>IFERROR(VLOOKUP($D26,BS연결,MATCH(L$1,BS연결H,0),0)/100,"")</f>
        <v/>
      </c>
      <c r="M26" s="37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18">
        <f>IFERROR(VLOOKUP($D26,BS연결,MATCH(P$1,BS연결H,0),0)/100,"")</f>
        <v/>
      </c>
      <c r="Q26" s="18">
        <f>IFERROR(VLOOKUP($D26,BS연결,MATCH(Q$1,BS연결H,0),0)/100,"")</f>
        <v/>
      </c>
      <c r="R26" s="37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18">
        <f>IFERROR(VLOOKUP($D26,BS연결,MATCH(U$1,BS연결H,0),0)/100,"")</f>
        <v/>
      </c>
      <c r="V26" s="18">
        <f>IFERROR(VLOOKUP($D26,BS연결,MATCH(V$1,BS연결H,0),0)/100,"")</f>
        <v/>
      </c>
      <c r="W26" s="37">
        <f>IFERROR(VLOOKUP($D26,BS연결,MATCH(W$1,BS연결H,0),0)/100,"")</f>
        <v/>
      </c>
      <c r="X26" s="18">
        <f>IFERROR(VLOOKUP($D26,BS연결,MATCH(X$1,BS연결H,0),0)/100,"")</f>
        <v/>
      </c>
      <c r="Y26" s="19">
        <f>IFERROR(VLOOKUP($D26,BS연결,MATCH(Y$1,BS연결H,0),0)/100,"")</f>
        <v/>
      </c>
      <c r="Z26" s="20">
        <f>IFERROR(Y26*(1+변수!Z33),"")</f>
        <v/>
      </c>
      <c r="AA26" s="20">
        <f>IFERROR(Z26*(1+변수!AA33),"")</f>
        <v/>
      </c>
      <c r="AB26" s="38">
        <f>AA26</f>
        <v/>
      </c>
      <c r="AC26" s="20">
        <f>IFERROR(AA26*(1+변수!AC33),"")</f>
        <v/>
      </c>
      <c r="AD26" s="20">
        <f>IFERROR(AC26*(1+변수!AD33),"")</f>
        <v/>
      </c>
      <c r="AE26" s="20">
        <f>IFERROR(AD26*(1+변수!AE33),"")</f>
        <v/>
      </c>
      <c r="AF26" s="20">
        <f>IFERROR(AE26*(1+변수!AF33),"")</f>
        <v/>
      </c>
      <c r="AG26" s="38">
        <f>AF26</f>
        <v/>
      </c>
      <c r="AH26" s="20">
        <f>IFERROR(AF26*(1+변수!AH33),"")</f>
        <v/>
      </c>
      <c r="AI26" s="20">
        <f>IFERROR(AH26*(1+변수!AI33),"")</f>
        <v/>
      </c>
      <c r="AJ26" s="20">
        <f>IFERROR(AI26*(1+변수!AJ33),"")</f>
        <v/>
      </c>
      <c r="AK26" s="20">
        <f>IFERROR(AJ26*(1+변수!AK33),"")</f>
        <v/>
      </c>
      <c r="AL26" s="38">
        <f>AK26</f>
        <v/>
      </c>
    </row>
    <row r="27">
      <c r="A27" s="12" t="inlineStr">
        <is>
          <t>현금및현금성자산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현금및현금성자산</t>
        </is>
      </c>
      <c r="E27" s="18">
        <f>IFERROR(VLOOKUP($D27,BS별도,MATCH(E$1,BS별도H,0),0)/100,"")</f>
        <v/>
      </c>
      <c r="F27" s="18">
        <f>IFERROR(VLOOKUP($D27,BS별도,MATCH(F$1,BS별도H,0),0)/100,"")</f>
        <v/>
      </c>
      <c r="G27" s="18">
        <f>IFERROR(VLOOKUP($D27,BS별도,MATCH(G$1,BS별도H,0),0)/100,"")</f>
        <v/>
      </c>
      <c r="H27" s="37" t="n">
        <v>229.58</v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18">
        <f>IFERROR(VLOOKUP($D27,BS별도,MATCH(K$1,BS별도H,0),0)/100,"")</f>
        <v/>
      </c>
      <c r="L27" s="18">
        <f>IFERROR(VLOOKUP($D27,BS연결,MATCH(L$1,BS연결H,0),0)/100,"")</f>
        <v/>
      </c>
      <c r="M27" s="37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18">
        <f>IFERROR(VLOOKUP($D27,BS연결,MATCH(P$1,BS연결H,0),0)/100,"")</f>
        <v/>
      </c>
      <c r="Q27" s="18">
        <f>IFERROR(VLOOKUP($D27,BS연결,MATCH(Q$1,BS연결H,0),0)/100,"")</f>
        <v/>
      </c>
      <c r="R27" s="37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18">
        <f>IFERROR(VLOOKUP($D27,BS연결,MATCH(U$1,BS연결H,0),0)/100,"")</f>
        <v/>
      </c>
      <c r="V27" s="18">
        <f>IFERROR(VLOOKUP($D27,BS연결,MATCH(V$1,BS연결H,0),0)/100,"")</f>
        <v/>
      </c>
      <c r="W27" s="37">
        <f>IFERROR(VLOOKUP($D27,BS연결,MATCH(W$1,BS연결H,0),0)/100,"")</f>
        <v/>
      </c>
      <c r="X27" s="18">
        <f>IFERROR(VLOOKUP($D27,BS연결,MATCH(X$1,BS연결H,0),0)/100,"")</f>
        <v/>
      </c>
      <c r="Y27" s="19">
        <f>IFERROR(VLOOKUP($D27,BS연결,MATCH(Y$1,BS연결H,0),0)/100,"")</f>
        <v/>
      </c>
      <c r="Z27" s="20" t="n"/>
      <c r="AA27" s="20" t="n"/>
      <c r="AB27" s="38">
        <f>AA27</f>
        <v/>
      </c>
      <c r="AC27" s="20" t="n"/>
      <c r="AD27" s="20" t="n"/>
      <c r="AE27" s="20" t="n"/>
      <c r="AF27" s="20" t="n"/>
      <c r="AG27" s="38">
        <f>AF27</f>
        <v/>
      </c>
      <c r="AH27" s="20" t="n"/>
      <c r="AI27" s="20" t="n"/>
      <c r="AJ27" s="20" t="n"/>
      <c r="AK27" s="20" t="n"/>
      <c r="AL27" s="38">
        <f>AK27</f>
        <v/>
      </c>
    </row>
    <row r="28">
      <c r="A28" s="12" t="inlineStr">
        <is>
          <t>영업활동현금흐름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영업활동으로인한현금흐름</t>
        </is>
      </c>
      <c r="E28" s="18">
        <f>IFERROR(VLOOKUP($D28,BS별도,MATCH(E$1,BS별도H,0),0)/100,"")</f>
        <v/>
      </c>
      <c r="F28" s="18">
        <f>IFERROR(VLOOKUP($D28,BS별도,MATCH(F$1,BS별도H,0),0)/100,"")</f>
        <v/>
      </c>
      <c r="G28" s="18">
        <f>IFERROR(VLOOKUP($D28,BS별도,MATCH(G$1,BS별도H,0),0)/100,"")</f>
        <v/>
      </c>
      <c r="H28" s="37" t="n"/>
      <c r="I28" s="18">
        <f>IFERROR(VLOOKUP($D28,BS별도,MATCH(I$1,BS별도H,0),0)/100,"")</f>
        <v/>
      </c>
      <c r="J28" s="18">
        <f>IFERROR(VLOOKUP($D28,BS별도,MATCH(J$1,BS별도H,0),0)/100,"")</f>
        <v/>
      </c>
      <c r="K28" s="18">
        <f>IFERROR(VLOOKUP($D28,BS별도,MATCH(K$1,BS별도H,0),0)/100,"")</f>
        <v/>
      </c>
      <c r="L28" s="18">
        <f>IFERROR(VLOOKUP($D28,BS연결,MATCH(L$1,BS연결H,0),0)/100,"")</f>
        <v/>
      </c>
      <c r="M28" s="37">
        <f>SUM(I28:L28)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18">
        <f>IFERROR(VLOOKUP($D28,BS연결,MATCH(P$1,BS연결H,0),0)/100,"")</f>
        <v/>
      </c>
      <c r="Q28" s="18">
        <f>IFERROR(VLOOKUP($D28,BS연결,MATCH(Q$1,BS연결H,0),0)/100,"")</f>
        <v/>
      </c>
      <c r="R28" s="37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18">
        <f>IFERROR(VLOOKUP($D28,BS연결,MATCH(U$1,BS연결H,0),0)/100,"")</f>
        <v/>
      </c>
      <c r="V28" s="18">
        <f>IFERROR(VLOOKUP($D28,BS연결,MATCH(V$1,BS연결H,0),0)/100,"")</f>
        <v/>
      </c>
      <c r="W28" s="37">
        <f>IFERROR(VLOOKUP($D28,BS연결,MATCH(W$1,BS연결H,0),0)/100,"")</f>
        <v/>
      </c>
      <c r="X28" s="18">
        <f>IFERROR(VLOOKUP($D28,BS연결,MATCH(X$1,BS연결H,0),0)/100,"")</f>
        <v/>
      </c>
      <c r="Y28" s="19">
        <f>IFERROR(VLOOKUP($D28,BS연결,MATCH(Y$1,BS연결H,0),0)/100,"")</f>
        <v/>
      </c>
      <c r="Z28" s="20" t="n"/>
      <c r="AA28" s="20" t="n"/>
      <c r="AB28" s="38">
        <f>SUM(X28:AA28)</f>
        <v/>
      </c>
      <c r="AC28" s="20" t="n"/>
      <c r="AD28" s="20" t="n"/>
      <c r="AE28" s="20" t="n"/>
      <c r="AF28" s="20" t="n"/>
      <c r="AG28" s="38">
        <f>SUM(AC28:AF28)</f>
        <v/>
      </c>
      <c r="AH28" s="20" t="n"/>
      <c r="AI28" s="20" t="n"/>
      <c r="AJ28" s="20" t="n"/>
      <c r="AK28" s="20" t="n"/>
      <c r="AL28" s="38">
        <f>SUM(AH28:AK28)</f>
        <v/>
      </c>
    </row>
    <row r="29">
      <c r="A29" s="12" t="inlineStr">
        <is>
          <t>주식수</t>
        </is>
      </c>
      <c r="B29" t="inlineStr">
        <is>
          <t>주당</t>
        </is>
      </c>
      <c r="C29" t="inlineStr">
        <is>
          <t>백만주</t>
        </is>
      </c>
      <c r="D29" t="inlineStr">
        <is>
          <t>유통주식수</t>
        </is>
      </c>
      <c r="E29" s="27" t="n">
        <v>8.760999999999999</v>
      </c>
      <c r="F29" s="27" t="n">
        <v>8.673</v>
      </c>
      <c r="G29" s="27" t="n">
        <v>8.585000000000001</v>
      </c>
      <c r="H29" s="28">
        <f>G29</f>
        <v/>
      </c>
      <c r="I29" s="27" t="n">
        <v>8.585000000000001</v>
      </c>
      <c r="J29" s="27" t="n">
        <v>8.585000000000001</v>
      </c>
      <c r="K29" s="27" t="n">
        <v>8.585000000000001</v>
      </c>
      <c r="L29" s="27" t="n">
        <v>8.582000000000001</v>
      </c>
      <c r="M29" s="28">
        <f>L29</f>
        <v/>
      </c>
      <c r="N29" s="27" t="n">
        <v>8.582000000000001</v>
      </c>
      <c r="O29" s="27" t="n">
        <v>8.582000000000001</v>
      </c>
      <c r="P29" s="27" t="n">
        <v>8.582000000000001</v>
      </c>
      <c r="Q29" s="27" t="n">
        <v>8.582000000000001</v>
      </c>
      <c r="R29" s="28">
        <f>Q29</f>
        <v/>
      </c>
      <c r="S29" s="27" t="n">
        <v>8.582000000000001</v>
      </c>
      <c r="T29" s="27" t="n">
        <v>8.582000000000001</v>
      </c>
      <c r="U29" s="27" t="n">
        <v>8.582000000000001</v>
      </c>
      <c r="V29" s="27" t="n">
        <v>8.582000000000001</v>
      </c>
      <c r="W29" s="28">
        <f>V29</f>
        <v/>
      </c>
      <c r="X29" s="27" t="n">
        <v>8.582000000000001</v>
      </c>
      <c r="Y29" s="29" t="n">
        <v>8.582000000000001</v>
      </c>
      <c r="Z29" s="33">
        <f>IFERROR(Y29*(1+변수!Z36),"")</f>
        <v/>
      </c>
      <c r="AA29" s="33">
        <f>IFERROR(Z29*(1+변수!AA36),"")</f>
        <v/>
      </c>
      <c r="AB29" s="31">
        <f>AA29</f>
        <v/>
      </c>
      <c r="AC29" s="33">
        <f>IFERROR(AA29*(1+변수!AC36),"")</f>
        <v/>
      </c>
      <c r="AD29" s="33">
        <f>IFERROR(AC29*(1+변수!AD36),"")</f>
        <v/>
      </c>
      <c r="AE29" s="33">
        <f>IFERROR(AD29*(1+변수!AE36),"")</f>
        <v/>
      </c>
      <c r="AF29" s="33">
        <f>IFERROR(AE29*(1+변수!AF36),"")</f>
        <v/>
      </c>
      <c r="AG29" s="31">
        <f>AF29</f>
        <v/>
      </c>
      <c r="AH29" s="33">
        <f>IFERROR(AF29*(1+변수!AH36),"")</f>
        <v/>
      </c>
      <c r="AI29" s="33">
        <f>IFERROR(AH29*(1+변수!AI36),"")</f>
        <v/>
      </c>
      <c r="AJ29" s="33">
        <f>IFERROR(AI29*(1+변수!AJ36),"")</f>
        <v/>
      </c>
      <c r="AK29" s="33">
        <f>IFERROR(AJ29*(1+변수!AK36),"")</f>
        <v/>
      </c>
      <c r="AL29" s="31">
        <f>AK29</f>
        <v/>
      </c>
    </row>
    <row r="30">
      <c r="A30" s="12" t="inlineStr">
        <is>
          <t>EPS</t>
        </is>
      </c>
      <c r="B30" t="inlineStr">
        <is>
          <t>주당</t>
        </is>
      </c>
      <c r="C30" t="inlineStr">
        <is>
          <t>원</t>
        </is>
      </c>
      <c r="D30" t="inlineStr">
        <is>
          <t>EPS</t>
        </is>
      </c>
      <c r="E30" s="18">
        <f>IFERROR(E17*100/E29,"")</f>
        <v/>
      </c>
      <c r="F30" s="18">
        <f>IFERROR(F17*100/F29,"")</f>
        <v/>
      </c>
      <c r="G30" s="18">
        <f>IFERROR(G17*100/G29,"")</f>
        <v/>
      </c>
      <c r="H30" s="37" t="n"/>
      <c r="I30" s="18">
        <f>IFERROR(I17*100/I29,"")</f>
        <v/>
      </c>
      <c r="J30" s="18">
        <f>IFERROR(J17*100/J29,"")</f>
        <v/>
      </c>
      <c r="K30" s="18">
        <f>IFERROR(K17*100/K29,"")</f>
        <v/>
      </c>
      <c r="L30" s="18">
        <f>IFERROR(L17*100/L29,"")</f>
        <v/>
      </c>
      <c r="M30" s="37">
        <f>SUM(I30:L30)</f>
        <v/>
      </c>
      <c r="N30" s="18">
        <f>IFERROR(N17*100/N29,"")</f>
        <v/>
      </c>
      <c r="O30" s="18">
        <f>IFERROR(O17*100/O29,"")</f>
        <v/>
      </c>
      <c r="P30" s="18">
        <f>IFERROR(P17*100/P29,"")</f>
        <v/>
      </c>
      <c r="Q30" s="18">
        <f>IFERROR(Q17*100/Q29,"")</f>
        <v/>
      </c>
      <c r="R30" s="37">
        <f>SUM(N30:Q30)</f>
        <v/>
      </c>
      <c r="S30" s="18">
        <f>IFERROR(S17*100/S29,"")</f>
        <v/>
      </c>
      <c r="T30" s="18">
        <f>IFERROR(T17*100/T29,"")</f>
        <v/>
      </c>
      <c r="U30" s="18">
        <f>IFERROR(U17*100/U29,"")</f>
        <v/>
      </c>
      <c r="V30" s="18">
        <f>IFERROR(V17*100/V29,"")</f>
        <v/>
      </c>
      <c r="W30" s="37">
        <f>SUM(S30:V30)</f>
        <v/>
      </c>
      <c r="X30" s="18">
        <f>IFERROR(X17*100/X29,"")</f>
        <v/>
      </c>
      <c r="Y30" s="19">
        <f>IFERROR(Y17*100/Y29,"")</f>
        <v/>
      </c>
      <c r="Z30" s="20">
        <f>IFERROR(Z17*100/Z29,"")</f>
        <v/>
      </c>
      <c r="AA30" s="20">
        <f>IFERROR(AA17*100/AA29,"")</f>
        <v/>
      </c>
      <c r="AB30" s="38">
        <f>SUM(X30:AA30)</f>
        <v/>
      </c>
      <c r="AC30" s="20">
        <f>IFERROR(AC17*100/AC29,"")</f>
        <v/>
      </c>
      <c r="AD30" s="20">
        <f>IFERROR(AD17*100/AD29,"")</f>
        <v/>
      </c>
      <c r="AE30" s="20">
        <f>IFERROR(AE17*100/AE29,"")</f>
        <v/>
      </c>
      <c r="AF30" s="20">
        <f>IFERROR(AF17*100/AF29,"")</f>
        <v/>
      </c>
      <c r="AG30" s="38">
        <f>SUM(AC30:AF30)</f>
        <v/>
      </c>
      <c r="AH30" s="20">
        <f>IFERROR(AH17*100/AH29,"")</f>
        <v/>
      </c>
      <c r="AI30" s="20">
        <f>IFERROR(AI17*100/AI29,"")</f>
        <v/>
      </c>
      <c r="AJ30" s="20">
        <f>IFERROR(AJ17*100/AJ29,"")</f>
        <v/>
      </c>
      <c r="AK30" s="20">
        <f>IFERROR(AK17*100/AK29,"")</f>
        <v/>
      </c>
      <c r="AL30" s="38">
        <f>SUM(AH30:AK30)</f>
        <v/>
      </c>
    </row>
    <row r="31">
      <c r="A31" s="12" t="inlineStr">
        <is>
          <t>BPS</t>
        </is>
      </c>
      <c r="B31" t="inlineStr">
        <is>
          <t>주당</t>
        </is>
      </c>
      <c r="C31" t="inlineStr">
        <is>
          <t>원</t>
        </is>
      </c>
      <c r="D31" t="inlineStr">
        <is>
          <t>BPS</t>
        </is>
      </c>
      <c r="E31" s="18">
        <f>IFERROR(E23*100/E29,"")</f>
        <v/>
      </c>
      <c r="F31" s="18">
        <f>IFERROR(F23*100/F29,"")</f>
        <v/>
      </c>
      <c r="G31" s="18">
        <f>IFERROR(G23*100/G29,"")</f>
        <v/>
      </c>
      <c r="H31" s="37">
        <f>G31</f>
        <v/>
      </c>
      <c r="I31" s="18">
        <f>IFERROR(I23*100/I29,"")</f>
        <v/>
      </c>
      <c r="J31" s="18">
        <f>IFERROR(J23*100/J29,"")</f>
        <v/>
      </c>
      <c r="K31" s="18">
        <f>IFERROR(K23*100/K29,"")</f>
        <v/>
      </c>
      <c r="L31" s="18">
        <f>IFERROR(L23*100/L29,"")</f>
        <v/>
      </c>
      <c r="M31" s="37">
        <f>L31</f>
        <v/>
      </c>
      <c r="N31" s="18">
        <f>IFERROR(N23*100/N29,"")</f>
        <v/>
      </c>
      <c r="O31" s="18">
        <f>IFERROR(O23*100/O29,"")</f>
        <v/>
      </c>
      <c r="P31" s="18">
        <f>IFERROR(P23*100/P29,"")</f>
        <v/>
      </c>
      <c r="Q31" s="18">
        <f>IFERROR(Q23*100/Q29,"")</f>
        <v/>
      </c>
      <c r="R31" s="37">
        <f>Q31</f>
        <v/>
      </c>
      <c r="S31" s="18">
        <f>IFERROR(S23*100/S29,"")</f>
        <v/>
      </c>
      <c r="T31" s="18">
        <f>IFERROR(T23*100/T29,"")</f>
        <v/>
      </c>
      <c r="U31" s="18">
        <f>IFERROR(U23*100/U29,"")</f>
        <v/>
      </c>
      <c r="V31" s="18">
        <f>IFERROR(V23*100/V29,"")</f>
        <v/>
      </c>
      <c r="W31" s="37">
        <f>V31</f>
        <v/>
      </c>
      <c r="X31" s="18">
        <f>IFERROR(X23*100/X29,"")</f>
        <v/>
      </c>
      <c r="Y31" s="19">
        <f>IFERROR(Y23*100/Y29,"")</f>
        <v/>
      </c>
      <c r="Z31" s="20">
        <f>IFERROR(Z23*100/Z29,"")</f>
        <v/>
      </c>
      <c r="AA31" s="20">
        <f>IFERROR(AA23*100/AA29,"")</f>
        <v/>
      </c>
      <c r="AB31" s="38">
        <f>AA31</f>
        <v/>
      </c>
      <c r="AC31" s="20">
        <f>IFERROR(AC23*100/AC29,"")</f>
        <v/>
      </c>
      <c r="AD31" s="20">
        <f>IFERROR(AD23*100/AD29,"")</f>
        <v/>
      </c>
      <c r="AE31" s="20">
        <f>IFERROR(AE23*100/AE29,"")</f>
        <v/>
      </c>
      <c r="AF31" s="20">
        <f>IFERROR(AF23*100/AF29,"")</f>
        <v/>
      </c>
      <c r="AG31" s="38">
        <f>AF31</f>
        <v/>
      </c>
      <c r="AH31" s="20">
        <f>IFERROR(AH23*100/AH29,"")</f>
        <v/>
      </c>
      <c r="AI31" s="20">
        <f>IFERROR(AI23*100/AI29,"")</f>
        <v/>
      </c>
      <c r="AJ31" s="20">
        <f>IFERROR(AJ23*100/AJ29,"")</f>
        <v/>
      </c>
      <c r="AK31" s="20">
        <f>IFERROR(AK23*100/AK29,"")</f>
        <v/>
      </c>
      <c r="AL31" s="38">
        <f>AK31</f>
        <v/>
      </c>
    </row>
    <row r="32">
      <c r="A32" s="12" t="inlineStr">
        <is>
          <t>DPS</t>
        </is>
      </c>
      <c r="B32" t="inlineStr">
        <is>
          <t>주당</t>
        </is>
      </c>
      <c r="C32" t="inlineStr">
        <is>
          <t>원</t>
        </is>
      </c>
      <c r="D32" t="inlineStr">
        <is>
          <t>DPS(보통주)</t>
        </is>
      </c>
      <c r="E32" s="18" t="n"/>
      <c r="F32" s="18" t="n"/>
      <c r="G32" s="18" t="n">
        <v>0</v>
      </c>
      <c r="H32" s="37" t="n">
        <v>0</v>
      </c>
      <c r="I32" s="18" t="n"/>
      <c r="J32" s="18" t="n"/>
      <c r="K32" s="18" t="n"/>
      <c r="L32" s="18" t="n">
        <v>0</v>
      </c>
      <c r="M32" s="37">
        <f>SUM(I32:L32)</f>
        <v/>
      </c>
      <c r="N32" s="18" t="n"/>
      <c r="O32" s="18" t="n"/>
      <c r="P32" s="18" t="n"/>
      <c r="Q32" s="18" t="n">
        <v>0</v>
      </c>
      <c r="R32" s="37">
        <f>SUM(N32:Q32)</f>
        <v/>
      </c>
      <c r="S32" s="18" t="n"/>
      <c r="T32" s="18" t="n"/>
      <c r="U32" s="18" t="n"/>
      <c r="V32" s="18" t="n">
        <v>0</v>
      </c>
      <c r="W32" s="37">
        <f>SUM(S32:V32)</f>
        <v/>
      </c>
      <c r="X32" s="18" t="n"/>
      <c r="Y32" s="19" t="n"/>
      <c r="Z32" s="20" t="n"/>
      <c r="AA32" s="20">
        <f>변수!AA37</f>
        <v/>
      </c>
      <c r="AB32" s="38">
        <f>SUM(X32:AA32)</f>
        <v/>
      </c>
      <c r="AC32" s="20" t="n"/>
      <c r="AD32" s="20" t="n"/>
      <c r="AE32" s="20" t="n"/>
      <c r="AF32" s="20">
        <f>변수!AF37</f>
        <v/>
      </c>
      <c r="AG32" s="38">
        <f>SUM(AC32:AF32)</f>
        <v/>
      </c>
      <c r="AH32" s="20" t="n"/>
      <c r="AI32" s="20" t="n"/>
      <c r="AJ32" s="20" t="n"/>
      <c r="AK32" s="20">
        <f>변수!AK37</f>
        <v/>
      </c>
      <c r="AL32" s="38">
        <f>SUM(AH32:AK32)</f>
        <v/>
      </c>
    </row>
    <row r="33">
      <c r="A33" s="12" t="inlineStr">
        <is>
          <t>PER</t>
        </is>
      </c>
      <c r="B33" t="inlineStr">
        <is>
          <t>주당</t>
        </is>
      </c>
      <c r="C33" t="inlineStr">
        <is>
          <t>배</t>
        </is>
      </c>
      <c r="D33" t="inlineStr">
        <is>
          <t>PER</t>
        </is>
      </c>
      <c r="E33" s="13" t="n"/>
      <c r="F33" s="13" t="n"/>
      <c r="G33" s="13" t="n"/>
      <c r="H33" s="14">
        <f>G33</f>
        <v/>
      </c>
      <c r="I33" s="13">
        <f>IFERROR(변수!I18/(E30+F30+G30+I30),"")</f>
        <v/>
      </c>
      <c r="J33" s="13">
        <f>IFERROR(변수!J18/(F30+G30+I30+J30),"")</f>
        <v/>
      </c>
      <c r="K33" s="13" t="n"/>
      <c r="L33" s="13" t="n"/>
      <c r="M33" s="14">
        <f>L33</f>
        <v/>
      </c>
      <c r="N33" s="13" t="n"/>
      <c r="O33" s="13" t="n"/>
      <c r="P33" s="13" t="n"/>
      <c r="Q33" s="13">
        <f>IFERROR(변수!Q18/(N30+O30+P30+Q30),"")</f>
        <v/>
      </c>
      <c r="R33" s="14">
        <f>Q33</f>
        <v/>
      </c>
      <c r="S33" s="13">
        <f>IFERROR(변수!S18/(O30+P30+Q30+S30),"")</f>
        <v/>
      </c>
      <c r="T33" s="13">
        <f>IFERROR(변수!T18/(P30+Q30+S30+T30),"")</f>
        <v/>
      </c>
      <c r="U33" s="13" t="n"/>
      <c r="V33" s="13">
        <f>IFERROR(변수!V18/(S30+T30+U30+V30),"")</f>
        <v/>
      </c>
      <c r="W33" s="14">
        <f>V33</f>
        <v/>
      </c>
      <c r="X33" s="13" t="n"/>
      <c r="Y33" s="15" t="n"/>
      <c r="Z33" s="39" t="n"/>
      <c r="AA33" s="39" t="n"/>
      <c r="AB33" s="40">
        <f>AA33</f>
        <v/>
      </c>
      <c r="AC33" s="39" t="n"/>
      <c r="AD33" s="39" t="n"/>
      <c r="AE33" s="39" t="n"/>
      <c r="AF33" s="39" t="n"/>
      <c r="AG33" s="40">
        <f>AF33</f>
        <v/>
      </c>
      <c r="AH33" s="39" t="n"/>
      <c r="AI33" s="39" t="n"/>
      <c r="AJ33" s="39" t="n"/>
      <c r="AK33" s="39" t="n"/>
      <c r="AL33" s="40">
        <f>AK33</f>
        <v/>
      </c>
    </row>
    <row r="34">
      <c r="A34" s="12" t="inlineStr">
        <is>
          <t>PBR</t>
        </is>
      </c>
      <c r="B34" t="inlineStr">
        <is>
          <t>주당</t>
        </is>
      </c>
      <c r="C34" t="inlineStr">
        <is>
          <t>배</t>
        </is>
      </c>
      <c r="D34" t="inlineStr">
        <is>
          <t>PBR</t>
        </is>
      </c>
      <c r="E34" s="13">
        <f>IFERROR(변수!E18/E31,"")</f>
        <v/>
      </c>
      <c r="F34" s="13">
        <f>IFERROR(변수!F18/F31,"")</f>
        <v/>
      </c>
      <c r="G34" s="13">
        <f>IFERROR(변수!G18/G31,"")</f>
        <v/>
      </c>
      <c r="H34" s="14">
        <f>G34</f>
        <v/>
      </c>
      <c r="I34" s="13">
        <f>IFERROR(변수!I18/I31,"")</f>
        <v/>
      </c>
      <c r="J34" s="13">
        <f>IFERROR(변수!J18/J31,"")</f>
        <v/>
      </c>
      <c r="K34" s="13">
        <f>IFERROR(변수!K18/K31,"")</f>
        <v/>
      </c>
      <c r="L34" s="13">
        <f>IFERROR(변수!L18/L31,"")</f>
        <v/>
      </c>
      <c r="M34" s="14">
        <f>L34</f>
        <v/>
      </c>
      <c r="N34" s="13">
        <f>IFERROR(변수!N18/N31,"")</f>
        <v/>
      </c>
      <c r="O34" s="13">
        <f>IFERROR(변수!O18/O31,"")</f>
        <v/>
      </c>
      <c r="P34" s="13">
        <f>IFERROR(변수!P18/P31,"")</f>
        <v/>
      </c>
      <c r="Q34" s="13">
        <f>IFERROR(변수!Q18/Q31,"")</f>
        <v/>
      </c>
      <c r="R34" s="14">
        <f>Q34</f>
        <v/>
      </c>
      <c r="S34" s="13">
        <f>IFERROR(변수!S18/S31,"")</f>
        <v/>
      </c>
      <c r="T34" s="13">
        <f>IFERROR(변수!T18/T31,"")</f>
        <v/>
      </c>
      <c r="U34" s="13">
        <f>IFERROR(변수!U18/U31,"")</f>
        <v/>
      </c>
      <c r="V34" s="13">
        <f>IFERROR(변수!V18/V31,"")</f>
        <v/>
      </c>
      <c r="W34" s="14">
        <f>V34</f>
        <v/>
      </c>
      <c r="X34" s="13">
        <f>IFERROR(변수!X18/X31,"")</f>
        <v/>
      </c>
      <c r="Y34" s="15">
        <f>IFERROR(변수!Y18/Y31,"")</f>
        <v/>
      </c>
      <c r="Z34" s="39">
        <f>IFERROR(변수!$D$40/Z31,"")</f>
        <v/>
      </c>
      <c r="AA34" s="39">
        <f>IFERROR(변수!$D$40/AA31,"")</f>
        <v/>
      </c>
      <c r="AB34" s="40">
        <f>AA34</f>
        <v/>
      </c>
      <c r="AC34" s="39">
        <f>IFERROR(변수!$D$40/AC31,"")</f>
        <v/>
      </c>
      <c r="AD34" s="39">
        <f>IFERROR(변수!$D$40/AD31,"")</f>
        <v/>
      </c>
      <c r="AE34" s="39">
        <f>IFERROR(변수!$D$40/AE31,"")</f>
        <v/>
      </c>
      <c r="AF34" s="39">
        <f>IFERROR(변수!$D$40/AF31,"")</f>
        <v/>
      </c>
      <c r="AG34" s="40">
        <f>AF34</f>
        <v/>
      </c>
      <c r="AH34" s="39">
        <f>IFERROR(변수!$D$40/AH31,"")</f>
        <v/>
      </c>
      <c r="AI34" s="39">
        <f>IFERROR(변수!$D$40/AI31,"")</f>
        <v/>
      </c>
      <c r="AJ34" s="39">
        <f>IFERROR(변수!$D$40/AJ31,"")</f>
        <v/>
      </c>
      <c r="AK34" s="39">
        <f>IFERROR(변수!$D$40/AK31,"")</f>
        <v/>
      </c>
      <c r="AL34" s="40">
        <f>AK34</f>
        <v/>
      </c>
    </row>
    <row r="35">
      <c r="A35" s="12" t="inlineStr">
        <is>
          <t>매출전사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매출 전사(부문 미분리)</t>
        </is>
      </c>
      <c r="E35" s="18" t="n">
        <v>146.18</v>
      </c>
      <c r="F35" s="18" t="n">
        <v>142.51</v>
      </c>
      <c r="G35" s="18" t="n">
        <v>133.16</v>
      </c>
      <c r="H35" s="37" t="n"/>
      <c r="I35" s="18" t="n">
        <v>88.56999999999999</v>
      </c>
      <c r="J35" s="18" t="n">
        <v>102.47</v>
      </c>
      <c r="K35" s="18" t="n">
        <v>39.61</v>
      </c>
      <c r="L35" s="18" t="n">
        <v>74.5</v>
      </c>
      <c r="M35" s="37">
        <f>SUM(I35:L35)</f>
        <v/>
      </c>
      <c r="N35" s="18" t="n">
        <v>67.2</v>
      </c>
      <c r="O35" s="18" t="n">
        <v>91.94</v>
      </c>
      <c r="P35" s="18" t="n">
        <v>110</v>
      </c>
      <c r="Q35" s="18" t="n">
        <v>92.81</v>
      </c>
      <c r="R35" s="37">
        <f>SUM(N35:Q35)</f>
        <v/>
      </c>
      <c r="S35" s="18" t="n">
        <v>104.46</v>
      </c>
      <c r="T35" s="18" t="n">
        <v>70.61</v>
      </c>
      <c r="U35" s="18" t="n">
        <v>103.99</v>
      </c>
      <c r="V35" s="18" t="n">
        <v>154.55</v>
      </c>
      <c r="W35" s="37">
        <f>SUM(S35:V35)</f>
        <v/>
      </c>
      <c r="X35" s="18" t="n">
        <v>50.54</v>
      </c>
      <c r="Y35" s="19" t="n">
        <v>178.25</v>
      </c>
      <c r="Z35" s="20">
        <f>IFERROR(Z5,"")</f>
        <v/>
      </c>
      <c r="AA35" s="20">
        <f>IFERROR(AA5,"")</f>
        <v/>
      </c>
      <c r="AB35" s="38">
        <f>SUM(X35:AA35)</f>
        <v/>
      </c>
      <c r="AC35" s="20">
        <f>IFERROR(AC5,"")</f>
        <v/>
      </c>
      <c r="AD35" s="20">
        <f>IFERROR(AD5,"")</f>
        <v/>
      </c>
      <c r="AE35" s="20">
        <f>IFERROR(AE5,"")</f>
        <v/>
      </c>
      <c r="AF35" s="20">
        <f>IFERROR(AF5,"")</f>
        <v/>
      </c>
      <c r="AG35" s="38">
        <f>SUM(AC35:AF35)</f>
        <v/>
      </c>
      <c r="AH35" s="20">
        <f>IFERROR(AH5,"")</f>
        <v/>
      </c>
      <c r="AI35" s="20">
        <f>IFERROR(AI5,"")</f>
        <v/>
      </c>
      <c r="AJ35" s="20">
        <f>IFERROR(AJ5,"")</f>
        <v/>
      </c>
      <c r="AK35" s="20">
        <f>IFERROR(AK5,"")</f>
        <v/>
      </c>
      <c r="AL35" s="38">
        <f>SUM(AH35:AK35)</f>
        <v/>
      </c>
    </row>
    <row r="36">
      <c r="A36" s="12" t="inlineStr">
        <is>
          <t>OP전사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OP 전사(부문 미분리)</t>
        </is>
      </c>
      <c r="E36" s="18" t="n">
        <v>9.300000000000001</v>
      </c>
      <c r="F36" s="18" t="n">
        <v>10.18</v>
      </c>
      <c r="G36" s="18" t="n">
        <v>-17.91</v>
      </c>
      <c r="H36" s="37" t="n"/>
      <c r="I36" s="18" t="n">
        <v>1</v>
      </c>
      <c r="J36" s="18" t="n">
        <v>-13.86</v>
      </c>
      <c r="K36" s="18" t="n">
        <v>-19.08</v>
      </c>
      <c r="L36" s="18" t="n">
        <v>-20.46</v>
      </c>
      <c r="M36" s="37">
        <f>SUM(I36:L36)</f>
        <v/>
      </c>
      <c r="N36" s="18" t="n">
        <v>-6.35</v>
      </c>
      <c r="O36" s="18" t="n">
        <v>16.5</v>
      </c>
      <c r="P36" s="18" t="n">
        <v>13.38</v>
      </c>
      <c r="Q36" s="18" t="n">
        <v>0.58</v>
      </c>
      <c r="R36" s="37">
        <f>SUM(N36:Q36)</f>
        <v/>
      </c>
      <c r="S36" s="18" t="n">
        <v>6.8</v>
      </c>
      <c r="T36" s="18" t="n">
        <v>1.56</v>
      </c>
      <c r="U36" s="18" t="n">
        <v>8.42</v>
      </c>
      <c r="V36" s="18" t="n">
        <v>-8.210000000000001</v>
      </c>
      <c r="W36" s="37">
        <f>SUM(S36:V36)</f>
        <v/>
      </c>
      <c r="X36" s="18" t="n">
        <v>-21.45</v>
      </c>
      <c r="Y36" s="19" t="n">
        <v>-32.33</v>
      </c>
      <c r="Z36" s="20">
        <f>IFERROR(Z9,"")</f>
        <v/>
      </c>
      <c r="AA36" s="20">
        <f>IFERROR(AA9,"")</f>
        <v/>
      </c>
      <c r="AB36" s="38">
        <f>SUM(X36:AA36)</f>
        <v/>
      </c>
      <c r="AC36" s="20">
        <f>IFERROR(AC9,"")</f>
        <v/>
      </c>
      <c r="AD36" s="20">
        <f>IFERROR(AD9,"")</f>
        <v/>
      </c>
      <c r="AE36" s="20">
        <f>IFERROR(AE9,"")</f>
        <v/>
      </c>
      <c r="AF36" s="20">
        <f>IFERROR(AF9,"")</f>
        <v/>
      </c>
      <c r="AG36" s="38">
        <f>SUM(AC36:AF36)</f>
        <v/>
      </c>
      <c r="AH36" s="20">
        <f>IFERROR(AH9,"")</f>
        <v/>
      </c>
      <c r="AI36" s="20">
        <f>IFERROR(AI9,"")</f>
        <v/>
      </c>
      <c r="AJ36" s="20">
        <f>IFERROR(AJ9,"")</f>
        <v/>
      </c>
      <c r="AK36" s="20">
        <f>IFERROR(AK9,"")</f>
        <v/>
      </c>
      <c r="AL36" s="38">
        <f>SUM(AH36:AK36)</f>
        <v/>
      </c>
    </row>
    <row r="37">
      <c r="B37" s="2" t="inlineStr">
        <is>
          <t>비율(참고)</t>
        </is>
      </c>
      <c r="H37" s="9" t="n"/>
      <c r="M37" s="9" t="n"/>
      <c r="R37" s="9" t="n"/>
      <c r="W37" s="9" t="n"/>
      <c r="Y37" s="5" t="n"/>
      <c r="Z37" s="10" t="n"/>
      <c r="AA37" s="10" t="n"/>
      <c r="AB37" s="11" t="n"/>
      <c r="AC37" s="10" t="n"/>
      <c r="AD37" s="10" t="n"/>
      <c r="AE37" s="10" t="n"/>
      <c r="AF37" s="10" t="n"/>
      <c r="AG37" s="11" t="n"/>
      <c r="AH37" s="10" t="n"/>
      <c r="AI37" s="10" t="n"/>
      <c r="AJ37" s="10" t="n"/>
      <c r="AK37" s="10" t="n"/>
      <c r="AL37" s="11" t="n"/>
    </row>
    <row r="38">
      <c r="A38" s="12" t="inlineStr">
        <is>
          <t>NPM</t>
        </is>
      </c>
      <c r="C38" t="inlineStr">
        <is>
          <t>%</t>
        </is>
      </c>
      <c r="D38" t="inlineStr">
        <is>
          <t>지배주주순이익 / 매출액</t>
        </is>
      </c>
      <c r="E38" s="21">
        <f>IFERROR(E17/E5,"")</f>
        <v/>
      </c>
      <c r="F38" s="21">
        <f>IFERROR(F17/F5,"")</f>
        <v/>
      </c>
      <c r="G38" s="21">
        <f>IFERROR(G17/G5,"")</f>
        <v/>
      </c>
      <c r="H38" s="22">
        <f>IFERROR(H17/H5,"")</f>
        <v/>
      </c>
      <c r="I38" s="21">
        <f>IFERROR(I17/I5,"")</f>
        <v/>
      </c>
      <c r="J38" s="21">
        <f>IFERROR(J17/J5,"")</f>
        <v/>
      </c>
      <c r="K38" s="21">
        <f>IFERROR(K17/K5,"")</f>
        <v/>
      </c>
      <c r="L38" s="21">
        <f>IFERROR(L17/L5,"")</f>
        <v/>
      </c>
      <c r="M38" s="22">
        <f>IFERROR(M17/M5,"")</f>
        <v/>
      </c>
      <c r="N38" s="21">
        <f>IFERROR(N17/N5,"")</f>
        <v/>
      </c>
      <c r="O38" s="21">
        <f>IFERROR(O17/O5,"")</f>
        <v/>
      </c>
      <c r="P38" s="21">
        <f>IFERROR(P17/P5,"")</f>
        <v/>
      </c>
      <c r="Q38" s="21">
        <f>IFERROR(Q17/Q5,"")</f>
        <v/>
      </c>
      <c r="R38" s="22">
        <f>IFERROR(R17/R5,"")</f>
        <v/>
      </c>
      <c r="S38" s="21">
        <f>IFERROR(S17/S5,"")</f>
        <v/>
      </c>
      <c r="T38" s="21">
        <f>IFERROR(T17/T5,"")</f>
        <v/>
      </c>
      <c r="U38" s="21">
        <f>IFERROR(U17/U5,"")</f>
        <v/>
      </c>
      <c r="V38" s="21">
        <f>IFERROR(V17/V5,"")</f>
        <v/>
      </c>
      <c r="W38" s="22">
        <f>IFERROR(W17/W5,"")</f>
        <v/>
      </c>
      <c r="X38" s="21">
        <f>IFERROR(X17/X5,"")</f>
        <v/>
      </c>
      <c r="Y38" s="23">
        <f>IFERROR(Y17/Y5,"")</f>
        <v/>
      </c>
      <c r="Z38" s="32">
        <f>IFERROR(Z17/Z5,"")</f>
        <v/>
      </c>
      <c r="AA38" s="32">
        <f>IFERROR(AA17/AA5,"")</f>
        <v/>
      </c>
      <c r="AB38" s="25">
        <f>IFERROR(AB17/AB5,"")</f>
        <v/>
      </c>
      <c r="AC38" s="32">
        <f>IFERROR(AC17/AC5,"")</f>
        <v/>
      </c>
      <c r="AD38" s="32">
        <f>IFERROR(AD17/AD5,"")</f>
        <v/>
      </c>
      <c r="AE38" s="32">
        <f>IFERROR(AE17/AE5,"")</f>
        <v/>
      </c>
      <c r="AF38" s="32">
        <f>IFERROR(AF17/AF5,"")</f>
        <v/>
      </c>
      <c r="AG38" s="25">
        <f>IFERROR(AG17/AG5,"")</f>
        <v/>
      </c>
      <c r="AH38" s="32">
        <f>IFERROR(AH17/AH5,"")</f>
        <v/>
      </c>
      <c r="AI38" s="32">
        <f>IFERROR(AI17/AI5,"")</f>
        <v/>
      </c>
      <c r="AJ38" s="32">
        <f>IFERROR(AJ17/AJ5,"")</f>
        <v/>
      </c>
      <c r="AK38" s="32">
        <f>IFERROR(AK17/AK5,"")</f>
        <v/>
      </c>
      <c r="AL38" s="25">
        <f>IFERROR(AL17/AL5,"")</f>
        <v/>
      </c>
    </row>
    <row r="39">
      <c r="A39" s="12" t="inlineStr">
        <is>
          <t>매출원가율</t>
        </is>
      </c>
      <c r="C39" t="inlineStr">
        <is>
          <t>%</t>
        </is>
      </c>
      <c r="D39" t="inlineStr">
        <is>
          <t>매출원가 / 매출액</t>
        </is>
      </c>
      <c r="E39" s="21">
        <f>IFERROR(E6/E5,"")</f>
        <v/>
      </c>
      <c r="F39" s="21">
        <f>IFERROR(F6/F5,"")</f>
        <v/>
      </c>
      <c r="G39" s="21">
        <f>IFERROR(G6/G5,"")</f>
        <v/>
      </c>
      <c r="H39" s="22">
        <f>IFERROR(H6/H5,"")</f>
        <v/>
      </c>
      <c r="I39" s="21">
        <f>IFERROR(I6/I5,"")</f>
        <v/>
      </c>
      <c r="J39" s="21">
        <f>IFERROR(J6/J5,"")</f>
        <v/>
      </c>
      <c r="K39" s="21">
        <f>IFERROR(K6/K5,"")</f>
        <v/>
      </c>
      <c r="L39" s="21">
        <f>IFERROR(L6/L5,"")</f>
        <v/>
      </c>
      <c r="M39" s="22">
        <f>IFERROR(M6/M5,"")</f>
        <v/>
      </c>
      <c r="N39" s="21">
        <f>IFERROR(N6/N5,"")</f>
        <v/>
      </c>
      <c r="O39" s="21">
        <f>IFERROR(O6/O5,"")</f>
        <v/>
      </c>
      <c r="P39" s="21">
        <f>IFERROR(P6/P5,"")</f>
        <v/>
      </c>
      <c r="Q39" s="21">
        <f>IFERROR(Q6/Q5,"")</f>
        <v/>
      </c>
      <c r="R39" s="22">
        <f>IFERROR(R6/R5,"")</f>
        <v/>
      </c>
      <c r="S39" s="21">
        <f>IFERROR(S6/S5,"")</f>
        <v/>
      </c>
      <c r="T39" s="21">
        <f>IFERROR(T6/T5,"")</f>
        <v/>
      </c>
      <c r="U39" s="21">
        <f>IFERROR(U6/U5,"")</f>
        <v/>
      </c>
      <c r="V39" s="21">
        <f>IFERROR(V6/V5,"")</f>
        <v/>
      </c>
      <c r="W39" s="22">
        <f>IFERROR(W6/W5,"")</f>
        <v/>
      </c>
      <c r="X39" s="21">
        <f>IFERROR(X6/X5,"")</f>
        <v/>
      </c>
      <c r="Y39" s="23">
        <f>IFERROR(Y6/Y5,"")</f>
        <v/>
      </c>
      <c r="Z39" s="32">
        <f>IFERROR(Z6/Z5,"")</f>
        <v/>
      </c>
      <c r="AA39" s="32">
        <f>IFERROR(AA6/AA5,"")</f>
        <v/>
      </c>
      <c r="AB39" s="25">
        <f>IFERROR(AB6/AB5,"")</f>
        <v/>
      </c>
      <c r="AC39" s="32">
        <f>IFERROR(AC6/AC5,"")</f>
        <v/>
      </c>
      <c r="AD39" s="32">
        <f>IFERROR(AD6/AD5,"")</f>
        <v/>
      </c>
      <c r="AE39" s="32">
        <f>IFERROR(AE6/AE5,"")</f>
        <v/>
      </c>
      <c r="AF39" s="32">
        <f>IFERROR(AF6/AF5,"")</f>
        <v/>
      </c>
      <c r="AG39" s="25">
        <f>IFERROR(AG6/AG5,"")</f>
        <v/>
      </c>
      <c r="AH39" s="32">
        <f>IFERROR(AH6/AH5,"")</f>
        <v/>
      </c>
      <c r="AI39" s="32">
        <f>IFERROR(AI6/AI5,"")</f>
        <v/>
      </c>
      <c r="AJ39" s="32">
        <f>IFERROR(AJ6/AJ5,"")</f>
        <v/>
      </c>
      <c r="AK39" s="32">
        <f>IFERROR(AK6/AK5,"")</f>
        <v/>
      </c>
      <c r="AL39" s="25">
        <f>IFERROR(AL6/AL5,"")</f>
        <v/>
      </c>
    </row>
    <row r="40">
      <c r="A40" s="12" t="inlineStr">
        <is>
          <t>판관비율</t>
        </is>
      </c>
      <c r="C40" t="inlineStr">
        <is>
          <t>%</t>
        </is>
      </c>
      <c r="D40" t="inlineStr">
        <is>
          <t>판관비 / 매출액</t>
        </is>
      </c>
      <c r="E40" s="21">
        <f>IFERROR(E8/E5,"")</f>
        <v/>
      </c>
      <c r="F40" s="21">
        <f>IFERROR(F8/F5,"")</f>
        <v/>
      </c>
      <c r="G40" s="21">
        <f>IFERROR(G8/G5,"")</f>
        <v/>
      </c>
      <c r="H40" s="22">
        <f>IFERROR(H8/H5,"")</f>
        <v/>
      </c>
      <c r="I40" s="21">
        <f>IFERROR(I8/I5,"")</f>
        <v/>
      </c>
      <c r="J40" s="21">
        <f>IFERROR(J8/J5,"")</f>
        <v/>
      </c>
      <c r="K40" s="21">
        <f>IFERROR(K8/K5,"")</f>
        <v/>
      </c>
      <c r="L40" s="21">
        <f>IFERROR(L8/L5,"")</f>
        <v/>
      </c>
      <c r="M40" s="22">
        <f>IFERROR(M8/M5,"")</f>
        <v/>
      </c>
      <c r="N40" s="21">
        <f>IFERROR(N8/N5,"")</f>
        <v/>
      </c>
      <c r="O40" s="21">
        <f>IFERROR(O8/O5,"")</f>
        <v/>
      </c>
      <c r="P40" s="21">
        <f>IFERROR(P8/P5,"")</f>
        <v/>
      </c>
      <c r="Q40" s="21">
        <f>IFERROR(Q8/Q5,"")</f>
        <v/>
      </c>
      <c r="R40" s="22">
        <f>IFERROR(R8/R5,"")</f>
        <v/>
      </c>
      <c r="S40" s="21">
        <f>IFERROR(S8/S5,"")</f>
        <v/>
      </c>
      <c r="T40" s="21">
        <f>IFERROR(T8/T5,"")</f>
        <v/>
      </c>
      <c r="U40" s="21">
        <f>IFERROR(U8/U5,"")</f>
        <v/>
      </c>
      <c r="V40" s="21">
        <f>IFERROR(V8/V5,"")</f>
        <v/>
      </c>
      <c r="W40" s="22">
        <f>IFERROR(W8/W5,"")</f>
        <v/>
      </c>
      <c r="X40" s="21">
        <f>IFERROR(X8/X5,"")</f>
        <v/>
      </c>
      <c r="Y40" s="23">
        <f>IFERROR(Y8/Y5,"")</f>
        <v/>
      </c>
      <c r="Z40" s="32">
        <f>IFERROR(Z8/Z5,"")</f>
        <v/>
      </c>
      <c r="AA40" s="32">
        <f>IFERROR(AA8/AA5,"")</f>
        <v/>
      </c>
      <c r="AB40" s="25">
        <f>IFERROR(AB8/AB5,"")</f>
        <v/>
      </c>
      <c r="AC40" s="32">
        <f>IFERROR(AC8/AC5,"")</f>
        <v/>
      </c>
      <c r="AD40" s="32">
        <f>IFERROR(AD8/AD5,"")</f>
        <v/>
      </c>
      <c r="AE40" s="32">
        <f>IFERROR(AE8/AE5,"")</f>
        <v/>
      </c>
      <c r="AF40" s="32">
        <f>IFERROR(AF8/AF5,"")</f>
        <v/>
      </c>
      <c r="AG40" s="25">
        <f>IFERROR(AG8/AG5,"")</f>
        <v/>
      </c>
      <c r="AH40" s="32">
        <f>IFERROR(AH8/AH5,"")</f>
        <v/>
      </c>
      <c r="AI40" s="32">
        <f>IFERROR(AI8/AI5,"")</f>
        <v/>
      </c>
      <c r="AJ40" s="32">
        <f>IFERROR(AJ8/AJ5,"")</f>
        <v/>
      </c>
      <c r="AK40" s="32">
        <f>IFERROR(AK8/AK5,"")</f>
        <v/>
      </c>
      <c r="AL40" s="25">
        <f>IFERROR(AL8/AL5,"")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C1" s="2" t="inlineStr">
        <is>
          <t>이름: 분기H — subQ 를 이름으로 VLOOKUP(억원)</t>
        </is>
      </c>
      <c r="E1" s="3" t="inlineStr">
        <is>
          <t>2Q22</t>
        </is>
      </c>
      <c r="F1" s="3" t="inlineStr">
        <is>
          <t>3Q22</t>
        </is>
      </c>
      <c r="G1" s="3" t="inlineStr">
        <is>
          <t>4Q22</t>
        </is>
      </c>
      <c r="H1" s="3" t="inlineStr">
        <is>
          <t>1Q23</t>
        </is>
      </c>
      <c r="I1" s="3" t="inlineStr">
        <is>
          <t>2Q23</t>
        </is>
      </c>
      <c r="J1" s="3" t="inlineStr">
        <is>
          <t>3Q23</t>
        </is>
      </c>
      <c r="K1" s="3" t="inlineStr">
        <is>
          <t>4Q23</t>
        </is>
      </c>
      <c r="L1" s="3" t="inlineStr">
        <is>
          <t>1Q24</t>
        </is>
      </c>
      <c r="M1" s="3" t="inlineStr">
        <is>
          <t>2Q24</t>
        </is>
      </c>
      <c r="N1" s="3" t="inlineStr">
        <is>
          <t>3Q24</t>
        </is>
      </c>
      <c r="O1" s="3" t="inlineStr">
        <is>
          <t>4Q24</t>
        </is>
      </c>
      <c r="P1" s="3" t="inlineStr">
        <is>
          <t>1Q25</t>
        </is>
      </c>
      <c r="Q1" s="3" t="inlineStr">
        <is>
          <t>2Q25</t>
        </is>
      </c>
      <c r="R1" s="3" t="inlineStr">
        <is>
          <t>3Q25</t>
        </is>
      </c>
      <c r="S1" s="3" t="inlineStr">
        <is>
          <t>4Q25</t>
        </is>
      </c>
      <c r="T1" s="3" t="inlineStr">
        <is>
          <t>1Q26</t>
        </is>
      </c>
      <c r="U1" s="41" t="inlineStr">
        <is>
          <t>2Q26</t>
        </is>
      </c>
      <c r="V1" s="3" t="inlineStr">
        <is>
          <t>3Q26</t>
        </is>
      </c>
      <c r="W1" s="3" t="inlineStr">
        <is>
          <t>4Q26</t>
        </is>
      </c>
      <c r="X1" s="3" t="inlineStr">
        <is>
          <t>1Q27</t>
        </is>
      </c>
      <c r="Y1" s="3" t="inlineStr">
        <is>
          <t>2Q27</t>
        </is>
      </c>
      <c r="Z1" s="3" t="inlineStr">
        <is>
          <t>3Q27</t>
        </is>
      </c>
      <c r="AA1" s="3" t="inlineStr">
        <is>
          <t>4Q27</t>
        </is>
      </c>
      <c r="AB1" s="3" t="inlineStr">
        <is>
          <t>1Q28</t>
        </is>
      </c>
      <c r="AC1" s="3" t="inlineStr">
        <is>
          <t>2Q28</t>
        </is>
      </c>
      <c r="AD1" s="3" t="inlineStr">
        <is>
          <t>3Q28</t>
        </is>
      </c>
      <c r="AE1" s="3" t="inlineStr">
        <is>
          <t>4Q28</t>
        </is>
      </c>
    </row>
    <row r="2">
      <c r="C2" t="inlineStr">
        <is>
          <t>종가:</t>
        </is>
      </c>
      <c r="D2" s="18">
        <f>변수!D40</f>
        <v/>
      </c>
      <c r="U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43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E4" s="7" t="inlineStr">
        <is>
          <t>2022.06</t>
        </is>
      </c>
      <c r="F4" s="7" t="inlineStr">
        <is>
          <t>2022.09</t>
        </is>
      </c>
      <c r="G4" s="7" t="inlineStr">
        <is>
          <t>2022.12</t>
        </is>
      </c>
      <c r="H4" s="7" t="inlineStr">
        <is>
          <t>2023.03</t>
        </is>
      </c>
      <c r="I4" s="7" t="inlineStr">
        <is>
          <t>2023.06</t>
        </is>
      </c>
      <c r="J4" s="7" t="inlineStr">
        <is>
          <t>2023.09</t>
        </is>
      </c>
      <c r="K4" s="7" t="inlineStr">
        <is>
          <t>2023.12</t>
        </is>
      </c>
      <c r="L4" s="7" t="inlineStr">
        <is>
          <t>2024.03</t>
        </is>
      </c>
      <c r="M4" s="7" t="inlineStr">
        <is>
          <t>2024.06</t>
        </is>
      </c>
      <c r="N4" s="7" t="inlineStr">
        <is>
          <t>2024.09</t>
        </is>
      </c>
      <c r="O4" s="7" t="inlineStr">
        <is>
          <t>2024.12</t>
        </is>
      </c>
      <c r="P4" s="7" t="inlineStr">
        <is>
          <t>2025.03</t>
        </is>
      </c>
      <c r="Q4" s="7" t="inlineStr">
        <is>
          <t>2025.06</t>
        </is>
      </c>
      <c r="R4" s="7" t="inlineStr">
        <is>
          <t>2025.09</t>
        </is>
      </c>
      <c r="S4" s="7" t="inlineStr">
        <is>
          <t>2025.12</t>
        </is>
      </c>
      <c r="T4" s="7" t="inlineStr">
        <is>
          <t>2026.03</t>
        </is>
      </c>
      <c r="U4" s="44" t="inlineStr">
        <is>
          <t>2026.06</t>
        </is>
      </c>
      <c r="V4" s="7" t="inlineStr">
        <is>
          <t>2026.09</t>
        </is>
      </c>
      <c r="W4" s="7" t="inlineStr">
        <is>
          <t>2026.12</t>
        </is>
      </c>
      <c r="X4" s="7" t="inlineStr">
        <is>
          <t>2027.03</t>
        </is>
      </c>
      <c r="Y4" s="7" t="inlineStr">
        <is>
          <t>2027.06</t>
        </is>
      </c>
      <c r="Z4" s="7" t="inlineStr">
        <is>
          <t>2027.09</t>
        </is>
      </c>
      <c r="AA4" s="7" t="inlineStr">
        <is>
          <t>2027.12</t>
        </is>
      </c>
      <c r="AB4" s="7" t="inlineStr">
        <is>
          <t>2028.03</t>
        </is>
      </c>
      <c r="AC4" s="7" t="inlineStr">
        <is>
          <t>2028.06</t>
        </is>
      </c>
      <c r="AD4" s="7" t="inlineStr">
        <is>
          <t>2028.09</t>
        </is>
      </c>
      <c r="AE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45">
        <f>IFERROR(VLOOKUP($A5,subQ,MATCH(U$1,SUBQH,0),0),"")</f>
        <v/>
      </c>
      <c r="V5" s="20">
        <f>IFERROR(VLOOKUP($A5,subQ,MATCH(V$1,SUBQH,0),0),"")</f>
        <v/>
      </c>
      <c r="W5" s="20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45">
        <f>IFERROR(VLOOKUP($A6,subQ,MATCH(U$1,SUBQH,0),0),"")</f>
        <v/>
      </c>
      <c r="V6" s="20">
        <f>IFERROR(VLOOKUP($A6,subQ,MATCH(V$1,SUBQH,0),0),"")</f>
        <v/>
      </c>
      <c r="W6" s="20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45">
        <f>IFERROR(VLOOKUP($A7,subQ,MATCH(U$1,SUBQH,0),0),"")</f>
        <v/>
      </c>
      <c r="V7" s="20">
        <f>IFERROR(VLOOKUP($A7,subQ,MATCH(V$1,SUBQH,0),0),"")</f>
        <v/>
      </c>
      <c r="W7" s="20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45">
        <f>IFERROR(VLOOKUP($A8,subQ,MATCH(U$1,SUBQH,0),0),"")</f>
        <v/>
      </c>
      <c r="V8" s="20">
        <f>IFERROR(VLOOKUP($A8,subQ,MATCH(V$1,SUBQH,0),0),"")</f>
        <v/>
      </c>
      <c r="W8" s="20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45">
        <f>IFERROR(VLOOKUP($A9,subQ,MATCH(U$1,SUBQH,0),0),"")</f>
        <v/>
      </c>
      <c r="V9" s="20">
        <f>IFERROR(VLOOKUP($A9,subQ,MATCH(V$1,SUBQH,0),0),"")</f>
        <v/>
      </c>
      <c r="W9" s="20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46">
        <f>IFERROR(VLOOKUP($A10,subQ,MATCH(U$1,SUBQH,0),0),"")</f>
        <v/>
      </c>
      <c r="V10" s="32">
        <f>IFERROR(VLOOKUP($A10,subQ,MATCH(V$1,SUBQH,0),0),"")</f>
        <v/>
      </c>
      <c r="W10" s="32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45">
        <f>IFERROR(VLOOKUP($A11,subQ,MATCH(U$1,SUBQH,0),0),"")</f>
        <v/>
      </c>
      <c r="V11" s="20">
        <f>IFERROR(VLOOKUP($A11,subQ,MATCH(V$1,SUBQH,0),0),"")</f>
        <v/>
      </c>
      <c r="W11" s="20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45">
        <f>IFERROR(VLOOKUP($A12,subQ,MATCH(U$1,SUBQH,0),0),"")</f>
        <v/>
      </c>
      <c r="V12" s="20">
        <f>IFERROR(VLOOKUP($A12,subQ,MATCH(V$1,SUBQH,0),0),"")</f>
        <v/>
      </c>
      <c r="W12" s="20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45">
        <f>IFERROR(VLOOKUP($A13,subQ,MATCH(U$1,SUBQH,0),0),"")</f>
        <v/>
      </c>
      <c r="V13" s="20">
        <f>IFERROR(VLOOKUP($A13,subQ,MATCH(V$1,SUBQH,0),0),"")</f>
        <v/>
      </c>
      <c r="W13" s="20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45">
        <f>IFERROR(VLOOKUP($A14,subQ,MATCH(U$1,SUBQH,0),0),"")</f>
        <v/>
      </c>
      <c r="V14" s="20">
        <f>IFERROR(VLOOKUP($A14,subQ,MATCH(V$1,SUBQH,0),0),"")</f>
        <v/>
      </c>
      <c r="W14" s="20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45">
        <f>IFERROR(VLOOKUP($A15,subQ,MATCH(U$1,SUBQH,0),0),"")</f>
        <v/>
      </c>
      <c r="V15" s="20">
        <f>IFERROR(VLOOKUP($A15,subQ,MATCH(V$1,SUBQH,0),0),"")</f>
        <v/>
      </c>
      <c r="W15" s="20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45">
        <f>IFERROR(VLOOKUP($A16,subQ,MATCH(U$1,SUBQH,0),0),"")</f>
        <v/>
      </c>
      <c r="V16" s="20">
        <f>IFERROR(VLOOKUP($A16,subQ,MATCH(V$1,SUBQH,0),0),"")</f>
        <v/>
      </c>
      <c r="W16" s="20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45">
        <f>IFERROR(VLOOKUP($A17,subQ,MATCH(U$1,SUBQH,0),0),"")</f>
        <v/>
      </c>
      <c r="V17" s="20">
        <f>IFERROR(VLOOKUP($A17,subQ,MATCH(V$1,SUBQH,0),0),"")</f>
        <v/>
      </c>
      <c r="W17" s="20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</row>
    <row r="18">
      <c r="A18" s="12" t="inlineStr">
        <is>
          <t>감가상각비</t>
        </is>
      </c>
      <c r="D18" t="inlineStr">
        <is>
          <t>감가상각비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45">
        <f>IFERROR(VLOOKUP($A18,subQ,MATCH(U$1,SUBQH,0),0),"")</f>
        <v/>
      </c>
      <c r="V18" s="20">
        <f>IFERROR(VLOOKUP($A18,subQ,MATCH(V$1,SUBQH,0),0),"")</f>
        <v/>
      </c>
      <c r="W18" s="20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</row>
    <row r="19">
      <c r="A19" s="12" t="inlineStr">
        <is>
          <t>EBITDA</t>
        </is>
      </c>
      <c r="D19" t="inlineStr">
        <is>
          <t>EBITDA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45">
        <f>IFERROR(VLOOKUP($A19,subQ,MATCH(U$1,SUBQH,0),0),"")</f>
        <v/>
      </c>
      <c r="V19" s="20">
        <f>IFERROR(VLOOKUP($A19,subQ,MATCH(V$1,SUBQH,0),0),"")</f>
        <v/>
      </c>
      <c r="W19" s="20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45">
        <f>IFERROR(VLOOKUP($A20,subQ,MATCH(U$1,SUBQH,0),0),"")</f>
        <v/>
      </c>
      <c r="V20" s="20">
        <f>IFERROR(VLOOKUP($A20,subQ,MATCH(V$1,SUBQH,0),0),"")</f>
        <v/>
      </c>
      <c r="W20" s="20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45">
        <f>IFERROR(VLOOKUP($A21,subQ,MATCH(U$1,SUBQH,0),0),"")</f>
        <v/>
      </c>
      <c r="V21" s="20">
        <f>IFERROR(VLOOKUP($A21,subQ,MATCH(V$1,SUBQH,0),0),"")</f>
        <v/>
      </c>
      <c r="W21" s="20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45">
        <f>IFERROR(VLOOKUP($A22,subQ,MATCH(U$1,SUBQH,0),0),"")</f>
        <v/>
      </c>
      <c r="V22" s="20">
        <f>IFERROR(VLOOKUP($A22,subQ,MATCH(V$1,SUBQH,0),0),"")</f>
        <v/>
      </c>
      <c r="W22" s="20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45">
        <f>IFERROR(VLOOKUP($A23,subQ,MATCH(U$1,SUBQH,0),0),"")</f>
        <v/>
      </c>
      <c r="V23" s="20">
        <f>IFERROR(VLOOKUP($A23,subQ,MATCH(V$1,SUBQH,0),0),"")</f>
        <v/>
      </c>
      <c r="W23" s="20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45">
        <f>IFERROR(VLOOKUP($A24,subQ,MATCH(U$1,SUBQH,0),0),"")</f>
        <v/>
      </c>
      <c r="V24" s="20">
        <f>IFERROR(VLOOKUP($A24,subQ,MATCH(V$1,SUBQH,0),0),"")</f>
        <v/>
      </c>
      <c r="W24" s="20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45">
        <f>IFERROR(VLOOKUP($A25,subQ,MATCH(U$1,SUBQH,0),0),"")</f>
        <v/>
      </c>
      <c r="V25" s="20">
        <f>IFERROR(VLOOKUP($A25,subQ,MATCH(V$1,SUBQH,0),0),"")</f>
        <v/>
      </c>
      <c r="W25" s="20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45">
        <f>IFERROR(VLOOKUP($A26,subQ,MATCH(U$1,SUBQH,0),0),"")</f>
        <v/>
      </c>
      <c r="V26" s="20">
        <f>IFERROR(VLOOKUP($A26,subQ,MATCH(V$1,SUBQH,0),0),"")</f>
        <v/>
      </c>
      <c r="W26" s="20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45">
        <f>IFERROR(VLOOKUP($A27,subQ,MATCH(U$1,SUBQH,0),0),"")</f>
        <v/>
      </c>
      <c r="V27" s="20">
        <f>IFERROR(VLOOKUP($A27,subQ,MATCH(V$1,SUBQH,0),0),"")</f>
        <v/>
      </c>
      <c r="W27" s="20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45">
        <f>IFERROR(VLOOKUP($A28,subQ,MATCH(U$1,SUBQH,0),0),"")</f>
        <v/>
      </c>
      <c r="V28" s="20">
        <f>IFERROR(VLOOKUP($A28,subQ,MATCH(V$1,SUBQH,0),0),"")</f>
        <v/>
      </c>
      <c r="W28" s="20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27">
        <f>IFERROR(VLOOKUP($A29,subQ,MATCH(I$1,SUBQH,0),0),"")</f>
        <v/>
      </c>
      <c r="J29" s="27">
        <f>IFERROR(VLOOKUP($A29,subQ,MATCH(J$1,SUBQH,0),0),"")</f>
        <v/>
      </c>
      <c r="K29" s="27">
        <f>IFERROR(VLOOKUP($A29,subQ,MATCH(K$1,SUBQH,0),0),"")</f>
        <v/>
      </c>
      <c r="L29" s="27">
        <f>IFERROR(VLOOKUP($A29,subQ,MATCH(L$1,SUBQH,0),0),"")</f>
        <v/>
      </c>
      <c r="M29" s="27">
        <f>IFERROR(VLOOKUP($A29,subQ,MATCH(M$1,SUBQH,0),0),"")</f>
        <v/>
      </c>
      <c r="N29" s="27">
        <f>IFERROR(VLOOKUP($A29,subQ,MATCH(N$1,SUBQH,0),0),"")</f>
        <v/>
      </c>
      <c r="O29" s="27">
        <f>IFERROR(VLOOKUP($A29,subQ,MATCH(O$1,SUBQH,0),0),"")</f>
        <v/>
      </c>
      <c r="P29" s="27">
        <f>IFERROR(VLOOKUP($A29,subQ,MATCH(P$1,SUBQH,0),0),"")</f>
        <v/>
      </c>
      <c r="Q29" s="27">
        <f>IFERROR(VLOOKUP($A29,subQ,MATCH(Q$1,SUBQH,0),0),"")</f>
        <v/>
      </c>
      <c r="R29" s="27">
        <f>IFERROR(VLOOKUP($A29,subQ,MATCH(R$1,SUBQH,0),0),"")</f>
        <v/>
      </c>
      <c r="S29" s="27">
        <f>IFERROR(VLOOKUP($A29,subQ,MATCH(S$1,SUBQH,0),0),"")</f>
        <v/>
      </c>
      <c r="T29" s="27">
        <f>IFERROR(VLOOKUP($A29,subQ,MATCH(T$1,SUBQH,0),0),"")</f>
        <v/>
      </c>
      <c r="U29" s="47">
        <f>IFERROR(VLOOKUP($A29,subQ,MATCH(U$1,SUBQH,0),0),"")</f>
        <v/>
      </c>
      <c r="V29" s="33">
        <f>IFERROR(VLOOKUP($A29,subQ,MATCH(V$1,SUBQH,0),0),"")</f>
        <v/>
      </c>
      <c r="W29" s="33">
        <f>IFERROR(VLOOKUP($A29,subQ,MATCH(W$1,SUBQH,0),0),"")</f>
        <v/>
      </c>
      <c r="X29" s="33">
        <f>IFERROR(VLOOKUP($A29,subQ,MATCH(X$1,SUBQH,0),0),"")</f>
        <v/>
      </c>
      <c r="Y29" s="33">
        <f>IFERROR(VLOOKUP($A29,subQ,MATCH(Y$1,SUBQH,0),0),"")</f>
        <v/>
      </c>
      <c r="Z29" s="33">
        <f>IFERROR(VLOOKUP($A29,subQ,MATCH(Z$1,SUBQH,0),0),"")</f>
        <v/>
      </c>
      <c r="AA29" s="33">
        <f>IFERROR(VLOOKUP($A29,subQ,MATCH(AA$1,SUBQH,0),0),"")</f>
        <v/>
      </c>
      <c r="AB29" s="33">
        <f>IFERROR(VLOOKUP($A29,subQ,MATCH(AB$1,SUBQH,0),0),"")</f>
        <v/>
      </c>
      <c r="AC29" s="33">
        <f>IFERROR(VLOOKUP($A29,subQ,MATCH(AC$1,SUBQH,0),0),"")</f>
        <v/>
      </c>
      <c r="AD29" s="33">
        <f>IFERROR(VLOOKUP($A29,subQ,MATCH(AD$1,SUBQH,0),0),"")</f>
        <v/>
      </c>
      <c r="AE29" s="33">
        <f>IFERROR(VLOOKUP($A29,subQ,MATCH(AE$1,SUBQH,0),0),"")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45">
        <f>IFERROR(VLOOKUP($A30,subQ,MATCH(U$1,SUBQH,0),0),"")</f>
        <v/>
      </c>
      <c r="V30" s="20">
        <f>IFERROR(VLOOKUP($A30,subQ,MATCH(V$1,SUBQH,0),0),"")</f>
        <v/>
      </c>
      <c r="W30" s="20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45">
        <f>IFERROR(VLOOKUP($A31,subQ,MATCH(U$1,SUBQH,0),0),"")</f>
        <v/>
      </c>
      <c r="V31" s="20">
        <f>IFERROR(VLOOKUP($A31,subQ,MATCH(V$1,SUBQH,0),0),"")</f>
        <v/>
      </c>
      <c r="W31" s="20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45">
        <f>IFERROR(VLOOKUP($A32,subQ,MATCH(U$1,SUBQH,0),0),"")</f>
        <v/>
      </c>
      <c r="V32" s="20">
        <f>IFERROR(VLOOKUP($A32,subQ,MATCH(V$1,SUBQH,0),0),"")</f>
        <v/>
      </c>
      <c r="W32" s="20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48">
        <f>IFERROR(VLOOKUP($A33,subQ,MATCH(U$1,SUBQH,0),0),"")</f>
        <v/>
      </c>
      <c r="V33" s="39">
        <f>IFERROR(VLOOKUP($A33,subQ,MATCH(V$1,SUBQH,0),0),"")</f>
        <v/>
      </c>
      <c r="W33" s="39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48">
        <f>IFERROR(VLOOKUP($A34,subQ,MATCH(U$1,SUBQH,0),0),"")</f>
        <v/>
      </c>
      <c r="V34" s="39">
        <f>IFERROR(VLOOKUP($A34,subQ,MATCH(V$1,SUBQH,0),0),"")</f>
        <v/>
      </c>
      <c r="W34" s="39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45">
        <f>IFERROR(VLOOKUP($A35,subQ,MATCH(U$1,SUBQH,0),0),"")</f>
        <v/>
      </c>
      <c r="V35" s="20">
        <f>IFERROR(VLOOKUP($A35,subQ,MATCH(V$1,SUBQH,0),0),"")</f>
        <v/>
      </c>
      <c r="W35" s="20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45">
        <f>IFERROR(VLOOKUP($A36,subQ,MATCH(U$1,SUBQH,0),0),"")</f>
        <v/>
      </c>
      <c r="V36" s="20">
        <f>IFERROR(VLOOKUP($A36,subQ,MATCH(V$1,SUBQH,0),0),"")</f>
        <v/>
      </c>
      <c r="W36" s="20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21">
        <f>IFERROR(VLOOKUP($A37,subQ,MATCH(I$1,SUBQH,0),0),"")</f>
        <v/>
      </c>
      <c r="J37" s="21">
        <f>IFERROR(VLOOKUP($A37,subQ,MATCH(J$1,SUBQH,0),0),"")</f>
        <v/>
      </c>
      <c r="K37" s="21">
        <f>IFERROR(VLOOKUP($A37,subQ,MATCH(K$1,SUBQH,0),0),"")</f>
        <v/>
      </c>
      <c r="L37" s="21">
        <f>IFERROR(VLOOKUP($A37,subQ,MATCH(L$1,SUBQH,0),0),"")</f>
        <v/>
      </c>
      <c r="M37" s="21">
        <f>IFERROR(VLOOKUP($A37,subQ,MATCH(M$1,SUBQH,0),0),"")</f>
        <v/>
      </c>
      <c r="N37" s="21">
        <f>IFERROR(VLOOKUP($A37,subQ,MATCH(N$1,SUBQH,0),0),"")</f>
        <v/>
      </c>
      <c r="O37" s="21">
        <f>IFERROR(VLOOKUP($A37,subQ,MATCH(O$1,SUBQH,0),0),"")</f>
        <v/>
      </c>
      <c r="P37" s="21">
        <f>IFERROR(VLOOKUP($A37,subQ,MATCH(P$1,SUBQH,0),0),"")</f>
        <v/>
      </c>
      <c r="Q37" s="21">
        <f>IFERROR(VLOOKUP($A37,subQ,MATCH(Q$1,SUBQH,0),0),"")</f>
        <v/>
      </c>
      <c r="R37" s="21">
        <f>IFERROR(VLOOKUP($A37,subQ,MATCH(R$1,SUBQH,0),0),"")</f>
        <v/>
      </c>
      <c r="S37" s="21">
        <f>IFERROR(VLOOKUP($A37,subQ,MATCH(S$1,SUBQH,0),0),"")</f>
        <v/>
      </c>
      <c r="T37" s="21">
        <f>IFERROR(VLOOKUP($A37,subQ,MATCH(T$1,SUBQH,0),0),"")</f>
        <v/>
      </c>
      <c r="U37" s="46">
        <f>IFERROR(VLOOKUP($A37,subQ,MATCH(U$1,SUBQH,0),0),"")</f>
        <v/>
      </c>
      <c r="V37" s="32">
        <f>IFERROR(VLOOKUP($A37,subQ,MATCH(V$1,SUBQH,0),0),"")</f>
        <v/>
      </c>
      <c r="W37" s="32">
        <f>IFERROR(VLOOKUP($A37,subQ,MATCH(W$1,SUBQH,0),0),"")</f>
        <v/>
      </c>
      <c r="X37" s="32">
        <f>IFERROR(VLOOKUP($A37,subQ,MATCH(X$1,SUBQH,0),0),"")</f>
        <v/>
      </c>
      <c r="Y37" s="32">
        <f>IFERROR(VLOOKUP($A37,subQ,MATCH(Y$1,SUBQH,0),0),"")</f>
        <v/>
      </c>
      <c r="Z37" s="32">
        <f>IFERROR(VLOOKUP($A37,subQ,MATCH(Z$1,SUBQH,0),0),"")</f>
        <v/>
      </c>
      <c r="AA37" s="32">
        <f>IFERROR(VLOOKUP($A37,subQ,MATCH(AA$1,SUBQH,0),0),"")</f>
        <v/>
      </c>
      <c r="AB37" s="32">
        <f>IFERROR(VLOOKUP($A37,subQ,MATCH(AB$1,SUBQH,0),0),"")</f>
        <v/>
      </c>
      <c r="AC37" s="32">
        <f>IFERROR(VLOOKUP($A37,subQ,MATCH(AC$1,SUBQH,0),0),"")</f>
        <v/>
      </c>
      <c r="AD37" s="32">
        <f>IFERROR(VLOOKUP($A37,subQ,MATCH(AD$1,SUBQH,0),0),"")</f>
        <v/>
      </c>
      <c r="AE37" s="32">
        <f>IFERROR(VLOOKUP($A37,subQ,MATCH(AE$1,SUBQH,0),0),"")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I38" s="21">
        <f>IFERROR(I5/E5-1,"")</f>
        <v/>
      </c>
      <c r="J38" s="21">
        <f>IFERROR(J5/F5-1,"")</f>
        <v/>
      </c>
      <c r="K38" s="21">
        <f>IFERROR(K5/G5-1,"")</f>
        <v/>
      </c>
      <c r="L38" s="21">
        <f>IFERROR(L5/H5-1,"")</f>
        <v/>
      </c>
      <c r="M38" s="21">
        <f>IFERROR(M5/I5-1,"")</f>
        <v/>
      </c>
      <c r="N38" s="21">
        <f>IFERROR(N5/J5-1,"")</f>
        <v/>
      </c>
      <c r="O38" s="21">
        <f>IFERROR(O5/K5-1,"")</f>
        <v/>
      </c>
      <c r="P38" s="21">
        <f>IFERROR(P5/L5-1,"")</f>
        <v/>
      </c>
      <c r="Q38" s="21">
        <f>IFERROR(Q5/M5-1,"")</f>
        <v/>
      </c>
      <c r="R38" s="21">
        <f>IFERROR(R5/N5-1,"")</f>
        <v/>
      </c>
      <c r="S38" s="21">
        <f>IFERROR(S5/O5-1,"")</f>
        <v/>
      </c>
      <c r="T38" s="21">
        <f>IFERROR(T5/P5-1,"")</f>
        <v/>
      </c>
      <c r="U38" s="46">
        <f>IFERROR(U5/Q5-1,"")</f>
        <v/>
      </c>
      <c r="V38" s="32">
        <f>IFERROR(V5/R5-1,"")</f>
        <v/>
      </c>
      <c r="W38" s="32">
        <f>IFERROR(W5/S5-1,"")</f>
        <v/>
      </c>
      <c r="X38" s="32">
        <f>IFERROR(X5/T5-1,"")</f>
        <v/>
      </c>
      <c r="Y38" s="32">
        <f>IFERROR(Y5/U5-1,"")</f>
        <v/>
      </c>
      <c r="Z38" s="32">
        <f>IFERROR(Z5/V5-1,"")</f>
        <v/>
      </c>
      <c r="AA38" s="32">
        <f>IFERROR(AA5/W5-1,"")</f>
        <v/>
      </c>
      <c r="AB38" s="32">
        <f>IFERROR(AB5/X5-1,"")</f>
        <v/>
      </c>
      <c r="AC38" s="32">
        <f>IFERROR(AC5/Y5-1,"")</f>
        <v/>
      </c>
      <c r="AD38" s="32">
        <f>IFERROR(AD5/Z5-1,"")</f>
        <v/>
      </c>
      <c r="AE38" s="32">
        <f>IFERROR(AE5/AA5-1,"")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I39" s="21">
        <f>IFERROR(I9/E9-1,"")</f>
        <v/>
      </c>
      <c r="J39" s="21">
        <f>IFERROR(J9/F9-1,"")</f>
        <v/>
      </c>
      <c r="K39" s="21">
        <f>IFERROR(K9/G9-1,"")</f>
        <v/>
      </c>
      <c r="L39" s="21">
        <f>IFERROR(L9/H9-1,"")</f>
        <v/>
      </c>
      <c r="M39" s="21">
        <f>IFERROR(M9/I9-1,"")</f>
        <v/>
      </c>
      <c r="N39" s="21">
        <f>IFERROR(N9/J9-1,"")</f>
        <v/>
      </c>
      <c r="O39" s="21">
        <f>IFERROR(O9/K9-1,"")</f>
        <v/>
      </c>
      <c r="P39" s="21">
        <f>IFERROR(P9/L9-1,"")</f>
        <v/>
      </c>
      <c r="Q39" s="21">
        <f>IFERROR(Q9/M9-1,"")</f>
        <v/>
      </c>
      <c r="R39" s="21">
        <f>IFERROR(R9/N9-1,"")</f>
        <v/>
      </c>
      <c r="S39" s="21">
        <f>IFERROR(S9/O9-1,"")</f>
        <v/>
      </c>
      <c r="T39" s="21">
        <f>IFERROR(T9/P9-1,"")</f>
        <v/>
      </c>
      <c r="U39" s="46">
        <f>IFERROR(U9/Q9-1,"")</f>
        <v/>
      </c>
      <c r="V39" s="32">
        <f>IFERROR(V9/R9-1,"")</f>
        <v/>
      </c>
      <c r="W39" s="32">
        <f>IFERROR(W9/S9-1,"")</f>
        <v/>
      </c>
      <c r="X39" s="32">
        <f>IFERROR(X9/T9-1,"")</f>
        <v/>
      </c>
      <c r="Y39" s="32">
        <f>IFERROR(Y9/U9-1,"")</f>
        <v/>
      </c>
      <c r="Z39" s="32">
        <f>IFERROR(Z9/V9-1,"")</f>
        <v/>
      </c>
      <c r="AA39" s="32">
        <f>IFERROR(AA9/W9-1,"")</f>
        <v/>
      </c>
      <c r="AB39" s="32">
        <f>IFERROR(AB9/X9-1,"")</f>
        <v/>
      </c>
      <c r="AC39" s="32">
        <f>IFERROR(AC9/Y9-1,"")</f>
        <v/>
      </c>
      <c r="AD39" s="32">
        <f>IFERROR(AD9/Z9-1,"")</f>
        <v/>
      </c>
      <c r="AE39" s="32">
        <f>IFERROR(AE9/AA9-1,"")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I40" s="21">
        <f>IFERROR(I17/E17-1,"")</f>
        <v/>
      </c>
      <c r="J40" s="21">
        <f>IFERROR(J17/F17-1,"")</f>
        <v/>
      </c>
      <c r="K40" s="21">
        <f>IFERROR(K17/G17-1,"")</f>
        <v/>
      </c>
      <c r="L40" s="21">
        <f>IFERROR(L17/H17-1,"")</f>
        <v/>
      </c>
      <c r="M40" s="21">
        <f>IFERROR(M17/I17-1,"")</f>
        <v/>
      </c>
      <c r="N40" s="21">
        <f>IFERROR(N17/J17-1,"")</f>
        <v/>
      </c>
      <c r="O40" s="21">
        <f>IFERROR(O17/K17-1,"")</f>
        <v/>
      </c>
      <c r="P40" s="21">
        <f>IFERROR(P17/L17-1,"")</f>
        <v/>
      </c>
      <c r="Q40" s="21">
        <f>IFERROR(Q17/M17-1,"")</f>
        <v/>
      </c>
      <c r="R40" s="21">
        <f>IFERROR(R17/N17-1,"")</f>
        <v/>
      </c>
      <c r="S40" s="21">
        <f>IFERROR(S17/O17-1,"")</f>
        <v/>
      </c>
      <c r="T40" s="21">
        <f>IFERROR(T17/P17-1,"")</f>
        <v/>
      </c>
      <c r="U40" s="46">
        <f>IFERROR(U17/Q17-1,"")</f>
        <v/>
      </c>
      <c r="V40" s="32">
        <f>IFERROR(V17/R17-1,"")</f>
        <v/>
      </c>
      <c r="W40" s="32">
        <f>IFERROR(W17/S17-1,"")</f>
        <v/>
      </c>
      <c r="X40" s="32">
        <f>IFERROR(X17/T17-1,"")</f>
        <v/>
      </c>
      <c r="Y40" s="32">
        <f>IFERROR(Y17/U17-1,"")</f>
        <v/>
      </c>
      <c r="Z40" s="32">
        <f>IFERROR(Z17/V17-1,"")</f>
        <v/>
      </c>
      <c r="AA40" s="32">
        <f>IFERROR(AA17/W17-1,"")</f>
        <v/>
      </c>
      <c r="AB40" s="32">
        <f>IFERROR(AB17/X17-1,"")</f>
        <v/>
      </c>
      <c r="AC40" s="32">
        <f>IFERROR(AC17/Y17-1,"")</f>
        <v/>
      </c>
      <c r="AD40" s="32">
        <f>IFERROR(AD17/Z17-1,"")</f>
        <v/>
      </c>
      <c r="AE40" s="32">
        <f>IFERROR(AE17/AA17-1,"")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C1" s="2" t="inlineStr">
        <is>
          <t>이름: 연간예상H — subQ 를 이름으로 VLOOKUP(억원)</t>
        </is>
      </c>
      <c r="E1" s="3" t="n">
        <v>2022</v>
      </c>
      <c r="F1" s="3" t="n">
        <v>2023</v>
      </c>
      <c r="G1" s="3" t="n">
        <v>2024</v>
      </c>
      <c r="H1" s="41" t="n">
        <v>2025</v>
      </c>
      <c r="I1" s="3" t="n">
        <v>2026</v>
      </c>
      <c r="J1" s="3" t="n">
        <v>2027</v>
      </c>
      <c r="K1" s="3" t="n">
        <v>2028</v>
      </c>
    </row>
    <row r="2">
      <c r="C2" t="inlineStr">
        <is>
          <t>종가:</t>
        </is>
      </c>
      <c r="D2" s="18">
        <f>변수!D40</f>
        <v/>
      </c>
      <c r="H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43" t="n">
        <v>4</v>
      </c>
      <c r="I3" s="2" t="n">
        <v>5</v>
      </c>
      <c r="J3" s="2" t="n">
        <v>6</v>
      </c>
      <c r="K3" s="2" t="n">
        <v>7</v>
      </c>
    </row>
    <row r="4">
      <c r="E4" s="7" t="inlineStr">
        <is>
          <t>2022.12A</t>
        </is>
      </c>
      <c r="F4" s="7" t="inlineStr">
        <is>
          <t>2023.12A</t>
        </is>
      </c>
      <c r="G4" s="7" t="inlineStr">
        <is>
          <t>2024.12A</t>
        </is>
      </c>
      <c r="H4" s="44" t="inlineStr">
        <is>
          <t>2025.12A</t>
        </is>
      </c>
      <c r="I4" s="7" t="inlineStr">
        <is>
          <t>2026.12A</t>
        </is>
      </c>
      <c r="J4" s="7" t="inlineStr">
        <is>
          <t>2027.12A</t>
        </is>
      </c>
      <c r="K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45">
        <f>IFERROR(VLOOKUP($A5,subQ,MATCH(H$1,SUBQH,0),0),"")</f>
        <v/>
      </c>
      <c r="I5" s="20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45">
        <f>IFERROR(VLOOKUP($A6,subQ,MATCH(H$1,SUBQH,0),0),"")</f>
        <v/>
      </c>
      <c r="I6" s="20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45">
        <f>IFERROR(VLOOKUP($A7,subQ,MATCH(H$1,SUBQH,0),0),"")</f>
        <v/>
      </c>
      <c r="I7" s="20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45">
        <f>IFERROR(VLOOKUP($A8,subQ,MATCH(H$1,SUBQH,0),0),"")</f>
        <v/>
      </c>
      <c r="I8" s="20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45">
        <f>IFERROR(VLOOKUP($A9,subQ,MATCH(H$1,SUBQH,0),0),"")</f>
        <v/>
      </c>
      <c r="I9" s="20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46">
        <f>IFERROR(VLOOKUP($A10,subQ,MATCH(H$1,SUBQH,0),0),"")</f>
        <v/>
      </c>
      <c r="I10" s="32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45">
        <f>IFERROR(VLOOKUP($A11,subQ,MATCH(H$1,SUBQH,0),0),"")</f>
        <v/>
      </c>
      <c r="I11" s="20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45">
        <f>IFERROR(VLOOKUP($A12,subQ,MATCH(H$1,SUBQH,0),0),"")</f>
        <v/>
      </c>
      <c r="I12" s="20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45">
        <f>IFERROR(VLOOKUP($A13,subQ,MATCH(H$1,SUBQH,0),0),"")</f>
        <v/>
      </c>
      <c r="I13" s="20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45">
        <f>IFERROR(VLOOKUP($A14,subQ,MATCH(H$1,SUBQH,0),0),"")</f>
        <v/>
      </c>
      <c r="I14" s="20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45">
        <f>IFERROR(VLOOKUP($A15,subQ,MATCH(H$1,SUBQH,0),0),"")</f>
        <v/>
      </c>
      <c r="I15" s="20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45">
        <f>IFERROR(VLOOKUP($A16,subQ,MATCH(H$1,SUBQH,0),0),"")</f>
        <v/>
      </c>
      <c r="I16" s="20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45">
        <f>IFERROR(VLOOKUP($A17,subQ,MATCH(H$1,SUBQH,0),0),"")</f>
        <v/>
      </c>
      <c r="I17" s="20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</row>
    <row r="18">
      <c r="A18" s="12" t="inlineStr">
        <is>
          <t>감가상각비</t>
        </is>
      </c>
      <c r="D18" t="inlineStr">
        <is>
          <t>감가상각비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45">
        <f>IFERROR(VLOOKUP($A18,subQ,MATCH(H$1,SUBQH,0),0),"")</f>
        <v/>
      </c>
      <c r="I18" s="20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</row>
    <row r="19">
      <c r="A19" s="12" t="inlineStr">
        <is>
          <t>EBITDA</t>
        </is>
      </c>
      <c r="D19" t="inlineStr">
        <is>
          <t>EBITDA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45">
        <f>IFERROR(VLOOKUP($A19,subQ,MATCH(H$1,SUBQH,0),0),"")</f>
        <v/>
      </c>
      <c r="I19" s="20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45">
        <f>IFERROR(VLOOKUP($A20,subQ,MATCH(H$1,SUBQH,0),0),"")</f>
        <v/>
      </c>
      <c r="I20" s="20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45">
        <f>IFERROR(VLOOKUP($A21,subQ,MATCH(H$1,SUBQH,0),0),"")</f>
        <v/>
      </c>
      <c r="I21" s="20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45">
        <f>IFERROR(VLOOKUP($A22,subQ,MATCH(H$1,SUBQH,0),0),"")</f>
        <v/>
      </c>
      <c r="I22" s="20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45">
        <f>IFERROR(VLOOKUP($A23,subQ,MATCH(H$1,SUBQH,0),0),"")</f>
        <v/>
      </c>
      <c r="I23" s="20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45">
        <f>IFERROR(VLOOKUP($A24,subQ,MATCH(H$1,SUBQH,0),0),"")</f>
        <v/>
      </c>
      <c r="I24" s="20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45">
        <f>IFERROR(VLOOKUP($A25,subQ,MATCH(H$1,SUBQH,0),0),"")</f>
        <v/>
      </c>
      <c r="I25" s="20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45">
        <f>IFERROR(VLOOKUP($A26,subQ,MATCH(H$1,SUBQH,0),0),"")</f>
        <v/>
      </c>
      <c r="I26" s="20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45">
        <f>IFERROR(VLOOKUP($A27,subQ,MATCH(H$1,SUBQH,0),0),"")</f>
        <v/>
      </c>
      <c r="I27" s="20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45">
        <f>IFERROR(VLOOKUP($A28,subQ,MATCH(H$1,SUBQH,0),0),"")</f>
        <v/>
      </c>
      <c r="I28" s="20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47">
        <f>IFERROR(VLOOKUP($A29,subQ,MATCH(H$1,SUBQH,0),0),"")</f>
        <v/>
      </c>
      <c r="I29" s="33">
        <f>IFERROR(VLOOKUP($A29,subQ,MATCH(I$1,SUBQH,0),0),"")</f>
        <v/>
      </c>
      <c r="J29" s="33">
        <f>IFERROR(VLOOKUP($A29,subQ,MATCH(J$1,SUBQH,0),0),"")</f>
        <v/>
      </c>
      <c r="K29" s="33">
        <f>IFERROR(VLOOKUP($A29,subQ,MATCH(K$1,SUBQH,0),0),"")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45">
        <f>IFERROR(VLOOKUP($A30,subQ,MATCH(H$1,SUBQH,0),0),"")</f>
        <v/>
      </c>
      <c r="I30" s="20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45">
        <f>IFERROR(VLOOKUP($A31,subQ,MATCH(H$1,SUBQH,0),0),"")</f>
        <v/>
      </c>
      <c r="I31" s="20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45">
        <f>IFERROR(VLOOKUP($A32,subQ,MATCH(H$1,SUBQH,0),0),"")</f>
        <v/>
      </c>
      <c r="I32" s="20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48">
        <f>IFERROR(VLOOKUP($A33,subQ,MATCH(H$1,SUBQH,0),0),"")</f>
        <v/>
      </c>
      <c r="I33" s="39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48">
        <f>IFERROR(VLOOKUP($A34,subQ,MATCH(H$1,SUBQH,0),0),"")</f>
        <v/>
      </c>
      <c r="I34" s="39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45">
        <f>IFERROR(VLOOKUP($A35,subQ,MATCH(H$1,SUBQH,0),0),"")</f>
        <v/>
      </c>
      <c r="I35" s="20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45">
        <f>IFERROR(VLOOKUP($A36,subQ,MATCH(H$1,SUBQH,0),0),"")</f>
        <v/>
      </c>
      <c r="I36" s="20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46">
        <f>IFERROR(VLOOKUP($A37,subQ,MATCH(H$1,SUBQH,0),0),"")</f>
        <v/>
      </c>
      <c r="I37" s="32">
        <f>IFERROR(VLOOKUP($A37,subQ,MATCH(I$1,SUBQH,0),0),"")</f>
        <v/>
      </c>
      <c r="J37" s="32">
        <f>IFERROR(VLOOKUP($A37,subQ,MATCH(J$1,SUBQH,0),0),"")</f>
        <v/>
      </c>
      <c r="K37" s="32">
        <f>IFERROR(VLOOKUP($A37,subQ,MATCH(K$1,SUBQH,0),0),"")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F38" s="21">
        <f>IFERROR(F5/E5-1,"")</f>
        <v/>
      </c>
      <c r="G38" s="21">
        <f>IFERROR(G5/F5-1,"")</f>
        <v/>
      </c>
      <c r="H38" s="46">
        <f>IFERROR(H5/G5-1,"")</f>
        <v/>
      </c>
      <c r="I38" s="32">
        <f>IFERROR(I5/H5-1,"")</f>
        <v/>
      </c>
      <c r="J38" s="32">
        <f>IFERROR(J5/I5-1,"")</f>
        <v/>
      </c>
      <c r="K38" s="32">
        <f>IFERROR(K5/J5-1,"")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F39" s="21">
        <f>IFERROR(F9/E9-1,"")</f>
        <v/>
      </c>
      <c r="G39" s="21">
        <f>IFERROR(G9/F9-1,"")</f>
        <v/>
      </c>
      <c r="H39" s="46">
        <f>IFERROR(H9/G9-1,"")</f>
        <v/>
      </c>
      <c r="I39" s="32">
        <f>IFERROR(I9/H9-1,"")</f>
        <v/>
      </c>
      <c r="J39" s="32">
        <f>IFERROR(J9/I9-1,"")</f>
        <v/>
      </c>
      <c r="K39" s="32">
        <f>IFERROR(K9/J9-1,"")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F40" s="21">
        <f>IFERROR(F17/E17-1,"")</f>
        <v/>
      </c>
      <c r="G40" s="21">
        <f>IFERROR(G17/F17-1,"")</f>
        <v/>
      </c>
      <c r="H40" s="46">
        <f>IFERROR(H17/G17-1,"")</f>
        <v/>
      </c>
      <c r="I40" s="32">
        <f>IFERROR(I17/H17-1,"")</f>
        <v/>
      </c>
      <c r="J40" s="32">
        <f>IFERROR(J17/I17-1,"")</f>
        <v/>
      </c>
      <c r="K40" s="32">
        <f>IFERROR(K17/J17-1,"")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변수!D40</f>
        <v/>
      </c>
    </row>
    <row r="2">
      <c r="B2" s="1" t="inlineStr">
        <is>
          <t>기준일</t>
        </is>
      </c>
      <c r="C2">
        <f>변수!D41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IFERROR(E7*변수!D46+F7*(1-변수!D46),"")</f>
        <v/>
      </c>
    </row>
    <row r="15">
      <c r="C15" t="inlineStr">
        <is>
          <t>적정가치 @PER_lo</t>
        </is>
      </c>
      <c r="D15" s="27">
        <f>변수!D43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변수!D44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변수!D45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변수!D42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-295.7</v>
      </c>
    </row>
    <row r="30">
      <c r="C30" s="2" t="inlineStr">
        <is>
          <t>bps_latest</t>
        </is>
      </c>
      <c r="D30" t="n">
        <v>18161.7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1.34</v>
      </c>
    </row>
    <row r="33">
      <c r="C33" s="2" t="inlineStr">
        <is>
          <t>roe_fwd</t>
        </is>
      </c>
      <c r="D33" t="n">
        <v>-0.0163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  <c r="D36" t="n">
        <v>105.05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C1" s="2" t="inlineStr">
        <is>
          <t>이름: 외화QH — 환율 QoQ · 외화 순노출 × Δ기말환율</t>
        </is>
      </c>
      <c r="E1" s="3" t="inlineStr">
        <is>
          <t>2Q22</t>
        </is>
      </c>
      <c r="F1" s="3" t="inlineStr">
        <is>
          <t>3Q22</t>
        </is>
      </c>
      <c r="G1" s="3" t="inlineStr">
        <is>
          <t>4Q22</t>
        </is>
      </c>
      <c r="H1" s="3" t="inlineStr">
        <is>
          <t>1Q23</t>
        </is>
      </c>
      <c r="I1" s="3" t="inlineStr">
        <is>
          <t>2Q23</t>
        </is>
      </c>
      <c r="J1" s="3" t="inlineStr">
        <is>
          <t>3Q23</t>
        </is>
      </c>
      <c r="K1" s="3" t="inlineStr">
        <is>
          <t>4Q23</t>
        </is>
      </c>
      <c r="L1" s="3" t="inlineStr">
        <is>
          <t>1Q24</t>
        </is>
      </c>
      <c r="M1" s="3" t="inlineStr">
        <is>
          <t>2Q24</t>
        </is>
      </c>
      <c r="N1" s="3" t="inlineStr">
        <is>
          <t>3Q24</t>
        </is>
      </c>
      <c r="O1" s="3" t="inlineStr">
        <is>
          <t>4Q24</t>
        </is>
      </c>
      <c r="P1" s="3" t="inlineStr">
        <is>
          <t>1Q25</t>
        </is>
      </c>
      <c r="Q1" s="3" t="inlineStr">
        <is>
          <t>2Q25</t>
        </is>
      </c>
      <c r="R1" s="3" t="inlineStr">
        <is>
          <t>3Q25</t>
        </is>
      </c>
      <c r="S1" s="3" t="inlineStr">
        <is>
          <t>4Q25</t>
        </is>
      </c>
      <c r="T1" s="3" t="inlineStr">
        <is>
          <t>1Q26</t>
        </is>
      </c>
      <c r="U1" s="3" t="inlineStr">
        <is>
          <t>2Q26</t>
        </is>
      </c>
      <c r="V1" s="3" t="inlineStr">
        <is>
          <t>3Q26</t>
        </is>
      </c>
      <c r="W1" s="3" t="inlineStr">
        <is>
          <t>4Q26</t>
        </is>
      </c>
      <c r="X1" s="3" t="inlineStr">
        <is>
          <t>1Q27</t>
        </is>
      </c>
      <c r="Y1" s="3" t="inlineStr">
        <is>
          <t>2Q27</t>
        </is>
      </c>
      <c r="Z1" s="3" t="inlineStr">
        <is>
          <t>3Q27</t>
        </is>
      </c>
      <c r="AA1" s="3" t="inlineStr">
        <is>
          <t>4Q27</t>
        </is>
      </c>
      <c r="AB1" s="3" t="inlineStr">
        <is>
          <t>1Q28</t>
        </is>
      </c>
      <c r="AC1" s="3" t="inlineStr">
        <is>
          <t>2Q28</t>
        </is>
      </c>
      <c r="AD1" s="3" t="inlineStr">
        <is>
          <t>3Q28</t>
        </is>
      </c>
      <c r="AE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E4" s="7" t="inlineStr">
        <is>
          <t>2022.06</t>
        </is>
      </c>
      <c r="F4" s="7" t="inlineStr">
        <is>
          <t>2022.09</t>
        </is>
      </c>
      <c r="G4" s="7" t="inlineStr">
        <is>
          <t>2022.12</t>
        </is>
      </c>
      <c r="H4" s="7" t="inlineStr">
        <is>
          <t>2023.03</t>
        </is>
      </c>
      <c r="I4" s="7" t="inlineStr">
        <is>
          <t>2023.06</t>
        </is>
      </c>
      <c r="J4" s="7" t="inlineStr">
        <is>
          <t>2023.09</t>
        </is>
      </c>
      <c r="K4" s="7" t="inlineStr">
        <is>
          <t>2023.12</t>
        </is>
      </c>
      <c r="L4" s="7" t="inlineStr">
        <is>
          <t>2024.03</t>
        </is>
      </c>
      <c r="M4" s="7" t="inlineStr">
        <is>
          <t>2024.06</t>
        </is>
      </c>
      <c r="N4" s="7" t="inlineStr">
        <is>
          <t>2024.09</t>
        </is>
      </c>
      <c r="O4" s="7" t="inlineStr">
        <is>
          <t>2024.12</t>
        </is>
      </c>
      <c r="P4" s="7" t="inlineStr">
        <is>
          <t>2025.03</t>
        </is>
      </c>
      <c r="Q4" s="7" t="inlineStr">
        <is>
          <t>2025.06</t>
        </is>
      </c>
      <c r="R4" s="7" t="inlineStr">
        <is>
          <t>2025.09</t>
        </is>
      </c>
      <c r="S4" s="7" t="inlineStr">
        <is>
          <t>2025.12</t>
        </is>
      </c>
      <c r="T4" s="7" t="inlineStr">
        <is>
          <t>2026.03</t>
        </is>
      </c>
      <c r="U4" s="7" t="inlineStr">
        <is>
          <t>2026.06</t>
        </is>
      </c>
      <c r="V4" s="7" t="inlineStr">
        <is>
          <t>2026.09</t>
        </is>
      </c>
      <c r="W4" s="7" t="inlineStr">
        <is>
          <t>2026.12</t>
        </is>
      </c>
      <c r="X4" s="7" t="inlineStr">
        <is>
          <t>2027.03</t>
        </is>
      </c>
      <c r="Y4" s="7" t="inlineStr">
        <is>
          <t>2027.06</t>
        </is>
      </c>
      <c r="Z4" s="7" t="inlineStr">
        <is>
          <t>2027.09</t>
        </is>
      </c>
      <c r="AA4" s="7" t="inlineStr">
        <is>
          <t>2027.12</t>
        </is>
      </c>
      <c r="AB4" s="7" t="inlineStr">
        <is>
          <t>2028.03</t>
        </is>
      </c>
      <c r="AC4" s="7" t="inlineStr">
        <is>
          <t>2028.06</t>
        </is>
      </c>
      <c r="AD4" s="7" t="inlineStr">
        <is>
          <t>2028.09</t>
        </is>
      </c>
      <c r="AE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39">
        <f>IFERROR(VLOOKUP($D5,환율,MATCH(V$1,변수H,0),0),"")</f>
        <v/>
      </c>
      <c r="W5" s="39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32">
        <f>IFERROR(V5/U5-1,"")</f>
        <v/>
      </c>
      <c r="W6" s="32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39">
        <f>IFERROR(VLOOKUP($D7,환율,MATCH(V$1,변수H,0),0),"")</f>
        <v/>
      </c>
      <c r="W7" s="39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32">
        <f>IFERROR(V7/U7-1,"")</f>
        <v/>
      </c>
      <c r="W8" s="32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39">
        <f>IFERROR(VLOOKUP($D9,환율,MATCH(V$1,변수H,0),0),"")</f>
        <v/>
      </c>
      <c r="W9" s="39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32">
        <f>IFERROR(V9/U9-1,"")</f>
        <v/>
      </c>
      <c r="W10" s="32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39">
        <f>IFERROR(VLOOKUP($D11,환율,MATCH(V$1,변수H,0),0),"")</f>
        <v/>
      </c>
      <c r="W11" s="39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32">
        <f>IFERROR(V11/U11-1,"")</f>
        <v/>
      </c>
      <c r="W12" s="32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39">
        <f>IFERROR(VLOOKUP($D13,환율,MATCH(V$1,변수H,0),0),"")</f>
        <v/>
      </c>
      <c r="W13" s="39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32">
        <f>IFERROR(V13/U13-1,"")</f>
        <v/>
      </c>
      <c r="W14" s="32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</row>
    <row r="15"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변수!D53</f>
        <v/>
      </c>
      <c r="E16" s="2" t="inlineStr">
        <is>
          <t>외화 순노출 × Δ기말환율 (외화 시트 방식)</t>
        </is>
      </c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20">
        <f>IFERROR($D$16*(V7-U7)/100,"")</f>
        <v/>
      </c>
      <c r="W17" s="20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</row>
    <row r="19">
      <c r="C19" s="2" t="inlineStr">
        <is>
          <t>외화 순노출 미공시(face) → 0 + 표기</t>
        </is>
      </c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