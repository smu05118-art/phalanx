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BS연결!$C$5:$AL$90</definedName>
    <definedName name="BS별도H">BS별도!$C$1:$AL$1</definedName>
    <definedName name="BS별도">BS별도!$C$5:$AL$90</definedName>
    <definedName name="SUBQH">subQ!$A$1:$AL$1</definedName>
    <definedName name="subQ">subQ!$A$5:$AL$41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Z15" authorId="0" shapeId="0">
      <text>
        <t>분기 진행 중(partial) — aikstockdata/토스 일봉</t>
      </text>
    </comment>
    <comment ref="Z16" authorId="0" shapeId="0">
      <text>
        <t>분기 진행 중(partial) — aikstockdata/토스 일봉</t>
      </text>
    </comment>
    <comment ref="Z17" authorId="0" shapeId="0">
      <text>
        <t>분기 진행 중(partial) — aikstockdata/토스 일봉</t>
      </text>
    </comment>
    <comment ref="Z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모델값 역산(implied): v / 매출액
매출액 × 판관비율 9.37%(최근 4분기 중위)</t>
      </text>
    </comment>
    <comment ref="AA22" authorId="0" shapeId="0">
      <text>
        <t>모델값 역산(implied): v / 매출액
매출액 × 판관비율 9.37%(최근 4분기 중위)</t>
      </text>
    </comment>
    <comment ref="AC22" authorId="0" shapeId="0">
      <text>
        <t>모델값 역산(implied): v / 매출액
매출액 × 판관비율 9.37%(최근 4분기 중위)</t>
      </text>
    </comment>
    <comment ref="AD22" authorId="0" shapeId="0">
      <text>
        <t>모델값 역산(implied): v / 매출액
매출액 × 판관비율 9.37%(최근 4분기 중위)</t>
      </text>
    </comment>
    <comment ref="AE22" authorId="0" shapeId="0">
      <text>
        <t>모델값 역산(implied): v / 매출액
매출액 × 판관비율 9.37%(최근 4분기 중위)</t>
      </text>
    </comment>
    <comment ref="AF22" authorId="0" shapeId="0">
      <text>
        <t>모델값 역산(implied): v / 매출액
매출액 × 판관비율 9.37%(최근 4분기 중위)</t>
      </text>
    </comment>
    <comment ref="AH22" authorId="0" shapeId="0">
      <text>
        <t>모델값 역산(implied): v / 매출액
매출액 × 판관비율 9.37%(최근 4분기 중위)</t>
      </text>
    </comment>
    <comment ref="AI22" authorId="0" shapeId="0">
      <text>
        <t>모델값 역산(implied): v / 매출액
매출액 × 판관비율 9.37%(최근 4분기 중위)</t>
      </text>
    </comment>
    <comment ref="AJ22" authorId="0" shapeId="0">
      <text>
        <t>모델값 역산(implied): v / 매출액
매출액 × 판관비율 9.37%(최근 4분기 중위)</t>
      </text>
    </comment>
    <comment ref="AK22" authorId="0" shapeId="0">
      <text>
        <t>모델값 역산(implied): v / 매출액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v / 전년동기 − 1
최근 8분기 OPM 중위 1.4% 유지(클립 −20~40%)</t>
      </text>
    </comment>
    <comment ref="AA24" authorId="0" shapeId="0">
      <text>
        <t>모델값 역산(implied): v / 전년동기 − 1
최근 8분기 OPM 중위 1.4% 유지(클립 −20~40%)</t>
      </text>
    </comment>
    <comment ref="AC24" authorId="0" shapeId="0">
      <text>
        <t>모델값 역산(implied): v / 전년동기 − 1
최근 8분기 OPM 중위 1.4% 유지(클립 −20~40%)</t>
      </text>
    </comment>
    <comment ref="AD24" authorId="0" shapeId="0">
      <text>
        <t>모델값 역산(implied): v / 전년동기 − 1
최근 8분기 OPM 중위 1.4% 유지(클립 −20~40%)</t>
      </text>
    </comment>
    <comment ref="AE24" authorId="0" shapeId="0">
      <text>
        <t>모델값 역산(implied): v / 전년동기 − 1
최근 8분기 OPM 중위 1.4% 유지(클립 −20~40%)</t>
      </text>
    </comment>
    <comment ref="AF24" authorId="0" shapeId="0">
      <text>
        <t>모델값 역산(implied): v / 전년동기 − 1
최근 8분기 OPM 중위 1.4% 유지(클립 −20~40%)</t>
      </text>
    </comment>
    <comment ref="AH24" authorId="0" shapeId="0">
      <text>
        <t>모델값 역산(implied): v / 전년동기 − 1
최근 8분기 OPM 중위 1.4% 유지(클립 −20~40%)</t>
      </text>
    </comment>
    <comment ref="AI24" authorId="0" shapeId="0">
      <text>
        <t>모델값 역산(implied): v / 전년동기 − 1
최근 8분기 OPM 중위 1.4% 유지(클립 −20~40%)</t>
      </text>
    </comment>
    <comment ref="AJ24" authorId="0" shapeId="0">
      <text>
        <t>모델값 역산(implied): v / 전년동기 − 1
최근 8분기 OPM 중위 1.4% 유지(클립 −20~40%)</t>
      </text>
    </comment>
    <comment ref="AK24" authorId="0" shapeId="0">
      <text>
        <t>모델값 역산(implied): v / 전년동기 − 1
최근 8분기 OPM 중위 1.4% 유지(클립 −20~40%)</t>
      </text>
    </comment>
    <comment ref="Z25" authorId="0" shapeId="0">
      <text>
        <t>모델값 역산(implied): 모델 v 그대로
이자손익 + 외환손익 0 + 파생상품손익 0 + 기타금융손익 +0.00억(잔차 실측 0분기 &lt; 4 → 0) (항등식); 이자손익 = 이자발생자산 297억 × 4.93%(주석 이자수익 ÷ 평균 이자발생자산(2024Q2~2025Q1)) − 총차입금 0억 × 3.93%(주석 이자비용 ÷ 평균 총차입금(2024Q2~2025Q1)) (연율) ÷ 4; 환율 효과는 환관련손익 행 별도</t>
      </text>
    </comment>
    <comment ref="AA25" authorId="0" shapeId="0">
      <text>
        <t>모델값 역산(implied): 모델 v 그대로
이자손익 + 외환손익 0 + 파생상품손익 0 + 기타금융손익 +0.00억(잔차 실측 0분기 &lt; 4 → 0) (항등식); 이자손익 = 이자발생자산 302억 × 4.93%(주석 이자수익 ÷ 평균 이자발생자산(2024Q2~2025Q1)) − 총차입금 0억 × 3.93%(주석 이자비용 ÷ 평균 총차입금(2024Q2~2025Q1)) (연율) ÷ 4; 환율 효과는 환관련손익 행 별도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307억 × 4.93%(주석 이자수익 ÷ 평균 이자발생자산(2024Q2~2025Q1)) − 총차입금 0억 × 3.93%(주석 이자비용 ÷ 평균 총차입금(2024Q2~2025Q1))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310억 × 4.93%(주석 이자수익 ÷ 평균 이자발생자산(2024Q2~2025Q1)) − 총차입금 0억 × 3.93%(주석 이자비용 ÷ 평균 총차입금(2024Q2~2025Q1)) (연율) ÷ 4; 환율 효과는 환관련손익 행 별도</t>
      </text>
    </comment>
    <comment ref="AE25" authorId="0" shapeId="0">
      <text>
        <t>모델값 역산(implied): 모델 v 그대로
이자손익 + 외환손익 0 + 파생상품손익 0 + 기타금융손익 +0.00억(잔차 실측 0분기 &lt; 4 → 0) (항등식); 이자손익 = 이자발생자산 316억 × 4.93%(주석 이자수익 ÷ 평균 이자발생자산(2024Q2~2025Q1)) − 총차입금 0억 × 3.93%(주석 이자비용 ÷ 평균 총차입금(2024Q2~2025Q1))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321억 × 4.93%(주석 이자수익 ÷ 평균 이자발생자산(2024Q2~2025Q1)) − 총차입금 0억 × 3.93%(주석 이자비용 ÷ 평균 총차입금(2024Q2~2025Q1))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326억 × 4.93%(주석 이자수익 ÷ 평균 이자발생자산(2024Q2~2025Q1)) − 총차입금 0억 × 3.93%(주석 이자비용 ÷ 평균 총차입금(2024Q2~2025Q1))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330억 × 4.93%(주석 이자수익 ÷ 평균 이자발생자산(2024Q2~2025Q1)) − 총차입금 0억 × 3.93%(주석 이자비용 ÷ 평균 총차입금(2024Q2~2025Q1)) (연율) ÷ 4; 환율 효과는 환관련손익 행 별도</t>
      </text>
    </comment>
    <comment ref="AJ25" authorId="0" shapeId="0">
      <text>
        <t>모델값 역산(implied): 모델 v 그대로
이자손익 + 외환손익 0 + 파생상품손익 0 + 기타금융손익 +0.00억(잔차 실측 0분기 &lt; 4 → 0) (항등식); 이자손익 = 이자발생자산 336억 × 4.93%(주석 이자수익 ÷ 평균 이자발생자산(2024Q2~2025Q1)) − 총차입금 0억 × 3.93%(주석 이자비용 ÷ 평균 총차입금(2024Q2~2025Q1))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341억 × 4.93%(주석 이자수익 ÷ 평균 이자발생자산(2024Q2~2025Q1)) − 총차입금 0억 × 3.93%(주석 이자비용 ÷ 평균 총차입금(2024Q2~2025Q1)) (연율) ÷ 4; 환율 효과는 환관련손익 행 별도</t>
      </text>
    </comment>
    <comment ref="Z26" authorId="0" shapeId="0">
      <text>
        <t>모델값 역산(implied): 모델 v 그대로
이자발생자산 297억 × 4.93%(주석 이자수익 ÷ 평균 이자발생자산(2024Q2~2025Q1)) − 총차입금 0억 × 3.93%(주석 이자비용 ÷ 평균 총차입금(2024Q2~2025Q1)) (연율) ÷ 4</t>
      </text>
    </comment>
    <comment ref="AA26" authorId="0" shapeId="0">
      <text>
        <t>모델값 역산(implied): 모델 v 그대로
이자발생자산 302억 × 4.93%(주석 이자수익 ÷ 평균 이자발생자산(2024Q2~2025Q1)) − 총차입금 0억 × 3.93%(주석 이자비용 ÷ 평균 총차입금(2024Q2~2025Q1)) (연율) ÷ 4</t>
      </text>
    </comment>
    <comment ref="AC26" authorId="0" shapeId="0">
      <text>
        <t>모델값 역산(implied): 모델 v 그대로
이자발생자산 307억 × 4.93%(주석 이자수익 ÷ 평균 이자발생자산(2024Q2~2025Q1)) − 총차입금 0억 × 3.93%(주석 이자비용 ÷ 평균 총차입금(2024Q2~2025Q1)) (연율) ÷ 4</t>
      </text>
    </comment>
    <comment ref="AD26" authorId="0" shapeId="0">
      <text>
        <t>모델값 역산(implied): 모델 v 그대로
이자발생자산 310억 × 4.93%(주석 이자수익 ÷ 평균 이자발생자산(2024Q2~2025Q1)) − 총차입금 0억 × 3.93%(주석 이자비용 ÷ 평균 총차입금(2024Q2~2025Q1)) (연율) ÷ 4</t>
      </text>
    </comment>
    <comment ref="AE26" authorId="0" shapeId="0">
      <text>
        <t>모델값 역산(implied): 모델 v 그대로
이자발생자산 316억 × 4.93%(주석 이자수익 ÷ 평균 이자발생자산(2024Q2~2025Q1)) − 총차입금 0억 × 3.93%(주석 이자비용 ÷ 평균 총차입금(2024Q2~2025Q1)) (연율) ÷ 4</t>
      </text>
    </comment>
    <comment ref="AF26" authorId="0" shapeId="0">
      <text>
        <t>모델값 역산(implied): 모델 v 그대로
이자발생자산 321억 × 4.93%(주석 이자수익 ÷ 평균 이자발생자산(2024Q2~2025Q1)) − 총차입금 0억 × 3.93%(주석 이자비용 ÷ 평균 총차입금(2024Q2~2025Q1)) (연율) ÷ 4</t>
      </text>
    </comment>
    <comment ref="AH26" authorId="0" shapeId="0">
      <text>
        <t>모델값 역산(implied): 모델 v 그대로
이자발생자산 326억 × 4.93%(주석 이자수익 ÷ 평균 이자발생자산(2024Q2~2025Q1)) − 총차입금 0억 × 3.93%(주석 이자비용 ÷ 평균 총차입금(2024Q2~2025Q1)) (연율) ÷ 4</t>
      </text>
    </comment>
    <comment ref="AI26" authorId="0" shapeId="0">
      <text>
        <t>모델값 역산(implied): 모델 v 그대로
이자발생자산 330억 × 4.93%(주석 이자수익 ÷ 평균 이자발생자산(2024Q2~2025Q1)) − 총차입금 0억 × 3.93%(주석 이자비용 ÷ 평균 총차입금(2024Q2~2025Q1)) (연율) ÷ 4</t>
      </text>
    </comment>
    <comment ref="AJ26" authorId="0" shapeId="0">
      <text>
        <t>모델값 역산(implied): 모델 v 그대로
이자발생자산 336억 × 4.93%(주석 이자수익 ÷ 평균 이자발생자산(2024Q2~2025Q1)) − 총차입금 0억 × 3.93%(주석 이자비용 ÷ 평균 총차입금(2024Q2~2025Q1)) (연율) ÷ 4</t>
      </text>
    </comment>
    <comment ref="AK26" authorId="0" shapeId="0">
      <text>
        <t>모델값 역산(implied): 모델 v 그대로
이자발생자산 341억 × 4.93%(주석 이자수익 ÷ 평균 이자발생자산(2024Q2~2025Q1)) − 총차입금 0억 × 3.93%(주석 이자비용 ÷ 평균 총차입금(2024Q2~2025Q1)) (연율) ÷ 4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E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J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Z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9" authorId="0" shapeId="0">
      <text>
        <t>모델값 역산(implied): v / 당기순이익
당기순이익 × (1 − 비지배 비중 0.0%, 최근 8분기 실측)</t>
      </text>
    </comment>
    <comment ref="AA29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E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J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Z30" authorId="0" shapeId="0">
      <text>
        <t>모델값 역산(implied): v / 전년동기 − 1
최근 4분기 감가상각비 중위 유지</t>
      </text>
    </comment>
    <comment ref="AA30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최근 4분기 감가상각비 중위 유지</t>
      </text>
    </comment>
    <comment ref="AD30" authorId="0" shapeId="0">
      <text>
        <t>모델값 역산(implied): v / 전년동기 − 1
최근 4분기 감가상각비 중위 유지</t>
      </text>
    </comment>
    <comment ref="AE30" authorId="0" shapeId="0">
      <text>
        <t>모델값 역산(implied): v / 전년동기 − 1
최근 4분기 감가상각비 중위 유지</t>
      </text>
    </comment>
    <comment ref="AF30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최근 4분기 감가상각비 중위 유지</t>
      </text>
    </comment>
    <comment ref="AI30" authorId="0" shapeId="0">
      <text>
        <t>모델값 역산(implied): v / 전년동기 − 1
최근 4분기 감가상각비 중위 유지</t>
      </text>
    </comment>
    <comment ref="AJ30" authorId="0" shapeId="0">
      <text>
        <t>모델값 역산(implied): v / 전년동기 − 1
최근 4분기 감가상각비 중위 유지</t>
      </text>
    </comment>
    <comment ref="AK30" authorId="0" shapeId="0">
      <text>
        <t>모델값 역산(implied): v / 전년동기 − 1
최근 4분기 감가상각비 중위 유지</t>
      </text>
    </comment>
    <comment ref="Z31" authorId="0" shapeId="0">
      <text>
        <t>모델값 역산(implied): v / 전년동기 − 1
영업이익 + 감가상각비</t>
      </text>
    </comment>
    <comment ref="AA31" authorId="0" shapeId="0">
      <text>
        <t>모델값 역산(implied): v / 전년동기 − 1
영업이익 + 감가상각비</t>
      </text>
    </comment>
    <comment ref="AC31" authorId="0" shapeId="0">
      <text>
        <t>모델값 역산(implied): v / 전년동기 − 1
영업이익 + 감가상각비</t>
      </text>
    </comment>
    <comment ref="AD31" authorId="0" shapeId="0">
      <text>
        <t>모델값 역산(implied): v / 전년동기 − 1
영업이익 + 감가상각비</t>
      </text>
    </comment>
    <comment ref="AE31" authorId="0" shapeId="0">
      <text>
        <t>모델값 역산(implied): v / 전년동기 − 1
영업이익 + 감가상각비</t>
      </text>
    </comment>
    <comment ref="AF31" authorId="0" shapeId="0">
      <text>
        <t>모델값 역산(implied): v / 전년동기 − 1
영업이익 + 감가상각비</t>
      </text>
    </comment>
    <comment ref="AH31" authorId="0" shapeId="0">
      <text>
        <t>모델값 역산(implied): v / 전년동기 − 1
영업이익 + 감가상각비</t>
      </text>
    </comment>
    <comment ref="AI31" authorId="0" shapeId="0">
      <text>
        <t>모델값 역산(implied): v / 전년동기 − 1
영업이익 + 감가상각비</t>
      </text>
    </comment>
    <comment ref="AJ31" authorId="0" shapeId="0">
      <text>
        <t>모델값 역산(implied): v / 전년동기 − 1
영업이익 + 감가상각비</t>
      </text>
    </comment>
    <comment ref="AK31" authorId="0" shapeId="0">
      <text>
        <t>모델값 역산(implied): v / 전년동기 − 1
영업이익 + 감가상각비</t>
      </text>
    </comment>
    <comment ref="Z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E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J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Z33" authorId="0" shapeId="0">
      <text>
        <t>모델값 역산(implied): 전분기 + 당기순이익 − v
전분기 + 당기순이익 − 배당(Q2 지급 가정)</t>
      </text>
    </comment>
    <comment ref="AA33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E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J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Z34" authorId="0" shapeId="0">
      <text>
        <t>모델값 역산(implied): 전분기 + 지배주주순이익 − v
전분기 + 지배주주순이익 − 배당</t>
      </text>
    </comment>
    <comment ref="AA34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E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J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Z37" authorId="0" shapeId="0">
      <text>
        <t>모델값 역산(implied): v / 전분기 − 1
전분기 + (순이익 − 배당) — 순차입금 롤과 같은 가정</t>
      </text>
    </comment>
    <comment ref="AA37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E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J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E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J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전년동기 − 1
현재 종가 ÷ TTM EPS(추정 포함)</t>
      </text>
    </comment>
    <comment ref="AJ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Z43" authorId="0" shapeId="0">
      <text>
        <t>모델값 역산(implied): v / 전년동기 − 1
현재 종가 ÷ BPS(추정 포함)</t>
      </text>
    </comment>
    <comment ref="AA43" authorId="0" shapeId="0">
      <text>
        <t>모델값 역산(implied): v / 전년동기 − 1
현재 종가 ÷ BPS(추정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E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J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Z44" authorId="0" shapeId="0">
      <text>
        <t>모델값 역산(implied): v / 매출액
= 매출액 추정(부문 미분리)</t>
      </text>
    </comment>
    <comment ref="AA44" authorId="0" shapeId="0">
      <text>
        <t>모델값 역산(implied): v / 매출액
= 매출액 추정(부문 미분리)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E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J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Z45" authorId="0" shapeId="0">
      <text>
        <t>모델값 역산(implied): v / 매출전사
= 매출액 × OPM(부문 미분리)</t>
      </text>
    </comment>
    <comment ref="AA45" authorId="0" shapeId="0">
      <text>
        <t>모델값 역산(implied): v / 매출전사
= 매출액 × OPM(부문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E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J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U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Z10" authorId="0" shapeId="0">
      <text>
        <t>추정: 최근 8분기 OPM 중위 1.4% 유지(클립 −20~40%)
[yoy]</t>
      </text>
    </comment>
    <comment ref="AA10" authorId="0" shapeId="0">
      <text>
        <t>추정: 최근 8분기 OPM 중위 1.4% 유지(클립 −20~40%)
[yoy]</t>
      </text>
    </comment>
    <comment ref="AC10" authorId="0" shapeId="0">
      <text>
        <t>추정: 최근 8분기 OPM 중위 1.4% 유지(클립 −20~40%)
[yoy]</t>
      </text>
    </comment>
    <comment ref="AD10" authorId="0" shapeId="0">
      <text>
        <t>추정: 최근 8분기 OPM 중위 1.4% 유지(클립 −20~40%)
[yoy]</t>
      </text>
    </comment>
    <comment ref="AE10" authorId="0" shapeId="0">
      <text>
        <t>추정: 최근 8분기 OPM 중위 1.4% 유지(클립 −20~40%)
[yoy]</t>
      </text>
    </comment>
    <comment ref="AF10" authorId="0" shapeId="0">
      <text>
        <t>추정: 최근 8분기 OPM 중위 1.4% 유지(클립 −20~40%)
[yoy]</t>
      </text>
    </comment>
    <comment ref="AH10" authorId="0" shapeId="0">
      <text>
        <t>추정: 최근 8분기 OPM 중위 1.4% 유지(클립 −20~40%)
[yoy]</t>
      </text>
    </comment>
    <comment ref="AI10" authorId="0" shapeId="0">
      <text>
        <t>추정: 최근 8분기 OPM 중위 1.4% 유지(클립 −20~40%)
[yoy]</t>
      </text>
    </comment>
    <comment ref="AJ10" authorId="0" shapeId="0">
      <text>
        <t>추정: 최근 8분기 OPM 중위 1.4% 유지(클립 −20~40%)
[yoy]</t>
      </text>
    </comment>
    <comment ref="AK10" authorId="0" shapeId="0">
      <text>
        <t>추정: 최근 8분기 OPM 중위 1.4% 유지(클립 −20~40%)
[yoy]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302억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307억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310억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316억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321억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326억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330억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336억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341억 × 4.93%(주석 이자수익 ÷ 평균 이자발생자산(2024Q2~2025Q1)) − 총차입금 0억 × 3.93%(주석 이자비용 ÷ 평균 총차입금(2024Q2~2025Q1)) (연율) ÷ 4; 환율 효과는 환관련손익 행 별도
[abs]</t>
      </text>
    </comment>
    <comment ref="Z12" authorId="0" shapeId="0">
      <text>
        <t>추정: 이자발생자산 297억 × 4.93%(주석 이자수익 ÷ 평균 이자발생자산(2024Q2~2025Q1)) − 총차입금 0억 × 3.93%(주석 이자비용 ÷ 평균 총차입금(2024Q2~2025Q1)) (연율) ÷ 4
[abs]</t>
      </text>
    </comment>
    <comment ref="AA12" authorId="0" shapeId="0">
      <text>
        <t>추정: 이자발생자산 302억 × 4.93%(주석 이자수익 ÷ 평균 이자발생자산(2024Q2~2025Q1)) − 총차입금 0억 × 3.93%(주석 이자비용 ÷ 평균 총차입금(2024Q2~2025Q1)) (연율) ÷ 4
[abs]</t>
      </text>
    </comment>
    <comment ref="AC12" authorId="0" shapeId="0">
      <text>
        <t>추정: 이자발생자산 307억 × 4.93%(주석 이자수익 ÷ 평균 이자발생자산(2024Q2~2025Q1)) − 총차입금 0억 × 3.93%(주석 이자비용 ÷ 평균 총차입금(2024Q2~2025Q1)) (연율) ÷ 4
[abs]</t>
      </text>
    </comment>
    <comment ref="AD12" authorId="0" shapeId="0">
      <text>
        <t>추정: 이자발생자산 310억 × 4.93%(주석 이자수익 ÷ 평균 이자발생자산(2024Q2~2025Q1)) − 총차입금 0억 × 3.93%(주석 이자비용 ÷ 평균 총차입금(2024Q2~2025Q1)) (연율) ÷ 4
[abs]</t>
      </text>
    </comment>
    <comment ref="AE12" authorId="0" shapeId="0">
      <text>
        <t>추정: 이자발생자산 316억 × 4.93%(주석 이자수익 ÷ 평균 이자발생자산(2024Q2~2025Q1)) − 총차입금 0억 × 3.93%(주석 이자비용 ÷ 평균 총차입금(2024Q2~2025Q1)) (연율) ÷ 4
[abs]</t>
      </text>
    </comment>
    <comment ref="AF12" authorId="0" shapeId="0">
      <text>
        <t>추정: 이자발생자산 321억 × 4.93%(주석 이자수익 ÷ 평균 이자발생자산(2024Q2~2025Q1)) − 총차입금 0억 × 3.93%(주석 이자비용 ÷ 평균 총차입금(2024Q2~2025Q1)) (연율) ÷ 4
[abs]</t>
      </text>
    </comment>
    <comment ref="AH12" authorId="0" shapeId="0">
      <text>
        <t>추정: 이자발생자산 326억 × 4.93%(주석 이자수익 ÷ 평균 이자발생자산(2024Q2~2025Q1)) − 총차입금 0억 × 3.93%(주석 이자비용 ÷ 평균 총차입금(2024Q2~2025Q1)) (연율) ÷ 4
[abs]</t>
      </text>
    </comment>
    <comment ref="AI12" authorId="0" shapeId="0">
      <text>
        <t>추정: 이자발생자산 330억 × 4.93%(주석 이자수익 ÷ 평균 이자발생자산(2024Q2~2025Q1)) − 총차입금 0억 × 3.93%(주석 이자비용 ÷ 평균 총차입금(2024Q2~2025Q1)) (연율) ÷ 4
[abs]</t>
      </text>
    </comment>
    <comment ref="AJ12" authorId="0" shapeId="0">
      <text>
        <t>추정: 이자발생자산 336억 × 4.93%(주석 이자수익 ÷ 평균 이자발생자산(2024Q2~2025Q1)) − 총차입금 0억 × 3.93%(주석 이자비용 ÷ 평균 총차입금(2024Q2~2025Q1)) (연율) ÷ 4
[abs]</t>
      </text>
    </comment>
    <comment ref="AK12" authorId="0" shapeId="0">
      <text>
        <t>추정: 이자발생자산 341억 × 4.93%(주석 이자수익 ÷ 평균 이자발생자산(2024Q2~2025Q1)) − 총차입금 0억 × 3.93%(주석 이자비용 ÷ 평균 총차입금(2024Q2~2025Q1)) (연율) ÷ 4
[abs]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[yoy]</t>
      </text>
    </comment>
    <comment ref="AA18" authorId="0" shapeId="0">
      <text>
        <t>추정: 최근 4분기 감가상각비 중위 유지
[yoy]</t>
      </text>
    </comment>
    <comment ref="AC18" authorId="0" shapeId="0">
      <text>
        <t>추정: 최근 4분기 감가상각비 중위 유지
[yoy]</t>
      </text>
    </comment>
    <comment ref="AD18" authorId="0" shapeId="0">
      <text>
        <t>추정: 최근 4분기 감가상각비 중위 유지
[yoy]</t>
      </text>
    </comment>
    <comment ref="AE18" authorId="0" shapeId="0">
      <text>
        <t>추정: 최근 4분기 감가상각비 중위 유지
[yoy]</t>
      </text>
    </comment>
    <comment ref="AF18" authorId="0" shapeId="0">
      <text>
        <t>추정: 최근 4분기 감가상각비 중위 유지
[yoy]</t>
      </text>
    </comment>
    <comment ref="AH18" authorId="0" shapeId="0">
      <text>
        <t>추정: 최근 4분기 감가상각비 중위 유지
[yoy]</t>
      </text>
    </comment>
    <comment ref="AI18" authorId="0" shapeId="0">
      <text>
        <t>추정: 최근 4분기 감가상각비 중위 유지
[yoy]</t>
      </text>
    </comment>
    <comment ref="AJ18" authorId="0" shapeId="0">
      <text>
        <t>추정: 최근 4분기 감가상각비 중위 유지
[yoy]</t>
      </text>
    </comment>
    <comment ref="AK18" authorId="0" shapeId="0">
      <text>
        <t>추정: 최근 4분기 감가상각비 중위 유지
[yoy]</t>
      </text>
    </comment>
    <comment ref="E19" authorId="0" shapeId="0">
      <text>
        <t>실측(계정 매핑 없음 — 모델값 직접) — 영업이익 + 감가상각비(CF)</t>
      </text>
    </comment>
    <comment ref="F19" authorId="0" shapeId="0">
      <text>
        <t>실측(계정 매핑 없음 — 모델값 직접) — 영업이익 + 감가상각비(CF)</t>
      </text>
    </comment>
    <comment ref="G19" authorId="0" shapeId="0">
      <text>
        <t>실측(계정 매핑 없음 — 모델값 직접) — 영업이익 + 감가상각비(CF)</t>
      </text>
    </comment>
    <comment ref="I19" authorId="0" shapeId="0">
      <text>
        <t>실측(계정 매핑 없음 — 모델값 직접) — 영업이익 + 감가상각비(CF)</t>
      </text>
    </comment>
    <comment ref="J19" authorId="0" shapeId="0">
      <text>
        <t>실측(계정 매핑 없음 — 모델값 직접) — 영업이익 + 감가상각비(CF)</t>
      </text>
    </comment>
    <comment ref="K19" authorId="0" shapeId="0">
      <text>
        <t>실측(계정 매핑 없음 — 모델값 직접) — 영업이익 + 감가상각비(CF)</t>
      </text>
    </comment>
    <comment ref="L19" authorId="0" shapeId="0">
      <text>
        <t>실측(계정 매핑 없음 — 모델값 직접) — 영업이익 + 감가상각비(CF)</t>
      </text>
    </comment>
    <comment ref="N19" authorId="0" shapeId="0">
      <text>
        <t>실측(계정 매핑 없음 — 모델값 직접) — 영업이익 + 감가상각비(CF)</t>
      </text>
    </comment>
    <comment ref="O19" authorId="0" shapeId="0">
      <text>
        <t>실측(계정 매핑 없음 — 모델값 직접) — 영업이익 + 감가상각비(CF)</t>
      </text>
    </comment>
    <comment ref="P19" authorId="0" shapeId="0">
      <text>
        <t>실측(계정 매핑 없음 — 모델값 직접) — 영업이익 + 감가상각비(CF)</t>
      </text>
    </comment>
    <comment ref="Q19" authorId="0" shapeId="0">
      <text>
        <t>실측(계정 매핑 없음 — 모델값 직접) — 영업이익 + 감가상각비(CF)</t>
      </text>
    </comment>
    <comment ref="S19" authorId="0" shapeId="0">
      <text>
        <t>실측(계정 매핑 없음 — 모델값 직접) — 영업이익 + 감가상각비(CF)</t>
      </text>
    </comment>
    <comment ref="T19" authorId="0" shapeId="0">
      <text>
        <t>실측(계정 매핑 없음 — 모델값 직접) — 영업이익 + 감가상각비(CF)</t>
      </text>
    </comment>
    <comment ref="U19" authorId="0" shapeId="0">
      <text>
        <t>실측(계정 매핑 없음 — 모델값 직접) — 영업이익 + 감가상각비(CF)</t>
      </text>
    </comment>
    <comment ref="V19" authorId="0" shapeId="0">
      <text>
        <t>실측(계정 매핑 없음 — 모델값 직접) — 영업이익 + 감가상각비(CF)</t>
      </text>
    </comment>
    <comment ref="X19" authorId="0" shapeId="0">
      <text>
        <t>실측(계정 매핑 없음 — 모델값 직접) — 영업이익 + 감가상각비(CF)</t>
      </text>
    </comment>
    <comment ref="Y19" authorId="0" shapeId="0">
      <text>
        <t>실측(계정 매핑 없음 — 모델값 직접) — 영업이익 + 감가상각비(CF)</t>
      </text>
    </comment>
    <comment ref="Z19" authorId="0" shapeId="0">
      <text>
        <t>추정: 영업이익 + 감가상각비
[yoy]</t>
      </text>
    </comment>
    <comment ref="AA19" authorId="0" shapeId="0">
      <text>
        <t>추정: 영업이익 + 감가상각비
[yoy]</t>
      </text>
    </comment>
    <comment ref="AC19" authorId="0" shapeId="0">
      <text>
        <t>추정: 영업이익 + 감가상각비
[yoy]</t>
      </text>
    </comment>
    <comment ref="AD19" authorId="0" shapeId="0">
      <text>
        <t>추정: 영업이익 + 감가상각비
[yoy]</t>
      </text>
    </comment>
    <comment ref="AE19" authorId="0" shapeId="0">
      <text>
        <t>추정: 영업이익 + 감가상각비
[yoy]</t>
      </text>
    </comment>
    <comment ref="AF19" authorId="0" shapeId="0">
      <text>
        <t>추정: 영업이익 + 감가상각비
[yoy]</t>
      </text>
    </comment>
    <comment ref="AH19" authorId="0" shapeId="0">
      <text>
        <t>추정: 영업이익 + 감가상각비
[yoy]</t>
      </text>
    </comment>
    <comment ref="AI19" authorId="0" shapeId="0">
      <text>
        <t>추정: 영업이익 + 감가상각비
[yoy]</t>
      </text>
    </comment>
    <comment ref="AJ19" authorId="0" shapeId="0">
      <text>
        <t>추정: 영업이익 + 감가상각비
[yoy]</t>
      </text>
    </comment>
    <comment ref="AK19" authorId="0" shapeId="0">
      <text>
        <t>추정: 영업이익 + 감가상각비
[yoy]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H25" authorId="0" shapeId="0">
      <text>
        <t>연간 실측(BS 시트에 2022.12A 없음 — 모델 a 값 직접)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(순이익 − 배당) — 순차입금 롤과 같은 가정
[qoq]</t>
      </text>
    </comment>
    <comment ref="AA26" authorId="0" shapeId="0">
      <text>
        <t>추정: 전분기 + (순이익 − 배당) — 순차입금 롤과 같은 가정
[qoq]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E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J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H27" authorId="0" shapeId="0">
      <text>
        <t>연간 실측(BS 시트에 2022.12A 없음 — 모델 a 값 직접)</t>
      </text>
    </comment>
    <comment ref="E28" authorId="0" shapeId="0">
      <text>
        <t>실측(계정 매핑 없음 — 모델값 직접) — fin.sep.cf.영업활동으로인한현금흐름 (연결 손익 없는 분기 → 별도 보충)</t>
      </text>
    </comment>
    <comment ref="F28" authorId="0" shapeId="0">
      <text>
        <t>실측(계정 매핑 없음 — 모델값 직접) — fin.sep.cf.영업활동으로인한현금흐름 (연결 손익 없는 분기 → 별도 보충)</t>
      </text>
    </comment>
    <comment ref="G28" authorId="0" shapeId="0">
      <text>
        <t>실측(계정 매핑 없음 — 모델값 직접) — fin.sep.cf.영업활동으로인한현금흐름 (연결 손익 없는 분기 → 별도 보충)</t>
      </text>
    </comment>
    <comment ref="I28" authorId="0" shapeId="0">
      <text>
        <t>실측(계정 매핑 없음 — 모델값 직접) — fin.sep.cf.영업활동으로인한현금흐름 (연결 손익 없는 분기 → 별도 보충)</t>
      </text>
    </comment>
    <comment ref="J28" authorId="0" shapeId="0">
      <text>
        <t>실측(계정 매핑 없음 — 모델값 직접) — fin.sep.cf.영업활동으로인한현금흐름 (연결 손익 없는 분기 → 별도 보충)</t>
      </text>
    </comment>
    <comment ref="K28" authorId="0" shapeId="0">
      <text>
        <t>실측(계정 매핑 없음 — 모델값 직접) — fin.sep.cf.영업활동으로인한현금흐름 (연결 손익 없는 분기 → 별도 보충)</t>
      </text>
    </comment>
    <comment ref="L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P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U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F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K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P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U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 — 모델값 직접) — fin.dividend.dps_common(연간, Q4 에 표기)</t>
      </text>
    </comment>
    <comment ref="Q32" authorId="0" shapeId="0">
      <text>
        <t>실측(계정 매핑 없음 — 모델값 직접) — fin.dividend.dps_common(연간, Q4 에 표기)</t>
      </text>
    </comment>
    <comment ref="V32" authorId="0" shapeId="0">
      <text>
        <t>실측(계정 매핑 없음 — 모델값 직접) — fin.dividend.dps_common(연간, Q4 에 표기)</t>
      </text>
    </comment>
    <comment ref="AA32" authorId="0" shapeId="0">
      <text>
        <t>추정(가정 셀 참조 불가 — 기준값 없음, 모델값 직접): 직전 결산 DPS 0원 유지</t>
      </text>
    </comment>
    <comment ref="AF32" authorId="0" shapeId="0">
      <text>
        <t>추정(가정 셀 참조 불가 — 기준값 없음, 모델값 직접): 직전 결산 DPS 0원 유지</t>
      </text>
    </comment>
    <comment ref="AK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AD33" authorId="0" shapeId="0">
      <text>
        <t>추정(가정 셀 참조 불가 — 기준값 없음, 모델값 직접): 현재 종가 ÷ TTM EPS(추정 포함)</t>
      </text>
    </comment>
    <comment ref="AE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J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실측(계정 매핑 없음 — 모델값 직접) — 토스 일봉 분기 평균 ÷ BPS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연간(actual) — 분기 미완 연도, 모델 a 값 직접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K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P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U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Z34" authorId="0" shapeId="0">
      <text>
        <t>추정: 현재 종가 ÷ BPS(추정 포함)
[yoy]</t>
      </text>
    </comment>
    <comment ref="AA34" authorId="0" shapeId="0">
      <text>
        <t>추정: 현재 종가 ÷ BPS(추정 포함)
[yoy]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E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J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F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K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P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U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Z35" authorId="0" shapeId="0">
      <text>
        <t>추정: = 매출액 추정(부문 미분리)
[ratio]</t>
      </text>
    </comment>
    <comment ref="AA35" authorId="0" shapeId="0">
      <text>
        <t>추정: = 매출액 추정(부문 미분리)
[ratio]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E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J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F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K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P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U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Z36" authorId="0" shapeId="0">
      <text>
        <t>추정: = 매출액 × OPM(부문 미분리)
[ratio]</t>
      </text>
    </comment>
    <comment ref="AA36" authorId="0" shapeId="0">
      <text>
        <t>추정: = 매출액 × OPM(부문 미분리)
[ratio]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E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J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assets/models/382900.json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 / 금융손익 실적→추정 단절: 최근 4분기 실적 -6/+23/-10/-8(중위 -7억) → 추정 2026Q3 +4억(차 +10억, +154%)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1355.4</v>
      </c>
      <c r="AB6" s="17" t="n">
        <v>1461.31</v>
      </c>
      <c r="AC6" s="16" t="n">
        <v>1355.4</v>
      </c>
      <c r="AD6" s="16" t="n">
        <v>1355.4</v>
      </c>
      <c r="AE6" s="16" t="n">
        <v>1355.4</v>
      </c>
      <c r="AF6" s="16" t="n">
        <v>1355.4</v>
      </c>
      <c r="AG6" s="11" t="n"/>
      <c r="AH6" s="16" t="n">
        <v>1355.4</v>
      </c>
      <c r="AI6" s="16" t="n">
        <v>1355.4</v>
      </c>
      <c r="AJ6" s="16" t="n">
        <v>1355.4</v>
      </c>
      <c r="AK6" s="16" t="n">
        <v>1355.4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1355.4</v>
      </c>
      <c r="AB7" s="17" t="n">
        <v>1355.4</v>
      </c>
      <c r="AC7" s="16" t="n">
        <v>1355.4</v>
      </c>
      <c r="AD7" s="16" t="n">
        <v>1355.4</v>
      </c>
      <c r="AE7" s="16" t="n">
        <v>1355.4</v>
      </c>
      <c r="AF7" s="16" t="n">
        <v>1355.4</v>
      </c>
      <c r="AG7" s="11" t="n"/>
      <c r="AH7" s="16" t="n">
        <v>1355.4</v>
      </c>
      <c r="AI7" s="16" t="n">
        <v>1355.4</v>
      </c>
      <c r="AJ7" s="16" t="n">
        <v>1355.4</v>
      </c>
      <c r="AK7" s="16" t="n">
        <v>1355.4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863.3099999999999</v>
      </c>
      <c r="AB8" s="17" t="n">
        <v>921.71</v>
      </c>
      <c r="AC8" s="16" t="n">
        <v>863.3099999999999</v>
      </c>
      <c r="AD8" s="16" t="n">
        <v>863.3099999999999</v>
      </c>
      <c r="AE8" s="16" t="n">
        <v>863.3099999999999</v>
      </c>
      <c r="AF8" s="16" t="n">
        <v>863.3099999999999</v>
      </c>
      <c r="AG8" s="11" t="n"/>
      <c r="AH8" s="16" t="n">
        <v>863.3099999999999</v>
      </c>
      <c r="AI8" s="16" t="n">
        <v>863.3099999999999</v>
      </c>
      <c r="AJ8" s="16" t="n">
        <v>863.3099999999999</v>
      </c>
      <c r="AK8" s="16" t="n">
        <v>863.3099999999999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863.3099999999999</v>
      </c>
      <c r="AB9" s="17" t="n">
        <v>863.3099999999999</v>
      </c>
      <c r="AC9" s="16" t="n">
        <v>863.3099999999999</v>
      </c>
      <c r="AD9" s="16" t="n">
        <v>863.3099999999999</v>
      </c>
      <c r="AE9" s="16" t="n">
        <v>863.3099999999999</v>
      </c>
      <c r="AF9" s="16" t="n">
        <v>863.3099999999999</v>
      </c>
      <c r="AG9" s="11" t="n"/>
      <c r="AH9" s="16" t="n">
        <v>863.3099999999999</v>
      </c>
      <c r="AI9" s="16" t="n">
        <v>863.3099999999999</v>
      </c>
      <c r="AJ9" s="16" t="n">
        <v>863.3099999999999</v>
      </c>
      <c r="AK9" s="16" t="n">
        <v>863.3099999999999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1539.06</v>
      </c>
      <c r="AB10" s="17" t="n">
        <v>1696.56</v>
      </c>
      <c r="AC10" s="16" t="n">
        <v>1539.06</v>
      </c>
      <c r="AD10" s="16" t="n">
        <v>1539.06</v>
      </c>
      <c r="AE10" s="16" t="n">
        <v>1539.06</v>
      </c>
      <c r="AF10" s="16" t="n">
        <v>1539.06</v>
      </c>
      <c r="AG10" s="11" t="n"/>
      <c r="AH10" s="16" t="n">
        <v>1539.06</v>
      </c>
      <c r="AI10" s="16" t="n">
        <v>1539.06</v>
      </c>
      <c r="AJ10" s="16" t="n">
        <v>1539.06</v>
      </c>
      <c r="AK10" s="16" t="n">
        <v>1539.06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1539.06</v>
      </c>
      <c r="AB11" s="17" t="n">
        <v>1539.06</v>
      </c>
      <c r="AC11" s="16" t="n">
        <v>1539.06</v>
      </c>
      <c r="AD11" s="16" t="n">
        <v>1539.06</v>
      </c>
      <c r="AE11" s="16" t="n">
        <v>1539.06</v>
      </c>
      <c r="AF11" s="16" t="n">
        <v>1539.06</v>
      </c>
      <c r="AG11" s="11" t="n"/>
      <c r="AH11" s="16" t="n">
        <v>1539.06</v>
      </c>
      <c r="AI11" s="16" t="n">
        <v>1539.06</v>
      </c>
      <c r="AJ11" s="16" t="n">
        <v>1539.06</v>
      </c>
      <c r="AK11" s="16" t="n">
        <v>1539.06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202.16</v>
      </c>
      <c r="AB12" s="17" t="n">
        <v>214.23</v>
      </c>
      <c r="AC12" s="16" t="n">
        <v>202.16</v>
      </c>
      <c r="AD12" s="16" t="n">
        <v>202.16</v>
      </c>
      <c r="AE12" s="16" t="n">
        <v>202.16</v>
      </c>
      <c r="AF12" s="16" t="n">
        <v>202.16</v>
      </c>
      <c r="AG12" s="11" t="n"/>
      <c r="AH12" s="16" t="n">
        <v>202.16</v>
      </c>
      <c r="AI12" s="16" t="n">
        <v>202.16</v>
      </c>
      <c r="AJ12" s="16" t="n">
        <v>202.16</v>
      </c>
      <c r="AK12" s="16" t="n">
        <v>202.16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202.16</v>
      </c>
      <c r="AB13" s="17" t="n">
        <v>202.16</v>
      </c>
      <c r="AC13" s="16" t="n">
        <v>202.16</v>
      </c>
      <c r="AD13" s="16" t="n">
        <v>202.16</v>
      </c>
      <c r="AE13" s="16" t="n">
        <v>202.16</v>
      </c>
      <c r="AF13" s="16" t="n">
        <v>202.16</v>
      </c>
      <c r="AG13" s="11" t="n"/>
      <c r="AH13" s="16" t="n">
        <v>202.16</v>
      </c>
      <c r="AI13" s="16" t="n">
        <v>202.16</v>
      </c>
      <c r="AJ13" s="16" t="n">
        <v>202.16</v>
      </c>
      <c r="AK13" s="16" t="n">
        <v>202.16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25550</v>
      </c>
      <c r="Y15" s="19" t="n">
        <v>24100</v>
      </c>
      <c r="Z15" s="20" t="n">
        <v>25150</v>
      </c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42600</v>
      </c>
      <c r="V16" s="18" t="n">
        <v>44200</v>
      </c>
      <c r="W16" s="9" t="n"/>
      <c r="X16" s="18" t="n">
        <v>38200</v>
      </c>
      <c r="Y16" s="19" t="n">
        <v>44050</v>
      </c>
      <c r="Z16" s="20" t="n">
        <v>28850</v>
      </c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24000</v>
      </c>
      <c r="Y17" s="19" t="n">
        <v>21100</v>
      </c>
      <c r="Z17" s="20" t="n">
        <v>11810</v>
      </c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21720</v>
      </c>
      <c r="V18" s="18" t="n">
        <v>30210.2</v>
      </c>
      <c r="W18" s="9" t="n"/>
      <c r="X18" s="18" t="n">
        <v>30473.7</v>
      </c>
      <c r="Y18" s="19" t="n">
        <v>29605.7</v>
      </c>
      <c r="Z18" s="20" t="n">
        <v>18742.3</v>
      </c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</v>
      </c>
      <c r="AA21" s="24" t="n">
        <v>0.289588</v>
      </c>
      <c r="AB21" s="25" t="n"/>
      <c r="AC21" s="24" t="n">
        <v>0.289702</v>
      </c>
      <c r="AD21" s="24" t="n">
        <v>0.289594</v>
      </c>
      <c r="AE21" s="24" t="n">
        <v>0.144732</v>
      </c>
      <c r="AF21" s="24" t="n">
        <v>0.144807</v>
      </c>
      <c r="AG21" s="25" t="n"/>
      <c r="AH21" s="24" t="n">
        <v>0.144676</v>
      </c>
      <c r="AI21" s="24" t="n">
        <v>0.144821</v>
      </c>
      <c r="AJ21" s="24" t="n">
        <v>0.072434</v>
      </c>
      <c r="AK21" s="24" t="n">
        <v>0.072405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4" t="n">
        <v>0.09372900000000001</v>
      </c>
      <c r="AA22" s="24" t="n">
        <v>0.09372800000000001</v>
      </c>
      <c r="AB22" s="25">
        <f>IFERROR(subQ!AB8/subQ!AB5,"")</f>
        <v/>
      </c>
      <c r="AC22" s="24" t="n">
        <v>0.09374</v>
      </c>
      <c r="AD22" s="24" t="n">
        <v>0.093749</v>
      </c>
      <c r="AE22" s="24" t="n">
        <v>0.093734</v>
      </c>
      <c r="AF22" s="24" t="n">
        <v>0.09375</v>
      </c>
      <c r="AG22" s="25">
        <f>IFERROR(subQ!AG8/subQ!AG5,"")</f>
        <v/>
      </c>
      <c r="AH22" s="24" t="n">
        <v>0.09368700000000001</v>
      </c>
      <c r="AI22" s="24" t="n">
        <v>0.09374499999999999</v>
      </c>
      <c r="AJ22" s="24" t="n">
        <v>0.09372</v>
      </c>
      <c r="AK22" s="24" t="n">
        <v>0.09375500000000001</v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</v>
      </c>
      <c r="AA23" s="24" t="n">
        <v>0.0142</v>
      </c>
      <c r="AB23" s="25">
        <f>IFERROR(subQ!AB9/subQ!AB5,"")</f>
        <v/>
      </c>
      <c r="AC23" s="24" t="n">
        <v>0.014268</v>
      </c>
      <c r="AD23" s="24" t="n">
        <v>0.014182</v>
      </c>
      <c r="AE23" s="24" t="n">
        <v>0.0142</v>
      </c>
      <c r="AF23" s="24" t="n">
        <v>0.014201</v>
      </c>
      <c r="AG23" s="25">
        <f>IFERROR(subQ!AG9/subQ!AG5,"")</f>
        <v/>
      </c>
      <c r="AH23" s="24" t="n">
        <v>0.014207</v>
      </c>
      <c r="AI23" s="24" t="n">
        <v>0.014212</v>
      </c>
      <c r="AJ23" s="24" t="n">
        <v>0.014213</v>
      </c>
      <c r="AK23" s="24" t="n">
        <v>0.014223</v>
      </c>
      <c r="AL23" s="25">
        <f>IFERROR(subQ!AL9/subQ!AL5,"")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IFERROR(subQ!J38/subQ!E38-1,"")</f>
        <v/>
      </c>
      <c r="K24" s="21">
        <f>IFERROR(subQ!K38/subQ!F38-1,"")</f>
        <v/>
      </c>
      <c r="L24" s="21">
        <f>IFERROR(subQ!L38/subQ!G38-1,"")</f>
        <v/>
      </c>
      <c r="M24" s="22" t="n"/>
      <c r="N24" s="21">
        <f>IFERROR(subQ!N38/subQ!I38-1,"")</f>
        <v/>
      </c>
      <c r="O24" s="21">
        <f>IFERROR(subQ!O38/subQ!J38-1,"")</f>
        <v/>
      </c>
      <c r="P24" s="21">
        <f>IFERROR(subQ!P38/subQ!K38-1,"")</f>
        <v/>
      </c>
      <c r="Q24" s="21">
        <f>IFERROR(subQ!Q38/subQ!L38-1,"")</f>
        <v/>
      </c>
      <c r="R24" s="22" t="n"/>
      <c r="S24" s="21">
        <f>IFERROR(subQ!S38/subQ!N38-1,"")</f>
        <v/>
      </c>
      <c r="T24" s="21">
        <f>IFERROR(subQ!T38/subQ!O38-1,"")</f>
        <v/>
      </c>
      <c r="U24" s="21">
        <f>IFERROR(subQ!U38/subQ!P38-1,"")</f>
        <v/>
      </c>
      <c r="V24" s="21">
        <f>IFERROR(subQ!V38/subQ!Q38-1,"")</f>
        <v/>
      </c>
      <c r="W24" s="22" t="n"/>
      <c r="X24" s="21">
        <f>IFERROR(subQ!X38/subQ!S38-1,"")</f>
        <v/>
      </c>
      <c r="Y24" s="23">
        <f>IFERROR(subQ!Y38/subQ!T38-1,"")</f>
        <v/>
      </c>
      <c r="Z24" s="24" t="n">
        <v>-0.824691</v>
      </c>
      <c r="AA24" s="24" t="n">
        <v>-1.26742</v>
      </c>
      <c r="AB24" s="25" t="n"/>
      <c r="AC24" s="24" t="n">
        <v>-1.033451</v>
      </c>
      <c r="AD24" s="24" t="n">
        <v>-1.07828</v>
      </c>
      <c r="AE24" s="24" t="n">
        <v>0</v>
      </c>
      <c r="AF24" s="24" t="n">
        <v>0</v>
      </c>
      <c r="AG24" s="25" t="n"/>
      <c r="AH24" s="24" t="n">
        <v>0</v>
      </c>
      <c r="AI24" s="24" t="n">
        <v>0</v>
      </c>
      <c r="AJ24" s="24" t="n">
        <v>0</v>
      </c>
      <c r="AK24" s="24" t="n">
        <v>0</v>
      </c>
      <c r="AL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6">
        <f>subQ!O11</f>
        <v/>
      </c>
      <c r="P25" s="26">
        <f>subQ!P11</f>
        <v/>
      </c>
      <c r="Q25" s="26">
        <f>subQ!Q11</f>
        <v/>
      </c>
      <c r="R25" s="27">
        <f>subQ!R11</f>
        <v/>
      </c>
      <c r="S25" s="26">
        <f>subQ!S11</f>
        <v/>
      </c>
      <c r="T25" s="26">
        <f>subQ!T11</f>
        <v/>
      </c>
      <c r="U25" s="26">
        <f>subQ!U11</f>
        <v/>
      </c>
      <c r="V25" s="26">
        <f>subQ!V11</f>
        <v/>
      </c>
      <c r="W25" s="27">
        <f>subQ!W11</f>
        <v/>
      </c>
      <c r="X25" s="26">
        <f>subQ!X11</f>
        <v/>
      </c>
      <c r="Y25" s="28">
        <f>subQ!Y11</f>
        <v/>
      </c>
      <c r="Z25" s="29" t="n">
        <v>3.66</v>
      </c>
      <c r="AA25" s="29" t="n">
        <v>3.72</v>
      </c>
      <c r="AB25" s="30">
        <f>subQ!AB11</f>
        <v/>
      </c>
      <c r="AC25" s="29" t="n">
        <v>3.78</v>
      </c>
      <c r="AD25" s="29" t="n">
        <v>3.83</v>
      </c>
      <c r="AE25" s="29" t="n">
        <v>3.89</v>
      </c>
      <c r="AF25" s="29" t="n">
        <v>3.95</v>
      </c>
      <c r="AG25" s="30">
        <f>subQ!AG11</f>
        <v/>
      </c>
      <c r="AH25" s="29" t="n">
        <v>4.02</v>
      </c>
      <c r="AI25" s="29" t="n">
        <v>4.07</v>
      </c>
      <c r="AJ25" s="29" t="n">
        <v>4.14</v>
      </c>
      <c r="AK25" s="29" t="n">
        <v>4.21</v>
      </c>
      <c r="AL25" s="30">
        <f>subQ!AL11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6">
        <f>subQ!O12</f>
        <v/>
      </c>
      <c r="P26" s="26">
        <f>subQ!P12</f>
        <v/>
      </c>
      <c r="Q26" s="26">
        <f>subQ!Q12</f>
        <v/>
      </c>
      <c r="R26" s="27">
        <f>subQ!R12</f>
        <v/>
      </c>
      <c r="S26" s="26">
        <f>subQ!S12</f>
        <v/>
      </c>
      <c r="T26" s="26">
        <f>subQ!T12</f>
        <v/>
      </c>
      <c r="U26" s="26">
        <f>subQ!U12</f>
        <v/>
      </c>
      <c r="V26" s="26">
        <f>subQ!V12</f>
        <v/>
      </c>
      <c r="W26" s="27">
        <f>subQ!W12</f>
        <v/>
      </c>
      <c r="X26" s="26">
        <f>subQ!X12</f>
        <v/>
      </c>
      <c r="Y26" s="28">
        <f>subQ!Y12</f>
        <v/>
      </c>
      <c r="Z26" s="29" t="n">
        <v>3.66</v>
      </c>
      <c r="AA26" s="29" t="n">
        <v>3.72</v>
      </c>
      <c r="AB26" s="30">
        <f>subQ!AB12</f>
        <v/>
      </c>
      <c r="AC26" s="29" t="n">
        <v>3.78</v>
      </c>
      <c r="AD26" s="29" t="n">
        <v>3.83</v>
      </c>
      <c r="AE26" s="29" t="n">
        <v>3.89</v>
      </c>
      <c r="AF26" s="29" t="n">
        <v>3.95</v>
      </c>
      <c r="AG26" s="30">
        <f>subQ!AG12</f>
        <v/>
      </c>
      <c r="AH26" s="29" t="n">
        <v>4.02</v>
      </c>
      <c r="AI26" s="29" t="n">
        <v>4.07</v>
      </c>
      <c r="AJ26" s="29" t="n">
        <v>4.14</v>
      </c>
      <c r="AK26" s="29" t="n">
        <v>4.21</v>
      </c>
      <c r="AL26" s="30">
        <f>subQ!AL12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6">
        <f>subQ!J13</f>
        <v/>
      </c>
      <c r="K27" s="26">
        <f>subQ!K13</f>
        <v/>
      </c>
      <c r="L27" s="26">
        <f>subQ!L13</f>
        <v/>
      </c>
      <c r="M27" s="27">
        <f>subQ!M13</f>
        <v/>
      </c>
      <c r="N27" s="26">
        <f>subQ!N13</f>
        <v/>
      </c>
      <c r="O27" s="26">
        <f>subQ!O13</f>
        <v/>
      </c>
      <c r="P27" s="26">
        <f>subQ!P13</f>
        <v/>
      </c>
      <c r="Q27" s="26">
        <f>subQ!Q13</f>
        <v/>
      </c>
      <c r="R27" s="27">
        <f>subQ!R13</f>
        <v/>
      </c>
      <c r="S27" s="26">
        <f>subQ!S13</f>
        <v/>
      </c>
      <c r="T27" s="26">
        <f>subQ!T13</f>
        <v/>
      </c>
      <c r="U27" s="26">
        <f>subQ!U13</f>
        <v/>
      </c>
      <c r="V27" s="26">
        <f>subQ!V13</f>
        <v/>
      </c>
      <c r="W27" s="27">
        <f>subQ!W13</f>
        <v/>
      </c>
      <c r="X27" s="26">
        <f>subQ!X13</f>
        <v/>
      </c>
      <c r="Y27" s="28">
        <f>subQ!Y13</f>
        <v/>
      </c>
      <c r="Z27" s="29" t="n">
        <v>0</v>
      </c>
      <c r="AA27" s="29" t="n">
        <v>0</v>
      </c>
      <c r="AB27" s="30">
        <f>subQ!AB13</f>
        <v/>
      </c>
      <c r="AC27" s="29" t="n">
        <v>0</v>
      </c>
      <c r="AD27" s="29" t="n">
        <v>0</v>
      </c>
      <c r="AE27" s="29" t="n">
        <v>0</v>
      </c>
      <c r="AF27" s="29" t="n">
        <v>0</v>
      </c>
      <c r="AG27" s="30">
        <f>subQ!AG13</f>
        <v/>
      </c>
      <c r="AH27" s="29" t="n">
        <v>0</v>
      </c>
      <c r="AI27" s="29" t="n">
        <v>0</v>
      </c>
      <c r="AJ27" s="29" t="n">
        <v>0</v>
      </c>
      <c r="AK27" s="29" t="n">
        <v>0</v>
      </c>
      <c r="AL27" s="30">
        <f>subQ!AL13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1">
        <f>IFERROR(subQ!K15/subQ!K14,"")</f>
        <v/>
      </c>
      <c r="L28" s="21">
        <f>IFERROR(subQ!L15/subQ!L14,"")</f>
        <v/>
      </c>
      <c r="M28" s="22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1">
        <f>IFERROR(subQ!P15/subQ!P14,"")</f>
        <v/>
      </c>
      <c r="Q28" s="21">
        <f>IFERROR(subQ!Q15/subQ!Q14,"")</f>
        <v/>
      </c>
      <c r="R28" s="22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1">
        <f>IFERROR(subQ!U15/subQ!U14,"")</f>
        <v/>
      </c>
      <c r="V28" s="21">
        <f>IFERROR(subQ!V15/subQ!V14,"")</f>
        <v/>
      </c>
      <c r="W28" s="22">
        <f>IFERROR(subQ!W15/subQ!W14,"")</f>
        <v/>
      </c>
      <c r="X28" s="21">
        <f>IFERROR(subQ!X15/subQ!X14,"")</f>
        <v/>
      </c>
      <c r="Y28" s="23">
        <f>IFERROR(subQ!Y15/subQ!Y14,"")</f>
        <v/>
      </c>
      <c r="Z28" s="24" t="n">
        <v>0.220826</v>
      </c>
      <c r="AA28" s="24" t="n">
        <v>0.219847</v>
      </c>
      <c r="AB28" s="25">
        <f>IFERROR(subQ!AB15/subQ!AB14,"")</f>
        <v/>
      </c>
      <c r="AC28" s="24" t="n">
        <v>0.220807</v>
      </c>
      <c r="AD28" s="24" t="n">
        <v>0.220028</v>
      </c>
      <c r="AE28" s="24" t="n">
        <v>0.220758</v>
      </c>
      <c r="AF28" s="24" t="n">
        <v>0.21975</v>
      </c>
      <c r="AG28" s="25">
        <f>IFERROR(subQ!AG15/subQ!AG14,"")</f>
        <v/>
      </c>
      <c r="AH28" s="24" t="n">
        <v>0.220472</v>
      </c>
      <c r="AI28" s="24" t="n">
        <v>0.22023</v>
      </c>
      <c r="AJ28" s="24" t="n">
        <v>0.220679</v>
      </c>
      <c r="AK28" s="24" t="n">
        <v>0.220052</v>
      </c>
      <c r="AL28" s="25">
        <f>IFERROR(subQ!AL15/subQ!AL14,"")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1">
        <f>IFERROR(subQ!K17/subQ!K16,"")</f>
        <v/>
      </c>
      <c r="L29" s="21">
        <f>IFERROR(subQ!L17/subQ!L16,"")</f>
        <v/>
      </c>
      <c r="M29" s="22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1">
        <f>IFERROR(subQ!P17/subQ!P16,"")</f>
        <v/>
      </c>
      <c r="Q29" s="21">
        <f>IFERROR(subQ!Q17/subQ!Q16,"")</f>
        <v/>
      </c>
      <c r="R29" s="22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1">
        <f>IFERROR(subQ!U17/subQ!U16,"")</f>
        <v/>
      </c>
      <c r="V29" s="21">
        <f>IFERROR(subQ!V17/subQ!V16,"")</f>
        <v/>
      </c>
      <c r="W29" s="22">
        <f>IFERROR(subQ!W17/subQ!W16,"")</f>
        <v/>
      </c>
      <c r="X29" s="21">
        <f>IFERROR(subQ!X17/subQ!X16,"")</f>
        <v/>
      </c>
      <c r="Y29" s="23">
        <f>IFERROR(subQ!Y17/subQ!Y16,"")</f>
        <v/>
      </c>
      <c r="Z29" s="24" t="n">
        <v>1</v>
      </c>
      <c r="AA29" s="24" t="n">
        <v>1</v>
      </c>
      <c r="AB29" s="25">
        <f>IFERROR(subQ!AB17/subQ!AB16,"")</f>
        <v/>
      </c>
      <c r="AC29" s="24" t="n">
        <v>1</v>
      </c>
      <c r="AD29" s="24" t="n">
        <v>1</v>
      </c>
      <c r="AE29" s="24" t="n">
        <v>1</v>
      </c>
      <c r="AF29" s="24" t="n">
        <v>1</v>
      </c>
      <c r="AG29" s="25">
        <f>IFERROR(subQ!AG17/subQ!AG16,"")</f>
        <v/>
      </c>
      <c r="AH29" s="24" t="n">
        <v>1</v>
      </c>
      <c r="AI29" s="24" t="n">
        <v>1</v>
      </c>
      <c r="AJ29" s="24" t="n">
        <v>1</v>
      </c>
      <c r="AK29" s="24" t="n">
        <v>1</v>
      </c>
      <c r="AL29" s="25">
        <f>IFERROR(subQ!AL17/subQ!AL16,"")</f>
        <v/>
      </c>
    </row>
    <row r="30">
      <c r="A30" s="12" t="inlineStr">
        <is>
          <t>drv:감가상각비</t>
        </is>
      </c>
      <c r="B30" s="2" t="inlineStr">
        <is>
          <t>yoy</t>
        </is>
      </c>
      <c r="C30" t="inlineStr">
        <is>
          <t>감가상각비 YoY</t>
        </is>
      </c>
      <c r="E30" s="21" t="n"/>
      <c r="F30" s="21" t="n"/>
      <c r="G30" s="21" t="n"/>
      <c r="H30" s="22" t="n"/>
      <c r="I30" s="21" t="n"/>
      <c r="J30" s="21">
        <f>IFERROR(subQ!J18/subQ!E18-1,"")</f>
        <v/>
      </c>
      <c r="K30" s="21">
        <f>IFERROR(subQ!K18/subQ!F18-1,"")</f>
        <v/>
      </c>
      <c r="L30" s="21">
        <f>IFERROR(subQ!L18/subQ!G18-1,"")</f>
        <v/>
      </c>
      <c r="M30" s="22" t="n"/>
      <c r="N30" s="21">
        <f>IFERROR(subQ!N18/subQ!I18-1,"")</f>
        <v/>
      </c>
      <c r="O30" s="21">
        <f>IFERROR(subQ!O18/subQ!J18-1,"")</f>
        <v/>
      </c>
      <c r="P30" s="21">
        <f>IFERROR(subQ!P18/subQ!K18-1,"")</f>
        <v/>
      </c>
      <c r="Q30" s="21">
        <f>IFERROR(subQ!Q18/subQ!L18-1,"")</f>
        <v/>
      </c>
      <c r="R30" s="22" t="n"/>
      <c r="S30" s="21">
        <f>IFERROR(subQ!S18/subQ!N18-1,"")</f>
        <v/>
      </c>
      <c r="T30" s="21">
        <f>IFERROR(subQ!T18/subQ!O18-1,"")</f>
        <v/>
      </c>
      <c r="U30" s="21">
        <f>IFERROR(subQ!U18/subQ!P18-1,"")</f>
        <v/>
      </c>
      <c r="V30" s="21">
        <f>IFERROR(subQ!V18/subQ!Q18-1,"")</f>
        <v/>
      </c>
      <c r="W30" s="22" t="n"/>
      <c r="X30" s="21">
        <f>IFERROR(subQ!X18/subQ!S18-1,"")</f>
        <v/>
      </c>
      <c r="Y30" s="23">
        <f>IFERROR(subQ!Y18/subQ!T18-1,"")</f>
        <v/>
      </c>
      <c r="Z30" s="24" t="n">
        <v>0.071696</v>
      </c>
      <c r="AA30" s="24" t="n">
        <v>0.000116</v>
      </c>
      <c r="AB30" s="25" t="n"/>
      <c r="AC30" s="24" t="n">
        <v>0.000155</v>
      </c>
      <c r="AD30" s="24" t="n">
        <v>-0.040196</v>
      </c>
      <c r="AE30" s="24" t="n">
        <v>0</v>
      </c>
      <c r="AF30" s="24" t="n">
        <v>0</v>
      </c>
      <c r="AG30" s="25" t="n"/>
      <c r="AH30" s="24" t="n">
        <v>0</v>
      </c>
      <c r="AI30" s="24" t="n">
        <v>0</v>
      </c>
      <c r="AJ30" s="24" t="n">
        <v>0</v>
      </c>
      <c r="AK30" s="24" t="n">
        <v>0</v>
      </c>
      <c r="AL30" s="25" t="n"/>
    </row>
    <row r="31">
      <c r="A31" s="12" t="inlineStr">
        <is>
          <t>drv:EBITDA</t>
        </is>
      </c>
      <c r="B31" s="2" t="inlineStr">
        <is>
          <t>yoy</t>
        </is>
      </c>
      <c r="C31" t="inlineStr">
        <is>
          <t>EBITDA YoY</t>
        </is>
      </c>
      <c r="E31" s="21" t="n"/>
      <c r="F31" s="21" t="n"/>
      <c r="G31" s="21" t="n"/>
      <c r="H31" s="22" t="n"/>
      <c r="I31" s="21" t="n"/>
      <c r="J31" s="21">
        <f>IFERROR(subQ!J19/subQ!E19-1,"")</f>
        <v/>
      </c>
      <c r="K31" s="21">
        <f>IFERROR(subQ!K19/subQ!F19-1,"")</f>
        <v/>
      </c>
      <c r="L31" s="21">
        <f>IFERROR(subQ!L19/subQ!G19-1,"")</f>
        <v/>
      </c>
      <c r="M31" s="22" t="n"/>
      <c r="N31" s="21">
        <f>IFERROR(subQ!N19/subQ!I19-1,"")</f>
        <v/>
      </c>
      <c r="O31" s="21">
        <f>IFERROR(subQ!O19/subQ!J19-1,"")</f>
        <v/>
      </c>
      <c r="P31" s="21">
        <f>IFERROR(subQ!P19/subQ!K19-1,"")</f>
        <v/>
      </c>
      <c r="Q31" s="21">
        <f>IFERROR(subQ!Q19/subQ!L19-1,"")</f>
        <v/>
      </c>
      <c r="R31" s="22" t="n"/>
      <c r="S31" s="21">
        <f>IFERROR(subQ!S19/subQ!N19-1,"")</f>
        <v/>
      </c>
      <c r="T31" s="21">
        <f>IFERROR(subQ!T19/subQ!O19-1,"")</f>
        <v/>
      </c>
      <c r="U31" s="21">
        <f>IFERROR(subQ!U19/subQ!P19-1,"")</f>
        <v/>
      </c>
      <c r="V31" s="21">
        <f>IFERROR(subQ!V19/subQ!Q19-1,"")</f>
        <v/>
      </c>
      <c r="W31" s="22" t="n"/>
      <c r="X31" s="21">
        <f>IFERROR(subQ!X19/subQ!S19-1,"")</f>
        <v/>
      </c>
      <c r="Y31" s="23">
        <f>IFERROR(subQ!Y19/subQ!T19-1,"")</f>
        <v/>
      </c>
      <c r="Z31" s="24" t="n">
        <v>-0.466364</v>
      </c>
      <c r="AA31" s="24" t="n">
        <v>-3.619672</v>
      </c>
      <c r="AB31" s="25" t="n"/>
      <c r="AC31" s="24" t="n">
        <v>-1.373235</v>
      </c>
      <c r="AD31" s="24" t="n">
        <v>-1.312315</v>
      </c>
      <c r="AE31" s="24" t="n">
        <v>0.03966</v>
      </c>
      <c r="AF31" s="24" t="n">
        <v>0.051314</v>
      </c>
      <c r="AG31" s="25" t="n"/>
      <c r="AH31" s="24" t="n">
        <v>0.023026</v>
      </c>
      <c r="AI31" s="24" t="n">
        <v>0.057007</v>
      </c>
      <c r="AJ31" s="24" t="n">
        <v>0.021798</v>
      </c>
      <c r="AK31" s="24" t="n">
        <v>0.027381</v>
      </c>
      <c r="AL31" s="25" t="n"/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1">
        <f>IFERROR(subQ!F21/subQ!E21-1,"")</f>
        <v/>
      </c>
      <c r="G32" s="21">
        <f>IFERROR(subQ!G21/subQ!F21-1,"")</f>
        <v/>
      </c>
      <c r="H32" s="22" t="n"/>
      <c r="I32" s="21">
        <f>IFERROR(subQ!I21/subQ!G21-1,"")</f>
        <v/>
      </c>
      <c r="J32" s="21">
        <f>IFERROR(subQ!J21/subQ!I21-1,"")</f>
        <v/>
      </c>
      <c r="K32" s="21">
        <f>IFERROR(subQ!K21/subQ!J21-1,"")</f>
        <v/>
      </c>
      <c r="L32" s="21">
        <f>IFERROR(subQ!L21/subQ!K21-1,"")</f>
        <v/>
      </c>
      <c r="M32" s="22" t="n"/>
      <c r="N32" s="21">
        <f>IFERROR(subQ!N21/subQ!L21-1,"")</f>
        <v/>
      </c>
      <c r="O32" s="21">
        <f>IFERROR(subQ!O21/subQ!N21-1,"")</f>
        <v/>
      </c>
      <c r="P32" s="21">
        <f>IFERROR(subQ!P21/subQ!O21-1,"")</f>
        <v/>
      </c>
      <c r="Q32" s="21">
        <f>IFERROR(subQ!Q21/subQ!P21-1,"")</f>
        <v/>
      </c>
      <c r="R32" s="22" t="n"/>
      <c r="S32" s="21">
        <f>IFERROR(subQ!S21/subQ!Q21-1,"")</f>
        <v/>
      </c>
      <c r="T32" s="21">
        <f>IFERROR(subQ!T21/subQ!S21-1,"")</f>
        <v/>
      </c>
      <c r="U32" s="21">
        <f>IFERROR(subQ!U21/subQ!T21-1,"")</f>
        <v/>
      </c>
      <c r="V32" s="21">
        <f>IFERROR(subQ!V21/subQ!U21-1,"")</f>
        <v/>
      </c>
      <c r="W32" s="22" t="n"/>
      <c r="X32" s="21">
        <f>IFERROR(subQ!X21/subQ!V21-1,"")</f>
        <v/>
      </c>
      <c r="Y32" s="23">
        <f>IFERROR(subQ!Y21/subQ!X21-1,"")</f>
        <v/>
      </c>
      <c r="Z32" s="24" t="n">
        <v>2e-06</v>
      </c>
      <c r="AA32" s="24" t="n">
        <v>0</v>
      </c>
      <c r="AB32" s="25" t="n"/>
      <c r="AC32" s="24" t="n">
        <v>0</v>
      </c>
      <c r="AD32" s="24" t="n">
        <v>0</v>
      </c>
      <c r="AE32" s="24" t="n">
        <v>0</v>
      </c>
      <c r="AF32" s="24" t="n">
        <v>0</v>
      </c>
      <c r="AG32" s="25" t="n"/>
      <c r="AH32" s="24" t="n">
        <v>0</v>
      </c>
      <c r="AI32" s="24" t="n">
        <v>0</v>
      </c>
      <c r="AJ32" s="24" t="n">
        <v>0</v>
      </c>
      <c r="AK32" s="24" t="n">
        <v>0</v>
      </c>
      <c r="AL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6">
        <f>IFERROR(subQ!E22+subQ!F16-subQ!F22,"")</f>
        <v/>
      </c>
      <c r="G33" s="26">
        <f>IFERROR(subQ!F22+subQ!G16-subQ!G22,"")</f>
        <v/>
      </c>
      <c r="H33" s="27" t="n"/>
      <c r="I33" s="26">
        <f>IFERROR(subQ!G22+subQ!I16-subQ!I22,"")</f>
        <v/>
      </c>
      <c r="J33" s="26">
        <f>IFERROR(subQ!I22+subQ!J16-subQ!J22,"")</f>
        <v/>
      </c>
      <c r="K33" s="26">
        <f>IFERROR(subQ!J22+subQ!K16-subQ!K22,"")</f>
        <v/>
      </c>
      <c r="L33" s="26">
        <f>IFERROR(subQ!K22+subQ!L16-subQ!L22,"")</f>
        <v/>
      </c>
      <c r="M33" s="27" t="n"/>
      <c r="N33" s="26">
        <f>IFERROR(subQ!L22+subQ!N16-subQ!N22,"")</f>
        <v/>
      </c>
      <c r="O33" s="26">
        <f>IFERROR(subQ!N22+subQ!O16-subQ!O22,"")</f>
        <v/>
      </c>
      <c r="P33" s="26">
        <f>IFERROR(subQ!O22+subQ!P16-subQ!P22,"")</f>
        <v/>
      </c>
      <c r="Q33" s="26">
        <f>IFERROR(subQ!P22+subQ!Q16-subQ!Q22,"")</f>
        <v/>
      </c>
      <c r="R33" s="27" t="n"/>
      <c r="S33" s="26">
        <f>IFERROR(subQ!Q22+subQ!S16-subQ!S22,"")</f>
        <v/>
      </c>
      <c r="T33" s="26">
        <f>IFERROR(subQ!S22+subQ!T16-subQ!T22,"")</f>
        <v/>
      </c>
      <c r="U33" s="26">
        <f>IFERROR(subQ!T22+subQ!U16-subQ!U22,"")</f>
        <v/>
      </c>
      <c r="V33" s="26">
        <f>IFERROR(subQ!U22+subQ!V16-subQ!V22,"")</f>
        <v/>
      </c>
      <c r="W33" s="27" t="n"/>
      <c r="X33" s="26">
        <f>IFERROR(subQ!V22+subQ!X16-subQ!X22,"")</f>
        <v/>
      </c>
      <c r="Y33" s="28">
        <f>IFERROR(subQ!X22+subQ!Y16-subQ!Y22,"")</f>
        <v/>
      </c>
      <c r="Z33" s="29" t="n">
        <v>-0.0081</v>
      </c>
      <c r="AA33" s="29" t="n">
        <v>0.01</v>
      </c>
      <c r="AB33" s="30" t="n"/>
      <c r="AC33" s="29" t="n">
        <v>0</v>
      </c>
      <c r="AD33" s="29" t="n">
        <v>0</v>
      </c>
      <c r="AE33" s="29" t="n">
        <v>0</v>
      </c>
      <c r="AF33" s="29" t="n">
        <v>0</v>
      </c>
      <c r="AG33" s="30" t="n"/>
      <c r="AH33" s="29" t="n">
        <v>0</v>
      </c>
      <c r="AI33" s="29" t="n">
        <v>-0</v>
      </c>
      <c r="AJ33" s="29" t="n">
        <v>0</v>
      </c>
      <c r="AK33" s="29" t="n">
        <v>0</v>
      </c>
      <c r="AL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6">
        <f>IFERROR(subQ!E23+subQ!F17-subQ!F23,"")</f>
        <v/>
      </c>
      <c r="G34" s="26">
        <f>IFERROR(subQ!F23+subQ!G17-subQ!G23,"")</f>
        <v/>
      </c>
      <c r="H34" s="27" t="n"/>
      <c r="I34" s="26">
        <f>IFERROR(subQ!G23+subQ!I17-subQ!I23,"")</f>
        <v/>
      </c>
      <c r="J34" s="26">
        <f>IFERROR(subQ!I23+subQ!J17-subQ!J23,"")</f>
        <v/>
      </c>
      <c r="K34" s="26">
        <f>IFERROR(subQ!J23+subQ!K17-subQ!K23,"")</f>
        <v/>
      </c>
      <c r="L34" s="26">
        <f>IFERROR(subQ!K23+subQ!L17-subQ!L23,"")</f>
        <v/>
      </c>
      <c r="M34" s="27" t="n"/>
      <c r="N34" s="26">
        <f>IFERROR(subQ!L23+subQ!N17-subQ!N23,"")</f>
        <v/>
      </c>
      <c r="O34" s="26">
        <f>IFERROR(subQ!N23+subQ!O17-subQ!O23,"")</f>
        <v/>
      </c>
      <c r="P34" s="26">
        <f>IFERROR(subQ!O23+subQ!P17-subQ!P23,"")</f>
        <v/>
      </c>
      <c r="Q34" s="26">
        <f>IFERROR(subQ!P23+subQ!Q17-subQ!Q23,"")</f>
        <v/>
      </c>
      <c r="R34" s="27" t="n"/>
      <c r="S34" s="26">
        <f>IFERROR(subQ!Q23+subQ!S17-subQ!S23,"")</f>
        <v/>
      </c>
      <c r="T34" s="26">
        <f>IFERROR(subQ!S23+subQ!T17-subQ!T23,"")</f>
        <v/>
      </c>
      <c r="U34" s="26">
        <f>IFERROR(subQ!T23+subQ!U17-subQ!U23,"")</f>
        <v/>
      </c>
      <c r="V34" s="26">
        <f>IFERROR(subQ!U23+subQ!V17-subQ!V23,"")</f>
        <v/>
      </c>
      <c r="W34" s="27" t="n"/>
      <c r="X34" s="26">
        <f>IFERROR(subQ!V23+subQ!X17-subQ!X23,"")</f>
        <v/>
      </c>
      <c r="Y34" s="28">
        <f>IFERROR(subQ!X23+subQ!Y17-subQ!Y23,"")</f>
        <v/>
      </c>
      <c r="Z34" s="29" t="n">
        <v>0</v>
      </c>
      <c r="AA34" s="29" t="n">
        <v>-0</v>
      </c>
      <c r="AB34" s="30" t="n"/>
      <c r="AC34" s="29" t="n">
        <v>0</v>
      </c>
      <c r="AD34" s="29" t="n">
        <v>-0</v>
      </c>
      <c r="AE34" s="29" t="n">
        <v>0</v>
      </c>
      <c r="AF34" s="29" t="n">
        <v>-0</v>
      </c>
      <c r="AG34" s="30" t="n"/>
      <c r="AH34" s="29" t="n">
        <v>0</v>
      </c>
      <c r="AI34" s="29" t="n">
        <v>0</v>
      </c>
      <c r="AJ34" s="29" t="n">
        <v>0</v>
      </c>
      <c r="AK34" s="29" t="n">
        <v>0</v>
      </c>
      <c r="AL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1">
        <f>IFERROR(subQ!J24/subQ!I24-1,"")</f>
        <v/>
      </c>
      <c r="K35" s="21">
        <f>IFERROR(subQ!K24/subQ!J24-1,"")</f>
        <v/>
      </c>
      <c r="L35" s="21">
        <f>IFERROR(subQ!L24/subQ!K24-1,"")</f>
        <v/>
      </c>
      <c r="M35" s="22" t="n"/>
      <c r="N35" s="21">
        <f>IFERROR(subQ!N24/subQ!L24-1,"")</f>
        <v/>
      </c>
      <c r="O35" s="21">
        <f>IFERROR(subQ!O24/subQ!N24-1,"")</f>
        <v/>
      </c>
      <c r="P35" s="21">
        <f>IFERROR(subQ!P24/subQ!O24-1,"")</f>
        <v/>
      </c>
      <c r="Q35" s="21">
        <f>IFERROR(subQ!Q24/subQ!P24-1,"")</f>
        <v/>
      </c>
      <c r="R35" s="22" t="n"/>
      <c r="S35" s="21">
        <f>IFERROR(subQ!S24/subQ!Q24-1,"")</f>
        <v/>
      </c>
      <c r="T35" s="21">
        <f>IFERROR(subQ!T24/subQ!S24-1,"")</f>
        <v/>
      </c>
      <c r="U35" s="21">
        <f>IFERROR(subQ!U24/subQ!T24-1,"")</f>
        <v/>
      </c>
      <c r="V35" s="21">
        <f>IFERROR(subQ!V24/subQ!U24-1,"")</f>
        <v/>
      </c>
      <c r="W35" s="22" t="n"/>
      <c r="X35" s="21">
        <f>IFERROR(subQ!X24/subQ!V24-1,"")</f>
        <v/>
      </c>
      <c r="Y35" s="23">
        <f>IFERROR(subQ!Y24/subQ!X24-1,"")</f>
        <v/>
      </c>
      <c r="Z35" s="31" t="n"/>
      <c r="AA35" s="31" t="n"/>
      <c r="AB35" s="25" t="n"/>
      <c r="AC35" s="31" t="n"/>
      <c r="AD35" s="31" t="n"/>
      <c r="AE35" s="31" t="n"/>
      <c r="AF35" s="31" t="n"/>
      <c r="AG35" s="25" t="n"/>
      <c r="AH35" s="31" t="n"/>
      <c r="AI35" s="31" t="n"/>
      <c r="AJ35" s="31" t="n"/>
      <c r="AK35" s="31" t="n"/>
      <c r="AL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1">
        <f>IFERROR(subQ!J25/subQ!I25-1,"")</f>
        <v/>
      </c>
      <c r="K36" s="21">
        <f>IFERROR(subQ!K25/subQ!J25-1,"")</f>
        <v/>
      </c>
      <c r="L36" s="21">
        <f>IFERROR(subQ!L25/subQ!K25-1,"")</f>
        <v/>
      </c>
      <c r="M36" s="22" t="n"/>
      <c r="N36" s="21">
        <f>IFERROR(subQ!N25/subQ!L25-1,"")</f>
        <v/>
      </c>
      <c r="O36" s="21">
        <f>IFERROR(subQ!O25/subQ!N25-1,"")</f>
        <v/>
      </c>
      <c r="P36" s="21">
        <f>IFERROR(subQ!P25/subQ!O25-1,"")</f>
        <v/>
      </c>
      <c r="Q36" s="21">
        <f>IFERROR(subQ!Q25/subQ!P25-1,"")</f>
        <v/>
      </c>
      <c r="R36" s="22" t="n"/>
      <c r="S36" s="21">
        <f>IFERROR(subQ!S25/subQ!Q25-1,"")</f>
        <v/>
      </c>
      <c r="T36" s="21">
        <f>IFERROR(subQ!T25/subQ!S25-1,"")</f>
        <v/>
      </c>
      <c r="U36" s="21">
        <f>IFERROR(subQ!U25/subQ!T25-1,"")</f>
        <v/>
      </c>
      <c r="V36" s="21">
        <f>IFERROR(subQ!V25/subQ!U25-1,"")</f>
        <v/>
      </c>
      <c r="W36" s="22" t="n"/>
      <c r="X36" s="21">
        <f>IFERROR(subQ!X25/subQ!V25-1,"")</f>
        <v/>
      </c>
      <c r="Y36" s="23">
        <f>IFERROR(subQ!Y25/subQ!X25-1,"")</f>
        <v/>
      </c>
      <c r="Z36" s="31" t="n"/>
      <c r="AA36" s="31" t="n"/>
      <c r="AB36" s="25" t="n"/>
      <c r="AC36" s="31" t="n"/>
      <c r="AD36" s="31" t="n"/>
      <c r="AE36" s="31" t="n"/>
      <c r="AF36" s="31" t="n"/>
      <c r="AG36" s="25" t="n"/>
      <c r="AH36" s="31" t="n"/>
      <c r="AI36" s="31" t="n"/>
      <c r="AJ36" s="31" t="n"/>
      <c r="AK36" s="31" t="n"/>
      <c r="AL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1">
        <f>IFERROR(subQ!F26/subQ!E26-1,"")</f>
        <v/>
      </c>
      <c r="G37" s="21">
        <f>IFERROR(subQ!G26/subQ!F26-1,"")</f>
        <v/>
      </c>
      <c r="H37" s="22" t="n"/>
      <c r="I37" s="21">
        <f>IFERROR(subQ!I26/subQ!G26-1,"")</f>
        <v/>
      </c>
      <c r="J37" s="21">
        <f>IFERROR(subQ!J26/subQ!I26-1,"")</f>
        <v/>
      </c>
      <c r="K37" s="21">
        <f>IFERROR(subQ!K26/subQ!J26-1,"")</f>
        <v/>
      </c>
      <c r="L37" s="21">
        <f>IFERROR(subQ!L26/subQ!K26-1,"")</f>
        <v/>
      </c>
      <c r="M37" s="22" t="n"/>
      <c r="N37" s="21">
        <f>IFERROR(subQ!N26/subQ!L26-1,"")</f>
        <v/>
      </c>
      <c r="O37" s="21">
        <f>IFERROR(subQ!O26/subQ!N26-1,"")</f>
        <v/>
      </c>
      <c r="P37" s="21">
        <f>IFERROR(subQ!P26/subQ!O26-1,"")</f>
        <v/>
      </c>
      <c r="Q37" s="21">
        <f>IFERROR(subQ!Q26/subQ!P26-1,"")</f>
        <v/>
      </c>
      <c r="R37" s="22" t="n"/>
      <c r="S37" s="21">
        <f>IFERROR(subQ!S26/subQ!Q26-1,"")</f>
        <v/>
      </c>
      <c r="T37" s="21">
        <f>IFERROR(subQ!T26/subQ!S26-1,"")</f>
        <v/>
      </c>
      <c r="U37" s="21">
        <f>IFERROR(subQ!U26/subQ!T26-1,"")</f>
        <v/>
      </c>
      <c r="V37" s="21">
        <f>IFERROR(subQ!V26/subQ!U26-1,"")</f>
        <v/>
      </c>
      <c r="W37" s="22" t="n"/>
      <c r="X37" s="21">
        <f>IFERROR(subQ!X26/subQ!V26-1,"")</f>
        <v/>
      </c>
      <c r="Y37" s="23">
        <f>IFERROR(subQ!Y26/subQ!X26-1,"")</f>
        <v/>
      </c>
      <c r="Z37" s="24" t="n">
        <v>0.014605</v>
      </c>
      <c r="AA37" s="24" t="n">
        <v>0.01694</v>
      </c>
      <c r="AB37" s="25" t="n"/>
      <c r="AC37" s="24" t="n">
        <v>0.011964</v>
      </c>
      <c r="AD37" s="24" t="n">
        <v>0.017814</v>
      </c>
      <c r="AE37" s="24" t="n">
        <v>0.015002</v>
      </c>
      <c r="AF37" s="24" t="n">
        <v>0.017493</v>
      </c>
      <c r="AG37" s="25" t="n"/>
      <c r="AH37" s="24" t="n">
        <v>0.012136</v>
      </c>
      <c r="AI37" s="24" t="n">
        <v>0.018439</v>
      </c>
      <c r="AJ37" s="24" t="n">
        <v>0.015043</v>
      </c>
      <c r="AK37" s="24" t="n">
        <v>0.017544</v>
      </c>
      <c r="AL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1">
        <f>IFERROR(subQ!F27/subQ!E27-1,"")</f>
        <v/>
      </c>
      <c r="G38" s="21">
        <f>IFERROR(subQ!G27/subQ!F27-1,"")</f>
        <v/>
      </c>
      <c r="H38" s="22" t="n"/>
      <c r="I38" s="21">
        <f>IFERROR(subQ!I27/subQ!G27-1,"")</f>
        <v/>
      </c>
      <c r="J38" s="21">
        <f>IFERROR(subQ!J27/subQ!I27-1,"")</f>
        <v/>
      </c>
      <c r="K38" s="21">
        <f>IFERROR(subQ!K27/subQ!J27-1,"")</f>
        <v/>
      </c>
      <c r="L38" s="21">
        <f>IFERROR(subQ!L27/subQ!K27-1,"")</f>
        <v/>
      </c>
      <c r="M38" s="22" t="n"/>
      <c r="N38" s="21">
        <f>IFERROR(subQ!N27/subQ!L27-1,"")</f>
        <v/>
      </c>
      <c r="O38" s="21">
        <f>IFERROR(subQ!O27/subQ!N27-1,"")</f>
        <v/>
      </c>
      <c r="P38" s="21">
        <f>IFERROR(subQ!P27/subQ!O27-1,"")</f>
        <v/>
      </c>
      <c r="Q38" s="21">
        <f>IFERROR(subQ!Q27/subQ!P27-1,"")</f>
        <v/>
      </c>
      <c r="R38" s="22" t="n"/>
      <c r="S38" s="21">
        <f>IFERROR(subQ!S27/subQ!Q27-1,"")</f>
        <v/>
      </c>
      <c r="T38" s="21">
        <f>IFERROR(subQ!T27/subQ!S27-1,"")</f>
        <v/>
      </c>
      <c r="U38" s="21">
        <f>IFERROR(subQ!U27/subQ!T27-1,"")</f>
        <v/>
      </c>
      <c r="V38" s="21">
        <f>IFERROR(subQ!V27/subQ!U27-1,"")</f>
        <v/>
      </c>
      <c r="W38" s="22" t="n"/>
      <c r="X38" s="21">
        <f>IFERROR(subQ!X27/subQ!V27-1,"")</f>
        <v/>
      </c>
      <c r="Y38" s="23">
        <f>IFERROR(subQ!Y27/subQ!X27-1,"")</f>
        <v/>
      </c>
      <c r="Z38" s="31" t="n"/>
      <c r="AA38" s="31" t="n"/>
      <c r="AB38" s="25" t="n"/>
      <c r="AC38" s="31" t="n"/>
      <c r="AD38" s="31" t="n"/>
      <c r="AE38" s="31" t="n"/>
      <c r="AF38" s="31" t="n"/>
      <c r="AG38" s="25" t="n"/>
      <c r="AH38" s="31" t="n"/>
      <c r="AI38" s="31" t="n"/>
      <c r="AJ38" s="31" t="n"/>
      <c r="AK38" s="31" t="n"/>
      <c r="AL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IFERROR(subQ!J28/subQ!E28-1,"")</f>
        <v/>
      </c>
      <c r="K39" s="21">
        <f>IFERROR(subQ!K28/subQ!F28-1,"")</f>
        <v/>
      </c>
      <c r="L39" s="21">
        <f>IFERROR(subQ!L28/subQ!G28-1,"")</f>
        <v/>
      </c>
      <c r="M39" s="22" t="n"/>
      <c r="N39" s="21">
        <f>IFERROR(subQ!N28/subQ!I28-1,"")</f>
        <v/>
      </c>
      <c r="O39" s="21">
        <f>IFERROR(subQ!O28/subQ!J28-1,"")</f>
        <v/>
      </c>
      <c r="P39" s="21">
        <f>IFERROR(subQ!P28/subQ!K28-1,"")</f>
        <v/>
      </c>
      <c r="Q39" s="21">
        <f>IFERROR(subQ!Q28/subQ!L28-1,"")</f>
        <v/>
      </c>
      <c r="R39" s="22" t="n"/>
      <c r="S39" s="21">
        <f>IFERROR(subQ!S28/subQ!N28-1,"")</f>
        <v/>
      </c>
      <c r="T39" s="21">
        <f>IFERROR(subQ!T28/subQ!O28-1,"")</f>
        <v/>
      </c>
      <c r="U39" s="21">
        <f>IFERROR(subQ!U28/subQ!P28-1,"")</f>
        <v/>
      </c>
      <c r="V39" s="21">
        <f>IFERROR(subQ!V28/subQ!Q28-1,"")</f>
        <v/>
      </c>
      <c r="W39" s="22" t="n"/>
      <c r="X39" s="21">
        <f>IFERROR(subQ!X28/subQ!S28-1,"")</f>
        <v/>
      </c>
      <c r="Y39" s="23">
        <f>IFERROR(subQ!Y28/subQ!T28-1,"")</f>
        <v/>
      </c>
      <c r="Z39" s="31" t="n"/>
      <c r="AA39" s="31" t="n"/>
      <c r="AB39" s="25" t="n"/>
      <c r="AC39" s="31" t="n"/>
      <c r="AD39" s="31" t="n"/>
      <c r="AE39" s="31" t="n"/>
      <c r="AF39" s="31" t="n"/>
      <c r="AG39" s="25" t="n"/>
      <c r="AH39" s="31" t="n"/>
      <c r="AI39" s="31" t="n"/>
      <c r="AJ39" s="31" t="n"/>
      <c r="AK39" s="31" t="n"/>
      <c r="AL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IFERROR(subQ!F29/subQ!E29-1,"")</f>
        <v/>
      </c>
      <c r="G40" s="21">
        <f>IFERROR(subQ!G29/subQ!F29-1,"")</f>
        <v/>
      </c>
      <c r="H40" s="22" t="n"/>
      <c r="I40" s="21">
        <f>IFERROR(subQ!I29/subQ!G29-1,"")</f>
        <v/>
      </c>
      <c r="J40" s="21">
        <f>IFERROR(subQ!J29/subQ!I29-1,"")</f>
        <v/>
      </c>
      <c r="K40" s="21">
        <f>IFERROR(subQ!K29/subQ!J29-1,"")</f>
        <v/>
      </c>
      <c r="L40" s="21">
        <f>IFERROR(subQ!L29/subQ!K29-1,"")</f>
        <v/>
      </c>
      <c r="M40" s="22" t="n"/>
      <c r="N40" s="21">
        <f>IFERROR(subQ!N29/subQ!L29-1,"")</f>
        <v/>
      </c>
      <c r="O40" s="21">
        <f>IFERROR(subQ!O29/subQ!N29-1,"")</f>
        <v/>
      </c>
      <c r="P40" s="21">
        <f>IFERROR(subQ!P29/subQ!O29-1,"")</f>
        <v/>
      </c>
      <c r="Q40" s="21">
        <f>IFERROR(subQ!Q29/subQ!P29-1,"")</f>
        <v/>
      </c>
      <c r="R40" s="22" t="n"/>
      <c r="S40" s="21">
        <f>IFERROR(subQ!S29/subQ!Q29-1,"")</f>
        <v/>
      </c>
      <c r="T40" s="21">
        <f>IFERROR(subQ!T29/subQ!S29-1,"")</f>
        <v/>
      </c>
      <c r="U40" s="21">
        <f>IFERROR(subQ!U29/subQ!T29-1,"")</f>
        <v/>
      </c>
      <c r="V40" s="21">
        <f>IFERROR(subQ!V29/subQ!U29-1,"")</f>
        <v/>
      </c>
      <c r="W40" s="22" t="n"/>
      <c r="X40" s="21">
        <f>IFERROR(subQ!X29/subQ!V29-1,"")</f>
        <v/>
      </c>
      <c r="Y40" s="23">
        <f>IFERROR(subQ!Y29/subQ!X29-1,"")</f>
        <v/>
      </c>
      <c r="Z40" s="24" t="n">
        <v>0</v>
      </c>
      <c r="AA40" s="24" t="n">
        <v>0</v>
      </c>
      <c r="AB40" s="25" t="n"/>
      <c r="AC40" s="24" t="n">
        <v>0</v>
      </c>
      <c r="AD40" s="24" t="n">
        <v>0</v>
      </c>
      <c r="AE40" s="24" t="n">
        <v>0</v>
      </c>
      <c r="AF40" s="24" t="n">
        <v>0</v>
      </c>
      <c r="AG40" s="25" t="n"/>
      <c r="AH40" s="24" t="n">
        <v>0</v>
      </c>
      <c r="AI40" s="24" t="n">
        <v>0</v>
      </c>
      <c r="AJ40" s="24" t="n">
        <v>0</v>
      </c>
      <c r="AK40" s="24" t="n">
        <v>0</v>
      </c>
      <c r="AL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1" t="n"/>
      <c r="G41" s="21" t="n"/>
      <c r="H41" s="22" t="n"/>
      <c r="I41" s="21" t="n"/>
      <c r="J41" s="21">
        <f>IFERROR(subQ!J32/subQ!E32-1,"")</f>
        <v/>
      </c>
      <c r="K41" s="21">
        <f>IFERROR(subQ!K32/subQ!F32-1,"")</f>
        <v/>
      </c>
      <c r="L41" s="21">
        <f>IFERROR(subQ!L32/subQ!G32-1,"")</f>
        <v/>
      </c>
      <c r="M41" s="22" t="n"/>
      <c r="N41" s="21">
        <f>IFERROR(subQ!N32/subQ!I32-1,"")</f>
        <v/>
      </c>
      <c r="O41" s="21">
        <f>IFERROR(subQ!O32/subQ!J32-1,"")</f>
        <v/>
      </c>
      <c r="P41" s="21">
        <f>IFERROR(subQ!P32/subQ!K32-1,"")</f>
        <v/>
      </c>
      <c r="Q41" s="21">
        <f>IFERROR(subQ!Q32/subQ!L32-1,"")</f>
        <v/>
      </c>
      <c r="R41" s="22" t="n"/>
      <c r="S41" s="21">
        <f>IFERROR(subQ!S32/subQ!N32-1,"")</f>
        <v/>
      </c>
      <c r="T41" s="21">
        <f>IFERROR(subQ!T32/subQ!O32-1,"")</f>
        <v/>
      </c>
      <c r="U41" s="21">
        <f>IFERROR(subQ!U32/subQ!P32-1,"")</f>
        <v/>
      </c>
      <c r="V41" s="21">
        <f>IFERROR(subQ!V32/subQ!Q32-1,"")</f>
        <v/>
      </c>
      <c r="W41" s="22" t="n"/>
      <c r="X41" s="21">
        <f>IFERROR(subQ!X32/subQ!S32-1,"")</f>
        <v/>
      </c>
      <c r="Y41" s="23">
        <f>IFERROR(subQ!Y32/subQ!T32-1,"")</f>
        <v/>
      </c>
      <c r="Z41" s="31" t="n"/>
      <c r="AA41" s="31" t="n"/>
      <c r="AB41" s="25" t="n"/>
      <c r="AC41" s="31" t="n"/>
      <c r="AD41" s="31" t="n"/>
      <c r="AE41" s="31" t="n"/>
      <c r="AF41" s="31" t="n"/>
      <c r="AG41" s="25" t="n"/>
      <c r="AH41" s="31" t="n"/>
      <c r="AI41" s="31" t="n"/>
      <c r="AJ41" s="31" t="n"/>
      <c r="AK41" s="31" t="n"/>
      <c r="AL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1" t="n"/>
      <c r="G42" s="21" t="n"/>
      <c r="H42" s="22" t="n"/>
      <c r="I42" s="21" t="n"/>
      <c r="J42" s="21">
        <f>IFERROR(subQ!J33/subQ!E33-1,"")</f>
        <v/>
      </c>
      <c r="K42" s="21">
        <f>IFERROR(subQ!K33/subQ!F33-1,"")</f>
        <v/>
      </c>
      <c r="L42" s="21">
        <f>IFERROR(subQ!L33/subQ!G33-1,"")</f>
        <v/>
      </c>
      <c r="M42" s="22" t="n"/>
      <c r="N42" s="21">
        <f>IFERROR(subQ!N33/subQ!I33-1,"")</f>
        <v/>
      </c>
      <c r="O42" s="21">
        <f>IFERROR(subQ!O33/subQ!J33-1,"")</f>
        <v/>
      </c>
      <c r="P42" s="21">
        <f>IFERROR(subQ!P33/subQ!K33-1,"")</f>
        <v/>
      </c>
      <c r="Q42" s="21">
        <f>IFERROR(subQ!Q33/subQ!L33-1,"")</f>
        <v/>
      </c>
      <c r="R42" s="22" t="n"/>
      <c r="S42" s="21">
        <f>IFERROR(subQ!S33/subQ!N33-1,"")</f>
        <v/>
      </c>
      <c r="T42" s="21">
        <f>IFERROR(subQ!T33/subQ!O33-1,"")</f>
        <v/>
      </c>
      <c r="U42" s="21">
        <f>IFERROR(subQ!U33/subQ!P33-1,"")</f>
        <v/>
      </c>
      <c r="V42" s="21">
        <f>IFERROR(subQ!V33/subQ!Q33-1,"")</f>
        <v/>
      </c>
      <c r="W42" s="22" t="n"/>
      <c r="X42" s="21">
        <f>IFERROR(subQ!X33/subQ!S33-1,"")</f>
        <v/>
      </c>
      <c r="Y42" s="23">
        <f>IFERROR(subQ!Y33/subQ!T33-1,"")</f>
        <v/>
      </c>
      <c r="Z42" s="31" t="n"/>
      <c r="AA42" s="31" t="n"/>
      <c r="AB42" s="25" t="n"/>
      <c r="AC42" s="31" t="n"/>
      <c r="AD42" s="31" t="n"/>
      <c r="AE42" s="31" t="n"/>
      <c r="AF42" s="31" t="n"/>
      <c r="AG42" s="25" t="n"/>
      <c r="AH42" s="31" t="n"/>
      <c r="AI42" s="24" t="n">
        <v>-0.086273</v>
      </c>
      <c r="AJ42" s="24" t="n">
        <v>-0.08116</v>
      </c>
      <c r="AK42" s="24" t="n">
        <v>-0.073589</v>
      </c>
      <c r="AL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1" t="n"/>
      <c r="G43" s="21" t="n"/>
      <c r="H43" s="22" t="n"/>
      <c r="I43" s="21" t="n"/>
      <c r="J43" s="21">
        <f>IFERROR(subQ!J34/subQ!E34-1,"")</f>
        <v/>
      </c>
      <c r="K43" s="21">
        <f>IFERROR(subQ!K34/subQ!F34-1,"")</f>
        <v/>
      </c>
      <c r="L43" s="21">
        <f>IFERROR(subQ!L34/subQ!G34-1,"")</f>
        <v/>
      </c>
      <c r="M43" s="22" t="n"/>
      <c r="N43" s="21">
        <f>IFERROR(subQ!N34/subQ!I34-1,"")</f>
        <v/>
      </c>
      <c r="O43" s="21">
        <f>IFERROR(subQ!O34/subQ!J34-1,"")</f>
        <v/>
      </c>
      <c r="P43" s="21">
        <f>IFERROR(subQ!P34/subQ!K34-1,"")</f>
        <v/>
      </c>
      <c r="Q43" s="21">
        <f>IFERROR(subQ!Q34/subQ!L34-1,"")</f>
        <v/>
      </c>
      <c r="R43" s="22" t="n"/>
      <c r="S43" s="21">
        <f>IFERROR(subQ!S34/subQ!N34-1,"")</f>
        <v/>
      </c>
      <c r="T43" s="21">
        <f>IFERROR(subQ!T34/subQ!O34-1,"")</f>
        <v/>
      </c>
      <c r="U43" s="21">
        <f>IFERROR(subQ!U34/subQ!P34-1,"")</f>
        <v/>
      </c>
      <c r="V43" s="21">
        <f>IFERROR(subQ!V34/subQ!Q34-1,"")</f>
        <v/>
      </c>
      <c r="W43" s="22" t="n"/>
      <c r="X43" s="21">
        <f>IFERROR(subQ!X34/subQ!S34-1,"")</f>
        <v/>
      </c>
      <c r="Y43" s="23">
        <f>IFERROR(subQ!Y34/subQ!T34-1,"")</f>
        <v/>
      </c>
      <c r="Z43" s="24" t="n">
        <v>0.140351</v>
      </c>
      <c r="AA43" s="24" t="n">
        <v>-0.198758</v>
      </c>
      <c r="AB43" s="25" t="n"/>
      <c r="AC43" s="24" t="n">
        <v>-0.213415</v>
      </c>
      <c r="AD43" s="24" t="n">
        <v>-0.208589</v>
      </c>
      <c r="AE43" s="24" t="n">
        <v>-0.015385</v>
      </c>
      <c r="AF43" s="24" t="n">
        <v>-0.007752</v>
      </c>
      <c r="AG43" s="25" t="n"/>
      <c r="AH43" s="24" t="n">
        <v>-0.007752</v>
      </c>
      <c r="AI43" s="24" t="n">
        <v>-0.015504</v>
      </c>
      <c r="AJ43" s="24" t="n">
        <v>-0.007812</v>
      </c>
      <c r="AK43" s="24" t="n">
        <v>-0.015625</v>
      </c>
      <c r="AL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1">
        <f>IFERROR(subQ!F35/subQ!F5,"")</f>
        <v/>
      </c>
      <c r="G44" s="21">
        <f>IFERROR(subQ!G35/subQ!G5,"")</f>
        <v/>
      </c>
      <c r="H44" s="22">
        <f>IFERROR(subQ!H35/subQ!H5,"")</f>
        <v/>
      </c>
      <c r="I44" s="21">
        <f>IFERROR(subQ!I35/subQ!I5,"")</f>
        <v/>
      </c>
      <c r="J44" s="21">
        <f>IFERROR(subQ!J35/subQ!J5,"")</f>
        <v/>
      </c>
      <c r="K44" s="21">
        <f>IFERROR(subQ!K35/subQ!K5,"")</f>
        <v/>
      </c>
      <c r="L44" s="21">
        <f>IFERROR(subQ!L35/subQ!L5,"")</f>
        <v/>
      </c>
      <c r="M44" s="22">
        <f>IFERROR(subQ!M35/subQ!M5,"")</f>
        <v/>
      </c>
      <c r="N44" s="21">
        <f>IFERROR(subQ!N35/subQ!N5,"")</f>
        <v/>
      </c>
      <c r="O44" s="21">
        <f>IFERROR(subQ!O35/subQ!O5,"")</f>
        <v/>
      </c>
      <c r="P44" s="21">
        <f>IFERROR(subQ!P35/subQ!P5,"")</f>
        <v/>
      </c>
      <c r="Q44" s="21">
        <f>IFERROR(subQ!Q35/subQ!Q5,"")</f>
        <v/>
      </c>
      <c r="R44" s="22">
        <f>IFERROR(subQ!R35/subQ!R5,"")</f>
        <v/>
      </c>
      <c r="S44" s="21">
        <f>IFERROR(subQ!S35/subQ!S5,"")</f>
        <v/>
      </c>
      <c r="T44" s="21">
        <f>IFERROR(subQ!T35/subQ!T5,"")</f>
        <v/>
      </c>
      <c r="U44" s="21">
        <f>IFERROR(subQ!U35/subQ!U5,"")</f>
        <v/>
      </c>
      <c r="V44" s="21">
        <f>IFERROR(subQ!V35/subQ!V5,"")</f>
        <v/>
      </c>
      <c r="W44" s="22">
        <f>IFERROR(subQ!W35/subQ!W5,"")</f>
        <v/>
      </c>
      <c r="X44" s="21">
        <f>IFERROR(subQ!X35/subQ!X5,"")</f>
        <v/>
      </c>
      <c r="Y44" s="23">
        <f>IFERROR(subQ!Y35/subQ!Y5,"")</f>
        <v/>
      </c>
      <c r="Z44" s="24" t="n">
        <v>1</v>
      </c>
      <c r="AA44" s="24" t="n">
        <v>1</v>
      </c>
      <c r="AB44" s="25">
        <f>IFERROR(subQ!AB35/subQ!AB5,"")</f>
        <v/>
      </c>
      <c r="AC44" s="24" t="n">
        <v>1</v>
      </c>
      <c r="AD44" s="24" t="n">
        <v>1</v>
      </c>
      <c r="AE44" s="24" t="n">
        <v>1</v>
      </c>
      <c r="AF44" s="24" t="n">
        <v>1</v>
      </c>
      <c r="AG44" s="25">
        <f>IFERROR(subQ!AG35/subQ!AG5,"")</f>
        <v/>
      </c>
      <c r="AH44" s="24" t="n">
        <v>1</v>
      </c>
      <c r="AI44" s="24" t="n">
        <v>1</v>
      </c>
      <c r="AJ44" s="24" t="n">
        <v>1</v>
      </c>
      <c r="AK44" s="24" t="n">
        <v>1</v>
      </c>
      <c r="AL44" s="25">
        <f>IFERROR(subQ!AL35/subQ!AL5,"")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1">
        <f>IFERROR(subQ!F36/subQ!F35,"")</f>
        <v/>
      </c>
      <c r="G45" s="21">
        <f>IFERROR(subQ!G36/subQ!G35,"")</f>
        <v/>
      </c>
      <c r="H45" s="22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1">
        <f>IFERROR(subQ!K36/subQ!K35,"")</f>
        <v/>
      </c>
      <c r="L45" s="21">
        <f>IFERROR(subQ!L36/subQ!L35,"")</f>
        <v/>
      </c>
      <c r="M45" s="22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1">
        <f>IFERROR(subQ!P36/subQ!P35,"")</f>
        <v/>
      </c>
      <c r="Q45" s="21">
        <f>IFERROR(subQ!Q36/subQ!Q35,"")</f>
        <v/>
      </c>
      <c r="R45" s="22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1">
        <f>IFERROR(subQ!U36/subQ!U35,"")</f>
        <v/>
      </c>
      <c r="V45" s="21">
        <f>IFERROR(subQ!V36/subQ!V35,"")</f>
        <v/>
      </c>
      <c r="W45" s="22">
        <f>IFERROR(subQ!W36/subQ!W35,"")</f>
        <v/>
      </c>
      <c r="X45" s="21">
        <f>IFERROR(subQ!X36/subQ!X35,"")</f>
        <v/>
      </c>
      <c r="Y45" s="23">
        <f>IFERROR(subQ!Y36/subQ!Y35,"")</f>
        <v/>
      </c>
      <c r="Z45" s="24" t="n">
        <v>0.014167</v>
      </c>
      <c r="AA45" s="24" t="n">
        <v>0.0142</v>
      </c>
      <c r="AB45" s="25">
        <f>IFERROR(subQ!AB36/subQ!AB35,"")</f>
        <v/>
      </c>
      <c r="AC45" s="24" t="n">
        <v>0.014268</v>
      </c>
      <c r="AD45" s="24" t="n">
        <v>0.014182</v>
      </c>
      <c r="AE45" s="24" t="n">
        <v>0.0142</v>
      </c>
      <c r="AF45" s="24" t="n">
        <v>0.014201</v>
      </c>
      <c r="AG45" s="25">
        <f>IFERROR(subQ!AG36/subQ!AG35,"")</f>
        <v/>
      </c>
      <c r="AH45" s="24" t="n">
        <v>0.014207</v>
      </c>
      <c r="AI45" s="24" t="n">
        <v>0.014212</v>
      </c>
      <c r="AJ45" s="24" t="n">
        <v>0.014213</v>
      </c>
      <c r="AK45" s="24" t="n">
        <v>0.014223</v>
      </c>
      <c r="AL45" s="25">
        <f>IFERROR(subQ!AL36/subQ!AL35,"")</f>
        <v/>
      </c>
    </row>
    <row r="46"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B47" s="1" t="inlineStr">
        <is>
          <t>3. 밸류에이션·스칼라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23650</v>
      </c>
      <c r="E48" s="2" t="inlineStr">
        <is>
          <t>원 — aikstockdata(금융위 T+1)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152.1배가 3~40 밖(턴어라운드 왜곡))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0.09370000000000001</v>
      </c>
      <c r="E56" s="2" t="inlineStr">
        <is>
          <t>판관비율 가정(참고)</t>
        </is>
      </c>
      <c r="H56" s="9" t="n"/>
      <c r="M56" s="9" t="n"/>
      <c r="R56" s="9" t="n"/>
      <c r="W56" s="9" t="n"/>
      <c r="Y56" s="5" t="n"/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H57" s="9" t="n"/>
      <c r="M57" s="9" t="n"/>
      <c r="R57" s="9" t="n"/>
      <c r="W57" s="9" t="n"/>
      <c r="Y57" s="5" t="n"/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H58" s="9" t="n"/>
      <c r="M58" s="9" t="n"/>
      <c r="R58" s="9" t="n"/>
      <c r="W58" s="9" t="n"/>
      <c r="Y58" s="5" t="n"/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4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4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4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4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4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4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4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4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4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4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4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4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4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4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4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4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4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4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4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4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4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4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4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4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4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4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4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4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4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4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4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4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4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4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4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4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4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4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4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4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4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4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4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4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4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4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4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4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4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4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4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4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4" t="n">
        <v>0</v>
      </c>
      <c r="V22" s="18" t="n">
        <v>0</v>
      </c>
      <c r="W22" s="34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4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4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4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4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4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4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4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4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4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4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4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4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4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4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4" t="n">
        <v>35410.7</v>
      </c>
      <c r="X27" s="18" t="n">
        <v>120338.23</v>
      </c>
      <c r="Y27" s="5" t="n"/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4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4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4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4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4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4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4" t="n">
        <v>167.76</v>
      </c>
      <c r="N30" s="18" t="n">
        <v>153.64</v>
      </c>
      <c r="O30" s="18" t="n">
        <v>134.37</v>
      </c>
      <c r="P30" s="18" t="n">
        <v>120.25</v>
      </c>
      <c r="Q30" s="18" t="n">
        <v>120.62</v>
      </c>
      <c r="R30" s="34" t="n">
        <v>120.62</v>
      </c>
      <c r="S30" s="18" t="n">
        <v>119.08</v>
      </c>
      <c r="T30" s="18" t="n">
        <v>116.23</v>
      </c>
      <c r="U30" s="18" t="n">
        <v>168.46</v>
      </c>
      <c r="V30" s="18" t="n">
        <v>163.92</v>
      </c>
      <c r="W30" s="34" t="n">
        <v>163.92</v>
      </c>
      <c r="X30" s="18" t="n">
        <v>154.52</v>
      </c>
      <c r="Y30" s="19" t="n">
        <v>146.75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4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4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4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4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4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4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4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4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4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4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4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4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4" t="n">
        <v>88000</v>
      </c>
      <c r="X35" s="18" t="n">
        <v>7025.28</v>
      </c>
      <c r="Y35" s="5" t="n"/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4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4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4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4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4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4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4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4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4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4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4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4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4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4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4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4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4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4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4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4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4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4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4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4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4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4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4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4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4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4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4" t="n">
        <v>8090</v>
      </c>
      <c r="N46" s="18" t="n">
        <v>96090</v>
      </c>
      <c r="O46" s="18" t="n">
        <v>96090</v>
      </c>
      <c r="P46" s="18" t="n">
        <v>96090</v>
      </c>
      <c r="Q46" s="18" t="n">
        <v>124660.02</v>
      </c>
      <c r="R46" s="34" t="n">
        <v>124660.02</v>
      </c>
      <c r="S46" s="18" t="n">
        <v>127107.84</v>
      </c>
      <c r="T46" s="18" t="n">
        <v>127064.16</v>
      </c>
      <c r="U46" s="18" t="n">
        <v>127279.14</v>
      </c>
      <c r="V46" s="18" t="n">
        <v>134731.4</v>
      </c>
      <c r="W46" s="34" t="n">
        <v>134731.4</v>
      </c>
      <c r="X46" s="18" t="n">
        <v>127363.51</v>
      </c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4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101522.69</v>
      </c>
      <c r="R47" s="34" t="n">
        <v>101522.69</v>
      </c>
      <c r="S47" s="18" t="n">
        <v>100621.36</v>
      </c>
      <c r="T47" s="18" t="n">
        <v>110680.88</v>
      </c>
      <c r="U47" s="18" t="n">
        <v>116641.56</v>
      </c>
      <c r="V47" s="18" t="n">
        <v>86226.07000000001</v>
      </c>
      <c r="W47" s="34" t="n">
        <v>86226.07000000001</v>
      </c>
      <c r="X47" s="18" t="n">
        <v>98597.61</v>
      </c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4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4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4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이연법인세부채</t>
        </is>
      </c>
      <c r="H50" s="9" t="n"/>
      <c r="M50" s="9" t="n"/>
      <c r="Q50" s="18" t="n">
        <v>11480.74</v>
      </c>
      <c r="R50" s="34" t="n">
        <v>11480.74</v>
      </c>
      <c r="S50" s="18" t="n">
        <v>11480.74</v>
      </c>
      <c r="T50" s="18" t="n">
        <v>11555.1</v>
      </c>
      <c r="U50" s="18" t="n">
        <v>11555.1</v>
      </c>
      <c r="V50" s="18" t="n">
        <v>14160.66</v>
      </c>
      <c r="W50" s="34" t="n">
        <v>14160.66</v>
      </c>
      <c r="X50" s="18" t="n">
        <v>14160.66</v>
      </c>
      <c r="Y50" s="19" t="n">
        <v>12939.38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기타포괄이익누계액</t>
        </is>
      </c>
      <c r="H51" s="9" t="n"/>
      <c r="M51" s="9" t="n"/>
      <c r="Q51" s="18" t="n">
        <v>59696.31</v>
      </c>
      <c r="R51" s="34" t="n">
        <v>59696.31</v>
      </c>
      <c r="S51" s="18" t="n">
        <v>59696.31</v>
      </c>
      <c r="T51" s="18" t="n">
        <v>59696.31</v>
      </c>
      <c r="U51" s="18" t="n">
        <v>59696.31</v>
      </c>
      <c r="V51" s="18" t="n">
        <v>55451.44</v>
      </c>
      <c r="W51" s="34" t="n">
        <v>55451.44</v>
      </c>
      <c r="X51" s="18" t="n">
        <v>55451.44</v>
      </c>
      <c r="Y51" s="19" t="n">
        <v>55451.44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사채</t>
        </is>
      </c>
      <c r="H52" s="9" t="n"/>
      <c r="M52" s="9" t="n"/>
      <c r="Q52" s="18" t="n">
        <v>11785.01</v>
      </c>
      <c r="R52" s="34" t="n">
        <v>11785.01</v>
      </c>
      <c r="S52" s="18" t="n">
        <v>12008.92</v>
      </c>
      <c r="T52" s="18" t="n">
        <v>12237.08</v>
      </c>
      <c r="U52" s="18" t="n">
        <v>12469.57</v>
      </c>
      <c r="V52" s="18" t="n">
        <v>11320.7</v>
      </c>
      <c r="W52" s="34" t="n">
        <v>11320.7</v>
      </c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매출액(수익)</t>
        </is>
      </c>
      <c r="H53" s="9" t="n"/>
      <c r="L53" s="18" t="n">
        <v>7450.42</v>
      </c>
      <c r="M53" s="9" t="n"/>
      <c r="N53" s="18" t="n">
        <v>6719.84</v>
      </c>
      <c r="O53" s="18" t="n">
        <v>9194.01</v>
      </c>
      <c r="P53" s="18" t="n">
        <v>11000.03</v>
      </c>
      <c r="Q53" s="18" t="n">
        <v>9280.799999999999</v>
      </c>
      <c r="R53" s="34" t="n">
        <v>36194.68</v>
      </c>
      <c r="S53" s="18" t="n">
        <v>10446.45</v>
      </c>
      <c r="T53" s="18" t="n">
        <v>7061.17</v>
      </c>
      <c r="U53" s="18" t="n">
        <v>10398.92</v>
      </c>
      <c r="V53" s="18" t="n">
        <v>15454.55</v>
      </c>
      <c r="W53" s="34" t="n">
        <v>43361.09</v>
      </c>
      <c r="X53" s="18" t="n">
        <v>5053.88</v>
      </c>
      <c r="Y53" s="19" t="n">
        <v>17824.99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매출원가</t>
        </is>
      </c>
      <c r="H54" s="9" t="n"/>
      <c r="L54" s="18" t="n">
        <v>8731.35</v>
      </c>
      <c r="M54" s="9" t="n"/>
      <c r="N54" s="18" t="n">
        <v>6447.46</v>
      </c>
      <c r="O54" s="18" t="n">
        <v>6693.01</v>
      </c>
      <c r="P54" s="18" t="n">
        <v>8828.98</v>
      </c>
      <c r="Q54" s="18" t="n">
        <v>7973.61</v>
      </c>
      <c r="R54" s="34" t="n">
        <v>29943.06</v>
      </c>
      <c r="S54" s="18" t="n">
        <v>8736.040000000001</v>
      </c>
      <c r="T54" s="18" t="n">
        <v>5738.35</v>
      </c>
      <c r="U54" s="18" t="n">
        <v>8500.41</v>
      </c>
      <c r="V54" s="18" t="n">
        <v>14952.79</v>
      </c>
      <c r="W54" s="34" t="n">
        <v>37927.59</v>
      </c>
      <c r="X54" s="18" t="n">
        <v>6362.33</v>
      </c>
      <c r="Y54" s="19" t="n">
        <v>19527.47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매출총이익</t>
        </is>
      </c>
      <c r="H55" s="9" t="n"/>
      <c r="L55" s="18" t="n">
        <v>-1280.93</v>
      </c>
      <c r="M55" s="9" t="n"/>
      <c r="N55" s="18" t="n">
        <v>272.38</v>
      </c>
      <c r="O55" s="18" t="n">
        <v>2500.99</v>
      </c>
      <c r="P55" s="18" t="n">
        <v>2171.05</v>
      </c>
      <c r="Q55" s="18" t="n">
        <v>1307.2</v>
      </c>
      <c r="R55" s="34" t="n">
        <v>6251.62</v>
      </c>
      <c r="S55" s="18" t="n">
        <v>1710.41</v>
      </c>
      <c r="T55" s="18" t="n">
        <v>1322.81</v>
      </c>
      <c r="U55" s="18" t="n">
        <v>1898.51</v>
      </c>
      <c r="V55" s="18" t="n">
        <v>501.76</v>
      </c>
      <c r="W55" s="34" t="n">
        <v>5433.49</v>
      </c>
      <c r="X55" s="18" t="n">
        <v>-1308.45</v>
      </c>
      <c r="Y55" s="19" t="n">
        <v>-1702.47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판관비</t>
        </is>
      </c>
      <c r="H56" s="9" t="n"/>
      <c r="L56" s="18" t="n">
        <v>765.54</v>
      </c>
      <c r="M56" s="9" t="n"/>
      <c r="N56" s="18" t="n">
        <v>907.8099999999999</v>
      </c>
      <c r="O56" s="18" t="n">
        <v>850.8099999999999</v>
      </c>
      <c r="P56" s="18" t="n">
        <v>832.6900000000001</v>
      </c>
      <c r="Q56" s="18" t="n">
        <v>1249.17</v>
      </c>
      <c r="R56" s="34" t="n">
        <v>3840.48</v>
      </c>
      <c r="S56" s="18" t="n">
        <v>1030.14</v>
      </c>
      <c r="T56" s="18" t="n">
        <v>1166.39</v>
      </c>
      <c r="U56" s="18" t="n">
        <v>1056.59</v>
      </c>
      <c r="V56" s="18" t="n">
        <v>1322.54</v>
      </c>
      <c r="W56" s="34" t="n">
        <v>4575.66</v>
      </c>
      <c r="X56" s="18" t="n">
        <v>836.67</v>
      </c>
      <c r="Y56" s="19" t="n">
        <v>1530.79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영업이익</t>
        </is>
      </c>
      <c r="H57" s="9" t="n"/>
      <c r="L57" s="18" t="n">
        <v>-2046.47</v>
      </c>
      <c r="M57" s="9" t="n"/>
      <c r="N57" s="18" t="n">
        <v>-635.4299999999999</v>
      </c>
      <c r="O57" s="18" t="n">
        <v>1650.18</v>
      </c>
      <c r="P57" s="18" t="n">
        <v>1338.36</v>
      </c>
      <c r="Q57" s="18" t="n">
        <v>58.03</v>
      </c>
      <c r="R57" s="34" t="n">
        <v>2411.14</v>
      </c>
      <c r="S57" s="18" t="n">
        <v>680.28</v>
      </c>
      <c r="T57" s="18" t="n">
        <v>156.43</v>
      </c>
      <c r="U57" s="18" t="n">
        <v>841.9299999999999</v>
      </c>
      <c r="V57" s="18" t="n">
        <v>-820.78</v>
      </c>
      <c r="W57" s="34" t="n">
        <v>857.86</v>
      </c>
      <c r="X57" s="18" t="n">
        <v>-2145.12</v>
      </c>
      <c r="Y57" s="19" t="n">
        <v>-3233.27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금융수익</t>
        </is>
      </c>
      <c r="H58" s="9" t="n"/>
      <c r="L58" s="18" t="n">
        <v>513.77</v>
      </c>
      <c r="M58" s="9" t="n"/>
      <c r="N58" s="18" t="n">
        <v>387.04</v>
      </c>
      <c r="O58" s="18" t="n">
        <v>333.56</v>
      </c>
      <c r="P58" s="18" t="n">
        <v>353.3</v>
      </c>
      <c r="Q58" s="18" t="n">
        <v>762.24</v>
      </c>
      <c r="R58" s="34" t="n">
        <v>1836.14</v>
      </c>
      <c r="S58" s="18" t="n">
        <v>540.38</v>
      </c>
      <c r="T58" s="18" t="n">
        <v>566.9</v>
      </c>
      <c r="U58" s="18" t="n">
        <v>517.03</v>
      </c>
      <c r="V58" s="18" t="n">
        <v>6312.34</v>
      </c>
      <c r="W58" s="34" t="n">
        <v>7936.65</v>
      </c>
      <c r="X58" s="18" t="n">
        <v>562.11</v>
      </c>
      <c r="Y58" s="19" t="n">
        <v>1106.75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금융비용</t>
        </is>
      </c>
      <c r="H59" s="9" t="n"/>
      <c r="L59" s="18" t="n">
        <v>100.24</v>
      </c>
      <c r="M59" s="9" t="n"/>
      <c r="N59" s="18" t="n">
        <v>405.09</v>
      </c>
      <c r="O59" s="18" t="n">
        <v>968.38</v>
      </c>
      <c r="P59" s="18" t="n">
        <v>983.92</v>
      </c>
      <c r="Q59" s="18" t="n">
        <v>1709.99</v>
      </c>
      <c r="R59" s="34" t="n">
        <v>4067.38</v>
      </c>
      <c r="S59" s="18" t="n">
        <v>1238.07</v>
      </c>
      <c r="T59" s="18" t="n">
        <v>1156.32</v>
      </c>
      <c r="U59" s="18" t="n">
        <v>1101.3</v>
      </c>
      <c r="V59" s="18" t="n">
        <v>4036.32</v>
      </c>
      <c r="W59" s="34" t="n">
        <v>7532.01</v>
      </c>
      <c r="X59" s="18" t="n">
        <v>1608.56</v>
      </c>
      <c r="Y59" s="19" t="n">
        <v>1885.98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기타영업외수익</t>
        </is>
      </c>
      <c r="H60" s="9" t="n"/>
      <c r="L60" s="18" t="n">
        <v>29.37</v>
      </c>
      <c r="M60" s="9" t="n"/>
      <c r="N60" s="18" t="n">
        <v>33.33</v>
      </c>
      <c r="O60" s="18" t="n">
        <v>73.16</v>
      </c>
      <c r="P60" s="18" t="n">
        <v>15.09</v>
      </c>
      <c r="Q60" s="18" t="n">
        <v>87.13</v>
      </c>
      <c r="R60" s="34" t="n">
        <v>208.71</v>
      </c>
      <c r="S60" s="18" t="n">
        <v>6.5</v>
      </c>
      <c r="T60" s="18" t="n">
        <v>64.59</v>
      </c>
      <c r="U60" s="18" t="n">
        <v>17.48</v>
      </c>
      <c r="V60" s="18" t="n">
        <v>22.46</v>
      </c>
      <c r="W60" s="34" t="n">
        <v>111.03</v>
      </c>
      <c r="X60" s="18" t="n">
        <v>1611.05</v>
      </c>
      <c r="Y60" s="19" t="n">
        <v>-1144.06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기타영업외비용</t>
        </is>
      </c>
      <c r="H61" s="9" t="n"/>
      <c r="L61" s="18" t="n">
        <v>84.97</v>
      </c>
      <c r="M61" s="9" t="n"/>
      <c r="N61" s="18" t="n">
        <v>16.99</v>
      </c>
      <c r="O61" s="18" t="n">
        <v>59.28</v>
      </c>
      <c r="P61" s="18" t="n">
        <v>18</v>
      </c>
      <c r="Q61" s="18" t="n">
        <v>15.11</v>
      </c>
      <c r="R61" s="34" t="n">
        <v>109.38</v>
      </c>
      <c r="S61" s="18" t="n">
        <v>61.82</v>
      </c>
      <c r="T61" s="18" t="n">
        <v>24.04</v>
      </c>
      <c r="U61" s="18" t="n">
        <v>45.79</v>
      </c>
      <c r="V61" s="18" t="n">
        <v>94.84999999999999</v>
      </c>
      <c r="W61" s="34" t="n">
        <v>226.5</v>
      </c>
      <c r="X61" s="18" t="n">
        <v>88.63</v>
      </c>
      <c r="Y61" s="19" t="n">
        <v>30.2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법인세비용차감전계속사업이익</t>
        </is>
      </c>
      <c r="H62" s="9" t="n"/>
      <c r="L62" s="18" t="n">
        <v>-1688.54</v>
      </c>
      <c r="M62" s="9" t="n"/>
      <c r="N62" s="18" t="n">
        <v>-637.14</v>
      </c>
      <c r="O62" s="18" t="n">
        <v>1029.24</v>
      </c>
      <c r="P62" s="18" t="n">
        <v>704.83</v>
      </c>
      <c r="Q62" s="18" t="n">
        <v>-817.7</v>
      </c>
      <c r="R62" s="34" t="n">
        <v>279.23</v>
      </c>
      <c r="S62" s="18" t="n">
        <v>-72.73</v>
      </c>
      <c r="T62" s="18" t="n">
        <v>-392.45</v>
      </c>
      <c r="U62" s="18" t="n">
        <v>229.36</v>
      </c>
      <c r="V62" s="18" t="n">
        <v>1382.85</v>
      </c>
      <c r="W62" s="34" t="n">
        <v>1147.03</v>
      </c>
      <c r="X62" s="18" t="n">
        <v>-1669.15</v>
      </c>
      <c r="Y62" s="19" t="n">
        <v>-5186.75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법인세비용</t>
        </is>
      </c>
      <c r="H63" s="9" t="n"/>
      <c r="L63" s="18" t="n">
        <v>-542.73</v>
      </c>
      <c r="M63" s="9" t="n"/>
      <c r="N63" s="18" t="n">
        <v>0</v>
      </c>
      <c r="O63" s="18" t="n">
        <v>133.04</v>
      </c>
      <c r="P63" s="18" t="n">
        <v>0</v>
      </c>
      <c r="Q63" s="18" t="n">
        <v>-478.9</v>
      </c>
      <c r="R63" s="34" t="n">
        <v>-345.86</v>
      </c>
      <c r="S63" s="18" t="n">
        <v>0</v>
      </c>
      <c r="T63" s="18" t="n">
        <v>74.37</v>
      </c>
      <c r="U63" s="18" t="n">
        <v>0</v>
      </c>
      <c r="V63" s="18" t="n">
        <v>-109.42</v>
      </c>
      <c r="W63" s="34" t="n">
        <v>-35.05</v>
      </c>
      <c r="X63" s="18" t="n">
        <v>0</v>
      </c>
      <c r="Y63" s="19" t="n">
        <v>-1198.64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당기순이익</t>
        </is>
      </c>
      <c r="H64" s="9" t="n"/>
      <c r="L64" s="18" t="n">
        <v>-1145.81</v>
      </c>
      <c r="M64" s="9" t="n"/>
      <c r="N64" s="18" t="n">
        <v>-637.14</v>
      </c>
      <c r="O64" s="18" t="n">
        <v>896.2</v>
      </c>
      <c r="P64" s="18" t="n">
        <v>704.83</v>
      </c>
      <c r="Q64" s="18" t="n">
        <v>-338.8</v>
      </c>
      <c r="R64" s="34" t="n">
        <v>625.09</v>
      </c>
      <c r="S64" s="18" t="n">
        <v>-72.73</v>
      </c>
      <c r="T64" s="18" t="n">
        <v>-466.82</v>
      </c>
      <c r="U64" s="18" t="n">
        <v>229.36</v>
      </c>
      <c r="V64" s="18" t="n">
        <v>1492.27</v>
      </c>
      <c r="W64" s="34" t="n">
        <v>1182.08</v>
      </c>
      <c r="X64" s="18" t="n">
        <v>-1669.15</v>
      </c>
      <c r="Y64" s="19" t="n">
        <v>-3988.11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총포괄손익</t>
        </is>
      </c>
      <c r="H65" s="9" t="n"/>
      <c r="L65" s="18" t="n">
        <v>-1188.63</v>
      </c>
      <c r="M65" s="9" t="n"/>
      <c r="N65" s="18" t="n">
        <v>-637.14</v>
      </c>
      <c r="O65" s="18" t="n">
        <v>896.2</v>
      </c>
      <c r="P65" s="18" t="n">
        <v>704.83</v>
      </c>
      <c r="Q65" s="18" t="n">
        <v>58967.13</v>
      </c>
      <c r="R65" s="34" t="n">
        <v>59931.02</v>
      </c>
      <c r="S65" s="18" t="n">
        <v>-72.73</v>
      </c>
      <c r="T65" s="18" t="n">
        <v>-466.82</v>
      </c>
      <c r="U65" s="18" t="n">
        <v>229.36</v>
      </c>
      <c r="V65" s="18" t="n">
        <v>-2864.07</v>
      </c>
      <c r="W65" s="34" t="n">
        <v>-3174.26</v>
      </c>
      <c r="X65" s="18" t="n">
        <v>-1669.15</v>
      </c>
      <c r="Y65" s="19" t="n">
        <v>-3988.11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(지배주주지분)당기순이익</t>
        </is>
      </c>
      <c r="H66" s="9" t="n"/>
      <c r="L66" s="18" t="n">
        <v>-1090.6</v>
      </c>
      <c r="M66" s="9" t="n"/>
      <c r="N66" s="18" t="n">
        <v>-596.77</v>
      </c>
      <c r="O66" s="18" t="n">
        <v>911.4299999999999</v>
      </c>
      <c r="P66" s="18" t="n">
        <v>775.21</v>
      </c>
      <c r="Q66" s="18" t="n">
        <v>-255.33</v>
      </c>
      <c r="R66" s="34" t="n">
        <v>834.54</v>
      </c>
      <c r="S66" s="18" t="n">
        <v>4.84</v>
      </c>
      <c r="T66" s="18" t="n">
        <v>-377.74</v>
      </c>
      <c r="U66" s="18" t="n">
        <v>336.55</v>
      </c>
      <c r="V66" s="18" t="n">
        <v>1626.51</v>
      </c>
      <c r="W66" s="34" t="n">
        <v>1590.16</v>
      </c>
      <c r="X66" s="18" t="n">
        <v>-1645.99</v>
      </c>
      <c r="Y66" s="19" t="n">
        <v>-3786.59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(비지배주주지분)당기순이익</t>
        </is>
      </c>
      <c r="H67" s="9" t="n"/>
      <c r="L67" s="18" t="n">
        <v>-55.21</v>
      </c>
      <c r="M67" s="9" t="n"/>
      <c r="N67" s="18" t="n">
        <v>-40.38</v>
      </c>
      <c r="O67" s="18" t="n">
        <v>-15.23</v>
      </c>
      <c r="P67" s="18" t="n">
        <v>-70.38</v>
      </c>
      <c r="Q67" s="18" t="n">
        <v>-83.47</v>
      </c>
      <c r="R67" s="34" t="n">
        <v>-209.46</v>
      </c>
      <c r="S67" s="18" t="n">
        <v>-77.56999999999999</v>
      </c>
      <c r="T67" s="18" t="n">
        <v>-89.08</v>
      </c>
      <c r="U67" s="18" t="n">
        <v>-107.19</v>
      </c>
      <c r="V67" s="18" t="n">
        <v>-134.24</v>
      </c>
      <c r="W67" s="34" t="n">
        <v>-408.08</v>
      </c>
      <c r="X67" s="18" t="n">
        <v>-23.16</v>
      </c>
      <c r="Y67" s="19" t="n">
        <v>-201.52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H68" s="9" t="n"/>
      <c r="L68" s="18" t="n">
        <v>413.53</v>
      </c>
      <c r="M68" s="9" t="n"/>
      <c r="N68" s="18" t="n">
        <v>-18.05</v>
      </c>
      <c r="O68" s="18" t="n">
        <v>-634.8200000000001</v>
      </c>
      <c r="P68" s="18" t="n">
        <v>-630.62</v>
      </c>
      <c r="Q68" s="18" t="n">
        <v>-947.75</v>
      </c>
      <c r="R68" s="34" t="n">
        <v>-2231.24</v>
      </c>
      <c r="S68" s="18" t="n">
        <v>-697.6900000000001</v>
      </c>
      <c r="T68" s="18" t="n">
        <v>-589.42</v>
      </c>
      <c r="U68" s="18" t="n">
        <v>-584.27</v>
      </c>
      <c r="V68" s="18" t="n">
        <v>2276.02</v>
      </c>
      <c r="W68" s="34" t="n">
        <v>404.64</v>
      </c>
      <c r="X68" s="18" t="n">
        <v>-1046.45</v>
      </c>
      <c r="Y68" s="19" t="n">
        <v>-779.23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H69" s="9" t="n"/>
      <c r="L69" s="18" t="n">
        <v>-55.6</v>
      </c>
      <c r="M69" s="9" t="n"/>
      <c r="N69" s="18" t="n">
        <v>16.34</v>
      </c>
      <c r="O69" s="18" t="n">
        <v>13.88</v>
      </c>
      <c r="P69" s="18" t="n">
        <v>-2.91</v>
      </c>
      <c r="Q69" s="18" t="n">
        <v>72.02</v>
      </c>
      <c r="R69" s="34" t="n">
        <v>99.33</v>
      </c>
      <c r="S69" s="18" t="n">
        <v>-55.32</v>
      </c>
      <c r="T69" s="18" t="n">
        <v>40.55</v>
      </c>
      <c r="U69" s="18" t="n">
        <v>-28.31</v>
      </c>
      <c r="V69" s="18" t="n">
        <v>-72.39</v>
      </c>
      <c r="W69" s="34" t="n">
        <v>-115.47</v>
      </c>
      <c r="X69" s="18" t="n">
        <v>1522.42</v>
      </c>
      <c r="Y69" s="19" t="n">
        <v>-1174.26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계속사업이익</t>
        </is>
      </c>
      <c r="H70" s="9" t="n"/>
      <c r="L70" s="18" t="n">
        <v>-1145.81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-338.8</v>
      </c>
      <c r="R70" s="34" t="n">
        <v>625.09</v>
      </c>
      <c r="S70" s="18" t="n">
        <v>-72.73</v>
      </c>
      <c r="T70" s="18" t="n">
        <v>-466.82</v>
      </c>
      <c r="U70" s="18" t="n">
        <v>229.36</v>
      </c>
      <c r="V70" s="18" t="n">
        <v>1492.27</v>
      </c>
      <c r="W70" s="34" t="n">
        <v>1182.08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이자수익</t>
        </is>
      </c>
      <c r="H71" s="9" t="n"/>
      <c r="L71" s="18" t="n">
        <v>513.77</v>
      </c>
      <c r="M71" s="9" t="n"/>
      <c r="N71" s="18" t="n">
        <v>362.6</v>
      </c>
      <c r="O71" s="18" t="n">
        <v>333.56</v>
      </c>
      <c r="P71" s="18" t="n">
        <v>353.3</v>
      </c>
      <c r="Q71" s="18" t="n">
        <v>389.74</v>
      </c>
      <c r="R71" s="34" t="n">
        <v>1439.2</v>
      </c>
      <c r="S71" s="18" t="n">
        <v>517.98</v>
      </c>
      <c r="W71" s="9" t="n"/>
      <c r="Y71" s="5" t="n"/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이자비용</t>
        </is>
      </c>
      <c r="H72" s="9" t="n"/>
      <c r="L72" s="18" t="n">
        <v>100.24</v>
      </c>
      <c r="M72" s="9" t="n"/>
      <c r="N72" s="18" t="n">
        <v>405.09</v>
      </c>
      <c r="O72" s="18" t="n">
        <v>968.38</v>
      </c>
      <c r="P72" s="18" t="n">
        <v>983.92</v>
      </c>
      <c r="Q72" s="18" t="n">
        <v>1176.78</v>
      </c>
      <c r="R72" s="34" t="n">
        <v>3534.17</v>
      </c>
      <c r="S72" s="18" t="n">
        <v>1238.07</v>
      </c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이자손익</t>
        </is>
      </c>
      <c r="H73" s="9" t="n"/>
      <c r="L73" s="18" t="n">
        <v>413.53</v>
      </c>
      <c r="M73" s="9" t="n"/>
      <c r="N73" s="18" t="n">
        <v>-42.49</v>
      </c>
      <c r="O73" s="18" t="n">
        <v>-634.8200000000001</v>
      </c>
      <c r="P73" s="18" t="n">
        <v>-630.62</v>
      </c>
      <c r="Q73" s="18" t="n">
        <v>-787.04</v>
      </c>
      <c r="R73" s="34" t="n">
        <v>-2094.97</v>
      </c>
      <c r="S73" s="18" t="n">
        <v>-720.09</v>
      </c>
      <c r="W73" s="9" t="n"/>
      <c r="Y73" s="5" t="n"/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영업활동으로인한현금흐름</t>
        </is>
      </c>
      <c r="H74" s="9" t="n"/>
      <c r="L74" s="18" t="n">
        <v>3190.35</v>
      </c>
      <c r="M74" s="9" t="n"/>
      <c r="N74" s="18" t="n">
        <v>-5439.91</v>
      </c>
      <c r="O74" s="18" t="n">
        <v>18754.8</v>
      </c>
      <c r="P74" s="18" t="n">
        <v>-7021.01</v>
      </c>
      <c r="Q74" s="18" t="n">
        <v>2612.06</v>
      </c>
      <c r="R74" s="34" t="n">
        <v>8905.940000000001</v>
      </c>
      <c r="S74" s="18" t="n">
        <v>1393.17</v>
      </c>
      <c r="T74" s="18" t="n">
        <v>367.76</v>
      </c>
      <c r="U74" s="18" t="n">
        <v>-1381.07</v>
      </c>
      <c r="V74" s="18" t="n">
        <v>21303.26</v>
      </c>
      <c r="W74" s="34" t="n">
        <v>21683.12</v>
      </c>
      <c r="X74" s="18" t="n">
        <v>-15326.48</v>
      </c>
      <c r="Y74" s="19" t="n">
        <v>-4061.11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감가상각비</t>
        </is>
      </c>
      <c r="H75" s="9" t="n"/>
      <c r="L75" s="18" t="n">
        <v>340.45</v>
      </c>
      <c r="M75" s="9" t="n"/>
      <c r="N75" s="18" t="n">
        <v>405.32</v>
      </c>
      <c r="O75" s="18" t="n">
        <v>446.48</v>
      </c>
      <c r="P75" s="18" t="n">
        <v>444.16</v>
      </c>
      <c r="Q75" s="18" t="n">
        <v>437.22</v>
      </c>
      <c r="R75" s="34" t="n">
        <v>1733.18</v>
      </c>
      <c r="S75" s="18" t="n">
        <v>441.4</v>
      </c>
      <c r="T75" s="18" t="n">
        <v>460.01</v>
      </c>
      <c r="U75" s="18" t="n">
        <v>481.48</v>
      </c>
      <c r="V75" s="18" t="n">
        <v>515.9400000000001</v>
      </c>
      <c r="W75" s="34" t="n">
        <v>1898.83</v>
      </c>
      <c r="X75" s="18" t="n">
        <v>515.92</v>
      </c>
      <c r="Y75" s="19" t="n">
        <v>537.61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무형자산상각비</t>
        </is>
      </c>
      <c r="H76" s="9" t="n"/>
      <c r="L76" s="18" t="n">
        <v>66.12</v>
      </c>
      <c r="M76" s="9" t="n"/>
      <c r="N76" s="18" t="n">
        <v>66.39</v>
      </c>
      <c r="O76" s="18" t="n">
        <v>68.03</v>
      </c>
      <c r="P76" s="18" t="n">
        <v>111.05</v>
      </c>
      <c r="Q76" s="18" t="n">
        <v>225.38</v>
      </c>
      <c r="R76" s="34" t="n">
        <v>470.85</v>
      </c>
      <c r="S76" s="18" t="n">
        <v>189.29</v>
      </c>
      <c r="T76" s="18" t="n">
        <v>179.99</v>
      </c>
      <c r="U76" s="18" t="n">
        <v>170.78</v>
      </c>
      <c r="V76" s="18" t="n">
        <v>170.03</v>
      </c>
      <c r="W76" s="34" t="n">
        <v>710.09</v>
      </c>
      <c r="X76" s="18" t="n">
        <v>170.03</v>
      </c>
      <c r="Y76" s="19" t="n">
        <v>169.37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이자수취(CF)</t>
        </is>
      </c>
      <c r="H77" s="9" t="n"/>
      <c r="L77" s="18" t="n">
        <v>299.44</v>
      </c>
      <c r="M77" s="9" t="n"/>
      <c r="N77" s="18" t="n">
        <v>271</v>
      </c>
      <c r="O77" s="18" t="n">
        <v>396</v>
      </c>
      <c r="P77" s="18" t="n">
        <v>362.39</v>
      </c>
      <c r="Q77" s="18" t="n">
        <v>172.35</v>
      </c>
      <c r="R77" s="34" t="n">
        <v>1201.74</v>
      </c>
      <c r="S77" s="18" t="n">
        <v>165.34</v>
      </c>
      <c r="T77" s="18" t="n">
        <v>508.18</v>
      </c>
      <c r="U77" s="18" t="n">
        <v>279.27</v>
      </c>
      <c r="V77" s="18" t="n">
        <v>879.38</v>
      </c>
      <c r="W77" s="34" t="n">
        <v>1832.17</v>
      </c>
      <c r="X77" s="18" t="n">
        <v>69.93000000000001</v>
      </c>
      <c r="Y77" s="19" t="n">
        <v>778.64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이자지급(CF)</t>
        </is>
      </c>
      <c r="H78" s="9" t="n"/>
      <c r="L78" s="18" t="n">
        <v>-131.95</v>
      </c>
      <c r="M78" s="9" t="n"/>
      <c r="N78" s="18" t="n">
        <v>-374.72</v>
      </c>
      <c r="O78" s="18" t="n">
        <v>-980.23</v>
      </c>
      <c r="P78" s="18" t="n">
        <v>-991.25</v>
      </c>
      <c r="Q78" s="18" t="n">
        <v>-1004.01</v>
      </c>
      <c r="R78" s="34" t="n">
        <v>-3350.21</v>
      </c>
      <c r="S78" s="18" t="n">
        <v>-1013.81</v>
      </c>
      <c r="T78" s="18" t="n">
        <v>-945.74</v>
      </c>
      <c r="U78" s="18" t="n">
        <v>-870.3200000000001</v>
      </c>
      <c r="V78" s="18" t="n">
        <v>-877.87</v>
      </c>
      <c r="W78" s="34" t="n">
        <v>-3707.74</v>
      </c>
      <c r="X78" s="18" t="n">
        <v>-939.9400000000001</v>
      </c>
      <c r="Y78" s="19" t="n">
        <v>-952.52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법인세납부(CF)</t>
        </is>
      </c>
      <c r="H79" s="9" t="n"/>
      <c r="L79" s="18" t="n">
        <v>-56.89</v>
      </c>
      <c r="M79" s="9" t="n"/>
      <c r="N79" s="18" t="n">
        <v>-41.59</v>
      </c>
      <c r="O79" s="18" t="n">
        <v>383.95</v>
      </c>
      <c r="P79" s="18" t="n">
        <v>-56.61</v>
      </c>
      <c r="Q79" s="18" t="n">
        <v>-21.3</v>
      </c>
      <c r="R79" s="34" t="n">
        <v>264.45</v>
      </c>
      <c r="S79" s="18" t="n">
        <v>-28.43</v>
      </c>
      <c r="T79" s="18" t="n">
        <v>92.64</v>
      </c>
      <c r="U79" s="18" t="n">
        <v>-74.31</v>
      </c>
      <c r="V79" s="18" t="n">
        <v>-101.96</v>
      </c>
      <c r="W79" s="34" t="n">
        <v>-112.06</v>
      </c>
      <c r="X79" s="18" t="n">
        <v>-10.45</v>
      </c>
      <c r="Y79" s="19" t="n">
        <v>87.59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투자활동으로인한현금흐름</t>
        </is>
      </c>
      <c r="H80" s="9" t="n"/>
      <c r="L80" s="18" t="n">
        <v>-12024.34</v>
      </c>
      <c r="M80" s="9" t="n"/>
      <c r="N80" s="18" t="n">
        <v>-106453.41</v>
      </c>
      <c r="O80" s="18" t="n">
        <v>5413.59</v>
      </c>
      <c r="P80" s="18" t="n">
        <v>-2679.26</v>
      </c>
      <c r="Q80" s="18" t="n">
        <v>-18052.02</v>
      </c>
      <c r="R80" s="34" t="n">
        <v>-121771.1</v>
      </c>
      <c r="S80" s="18" t="n">
        <v>2915.55</v>
      </c>
      <c r="T80" s="18" t="n">
        <v>-11999.52</v>
      </c>
      <c r="U80" s="18" t="n">
        <v>-4089.06</v>
      </c>
      <c r="V80" s="18" t="n">
        <v>217.08</v>
      </c>
      <c r="W80" s="34" t="n">
        <v>-12955.95</v>
      </c>
      <c r="X80" s="18" t="n">
        <v>-12980.04</v>
      </c>
      <c r="Y80" s="19" t="n">
        <v>3592.94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재무활동으로인한현금흐름</t>
        </is>
      </c>
      <c r="H81" s="9" t="n"/>
      <c r="L81" s="18" t="n">
        <v>-53.46</v>
      </c>
      <c r="M81" s="9" t="n"/>
      <c r="N81" s="18" t="n">
        <v>87959.69</v>
      </c>
      <c r="O81" s="18" t="n">
        <v>-40.86</v>
      </c>
      <c r="P81" s="18" t="n">
        <v>-33.92</v>
      </c>
      <c r="Q81" s="18" t="n">
        <v>17843.86</v>
      </c>
      <c r="R81" s="34" t="n">
        <v>105728.77</v>
      </c>
      <c r="S81" s="18" t="n">
        <v>1978.09</v>
      </c>
      <c r="T81" s="18" t="n">
        <v>-522.9299999999999</v>
      </c>
      <c r="U81" s="18" t="n">
        <v>-277.65</v>
      </c>
      <c r="V81" s="18" t="n">
        <v>16436.37</v>
      </c>
      <c r="W81" s="34" t="n">
        <v>17613.88</v>
      </c>
      <c r="X81" s="18" t="n">
        <v>3231.89</v>
      </c>
      <c r="Y81" s="19" t="n">
        <v>-793.08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단기차입금의증가</t>
        </is>
      </c>
      <c r="H82" s="9" t="n"/>
      <c r="L82" s="18" t="n">
        <v>0</v>
      </c>
      <c r="M82" s="9" t="n"/>
      <c r="P82" s="18" t="n">
        <v>0</v>
      </c>
      <c r="Q82" s="18" t="n">
        <v>5000</v>
      </c>
      <c r="R82" s="9" t="n"/>
      <c r="S82" s="18" t="n">
        <v>5000</v>
      </c>
      <c r="T82" s="18" t="n">
        <v>0</v>
      </c>
      <c r="U82" s="18" t="n">
        <v>0</v>
      </c>
      <c r="V82" s="18" t="n">
        <v>10000</v>
      </c>
      <c r="W82" s="34" t="n">
        <v>15000</v>
      </c>
      <c r="X82" s="18" t="n">
        <v>0</v>
      </c>
      <c r="Y82" s="19" t="n">
        <v>0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장기차입금의증가</t>
        </is>
      </c>
      <c r="H83" s="9" t="n"/>
      <c r="L83" s="18" t="n">
        <v>0</v>
      </c>
      <c r="M83" s="9" t="n"/>
      <c r="N83" s="18" t="n">
        <v>88000</v>
      </c>
      <c r="O83" s="18" t="n">
        <v>0</v>
      </c>
      <c r="P83" s="18" t="n">
        <v>0</v>
      </c>
      <c r="Q83" s="18" t="n">
        <v>0</v>
      </c>
      <c r="R83" s="34" t="n">
        <v>88000</v>
      </c>
      <c r="S83" s="18" t="n">
        <v>0</v>
      </c>
      <c r="T83" s="18" t="n">
        <v>0</v>
      </c>
      <c r="U83" s="18" t="n">
        <v>0</v>
      </c>
      <c r="V83" s="18" t="n">
        <v>0</v>
      </c>
      <c r="W83" s="34" t="n">
        <v>0</v>
      </c>
      <c r="Y83" s="5" t="n"/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단기차입금의감소</t>
        </is>
      </c>
      <c r="H84" s="9" t="n"/>
      <c r="L84" s="18" t="n">
        <v>0</v>
      </c>
      <c r="M84" s="9" t="n"/>
      <c r="P84" s="18" t="n">
        <v>0</v>
      </c>
      <c r="Q84" s="18" t="n">
        <v>0</v>
      </c>
      <c r="R84" s="9" t="n"/>
      <c r="S84" s="18" t="n">
        <v>2000</v>
      </c>
      <c r="T84" s="18" t="n">
        <v>500</v>
      </c>
      <c r="U84" s="18" t="n">
        <v>250</v>
      </c>
      <c r="V84" s="18" t="n">
        <v>250</v>
      </c>
      <c r="W84" s="34" t="n">
        <v>3000</v>
      </c>
      <c r="X84" s="18" t="n">
        <v>3750</v>
      </c>
      <c r="Y84" s="19" t="n">
        <v>750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장기차입금의감소</t>
        </is>
      </c>
      <c r="H85" s="9" t="n"/>
      <c r="L85" s="18" t="n">
        <v>0</v>
      </c>
      <c r="M85" s="9" t="n"/>
      <c r="Q85" s="18" t="n">
        <v>0</v>
      </c>
      <c r="R85" s="9" t="n"/>
      <c r="W85" s="9" t="n"/>
      <c r="Y85" s="5" t="n"/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유동성장기부채의감소</t>
        </is>
      </c>
      <c r="H86" s="9" t="n"/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1000</v>
      </c>
      <c r="T86" s="18" t="n">
        <v>0</v>
      </c>
      <c r="U86" s="18" t="n">
        <v>0</v>
      </c>
      <c r="V86" s="18" t="n">
        <v>0</v>
      </c>
      <c r="W86" s="34" t="n">
        <v>1000</v>
      </c>
      <c r="X86" s="18" t="n">
        <v>0</v>
      </c>
      <c r="Y86" s="19" t="n">
        <v>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리스부채의상환</t>
        </is>
      </c>
      <c r="H87" s="9" t="n"/>
      <c r="L87" s="18" t="n">
        <v>7.71</v>
      </c>
      <c r="M87" s="9" t="n"/>
      <c r="N87" s="18" t="n">
        <v>40.31</v>
      </c>
      <c r="O87" s="18" t="n">
        <v>40.86</v>
      </c>
      <c r="P87" s="18" t="n">
        <v>33.92</v>
      </c>
      <c r="Q87" s="18" t="n">
        <v>23.09</v>
      </c>
      <c r="R87" s="34" t="n">
        <v>138.18</v>
      </c>
      <c r="S87" s="18" t="n">
        <v>21.91</v>
      </c>
      <c r="T87" s="18" t="n">
        <v>22.93</v>
      </c>
      <c r="U87" s="18" t="n">
        <v>27.65</v>
      </c>
      <c r="V87" s="18" t="n">
        <v>47.85</v>
      </c>
      <c r="W87" s="34" t="n">
        <v>120.34</v>
      </c>
      <c r="X87" s="18" t="n">
        <v>43.27</v>
      </c>
      <c r="Y87" s="19" t="n">
        <v>43.08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현금및현금성자산의증감</t>
        </is>
      </c>
      <c r="H88" s="9" t="n"/>
      <c r="L88" s="18" t="n">
        <v>-8904.18</v>
      </c>
      <c r="M88" s="9" t="n"/>
      <c r="N88" s="18" t="n">
        <v>-23914.98</v>
      </c>
      <c r="O88" s="18" t="n">
        <v>24111.38</v>
      </c>
      <c r="P88" s="18" t="n">
        <v>-9736.690000000001</v>
      </c>
      <c r="Q88" s="18" t="n">
        <v>2404.72</v>
      </c>
      <c r="R88" s="34" t="n">
        <v>-7135.57</v>
      </c>
      <c r="S88" s="18" t="n">
        <v>6289.14</v>
      </c>
      <c r="T88" s="18" t="n">
        <v>-12154.55</v>
      </c>
      <c r="U88" s="18" t="n">
        <v>-5745.7</v>
      </c>
      <c r="V88" s="18" t="n">
        <v>37952.16</v>
      </c>
      <c r="W88" s="34" t="n">
        <v>26341.05</v>
      </c>
      <c r="X88" s="18" t="n">
        <v>-25074.62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기말현금및현금성자산</t>
        </is>
      </c>
      <c r="H89" s="9" t="n"/>
      <c r="L89" s="18" t="n">
        <v>-8904.18</v>
      </c>
      <c r="M89" s="9" t="n"/>
      <c r="N89" s="18" t="n">
        <v>2817.92</v>
      </c>
      <c r="O89" s="18" t="n">
        <v>24111.38</v>
      </c>
      <c r="P89" s="18" t="n">
        <v>-9736.68</v>
      </c>
      <c r="Q89" s="18" t="n">
        <v>2404.71</v>
      </c>
      <c r="R89" s="34" t="n">
        <v>19597.33</v>
      </c>
      <c r="S89" s="18" t="n">
        <v>25886.48</v>
      </c>
      <c r="T89" s="18" t="n">
        <v>-12154.56</v>
      </c>
      <c r="U89" s="18" t="n">
        <v>-5745.7</v>
      </c>
      <c r="V89" s="18" t="n">
        <v>37867.75</v>
      </c>
      <c r="W89" s="34" t="n">
        <v>45853.97</v>
      </c>
      <c r="X89" s="18" t="n">
        <v>21114.54</v>
      </c>
      <c r="Y89" s="19" t="n">
        <v>-1274.09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배당금수취(CF)</t>
        </is>
      </c>
      <c r="H90" s="9" t="n"/>
      <c r="M90" s="9" t="n"/>
      <c r="R90" s="9" t="n"/>
      <c r="U90" s="18" t="n">
        <v>0</v>
      </c>
      <c r="V90" s="18" t="n">
        <v>0</v>
      </c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4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4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4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4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4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4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4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4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4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4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4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4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4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4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4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4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4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4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4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4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4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4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4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4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4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4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4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4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4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4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4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4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4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4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4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4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4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4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4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4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4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4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4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4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4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4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4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4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4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4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4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4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4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4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4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4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4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4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4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4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4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4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4" t="n">
        <v>0</v>
      </c>
      <c r="V20" s="18" t="n">
        <v>0</v>
      </c>
      <c r="W20" s="34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4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4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4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4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4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4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4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4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4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4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4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4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4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4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4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4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4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4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4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4" t="n">
        <v>35410.7</v>
      </c>
      <c r="X25" s="18" t="n">
        <v>120338.23</v>
      </c>
      <c r="Y25" s="5" t="n"/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4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4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4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4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4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4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4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4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4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4" t="n">
        <v>131.65</v>
      </c>
      <c r="N28" s="18" t="n">
        <v>117.53</v>
      </c>
      <c r="O28" s="18" t="n">
        <v>98.25</v>
      </c>
      <c r="P28" s="18" t="n">
        <v>84.13</v>
      </c>
      <c r="Q28" s="18" t="n">
        <v>84.51000000000001</v>
      </c>
      <c r="R28" s="34" t="n">
        <v>84.51000000000001</v>
      </c>
      <c r="S28" s="18" t="n">
        <v>82.09</v>
      </c>
      <c r="T28" s="18" t="n">
        <v>78.78</v>
      </c>
      <c r="U28" s="18" t="n">
        <v>75.02</v>
      </c>
      <c r="V28" s="18" t="n">
        <v>69.84999999999999</v>
      </c>
      <c r="W28" s="34" t="n">
        <v>69.84999999999999</v>
      </c>
      <c r="X28" s="18" t="n">
        <v>60.33</v>
      </c>
      <c r="Y28" s="19" t="n">
        <v>52.45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4" t="n">
        <v>0</v>
      </c>
      <c r="L29" s="18" t="n">
        <v>0</v>
      </c>
      <c r="M29" s="34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4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4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4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4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4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4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4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4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4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4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4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4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4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4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4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4" t="n">
        <v>88000</v>
      </c>
      <c r="X33" s="18" t="n">
        <v>7025.28</v>
      </c>
      <c r="Y33" s="5" t="n"/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4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4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4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4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4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4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4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4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4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4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4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4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4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4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4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4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4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4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4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4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4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4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4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4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4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4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4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4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4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4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4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4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4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4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4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4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4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4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4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4" t="n">
        <v>123410.7</v>
      </c>
      <c r="X43" s="18" t="n">
        <v>127363.51</v>
      </c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4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4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4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4" t="n">
        <v>75158.10000000001</v>
      </c>
      <c r="X44" s="18" t="n">
        <v>101015.28</v>
      </c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4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4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4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4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4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4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4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4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종속기업및관계기업투자</t>
        </is>
      </c>
      <c r="H47" s="9" t="n"/>
      <c r="L47" s="18" t="n">
        <v>4950</v>
      </c>
      <c r="M47" s="34" t="n">
        <v>4950</v>
      </c>
      <c r="N47" s="18" t="n">
        <v>4950</v>
      </c>
      <c r="O47" s="18" t="n">
        <v>4950</v>
      </c>
      <c r="P47" s="18" t="n">
        <v>4950</v>
      </c>
      <c r="Q47" s="18" t="n">
        <v>4950</v>
      </c>
      <c r="R47" s="34" t="n">
        <v>4950</v>
      </c>
      <c r="S47" s="18" t="n">
        <v>4950</v>
      </c>
      <c r="T47" s="18" t="n">
        <v>4950</v>
      </c>
      <c r="U47" s="18" t="n">
        <v>4950</v>
      </c>
      <c r="V47" s="18" t="n">
        <v>4950</v>
      </c>
      <c r="W47" s="34" t="n">
        <v>4950</v>
      </c>
      <c r="X47" s="18" t="n">
        <v>4950</v>
      </c>
      <c r="Y47" s="19" t="n">
        <v>4950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투자부동산</t>
        </is>
      </c>
      <c r="H48" s="9" t="n"/>
      <c r="M48" s="9" t="n"/>
      <c r="O48" s="18" t="n">
        <v>116302.65</v>
      </c>
      <c r="P48" s="18" t="n">
        <v>116194.1</v>
      </c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단기투자자산(공정가치)</t>
        </is>
      </c>
      <c r="H49" s="9" t="n"/>
      <c r="M49" s="9" t="n"/>
      <c r="Q49" s="18" t="n">
        <v>2687.53</v>
      </c>
      <c r="R49" s="34" t="n">
        <v>2687.53</v>
      </c>
      <c r="S49" s="18" t="n">
        <v>2687.53</v>
      </c>
      <c r="T49" s="18" t="n">
        <v>2687.53</v>
      </c>
      <c r="U49" s="18" t="n">
        <v>2687.53</v>
      </c>
      <c r="V49" s="18" t="n">
        <v>2887.42</v>
      </c>
      <c r="W49" s="34" t="n">
        <v>2887.42</v>
      </c>
      <c r="X49" s="18" t="n">
        <v>2887.42</v>
      </c>
      <c r="Y49" s="19" t="n">
        <v>2887.42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이연법인세부채</t>
        </is>
      </c>
      <c r="H50" s="9" t="n"/>
      <c r="M50" s="9" t="n"/>
      <c r="Q50" s="18" t="n">
        <v>11480.74</v>
      </c>
      <c r="R50" s="34" t="n">
        <v>11480.74</v>
      </c>
      <c r="S50" s="18" t="n">
        <v>11480.74</v>
      </c>
      <c r="T50" s="18" t="n">
        <v>11555.1</v>
      </c>
      <c r="U50" s="18" t="n">
        <v>11555.1</v>
      </c>
      <c r="V50" s="18" t="n">
        <v>14160.66</v>
      </c>
      <c r="W50" s="34" t="n">
        <v>14160.66</v>
      </c>
      <c r="X50" s="18" t="n">
        <v>14160.66</v>
      </c>
      <c r="Y50" s="19" t="n">
        <v>12939.38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기타포괄이익누계액</t>
        </is>
      </c>
      <c r="H51" s="9" t="n"/>
      <c r="M51" s="9" t="n"/>
      <c r="Q51" s="18" t="n">
        <v>59696.31</v>
      </c>
      <c r="R51" s="34" t="n">
        <v>59696.31</v>
      </c>
      <c r="S51" s="18" t="n">
        <v>59696.31</v>
      </c>
      <c r="T51" s="18" t="n">
        <v>59696.31</v>
      </c>
      <c r="U51" s="18" t="n">
        <v>59696.31</v>
      </c>
      <c r="V51" s="18" t="n">
        <v>55451.44</v>
      </c>
      <c r="W51" s="34" t="n">
        <v>55451.44</v>
      </c>
      <c r="X51" s="18" t="n">
        <v>55451.44</v>
      </c>
      <c r="Y51" s="19" t="n">
        <v>55451.44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매출액(수익)</t>
        </is>
      </c>
      <c r="E52" s="18" t="n">
        <v>14618.22</v>
      </c>
      <c r="F52" s="18" t="n">
        <v>14250.55</v>
      </c>
      <c r="G52" s="18" t="n">
        <v>13316.03</v>
      </c>
      <c r="H52" s="9" t="n"/>
      <c r="I52" s="18" t="n">
        <v>8857.17</v>
      </c>
      <c r="J52" s="18" t="n">
        <v>10247.32</v>
      </c>
      <c r="K52" s="18" t="n">
        <v>3960.77</v>
      </c>
      <c r="L52" s="18" t="n">
        <v>7450.42</v>
      </c>
      <c r="M52" s="34" t="n">
        <v>30515.68</v>
      </c>
      <c r="N52" s="18" t="n">
        <v>6719.84</v>
      </c>
      <c r="O52" s="18" t="n">
        <v>9194.01</v>
      </c>
      <c r="P52" s="18" t="n">
        <v>11000.03</v>
      </c>
      <c r="Q52" s="18" t="n">
        <v>9280.799999999999</v>
      </c>
      <c r="R52" s="34" t="n">
        <v>36194.68</v>
      </c>
      <c r="S52" s="18" t="n">
        <v>10446.45</v>
      </c>
      <c r="T52" s="18" t="n">
        <v>7061.17</v>
      </c>
      <c r="U52" s="18" t="n">
        <v>10398.92</v>
      </c>
      <c r="V52" s="18" t="n">
        <v>15454.55</v>
      </c>
      <c r="W52" s="34" t="n">
        <v>43361.09</v>
      </c>
      <c r="X52" s="18" t="n">
        <v>5053.88</v>
      </c>
      <c r="Y52" s="19" t="n">
        <v>17824.99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매출원가</t>
        </is>
      </c>
      <c r="E53" s="18" t="n">
        <v>12331.31</v>
      </c>
      <c r="F53" s="18" t="n">
        <v>12489.73</v>
      </c>
      <c r="G53" s="18" t="n">
        <v>14102.88</v>
      </c>
      <c r="H53" s="9" t="n"/>
      <c r="I53" s="18" t="n">
        <v>8001.8</v>
      </c>
      <c r="J53" s="18" t="n">
        <v>10646.51</v>
      </c>
      <c r="K53" s="18" t="n">
        <v>4815.57</v>
      </c>
      <c r="L53" s="18" t="n">
        <v>8731.35</v>
      </c>
      <c r="M53" s="34" t="n">
        <v>32195.23</v>
      </c>
      <c r="N53" s="18" t="n">
        <v>6447.46</v>
      </c>
      <c r="O53" s="18" t="n">
        <v>6693.01</v>
      </c>
      <c r="P53" s="18" t="n">
        <v>8828.98</v>
      </c>
      <c r="Q53" s="18" t="n">
        <v>7973.61</v>
      </c>
      <c r="R53" s="34" t="n">
        <v>29943.06</v>
      </c>
      <c r="S53" s="18" t="n">
        <v>8736.040000000001</v>
      </c>
      <c r="T53" s="18" t="n">
        <v>5738.35</v>
      </c>
      <c r="U53" s="18" t="n">
        <v>8500.41</v>
      </c>
      <c r="V53" s="18" t="n">
        <v>14952.79</v>
      </c>
      <c r="W53" s="34" t="n">
        <v>37927.59</v>
      </c>
      <c r="X53" s="18" t="n">
        <v>6362.33</v>
      </c>
      <c r="Y53" s="19" t="n">
        <v>19527.47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매출총이익</t>
        </is>
      </c>
      <c r="E54" s="18" t="n">
        <v>2286.91</v>
      </c>
      <c r="F54" s="18" t="n">
        <v>1760.83</v>
      </c>
      <c r="G54" s="18" t="n">
        <v>-786.86</v>
      </c>
      <c r="H54" s="9" t="n"/>
      <c r="I54" s="18" t="n">
        <v>855.36</v>
      </c>
      <c r="J54" s="18" t="n">
        <v>-399.19</v>
      </c>
      <c r="K54" s="18" t="n">
        <v>-854.8</v>
      </c>
      <c r="L54" s="18" t="n">
        <v>-1280.93</v>
      </c>
      <c r="M54" s="34" t="n">
        <v>-1679.56</v>
      </c>
      <c r="N54" s="18" t="n">
        <v>272.38</v>
      </c>
      <c r="O54" s="18" t="n">
        <v>2500.99</v>
      </c>
      <c r="P54" s="18" t="n">
        <v>2171.05</v>
      </c>
      <c r="Q54" s="18" t="n">
        <v>1307.2</v>
      </c>
      <c r="R54" s="34" t="n">
        <v>6251.62</v>
      </c>
      <c r="S54" s="18" t="n">
        <v>1710.41</v>
      </c>
      <c r="T54" s="18" t="n">
        <v>1322.81</v>
      </c>
      <c r="U54" s="18" t="n">
        <v>1898.51</v>
      </c>
      <c r="V54" s="18" t="n">
        <v>501.76</v>
      </c>
      <c r="W54" s="34" t="n">
        <v>5433.49</v>
      </c>
      <c r="X54" s="18" t="n">
        <v>-1308.45</v>
      </c>
      <c r="Y54" s="19" t="n">
        <v>-1702.47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판관비</t>
        </is>
      </c>
      <c r="E55" s="18" t="n">
        <v>1357.12</v>
      </c>
      <c r="F55" s="18" t="n">
        <v>742.53</v>
      </c>
      <c r="G55" s="18" t="n">
        <v>1004.27</v>
      </c>
      <c r="H55" s="9" t="n"/>
      <c r="I55" s="18" t="n">
        <v>755.28</v>
      </c>
      <c r="J55" s="18" t="n">
        <v>986.3099999999999</v>
      </c>
      <c r="K55" s="18" t="n">
        <v>1053.68</v>
      </c>
      <c r="L55" s="18" t="n">
        <v>571.29</v>
      </c>
      <c r="M55" s="34" t="n">
        <v>3366.56</v>
      </c>
      <c r="N55" s="18" t="n">
        <v>775.45</v>
      </c>
      <c r="O55" s="18" t="n">
        <v>722.48</v>
      </c>
      <c r="P55" s="18" t="n">
        <v>575.24</v>
      </c>
      <c r="Q55" s="18" t="n">
        <v>921.61</v>
      </c>
      <c r="R55" s="34" t="n">
        <v>2994.78</v>
      </c>
      <c r="S55" s="18" t="n">
        <v>757.99</v>
      </c>
      <c r="T55" s="18" t="n">
        <v>820.71</v>
      </c>
      <c r="U55" s="18" t="n">
        <v>702.8</v>
      </c>
      <c r="V55" s="18" t="n">
        <v>855.3200000000001</v>
      </c>
      <c r="W55" s="34" t="n">
        <v>3136.82</v>
      </c>
      <c r="X55" s="18" t="n">
        <v>755.96</v>
      </c>
      <c r="Y55" s="19" t="n">
        <v>851.85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영업이익</t>
        </is>
      </c>
      <c r="E56" s="18" t="n">
        <v>929.79</v>
      </c>
      <c r="F56" s="18" t="n">
        <v>1018.3</v>
      </c>
      <c r="G56" s="18" t="n">
        <v>-1791.12</v>
      </c>
      <c r="H56" s="9" t="n"/>
      <c r="I56" s="18" t="n">
        <v>100.09</v>
      </c>
      <c r="J56" s="18" t="n">
        <v>-1385.5</v>
      </c>
      <c r="K56" s="18" t="n">
        <v>-1908.48</v>
      </c>
      <c r="L56" s="18" t="n">
        <v>-1852.22</v>
      </c>
      <c r="M56" s="34" t="n">
        <v>-5046.11</v>
      </c>
      <c r="N56" s="18" t="n">
        <v>-503.08</v>
      </c>
      <c r="O56" s="18" t="n">
        <v>1778.52</v>
      </c>
      <c r="P56" s="18" t="n">
        <v>1595.81</v>
      </c>
      <c r="Q56" s="18" t="n">
        <v>385.58</v>
      </c>
      <c r="R56" s="34" t="n">
        <v>3256.83</v>
      </c>
      <c r="S56" s="18" t="n">
        <v>952.4299999999999</v>
      </c>
      <c r="T56" s="18" t="n">
        <v>502.1</v>
      </c>
      <c r="U56" s="18" t="n">
        <v>1195.71</v>
      </c>
      <c r="V56" s="18" t="n">
        <v>-353.57</v>
      </c>
      <c r="W56" s="34" t="n">
        <v>2296.67</v>
      </c>
      <c r="X56" s="18" t="n">
        <v>-2064.41</v>
      </c>
      <c r="Y56" s="19" t="n">
        <v>-2554.32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금융수익</t>
        </is>
      </c>
      <c r="E57" s="18" t="n">
        <v>27.46</v>
      </c>
      <c r="F57" s="18" t="n">
        <v>1164.81</v>
      </c>
      <c r="G57" s="18" t="n">
        <v>264.42</v>
      </c>
      <c r="H57" s="9" t="n"/>
      <c r="I57" s="18" t="n">
        <v>829.59</v>
      </c>
      <c r="J57" s="18" t="n">
        <v>577.14</v>
      </c>
      <c r="K57" s="18" t="n">
        <v>502.66</v>
      </c>
      <c r="L57" s="18" t="n">
        <v>501.33</v>
      </c>
      <c r="M57" s="34" t="n">
        <v>2410.72</v>
      </c>
      <c r="N57" s="18" t="n">
        <v>386.53</v>
      </c>
      <c r="O57" s="18" t="n">
        <v>250.95</v>
      </c>
      <c r="P57" s="18" t="n">
        <v>321.1</v>
      </c>
      <c r="Q57" s="18" t="n">
        <v>740.97</v>
      </c>
      <c r="R57" s="34" t="n">
        <v>1699.55</v>
      </c>
      <c r="S57" s="18" t="n">
        <v>525.6</v>
      </c>
      <c r="T57" s="18" t="n">
        <v>559.24</v>
      </c>
      <c r="U57" s="18" t="n">
        <v>515.7</v>
      </c>
      <c r="V57" s="18" t="n">
        <v>6310.63</v>
      </c>
      <c r="W57" s="34" t="n">
        <v>7911.17</v>
      </c>
      <c r="X57" s="18" t="n">
        <v>559.8200000000001</v>
      </c>
      <c r="Y57" s="19" t="n">
        <v>1103.7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금융비용</t>
        </is>
      </c>
      <c r="E58" s="18" t="n">
        <v>49.68</v>
      </c>
      <c r="F58" s="18" t="n">
        <v>67.2</v>
      </c>
      <c r="G58" s="18" t="n">
        <v>45.63</v>
      </c>
      <c r="H58" s="9" t="n"/>
      <c r="I58" s="18" t="n">
        <v>65.67</v>
      </c>
      <c r="J58" s="18" t="n">
        <v>84.34999999999999</v>
      </c>
      <c r="K58" s="18" t="n">
        <v>92.44</v>
      </c>
      <c r="L58" s="18" t="n">
        <v>93.06</v>
      </c>
      <c r="M58" s="34" t="n">
        <v>335.52</v>
      </c>
      <c r="N58" s="18" t="n">
        <v>397.65</v>
      </c>
      <c r="O58" s="18" t="n">
        <v>961</v>
      </c>
      <c r="P58" s="18" t="n">
        <v>976.61</v>
      </c>
      <c r="Q58" s="18" t="n">
        <v>1702.75</v>
      </c>
      <c r="R58" s="34" t="n">
        <v>4038.01</v>
      </c>
      <c r="S58" s="18" t="n">
        <v>1230.89</v>
      </c>
      <c r="T58" s="18" t="n">
        <v>1149.21</v>
      </c>
      <c r="U58" s="18" t="n">
        <v>1089.08</v>
      </c>
      <c r="V58" s="18" t="n">
        <v>4040.45</v>
      </c>
      <c r="W58" s="34" t="n">
        <v>7509.63</v>
      </c>
      <c r="X58" s="18" t="n">
        <v>1607.99</v>
      </c>
      <c r="Y58" s="19" t="n">
        <v>1885.45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기타영업외수익</t>
        </is>
      </c>
      <c r="E59" s="18" t="n">
        <v>10.22</v>
      </c>
      <c r="F59" s="18" t="n">
        <v>86.06999999999999</v>
      </c>
      <c r="G59" s="18" t="n">
        <v>125.49</v>
      </c>
      <c r="H59" s="9" t="n"/>
      <c r="I59" s="18" t="n">
        <v>33.6</v>
      </c>
      <c r="J59" s="18" t="n">
        <v>52.36</v>
      </c>
      <c r="K59" s="18" t="n">
        <v>68.69</v>
      </c>
      <c r="L59" s="18" t="n">
        <v>29.36</v>
      </c>
      <c r="M59" s="34" t="n">
        <v>184.01</v>
      </c>
      <c r="N59" s="18" t="n">
        <v>31.9</v>
      </c>
      <c r="O59" s="18" t="n">
        <v>72</v>
      </c>
      <c r="P59" s="18" t="n">
        <v>15</v>
      </c>
      <c r="Q59" s="18" t="n">
        <v>64.42</v>
      </c>
      <c r="R59" s="34" t="n">
        <v>183.32</v>
      </c>
      <c r="S59" s="18" t="n">
        <v>6.11</v>
      </c>
      <c r="T59" s="18" t="n">
        <v>22.84</v>
      </c>
      <c r="U59" s="18" t="n">
        <v>18.78</v>
      </c>
      <c r="V59" s="18" t="n">
        <v>19.39</v>
      </c>
      <c r="W59" s="34" t="n">
        <v>67.12</v>
      </c>
      <c r="X59" s="18" t="n">
        <v>1611.55</v>
      </c>
      <c r="Y59" s="19" t="n">
        <v>-1144.73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기타영업외비용</t>
        </is>
      </c>
      <c r="E60" s="18" t="n">
        <v>135.28</v>
      </c>
      <c r="F60" s="18" t="n">
        <v>241.17</v>
      </c>
      <c r="G60" s="18" t="n">
        <v>63.92</v>
      </c>
      <c r="H60" s="9" t="n"/>
      <c r="I60" s="18" t="n">
        <v>167.14</v>
      </c>
      <c r="J60" s="18" t="n">
        <v>73.73999999999999</v>
      </c>
      <c r="K60" s="18" t="n">
        <v>44.75</v>
      </c>
      <c r="L60" s="18" t="n">
        <v>84.42</v>
      </c>
      <c r="M60" s="34" t="n">
        <v>370.05</v>
      </c>
      <c r="N60" s="18" t="n">
        <v>16.99</v>
      </c>
      <c r="O60" s="18" t="n">
        <v>59.23</v>
      </c>
      <c r="P60" s="18" t="n">
        <v>10.19</v>
      </c>
      <c r="Q60" s="18" t="n">
        <v>20.97</v>
      </c>
      <c r="R60" s="34" t="n">
        <v>107.38</v>
      </c>
      <c r="S60" s="18" t="n">
        <v>61.13</v>
      </c>
      <c r="T60" s="18" t="n">
        <v>23.29</v>
      </c>
      <c r="U60" s="18" t="n">
        <v>45.79</v>
      </c>
      <c r="V60" s="18" t="n">
        <v>94.84999999999999</v>
      </c>
      <c r="W60" s="34" t="n">
        <v>225.06</v>
      </c>
      <c r="X60" s="18" t="n">
        <v>88.53</v>
      </c>
      <c r="Y60" s="19" t="n">
        <v>17.93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법인세비용차감전계속사업이익</t>
        </is>
      </c>
      <c r="E61" s="18" t="n">
        <v>782.51</v>
      </c>
      <c r="F61" s="18" t="n">
        <v>1960.81</v>
      </c>
      <c r="G61" s="18" t="n">
        <v>-1510.76</v>
      </c>
      <c r="H61" s="9" t="n"/>
      <c r="I61" s="18" t="n">
        <v>730.48</v>
      </c>
      <c r="J61" s="18" t="n">
        <v>-914.1</v>
      </c>
      <c r="K61" s="18" t="n">
        <v>-1474.32</v>
      </c>
      <c r="L61" s="18" t="n">
        <v>-1499.01</v>
      </c>
      <c r="M61" s="34" t="n">
        <v>-3156.95</v>
      </c>
      <c r="N61" s="18" t="n">
        <v>-499.29</v>
      </c>
      <c r="O61" s="18" t="n">
        <v>1081.23</v>
      </c>
      <c r="P61" s="18" t="n">
        <v>945.12</v>
      </c>
      <c r="Q61" s="18" t="n">
        <v>-532.73</v>
      </c>
      <c r="R61" s="34" t="n">
        <v>994.33</v>
      </c>
      <c r="S61" s="18" t="n">
        <v>192.11</v>
      </c>
      <c r="T61" s="18" t="n">
        <v>-88.31999999999999</v>
      </c>
      <c r="U61" s="18" t="n">
        <v>595.33</v>
      </c>
      <c r="V61" s="18" t="n">
        <v>1841.14</v>
      </c>
      <c r="W61" s="34" t="n">
        <v>2540.26</v>
      </c>
      <c r="X61" s="18" t="n">
        <v>-1589.56</v>
      </c>
      <c r="Y61" s="19" t="n">
        <v>-4498.72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법인세비용</t>
        </is>
      </c>
      <c r="E62" s="18" t="n">
        <v>126.12</v>
      </c>
      <c r="F62" s="18" t="n">
        <v>556.6900000000001</v>
      </c>
      <c r="G62" s="18" t="n">
        <v>-763.98</v>
      </c>
      <c r="H62" s="9" t="n"/>
      <c r="I62" s="18" t="n">
        <v>141.34</v>
      </c>
      <c r="J62" s="18" t="n">
        <v>-514.41</v>
      </c>
      <c r="K62" s="18" t="n">
        <v>0</v>
      </c>
      <c r="L62" s="18" t="n">
        <v>-542.73</v>
      </c>
      <c r="M62" s="34" t="n">
        <v>-915.8</v>
      </c>
      <c r="N62" s="18" t="n">
        <v>0</v>
      </c>
      <c r="O62" s="18" t="n">
        <v>133.04</v>
      </c>
      <c r="P62" s="18" t="n">
        <v>0</v>
      </c>
      <c r="Q62" s="18" t="n">
        <v>-478.9</v>
      </c>
      <c r="R62" s="34" t="n">
        <v>-345.86</v>
      </c>
      <c r="S62" s="18" t="n">
        <v>0</v>
      </c>
      <c r="T62" s="18" t="n">
        <v>74.37</v>
      </c>
      <c r="U62" s="18" t="n">
        <v>0</v>
      </c>
      <c r="V62" s="18" t="n">
        <v>-109.42</v>
      </c>
      <c r="W62" s="34" t="n">
        <v>-35.05</v>
      </c>
      <c r="X62" s="18" t="n">
        <v>0</v>
      </c>
      <c r="Y62" s="19" t="n">
        <v>-1198.64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당기순이익</t>
        </is>
      </c>
      <c r="E63" s="18" t="n">
        <v>656.39</v>
      </c>
      <c r="F63" s="18" t="n">
        <v>1404.11</v>
      </c>
      <c r="G63" s="18" t="n">
        <v>-746.78</v>
      </c>
      <c r="H63" s="9" t="n"/>
      <c r="I63" s="18" t="n">
        <v>589.14</v>
      </c>
      <c r="J63" s="18" t="n">
        <v>-399.69</v>
      </c>
      <c r="K63" s="18" t="n">
        <v>-1474.32</v>
      </c>
      <c r="L63" s="18" t="n">
        <v>-956.28</v>
      </c>
      <c r="M63" s="34" t="n">
        <v>-2241.15</v>
      </c>
      <c r="N63" s="18" t="n">
        <v>-499.29</v>
      </c>
      <c r="O63" s="18" t="n">
        <v>948.1900000000001</v>
      </c>
      <c r="P63" s="18" t="n">
        <v>945.12</v>
      </c>
      <c r="Q63" s="18" t="n">
        <v>-53.83</v>
      </c>
      <c r="R63" s="34" t="n">
        <v>1340.19</v>
      </c>
      <c r="S63" s="18" t="n">
        <v>192.11</v>
      </c>
      <c r="T63" s="18" t="n">
        <v>-162.69</v>
      </c>
      <c r="U63" s="18" t="n">
        <v>595.33</v>
      </c>
      <c r="V63" s="18" t="n">
        <v>1950.57</v>
      </c>
      <c r="W63" s="34" t="n">
        <v>2575.32</v>
      </c>
      <c r="X63" s="18" t="n">
        <v>-1589.56</v>
      </c>
      <c r="Y63" s="19" t="n">
        <v>-3300.08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총포괄손익</t>
        </is>
      </c>
      <c r="E64" s="18" t="n">
        <v>656.39</v>
      </c>
      <c r="F64" s="18" t="n">
        <v>1404.11</v>
      </c>
      <c r="G64" s="18" t="n">
        <v>-457.25</v>
      </c>
      <c r="H64" s="9" t="n"/>
      <c r="I64" s="18" t="n">
        <v>589.14</v>
      </c>
      <c r="J64" s="18" t="n">
        <v>-399.69</v>
      </c>
      <c r="K64" s="18" t="n">
        <v>-1474.32</v>
      </c>
      <c r="L64" s="18" t="n">
        <v>-999.1</v>
      </c>
      <c r="M64" s="34" t="n">
        <v>-2283.97</v>
      </c>
      <c r="N64" s="18" t="n">
        <v>-499.29</v>
      </c>
      <c r="O64" s="18" t="n">
        <v>948.1900000000001</v>
      </c>
      <c r="P64" s="18" t="n">
        <v>945.12</v>
      </c>
      <c r="Q64" s="18" t="n">
        <v>59252.09</v>
      </c>
      <c r="R64" s="34" t="n">
        <v>60646.11</v>
      </c>
      <c r="S64" s="18" t="n">
        <v>192.11</v>
      </c>
      <c r="T64" s="18" t="n">
        <v>-162.69</v>
      </c>
      <c r="U64" s="18" t="n">
        <v>595.33</v>
      </c>
      <c r="V64" s="18" t="n">
        <v>-2389.8</v>
      </c>
      <c r="W64" s="34" t="n">
        <v>-1765.05</v>
      </c>
      <c r="X64" s="18" t="n">
        <v>-1589.56</v>
      </c>
      <c r="Y64" s="19" t="n">
        <v>-3300.08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금융손익</t>
        </is>
      </c>
      <c r="E65" s="18" t="n">
        <v>-22.22</v>
      </c>
      <c r="F65" s="18" t="n">
        <v>1097.61</v>
      </c>
      <c r="G65" s="18" t="n">
        <v>218.79</v>
      </c>
      <c r="H65" s="9" t="n"/>
      <c r="I65" s="18" t="n">
        <v>763.92</v>
      </c>
      <c r="J65" s="18" t="n">
        <v>492.79</v>
      </c>
      <c r="K65" s="18" t="n">
        <v>410.22</v>
      </c>
      <c r="L65" s="18" t="n">
        <v>408.27</v>
      </c>
      <c r="M65" s="34" t="n">
        <v>2075.2</v>
      </c>
      <c r="N65" s="18" t="n">
        <v>-11.12</v>
      </c>
      <c r="O65" s="18" t="n">
        <v>-710.05</v>
      </c>
      <c r="P65" s="18" t="n">
        <v>-655.51</v>
      </c>
      <c r="Q65" s="18" t="n">
        <v>-961.78</v>
      </c>
      <c r="R65" s="34" t="n">
        <v>-2338.46</v>
      </c>
      <c r="S65" s="18" t="n">
        <v>-705.29</v>
      </c>
      <c r="T65" s="18" t="n">
        <v>-589.97</v>
      </c>
      <c r="U65" s="18" t="n">
        <v>-573.38</v>
      </c>
      <c r="V65" s="18" t="n">
        <v>2270.18</v>
      </c>
      <c r="W65" s="34" t="n">
        <v>401.54</v>
      </c>
      <c r="X65" s="18" t="n">
        <v>-1048.17</v>
      </c>
      <c r="Y65" s="19" t="n">
        <v>-781.75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기타영업외손익</t>
        </is>
      </c>
      <c r="E66" s="18" t="n">
        <v>-125.06</v>
      </c>
      <c r="F66" s="18" t="n">
        <v>-155.1</v>
      </c>
      <c r="G66" s="18" t="n">
        <v>61.57</v>
      </c>
      <c r="H66" s="9" t="n"/>
      <c r="I66" s="18" t="n">
        <v>-133.54</v>
      </c>
      <c r="J66" s="18" t="n">
        <v>-21.38</v>
      </c>
      <c r="K66" s="18" t="n">
        <v>23.94</v>
      </c>
      <c r="L66" s="18" t="n">
        <v>-55.06</v>
      </c>
      <c r="M66" s="34" t="n">
        <v>-186.04</v>
      </c>
      <c r="N66" s="18" t="n">
        <v>14.91</v>
      </c>
      <c r="O66" s="18" t="n">
        <v>12.77</v>
      </c>
      <c r="P66" s="18" t="n">
        <v>4.81</v>
      </c>
      <c r="Q66" s="18" t="n">
        <v>43.45</v>
      </c>
      <c r="R66" s="34" t="n">
        <v>75.94</v>
      </c>
      <c r="S66" s="18" t="n">
        <v>-55.02</v>
      </c>
      <c r="T66" s="18" t="n">
        <v>-0.45</v>
      </c>
      <c r="U66" s="18" t="n">
        <v>-27.01</v>
      </c>
      <c r="V66" s="18" t="n">
        <v>-75.45999999999999</v>
      </c>
      <c r="W66" s="34" t="n">
        <v>-157.94</v>
      </c>
      <c r="X66" s="18" t="n">
        <v>1523.02</v>
      </c>
      <c r="Y66" s="19" t="n">
        <v>-1162.66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(지배주주지분)당기순이익</t>
        </is>
      </c>
      <c r="E67" s="18" t="n">
        <v>656.39</v>
      </c>
      <c r="F67" s="18" t="n">
        <v>1404.11</v>
      </c>
      <c r="G67" s="18" t="n">
        <v>-746.78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-956.28</v>
      </c>
      <c r="M67" s="34" t="n">
        <v>-2241.15</v>
      </c>
      <c r="N67" s="18" t="n">
        <v>-499.29</v>
      </c>
      <c r="O67" s="18" t="n">
        <v>948.1900000000001</v>
      </c>
      <c r="P67" s="18" t="n">
        <v>945.12</v>
      </c>
      <c r="Q67" s="18" t="n">
        <v>-53.83</v>
      </c>
      <c r="R67" s="34" t="n">
        <v>1340.19</v>
      </c>
      <c r="S67" s="18" t="n">
        <v>192.11</v>
      </c>
      <c r="T67" s="18" t="n">
        <v>-162.69</v>
      </c>
      <c r="U67" s="18" t="n">
        <v>595.33</v>
      </c>
      <c r="V67" s="18" t="n">
        <v>1950.57</v>
      </c>
      <c r="W67" s="34" t="n">
        <v>2575.32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계속사업이익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4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4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4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이자수익</t>
        </is>
      </c>
      <c r="E69" s="18" t="n">
        <v>27.46</v>
      </c>
      <c r="F69" s="18" t="n">
        <v>1164.81</v>
      </c>
      <c r="G69" s="18" t="n">
        <v>258.66</v>
      </c>
      <c r="H69" s="9" t="n"/>
      <c r="I69" s="18" t="n">
        <v>810.0599999999999</v>
      </c>
      <c r="J69" s="18" t="n">
        <v>577.14</v>
      </c>
      <c r="K69" s="18" t="n">
        <v>502.66</v>
      </c>
      <c r="M69" s="9" t="n"/>
      <c r="R69" s="9" t="n"/>
      <c r="W69" s="9" t="n"/>
      <c r="Y69" s="5" t="n"/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이자비용</t>
        </is>
      </c>
      <c r="E70" s="18" t="n">
        <v>49.68</v>
      </c>
      <c r="F70" s="18" t="n">
        <v>67.2</v>
      </c>
      <c r="G70" s="18" t="n">
        <v>28.72</v>
      </c>
      <c r="H70" s="9" t="n"/>
      <c r="I70" s="18" t="n">
        <v>65.67</v>
      </c>
      <c r="J70" s="18" t="n">
        <v>84.34999999999999</v>
      </c>
      <c r="K70" s="18" t="n">
        <v>92.44</v>
      </c>
      <c r="M70" s="9" t="n"/>
      <c r="R70" s="9" t="n"/>
      <c r="W70" s="9" t="n"/>
      <c r="Y70" s="5" t="n"/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이자손익</t>
        </is>
      </c>
      <c r="E71" s="18" t="n">
        <v>-22.22</v>
      </c>
      <c r="F71" s="18" t="n">
        <v>1097.61</v>
      </c>
      <c r="G71" s="18" t="n">
        <v>229.94</v>
      </c>
      <c r="H71" s="9" t="n"/>
      <c r="I71" s="18" t="n">
        <v>744.39</v>
      </c>
      <c r="J71" s="18" t="n">
        <v>492.79</v>
      </c>
      <c r="K71" s="18" t="n">
        <v>410.22</v>
      </c>
      <c r="M71" s="9" t="n"/>
      <c r="R71" s="9" t="n"/>
      <c r="W71" s="9" t="n"/>
      <c r="Y71" s="5" t="n"/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배당금수익</t>
        </is>
      </c>
      <c r="E72" s="18" t="n">
        <v>0</v>
      </c>
      <c r="F72" s="18" t="n">
        <v>0</v>
      </c>
      <c r="G72" s="18" t="n">
        <v>0</v>
      </c>
      <c r="H72" s="9" t="n"/>
      <c r="M72" s="9" t="n"/>
      <c r="R72" s="9" t="n"/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영업활동으로인한현금흐름</t>
        </is>
      </c>
      <c r="E73" s="18" t="n">
        <v>-11070.89</v>
      </c>
      <c r="F73" s="18" t="n">
        <v>847.7</v>
      </c>
      <c r="G73" s="18" t="n">
        <v>-9356.34</v>
      </c>
      <c r="H73" s="9" t="n"/>
      <c r="I73" s="18" t="n">
        <v>-10505.62</v>
      </c>
      <c r="J73" s="18" t="n">
        <v>-4060.75</v>
      </c>
      <c r="K73" s="18" t="n">
        <v>-7501.56</v>
      </c>
      <c r="L73" s="18" t="n">
        <v>3108.45</v>
      </c>
      <c r="M73" s="34" t="n">
        <v>-18959.48</v>
      </c>
      <c r="N73" s="18" t="n">
        <v>-5099.81</v>
      </c>
      <c r="O73" s="18" t="n">
        <v>18899.4</v>
      </c>
      <c r="P73" s="18" t="n">
        <v>-6049.73</v>
      </c>
      <c r="Q73" s="18" t="n">
        <v>1961.17</v>
      </c>
      <c r="R73" s="34" t="n">
        <v>9711.030000000001</v>
      </c>
      <c r="S73" s="18" t="n">
        <v>1833.13</v>
      </c>
      <c r="T73" s="18" t="n">
        <v>580.72</v>
      </c>
      <c r="U73" s="18" t="n">
        <v>-1565.78</v>
      </c>
      <c r="V73" s="18" t="n">
        <v>21575.54</v>
      </c>
      <c r="W73" s="34" t="n">
        <v>22423.61</v>
      </c>
      <c r="X73" s="18" t="n">
        <v>-17530.12</v>
      </c>
      <c r="Y73" s="19" t="n">
        <v>-2413.17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감가상각비</t>
        </is>
      </c>
      <c r="E74" s="18" t="n">
        <v>215.59</v>
      </c>
      <c r="F74" s="18" t="n">
        <v>212.95</v>
      </c>
      <c r="G74" s="18" t="n">
        <v>272.07</v>
      </c>
      <c r="H74" s="9" t="n"/>
      <c r="I74" s="18" t="n">
        <v>284.13</v>
      </c>
      <c r="J74" s="18" t="n">
        <v>349.77</v>
      </c>
      <c r="K74" s="18" t="n">
        <v>327.61</v>
      </c>
      <c r="L74" s="18" t="n">
        <v>329.67</v>
      </c>
      <c r="M74" s="34" t="n">
        <v>1291.18</v>
      </c>
      <c r="N74" s="18" t="n">
        <v>391.33</v>
      </c>
      <c r="O74" s="18" t="n">
        <v>432.22</v>
      </c>
      <c r="P74" s="18" t="n">
        <v>426.13</v>
      </c>
      <c r="Q74" s="18" t="n">
        <v>418.04</v>
      </c>
      <c r="R74" s="34" t="n">
        <v>1667.72</v>
      </c>
      <c r="S74" s="18" t="n">
        <v>415.02</v>
      </c>
      <c r="T74" s="18" t="n">
        <v>408.33</v>
      </c>
      <c r="U74" s="18" t="n">
        <v>397.63</v>
      </c>
      <c r="V74" s="18" t="n">
        <v>421.01</v>
      </c>
      <c r="W74" s="34" t="n">
        <v>1641.99</v>
      </c>
      <c r="X74" s="18" t="n">
        <v>422.63</v>
      </c>
      <c r="Y74" s="19" t="n">
        <v>440.42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무형자산상각비</t>
        </is>
      </c>
      <c r="E75" s="18" t="n">
        <v>71.04000000000001</v>
      </c>
      <c r="F75" s="18" t="n">
        <v>80.47</v>
      </c>
      <c r="G75" s="18" t="n">
        <v>81.2</v>
      </c>
      <c r="H75" s="9" t="n"/>
      <c r="I75" s="18" t="n">
        <v>81.23</v>
      </c>
      <c r="J75" s="18" t="n">
        <v>81.13</v>
      </c>
      <c r="K75" s="18" t="n">
        <v>70.84</v>
      </c>
      <c r="L75" s="18" t="n">
        <v>66.12</v>
      </c>
      <c r="M75" s="34" t="n">
        <v>299.32</v>
      </c>
      <c r="N75" s="18" t="n">
        <v>66.39</v>
      </c>
      <c r="O75" s="18" t="n">
        <v>68.03</v>
      </c>
      <c r="P75" s="18" t="n">
        <v>63.08</v>
      </c>
      <c r="Q75" s="18" t="n">
        <v>153.28</v>
      </c>
      <c r="R75" s="34" t="n">
        <v>350.78</v>
      </c>
      <c r="S75" s="18" t="n">
        <v>117.2</v>
      </c>
      <c r="T75" s="18" t="n">
        <v>107.84</v>
      </c>
      <c r="U75" s="18" t="n">
        <v>98.63</v>
      </c>
      <c r="V75" s="18" t="n">
        <v>97.88</v>
      </c>
      <c r="W75" s="34" t="n">
        <v>421.55</v>
      </c>
      <c r="X75" s="18" t="n">
        <v>97.88</v>
      </c>
      <c r="Y75" s="19" t="n">
        <v>97.16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법인세납부(CF)</t>
        </is>
      </c>
      <c r="E76" s="18" t="n">
        <v>-221.82</v>
      </c>
      <c r="F76" s="18" t="n">
        <v>-242.77</v>
      </c>
      <c r="G76" s="18" t="n">
        <v>-245.64</v>
      </c>
      <c r="H76" s="9" t="n"/>
      <c r="I76" s="18" t="n">
        <v>-88.81999999999999</v>
      </c>
      <c r="J76" s="18" t="n">
        <v>373.42</v>
      </c>
      <c r="K76" s="18" t="n">
        <v>-277.87</v>
      </c>
      <c r="L76" s="18" t="n">
        <v>-56.34</v>
      </c>
      <c r="M76" s="34" t="n">
        <v>-49.61</v>
      </c>
      <c r="N76" s="18" t="n">
        <v>-41.28</v>
      </c>
      <c r="O76" s="18" t="n">
        <v>384.34</v>
      </c>
      <c r="P76" s="18" t="n">
        <v>-45.69</v>
      </c>
      <c r="Q76" s="18" t="n">
        <v>-13.16</v>
      </c>
      <c r="R76" s="34" t="n">
        <v>284.21</v>
      </c>
      <c r="S76" s="18" t="n">
        <v>-20.77</v>
      </c>
      <c r="T76" s="18" t="n">
        <v>84.87</v>
      </c>
      <c r="U76" s="18" t="n">
        <v>-72.23999999999999</v>
      </c>
      <c r="V76" s="18" t="n">
        <v>-101.9</v>
      </c>
      <c r="W76" s="34" t="n">
        <v>-110.04</v>
      </c>
      <c r="X76" s="18" t="n">
        <v>-10.3</v>
      </c>
      <c r="Y76" s="19" t="n">
        <v>65.53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투자활동으로인한현금흐름</t>
        </is>
      </c>
      <c r="E77" s="18" t="n">
        <v>-4344.38</v>
      </c>
      <c r="F77" s="18" t="n">
        <v>-71443.75</v>
      </c>
      <c r="G77" s="18" t="n">
        <v>18544.86</v>
      </c>
      <c r="H77" s="9" t="n"/>
      <c r="I77" s="18" t="n">
        <v>17618.16</v>
      </c>
      <c r="J77" s="18" t="n">
        <v>-12972.34</v>
      </c>
      <c r="K77" s="18" t="n">
        <v>27357.36</v>
      </c>
      <c r="L77" s="18" t="n">
        <v>-12048.05</v>
      </c>
      <c r="M77" s="34" t="n">
        <v>19955.13</v>
      </c>
      <c r="N77" s="18" t="n">
        <v>-106758.16</v>
      </c>
      <c r="O77" s="18" t="n">
        <v>5180.69</v>
      </c>
      <c r="P77" s="18" t="n">
        <v>-3892.11</v>
      </c>
      <c r="Q77" s="18" t="n">
        <v>-17600.41</v>
      </c>
      <c r="R77" s="34" t="n">
        <v>-123069.99</v>
      </c>
      <c r="S77" s="18" t="n">
        <v>2591.03</v>
      </c>
      <c r="T77" s="18" t="n">
        <v>-12155.24</v>
      </c>
      <c r="U77" s="18" t="n">
        <v>-4024.9</v>
      </c>
      <c r="V77" s="18" t="n">
        <v>187.79</v>
      </c>
      <c r="W77" s="34" t="n">
        <v>-13401.32</v>
      </c>
      <c r="X77" s="18" t="n">
        <v>-12964.79</v>
      </c>
      <c r="Y77" s="19" t="n">
        <v>3825.8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재무활동으로인한현금흐름</t>
        </is>
      </c>
      <c r="E78" s="18" t="n">
        <v>83709.03999999999</v>
      </c>
      <c r="F78" s="18" t="n">
        <v>-3103.18</v>
      </c>
      <c r="G78" s="18" t="n">
        <v>-2510.08</v>
      </c>
      <c r="H78" s="9" t="n"/>
      <c r="I78" s="18" t="n">
        <v>-38.81</v>
      </c>
      <c r="J78" s="18" t="n">
        <v>2830.55</v>
      </c>
      <c r="K78" s="18" t="n">
        <v>-48.02</v>
      </c>
      <c r="L78" s="18" t="n">
        <v>-51.45</v>
      </c>
      <c r="M78" s="34" t="n">
        <v>2692.27</v>
      </c>
      <c r="N78" s="18" t="n">
        <v>87961.84</v>
      </c>
      <c r="O78" s="18" t="n">
        <v>-38.63</v>
      </c>
      <c r="P78" s="18" t="n">
        <v>-31.64</v>
      </c>
      <c r="Q78" s="18" t="n">
        <v>17846.2</v>
      </c>
      <c r="R78" s="34" t="n">
        <v>105737.77</v>
      </c>
      <c r="S78" s="18" t="n">
        <v>1980.51</v>
      </c>
      <c r="T78" s="18" t="n">
        <v>-520.45</v>
      </c>
      <c r="U78" s="18" t="n">
        <v>-270.67</v>
      </c>
      <c r="V78" s="18" t="n">
        <v>16464.5</v>
      </c>
      <c r="W78" s="34" t="n">
        <v>17653.89</v>
      </c>
      <c r="X78" s="18" t="n">
        <v>3255.33</v>
      </c>
      <c r="Y78" s="19" t="n">
        <v>-769.63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리스부채의상환</t>
        </is>
      </c>
      <c r="E79" s="18" t="n">
        <v>40.95</v>
      </c>
      <c r="F79" s="18" t="n">
        <v>40.94</v>
      </c>
      <c r="G79" s="18" t="n">
        <v>28.14</v>
      </c>
      <c r="H79" s="9" t="n"/>
      <c r="I79" s="18" t="n">
        <v>38.81</v>
      </c>
      <c r="J79" s="18" t="n">
        <v>59.45</v>
      </c>
      <c r="K79" s="18" t="n">
        <v>48.02</v>
      </c>
      <c r="L79" s="18" t="n">
        <v>5.7</v>
      </c>
      <c r="M79" s="34" t="n">
        <v>151.98</v>
      </c>
      <c r="N79" s="18" t="n">
        <v>38.16</v>
      </c>
      <c r="O79" s="18" t="n">
        <v>38.63</v>
      </c>
      <c r="P79" s="18" t="n">
        <v>31.64</v>
      </c>
      <c r="Q79" s="18" t="n">
        <v>20.74</v>
      </c>
      <c r="R79" s="34" t="n">
        <v>129.17</v>
      </c>
      <c r="S79" s="18" t="n">
        <v>19.49</v>
      </c>
      <c r="T79" s="18" t="n">
        <v>20.45</v>
      </c>
      <c r="U79" s="18" t="n">
        <v>20.67</v>
      </c>
      <c r="V79" s="18" t="n">
        <v>19.72</v>
      </c>
      <c r="W79" s="34" t="n">
        <v>80.33</v>
      </c>
      <c r="X79" s="18" t="n">
        <v>19.83</v>
      </c>
      <c r="Y79" s="19" t="n">
        <v>19.63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현금및현금성자산의증감</t>
        </is>
      </c>
      <c r="E80" s="18" t="n">
        <v>68293.75999999999</v>
      </c>
      <c r="F80" s="18" t="n">
        <v>-73699.22</v>
      </c>
      <c r="G80" s="18" t="n">
        <v>6678.44</v>
      </c>
      <c r="H80" s="9" t="n"/>
      <c r="I80" s="18" t="n">
        <v>7073.73</v>
      </c>
      <c r="J80" s="18" t="n">
        <v>-14202.54</v>
      </c>
      <c r="K80" s="18" t="n">
        <v>19807.78</v>
      </c>
      <c r="L80" s="18" t="n">
        <v>-9007.24</v>
      </c>
      <c r="M80" s="34" t="n">
        <v>3671.73</v>
      </c>
      <c r="N80" s="18" t="n">
        <v>-23878.9</v>
      </c>
      <c r="O80" s="18" t="n">
        <v>24024.23</v>
      </c>
      <c r="P80" s="18" t="n">
        <v>-9973.469999999999</v>
      </c>
      <c r="Q80" s="18" t="n">
        <v>2207.77</v>
      </c>
      <c r="R80" s="34" t="n">
        <v>-7620.37</v>
      </c>
      <c r="S80" s="18" t="n">
        <v>6406.99</v>
      </c>
      <c r="T80" s="18" t="n">
        <v>-12094.81</v>
      </c>
      <c r="U80" s="18" t="n">
        <v>-5859.28</v>
      </c>
      <c r="V80" s="18" t="n">
        <v>38223.28</v>
      </c>
      <c r="W80" s="34" t="n">
        <v>26676.18</v>
      </c>
      <c r="X80" s="18" t="n">
        <v>-27239.58</v>
      </c>
      <c r="Y80" s="19" t="n">
        <v>965.37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기말현금및현금성자산</t>
        </is>
      </c>
      <c r="E81" s="18" t="n">
        <v>68293.77</v>
      </c>
      <c r="F81" s="18" t="n">
        <v>-73699.23</v>
      </c>
      <c r="G81" s="18" t="n">
        <v>6678.45</v>
      </c>
      <c r="H81" s="9" t="n"/>
      <c r="I81" s="18" t="n">
        <v>30031.84</v>
      </c>
      <c r="J81" s="18" t="n">
        <v>-14202.54</v>
      </c>
      <c r="K81" s="18" t="n">
        <v>19807.78</v>
      </c>
      <c r="L81" s="18" t="n">
        <v>-9007.23</v>
      </c>
      <c r="M81" s="34" t="n">
        <v>26629.85</v>
      </c>
      <c r="N81" s="18" t="n">
        <v>2750.94</v>
      </c>
      <c r="O81" s="18" t="n">
        <v>24024.24</v>
      </c>
      <c r="P81" s="18" t="n">
        <v>-9973.48</v>
      </c>
      <c r="Q81" s="18" t="n">
        <v>2207.77</v>
      </c>
      <c r="R81" s="34" t="n">
        <v>19009.47</v>
      </c>
      <c r="S81" s="18" t="n">
        <v>25416.47</v>
      </c>
      <c r="T81" s="18" t="n">
        <v>-12094.82</v>
      </c>
      <c r="U81" s="18" t="n">
        <v>-5859.28</v>
      </c>
      <c r="V81" s="18" t="n">
        <v>38138.87</v>
      </c>
      <c r="W81" s="34" t="n">
        <v>45601.24</v>
      </c>
      <c r="X81" s="18" t="n">
        <v>18696.87</v>
      </c>
      <c r="Y81" s="19" t="n">
        <v>630.16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단기차입금의증가</t>
        </is>
      </c>
      <c r="F82" s="18" t="n">
        <v>0</v>
      </c>
      <c r="G82" s="18" t="n">
        <v>0</v>
      </c>
      <c r="H82" s="9" t="n"/>
      <c r="K82" s="18" t="n">
        <v>0</v>
      </c>
      <c r="L82" s="18" t="n">
        <v>0</v>
      </c>
      <c r="M82" s="9" t="n"/>
      <c r="P82" s="18" t="n">
        <v>0</v>
      </c>
      <c r="Q82" s="18" t="n">
        <v>5000</v>
      </c>
      <c r="R82" s="9" t="n"/>
      <c r="S82" s="18" t="n">
        <v>5000</v>
      </c>
      <c r="T82" s="18" t="n">
        <v>0</v>
      </c>
      <c r="U82" s="18" t="n">
        <v>0</v>
      </c>
      <c r="V82" s="18" t="n">
        <v>10000</v>
      </c>
      <c r="W82" s="34" t="n">
        <v>15000</v>
      </c>
      <c r="X82" s="18" t="n">
        <v>0</v>
      </c>
      <c r="Y82" s="19" t="n">
        <v>0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유동성장기부채의감소</t>
        </is>
      </c>
      <c r="F83" s="18" t="n">
        <v>0</v>
      </c>
      <c r="G83" s="18" t="n">
        <v>0</v>
      </c>
      <c r="H83" s="9" t="n"/>
      <c r="K83" s="18" t="n">
        <v>440</v>
      </c>
      <c r="L83" s="18" t="n">
        <v>0</v>
      </c>
      <c r="M83" s="9" t="n"/>
      <c r="P83" s="18" t="n">
        <v>0</v>
      </c>
      <c r="Q83" s="18" t="n">
        <v>0</v>
      </c>
      <c r="R83" s="9" t="n"/>
      <c r="S83" s="18" t="n">
        <v>1000</v>
      </c>
      <c r="T83" s="18" t="n">
        <v>0</v>
      </c>
      <c r="U83" s="18" t="n">
        <v>0</v>
      </c>
      <c r="V83" s="18" t="n">
        <v>0</v>
      </c>
      <c r="W83" s="34" t="n">
        <v>1000</v>
      </c>
      <c r="X83" s="18" t="n">
        <v>0</v>
      </c>
      <c r="Y83" s="19" t="n">
        <v>0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자기주식의취득</t>
        </is>
      </c>
      <c r="G84" s="18" t="n">
        <v>2481.94</v>
      </c>
      <c r="H84" s="9" t="n"/>
      <c r="L84" s="18" t="n">
        <v>45.75</v>
      </c>
      <c r="M84" s="9" t="n"/>
      <c r="R84" s="9" t="n"/>
      <c r="W84" s="9" t="n"/>
      <c r="Y84" s="5" t="n"/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장기차입금의증가</t>
        </is>
      </c>
      <c r="H85" s="9" t="n"/>
      <c r="K85" s="18" t="n">
        <v>2090</v>
      </c>
      <c r="L85" s="18" t="n">
        <v>0</v>
      </c>
      <c r="M85" s="9" t="n"/>
      <c r="N85" s="18" t="n">
        <v>88000</v>
      </c>
      <c r="O85" s="18" t="n">
        <v>0</v>
      </c>
      <c r="P85" s="18" t="n">
        <v>0</v>
      </c>
      <c r="Q85" s="18" t="n">
        <v>0</v>
      </c>
      <c r="R85" s="34" t="n">
        <v>88000</v>
      </c>
      <c r="S85" s="18" t="n">
        <v>0</v>
      </c>
      <c r="T85" s="18" t="n">
        <v>0</v>
      </c>
      <c r="U85" s="18" t="n">
        <v>0</v>
      </c>
      <c r="V85" s="18" t="n">
        <v>0</v>
      </c>
      <c r="W85" s="34" t="n">
        <v>0</v>
      </c>
      <c r="Y85" s="5" t="n"/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단기차입금의감소</t>
        </is>
      </c>
      <c r="H86" s="9" t="n"/>
      <c r="K86" s="18" t="n">
        <v>0</v>
      </c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2000</v>
      </c>
      <c r="T86" s="18" t="n">
        <v>500</v>
      </c>
      <c r="U86" s="18" t="n">
        <v>250</v>
      </c>
      <c r="V86" s="18" t="n">
        <v>250</v>
      </c>
      <c r="W86" s="34" t="n">
        <v>3000</v>
      </c>
      <c r="X86" s="18" t="n">
        <v>3750</v>
      </c>
      <c r="Y86" s="19" t="n">
        <v>750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이자수취(CF)</t>
        </is>
      </c>
      <c r="H87" s="9" t="n"/>
      <c r="L87" s="18" t="n">
        <v>295.85</v>
      </c>
      <c r="M87" s="9" t="n"/>
      <c r="N87" s="18" t="n">
        <v>269.72</v>
      </c>
      <c r="O87" s="18" t="n">
        <v>389.12</v>
      </c>
      <c r="P87" s="18" t="n">
        <v>321.08</v>
      </c>
      <c r="Q87" s="18" t="n">
        <v>141.07</v>
      </c>
      <c r="R87" s="34" t="n">
        <v>1120.99</v>
      </c>
      <c r="S87" s="18" t="n">
        <v>135.47</v>
      </c>
      <c r="T87" s="18" t="n">
        <v>460.36</v>
      </c>
      <c r="U87" s="18" t="n">
        <v>270.13</v>
      </c>
      <c r="V87" s="18" t="n">
        <v>877.7</v>
      </c>
      <c r="W87" s="34" t="n">
        <v>1743.66</v>
      </c>
      <c r="X87" s="18" t="n">
        <v>67.66</v>
      </c>
      <c r="Y87" s="19" t="n">
        <v>775.63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이자지급(CF)</t>
        </is>
      </c>
      <c r="H88" s="9" t="n"/>
      <c r="L88" s="18" t="n">
        <v>-124.77</v>
      </c>
      <c r="M88" s="9" t="n"/>
      <c r="N88" s="18" t="n">
        <v>-367.28</v>
      </c>
      <c r="O88" s="18" t="n">
        <v>-722.79</v>
      </c>
      <c r="P88" s="18" t="n">
        <v>-1233.99</v>
      </c>
      <c r="Q88" s="18" t="n">
        <v>-996.75</v>
      </c>
      <c r="R88" s="34" t="n">
        <v>-3320.81</v>
      </c>
      <c r="S88" s="18" t="n">
        <v>-1006.62</v>
      </c>
      <c r="T88" s="18" t="n">
        <v>-938.64</v>
      </c>
      <c r="U88" s="18" t="n">
        <v>-858.09</v>
      </c>
      <c r="V88" s="18" t="n">
        <v>-882</v>
      </c>
      <c r="W88" s="34" t="n">
        <v>-3685.35</v>
      </c>
      <c r="X88" s="18" t="n">
        <v>-939.37</v>
      </c>
      <c r="Y88" s="19" t="n">
        <v>-951.98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장기차입금의감소</t>
        </is>
      </c>
      <c r="H89" s="9" t="n"/>
      <c r="L89" s="18" t="n">
        <v>0</v>
      </c>
      <c r="M89" s="9" t="n"/>
      <c r="Q89" s="18" t="n">
        <v>0</v>
      </c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배당금수취(CF)</t>
        </is>
      </c>
      <c r="H90" s="9" t="n"/>
      <c r="M90" s="9" t="n"/>
      <c r="R90" s="9" t="n"/>
      <c r="U90" s="18" t="n">
        <v>0</v>
      </c>
      <c r="V90" s="18" t="n">
        <v>0</v>
      </c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4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4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4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4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5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5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4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4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4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4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5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5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5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4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4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4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4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5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5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5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4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4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4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4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5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5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4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4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4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4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5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5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0.0636</v>
      </c>
      <c r="F10" s="18" t="n">
        <v>0.07149999999999999</v>
      </c>
      <c r="G10" s="18" t="n">
        <v>-0.1345</v>
      </c>
      <c r="H10" s="34" t="n"/>
      <c r="I10" s="18" t="n">
        <v>0.0113</v>
      </c>
      <c r="J10" s="18" t="n">
        <v>-0.1352</v>
      </c>
      <c r="K10" s="18" t="n">
        <v>-0.4818</v>
      </c>
      <c r="L10" s="18" t="n">
        <v>-0.2747</v>
      </c>
      <c r="M10" s="34">
        <f>SUM(I10:L10)</f>
        <v/>
      </c>
      <c r="N10" s="18" t="n">
        <v>-0.0946</v>
      </c>
      <c r="O10" s="18" t="n">
        <v>0.1795</v>
      </c>
      <c r="P10" s="18" t="n">
        <v>0.1217</v>
      </c>
      <c r="Q10" s="18" t="n">
        <v>0.0063</v>
      </c>
      <c r="R10" s="34">
        <f>SUM(N10:Q10)</f>
        <v/>
      </c>
      <c r="S10" s="18" t="n">
        <v>0.06510000000000001</v>
      </c>
      <c r="T10" s="18" t="n">
        <v>0.0222</v>
      </c>
      <c r="U10" s="18" t="n">
        <v>0.081</v>
      </c>
      <c r="V10" s="18" t="n">
        <v>-0.0531</v>
      </c>
      <c r="W10" s="34">
        <f>SUM(S10:V10)</f>
        <v/>
      </c>
      <c r="X10" s="18" t="n">
        <v>-0.4245</v>
      </c>
      <c r="Y10" s="19" t="n">
        <v>-0.1814</v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  <c r="AC10" s="20">
        <f>IFERROR(X10*(1+변수!AC24),"")</f>
        <v/>
      </c>
      <c r="AD10" s="20">
        <f>IFERROR(Y10*(1+변수!AD24),"")</f>
        <v/>
      </c>
      <c r="AE10" s="20">
        <f>IFERROR(Z10*(1+변수!AE24),"")</f>
        <v/>
      </c>
      <c r="AF10" s="20">
        <f>IFERROR(AA10*(1+변수!AF24),"")</f>
        <v/>
      </c>
      <c r="AG10" s="35">
        <f>SUM(AC10:AF10)</f>
        <v/>
      </c>
      <c r="AH10" s="20">
        <f>IFERROR(AC10*(1+변수!AH24),"")</f>
        <v/>
      </c>
      <c r="AI10" s="20">
        <f>IFERROR(AD10*(1+변수!AI24),"")</f>
        <v/>
      </c>
      <c r="AJ10" s="20">
        <f>IFERROR(AE10*(1+변수!AJ24),"")</f>
        <v/>
      </c>
      <c r="AK10" s="20">
        <f>IFERROR(AF10*(1+변수!AK24),"")</f>
        <v/>
      </c>
      <c r="AL10" s="35">
        <f>SUM(AH10:AK10)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4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4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4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4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변수!Z25</f>
        <v/>
      </c>
      <c r="AA11" s="20">
        <f>변수!AA25</f>
        <v/>
      </c>
      <c r="AB11" s="35">
        <f>SUM(X11:AA11)</f>
        <v/>
      </c>
      <c r="AC11" s="20">
        <f>변수!AC25</f>
        <v/>
      </c>
      <c r="AD11" s="20">
        <f>변수!AD25</f>
        <v/>
      </c>
      <c r="AE11" s="20">
        <f>변수!AE25</f>
        <v/>
      </c>
      <c r="AF11" s="20">
        <f>변수!AF25</f>
        <v/>
      </c>
      <c r="AG11" s="35">
        <f>SUM(AC11:AF11)</f>
        <v/>
      </c>
      <c r="AH11" s="20">
        <f>변수!AH25</f>
        <v/>
      </c>
      <c r="AI11" s="20">
        <f>변수!AI25</f>
        <v/>
      </c>
      <c r="AJ11" s="20">
        <f>변수!AJ25</f>
        <v/>
      </c>
      <c r="AK11" s="20">
        <f>변수!AK25</f>
        <v/>
      </c>
      <c r="AL11" s="35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4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4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4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4">
        <f>SUM(S12:V12)</f>
        <v/>
      </c>
      <c r="X12" s="18" t="n"/>
      <c r="Y12" s="19" t="n"/>
      <c r="Z12" s="20">
        <f>변수!Z26</f>
        <v/>
      </c>
      <c r="AA12" s="20">
        <f>변수!AA26</f>
        <v/>
      </c>
      <c r="AB12" s="35">
        <f>SUM(X12:AA12)</f>
        <v/>
      </c>
      <c r="AC12" s="20">
        <f>변수!AC26</f>
        <v/>
      </c>
      <c r="AD12" s="20">
        <f>변수!AD26</f>
        <v/>
      </c>
      <c r="AE12" s="20">
        <f>변수!AE26</f>
        <v/>
      </c>
      <c r="AF12" s="20">
        <f>변수!AF26</f>
        <v/>
      </c>
      <c r="AG12" s="35">
        <f>SUM(AC12:AF12)</f>
        <v/>
      </c>
      <c r="AH12" s="20">
        <f>변수!AH26</f>
        <v/>
      </c>
      <c r="AI12" s="20">
        <f>변수!AI26</f>
        <v/>
      </c>
      <c r="AJ12" s="20">
        <f>변수!AJ26</f>
        <v/>
      </c>
      <c r="AK12" s="20">
        <f>변수!AK26</f>
        <v/>
      </c>
      <c r="AL12" s="35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4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4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4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4">
        <f>IFERROR(VLOOKUP($D13,BS연결,MATCH(W$1,BS연결H,0),0)/100,"")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변수!Z27</f>
        <v/>
      </c>
      <c r="AA13" s="20">
        <f>변수!AA27</f>
        <v/>
      </c>
      <c r="AB13" s="35">
        <f>SUM(X13:AA13)</f>
        <v/>
      </c>
      <c r="AC13" s="20">
        <f>변수!AC27</f>
        <v/>
      </c>
      <c r="AD13" s="20">
        <f>변수!AD27</f>
        <v/>
      </c>
      <c r="AE13" s="20">
        <f>변수!AE27</f>
        <v/>
      </c>
      <c r="AF13" s="20">
        <f>변수!AF27</f>
        <v/>
      </c>
      <c r="AG13" s="35">
        <f>SUM(AC13:AF13)</f>
        <v/>
      </c>
      <c r="AH13" s="20">
        <f>변수!AH27</f>
        <v/>
      </c>
      <c r="AI13" s="20">
        <f>변수!AI27</f>
        <v/>
      </c>
      <c r="AJ13" s="20">
        <f>변수!AJ27</f>
        <v/>
      </c>
      <c r="AK13" s="20">
        <f>변수!AK27</f>
        <v/>
      </c>
      <c r="AL13" s="35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4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4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4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4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5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5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5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4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4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4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4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IFERROR(Z14*변수!Z28,"")</f>
        <v/>
      </c>
      <c r="AA15" s="20">
        <f>IFERROR(AA14*변수!AA28,"")</f>
        <v/>
      </c>
      <c r="AB15" s="35">
        <f>SUM(X15:AA15)</f>
        <v/>
      </c>
      <c r="AC15" s="20">
        <f>IFERROR(AC14*변수!AC28,"")</f>
        <v/>
      </c>
      <c r="AD15" s="20">
        <f>IFERROR(AD14*변수!AD28,"")</f>
        <v/>
      </c>
      <c r="AE15" s="20">
        <f>IFERROR(AE14*변수!AE28,"")</f>
        <v/>
      </c>
      <c r="AF15" s="20">
        <f>IFERROR(AF14*변수!AF28,"")</f>
        <v/>
      </c>
      <c r="AG15" s="35">
        <f>SUM(AC15:AF15)</f>
        <v/>
      </c>
      <c r="AH15" s="20">
        <f>IFERROR(AH14*변수!AH28,"")</f>
        <v/>
      </c>
      <c r="AI15" s="20">
        <f>IFERROR(AI14*변수!AI28,"")</f>
        <v/>
      </c>
      <c r="AJ15" s="20">
        <f>IFERROR(AJ14*변수!AJ28,"")</f>
        <v/>
      </c>
      <c r="AK15" s="20">
        <f>IFERROR(AK14*변수!AK28,"")</f>
        <v/>
      </c>
      <c r="AL15" s="35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4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4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4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4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5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5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5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4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4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4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4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IFERROR(Z16*변수!Z29,"")</f>
        <v/>
      </c>
      <c r="AA17" s="20">
        <f>IFERROR(AA16*변수!AA29,"")</f>
        <v/>
      </c>
      <c r="AB17" s="35">
        <f>SUM(X17:AA17)</f>
        <v/>
      </c>
      <c r="AC17" s="20">
        <f>IFERROR(AC16*변수!AC29,"")</f>
        <v/>
      </c>
      <c r="AD17" s="20">
        <f>IFERROR(AD16*변수!AD29,"")</f>
        <v/>
      </c>
      <c r="AE17" s="20">
        <f>IFERROR(AE16*변수!AE29,"")</f>
        <v/>
      </c>
      <c r="AF17" s="20">
        <f>IFERROR(AF16*변수!AF29,"")</f>
        <v/>
      </c>
      <c r="AG17" s="35">
        <f>SUM(AC17:AF17)</f>
        <v/>
      </c>
      <c r="AH17" s="20">
        <f>IFERROR(AH16*변수!AH29,"")</f>
        <v/>
      </c>
      <c r="AI17" s="20">
        <f>IFERROR(AI16*변수!AI29,"")</f>
        <v/>
      </c>
      <c r="AJ17" s="20">
        <f>IFERROR(AJ16*변수!AJ29,"")</f>
        <v/>
      </c>
      <c r="AK17" s="20">
        <f>IFERROR(AK16*변수!AK29,"")</f>
        <v/>
      </c>
      <c r="AL17" s="35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4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4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4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4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IFERROR(U18*(1+변수!Z30),"")</f>
        <v/>
      </c>
      <c r="AA18" s="20">
        <f>IFERROR(V18*(1+변수!AA30),"")</f>
        <v/>
      </c>
      <c r="AB18" s="35">
        <f>SUM(X18:AA18)</f>
        <v/>
      </c>
      <c r="AC18" s="20">
        <f>IFERROR(X18*(1+변수!AC30),"")</f>
        <v/>
      </c>
      <c r="AD18" s="20">
        <f>IFERROR(Y18*(1+변수!AD30),"")</f>
        <v/>
      </c>
      <c r="AE18" s="20">
        <f>IFERROR(Z18*(1+변수!AE30),"")</f>
        <v/>
      </c>
      <c r="AF18" s="20">
        <f>IFERROR(AA18*(1+변수!AF30),"")</f>
        <v/>
      </c>
      <c r="AG18" s="35">
        <f>SUM(AC18:AF18)</f>
        <v/>
      </c>
      <c r="AH18" s="20">
        <f>IFERROR(AC18*(1+변수!AH30),"")</f>
        <v/>
      </c>
      <c r="AI18" s="20">
        <f>IFERROR(AD18*(1+변수!AI30),"")</f>
        <v/>
      </c>
      <c r="AJ18" s="20">
        <f>IFERROR(AE18*(1+변수!AJ30),"")</f>
        <v/>
      </c>
      <c r="AK18" s="20">
        <f>IFERROR(AF18*(1+변수!AK30),"")</f>
        <v/>
      </c>
      <c r="AL18" s="35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4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4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4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4">
        <f>SUM(S19:V19)</f>
        <v/>
      </c>
      <c r="X19" s="18" t="n">
        <v>-16.29</v>
      </c>
      <c r="Y19" s="19" t="n">
        <v>-26.96</v>
      </c>
      <c r="Z19" s="20">
        <f>IFERROR(U19*(1+변수!Z31),"")</f>
        <v/>
      </c>
      <c r="AA19" s="20">
        <f>IFERROR(V19*(1+변수!AA31),"")</f>
        <v/>
      </c>
      <c r="AB19" s="35">
        <f>SUM(X19:AA19)</f>
        <v/>
      </c>
      <c r="AC19" s="20">
        <f>IFERROR(X19*(1+변수!AC31),"")</f>
        <v/>
      </c>
      <c r="AD19" s="20">
        <f>IFERROR(Y19*(1+변수!AD31),"")</f>
        <v/>
      </c>
      <c r="AE19" s="20">
        <f>IFERROR(Z19*(1+변수!AE31),"")</f>
        <v/>
      </c>
      <c r="AF19" s="20">
        <f>IFERROR(AA19*(1+변수!AF31),"")</f>
        <v/>
      </c>
      <c r="AG19" s="35">
        <f>SUM(AC19:AF19)</f>
        <v/>
      </c>
      <c r="AH19" s="20">
        <f>IFERROR(AC19*(1+변수!AH31),"")</f>
        <v/>
      </c>
      <c r="AI19" s="20">
        <f>IFERROR(AD19*(1+변수!AI31),"")</f>
        <v/>
      </c>
      <c r="AJ19" s="20">
        <f>IFERROR(AE19*(1+변수!AJ31),"")</f>
        <v/>
      </c>
      <c r="AK19" s="20">
        <f>IFERROR(AF19*(1+변수!AK31),"")</f>
        <v/>
      </c>
      <c r="AL19" s="35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4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4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4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5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5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5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4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4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4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IFERROR(Y21*(1+변수!Z32),"")</f>
        <v/>
      </c>
      <c r="AA21" s="20">
        <f>IFERROR(Z21*(1+변수!AA32),"")</f>
        <v/>
      </c>
      <c r="AB21" s="35">
        <f>AA21</f>
        <v/>
      </c>
      <c r="AC21" s="20">
        <f>IFERROR(AA21*(1+변수!AC32),"")</f>
        <v/>
      </c>
      <c r="AD21" s="20">
        <f>IFERROR(AC21*(1+변수!AD32),"")</f>
        <v/>
      </c>
      <c r="AE21" s="20">
        <f>IFERROR(AD21*(1+변수!AE32),"")</f>
        <v/>
      </c>
      <c r="AF21" s="20">
        <f>IFERROR(AE21*(1+변수!AF32),"")</f>
        <v/>
      </c>
      <c r="AG21" s="35">
        <f>AF21</f>
        <v/>
      </c>
      <c r="AH21" s="20">
        <f>IFERROR(AF21*(1+변수!AH32),"")</f>
        <v/>
      </c>
      <c r="AI21" s="20">
        <f>IFERROR(AH21*(1+변수!AI32),"")</f>
        <v/>
      </c>
      <c r="AJ21" s="20">
        <f>IFERROR(AI21*(1+변수!AJ32),"")</f>
        <v/>
      </c>
      <c r="AK21" s="20">
        <f>IFERROR(AJ21*(1+변수!AK32),"")</f>
        <v/>
      </c>
      <c r="AL21" s="35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4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4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4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IFERROR(Y22+Z16-변수!Z33,"")</f>
        <v/>
      </c>
      <c r="AA22" s="20">
        <f>IFERROR(Z22+AA16-변수!AA33,"")</f>
        <v/>
      </c>
      <c r="AB22" s="35">
        <f>AA22</f>
        <v/>
      </c>
      <c r="AC22" s="20">
        <f>IFERROR(AA22+AC16-변수!AC33,"")</f>
        <v/>
      </c>
      <c r="AD22" s="20">
        <f>IFERROR(AC22+AD16-변수!AD33,"")</f>
        <v/>
      </c>
      <c r="AE22" s="20">
        <f>IFERROR(AD22+AE16-변수!AE33,"")</f>
        <v/>
      </c>
      <c r="AF22" s="20">
        <f>IFERROR(AE22+AF16-변수!AF33,"")</f>
        <v/>
      </c>
      <c r="AG22" s="35">
        <f>AF22</f>
        <v/>
      </c>
      <c r="AH22" s="20">
        <f>IFERROR(AF22+AH16-변수!AH33,"")</f>
        <v/>
      </c>
      <c r="AI22" s="20">
        <f>IFERROR(AH22+AI16-변수!AI33,"")</f>
        <v/>
      </c>
      <c r="AJ22" s="20">
        <f>IFERROR(AI22+AJ16-변수!AJ33,"")</f>
        <v/>
      </c>
      <c r="AK22" s="20">
        <f>IFERROR(AJ22+AK16-변수!AK33,"")</f>
        <v/>
      </c>
      <c r="AL22" s="35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4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4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4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IFERROR(Y23+Z17-변수!Z34,"")</f>
        <v/>
      </c>
      <c r="AA23" s="20">
        <f>IFERROR(Z23+AA17-변수!AA34,"")</f>
        <v/>
      </c>
      <c r="AB23" s="35">
        <f>AA23</f>
        <v/>
      </c>
      <c r="AC23" s="20">
        <f>IFERROR(AA23+AC17-변수!AC34,"")</f>
        <v/>
      </c>
      <c r="AD23" s="20">
        <f>IFERROR(AC23+AD17-변수!AD34,"")</f>
        <v/>
      </c>
      <c r="AE23" s="20">
        <f>IFERROR(AD23+AE17-변수!AE34,"")</f>
        <v/>
      </c>
      <c r="AF23" s="20">
        <f>IFERROR(AE23+AF17-변수!AF34,"")</f>
        <v/>
      </c>
      <c r="AG23" s="35">
        <f>AF23</f>
        <v/>
      </c>
      <c r="AH23" s="20">
        <f>IFERROR(AF23+AH17-변수!AH34,"")</f>
        <v/>
      </c>
      <c r="AI23" s="20">
        <f>IFERROR(AH23+AI17-변수!AI34,"")</f>
        <v/>
      </c>
      <c r="AJ23" s="20">
        <f>IFERROR(AI23+AJ17-변수!AJ34,"")</f>
        <v/>
      </c>
      <c r="AK23" s="20">
        <f>IFERROR(AJ23+AK17-변수!AK34,"")</f>
        <v/>
      </c>
      <c r="AL23" s="35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4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4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4">
        <f>IFERROR(VLOOKUP($D24,BS연결,MATCH(W$1,BS연결H,0),0)/100,"")</f>
        <v/>
      </c>
      <c r="X24" s="18">
        <f>IFERROR(VLOOKUP($D24,BS연결,MATCH(X$1,BS연결H,0),0)/100,"")</f>
        <v/>
      </c>
      <c r="Y24" s="19" t="n"/>
      <c r="Z24" s="20" t="n"/>
      <c r="AA24" s="20" t="n"/>
      <c r="AB24" s="35">
        <f>AA24</f>
        <v/>
      </c>
      <c r="AC24" s="20" t="n"/>
      <c r="AD24" s="20" t="n"/>
      <c r="AE24" s="20" t="n"/>
      <c r="AF24" s="20" t="n"/>
      <c r="AG24" s="35">
        <f>AF24</f>
        <v/>
      </c>
      <c r="AH24" s="20" t="n"/>
      <c r="AI24" s="20" t="n"/>
      <c r="AJ24" s="20" t="n"/>
      <c r="AK24" s="20" t="n"/>
      <c r="AL24" s="35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4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4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4">
        <f>IFERROR(VLOOKUP($D25,BS연결,MATCH(W$1,BS연결H,0),0)/100,"")</f>
        <v/>
      </c>
      <c r="X25" s="18">
        <f>IFERROR(VLOOKUP($D25,BS연결,MATCH(X$1,BS연결H,0),0)/100,"")</f>
        <v/>
      </c>
      <c r="Y25" s="19" t="n"/>
      <c r="Z25" s="20" t="n"/>
      <c r="AA25" s="20" t="n"/>
      <c r="AB25" s="35">
        <f>AA25</f>
        <v/>
      </c>
      <c r="AC25" s="20" t="n"/>
      <c r="AD25" s="20" t="n"/>
      <c r="AE25" s="20" t="n"/>
      <c r="AF25" s="20" t="n"/>
      <c r="AG25" s="35">
        <f>AF25</f>
        <v/>
      </c>
      <c r="AH25" s="20" t="n"/>
      <c r="AI25" s="20" t="n"/>
      <c r="AJ25" s="20" t="n"/>
      <c r="AK25" s="20" t="n"/>
      <c r="AL25" s="35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4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4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4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IFERROR(Y26*(1+변수!Z37),"")</f>
        <v/>
      </c>
      <c r="AA26" s="20">
        <f>IFERROR(Z26*(1+변수!AA37),"")</f>
        <v/>
      </c>
      <c r="AB26" s="35">
        <f>AA26</f>
        <v/>
      </c>
      <c r="AC26" s="20">
        <f>IFERROR(AA26*(1+변수!AC37),"")</f>
        <v/>
      </c>
      <c r="AD26" s="20">
        <f>IFERROR(AC26*(1+변수!AD37),"")</f>
        <v/>
      </c>
      <c r="AE26" s="20">
        <f>IFERROR(AD26*(1+변수!AE37),"")</f>
        <v/>
      </c>
      <c r="AF26" s="20">
        <f>IFERROR(AE26*(1+변수!AF37),"")</f>
        <v/>
      </c>
      <c r="AG26" s="35">
        <f>AF26</f>
        <v/>
      </c>
      <c r="AH26" s="20">
        <f>IFERROR(AF26*(1+변수!AH37),"")</f>
        <v/>
      </c>
      <c r="AI26" s="20">
        <f>IFERROR(AH26*(1+변수!AI37),"")</f>
        <v/>
      </c>
      <c r="AJ26" s="20">
        <f>IFERROR(AI26*(1+변수!AJ37),"")</f>
        <v/>
      </c>
      <c r="AK26" s="20">
        <f>IFERROR(AJ26*(1+변수!AK37),"")</f>
        <v/>
      </c>
      <c r="AL26" s="35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4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4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4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4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5">
        <f>AA27</f>
        <v/>
      </c>
      <c r="AC27" s="20" t="n"/>
      <c r="AD27" s="20" t="n"/>
      <c r="AE27" s="20" t="n"/>
      <c r="AF27" s="20" t="n"/>
      <c r="AG27" s="35">
        <f>AF27</f>
        <v/>
      </c>
      <c r="AH27" s="20" t="n"/>
      <c r="AI27" s="20" t="n"/>
      <c r="AJ27" s="20" t="n"/>
      <c r="AK27" s="20" t="n"/>
      <c r="AL27" s="35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-110.71</v>
      </c>
      <c r="F28" s="18" t="n">
        <v>8.48</v>
      </c>
      <c r="G28" s="18" t="n">
        <v>-93.56</v>
      </c>
      <c r="H28" s="34" t="n"/>
      <c r="I28" s="18" t="n">
        <v>-105.06</v>
      </c>
      <c r="J28" s="18" t="n">
        <v>-40.61</v>
      </c>
      <c r="K28" s="18" t="n">
        <v>-75.02</v>
      </c>
      <c r="L28" s="18" t="n">
        <v>31.9</v>
      </c>
      <c r="M28" s="34">
        <f>SUM(I28:L28)</f>
        <v/>
      </c>
      <c r="N28" s="18" t="n">
        <v>-54.4</v>
      </c>
      <c r="O28" s="18" t="n">
        <v>187.55</v>
      </c>
      <c r="P28" s="18" t="n">
        <v>-70.20999999999999</v>
      </c>
      <c r="Q28" s="18" t="n">
        <v>26.12</v>
      </c>
      <c r="R28" s="34">
        <f>SUM(N28:Q28)</f>
        <v/>
      </c>
      <c r="S28" s="18" t="n">
        <v>13.93</v>
      </c>
      <c r="T28" s="18" t="n">
        <v>3.68</v>
      </c>
      <c r="U28" s="18" t="n">
        <v>-13.81</v>
      </c>
      <c r="V28" s="18" t="n">
        <v>213.03</v>
      </c>
      <c r="W28" s="34">
        <f>SUM(S28:V28)</f>
        <v/>
      </c>
      <c r="X28" s="18" t="n">
        <v>-153.26</v>
      </c>
      <c r="Y28" s="19" t="n">
        <v>-40.61</v>
      </c>
      <c r="Z28" s="20" t="n"/>
      <c r="AA28" s="20" t="n"/>
      <c r="AB28" s="35">
        <f>SUM(X28:AA28)</f>
        <v/>
      </c>
      <c r="AC28" s="20" t="n"/>
      <c r="AD28" s="20" t="n"/>
      <c r="AE28" s="20" t="n"/>
      <c r="AF28" s="20" t="n"/>
      <c r="AG28" s="35">
        <f>SUM(AC28:AF28)</f>
        <v/>
      </c>
      <c r="AH28" s="20" t="n"/>
      <c r="AI28" s="20" t="n"/>
      <c r="AJ28" s="20" t="n"/>
      <c r="AK28" s="20" t="n"/>
      <c r="AL28" s="35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8.760999999999999</v>
      </c>
      <c r="F29" s="26" t="n">
        <v>8.673</v>
      </c>
      <c r="G29" s="26" t="n">
        <v>8.585000000000001</v>
      </c>
      <c r="H29" s="27">
        <f>G29</f>
        <v/>
      </c>
      <c r="I29" s="26" t="n">
        <v>8.585000000000001</v>
      </c>
      <c r="J29" s="26" t="n">
        <v>8.585000000000001</v>
      </c>
      <c r="K29" s="26" t="n">
        <v>8.585000000000001</v>
      </c>
      <c r="L29" s="26" t="n">
        <v>8.582000000000001</v>
      </c>
      <c r="M29" s="27">
        <f>L29</f>
        <v/>
      </c>
      <c r="N29" s="26" t="n">
        <v>8.582000000000001</v>
      </c>
      <c r="O29" s="26" t="n">
        <v>8.582000000000001</v>
      </c>
      <c r="P29" s="26" t="n">
        <v>8.582000000000001</v>
      </c>
      <c r="Q29" s="26" t="n">
        <v>8.582000000000001</v>
      </c>
      <c r="R29" s="27">
        <f>Q29</f>
        <v/>
      </c>
      <c r="S29" s="26" t="n">
        <v>8.582000000000001</v>
      </c>
      <c r="T29" s="26" t="n">
        <v>8.582000000000001</v>
      </c>
      <c r="U29" s="26" t="n">
        <v>8.582000000000001</v>
      </c>
      <c r="V29" s="26" t="n">
        <v>8.582000000000001</v>
      </c>
      <c r="W29" s="27">
        <f>V29</f>
        <v/>
      </c>
      <c r="X29" s="26" t="n">
        <v>8.582000000000001</v>
      </c>
      <c r="Y29" s="28" t="n">
        <v>8.582000000000001</v>
      </c>
      <c r="Z29" s="36">
        <f>IFERROR(Y29*(1+변수!Z40),"")</f>
        <v/>
      </c>
      <c r="AA29" s="36">
        <f>IFERROR(Z29*(1+변수!AA40),"")</f>
        <v/>
      </c>
      <c r="AB29" s="30">
        <f>AA29</f>
        <v/>
      </c>
      <c r="AC29" s="36">
        <f>IFERROR(AA29*(1+변수!AC40),"")</f>
        <v/>
      </c>
      <c r="AD29" s="36">
        <f>IFERROR(AC29*(1+변수!AD40),"")</f>
        <v/>
      </c>
      <c r="AE29" s="36">
        <f>IFERROR(AD29*(1+변수!AE40),"")</f>
        <v/>
      </c>
      <c r="AF29" s="36">
        <f>IFERROR(AE29*(1+변수!AF40),"")</f>
        <v/>
      </c>
      <c r="AG29" s="30">
        <f>AF29</f>
        <v/>
      </c>
      <c r="AH29" s="36">
        <f>IFERROR(AF29*(1+변수!AH40),"")</f>
        <v/>
      </c>
      <c r="AI29" s="36">
        <f>IFERROR(AH29*(1+변수!AI40),"")</f>
        <v/>
      </c>
      <c r="AJ29" s="36">
        <f>IFERROR(AI29*(1+변수!AJ40),"")</f>
        <v/>
      </c>
      <c r="AK29" s="36">
        <f>IFERROR(AJ29*(1+변수!AK40),"")</f>
        <v/>
      </c>
      <c r="AL29" s="30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4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4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4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4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5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5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5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4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4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4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4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5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5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5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4" t="n">
        <v>0</v>
      </c>
      <c r="I32" s="18" t="n"/>
      <c r="J32" s="18" t="n"/>
      <c r="K32" s="18" t="n"/>
      <c r="L32" s="18" t="n">
        <v>0</v>
      </c>
      <c r="M32" s="34">
        <f>SUM(I32:L32)</f>
        <v/>
      </c>
      <c r="N32" s="18" t="n"/>
      <c r="O32" s="18" t="n"/>
      <c r="P32" s="18" t="n"/>
      <c r="Q32" s="18" t="n">
        <v>0</v>
      </c>
      <c r="R32" s="34">
        <f>SUM(N32:Q32)</f>
        <v/>
      </c>
      <c r="S32" s="18" t="n"/>
      <c r="T32" s="18" t="n"/>
      <c r="U32" s="18" t="n"/>
      <c r="V32" s="18" t="n">
        <v>0</v>
      </c>
      <c r="W32" s="34">
        <f>SUM(S32:V32)</f>
        <v/>
      </c>
      <c r="X32" s="18" t="n"/>
      <c r="Y32" s="19" t="n"/>
      <c r="Z32" s="20" t="n"/>
      <c r="AA32" s="20" t="n">
        <v>0</v>
      </c>
      <c r="AB32" s="35">
        <f>SUM(X32:AA32)</f>
        <v/>
      </c>
      <c r="AC32" s="20" t="n"/>
      <c r="AD32" s="20" t="n"/>
      <c r="AE32" s="20" t="n"/>
      <c r="AF32" s="20" t="n">
        <v>0</v>
      </c>
      <c r="AG32" s="35">
        <f>SUM(AC32:AF32)</f>
        <v/>
      </c>
      <c r="AH32" s="20" t="n"/>
      <c r="AI32" s="20" t="n"/>
      <c r="AJ32" s="20" t="n"/>
      <c r="AK32" s="20" t="n">
        <v>0</v>
      </c>
      <c r="AL32" s="35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18" t="n"/>
      <c r="G33" s="18" t="n"/>
      <c r="H33" s="34" t="n"/>
      <c r="I33" s="18" t="n">
        <v>128.47</v>
      </c>
      <c r="J33" s="18" t="n">
        <v>291.55</v>
      </c>
      <c r="K33" s="18" t="n"/>
      <c r="L33" s="18" t="n"/>
      <c r="M33" s="34">
        <f>SUM(I33:L33)</f>
        <v/>
      </c>
      <c r="N33" s="18" t="n"/>
      <c r="O33" s="18" t="n"/>
      <c r="P33" s="18" t="n"/>
      <c r="Q33" s="18" t="n">
        <v>141.12</v>
      </c>
      <c r="R33" s="34">
        <f>SUM(N33:Q33)</f>
        <v/>
      </c>
      <c r="S33" s="18" t="n">
        <v>87.65000000000001</v>
      </c>
      <c r="T33" s="18" t="n">
        <v>957.8099999999999</v>
      </c>
      <c r="U33" s="18" t="n"/>
      <c r="V33" s="18" t="n">
        <v>163.03</v>
      </c>
      <c r="W33" s="34">
        <f>SUM(S33:V33)</f>
        <v/>
      </c>
      <c r="X33" s="18" t="n"/>
      <c r="Y33" s="19" t="n"/>
      <c r="Z33" s="20" t="n"/>
      <c r="AA33" s="20" t="n"/>
      <c r="AB33" s="35">
        <f>SUM(X33:AA33)</f>
        <v/>
      </c>
      <c r="AC33" s="20" t="n"/>
      <c r="AD33" s="20" t="n">
        <v>108.84</v>
      </c>
      <c r="AE33" s="20" t="n">
        <v>106.58</v>
      </c>
      <c r="AF33" s="20" t="n">
        <v>103.82</v>
      </c>
      <c r="AG33" s="35">
        <f>SUM(AC33:AF33)</f>
        <v/>
      </c>
      <c r="AH33" s="20" t="n">
        <v>102.29</v>
      </c>
      <c r="AI33" s="20">
        <f>IFERROR(AD33*(1+변수!AI42),"")</f>
        <v/>
      </c>
      <c r="AJ33" s="20">
        <f>IFERROR(AE33*(1+변수!AJ42),"")</f>
        <v/>
      </c>
      <c r="AK33" s="20">
        <f>IFERROR(AF33*(1+변수!AK42),"")</f>
        <v/>
      </c>
      <c r="AL33" s="35">
        <f>SUM(AH33:AK33)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2.96</v>
      </c>
      <c r="F34" s="18" t="n">
        <v>2.61</v>
      </c>
      <c r="G34" s="18" t="n">
        <v>2.25</v>
      </c>
      <c r="H34" s="34" t="n">
        <v>2.11</v>
      </c>
      <c r="I34" s="18" t="n">
        <v>2.25</v>
      </c>
      <c r="J34" s="18" t="n">
        <v>2.28</v>
      </c>
      <c r="K34" s="18" t="n">
        <v>1.95</v>
      </c>
      <c r="L34" s="18" t="n">
        <v>1.54</v>
      </c>
      <c r="M34" s="34">
        <f>SUM(I34:L34)</f>
        <v/>
      </c>
      <c r="N34" s="18" t="n">
        <v>1.57</v>
      </c>
      <c r="O34" s="18" t="n">
        <v>1.72</v>
      </c>
      <c r="P34" s="18" t="n">
        <v>1.42</v>
      </c>
      <c r="Q34" s="18" t="n">
        <v>0.72</v>
      </c>
      <c r="R34" s="34">
        <f>SUM(N34:Q34)</f>
        <v/>
      </c>
      <c r="S34" s="18" t="n">
        <v>0.77</v>
      </c>
      <c r="T34" s="18" t="n">
        <v>0.86</v>
      </c>
      <c r="U34" s="18" t="n">
        <v>1.14</v>
      </c>
      <c r="V34" s="18" t="n">
        <v>1.61</v>
      </c>
      <c r="W34" s="34">
        <f>SUM(S34:V34)</f>
        <v/>
      </c>
      <c r="X34" s="18" t="n">
        <v>1.64</v>
      </c>
      <c r="Y34" s="19" t="n">
        <v>1.63</v>
      </c>
      <c r="Z34" s="20">
        <f>IFERROR(U34*(1+변수!Z43),"")</f>
        <v/>
      </c>
      <c r="AA34" s="20">
        <f>IFERROR(V34*(1+변수!AA43),"")</f>
        <v/>
      </c>
      <c r="AB34" s="35">
        <f>SUM(X34:AA34)</f>
        <v/>
      </c>
      <c r="AC34" s="20">
        <f>IFERROR(X34*(1+변수!AC43),"")</f>
        <v/>
      </c>
      <c r="AD34" s="20">
        <f>IFERROR(Y34*(1+변수!AD43),"")</f>
        <v/>
      </c>
      <c r="AE34" s="20">
        <f>IFERROR(Z34*(1+변수!AE43),"")</f>
        <v/>
      </c>
      <c r="AF34" s="20">
        <f>IFERROR(AA34*(1+변수!AF43),"")</f>
        <v/>
      </c>
      <c r="AG34" s="35">
        <f>SUM(AC34:AF34)</f>
        <v/>
      </c>
      <c r="AH34" s="20">
        <f>IFERROR(AC34*(1+변수!AH43),"")</f>
        <v/>
      </c>
      <c r="AI34" s="20">
        <f>IFERROR(AD34*(1+변수!AI43),"")</f>
        <v/>
      </c>
      <c r="AJ34" s="20">
        <f>IFERROR(AE34*(1+변수!AJ43),"")</f>
        <v/>
      </c>
      <c r="AK34" s="20">
        <f>IFERROR(AF34*(1+변수!AK43),"")</f>
        <v/>
      </c>
      <c r="AL34" s="35">
        <f>SUM(AH34:AK34)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4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4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4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4">
        <f>SUM(S35:V35)</f>
        <v/>
      </c>
      <c r="X35" s="18" t="n">
        <v>50.54</v>
      </c>
      <c r="Y35" s="19" t="n">
        <v>178.25</v>
      </c>
      <c r="Z35" s="20">
        <f>IFERROR(Z5*변수!Z44,"")</f>
        <v/>
      </c>
      <c r="AA35" s="20">
        <f>IFERROR(AA5*변수!AA44,"")</f>
        <v/>
      </c>
      <c r="AB35" s="35">
        <f>SUM(X35:AA35)</f>
        <v/>
      </c>
      <c r="AC35" s="20">
        <f>IFERROR(AC5*변수!AC44,"")</f>
        <v/>
      </c>
      <c r="AD35" s="20">
        <f>IFERROR(AD5*변수!AD44,"")</f>
        <v/>
      </c>
      <c r="AE35" s="20">
        <f>IFERROR(AE5*변수!AE44,"")</f>
        <v/>
      </c>
      <c r="AF35" s="20">
        <f>IFERROR(AF5*변수!AF44,"")</f>
        <v/>
      </c>
      <c r="AG35" s="35">
        <f>SUM(AC35:AF35)</f>
        <v/>
      </c>
      <c r="AH35" s="20">
        <f>IFERROR(AH5*변수!AH44,"")</f>
        <v/>
      </c>
      <c r="AI35" s="20">
        <f>IFERROR(AI5*변수!AI44,"")</f>
        <v/>
      </c>
      <c r="AJ35" s="20">
        <f>IFERROR(AJ5*변수!AJ44,"")</f>
        <v/>
      </c>
      <c r="AK35" s="20">
        <f>IFERROR(AK5*변수!AK44,"")</f>
        <v/>
      </c>
      <c r="AL35" s="35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4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4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4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4">
        <f>SUM(S36:V36)</f>
        <v/>
      </c>
      <c r="X36" s="18" t="n">
        <v>-21.45</v>
      </c>
      <c r="Y36" s="19" t="n">
        <v>-32.33</v>
      </c>
      <c r="Z36" s="20">
        <f>IFERROR(Z35*변수!Z45,"")</f>
        <v/>
      </c>
      <c r="AA36" s="20">
        <f>IFERROR(AA35*변수!AA45,"")</f>
        <v/>
      </c>
      <c r="AB36" s="35">
        <f>SUM(X36:AA36)</f>
        <v/>
      </c>
      <c r="AC36" s="20">
        <f>IFERROR(AC35*변수!AC45,"")</f>
        <v/>
      </c>
      <c r="AD36" s="20">
        <f>IFERROR(AD35*변수!AD45,"")</f>
        <v/>
      </c>
      <c r="AE36" s="20">
        <f>IFERROR(AE35*변수!AE45,"")</f>
        <v/>
      </c>
      <c r="AF36" s="20">
        <f>IFERROR(AF35*변수!AF45,"")</f>
        <v/>
      </c>
      <c r="AG36" s="35">
        <f>SUM(AC36:AF36)</f>
        <v/>
      </c>
      <c r="AH36" s="20">
        <f>IFERROR(AH35*변수!AH45,"")</f>
        <v/>
      </c>
      <c r="AI36" s="20">
        <f>IFERROR(AI35*변수!AI45,"")</f>
        <v/>
      </c>
      <c r="AJ36" s="20">
        <f>IFERROR(AJ35*변수!AJ45,"")</f>
        <v/>
      </c>
      <c r="AK36" s="20">
        <f>IFERROR(AK35*변수!AK45,"")</f>
        <v/>
      </c>
      <c r="AL36" s="35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1">
        <f>IFERROR(F9/F5,"")</f>
        <v/>
      </c>
      <c r="G38" s="21">
        <f>IFERROR(G9/G5,"")</f>
        <v/>
      </c>
      <c r="H38" s="22">
        <f>IFERROR(H9/H5,"")</f>
        <v/>
      </c>
      <c r="I38" s="21">
        <f>IFERROR(I9/I5,"")</f>
        <v/>
      </c>
      <c r="J38" s="21">
        <f>IFERROR(J9/J5,"")</f>
        <v/>
      </c>
      <c r="K38" s="21">
        <f>IFERROR(K9/K5,"")</f>
        <v/>
      </c>
      <c r="L38" s="21">
        <f>IFERROR(L9/L5,"")</f>
        <v/>
      </c>
      <c r="M38" s="22">
        <f>IFERROR(M9/M5,"")</f>
        <v/>
      </c>
      <c r="N38" s="21">
        <f>IFERROR(N9/N5,"")</f>
        <v/>
      </c>
      <c r="O38" s="21">
        <f>IFERROR(O9/O5,"")</f>
        <v/>
      </c>
      <c r="P38" s="21">
        <f>IFERROR(P9/P5,"")</f>
        <v/>
      </c>
      <c r="Q38" s="21">
        <f>IFERROR(Q9/Q5,"")</f>
        <v/>
      </c>
      <c r="R38" s="22">
        <f>IFERROR(R9/R5,"")</f>
        <v/>
      </c>
      <c r="S38" s="21">
        <f>IFERROR(S9/S5,"")</f>
        <v/>
      </c>
      <c r="T38" s="21">
        <f>IFERROR(T9/T5,"")</f>
        <v/>
      </c>
      <c r="U38" s="21">
        <f>IFERROR(U9/U5,"")</f>
        <v/>
      </c>
      <c r="V38" s="21">
        <f>IFERROR(V9/V5,"")</f>
        <v/>
      </c>
      <c r="W38" s="22">
        <f>IFERROR(W9/W5,"")</f>
        <v/>
      </c>
      <c r="X38" s="21">
        <f>IFERROR(X9/X5,"")</f>
        <v/>
      </c>
      <c r="Y38" s="23">
        <f>IFERROR(Y9/Y5,"")</f>
        <v/>
      </c>
      <c r="Z38" s="31">
        <f>IFERROR(Z9/Z5,"")</f>
        <v/>
      </c>
      <c r="AA38" s="31">
        <f>IFERROR(AA9/AA5,"")</f>
        <v/>
      </c>
      <c r="AB38" s="25">
        <f>IFERROR(AB9/AB5,"")</f>
        <v/>
      </c>
      <c r="AC38" s="31">
        <f>IFERROR(AC9/AC5,"")</f>
        <v/>
      </c>
      <c r="AD38" s="31">
        <f>IFERROR(AD9/AD5,"")</f>
        <v/>
      </c>
      <c r="AE38" s="31">
        <f>IFERROR(AE9/AE5,"")</f>
        <v/>
      </c>
      <c r="AF38" s="31">
        <f>IFERROR(AF9/AF5,"")</f>
        <v/>
      </c>
      <c r="AG38" s="25">
        <f>IFERROR(AG9/AG5,"")</f>
        <v/>
      </c>
      <c r="AH38" s="31">
        <f>IFERROR(AH9/AH5,"")</f>
        <v/>
      </c>
      <c r="AI38" s="31">
        <f>IFERROR(AI9/AI5,"")</f>
        <v/>
      </c>
      <c r="AJ38" s="31">
        <f>IFERROR(AJ9/AJ5,"")</f>
        <v/>
      </c>
      <c r="AK38" s="31">
        <f>IFERROR(AK9/AK5,"")</f>
        <v/>
      </c>
      <c r="AL38" s="25">
        <f>IFERROR(AL9/AL5,"")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1">
        <f>IFERROR(F17/F5,"")</f>
        <v/>
      </c>
      <c r="G39" s="21">
        <f>IFERROR(G17/G5,"")</f>
        <v/>
      </c>
      <c r="H39" s="22">
        <f>IFERROR(H17/H5,"")</f>
        <v/>
      </c>
      <c r="I39" s="21">
        <f>IFERROR(I17/I5,"")</f>
        <v/>
      </c>
      <c r="J39" s="21">
        <f>IFERROR(J17/J5,"")</f>
        <v/>
      </c>
      <c r="K39" s="21">
        <f>IFERROR(K17/K5,"")</f>
        <v/>
      </c>
      <c r="L39" s="21">
        <f>IFERROR(L17/L5,"")</f>
        <v/>
      </c>
      <c r="M39" s="22">
        <f>IFERROR(M17/M5,"")</f>
        <v/>
      </c>
      <c r="N39" s="21">
        <f>IFERROR(N17/N5,"")</f>
        <v/>
      </c>
      <c r="O39" s="21">
        <f>IFERROR(O17/O5,"")</f>
        <v/>
      </c>
      <c r="P39" s="21">
        <f>IFERROR(P17/P5,"")</f>
        <v/>
      </c>
      <c r="Q39" s="21">
        <f>IFERROR(Q17/Q5,"")</f>
        <v/>
      </c>
      <c r="R39" s="22">
        <f>IFERROR(R17/R5,"")</f>
        <v/>
      </c>
      <c r="S39" s="21">
        <f>IFERROR(S17/S5,"")</f>
        <v/>
      </c>
      <c r="T39" s="21">
        <f>IFERROR(T17/T5,"")</f>
        <v/>
      </c>
      <c r="U39" s="21">
        <f>IFERROR(U17/U5,"")</f>
        <v/>
      </c>
      <c r="V39" s="21">
        <f>IFERROR(V17/V5,"")</f>
        <v/>
      </c>
      <c r="W39" s="22">
        <f>IFERROR(W17/W5,"")</f>
        <v/>
      </c>
      <c r="X39" s="21">
        <f>IFERROR(X17/X5,"")</f>
        <v/>
      </c>
      <c r="Y39" s="23">
        <f>IFERROR(Y17/Y5,"")</f>
        <v/>
      </c>
      <c r="Z39" s="31">
        <f>IFERROR(Z17/Z5,"")</f>
        <v/>
      </c>
      <c r="AA39" s="31">
        <f>IFERROR(AA17/AA5,"")</f>
        <v/>
      </c>
      <c r="AB39" s="25">
        <f>IFERROR(AB17/AB5,"")</f>
        <v/>
      </c>
      <c r="AC39" s="31">
        <f>IFERROR(AC17/AC5,"")</f>
        <v/>
      </c>
      <c r="AD39" s="31">
        <f>IFERROR(AD17/AD5,"")</f>
        <v/>
      </c>
      <c r="AE39" s="31">
        <f>IFERROR(AE17/AE5,"")</f>
        <v/>
      </c>
      <c r="AF39" s="31">
        <f>IFERROR(AF17/AF5,"")</f>
        <v/>
      </c>
      <c r="AG39" s="25">
        <f>IFERROR(AG17/AG5,"")</f>
        <v/>
      </c>
      <c r="AH39" s="31">
        <f>IFERROR(AH17/AH5,"")</f>
        <v/>
      </c>
      <c r="AI39" s="31">
        <f>IFERROR(AI17/AI5,"")</f>
        <v/>
      </c>
      <c r="AJ39" s="31">
        <f>IFERROR(AJ17/AJ5,"")</f>
        <v/>
      </c>
      <c r="AK39" s="31">
        <f>IFERROR(AK17/AK5,"")</f>
        <v/>
      </c>
      <c r="AL39" s="25">
        <f>IFERROR(AL17/AL5,"")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1">
        <f>IFERROR(F6/F5,"")</f>
        <v/>
      </c>
      <c r="G40" s="21">
        <f>IFERROR(G6/G5,"")</f>
        <v/>
      </c>
      <c r="H40" s="22">
        <f>IFERROR(H6/H5,"")</f>
        <v/>
      </c>
      <c r="I40" s="21">
        <f>IFERROR(I6/I5,"")</f>
        <v/>
      </c>
      <c r="J40" s="21">
        <f>IFERROR(J6/J5,"")</f>
        <v/>
      </c>
      <c r="K40" s="21">
        <f>IFERROR(K6/K5,"")</f>
        <v/>
      </c>
      <c r="L40" s="21">
        <f>IFERROR(L6/L5,"")</f>
        <v/>
      </c>
      <c r="M40" s="22">
        <f>IFERROR(M6/M5,"")</f>
        <v/>
      </c>
      <c r="N40" s="21">
        <f>IFERROR(N6/N5,"")</f>
        <v/>
      </c>
      <c r="O40" s="21">
        <f>IFERROR(O6/O5,"")</f>
        <v/>
      </c>
      <c r="P40" s="21">
        <f>IFERROR(P6/P5,"")</f>
        <v/>
      </c>
      <c r="Q40" s="21">
        <f>IFERROR(Q6/Q5,"")</f>
        <v/>
      </c>
      <c r="R40" s="22">
        <f>IFERROR(R6/R5,"")</f>
        <v/>
      </c>
      <c r="S40" s="21">
        <f>IFERROR(S6/S5,"")</f>
        <v/>
      </c>
      <c r="T40" s="21">
        <f>IFERROR(T6/T5,"")</f>
        <v/>
      </c>
      <c r="U40" s="21">
        <f>IFERROR(U6/U5,"")</f>
        <v/>
      </c>
      <c r="V40" s="21">
        <f>IFERROR(V6/V5,"")</f>
        <v/>
      </c>
      <c r="W40" s="22">
        <f>IFERROR(W6/W5,"")</f>
        <v/>
      </c>
      <c r="X40" s="21">
        <f>IFERROR(X6/X5,"")</f>
        <v/>
      </c>
      <c r="Y40" s="23">
        <f>IFERROR(Y6/Y5,"")</f>
        <v/>
      </c>
      <c r="Z40" s="31">
        <f>IFERROR(Z6/Z5,"")</f>
        <v/>
      </c>
      <c r="AA40" s="31">
        <f>IFERROR(AA6/AA5,"")</f>
        <v/>
      </c>
      <c r="AB40" s="25">
        <f>IFERROR(AB6/AB5,"")</f>
        <v/>
      </c>
      <c r="AC40" s="31">
        <f>IFERROR(AC6/AC5,"")</f>
        <v/>
      </c>
      <c r="AD40" s="31">
        <f>IFERROR(AD6/AD5,"")</f>
        <v/>
      </c>
      <c r="AE40" s="31">
        <f>IFERROR(AE6/AE5,"")</f>
        <v/>
      </c>
      <c r="AF40" s="31">
        <f>IFERROR(AF6/AF5,"")</f>
        <v/>
      </c>
      <c r="AG40" s="25">
        <f>IFERROR(AG6/AG5,"")</f>
        <v/>
      </c>
      <c r="AH40" s="31">
        <f>IFERROR(AH6/AH5,"")</f>
        <v/>
      </c>
      <c r="AI40" s="31">
        <f>IFERROR(AI6/AI5,"")</f>
        <v/>
      </c>
      <c r="AJ40" s="31">
        <f>IFERROR(AJ6/AJ5,"")</f>
        <v/>
      </c>
      <c r="AK40" s="31">
        <f>IFERROR(AK6/AK5,"")</f>
        <v/>
      </c>
      <c r="AL40" s="25">
        <f>IFERROR(AL6/AL5,"")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1">
        <f>IFERROR(F8/F5,"")</f>
        <v/>
      </c>
      <c r="G41" s="21">
        <f>IFERROR(G8/G5,"")</f>
        <v/>
      </c>
      <c r="H41" s="22">
        <f>IFERROR(H8/H5,"")</f>
        <v/>
      </c>
      <c r="I41" s="21">
        <f>IFERROR(I8/I5,"")</f>
        <v/>
      </c>
      <c r="J41" s="21">
        <f>IFERROR(J8/J5,"")</f>
        <v/>
      </c>
      <c r="K41" s="21">
        <f>IFERROR(K8/K5,"")</f>
        <v/>
      </c>
      <c r="L41" s="21">
        <f>IFERROR(L8/L5,"")</f>
        <v/>
      </c>
      <c r="M41" s="22">
        <f>IFERROR(M8/M5,"")</f>
        <v/>
      </c>
      <c r="N41" s="21">
        <f>IFERROR(N8/N5,"")</f>
        <v/>
      </c>
      <c r="O41" s="21">
        <f>IFERROR(O8/O5,"")</f>
        <v/>
      </c>
      <c r="P41" s="21">
        <f>IFERROR(P8/P5,"")</f>
        <v/>
      </c>
      <c r="Q41" s="21">
        <f>IFERROR(Q8/Q5,"")</f>
        <v/>
      </c>
      <c r="R41" s="22">
        <f>IFERROR(R8/R5,"")</f>
        <v/>
      </c>
      <c r="S41" s="21">
        <f>IFERROR(S8/S5,"")</f>
        <v/>
      </c>
      <c r="T41" s="21">
        <f>IFERROR(T8/T5,"")</f>
        <v/>
      </c>
      <c r="U41" s="21">
        <f>IFERROR(U8/U5,"")</f>
        <v/>
      </c>
      <c r="V41" s="21">
        <f>IFERROR(V8/V5,"")</f>
        <v/>
      </c>
      <c r="W41" s="22">
        <f>IFERROR(W8/W5,"")</f>
        <v/>
      </c>
      <c r="X41" s="21">
        <f>IFERROR(X8/X5,"")</f>
        <v/>
      </c>
      <c r="Y41" s="23">
        <f>IFERROR(Y8/Y5,"")</f>
        <v/>
      </c>
      <c r="Z41" s="31">
        <f>IFERROR(Z8/Z5,"")</f>
        <v/>
      </c>
      <c r="AA41" s="31">
        <f>IFERROR(AA8/AA5,"")</f>
        <v/>
      </c>
      <c r="AB41" s="25">
        <f>IFERROR(AB8/AB5,"")</f>
        <v/>
      </c>
      <c r="AC41" s="31">
        <f>IFERROR(AC8/AC5,"")</f>
        <v/>
      </c>
      <c r="AD41" s="31">
        <f>IFERROR(AD8/AD5,"")</f>
        <v/>
      </c>
      <c r="AE41" s="31">
        <f>IFERROR(AE8/AE5,"")</f>
        <v/>
      </c>
      <c r="AF41" s="31">
        <f>IFERROR(AF8/AF5,"")</f>
        <v/>
      </c>
      <c r="AG41" s="25">
        <f>IFERROR(AG8/AG5,"")</f>
        <v/>
      </c>
      <c r="AH41" s="31">
        <f>IFERROR(AH8/AH5,"")</f>
        <v/>
      </c>
      <c r="AI41" s="31">
        <f>IFERROR(AI8/AI5,"")</f>
        <v/>
      </c>
      <c r="AJ41" s="31">
        <f>IFERROR(AJ8/AJ5,"")</f>
        <v/>
      </c>
      <c r="AK41" s="31">
        <f>IFERROR(AK8/AK5,"")</f>
        <v/>
      </c>
      <c r="AL41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7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U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39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0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1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1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1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1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1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2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1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1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1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1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1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1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1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1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1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1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1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1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1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1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1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1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1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1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43">
        <f>IFERROR(VLOOKUP($A29,subQ,MATCH(U$1,SUBQH,0),0),"")</f>
        <v/>
      </c>
      <c r="V29" s="36">
        <f>IFERROR(VLOOKUP($A29,subQ,MATCH(V$1,SUBQH,0),0),"")</f>
        <v/>
      </c>
      <c r="W29" s="36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1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1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1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41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41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1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1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2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42">
        <f>IFERROR(VLOOKUP($A38,subQ,MATCH(U$1,SUBQH,0),0),"")</f>
        <v/>
      </c>
      <c r="V38" s="31">
        <f>IFERROR(VLOOKUP($A38,subQ,MATCH(V$1,SUBQH,0),0),"")</f>
        <v/>
      </c>
      <c r="W38" s="31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42">
        <f>IFERROR(U5/Q5-1,"")</f>
        <v/>
      </c>
      <c r="V39" s="31">
        <f>IFERROR(V5/R5-1,"")</f>
        <v/>
      </c>
      <c r="W39" s="31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42">
        <f>IFERROR(U9/Q9-1,"")</f>
        <v/>
      </c>
      <c r="V40" s="31">
        <f>IFERROR(V9/R9-1,"")</f>
        <v/>
      </c>
      <c r="W40" s="31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42">
        <f>IFERROR(U17/Q17-1,"")</f>
        <v/>
      </c>
      <c r="V41" s="31">
        <f>IFERROR(V17/R17-1,"")</f>
        <v/>
      </c>
      <c r="W41" s="31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37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변수!D48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0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1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43">
        <f>IFERROR(VLOOKUP($A29,subQ,MATCH(H$1,SUBQH,0),0),"")</f>
        <v/>
      </c>
      <c r="I29" s="36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1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2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2">
        <f>IFERROR(VLOOKUP($A38,subQ,MATCH(H$1,SUBQH,0),0),"")</f>
        <v/>
      </c>
      <c r="I38" s="31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2">
        <f>IFERROR(H5/G5-1,"")</f>
        <v/>
      </c>
      <c r="I39" s="31">
        <f>IFERROR(I5/H5-1,"")</f>
        <v/>
      </c>
      <c r="J39" s="31">
        <f>IFERROR(J5/I5-1,"")</f>
        <v/>
      </c>
      <c r="K39" s="31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2">
        <f>IFERROR(H9/G9-1,"")</f>
        <v/>
      </c>
      <c r="I40" s="31">
        <f>IFERROR(I9/H9-1,"")</f>
        <v/>
      </c>
      <c r="J40" s="31">
        <f>IFERROR(J9/I9-1,"")</f>
        <v/>
      </c>
      <c r="K40" s="31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42">
        <f>IFERROR(H17/G17-1,"")</f>
        <v/>
      </c>
      <c r="I41" s="31">
        <f>IFERROR(I17/H17-1,"")</f>
        <v/>
      </c>
      <c r="J41" s="31">
        <f>IFERROR(J17/I17-1,"")</f>
        <v/>
      </c>
      <c r="K41" s="31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217.3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  <c r="D31" t="n">
        <v>108.84</v>
      </c>
    </row>
    <row r="32">
      <c r="C32" s="2" t="inlineStr">
        <is>
          <t>pbr_now</t>
        </is>
      </c>
      <c r="D32" t="n">
        <v>1.3</v>
      </c>
    </row>
    <row r="33">
      <c r="C33" s="2" t="inlineStr">
        <is>
          <t>roe_fwd</t>
        </is>
      </c>
      <c r="D33" t="n">
        <v>0.012</v>
      </c>
    </row>
    <row r="34">
      <c r="C34" s="2" t="inlineStr">
        <is>
          <t>fair_pbr</t>
        </is>
      </c>
      <c r="D34" t="n">
        <v>0.13</v>
      </c>
    </row>
    <row r="35">
      <c r="C35" s="2" t="inlineStr">
        <is>
          <t>fair_value_pbr</t>
        </is>
      </c>
      <c r="D35" t="n">
        <v>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