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3절 스칼라 '판관비율' 참조 — 숫자로 덮어쓰면 이 분기만 바뀐다
매출액 × 판관비율 4.86%(최근 4분기 중위)</t>
      </text>
    </comment>
    <comment ref="AD22" authorId="0" shapeId="0">
      <text>
        <t>3절 스칼라 '판관비율' 참조 — 숫자로 덮어쓰면 이 분기만 바뀐다
매출액 × 판관비율 4.86%(최근 4분기 중위)</t>
      </text>
    </comment>
    <comment ref="AF22" authorId="0" shapeId="0">
      <text>
        <t>3절 스칼라 '판관비율' 참조 — 숫자로 덮어쓰면 이 분기만 바뀐다
매출액 × 판관비율 4.86%(최근 4분기 중위)</t>
      </text>
    </comment>
    <comment ref="AG22" authorId="0" shapeId="0">
      <text>
        <t>3절 스칼라 '판관비율' 참조 — 숫자로 덮어쓰면 이 분기만 바뀐다
매출액 × 판관비율 4.86%(최근 4분기 중위)</t>
      </text>
    </comment>
    <comment ref="AH22" authorId="0" shapeId="0">
      <text>
        <t>3절 스칼라 '판관비율' 참조 — 숫자로 덮어쓰면 이 분기만 바뀐다
매출액 × 판관비율 4.86%(최근 4분기 중위)</t>
      </text>
    </comment>
    <comment ref="AI22" authorId="0" shapeId="0">
      <text>
        <t>3절 스칼라 '판관비율' 참조 — 숫자로 덮어쓰면 이 분기만 바뀐다
매출액 × 판관비율 4.86%(최근 4분기 중위)</t>
      </text>
    </comment>
    <comment ref="AK22" authorId="0" shapeId="0">
      <text>
        <t>3절 스칼라 '판관비율' 참조 — 숫자로 덮어쓰면 이 분기만 바뀐다
매출액 × 판관비율 4.86%(최근 4분기 중위)</t>
      </text>
    </comment>
    <comment ref="AL22" authorId="0" shapeId="0">
      <text>
        <t>3절 스칼라 '판관비율' 참조 — 숫자로 덮어쓰면 이 분기만 바뀐다
매출액 × 판관비율 4.86%(최근 4분기 중위)</t>
      </text>
    </comment>
    <comment ref="AM22" authorId="0" shapeId="0">
      <text>
        <t>3절 스칼라 '판관비율' 참조 — 숫자로 덮어쓰면 이 분기만 바뀐다
매출액 × 판관비율 4.86%(최근 4분기 중위)</t>
      </text>
    </comment>
    <comment ref="AN22" authorId="0" shapeId="0">
      <text>
        <t>3절 스칼라 '판관비율' 참조 — 숫자로 덮어쓰면 이 분기만 바뀐다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AC10" authorId="0" shapeId="0">
      <text>
        <t>추정: 최근 8분기 OPM 중위 0.7% 유지(클립 −20~40%)
[divide]</t>
      </text>
    </comment>
    <comment ref="AD10" authorId="0" shapeId="0">
      <text>
        <t>추정: 최근 8분기 OPM 중위 0.7% 유지(클립 −20~40%)
[divide]</t>
      </text>
    </comment>
    <comment ref="AF10" authorId="0" shapeId="0">
      <text>
        <t>추정: 최근 8분기 OPM 중위 0.7% 유지(클립 −20~40%)
[divide]</t>
      </text>
    </comment>
    <comment ref="AG10" authorId="0" shapeId="0">
      <text>
        <t>추정: 최근 8분기 OPM 중위 0.7% 유지(클립 −20~40%)
[divide]</t>
      </text>
    </comment>
    <comment ref="AH10" authorId="0" shapeId="0">
      <text>
        <t>추정: 최근 8분기 OPM 중위 0.7% 유지(클립 −20~40%)
[divide]</t>
      </text>
    </comment>
    <comment ref="AI10" authorId="0" shapeId="0">
      <text>
        <t>추정: 최근 8분기 OPM 중위 0.7% 유지(클립 −20~40%)
[divide]</t>
      </text>
    </comment>
    <comment ref="AK10" authorId="0" shapeId="0">
      <text>
        <t>추정: 최근 8분기 OPM 중위 0.7% 유지(클립 −20~40%)
[divide]</t>
      </text>
    </comment>
    <comment ref="AL10" authorId="0" shapeId="0">
      <text>
        <t>추정: 최근 8분기 OPM 중위 0.7% 유지(클립 −20~40%)
[divide]</t>
      </text>
    </comment>
    <comment ref="AM10" authorId="0" shapeId="0">
      <text>
        <t>추정: 최근 8분기 OPM 중위 0.7% 유지(클립 −20~40%)
[divide]</t>
      </text>
    </comment>
    <comment ref="AN10" authorId="0" shapeId="0">
      <text>
        <t>추정: 최근 8분기 OPM 중위 0.7%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C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D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F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G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H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I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K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L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M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N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D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F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G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H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I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K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L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M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N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22.50% — 법인세 = MAX(세전,0) × 세율, 추정 전 분기 연결(Σ법인세/Σmax(세전,0) 역산, 재현 오차 ≤ 0.05억). 모델 가정 22.00% · 근거: 최근 12분기 유효세율 -2.4% 가 5~27% 밖; 세전 &gt; 0 분기 중위 1.0% 도 5~27% 밖 → 법정세율 근사 22% 가정</t>
        </is>
      </c>
    </row>
    <row r="23">
      <c r="A23" t="inlineStr">
        <is>
          <t>· 판관비율 4.86%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0.00% / 부채 3.58% — 이자손익 = (전분기 이자발생자산 × 자산이자율 − 전분기 총차입금 × 부채이자율)/4, 최소자승 역산(모델 assumptions [0.003, 0.0361]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16.6/21.0/28.8배(hist_quarterly(분기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assets/models/025890.json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-0/-0/-0/-1(중위 -0억) → 추정 2026Q3 -1억(차 -0억, -99%)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20" t="n">
        <v>2475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20" t="n">
        <v>2900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20" t="n">
        <v>2450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20" t="n">
        <v>2561.9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-0.137543061</v>
      </c>
      <c r="AD21" s="24" t="n">
        <v>-0.137537297</v>
      </c>
      <c r="AE21" s="25" t="n"/>
      <c r="AF21" s="24" t="n">
        <v>-0.137588215</v>
      </c>
      <c r="AG21" s="24" t="n">
        <v>-0.137580005</v>
      </c>
      <c r="AH21" s="24" t="n">
        <v>-0.068785579</v>
      </c>
      <c r="AI21" s="24" t="n">
        <v>-0.068805566</v>
      </c>
      <c r="AJ21" s="25" t="n"/>
      <c r="AK21" s="24" t="n">
        <v>-0.068707304</v>
      </c>
      <c r="AL21" s="24" t="n">
        <v>-0.068781407</v>
      </c>
      <c r="AM21" s="24" t="n">
        <v>-0.034386144</v>
      </c>
      <c r="AN21" s="24" t="n">
        <v>-0.03445413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0.007234345</v>
      </c>
      <c r="AD23" s="24" t="n">
        <v>0.007344414</v>
      </c>
      <c r="AE23" s="25">
        <f>IFERROR(subQ!AE9/subQ!AE5,"")</f>
        <v/>
      </c>
      <c r="AF23" s="24" t="n">
        <v>0.007225434</v>
      </c>
      <c r="AG23" s="24" t="n">
        <v>0.007328308</v>
      </c>
      <c r="AH23" s="24" t="n">
        <v>0.007259297</v>
      </c>
      <c r="AI23" s="24" t="n">
        <v>0.00733361</v>
      </c>
      <c r="AJ23" s="25">
        <f>IFERROR(subQ!AJ9/subQ!AJ5,"")</f>
        <v/>
      </c>
      <c r="AK23" s="24" t="n">
        <v>0.007335308</v>
      </c>
      <c r="AL23" s="24" t="n">
        <v>0.007307476</v>
      </c>
      <c r="AM23" s="24" t="n">
        <v>0.007254023</v>
      </c>
      <c r="AN23" s="24" t="n">
        <v>0.007308684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$D$49</f>
        <v/>
      </c>
      <c r="AD27" s="26">
        <f>$D$49</f>
        <v/>
      </c>
      <c r="AE27" s="25">
        <f>IFERROR(subQ!AE17/subQ!AE16,"")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IFERROR(subQ!AJ17/subQ!AJ16,"")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-1.5125e-05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0.000649977</v>
      </c>
      <c r="AD30" s="30" t="n">
        <v>0.003249978</v>
      </c>
      <c r="AE30" s="31" t="n"/>
      <c r="AF30" s="30" t="n">
        <v>-0.002249972</v>
      </c>
      <c r="AG30" s="30" t="n">
        <v>0.003999985</v>
      </c>
      <c r="AH30" s="30" t="n">
        <v>-0.00675</v>
      </c>
      <c r="AI30" s="30" t="n">
        <v>0.009999994999999999</v>
      </c>
      <c r="AJ30" s="31" t="n"/>
      <c r="AK30" s="30" t="n">
        <v>0.009999984999999999</v>
      </c>
      <c r="AL30" s="30" t="n">
        <v>-0.004750008</v>
      </c>
      <c r="AM30" s="30" t="n">
        <v>-0.002249981</v>
      </c>
      <c r="AN30" s="30" t="n">
        <v>0.00999997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0.000649977</v>
      </c>
      <c r="AD31" s="30" t="n">
        <v>0.003249978</v>
      </c>
      <c r="AE31" s="31" t="n"/>
      <c r="AF31" s="30" t="n">
        <v>-0.002249972</v>
      </c>
      <c r="AG31" s="30" t="n">
        <v>0.003999985</v>
      </c>
      <c r="AH31" s="30" t="n">
        <v>-0.00675</v>
      </c>
      <c r="AI31" s="30" t="n">
        <v>0.009999994999999999</v>
      </c>
      <c r="AJ31" s="31" t="n"/>
      <c r="AK31" s="30" t="n">
        <v>0.009999984999999999</v>
      </c>
      <c r="AL31" s="30" t="n">
        <v>-0.004750008</v>
      </c>
      <c r="AM31" s="30" t="n">
        <v>-0.002249981</v>
      </c>
      <c r="AN31" s="30" t="n">
        <v>0.00999997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-0.001020109</v>
      </c>
      <c r="AD33" s="24" t="n">
        <v>-0.000346741</v>
      </c>
      <c r="AE33" s="25" t="n"/>
      <c r="AF33" s="24" t="n">
        <v>-0.00017343</v>
      </c>
      <c r="AG33" s="24" t="n">
        <v>-0.002081526</v>
      </c>
      <c r="AH33" s="24" t="n">
        <v>-0.000347645</v>
      </c>
      <c r="AI33" s="24" t="n">
        <v>0.000347766</v>
      </c>
      <c r="AJ33" s="25" t="n"/>
      <c r="AK33" s="24" t="n">
        <v>0.000347645</v>
      </c>
      <c r="AL33" s="24" t="n">
        <v>-0.001390096</v>
      </c>
      <c r="AM33" s="24" t="n">
        <v>-0.000174004</v>
      </c>
      <c r="AN33" s="24" t="n">
        <v>0.000522102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0.015604337</v>
      </c>
      <c r="AD34" s="24" t="n">
        <v>0.005208333</v>
      </c>
      <c r="AE34" s="25" t="n"/>
      <c r="AF34" s="24" t="n">
        <v>0.002590674</v>
      </c>
      <c r="AG34" s="24" t="n">
        <v>0.031007752</v>
      </c>
      <c r="AH34" s="24" t="n">
        <v>0.005012531</v>
      </c>
      <c r="AI34" s="24" t="n">
        <v>-0.004987531</v>
      </c>
      <c r="AJ34" s="25" t="n"/>
      <c r="AK34" s="24" t="n">
        <v>-0.005012531</v>
      </c>
      <c r="AL34" s="24" t="n">
        <v>0.020151134</v>
      </c>
      <c r="AM34" s="24" t="n">
        <v>0.002469136</v>
      </c>
      <c r="AN34" s="24" t="n">
        <v>-0.007389163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-0.377776402</v>
      </c>
      <c r="AD36" s="24" t="n">
        <v>1.561325263</v>
      </c>
      <c r="AE36" s="25" t="n"/>
      <c r="AF36" s="24" t="n">
        <v>3.451334293</v>
      </c>
      <c r="AG36" s="24" t="n">
        <v>-0.705656233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2475</v>
      </c>
      <c r="E42" s="2" t="inlineStr">
        <is>
          <t>원 — 네이버 정규장 종가(aik 확정종가 대조 · aik 2,615원)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20261026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16.6</v>
      </c>
      <c r="E45" s="2" t="inlineStr">
        <is>
          <t>PER 밴드 하단(배) — hist_quarterly(분기 평균가 ÷ TTM EPS, 12분기,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21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28.8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0.225</v>
      </c>
      <c r="E49" s="2" t="inlineStr">
        <is>
          <t>연결 — 법인세 = MAX(세전,0) × 세율(역산, 재현 오차 ≤ 0.05억 · 모델 assumptions 0.22) · 최근 12분기 유효세율 -2.4% 가 5~27% 밖; 세전 &gt; 0 분기 중위 1.0%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0.04861990377310712</v>
      </c>
      <c r="E50" s="2" t="inlineStr">
        <is>
          <t>연결 — 판관비 = 매출액 × 판관비율(역산, 재현 오차 ≤ 0.05억 · 모델 assumptions 0.0486)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3.047043830962804e-13</v>
      </c>
      <c r="E52" s="2" t="inlineStr">
        <is>
          <t>연결 — 이자손익 = (전분기 이자발생자산 × 자산이자율 − 전분기 총차입금 × 부채이자율)/4(역산, 재현 오차 ≤ 0.05억 · 모델 assumptions 0.003)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0.03577343491223215</v>
      </c>
      <c r="E53" s="2" t="inlineStr">
        <is>
          <t>연결 — 같은 수식의 부채 쪽(총차입금 행이 없으면 0)(역산, 재현 오차 ≤ 0.05억 · 모델 assumptions 0.0361)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7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7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7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7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7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7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7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7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7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7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7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7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7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7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7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7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7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7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7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7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7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7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7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7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7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7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7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7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7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7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7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7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7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7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7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7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7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7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7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7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7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7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7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7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7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7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7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7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7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7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7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7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7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7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7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7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7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7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7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7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7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7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7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7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7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7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7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7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7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7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7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7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7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7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7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7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7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7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7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7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7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7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7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7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7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7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7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7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7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7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7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7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7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7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7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7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7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7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7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7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7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7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7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7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7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7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7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7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7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7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7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7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7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7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7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7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7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7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7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7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7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7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7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7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7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7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7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7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7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7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7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7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7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7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7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7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7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7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7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7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7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7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7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7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7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7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7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7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7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7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7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7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7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7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7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7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7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7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7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7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7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7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7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7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7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7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7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7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7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7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7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7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7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7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7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7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7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7" t="n">
        <v>16824.67</v>
      </c>
      <c r="G41" s="18" t="n">
        <v>17643.71</v>
      </c>
      <c r="H41" s="18" t="n">
        <v>17034.18</v>
      </c>
      <c r="I41" s="18" t="n">
        <v>13720.87</v>
      </c>
      <c r="J41" s="18" t="n">
        <v>12449.09</v>
      </c>
      <c r="K41" s="37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7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7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7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7" t="n">
        <v>13759.64</v>
      </c>
      <c r="G42" s="18" t="n">
        <v>13906.33</v>
      </c>
      <c r="H42" s="18" t="n">
        <v>13879.76</v>
      </c>
      <c r="I42" s="18" t="n">
        <v>10343.5</v>
      </c>
      <c r="J42" s="18" t="n">
        <v>8712.690000000001</v>
      </c>
      <c r="K42" s="37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7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7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7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7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7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7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7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7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I44" s="18" t="n">
        <v>500</v>
      </c>
      <c r="J44" s="18" t="n">
        <v>800</v>
      </c>
      <c r="K44" s="37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7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7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7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7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7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7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7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7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7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7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7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7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7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7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7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7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7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7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7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7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7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7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7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7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7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7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7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7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7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7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7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7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7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7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7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7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7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7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7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7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7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7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7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7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7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7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7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7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7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7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7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7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7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7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7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7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7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7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7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7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7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7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7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7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G65" s="18" t="n">
        <v>9.15</v>
      </c>
      <c r="H65" s="18" t="n">
        <v>15.89</v>
      </c>
      <c r="I65" s="18" t="n">
        <v>16.12</v>
      </c>
      <c r="J65" s="18" t="n">
        <v>16.05</v>
      </c>
      <c r="K65" s="37" t="n">
        <v>57.21</v>
      </c>
      <c r="L65" s="18" t="n">
        <v>12.73</v>
      </c>
      <c r="M65" s="18" t="n">
        <v>0.04</v>
      </c>
      <c r="N65" s="18" t="n">
        <v>0.37</v>
      </c>
      <c r="O65" s="18" t="n">
        <v>0.14</v>
      </c>
      <c r="P65" s="37" t="n">
        <v>13.28</v>
      </c>
      <c r="Q65" s="18" t="n">
        <v>1.61</v>
      </c>
      <c r="R65" s="18" t="n">
        <v>16.54</v>
      </c>
      <c r="S65" s="18" t="n">
        <v>17.19</v>
      </c>
      <c r="T65" s="18" t="n">
        <v>10.04</v>
      </c>
      <c r="U65" s="37" t="n">
        <v>45.38</v>
      </c>
      <c r="V65" s="18" t="n">
        <v>6.44</v>
      </c>
      <c r="W65" s="18" t="n">
        <v>1.33</v>
      </c>
      <c r="X65" s="18" t="n">
        <v>0.53</v>
      </c>
      <c r="Y65" s="18" t="n">
        <v>0.09</v>
      </c>
      <c r="Z65" s="37" t="n">
        <v>8.390000000000001</v>
      </c>
      <c r="AA65" s="18" t="n">
        <v>0.21</v>
      </c>
      <c r="AB65" s="19" t="n">
        <v>0.06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G66" s="18" t="n">
        <v>89.11</v>
      </c>
      <c r="H66" s="18" t="n">
        <v>132.13</v>
      </c>
      <c r="I66" s="18" t="n">
        <v>105.51</v>
      </c>
      <c r="J66" s="18" t="n">
        <v>135.06</v>
      </c>
      <c r="K66" s="37" t="n">
        <v>461.81</v>
      </c>
      <c r="L66" s="18" t="n">
        <v>143.13</v>
      </c>
      <c r="M66" s="18" t="n">
        <v>116.34</v>
      </c>
      <c r="N66" s="18" t="n">
        <v>90.8</v>
      </c>
      <c r="O66" s="18" t="n">
        <v>85.15000000000001</v>
      </c>
      <c r="P66" s="37" t="n">
        <v>435.42</v>
      </c>
      <c r="Q66" s="18" t="n">
        <v>80.09999999999999</v>
      </c>
      <c r="R66" s="18" t="n">
        <v>72.25</v>
      </c>
      <c r="S66" s="18" t="n">
        <v>54.63</v>
      </c>
      <c r="T66" s="18" t="n">
        <v>34.74</v>
      </c>
      <c r="U66" s="37" t="n">
        <v>241.72</v>
      </c>
      <c r="V66" s="18" t="n">
        <v>21.04</v>
      </c>
      <c r="W66" s="18" t="n">
        <v>15.31</v>
      </c>
      <c r="X66" s="18" t="n">
        <v>10.44</v>
      </c>
      <c r="Y66" s="18" t="n">
        <v>16.28</v>
      </c>
      <c r="Z66" s="37" t="n">
        <v>63.07</v>
      </c>
      <c r="AA66" s="18" t="n">
        <v>23.71</v>
      </c>
      <c r="AB66" s="19" t="n">
        <v>47.59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G67" s="18" t="n">
        <v>-79.95999999999999</v>
      </c>
      <c r="H67" s="18" t="n">
        <v>-116.24</v>
      </c>
      <c r="I67" s="18" t="n">
        <v>-89.39</v>
      </c>
      <c r="J67" s="18" t="n">
        <v>-119.01</v>
      </c>
      <c r="K67" s="37" t="n">
        <v>-404.6</v>
      </c>
      <c r="L67" s="18" t="n">
        <v>-130.4</v>
      </c>
      <c r="M67" s="18" t="n">
        <v>-116.3</v>
      </c>
      <c r="N67" s="18" t="n">
        <v>-90.43000000000001</v>
      </c>
      <c r="O67" s="18" t="n">
        <v>-85.01000000000001</v>
      </c>
      <c r="P67" s="37" t="n">
        <v>-422.14</v>
      </c>
      <c r="Q67" s="18" t="n">
        <v>-78.48999999999999</v>
      </c>
      <c r="R67" s="18" t="n">
        <v>-55.71</v>
      </c>
      <c r="S67" s="18" t="n">
        <v>-37.44</v>
      </c>
      <c r="T67" s="18" t="n">
        <v>-24.7</v>
      </c>
      <c r="U67" s="37" t="n">
        <v>-196.34</v>
      </c>
      <c r="V67" s="18" t="n">
        <v>-14.6</v>
      </c>
      <c r="W67" s="18" t="n">
        <v>-13.98</v>
      </c>
      <c r="X67" s="18" t="n">
        <v>-9.91</v>
      </c>
      <c r="Y67" s="18" t="n">
        <v>-16.19</v>
      </c>
      <c r="Z67" s="37" t="n">
        <v>-54.68</v>
      </c>
      <c r="AA67" s="18" t="n">
        <v>-23.5</v>
      </c>
      <c r="AB67" s="19" t="n">
        <v>-47.53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M68" s="18" t="n">
        <v>5.52</v>
      </c>
      <c r="N68" s="18" t="n">
        <v>0</v>
      </c>
      <c r="O68" s="18" t="n">
        <v>34.95</v>
      </c>
      <c r="P68" s="9" t="n"/>
      <c r="Q68" s="18" t="n">
        <v>1.42</v>
      </c>
      <c r="R68" s="18" t="n">
        <v>5.31</v>
      </c>
      <c r="S68" s="18" t="n">
        <v>0</v>
      </c>
      <c r="T68" s="18" t="n">
        <v>8.710000000000001</v>
      </c>
      <c r="U68" s="37" t="n">
        <v>15.44</v>
      </c>
      <c r="V68" s="18" t="n">
        <v>1.49</v>
      </c>
      <c r="W68" s="18" t="n">
        <v>0.04</v>
      </c>
      <c r="X68" s="18" t="n">
        <v>0</v>
      </c>
      <c r="Y68" s="18" t="n">
        <v>0</v>
      </c>
      <c r="Z68" s="37" t="n">
        <v>1.53</v>
      </c>
      <c r="AA68" s="18" t="n">
        <v>0.11</v>
      </c>
      <c r="AB68" s="19" t="n">
        <v>0.21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M69" s="18" t="n">
        <v>0.83</v>
      </c>
      <c r="N69" s="18" t="n">
        <v>0.29</v>
      </c>
      <c r="O69" s="18" t="n">
        <v>0.16</v>
      </c>
      <c r="P69" s="9" t="n"/>
      <c r="R69" s="18" t="n">
        <v>1.91</v>
      </c>
      <c r="S69" s="18" t="n">
        <v>1.55</v>
      </c>
      <c r="T69" s="18" t="n">
        <v>0</v>
      </c>
      <c r="U69" s="9" t="n"/>
      <c r="V69" s="18" t="n">
        <v>0.09</v>
      </c>
      <c r="W69" s="18" t="n">
        <v>1.27</v>
      </c>
      <c r="X69" s="18" t="n">
        <v>0.2</v>
      </c>
      <c r="Y69" s="18" t="n">
        <v>0</v>
      </c>
      <c r="Z69" s="37" t="n">
        <v>1.56</v>
      </c>
      <c r="AB69" s="19" t="n">
        <v>1.32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M70" s="18" t="n">
        <v>0.54</v>
      </c>
      <c r="N70" s="18" t="n">
        <v>-0.54</v>
      </c>
      <c r="P70" s="9" t="n"/>
      <c r="Q70" s="18" t="n">
        <v>0.93</v>
      </c>
      <c r="R70" s="18" t="n">
        <v>-0.93</v>
      </c>
      <c r="S70" s="18" t="n">
        <v>1.24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K71" s="9" t="n"/>
      <c r="P71" s="9" t="n"/>
      <c r="Q71" s="18" t="n">
        <v>0.67</v>
      </c>
      <c r="R71" s="18" t="n">
        <v>-0.67</v>
      </c>
      <c r="U71" s="9" t="n"/>
      <c r="V71" s="18" t="n">
        <v>0.05</v>
      </c>
      <c r="W71" s="18" t="n">
        <v>-0.05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파생상품손실</t>
        </is>
      </c>
      <c r="F72" s="9" t="n"/>
      <c r="K72" s="9" t="n"/>
      <c r="P72" s="9" t="n"/>
      <c r="U72" s="9" t="n"/>
      <c r="V72" s="18" t="n">
        <v>0.9</v>
      </c>
      <c r="W72" s="18" t="n">
        <v>0</v>
      </c>
      <c r="X72" s="18" t="n">
        <v>0</v>
      </c>
      <c r="Y72" s="18" t="n">
        <v>0</v>
      </c>
      <c r="Z72" s="37" t="n">
        <v>0.9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-2062.42</v>
      </c>
      <c r="F73" s="9" t="n"/>
      <c r="G73" s="18" t="n">
        <v>-2890.82</v>
      </c>
      <c r="H73" s="18" t="n">
        <v>-346.11</v>
      </c>
      <c r="I73" s="18" t="n">
        <v>4045.72</v>
      </c>
      <c r="J73" s="18" t="n">
        <v>802.99</v>
      </c>
      <c r="K73" s="37" t="n">
        <v>1611.78</v>
      </c>
      <c r="L73" s="18" t="n">
        <v>-1134.31</v>
      </c>
      <c r="M73" s="18" t="n">
        <v>1851.1</v>
      </c>
      <c r="N73" s="18" t="n">
        <v>558.24</v>
      </c>
      <c r="O73" s="18" t="n">
        <v>2354.57</v>
      </c>
      <c r="P73" s="37" t="n">
        <v>3629.6</v>
      </c>
      <c r="Q73" s="18" t="n">
        <v>964.97</v>
      </c>
      <c r="R73" s="18" t="n">
        <v>1181.27</v>
      </c>
      <c r="S73" s="18" t="n">
        <v>2067.25</v>
      </c>
      <c r="T73" s="18" t="n">
        <v>1263.52</v>
      </c>
      <c r="U73" s="37" t="n">
        <v>5477.01</v>
      </c>
      <c r="V73" s="18" t="n">
        <v>-420.3</v>
      </c>
      <c r="W73" s="18" t="n">
        <v>918.64</v>
      </c>
      <c r="X73" s="18" t="n">
        <v>-78.62</v>
      </c>
      <c r="Y73" s="18" t="n">
        <v>1605.29</v>
      </c>
      <c r="Z73" s="37" t="n">
        <v>2025.01</v>
      </c>
      <c r="AA73" s="18" t="n">
        <v>-3963.94</v>
      </c>
      <c r="AB73" s="19" t="n">
        <v>-684.5700000000001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0</v>
      </c>
      <c r="F75" s="9" t="n"/>
      <c r="G75" s="18" t="n">
        <v>-5.11</v>
      </c>
      <c r="H75" s="18" t="n">
        <v>7.06</v>
      </c>
      <c r="I75" s="18" t="n">
        <v>-0.01</v>
      </c>
      <c r="J75" s="18" t="n">
        <v>0</v>
      </c>
      <c r="K75" s="37" t="n">
        <v>1.94</v>
      </c>
      <c r="L75" s="18" t="n">
        <v>-9.800000000000001</v>
      </c>
      <c r="M75" s="18" t="n">
        <v>-2.79</v>
      </c>
      <c r="N75" s="18" t="n">
        <v>-0.05</v>
      </c>
      <c r="O75" s="18" t="n">
        <v>-0.02</v>
      </c>
      <c r="P75" s="37" t="n">
        <v>-12.66</v>
      </c>
      <c r="Q75" s="18" t="n">
        <v>-0.15</v>
      </c>
      <c r="R75" s="18" t="n">
        <v>-0.7</v>
      </c>
      <c r="S75" s="18" t="n">
        <v>-0.6899999999999999</v>
      </c>
      <c r="T75" s="18" t="n">
        <v>-6.66</v>
      </c>
      <c r="U75" s="37" t="n">
        <v>-8.199999999999999</v>
      </c>
      <c r="V75" s="18" t="n">
        <v>-7.9</v>
      </c>
      <c r="W75" s="18" t="n">
        <v>-4.03</v>
      </c>
      <c r="X75" s="18" t="n">
        <v>-5.51</v>
      </c>
      <c r="Y75" s="18" t="n">
        <v>34.9</v>
      </c>
      <c r="Z75" s="37" t="n">
        <v>17.46</v>
      </c>
      <c r="AA75" s="18" t="n">
        <v>-0.03</v>
      </c>
      <c r="AB75" s="19" t="n">
        <v>-0.01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-275.48</v>
      </c>
      <c r="F76" s="9" t="n"/>
      <c r="G76" s="18" t="n">
        <v>2744.14</v>
      </c>
      <c r="H76" s="18" t="n">
        <v>372.68</v>
      </c>
      <c r="I76" s="18" t="n">
        <v>-9.460000000000001</v>
      </c>
      <c r="J76" s="18" t="n">
        <v>-128.19</v>
      </c>
      <c r="K76" s="37" t="n">
        <v>2979.17</v>
      </c>
      <c r="L76" s="18" t="n">
        <v>2827.09</v>
      </c>
      <c r="M76" s="18" t="n">
        <v>644.9299999999999</v>
      </c>
      <c r="N76" s="18" t="n">
        <v>413.77</v>
      </c>
      <c r="O76" s="18" t="n">
        <v>-284.86</v>
      </c>
      <c r="P76" s="37" t="n">
        <v>3600.93</v>
      </c>
      <c r="Q76" s="18" t="n">
        <v>-688.92</v>
      </c>
      <c r="R76" s="18" t="n">
        <v>-1785.88</v>
      </c>
      <c r="S76" s="18" t="n">
        <v>416.31</v>
      </c>
      <c r="T76" s="18" t="n">
        <v>746.59</v>
      </c>
      <c r="U76" s="37" t="n">
        <v>-1311.9</v>
      </c>
      <c r="V76" s="18" t="n">
        <v>-170.79</v>
      </c>
      <c r="W76" s="18" t="n">
        <v>457.47</v>
      </c>
      <c r="X76" s="18" t="n">
        <v>-714.38</v>
      </c>
      <c r="Y76" s="18" t="n">
        <v>-101.46</v>
      </c>
      <c r="Z76" s="37" t="n">
        <v>-529.16</v>
      </c>
      <c r="AA76" s="18" t="n">
        <v>-105.19</v>
      </c>
      <c r="AB76" s="19" t="n">
        <v>-1385.61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9" t="n"/>
      <c r="G77" s="18" t="n">
        <v>2773.66</v>
      </c>
      <c r="H77" s="18" t="n">
        <v>66.13</v>
      </c>
      <c r="I77" s="18" t="n">
        <v>-0.13</v>
      </c>
      <c r="K77" s="9" t="n"/>
      <c r="L77" s="18" t="n">
        <v>0</v>
      </c>
      <c r="M77" s="18" t="n">
        <v>0</v>
      </c>
      <c r="N77" s="18" t="n">
        <v>480</v>
      </c>
      <c r="O77" s="18" t="n">
        <v>0</v>
      </c>
      <c r="P77" s="37" t="n">
        <v>480</v>
      </c>
      <c r="Q77" s="18" t="n">
        <v>11</v>
      </c>
      <c r="R77" s="18" t="n">
        <v>0</v>
      </c>
      <c r="S77" s="18" t="n">
        <v>0</v>
      </c>
      <c r="T77" s="18" t="n">
        <v>38.77</v>
      </c>
      <c r="U77" s="37" t="n">
        <v>49.77</v>
      </c>
      <c r="V77" s="18" t="n">
        <v>26</v>
      </c>
      <c r="W77" s="18" t="n">
        <v>29.8</v>
      </c>
      <c r="X77" s="18" t="n">
        <v>0</v>
      </c>
      <c r="Y77" s="18" t="n">
        <v>7.29</v>
      </c>
      <c r="Z77" s="37" t="n">
        <v>63.09</v>
      </c>
      <c r="AA77" s="18" t="n">
        <v>5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264.1</v>
      </c>
      <c r="F78" s="9" t="n"/>
      <c r="G78" s="18" t="n">
        <v>12.12</v>
      </c>
      <c r="H78" s="18" t="n">
        <v>21.01</v>
      </c>
      <c r="I78" s="18" t="n">
        <v>6.92</v>
      </c>
      <c r="J78" s="18" t="n">
        <v>120.42</v>
      </c>
      <c r="K78" s="37" t="n">
        <v>160.47</v>
      </c>
      <c r="L78" s="18" t="n">
        <v>170.5</v>
      </c>
      <c r="M78" s="18" t="n">
        <v>186.71</v>
      </c>
      <c r="N78" s="18" t="n">
        <v>46.88</v>
      </c>
      <c r="O78" s="18" t="n">
        <v>265.46</v>
      </c>
      <c r="P78" s="37" t="n">
        <v>669.55</v>
      </c>
      <c r="Q78" s="18" t="n">
        <v>180.3</v>
      </c>
      <c r="R78" s="18" t="n">
        <v>266</v>
      </c>
      <c r="S78" s="18" t="n">
        <v>63.86</v>
      </c>
      <c r="T78" s="18" t="n">
        <v>268.22</v>
      </c>
      <c r="U78" s="37" t="n">
        <v>778.38</v>
      </c>
      <c r="V78" s="18" t="n">
        <v>176.78</v>
      </c>
      <c r="W78" s="18" t="n">
        <v>36.9</v>
      </c>
      <c r="X78" s="18" t="n">
        <v>646.0700000000001</v>
      </c>
      <c r="Y78" s="18" t="n">
        <v>156.95</v>
      </c>
      <c r="Z78" s="37" t="n">
        <v>1016.7</v>
      </c>
      <c r="AA78" s="18" t="n">
        <v>90.31</v>
      </c>
      <c r="AB78" s="19" t="n">
        <v>1365.75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264.1</v>
      </c>
      <c r="F79" s="9" t="n"/>
      <c r="G79" s="18" t="n">
        <v>12.12</v>
      </c>
      <c r="H79" s="18" t="n">
        <v>21.01</v>
      </c>
      <c r="I79" s="18" t="n">
        <v>6.92</v>
      </c>
      <c r="J79" s="18" t="n">
        <v>120.42</v>
      </c>
      <c r="K79" s="37" t="n">
        <v>160.47</v>
      </c>
      <c r="L79" s="18" t="n">
        <v>170.5</v>
      </c>
      <c r="M79" s="18" t="n">
        <v>186.71</v>
      </c>
      <c r="N79" s="18" t="n">
        <v>46.88</v>
      </c>
      <c r="O79" s="18" t="n">
        <v>265.46</v>
      </c>
      <c r="P79" s="37" t="n">
        <v>669.55</v>
      </c>
      <c r="Q79" s="18" t="n">
        <v>180.3</v>
      </c>
      <c r="R79" s="18" t="n">
        <v>266</v>
      </c>
      <c r="S79" s="18" t="n">
        <v>63.86</v>
      </c>
      <c r="T79" s="18" t="n">
        <v>268.22</v>
      </c>
      <c r="U79" s="37" t="n">
        <v>778.38</v>
      </c>
      <c r="V79" s="18" t="n">
        <v>176.78</v>
      </c>
      <c r="W79" s="18" t="n">
        <v>36.9</v>
      </c>
      <c r="X79" s="18" t="n">
        <v>646.0700000000001</v>
      </c>
      <c r="Y79" s="18" t="n">
        <v>156.95</v>
      </c>
      <c r="Z79" s="37" t="n">
        <v>1016.7</v>
      </c>
      <c r="AA79" s="18" t="n">
        <v>90.31</v>
      </c>
      <c r="AB79" s="19" t="n">
        <v>1365.75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2187.95</v>
      </c>
      <c r="F80" s="9" t="n"/>
      <c r="G80" s="18" t="n">
        <v>819.03</v>
      </c>
      <c r="H80" s="18" t="n">
        <v>-609.52</v>
      </c>
      <c r="I80" s="18" t="n">
        <v>-3813.32</v>
      </c>
      <c r="J80" s="18" t="n">
        <v>-771.78</v>
      </c>
      <c r="K80" s="37" t="n">
        <v>-4375.59</v>
      </c>
      <c r="L80" s="18" t="n">
        <v>-1533.21</v>
      </c>
      <c r="M80" s="18" t="n">
        <v>-2551.43</v>
      </c>
      <c r="N80" s="18" t="n">
        <v>-1276.75</v>
      </c>
      <c r="O80" s="18" t="n">
        <v>-769.13</v>
      </c>
      <c r="P80" s="37" t="n">
        <v>-6130.52</v>
      </c>
      <c r="Q80" s="18" t="n">
        <v>-22.39</v>
      </c>
      <c r="R80" s="18" t="n">
        <v>-923.41</v>
      </c>
      <c r="S80" s="18" t="n">
        <v>-1523.71</v>
      </c>
      <c r="T80" s="18" t="n">
        <v>-2024.26</v>
      </c>
      <c r="U80" s="37" t="n">
        <v>-4493.77</v>
      </c>
      <c r="V80" s="18" t="n">
        <v>-299.83</v>
      </c>
      <c r="W80" s="18" t="n">
        <v>-1520.41</v>
      </c>
      <c r="X80" s="18" t="n">
        <v>882.54</v>
      </c>
      <c r="Y80" s="18" t="n">
        <v>-1184.83</v>
      </c>
      <c r="Z80" s="37" t="n">
        <v>-2122.53</v>
      </c>
      <c r="AA80" s="18" t="n">
        <v>3663.38</v>
      </c>
      <c r="AB80" s="19" t="n">
        <v>2319.93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2187.95</v>
      </c>
      <c r="F81" s="9" t="n"/>
      <c r="G81" s="18" t="n">
        <v>3580.97</v>
      </c>
      <c r="I81" s="18" t="n">
        <v>333.32</v>
      </c>
      <c r="J81" s="18" t="n">
        <v>771.78</v>
      </c>
      <c r="K81" s="9" t="n"/>
      <c r="L81" s="18" t="n">
        <v>1533.21</v>
      </c>
      <c r="N81" s="18" t="n">
        <v>4802.08</v>
      </c>
      <c r="P81" s="9" t="n"/>
      <c r="U81" s="9" t="n"/>
      <c r="V81" s="18" t="n">
        <v>725</v>
      </c>
      <c r="W81" s="18" t="n">
        <v>45</v>
      </c>
      <c r="X81" s="18" t="n">
        <v>3687.24</v>
      </c>
      <c r="Y81" s="18" t="n">
        <v>6227.33</v>
      </c>
      <c r="Z81" s="37" t="n">
        <v>10684.57</v>
      </c>
      <c r="AA81" s="18" t="n">
        <v>9661.549999999999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G82" s="18" t="n">
        <v>4400</v>
      </c>
      <c r="H82" s="18" t="n">
        <v>0</v>
      </c>
      <c r="I82" s="18" t="n">
        <v>0</v>
      </c>
      <c r="K82" s="9" t="n"/>
      <c r="L82" s="18" t="n">
        <v>0</v>
      </c>
      <c r="M82" s="18" t="n">
        <v>0</v>
      </c>
      <c r="N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0</v>
      </c>
      <c r="F83" s="9" t="n"/>
      <c r="G83" s="18" t="n">
        <v>0</v>
      </c>
      <c r="H83" s="18" t="n">
        <v>0</v>
      </c>
      <c r="K83" s="9" t="n"/>
      <c r="L83" s="18" t="n">
        <v>0</v>
      </c>
      <c r="M83" s="18" t="n">
        <v>500</v>
      </c>
      <c r="N83" s="18" t="n">
        <v>0</v>
      </c>
      <c r="O83" s="18" t="n">
        <v>300</v>
      </c>
      <c r="P83" s="37" t="n">
        <v>800</v>
      </c>
      <c r="S83" s="18" t="n">
        <v>1500</v>
      </c>
      <c r="T83" s="18" t="n">
        <v>1500</v>
      </c>
      <c r="U83" s="9" t="n"/>
      <c r="V83" s="18" t="n">
        <v>1000</v>
      </c>
      <c r="W83" s="18" t="n">
        <v>0</v>
      </c>
      <c r="X83" s="18" t="n">
        <v>0</v>
      </c>
      <c r="Y83" s="18" t="n">
        <v>0</v>
      </c>
      <c r="Z83" s="37" t="n">
        <v>1000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0</v>
      </c>
      <c r="F84" s="9" t="n"/>
      <c r="I84" s="18" t="n">
        <v>3480</v>
      </c>
      <c r="K84" s="9" t="n"/>
      <c r="O84" s="18" t="n">
        <v>5249.09</v>
      </c>
      <c r="P84" s="9" t="n"/>
      <c r="Q84" s="18" t="n">
        <v>0</v>
      </c>
      <c r="R84" s="18" t="n">
        <v>500</v>
      </c>
      <c r="S84" s="18" t="n">
        <v>0</v>
      </c>
      <c r="T84" s="18" t="n">
        <v>500</v>
      </c>
      <c r="U84" s="37" t="n">
        <v>1000</v>
      </c>
      <c r="Y84" s="18" t="n">
        <v>7365.21</v>
      </c>
      <c r="Z84" s="9" t="n"/>
      <c r="AA84" s="18" t="n">
        <v>5969.27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-149.96</v>
      </c>
      <c r="F86" s="9" t="n"/>
      <c r="G86" s="18" t="n">
        <v>672.35</v>
      </c>
      <c r="H86" s="18" t="n">
        <v>-582.96</v>
      </c>
      <c r="I86" s="18" t="n">
        <v>222.95</v>
      </c>
      <c r="J86" s="18" t="n">
        <v>-96.98</v>
      </c>
      <c r="K86" s="37" t="n">
        <v>215.36</v>
      </c>
      <c r="L86" s="18" t="n">
        <v>159.58</v>
      </c>
      <c r="M86" s="18" t="n">
        <v>-55.41</v>
      </c>
      <c r="N86" s="18" t="n">
        <v>-304.74</v>
      </c>
      <c r="O86" s="18" t="n">
        <v>1300.58</v>
      </c>
      <c r="P86" s="37" t="n">
        <v>1100.01</v>
      </c>
      <c r="Q86" s="18" t="n">
        <v>253.66</v>
      </c>
      <c r="R86" s="18" t="n">
        <v>-1528.03</v>
      </c>
      <c r="S86" s="18" t="n">
        <v>959.86</v>
      </c>
      <c r="T86" s="18" t="n">
        <v>-14.16</v>
      </c>
      <c r="U86" s="37" t="n">
        <v>-328.67</v>
      </c>
      <c r="V86" s="18" t="n">
        <v>-890.91</v>
      </c>
      <c r="W86" s="18" t="n">
        <v>-144.32</v>
      </c>
      <c r="X86" s="18" t="n">
        <v>89.55</v>
      </c>
      <c r="Y86" s="18" t="n">
        <v>319</v>
      </c>
      <c r="Z86" s="37" t="n">
        <v>-626.6799999999999</v>
      </c>
      <c r="AA86" s="18" t="n">
        <v>-405.75</v>
      </c>
      <c r="AB86" s="19" t="n">
        <v>249.74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-149.96</v>
      </c>
      <c r="F87" s="9" t="n"/>
      <c r="G87" s="18" t="n">
        <v>737.38</v>
      </c>
      <c r="H87" s="18" t="n">
        <v>-582.96</v>
      </c>
      <c r="I87" s="18" t="n">
        <v>222.95</v>
      </c>
      <c r="J87" s="18" t="n">
        <v>-96.98</v>
      </c>
      <c r="K87" s="37" t="n">
        <v>280.39</v>
      </c>
      <c r="L87" s="18" t="n">
        <v>439.97</v>
      </c>
      <c r="M87" s="18" t="n">
        <v>-55.74</v>
      </c>
      <c r="N87" s="18" t="n">
        <v>-304.41</v>
      </c>
      <c r="O87" s="18" t="n">
        <v>1293.09</v>
      </c>
      <c r="P87" s="37" t="n">
        <v>1372.91</v>
      </c>
      <c r="Q87" s="18" t="n">
        <v>1625.64</v>
      </c>
      <c r="R87" s="18" t="n">
        <v>-1527.1</v>
      </c>
      <c r="S87" s="18" t="n">
        <v>958.62</v>
      </c>
      <c r="T87" s="18" t="n">
        <v>-10.37</v>
      </c>
      <c r="U87" s="37" t="n">
        <v>1046.79</v>
      </c>
      <c r="V87" s="18" t="n">
        <v>155.94</v>
      </c>
      <c r="W87" s="18" t="n">
        <v>-144.37</v>
      </c>
      <c r="X87" s="18" t="n">
        <v>89.54000000000001</v>
      </c>
      <c r="Y87" s="18" t="n">
        <v>319.01</v>
      </c>
      <c r="Z87" s="37" t="n">
        <v>420.12</v>
      </c>
      <c r="AA87" s="18" t="n">
        <v>14.36</v>
      </c>
      <c r="AB87" s="19" t="n">
        <v>249.75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N89" s="18" t="n">
        <v>21.68</v>
      </c>
      <c r="O89" s="18" t="n">
        <v>22.12</v>
      </c>
      <c r="P89" s="9" t="n"/>
      <c r="Q89" s="18" t="n">
        <v>22.39</v>
      </c>
      <c r="R89" s="18" t="n">
        <v>23.41</v>
      </c>
      <c r="S89" s="18" t="n">
        <v>23.71</v>
      </c>
      <c r="T89" s="18" t="n">
        <v>24.26</v>
      </c>
      <c r="U89" s="37" t="n">
        <v>93.77</v>
      </c>
      <c r="V89" s="18" t="n">
        <v>24.83</v>
      </c>
      <c r="W89" s="18" t="n">
        <v>25.41</v>
      </c>
      <c r="X89" s="18" t="n">
        <v>25.35</v>
      </c>
      <c r="Y89" s="18" t="n">
        <v>27.3</v>
      </c>
      <c r="Z89" s="37" t="n">
        <v>102.89</v>
      </c>
      <c r="AA89" s="18" t="n">
        <v>28.9</v>
      </c>
      <c r="AB89" s="19" t="n">
        <v>25.79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0.14</v>
      </c>
      <c r="P90" s="9" t="n"/>
      <c r="Q90" s="18" t="n">
        <v>0.98</v>
      </c>
      <c r="T90" s="18" t="n">
        <v>22.09</v>
      </c>
      <c r="U90" s="9" t="n"/>
      <c r="V90" s="18" t="n">
        <v>-4.5</v>
      </c>
      <c r="W90" s="18" t="n">
        <v>25.52</v>
      </c>
      <c r="X90" s="18" t="n">
        <v>0.53</v>
      </c>
      <c r="Y90" s="18" t="n">
        <v>0.09</v>
      </c>
      <c r="Z90" s="37" t="n">
        <v>21.64</v>
      </c>
      <c r="AA90" s="18" t="n">
        <v>0.21</v>
      </c>
      <c r="AB90" s="19" t="n">
        <v>0.05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 t="n"/>
      <c r="H15" s="18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7">
        <f>SUM(L17:O17)</f>
        <v/>
      </c>
      <c r="Q17" s="18" t="n"/>
      <c r="R17" s="18" t="n"/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 t="n"/>
      <c r="W17" s="18" t="n"/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501.95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221.33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280.62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280.62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168.25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137.6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41.65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0.65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11.145</v>
      </c>
      <c r="F30" s="28">
        <f>E30</f>
        <v/>
      </c>
      <c r="G30" s="27" t="n">
        <v>11.145</v>
      </c>
      <c r="H30" s="27" t="n">
        <v>11.145</v>
      </c>
      <c r="I30" s="27" t="n">
        <v>11.145</v>
      </c>
      <c r="J30" s="27" t="n">
        <v>11.145</v>
      </c>
      <c r="K30" s="28">
        <f>J30</f>
        <v/>
      </c>
      <c r="L30" s="27" t="n">
        <v>11.145</v>
      </c>
      <c r="M30" s="27" t="n">
        <v>11.145</v>
      </c>
      <c r="N30" s="27" t="n">
        <v>11.145</v>
      </c>
      <c r="O30" s="27" t="n">
        <v>11.145</v>
      </c>
      <c r="P30" s="28">
        <f>O30</f>
        <v/>
      </c>
      <c r="Q30" s="27" t="n">
        <v>11.145</v>
      </c>
      <c r="R30" s="27" t="n">
        <v>11.145</v>
      </c>
      <c r="S30" s="27" t="n">
        <v>11.145</v>
      </c>
      <c r="T30" s="27" t="n">
        <v>11.145</v>
      </c>
      <c r="U30" s="28">
        <f>T30</f>
        <v/>
      </c>
      <c r="V30" s="27" t="n">
        <v>11.145</v>
      </c>
      <c r="W30" s="27" t="n">
        <v>11.145</v>
      </c>
      <c r="X30" s="27" t="n">
        <v>11.145</v>
      </c>
      <c r="Y30" s="27" t="n">
        <v>11.145</v>
      </c>
      <c r="Z30" s="28">
        <f>Y30</f>
        <v/>
      </c>
      <c r="AA30" s="27" t="n">
        <v>11.145</v>
      </c>
      <c r="AB30" s="29" t="n">
        <v>11.145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 t="n"/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>
        <f>IFERROR(변수!V18/(R31+S31+T31+V31),"")</f>
        <v/>
      </c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>
        <f>IFERROR(변수!$D$42/(AC31+AD31+AF31+AG31),"")</f>
        <v/>
      </c>
      <c r="AH34" s="39">
        <f>IFERROR(변수!$D$42/(AD31+AF31+AG31+AH31),"")</f>
        <v/>
      </c>
      <c r="AI34" s="39">
        <f>IFERROR(변수!$D$42/(AF31+AG31+AH31+AI31),"")</f>
        <v/>
      </c>
      <c r="AJ34" s="40">
        <f>AI34</f>
        <v/>
      </c>
      <c r="AK34" s="39">
        <f>IFERROR(변수!$D$42/(AG31+AH31+AI31+AK31),"")</f>
        <v/>
      </c>
      <c r="AL34" s="39">
        <f>IFERROR(변수!$D$42/(AH31+AI31+AK31+AL31),"")</f>
        <v/>
      </c>
      <c r="AM34" s="39">
        <f>IFERROR(변수!$D$42/(AI31+AK31+AL31+AM31),"")</f>
        <v/>
      </c>
      <c r="AN34" s="39">
        <f>IFERROR(변수!$D$42/(AK31+AL31+AM31+AN31),"")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135.39</v>
      </c>
      <c r="F36" s="37" t="n"/>
      <c r="G36" s="18" t="n">
        <v>132.95</v>
      </c>
      <c r="H36" s="18" t="n">
        <v>136.75</v>
      </c>
      <c r="I36" s="18" t="n">
        <v>118.01</v>
      </c>
      <c r="J36" s="18" t="n">
        <v>156</v>
      </c>
      <c r="K36" s="37">
        <f>SUM(G36:J36)</f>
        <v/>
      </c>
      <c r="L36" s="18" t="n">
        <v>124.48</v>
      </c>
      <c r="M36" s="18" t="n">
        <v>114.73</v>
      </c>
      <c r="N36" s="18" t="n">
        <v>136.82</v>
      </c>
      <c r="O36" s="18" t="n">
        <v>162.08</v>
      </c>
      <c r="P36" s="37">
        <f>SUM(L36:O36)</f>
        <v/>
      </c>
      <c r="Q36" s="18" t="n">
        <v>116.71</v>
      </c>
      <c r="R36" s="18" t="n">
        <v>118.63</v>
      </c>
      <c r="S36" s="18" t="n">
        <v>99.5</v>
      </c>
      <c r="T36" s="18" t="n">
        <v>138</v>
      </c>
      <c r="U36" s="37">
        <f>SUM(Q36:T36)</f>
        <v/>
      </c>
      <c r="V36" s="18" t="n">
        <v>94.23999999999999</v>
      </c>
      <c r="W36" s="18" t="n">
        <v>116.73</v>
      </c>
      <c r="X36" s="18" t="n">
        <v>97.77</v>
      </c>
      <c r="Y36" s="18" t="n">
        <v>89.98999999999999</v>
      </c>
      <c r="Z36" s="37">
        <f>SUM(V36:Y36)</f>
        <v/>
      </c>
      <c r="AA36" s="18" t="n">
        <v>88.26000000000001</v>
      </c>
      <c r="AB36" s="19" t="n">
        <v>110.76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-4.19</v>
      </c>
      <c r="F37" s="37" t="n"/>
      <c r="G37" s="18" t="n">
        <v>-6.84</v>
      </c>
      <c r="H37" s="18" t="n">
        <v>0.66</v>
      </c>
      <c r="I37" s="18" t="n">
        <v>-1.2</v>
      </c>
      <c r="J37" s="18" t="n">
        <v>2.2</v>
      </c>
      <c r="K37" s="37">
        <f>SUM(G37:J37)</f>
        <v/>
      </c>
      <c r="L37" s="18" t="n">
        <v>2.58</v>
      </c>
      <c r="M37" s="18" t="n">
        <v>5.7</v>
      </c>
      <c r="N37" s="18" t="n">
        <v>9.199999999999999</v>
      </c>
      <c r="O37" s="18" t="n">
        <v>6.7</v>
      </c>
      <c r="P37" s="37">
        <f>SUM(L37:O37)</f>
        <v/>
      </c>
      <c r="Q37" s="18" t="n">
        <v>0.62</v>
      </c>
      <c r="R37" s="18" t="n">
        <v>3.2</v>
      </c>
      <c r="S37" s="18" t="n">
        <v>-3.15</v>
      </c>
      <c r="T37" s="18" t="n">
        <v>10.08</v>
      </c>
      <c r="U37" s="37">
        <f>SUM(Q37:T37)</f>
        <v/>
      </c>
      <c r="V37" s="18" t="n">
        <v>0.74</v>
      </c>
      <c r="W37" s="18" t="n">
        <v>3.54</v>
      </c>
      <c r="X37" s="18" t="n">
        <v>-3.27</v>
      </c>
      <c r="Y37" s="18" t="n">
        <v>-2.78</v>
      </c>
      <c r="Z37" s="37">
        <f>SUM(V37:Y37)</f>
        <v/>
      </c>
      <c r="AA37" s="18" t="n">
        <v>0.59</v>
      </c>
      <c r="AB37" s="19" t="n">
        <v>1.53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1302.63</v>
      </c>
    </row>
    <row r="32">
      <c r="C32" s="2" t="inlineStr">
        <is>
          <t>pbr_now</t>
        </is>
      </c>
      <c r="D32" t="n">
        <v>0.82</v>
      </c>
    </row>
    <row r="33">
      <c r="C33" s="2" t="inlineStr">
        <is>
          <t>roe_fwd</t>
        </is>
      </c>
      <c r="D33" t="n">
        <v>0.0005999999999999999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