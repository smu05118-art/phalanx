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모델값 역산(implied): v / 매출액
매출액 × 판관비율 4.86%(최근 4분기 중위)</t>
      </text>
    </comment>
    <comment ref="AD22" authorId="0" shapeId="0">
      <text>
        <t>모델값 역산(implied): v / 매출액
매출액 × 판관비율 4.86%(최근 4분기 중위)</t>
      </text>
    </comment>
    <comment ref="AF22" authorId="0" shapeId="0">
      <text>
        <t>모델값 역산(implied): v / 매출액
매출액 × 판관비율 4.86%(최근 4분기 중위)</t>
      </text>
    </comment>
    <comment ref="AG22" authorId="0" shapeId="0">
      <text>
        <t>모델값 역산(implied): v / 매출액
매출액 × 판관비율 4.86%(최근 4분기 중위)</t>
      </text>
    </comment>
    <comment ref="AH22" authorId="0" shapeId="0">
      <text>
        <t>모델값 역산(implied): v / 매출액
매출액 × 판관비율 4.86%(최근 4분기 중위)</t>
      </text>
    </comment>
    <comment ref="AI22" authorId="0" shapeId="0">
      <text>
        <t>모델값 역산(implied): v / 매출액
매출액 × 판관비율 4.86%(최근 4분기 중위)</t>
      </text>
    </comment>
    <comment ref="AK22" authorId="0" shapeId="0">
      <text>
        <t>모델값 역산(implied): v / 매출액
매출액 × 판관비율 4.86%(최근 4분기 중위)</t>
      </text>
    </comment>
    <comment ref="AL22" authorId="0" shapeId="0">
      <text>
        <t>모델값 역산(implied): v / 매출액
매출액 × 판관비율 4.86%(최근 4분기 중위)</t>
      </text>
    </comment>
    <comment ref="AM22" authorId="0" shapeId="0">
      <text>
        <t>모델값 역산(implied): v / 매출액
매출액 × 판관비율 4.86%(최근 4분기 중위)</t>
      </text>
    </comment>
    <comment ref="AN22" authorId="0" shapeId="0">
      <text>
        <t>모델값 역산(implied): v / 매출액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v / 전년동기 − 1
최근 8분기 OPM 중위 0.7% 유지(클립 −20~40%)</t>
      </text>
    </comment>
    <comment ref="AD24" authorId="0" shapeId="0">
      <text>
        <t>모델값 역산(implied): v / 전년동기 − 1
최근 8분기 OPM 중위 0.7% 유지(클립 −20~40%)</t>
      </text>
    </comment>
    <comment ref="AF24" authorId="0" shapeId="0">
      <text>
        <t>모델값 역산(implied): v / 전년동기 − 1
최근 8분기 OPM 중위 0.7% 유지(클립 −20~40%)</t>
      </text>
    </comment>
    <comment ref="AG24" authorId="0" shapeId="0">
      <text>
        <t>모델값 역산(implied): v / 전년동기 − 1
최근 8분기 OPM 중위 0.7% 유지(클립 −20~40%)</t>
      </text>
    </comment>
    <comment ref="AH24" authorId="0" shapeId="0">
      <text>
        <t>모델값 역산(implied): v / 전년동기 − 1
최근 8분기 OPM 중위 0.7% 유지(클립 −20~40%)</t>
      </text>
    </comment>
    <comment ref="AI24" authorId="0" shapeId="0">
      <text>
        <t>모델값 역산(implied): v / 전년동기 − 1
최근 8분기 OPM 중위 0.7% 유지(클립 −20~40%)</t>
      </text>
    </comment>
    <comment ref="AK24" authorId="0" shapeId="0">
      <text>
        <t>모델값 역산(implied): v / 전년동기 − 1
최근 8분기 OPM 중위 0.7% 유지(클립 −20~40%)</t>
      </text>
    </comment>
    <comment ref="AL24" authorId="0" shapeId="0">
      <text>
        <t>모델값 역산(implied): v / 전년동기 − 1
최근 8분기 OPM 중위 0.7% 유지(클립 −20~40%)</t>
      </text>
    </comment>
    <comment ref="AM24" authorId="0" shapeId="0">
      <text>
        <t>모델값 역산(implied): v / 전년동기 − 1
최근 8분기 OPM 중위 0.7% 유지(클립 −20~40%)</t>
      </text>
    </comment>
    <comment ref="AN24" authorId="0" shapeId="0">
      <text>
        <t>모델값 역산(implied): v / 전년동기 − 1
최근 8분기 OPM 중위 0.7%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4억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4억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2억 × 2.43%(주석 이자수익 ÷ 평균 이자발생자산(2023Q2~2026Q2)) − 총차입금 60억 × 4.99%(주석 이자비용 ÷ 평균 총차입금(2023Q2~2026Q2)) (연율) ÷ 4; 환율 효과는 환관련손익 행 별도</t>
      </text>
    </comment>
    <comment ref="AC26" authorId="0" shapeId="0">
      <text>
        <t>모델값 역산(implied): 모델 v 그대로
이자발생자산 4억 × 2.43%(주석 이자수익 ÷ 평균 이자발생자산(2023Q2~2026Q2)) − 총차입금 60억 × 4.99%(주석 이자비용 ÷ 평균 총차입금(2023Q2~2026Q2)) (연율) ÷ 4</t>
      </text>
    </comment>
    <comment ref="AD26" authorId="0" shapeId="0">
      <text>
        <t>모델값 역산(implied): 모델 v 그대로
이자발생자산 4억 × 2.43%(주석 이자수익 ÷ 평균 이자발생자산(2023Q2~2026Q2)) − 총차입금 60억 × 4.99%(주석 이자비용 ÷ 평균 총차입금(2023Q2~2026Q2)) (연율) ÷ 4</t>
      </text>
    </comment>
    <comment ref="AF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G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H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I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K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L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M26" authorId="0" shapeId="0">
      <text>
        <t>모델값 역산(implied): 모델 v 그대로
이자발생자산 3억 × 2.43%(주석 이자수익 ÷ 평균 이자발생자산(2023Q2~2026Q2)) − 총차입금 60억 × 4.99%(주석 이자비용 ÷ 평균 총차입금(2023Q2~2026Q2)) (연율) ÷ 4</t>
      </text>
    </comment>
    <comment ref="AN26" authorId="0" shapeId="0">
      <text>
        <t>모델값 역산(implied): 모델 v 그대로
이자발생자산 2억 × 2.43%(주석 이자수익 ÷ 평균 이자발생자산(2023Q2~2026Q2)) − 총차입금 60억 × 4.99%(주석 이자비용 ÷ 평균 총차입금(2023Q2~2026Q2)) (연율) ÷ 4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D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F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G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H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I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K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L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M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N30" authorId="0" shapeId="0">
      <text>
        <t>모델값 역산(implied): v / 세전이익
max(세전, 0) × 세율 22.0%(최근 12분기 유효세율 -2.4% 가 5~27% 밖; 세전 &gt; 0 분기 중위 1.0% 도 5~27% 밖 → 법정세율 근사 22% 가정)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= 매출액 추정(부문 미분리)</t>
      </text>
    </comment>
    <comment ref="AD45" authorId="0" shapeId="0">
      <text>
        <t>모델값 역산(implied): v / 매출액
= 매출액 추정(부문 미분리)</t>
      </text>
    </comment>
    <comment ref="AF45" authorId="0" shapeId="0">
      <text>
        <t>모델값 역산(implied): v / 매출액
= 매출액 추정(부문 미분리)</t>
      </text>
    </comment>
    <comment ref="AG45" authorId="0" shapeId="0">
      <text>
        <t>모델값 역산(implied): v / 매출액
= 매출액 추정(부문 미분리)</t>
      </text>
    </comment>
    <comment ref="AH45" authorId="0" shapeId="0">
      <text>
        <t>모델값 역산(implied): v / 매출액
= 매출액 추정(부문 미분리)</t>
      </text>
    </comment>
    <comment ref="AI45" authorId="0" shapeId="0">
      <text>
        <t>모델값 역산(implied): v / 매출액
= 매출액 추정(부문 미분리)</t>
      </text>
    </comment>
    <comment ref="AK45" authorId="0" shapeId="0">
      <text>
        <t>모델값 역산(implied): v / 매출액
= 매출액 추정(부문 미분리)</t>
      </text>
    </comment>
    <comment ref="AL45" authorId="0" shapeId="0">
      <text>
        <t>모델값 역산(implied): v / 매출액
= 매출액 추정(부문 미분리)</t>
      </text>
    </comment>
    <comment ref="AM45" authorId="0" shapeId="0">
      <text>
        <t>모델값 역산(implied): v / 매출액
= 매출액 추정(부문 미분리)</t>
      </text>
    </comment>
    <comment ref="AN45" authorId="0" shapeId="0">
      <text>
        <t>모델값 역산(implied): v / 매출액
= 매출액 추정(부문 미분리)</t>
      </text>
    </comment>
    <comment ref="AC46" authorId="0" shapeId="0">
      <text>
        <t>모델값 역산(implied): v / 매출전사
= 매출액 × OPM(부문 미분리)</t>
      </text>
    </comment>
    <comment ref="AD46" authorId="0" shapeId="0">
      <text>
        <t>모델값 역산(implied): v / 매출전사
= 매출액 × OPM(부문 미분리)</t>
      </text>
    </comment>
    <comment ref="AF46" authorId="0" shapeId="0">
      <text>
        <t>모델값 역산(implied): v / 매출전사
= 매출액 × OPM(부문 미분리)</t>
      </text>
    </comment>
    <comment ref="AG46" authorId="0" shapeId="0">
      <text>
        <t>모델값 역산(implied): v / 매출전사
= 매출액 × OPM(부문 미분리)</t>
      </text>
    </comment>
    <comment ref="AH46" authorId="0" shapeId="0">
      <text>
        <t>모델값 역산(implied): v / 매출전사
= 매출액 × OPM(부문 미분리)</t>
      </text>
    </comment>
    <comment ref="AI46" authorId="0" shapeId="0">
      <text>
        <t>모델값 역산(implied): v / 매출전사
= 매출액 × OPM(부문 미분리)</t>
      </text>
    </comment>
    <comment ref="AK46" authorId="0" shapeId="0">
      <text>
        <t>모델값 역산(implied): v / 매출전사
= 매출액 × OPM(부문 미분리)</t>
      </text>
    </comment>
    <comment ref="AL46" authorId="0" shapeId="0">
      <text>
        <t>모델값 역산(implied): v / 매출전사
= 매출액 × OPM(부문 미분리)</t>
      </text>
    </comment>
    <comment ref="AM46" authorId="0" shapeId="0">
      <text>
        <t>모델값 역산(implied): v / 매출전사
= 매출액 × OPM(부문 미분리)</t>
      </text>
    </comment>
    <comment ref="AN4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0.7% 유지(클립 −20~40%)
[yoy]</t>
      </text>
    </comment>
    <comment ref="AD10" authorId="0" shapeId="0">
      <text>
        <t>추정: 최근 8분기 OPM 중위 0.7% 유지(클립 −20~40%)
[yoy]</t>
      </text>
    </comment>
    <comment ref="AF10" authorId="0" shapeId="0">
      <text>
        <t>추정: 최근 8분기 OPM 중위 0.7% 유지(클립 −20~40%)
[yoy]</t>
      </text>
    </comment>
    <comment ref="AG10" authorId="0" shapeId="0">
      <text>
        <t>추정: 최근 8분기 OPM 중위 0.7% 유지(클립 −20~40%)
[yoy]</t>
      </text>
    </comment>
    <comment ref="AH10" authorId="0" shapeId="0">
      <text>
        <t>추정: 최근 8분기 OPM 중위 0.7% 유지(클립 −20~40%)
[yoy]</t>
      </text>
    </comment>
    <comment ref="AI10" authorId="0" shapeId="0">
      <text>
        <t>추정: 최근 8분기 OPM 중위 0.7% 유지(클립 −20~40%)
[yoy]</t>
      </text>
    </comment>
    <comment ref="AK10" authorId="0" shapeId="0">
      <text>
        <t>추정: 최근 8분기 OPM 중위 0.7% 유지(클립 −20~40%)
[yoy]</t>
      </text>
    </comment>
    <comment ref="AL10" authorId="0" shapeId="0">
      <text>
        <t>추정: 최근 8분기 OPM 중위 0.7% 유지(클립 −20~40%)
[yoy]</t>
      </text>
    </comment>
    <comment ref="AM10" authorId="0" shapeId="0">
      <text>
        <t>추정: 최근 8분기 OPM 중위 0.7% 유지(클립 −20~40%)
[yoy]</t>
      </text>
    </comment>
    <comment ref="AN10" authorId="0" shapeId="0">
      <text>
        <t>추정: 최근 8분기 OPM 중위 0.7%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2억 × 2.43%(주석 이자수익 ÷ 평균 이자발생자산(2023Q2~2026Q2)) − 총차입금 60억 × 4.99%(주석 이자비용 ÷ 평균 총차입금(2023Q2~2026Q2)) (연율) ÷ 4; 환율 효과는 환관련손익 행 별도
[abs]</t>
      </text>
    </comment>
    <comment ref="AC12" authorId="0" shapeId="0">
      <text>
        <t>추정: 이자발생자산 4억 × 2.43%(주석 이자수익 ÷ 평균 이자발생자산(2023Q2~2026Q2)) − 총차입금 60억 × 4.99%(주석 이자비용 ÷ 평균 총차입금(2023Q2~2026Q2)) (연율) ÷ 4
[abs]</t>
      </text>
    </comment>
    <comment ref="AD12" authorId="0" shapeId="0">
      <text>
        <t>추정: 이자발생자산 4억 × 2.43%(주석 이자수익 ÷ 평균 이자발생자산(2023Q2~2026Q2)) − 총차입금 60억 × 4.99%(주석 이자비용 ÷ 평균 총차입금(2023Q2~2026Q2)) (연율) ÷ 4
[abs]</t>
      </text>
    </comment>
    <comment ref="AF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G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H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I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K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L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M12" authorId="0" shapeId="0">
      <text>
        <t>추정: 이자발생자산 3억 × 2.43%(주석 이자수익 ÷ 평균 이자발생자산(2023Q2~2026Q2)) − 총차입금 60억 × 4.99%(주석 이자비용 ÷ 평균 총차입금(2023Q2~2026Q2)) (연율) ÷ 4
[abs]</t>
      </text>
    </comment>
    <comment ref="AN12" authorId="0" shapeId="0">
      <text>
        <t>추정: 이자발생자산 2억 × 2.43%(주석 이자수익 ÷ 평균 이자발생자산(2023Q2~2026Q2)) − 총차입금 60억 × 4.99%(주석 이자비용 ÷ 평균 총차입금(2023Q2~2026Q2)) (연율) ÷ 4
[abs]</t>
      </text>
    </comment>
    <comment ref="R13" authorId="0" shapeId="0">
      <text>
        <t>실측(계정 매핑 없음 — 모델값 직접) — fin.sep.is.외환차익 − fin.sep.is.외환차손 + fin.sep.is.외화환산이익 − fin.sep.is.외화환산손실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F27" authorId="0" shapeId="0">
      <text>
        <t>연간 실측(BS 시트에 2021.12A 없음 — 모델 a 값 직접)</t>
      </text>
    </comment>
    <comment ref="E29" authorId="0" shapeId="0">
      <text>
        <t>실측(계정 매핑 없음 — 모델값 직접) — fin.sep.cf.영업활동으로인한현금흐름</t>
      </text>
    </comment>
    <comment ref="G29" authorId="0" shapeId="0">
      <text>
        <t>실측(계정 매핑 없음 — 모델값 직접) — fin.sep.cf.영업활동으로인한현금흐름</t>
      </text>
    </comment>
    <comment ref="H29" authorId="0" shapeId="0">
      <text>
        <t>실측(계정 매핑 없음 — 모델값 직접) — fin.sep.cf.영업활동으로인한현금흐름</t>
      </text>
    </comment>
    <comment ref="I29" authorId="0" shapeId="0">
      <text>
        <t>실측(계정 매핑 없음 — 모델값 직접) — fin.sep.cf.영업활동으로인한현금흐름</t>
      </text>
    </comment>
    <comment ref="J29" authorId="0" shapeId="0">
      <text>
        <t>실측(계정 매핑 없음 — 모델값 직접) — fin.sep.cf.영업활동으로인한현금흐름</t>
      </text>
    </comment>
    <comment ref="L29" authorId="0" shapeId="0">
      <text>
        <t>실측(계정 매핑 없음 — 모델값 직접) — fin.sep.cf.영업활동으로인한현금흐름</t>
      </text>
    </comment>
    <comment ref="M29" authorId="0" shapeId="0">
      <text>
        <t>실측(계정 매핑 없음 — 모델값 직접) — fin.sep.cf.영업활동으로인한현금흐름</t>
      </text>
    </comment>
    <comment ref="N29" authorId="0" shapeId="0">
      <text>
        <t>실측(계정 매핑 없음 — 모델값 직접) — fin.sep.cf.영업활동으로인한현금흐름</t>
      </text>
    </comment>
    <comment ref="O29" authorId="0" shapeId="0">
      <text>
        <t>실측(계정 매핑 없음 — 모델값 직접) — fin.sep.cf.영업활동으로인한현금흐름</t>
      </text>
    </comment>
    <comment ref="Q29" authorId="0" shapeId="0">
      <text>
        <t>실측(계정 매핑 없음 — 모델값 직접) — fin.sep.cf.영업활동으로인한현금흐름</t>
      </text>
    </comment>
    <comment ref="R29" authorId="0" shapeId="0">
      <text>
        <t>실측(계정 매핑 없음 — 모델값 직접) — fin.sep.cf.영업활동으로인한현금흐름</t>
      </text>
    </comment>
    <comment ref="S29" authorId="0" shapeId="0">
      <text>
        <t>실측(계정 매핑 없음 — 모델값 직접) — fin.sep.cf.영업활동으로인한현금흐름</t>
      </text>
    </comment>
    <comment ref="T29" authorId="0" shapeId="0">
      <text>
        <t>실측(계정 매핑 없음 — 모델값 직접) — fin.sep.cf.영업활동으로인한현금흐름</t>
      </text>
    </comment>
    <comment ref="V29" authorId="0" shapeId="0">
      <text>
        <t>실측(계정 매핑 없음 — 모델값 직접) — fin.sep.cf.영업활동으로인한현금흐름</t>
      </text>
    </comment>
    <comment ref="W29" authorId="0" shapeId="0">
      <text>
        <t>실측(계정 매핑 없음 — 모델값 직접) — fin.sep.cf.영업활동으로인한현금흐름</t>
      </text>
    </comment>
    <comment ref="X29" authorId="0" shapeId="0">
      <text>
        <t>실측(계정 매핑 없음 — 모델값 직접) — fin.sep.cf.영업활동으로인한현금흐름</t>
      </text>
    </comment>
    <comment ref="Y29" authorId="0" shapeId="0">
      <text>
        <t>실측(계정 매핑 없음 — 모델값 직접) — fin.sep.cf.영업활동으로인한현금흐름</t>
      </text>
    </comment>
    <comment ref="AA29" authorId="0" shapeId="0">
      <text>
        <t>실측(계정 매핑 없음 — 모델값 직접) — fin.sep.cf.영업활동으로인한현금흐름</t>
      </text>
    </comment>
    <comment ref="AB29" authorId="0" shapeId="0">
      <text>
        <t>실측(계정 매핑 없음 — 모델값 직접) — fin.sep.cf.영업활동으로인한현금흐름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추정(가정 셀 참조 불가 — 기준값 없음, 모델값 직접): 직전 결산 DPS 0원 유지</t>
      </text>
    </comment>
    <comment ref="AI33" authorId="0" shapeId="0">
      <text>
        <t>추정(가정 셀 참조 불가 — 기준값 없음, 모델값 직접): 직전 결산 DPS 0원 유지</t>
      </text>
    </comment>
    <comment ref="AN33" authorId="0" shapeId="0">
      <text>
        <t>추정(가정 셀 참조 불가 — 기준값 없음, 모델값 직접): 직전 결산 DPS 0원 유지</t>
      </text>
    </comment>
    <comment ref="I34" authorId="0" shapeId="0">
      <text>
        <t>실측(계정 매핑 없음 — 모델값 직접) — 토스 일봉 분기 평균 ÷ TTM EPS</t>
      </text>
    </comment>
    <comment ref="J34" authorId="0" shapeId="0">
      <text>
        <t>실측(계정 매핑 없음 — 모델값 직접) — 토스 일봉 분기 평균 ÷ TTM EPS</t>
      </text>
    </comment>
    <comment ref="M34" authorId="0" shapeId="0">
      <text>
        <t>실측(계정 매핑 없음 — 모델값 직접) — 토스 일봉 분기 평균 ÷ TTM EPS</t>
      </text>
    </comment>
    <comment ref="N34" authorId="0" shapeId="0">
      <text>
        <t>실측(계정 매핑 없음 — 모델값 직접) — 토스 일봉 분기 평균 ÷ TTM EPS</t>
      </text>
    </comment>
    <comment ref="O34" authorId="0" shapeId="0">
      <text>
        <t>실측(계정 매핑 없음 — 모델값 직접) — 토스 일봉 분기 평균 ÷ TTM EPS</t>
      </text>
    </comment>
    <comment ref="Q34" authorId="0" shapeId="0">
      <text>
        <t>실측(계정 매핑 없음 — 모델값 직접) — 토스 일봉 분기 평균 ÷ TTM EPS</t>
      </text>
    </comment>
    <comment ref="R34" authorId="0" shapeId="0">
      <text>
        <t>실측(계정 매핑 없음 — 모델값 직접) — 토스 일봉 분기 평균 ÷ TTM EPS</t>
      </text>
    </comment>
    <comment ref="S34" authorId="0" shapeId="0">
      <text>
        <t>실측(계정 매핑 없음 — 모델값 직접) — 토스 일봉 분기 평균 ÷ TTM EPS</t>
      </text>
    </comment>
    <comment ref="T34" authorId="0" shapeId="0">
      <text>
        <t>실측(계정 매핑 없음 — 모델값 직접) — 토스 일봉 분기 평균 ÷ TTM EPS</t>
      </text>
    </comment>
    <comment ref="V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X34" authorId="0" shapeId="0">
      <text>
        <t>실측(계정 매핑 없음 — 모델값 직접) — 토스 일봉 분기 평균 ÷ TTM EPS</t>
      </text>
    </comment>
    <comment ref="AD34" authorId="0" shapeId="0">
      <text>
        <t>추정(가정 셀 참조 불가 — 기준값 없음, 모델값 직접): 현재 종가 ÷ TTM EPS(추정 포함)</t>
      </text>
    </comment>
    <comment ref="AF34" authorId="0" shapeId="0">
      <text>
        <t>추정(가정 셀 참조 불가 — 기준값 없음, 모델값 직접): 현재 종가 ÷ TTM EPS(추정 포함)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E36" authorId="0" shapeId="0">
      <text>
        <t>실측(계정 매핑 없음 — 모델값 직접) — = 매출액(부문 미분리)</t>
      </text>
    </comment>
    <comment ref="G36" authorId="0" shapeId="0">
      <text>
        <t>실측(계정 매핑 없음 — 모델값 직접) — = 매출액(부문 미분리)</t>
      </text>
    </comment>
    <comment ref="H36" authorId="0" shapeId="0">
      <text>
        <t>실측(계정 매핑 없음 — 모델값 직접) — = 매출액(부문 미분리)</t>
      </text>
    </comment>
    <comment ref="I36" authorId="0" shapeId="0">
      <text>
        <t>실측(계정 매핑 없음 — 모델값 직접) — = 매출액(부문 미분리)</t>
      </text>
    </comment>
    <comment ref="J36" authorId="0" shapeId="0">
      <text>
        <t>실측(계정 매핑 없음 — 모델값 직접) — = 매출액(부문 미분리)</t>
      </text>
    </comment>
    <comment ref="L36" authorId="0" shapeId="0">
      <text>
        <t>실측(계정 매핑 없음 — 모델값 직접) — = 매출액(부문 미분리)</t>
      </text>
    </comment>
    <comment ref="M36" authorId="0" shapeId="0">
      <text>
        <t>실측(계정 매핑 없음 — 모델값 직접) — = 매출액(부문 미분리)</t>
      </text>
    </comment>
    <comment ref="N36" authorId="0" shapeId="0">
      <text>
        <t>실측(계정 매핑 없음 — 모델값 직접) — = 매출액(부문 미분리)</t>
      </text>
    </comment>
    <comment ref="O36" authorId="0" shapeId="0">
      <text>
        <t>실측(계정 매핑 없음 — 모델값 직접) — = 매출액(부문 미분리)</t>
      </text>
    </comment>
    <comment ref="Q36" authorId="0" shapeId="0">
      <text>
        <t>실측(계정 매핑 없음 — 모델값 직접) — = 매출액(부문 미분리)</t>
      </text>
    </comment>
    <comment ref="R36" authorId="0" shapeId="0">
      <text>
        <t>실측(계정 매핑 없음 — 모델값 직접) — = 매출액(부문 미분리)</t>
      </text>
    </comment>
    <comment ref="S36" authorId="0" shapeId="0">
      <text>
        <t>실측(계정 매핑 없음 — 모델값 직접) — = 매출액(부문 미분리)</t>
      </text>
    </comment>
    <comment ref="T36" authorId="0" shapeId="0">
      <text>
        <t>실측(계정 매핑 없음 — 모델값 직접) — = 매출액(부문 미분리)</t>
      </text>
    </comment>
    <comment ref="V36" authorId="0" shapeId="0">
      <text>
        <t>실측(계정 매핑 없음 — 모델값 직접) — = 매출액(부문 미분리)</t>
      </text>
    </comment>
    <comment ref="W36" authorId="0" shapeId="0">
      <text>
        <t>실측(계정 매핑 없음 — 모델값 직접) — = 매출액(부문 미분리)</t>
      </text>
    </comment>
    <comment ref="X36" authorId="0" shapeId="0">
      <text>
        <t>실측(계정 매핑 없음 — 모델값 직접) — = 매출액(부문 미분리)</t>
      </text>
    </comment>
    <comment ref="Y36" authorId="0" shapeId="0">
      <text>
        <t>실측(계정 매핑 없음 — 모델값 직접) — = 매출액(부문 미분리)</t>
      </text>
    </comment>
    <comment ref="AA36" authorId="0" shapeId="0">
      <text>
        <t>실측(계정 매핑 없음 — 모델값 직접) — = 매출액(부문 미분리)</t>
      </text>
    </comment>
    <comment ref="AB36" authorId="0" shapeId="0">
      <text>
        <t>실측(계정 매핑 없음 — 모델값 직접) — = 매출액(부문 미분리)</t>
      </text>
    </comment>
    <comment ref="AC36" authorId="0" shapeId="0">
      <text>
        <t>추정: = 매출액 추정(부문 미분리)
[ratio]</t>
      </text>
    </comment>
    <comment ref="AD36" authorId="0" shapeId="0">
      <text>
        <t>추정: = 매출액 추정(부문 미분리)
[ratio]</t>
      </text>
    </comment>
    <comment ref="AF36" authorId="0" shapeId="0">
      <text>
        <t>추정: = 매출액 추정(부문 미분리)
[ratio]</t>
      </text>
    </comment>
    <comment ref="AG36" authorId="0" shapeId="0">
      <text>
        <t>추정: = 매출액 추정(부문 미분리)
[ratio]</t>
      </text>
    </comment>
    <comment ref="AH36" authorId="0" shapeId="0">
      <text>
        <t>추정: = 매출액 추정(부문 미분리)
[ratio]</t>
      </text>
    </comment>
    <comment ref="AI36" authorId="0" shapeId="0">
      <text>
        <t>추정: = 매출액 추정(부문 미분리)
[ratio]</t>
      </text>
    </comment>
    <comment ref="AK36" authorId="0" shapeId="0">
      <text>
        <t>추정: = 매출액 추정(부문 미분리)
[ratio]</t>
      </text>
    </comment>
    <comment ref="AL36" authorId="0" shapeId="0">
      <text>
        <t>추정: = 매출액 추정(부문 미분리)
[ratio]</t>
      </text>
    </comment>
    <comment ref="AM36" authorId="0" shapeId="0">
      <text>
        <t>추정: = 매출액 추정(부문 미분리)
[ratio]</t>
      </text>
    </comment>
    <comment ref="AN36" authorId="0" shapeId="0">
      <text>
        <t>추정: = 매출액 추정(부문 미분리)
[ratio]</t>
      </text>
    </comment>
    <comment ref="E37" authorId="0" shapeId="0">
      <text>
        <t>실측(계정 매핑 없음 — 모델값 직접) — = 영업이익(부문 미분리)</t>
      </text>
    </comment>
    <comment ref="G37" authorId="0" shapeId="0">
      <text>
        <t>실측(계정 매핑 없음 — 모델값 직접) — = 영업이익(부문 미분리)</t>
      </text>
    </comment>
    <comment ref="H37" authorId="0" shapeId="0">
      <text>
        <t>실측(계정 매핑 없음 — 모델값 직접) — = 영업이익(부문 미분리)</t>
      </text>
    </comment>
    <comment ref="I37" authorId="0" shapeId="0">
      <text>
        <t>실측(계정 매핑 없음 — 모델값 직접) — = 영업이익(부문 미분리)</t>
      </text>
    </comment>
    <comment ref="J37" authorId="0" shapeId="0">
      <text>
        <t>실측(계정 매핑 없음 — 모델값 직접) — = 영업이익(부문 미분리)</t>
      </text>
    </comment>
    <comment ref="L37" authorId="0" shapeId="0">
      <text>
        <t>실측(계정 매핑 없음 — 모델값 직접) — = 영업이익(부문 미분리)</t>
      </text>
    </comment>
    <comment ref="M37" authorId="0" shapeId="0">
      <text>
        <t>실측(계정 매핑 없음 — 모델값 직접) — = 영업이익(부문 미분리)</t>
      </text>
    </comment>
    <comment ref="N37" authorId="0" shapeId="0">
      <text>
        <t>실측(계정 매핑 없음 — 모델값 직접) — = 영업이익(부문 미분리)</t>
      </text>
    </comment>
    <comment ref="O37" authorId="0" shapeId="0">
      <text>
        <t>실측(계정 매핑 없음 — 모델값 직접) — = 영업이익(부문 미분리)</t>
      </text>
    </comment>
    <comment ref="Q37" authorId="0" shapeId="0">
      <text>
        <t>실측(계정 매핑 없음 — 모델값 직접) — = 영업이익(부문 미분리)</t>
      </text>
    </comment>
    <comment ref="R37" authorId="0" shapeId="0">
      <text>
        <t>실측(계정 매핑 없음 — 모델값 직접) — = 영업이익(부문 미분리)</t>
      </text>
    </comment>
    <comment ref="S37" authorId="0" shapeId="0">
      <text>
        <t>실측(계정 매핑 없음 — 모델값 직접) — = 영업이익(부문 미분리)</t>
      </text>
    </comment>
    <comment ref="T37" authorId="0" shapeId="0">
      <text>
        <t>실측(계정 매핑 없음 — 모델값 직접) — = 영업이익(부문 미분리)</t>
      </text>
    </comment>
    <comment ref="V37" authorId="0" shapeId="0">
      <text>
        <t>실측(계정 매핑 없음 — 모델값 직접) — = 영업이익(부문 미분리)</t>
      </text>
    </comment>
    <comment ref="W37" authorId="0" shapeId="0">
      <text>
        <t>실측(계정 매핑 없음 — 모델값 직접) — = 영업이익(부문 미분리)</t>
      </text>
    </comment>
    <comment ref="X37" authorId="0" shapeId="0">
      <text>
        <t>실측(계정 매핑 없음 — 모델값 직접) — = 영업이익(부문 미분리)</t>
      </text>
    </comment>
    <comment ref="Y37" authorId="0" shapeId="0">
      <text>
        <t>실측(계정 매핑 없음 — 모델값 직접) — = 영업이익(부문 미분리)</t>
      </text>
    </comment>
    <comment ref="AA37" authorId="0" shapeId="0">
      <text>
        <t>실측(계정 매핑 없음 — 모델값 직접) — = 영업이익(부문 미분리)</t>
      </text>
    </comment>
    <comment ref="AB37" authorId="0" shapeId="0">
      <text>
        <t>실측(계정 매핑 없음 — 모델값 직접) — = 영업이익(부문 미분리)</t>
      </text>
    </comment>
    <comment ref="AC37" authorId="0" shapeId="0">
      <text>
        <t>추정: = 매출액 × OPM(부문 미분리)
[ratio]</t>
      </text>
    </comment>
    <comment ref="AD37" authorId="0" shapeId="0">
      <text>
        <t>추정: = 매출액 × OPM(부문 미분리)
[ratio]</t>
      </text>
    </comment>
    <comment ref="AF37" authorId="0" shapeId="0">
      <text>
        <t>추정: = 매출액 × OPM(부문 미분리)
[ratio]</t>
      </text>
    </comment>
    <comment ref="AG37" authorId="0" shapeId="0">
      <text>
        <t>추정: = 매출액 × OPM(부문 미분리)
[ratio]</t>
      </text>
    </comment>
    <comment ref="AH37" authorId="0" shapeId="0">
      <text>
        <t>추정: = 매출액 × OPM(부문 미분리)
[ratio]</t>
      </text>
    </comment>
    <comment ref="AI37" authorId="0" shapeId="0">
      <text>
        <t>추정: = 매출액 × OPM(부문 미분리)
[ratio]</t>
      </text>
    </comment>
    <comment ref="AK37" authorId="0" shapeId="0">
      <text>
        <t>추정: = 매출액 × OPM(부문 미분리)
[ratio]</t>
      </text>
    </comment>
    <comment ref="AL37" authorId="0" shapeId="0">
      <text>
        <t>추정: = 매출액 × OPM(부문 미분리)
[ratio]</t>
      </text>
    </comment>
    <comment ref="AM37" authorId="0" shapeId="0">
      <text>
        <t>추정: = 매출액 × OPM(부문 미분리)
[ratio]</t>
      </text>
    </comment>
    <comment ref="AN37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assets/models/025890.json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-169%)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</v>
      </c>
      <c r="AD21" s="24" t="n">
        <v>-0.137537</v>
      </c>
      <c r="AE21" s="25" t="n"/>
      <c r="AF21" s="24" t="n">
        <v>-0.137588</v>
      </c>
      <c r="AG21" s="24" t="n">
        <v>-0.13758</v>
      </c>
      <c r="AH21" s="24" t="n">
        <v>-0.068786</v>
      </c>
      <c r="AI21" s="24" t="n">
        <v>-0.06880600000000001</v>
      </c>
      <c r="AJ21" s="25" t="n"/>
      <c r="AK21" s="24" t="n">
        <v>-0.068707</v>
      </c>
      <c r="AL21" s="24" t="n">
        <v>-0.06878099999999999</v>
      </c>
      <c r="AM21" s="24" t="n">
        <v>-0.034386</v>
      </c>
      <c r="AN21" s="24" t="n">
        <v>-0.034454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0.048624</v>
      </c>
      <c r="AD22" s="24" t="n">
        <v>0.048576</v>
      </c>
      <c r="AE22" s="25">
        <f>IFERROR(subQ!AE8/subQ!AE5,"")</f>
        <v/>
      </c>
      <c r="AF22" s="24" t="n">
        <v>0.048607</v>
      </c>
      <c r="AG22" s="24" t="n">
        <v>0.048576</v>
      </c>
      <c r="AH22" s="24" t="n">
        <v>0.04865</v>
      </c>
      <c r="AI22" s="24" t="n">
        <v>0.048568</v>
      </c>
      <c r="AJ22" s="25">
        <f>IFERROR(subQ!AJ8/subQ!AJ5,"")</f>
        <v/>
      </c>
      <c r="AK22" s="24" t="n">
        <v>0.048667</v>
      </c>
      <c r="AL22" s="24" t="n">
        <v>0.048679</v>
      </c>
      <c r="AM22" s="24" t="n">
        <v>0.048668</v>
      </c>
      <c r="AN22" s="24" t="n">
        <v>0.048581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</v>
      </c>
      <c r="AD23" s="24" t="n">
        <v>0.007344</v>
      </c>
      <c r="AE23" s="25">
        <f>IFERROR(subQ!AE9/subQ!AE5,"")</f>
        <v/>
      </c>
      <c r="AF23" s="24" t="n">
        <v>0.007225</v>
      </c>
      <c r="AG23" s="24" t="n">
        <v>0.007328</v>
      </c>
      <c r="AH23" s="24" t="n">
        <v>0.007259</v>
      </c>
      <c r="AI23" s="24" t="n">
        <v>0.007334</v>
      </c>
      <c r="AJ23" s="25">
        <f>IFERROR(subQ!AJ9/subQ!AJ5,"")</f>
        <v/>
      </c>
      <c r="AK23" s="24" t="n">
        <v>0.007335</v>
      </c>
      <c r="AL23" s="24" t="n">
        <v>0.007307</v>
      </c>
      <c r="AM23" s="24" t="n">
        <v>0.007254</v>
      </c>
      <c r="AN23" s="24" t="n">
        <v>0.007309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-1.21791</v>
      </c>
      <c r="AD24" s="24" t="n">
        <v>-1.236246</v>
      </c>
      <c r="AE24" s="25" t="n"/>
      <c r="AF24" s="24" t="n">
        <v>0.08955200000000001</v>
      </c>
      <c r="AG24" s="24" t="n">
        <v>-0.471014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-0.73</v>
      </c>
      <c r="AD25" s="29" t="n">
        <v>-0.73</v>
      </c>
      <c r="AE25" s="30">
        <f>subQ!AE11</f>
        <v/>
      </c>
      <c r="AF25" s="29" t="n">
        <v>-0.73</v>
      </c>
      <c r="AG25" s="29" t="n">
        <v>-0.73</v>
      </c>
      <c r="AH25" s="29" t="n">
        <v>-0.73</v>
      </c>
      <c r="AI25" s="29" t="n">
        <v>-0.73</v>
      </c>
      <c r="AJ25" s="30">
        <f>subQ!AJ11</f>
        <v/>
      </c>
      <c r="AK25" s="29" t="n">
        <v>-0.74</v>
      </c>
      <c r="AL25" s="29" t="n">
        <v>-0.74</v>
      </c>
      <c r="AM25" s="29" t="n">
        <v>-0.74</v>
      </c>
      <c r="AN25" s="29" t="n">
        <v>-0.74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-0.73</v>
      </c>
      <c r="AD26" s="29" t="n">
        <v>-0.73</v>
      </c>
      <c r="AE26" s="30">
        <f>subQ!AE12</f>
        <v/>
      </c>
      <c r="AF26" s="29" t="n">
        <v>-0.73</v>
      </c>
      <c r="AG26" s="29" t="n">
        <v>-0.73</v>
      </c>
      <c r="AH26" s="29" t="n">
        <v>-0.73</v>
      </c>
      <c r="AI26" s="29" t="n">
        <v>-0.73</v>
      </c>
      <c r="AJ26" s="30">
        <f>subQ!AJ12</f>
        <v/>
      </c>
      <c r="AK26" s="29" t="n">
        <v>-0.74</v>
      </c>
      <c r="AL26" s="29" t="n">
        <v>-0.74</v>
      </c>
      <c r="AM26" s="29" t="n">
        <v>-0.74</v>
      </c>
      <c r="AN26" s="29" t="n">
        <v>-0.74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31" t="n"/>
      <c r="AE27" s="25" t="n"/>
      <c r="AF27" s="31" t="n"/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0</v>
      </c>
      <c r="AD29" s="29" t="n">
        <v>0</v>
      </c>
      <c r="AE29" s="30">
        <f>subQ!AE15</f>
        <v/>
      </c>
      <c r="AF29" s="29" t="n">
        <v>0</v>
      </c>
      <c r="AG29" s="29" t="n">
        <v>0</v>
      </c>
      <c r="AH29" s="29" t="n">
        <v>0</v>
      </c>
      <c r="AI29" s="29" t="n">
        <v>0</v>
      </c>
      <c r="AJ29" s="30">
        <f>subQ!AJ15</f>
        <v/>
      </c>
      <c r="AK29" s="29" t="n">
        <v>0</v>
      </c>
      <c r="AL29" s="29" t="n">
        <v>0</v>
      </c>
      <c r="AM29" s="29" t="n">
        <v>0</v>
      </c>
      <c r="AN29" s="29" t="n">
        <v>0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-0</v>
      </c>
      <c r="AD30" s="24" t="n">
        <v>-0</v>
      </c>
      <c r="AE30" s="25">
        <f>IFERROR(subQ!AE17/subQ!AE16,"")</f>
        <v/>
      </c>
      <c r="AF30" s="24" t="n">
        <v>-0</v>
      </c>
      <c r="AG30" s="24" t="n">
        <v>-0</v>
      </c>
      <c r="AH30" s="24" t="n">
        <v>-0</v>
      </c>
      <c r="AI30" s="24" t="n">
        <v>-0</v>
      </c>
      <c r="AJ30" s="25">
        <f>IFERROR(subQ!AJ17/subQ!AJ16,"")</f>
        <v/>
      </c>
      <c r="AK30" s="24" t="n">
        <v>-0</v>
      </c>
      <c r="AL30" s="24" t="n">
        <v>-0</v>
      </c>
      <c r="AM30" s="24" t="n">
        <v>-0</v>
      </c>
      <c r="AN30" s="24" t="n">
        <v>-0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-1.5e-05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-0.0036</v>
      </c>
      <c r="AD33" s="29" t="n">
        <v>-0.01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-0</v>
      </c>
      <c r="AL33" s="29" t="n">
        <v>-0.01</v>
      </c>
      <c r="AM33" s="29" t="n">
        <v>0.01</v>
      </c>
      <c r="AN33" s="29" t="n">
        <v>-0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-0.0036</v>
      </c>
      <c r="AD34" s="29" t="n">
        <v>-0.01</v>
      </c>
      <c r="AE34" s="30" t="n"/>
      <c r="AF34" s="29" t="n">
        <v>0</v>
      </c>
      <c r="AG34" s="29" t="n">
        <v>0</v>
      </c>
      <c r="AH34" s="29" t="n">
        <v>0</v>
      </c>
      <c r="AI34" s="29" t="n">
        <v>0</v>
      </c>
      <c r="AJ34" s="30" t="n"/>
      <c r="AK34" s="29" t="n">
        <v>-0</v>
      </c>
      <c r="AL34" s="29" t="n">
        <v>-0.01</v>
      </c>
      <c r="AM34" s="29" t="n">
        <v>0.01</v>
      </c>
      <c r="AN34" s="29" t="n">
        <v>-0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0.001924</v>
      </c>
      <c r="AD36" s="24" t="n">
        <v>0.002939</v>
      </c>
      <c r="AE36" s="25" t="n"/>
      <c r="AF36" s="24" t="n">
        <v>0.003102</v>
      </c>
      <c r="AG36" s="24" t="n">
        <v>0.000515</v>
      </c>
      <c r="AH36" s="24" t="n">
        <v>0.002748</v>
      </c>
      <c r="AI36" s="24" t="n">
        <v>0.003597</v>
      </c>
      <c r="AJ36" s="25" t="n"/>
      <c r="AK36" s="24" t="n">
        <v>0.003754</v>
      </c>
      <c r="AL36" s="24" t="n">
        <v>0.00153</v>
      </c>
      <c r="AM36" s="24" t="n">
        <v>0.003056</v>
      </c>
      <c r="AN36" s="24" t="n">
        <v>0.003892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-0.029357</v>
      </c>
      <c r="AD37" s="24" t="n">
        <v>-0.046322</v>
      </c>
      <c r="AE37" s="25" t="n"/>
      <c r="AF37" s="24" t="n">
        <v>-0.051429</v>
      </c>
      <c r="AG37" s="24" t="n">
        <v>-0.009036000000000001</v>
      </c>
      <c r="AH37" s="24" t="n">
        <v>-0.051672</v>
      </c>
      <c r="AI37" s="24" t="n">
        <v>-0.06410299999999999</v>
      </c>
      <c r="AJ37" s="25" t="n"/>
      <c r="AK37" s="24" t="n">
        <v>-0.07534200000000001</v>
      </c>
      <c r="AL37" s="24" t="n">
        <v>-0.033333</v>
      </c>
      <c r="AM37" s="24" t="n">
        <v>-0.068966</v>
      </c>
      <c r="AN37" s="24" t="n">
        <v>-0.09465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0.396825</v>
      </c>
      <c r="AD44" s="24" t="n">
        <v>0.466667</v>
      </c>
      <c r="AE44" s="25" t="n"/>
      <c r="AF44" s="24" t="n">
        <v>0.54386</v>
      </c>
      <c r="AG44" s="24" t="n">
        <v>0.275362</v>
      </c>
      <c r="AH44" s="24" t="n">
        <v>0</v>
      </c>
      <c r="AI44" s="24" t="n">
        <v>0.011364</v>
      </c>
      <c r="AJ44" s="25" t="n"/>
      <c r="AK44" s="24" t="n">
        <v>0.011364</v>
      </c>
      <c r="AL44" s="24" t="n">
        <v>0.011364</v>
      </c>
      <c r="AM44" s="24" t="n">
        <v>0.011364</v>
      </c>
      <c r="AN44" s="24" t="n">
        <v>0</v>
      </c>
      <c r="AO44" s="25" t="n"/>
    </row>
    <row r="45">
      <c r="A45" s="12" t="inlineStr">
        <is>
          <t>drv:매출전사</t>
        </is>
      </c>
      <c r="B45" s="2" t="inlineStr">
        <is>
          <t>ratio</t>
        </is>
      </c>
      <c r="C45" t="inlineStr">
        <is>
          <t>매출전사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1</v>
      </c>
      <c r="AD45" s="24" t="n">
        <v>1</v>
      </c>
      <c r="AE45" s="25">
        <f>IFERROR(subQ!AE36/subQ!AE5,"")</f>
        <v/>
      </c>
      <c r="AF45" s="24" t="n">
        <v>1</v>
      </c>
      <c r="AG45" s="24" t="n">
        <v>1</v>
      </c>
      <c r="AH45" s="24" t="n">
        <v>1</v>
      </c>
      <c r="AI45" s="24" t="n">
        <v>1</v>
      </c>
      <c r="AJ45" s="25">
        <f>IFERROR(subQ!AJ36/subQ!AJ5,"")</f>
        <v/>
      </c>
      <c r="AK45" s="24" t="n">
        <v>1</v>
      </c>
      <c r="AL45" s="24" t="n">
        <v>1</v>
      </c>
      <c r="AM45" s="24" t="n">
        <v>1</v>
      </c>
      <c r="AN45" s="24" t="n">
        <v>1</v>
      </c>
      <c r="AO45" s="25">
        <f>IFERROR(subQ!AO36/subQ!AO5,"")</f>
        <v/>
      </c>
    </row>
    <row r="46">
      <c r="A46" s="12" t="inlineStr">
        <is>
          <t>drv:OP전사</t>
        </is>
      </c>
      <c r="B46" s="2" t="inlineStr">
        <is>
          <t>ratio</t>
        </is>
      </c>
      <c r="C46" t="inlineStr">
        <is>
          <t>OP전사 마진(/매출전사)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0.007234</v>
      </c>
      <c r="AD46" s="24" t="n">
        <v>0.007344</v>
      </c>
      <c r="AE46" s="25">
        <f>IFERROR(subQ!AE37/subQ!AE36,"")</f>
        <v/>
      </c>
      <c r="AF46" s="24" t="n">
        <v>0.007225</v>
      </c>
      <c r="AG46" s="24" t="n">
        <v>0.007328</v>
      </c>
      <c r="AH46" s="24" t="n">
        <v>0.007259</v>
      </c>
      <c r="AI46" s="24" t="n">
        <v>0.007334</v>
      </c>
      <c r="AJ46" s="25">
        <f>IFERROR(subQ!AJ37/subQ!AJ36,"")</f>
        <v/>
      </c>
      <c r="AK46" s="24" t="n">
        <v>0.007335</v>
      </c>
      <c r="AL46" s="24" t="n">
        <v>0.007307</v>
      </c>
      <c r="AM46" s="24" t="n">
        <v>0.007254</v>
      </c>
      <c r="AN46" s="24" t="n">
        <v>0.007309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2650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16.6</v>
      </c>
      <c r="E52" s="2" t="inlineStr">
        <is>
          <t>PER 밴드 하단(배) — hist_quarterly(분기 평균가 ÷ TTM EPS, 12분기, 25/50/75 백분위)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21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28.8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0.22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0.0486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4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4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4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4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4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4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4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4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4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4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4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4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4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4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4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4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4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4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4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4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4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4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4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4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4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4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4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4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4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4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4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4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4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4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4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4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4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4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4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4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4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4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4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4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4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4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4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4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4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4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4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4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4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4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4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4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4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4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4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4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4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4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4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4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4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4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4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4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4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4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4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4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4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4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4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4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4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4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4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4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4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4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4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4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4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4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4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4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4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4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4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4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4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4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4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4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4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4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4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4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4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4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4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4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4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4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4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4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4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4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4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4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4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4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4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4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4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4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Y28" s="18" t="n">
        <v>0</v>
      </c>
      <c r="Z28" s="34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4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4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4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4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4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4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4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4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4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4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4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4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4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4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4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4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4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4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4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4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4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4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4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4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4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4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4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4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4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4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4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4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4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4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4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4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4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4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4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4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4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4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4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4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4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4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4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4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4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4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4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4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4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4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4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4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4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4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4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4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4" t="n">
        <v>16824.67</v>
      </c>
      <c r="G41" s="18" t="n">
        <v>17643.71</v>
      </c>
      <c r="H41" s="18" t="n">
        <v>17034.18</v>
      </c>
      <c r="I41" s="18" t="n">
        <v>13220.87</v>
      </c>
      <c r="J41" s="18" t="n">
        <v>12449.09</v>
      </c>
      <c r="K41" s="34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4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4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4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4" t="n">
        <v>13759.64</v>
      </c>
      <c r="G42" s="18" t="n">
        <v>13906.33</v>
      </c>
      <c r="H42" s="18" t="n">
        <v>13879.76</v>
      </c>
      <c r="I42" s="18" t="n">
        <v>9843.5</v>
      </c>
      <c r="J42" s="18" t="n">
        <v>8712.690000000001</v>
      </c>
      <c r="K42" s="34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4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4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4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4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4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4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4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4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J44" s="18" t="n">
        <v>800</v>
      </c>
      <c r="K44" s="34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4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4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4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4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4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4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4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4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4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4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4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4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4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4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4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4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4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4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4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4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4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4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4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4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4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4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4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4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4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4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4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4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4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4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4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4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4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4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4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4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4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4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4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4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4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4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4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4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4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4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4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4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4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4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4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4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4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4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4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4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4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4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4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4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4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4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4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H65" s="18" t="n">
        <v>15.89</v>
      </c>
      <c r="K65" s="9" t="n"/>
      <c r="M65" s="18" t="n">
        <v>0.04</v>
      </c>
      <c r="P65" s="9" t="n"/>
      <c r="R65" s="18" t="n">
        <v>16.54</v>
      </c>
      <c r="U65" s="9" t="n"/>
      <c r="W65" s="18" t="n">
        <v>1.33</v>
      </c>
      <c r="Z65" s="9" t="n"/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H66" s="18" t="n">
        <v>132.13</v>
      </c>
      <c r="K66" s="9" t="n"/>
      <c r="M66" s="18" t="n">
        <v>116.34</v>
      </c>
      <c r="P66" s="9" t="n"/>
      <c r="R66" s="18" t="n">
        <v>72.25</v>
      </c>
      <c r="U66" s="9" t="n"/>
      <c r="W66" s="18" t="n">
        <v>15.31</v>
      </c>
      <c r="Z66" s="9" t="n"/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H67" s="18" t="n">
        <v>-116.24</v>
      </c>
      <c r="K67" s="9" t="n"/>
      <c r="M67" s="18" t="n">
        <v>-116.3</v>
      </c>
      <c r="P67" s="9" t="n"/>
      <c r="R67" s="18" t="n">
        <v>-55.71</v>
      </c>
      <c r="U67" s="9" t="n"/>
      <c r="W67" s="18" t="n">
        <v>-13.98</v>
      </c>
      <c r="Z67" s="9" t="n"/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P68" s="9" t="n"/>
      <c r="R68" s="18" t="n">
        <v>5.31</v>
      </c>
      <c r="U68" s="9" t="n"/>
      <c r="W68" s="18" t="n">
        <v>0.04</v>
      </c>
      <c r="Z68" s="9" t="n"/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P69" s="9" t="n"/>
      <c r="R69" s="18" t="n">
        <v>1.91</v>
      </c>
      <c r="U69" s="9" t="n"/>
      <c r="W69" s="18" t="n">
        <v>1.27</v>
      </c>
      <c r="Z69" s="9" t="n"/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P70" s="9" t="n"/>
      <c r="R70" s="18" t="n">
        <v>-0.93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R71" s="18" t="n">
        <v>-0.67</v>
      </c>
      <c r="U71" s="9" t="n"/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-2062.42</v>
      </c>
      <c r="F72" s="9" t="n"/>
      <c r="G72" s="18" t="n">
        <v>-2890.82</v>
      </c>
      <c r="H72" s="18" t="n">
        <v>-346.11</v>
      </c>
      <c r="I72" s="18" t="n">
        <v>4045.72</v>
      </c>
      <c r="J72" s="18" t="n">
        <v>802.99</v>
      </c>
      <c r="K72" s="34" t="n">
        <v>1611.78</v>
      </c>
      <c r="L72" s="18" t="n">
        <v>-1134.31</v>
      </c>
      <c r="M72" s="18" t="n">
        <v>1851.1</v>
      </c>
      <c r="N72" s="18" t="n">
        <v>558.24</v>
      </c>
      <c r="O72" s="18" t="n">
        <v>2354.57</v>
      </c>
      <c r="P72" s="34" t="n">
        <v>3629.6</v>
      </c>
      <c r="Q72" s="18" t="n">
        <v>964.97</v>
      </c>
      <c r="R72" s="18" t="n">
        <v>1181.27</v>
      </c>
      <c r="S72" s="18" t="n">
        <v>2067.25</v>
      </c>
      <c r="T72" s="18" t="n">
        <v>1263.52</v>
      </c>
      <c r="U72" s="34" t="n">
        <v>5477.01</v>
      </c>
      <c r="V72" s="18" t="n">
        <v>-420.3</v>
      </c>
      <c r="W72" s="18" t="n">
        <v>918.64</v>
      </c>
      <c r="X72" s="18" t="n">
        <v>-78.62</v>
      </c>
      <c r="Y72" s="18" t="n">
        <v>1605.29</v>
      </c>
      <c r="Z72" s="34" t="n">
        <v>2025.01</v>
      </c>
      <c r="AA72" s="18" t="n">
        <v>-3963.94</v>
      </c>
      <c r="AB72" s="19" t="n">
        <v>-684.5700000000001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0</v>
      </c>
      <c r="F73" s="9" t="n"/>
      <c r="K73" s="9" t="n"/>
      <c r="P73" s="9" t="n"/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0</v>
      </c>
      <c r="F74" s="9" t="n"/>
      <c r="G74" s="18" t="n">
        <v>-5.11</v>
      </c>
      <c r="H74" s="18" t="n">
        <v>7.06</v>
      </c>
      <c r="I74" s="18" t="n">
        <v>-0.01</v>
      </c>
      <c r="J74" s="18" t="n">
        <v>0</v>
      </c>
      <c r="K74" s="34" t="n">
        <v>1.94</v>
      </c>
      <c r="L74" s="18" t="n">
        <v>-9.800000000000001</v>
      </c>
      <c r="M74" s="18" t="n">
        <v>-2.79</v>
      </c>
      <c r="N74" s="18" t="n">
        <v>-0.05</v>
      </c>
      <c r="O74" s="18" t="n">
        <v>-0.02</v>
      </c>
      <c r="P74" s="34" t="n">
        <v>-12.66</v>
      </c>
      <c r="Q74" s="18" t="n">
        <v>-0.15</v>
      </c>
      <c r="R74" s="18" t="n">
        <v>-0.7</v>
      </c>
      <c r="S74" s="18" t="n">
        <v>-0.6899999999999999</v>
      </c>
      <c r="T74" s="18" t="n">
        <v>-6.66</v>
      </c>
      <c r="U74" s="34" t="n">
        <v>-8.199999999999999</v>
      </c>
      <c r="V74" s="18" t="n">
        <v>-7.9</v>
      </c>
      <c r="W74" s="18" t="n">
        <v>-4.03</v>
      </c>
      <c r="X74" s="18" t="n">
        <v>-5.51</v>
      </c>
      <c r="Y74" s="18" t="n">
        <v>34.9</v>
      </c>
      <c r="Z74" s="34" t="n">
        <v>17.46</v>
      </c>
      <c r="AA74" s="18" t="n">
        <v>-0.03</v>
      </c>
      <c r="AB74" s="19" t="n">
        <v>-0.01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-275.48</v>
      </c>
      <c r="F75" s="9" t="n"/>
      <c r="G75" s="18" t="n">
        <v>2744.14</v>
      </c>
      <c r="H75" s="18" t="n">
        <v>372.68</v>
      </c>
      <c r="I75" s="18" t="n">
        <v>-9.460000000000001</v>
      </c>
      <c r="J75" s="18" t="n">
        <v>-128.19</v>
      </c>
      <c r="K75" s="34" t="n">
        <v>2979.17</v>
      </c>
      <c r="L75" s="18" t="n">
        <v>2827.09</v>
      </c>
      <c r="M75" s="18" t="n">
        <v>644.9299999999999</v>
      </c>
      <c r="N75" s="18" t="n">
        <v>413.77</v>
      </c>
      <c r="O75" s="18" t="n">
        <v>-284.86</v>
      </c>
      <c r="P75" s="34" t="n">
        <v>3600.93</v>
      </c>
      <c r="Q75" s="18" t="n">
        <v>-688.92</v>
      </c>
      <c r="R75" s="18" t="n">
        <v>-1785.88</v>
      </c>
      <c r="S75" s="18" t="n">
        <v>416.31</v>
      </c>
      <c r="T75" s="18" t="n">
        <v>746.59</v>
      </c>
      <c r="U75" s="34" t="n">
        <v>-1311.9</v>
      </c>
      <c r="V75" s="18" t="n">
        <v>-170.79</v>
      </c>
      <c r="W75" s="18" t="n">
        <v>457.47</v>
      </c>
      <c r="X75" s="18" t="n">
        <v>-714.38</v>
      </c>
      <c r="Y75" s="18" t="n">
        <v>-101.46</v>
      </c>
      <c r="Z75" s="34" t="n">
        <v>-529.16</v>
      </c>
      <c r="AA75" s="18" t="n">
        <v>-105.19</v>
      </c>
      <c r="AB75" s="19" t="n">
        <v>-1385.61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0</v>
      </c>
      <c r="F76" s="9" t="n"/>
      <c r="G76" s="18" t="n">
        <v>2773.66</v>
      </c>
      <c r="H76" s="18" t="n">
        <v>66.13</v>
      </c>
      <c r="I76" s="18" t="n">
        <v>-0.13</v>
      </c>
      <c r="K76" s="9" t="n"/>
      <c r="L76" s="18" t="n">
        <v>0</v>
      </c>
      <c r="M76" s="18" t="n">
        <v>0</v>
      </c>
      <c r="N76" s="18" t="n">
        <v>480</v>
      </c>
      <c r="O76" s="18" t="n">
        <v>0</v>
      </c>
      <c r="P76" s="34" t="n">
        <v>480</v>
      </c>
      <c r="Q76" s="18" t="n">
        <v>11</v>
      </c>
      <c r="R76" s="18" t="n">
        <v>0</v>
      </c>
      <c r="S76" s="18" t="n">
        <v>0</v>
      </c>
      <c r="T76" s="18" t="n">
        <v>38.77</v>
      </c>
      <c r="U76" s="34" t="n">
        <v>49.77</v>
      </c>
      <c r="V76" s="18" t="n">
        <v>26</v>
      </c>
      <c r="W76" s="18" t="n">
        <v>29.8</v>
      </c>
      <c r="X76" s="18" t="n">
        <v>0</v>
      </c>
      <c r="Y76" s="18" t="n">
        <v>7.29</v>
      </c>
      <c r="Z76" s="34" t="n">
        <v>63.09</v>
      </c>
      <c r="AA76" s="18" t="n">
        <v>5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264.1</v>
      </c>
      <c r="F77" s="9" t="n"/>
      <c r="G77" s="18" t="n">
        <v>12.12</v>
      </c>
      <c r="H77" s="18" t="n">
        <v>21.01</v>
      </c>
      <c r="I77" s="18" t="n">
        <v>6.92</v>
      </c>
      <c r="J77" s="18" t="n">
        <v>120.42</v>
      </c>
      <c r="K77" s="34" t="n">
        <v>160.47</v>
      </c>
      <c r="L77" s="18" t="n">
        <v>170.5</v>
      </c>
      <c r="M77" s="18" t="n">
        <v>186.71</v>
      </c>
      <c r="N77" s="18" t="n">
        <v>46.88</v>
      </c>
      <c r="O77" s="18" t="n">
        <v>265.46</v>
      </c>
      <c r="P77" s="34" t="n">
        <v>669.55</v>
      </c>
      <c r="Q77" s="18" t="n">
        <v>180.3</v>
      </c>
      <c r="R77" s="18" t="n">
        <v>266</v>
      </c>
      <c r="S77" s="18" t="n">
        <v>63.86</v>
      </c>
      <c r="T77" s="18" t="n">
        <v>268.22</v>
      </c>
      <c r="U77" s="34" t="n">
        <v>778.38</v>
      </c>
      <c r="V77" s="18" t="n">
        <v>176.78</v>
      </c>
      <c r="W77" s="18" t="n">
        <v>36.9</v>
      </c>
      <c r="X77" s="18" t="n">
        <v>646.0700000000001</v>
      </c>
      <c r="Y77" s="18" t="n">
        <v>156.95</v>
      </c>
      <c r="Z77" s="34" t="n">
        <v>1016.7</v>
      </c>
      <c r="AA77" s="18" t="n">
        <v>90.31</v>
      </c>
      <c r="AB77" s="19" t="n">
        <v>1365.75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4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4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4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4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2187.95</v>
      </c>
      <c r="F79" s="9" t="n"/>
      <c r="G79" s="18" t="n">
        <v>819.03</v>
      </c>
      <c r="H79" s="18" t="n">
        <v>-609.52</v>
      </c>
      <c r="I79" s="18" t="n">
        <v>-3813.32</v>
      </c>
      <c r="J79" s="18" t="n">
        <v>-771.78</v>
      </c>
      <c r="K79" s="34" t="n">
        <v>-4375.59</v>
      </c>
      <c r="L79" s="18" t="n">
        <v>-1533.21</v>
      </c>
      <c r="M79" s="18" t="n">
        <v>-2551.43</v>
      </c>
      <c r="N79" s="18" t="n">
        <v>-1276.75</v>
      </c>
      <c r="O79" s="18" t="n">
        <v>-769.13</v>
      </c>
      <c r="P79" s="34" t="n">
        <v>-6130.52</v>
      </c>
      <c r="Q79" s="18" t="n">
        <v>-22.39</v>
      </c>
      <c r="R79" s="18" t="n">
        <v>-923.41</v>
      </c>
      <c r="S79" s="18" t="n">
        <v>-1523.71</v>
      </c>
      <c r="T79" s="18" t="n">
        <v>-2024.26</v>
      </c>
      <c r="U79" s="34" t="n">
        <v>-4493.77</v>
      </c>
      <c r="V79" s="18" t="n">
        <v>-299.83</v>
      </c>
      <c r="W79" s="18" t="n">
        <v>-1520.41</v>
      </c>
      <c r="X79" s="18" t="n">
        <v>882.54</v>
      </c>
      <c r="Y79" s="18" t="n">
        <v>-1184.83</v>
      </c>
      <c r="Z79" s="34" t="n">
        <v>-2122.53</v>
      </c>
      <c r="AA79" s="18" t="n">
        <v>3663.38</v>
      </c>
      <c r="AB79" s="19" t="n">
        <v>2319.93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2187.95</v>
      </c>
      <c r="F80" s="9" t="n"/>
      <c r="G80" s="18" t="n">
        <v>3580.97</v>
      </c>
      <c r="I80" s="18" t="n">
        <v>333.32</v>
      </c>
      <c r="J80" s="18" t="n">
        <v>771.78</v>
      </c>
      <c r="K80" s="9" t="n"/>
      <c r="L80" s="18" t="n">
        <v>1533.21</v>
      </c>
      <c r="N80" s="18" t="n">
        <v>4802.08</v>
      </c>
      <c r="P80" s="9" t="n"/>
      <c r="U80" s="9" t="n"/>
      <c r="V80" s="18" t="n">
        <v>725</v>
      </c>
      <c r="W80" s="18" t="n">
        <v>45</v>
      </c>
      <c r="X80" s="18" t="n">
        <v>3687.24</v>
      </c>
      <c r="Y80" s="18" t="n">
        <v>6227.33</v>
      </c>
      <c r="Z80" s="34" t="n">
        <v>10684.57</v>
      </c>
      <c r="AA80" s="18" t="n">
        <v>9661.549999999999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G81" s="18" t="n">
        <v>4400</v>
      </c>
      <c r="H81" s="18" t="n">
        <v>0</v>
      </c>
      <c r="I81" s="18" t="n">
        <v>0</v>
      </c>
      <c r="K81" s="9" t="n"/>
      <c r="L81" s="18" t="n">
        <v>0</v>
      </c>
      <c r="M81" s="18" t="n">
        <v>0</v>
      </c>
      <c r="N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L82" s="18" t="n">
        <v>0</v>
      </c>
      <c r="M82" s="18" t="n">
        <v>500</v>
      </c>
      <c r="N82" s="18" t="n">
        <v>0</v>
      </c>
      <c r="O82" s="18" t="n">
        <v>300</v>
      </c>
      <c r="P82" s="34" t="n">
        <v>800</v>
      </c>
      <c r="S82" s="18" t="n">
        <v>1500</v>
      </c>
      <c r="T82" s="18" t="n">
        <v>1500</v>
      </c>
      <c r="U82" s="9" t="n"/>
      <c r="V82" s="18" t="n">
        <v>1000</v>
      </c>
      <c r="W82" s="18" t="n">
        <v>0</v>
      </c>
      <c r="X82" s="18" t="n">
        <v>0</v>
      </c>
      <c r="Y82" s="18" t="n">
        <v>0</v>
      </c>
      <c r="Z82" s="34" t="n">
        <v>1000</v>
      </c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I83" s="18" t="n">
        <v>3480</v>
      </c>
      <c r="K83" s="9" t="n"/>
      <c r="O83" s="18" t="n">
        <v>5249.09</v>
      </c>
      <c r="P83" s="9" t="n"/>
      <c r="Q83" s="18" t="n">
        <v>0</v>
      </c>
      <c r="R83" s="18" t="n">
        <v>500</v>
      </c>
      <c r="S83" s="18" t="n">
        <v>0</v>
      </c>
      <c r="T83" s="18" t="n">
        <v>500</v>
      </c>
      <c r="U83" s="34" t="n">
        <v>1000</v>
      </c>
      <c r="Y83" s="18" t="n">
        <v>7365.21</v>
      </c>
      <c r="Z83" s="9" t="n"/>
      <c r="AA83" s="18" t="n">
        <v>5969.27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-149.96</v>
      </c>
      <c r="F85" s="9" t="n"/>
      <c r="G85" s="18" t="n">
        <v>672.35</v>
      </c>
      <c r="H85" s="18" t="n">
        <v>-582.96</v>
      </c>
      <c r="I85" s="18" t="n">
        <v>222.95</v>
      </c>
      <c r="J85" s="18" t="n">
        <v>-96.98</v>
      </c>
      <c r="K85" s="34" t="n">
        <v>215.36</v>
      </c>
      <c r="L85" s="18" t="n">
        <v>159.58</v>
      </c>
      <c r="M85" s="18" t="n">
        <v>-55.41</v>
      </c>
      <c r="N85" s="18" t="n">
        <v>-304.74</v>
      </c>
      <c r="O85" s="18" t="n">
        <v>1300.58</v>
      </c>
      <c r="P85" s="34" t="n">
        <v>1100.01</v>
      </c>
      <c r="Q85" s="18" t="n">
        <v>253.66</v>
      </c>
      <c r="R85" s="18" t="n">
        <v>-1528.03</v>
      </c>
      <c r="S85" s="18" t="n">
        <v>959.86</v>
      </c>
      <c r="T85" s="18" t="n">
        <v>-14.16</v>
      </c>
      <c r="U85" s="34" t="n">
        <v>-328.67</v>
      </c>
      <c r="V85" s="18" t="n">
        <v>-890.91</v>
      </c>
      <c r="W85" s="18" t="n">
        <v>-144.32</v>
      </c>
      <c r="X85" s="18" t="n">
        <v>89.55</v>
      </c>
      <c r="Y85" s="18" t="n">
        <v>319</v>
      </c>
      <c r="Z85" s="34" t="n">
        <v>-626.6799999999999</v>
      </c>
      <c r="AA85" s="18" t="n">
        <v>-405.75</v>
      </c>
      <c r="AB85" s="19" t="n">
        <v>249.74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-149.96</v>
      </c>
      <c r="F86" s="9" t="n"/>
      <c r="G86" s="18" t="n">
        <v>737.38</v>
      </c>
      <c r="H86" s="18" t="n">
        <v>-582.96</v>
      </c>
      <c r="I86" s="18" t="n">
        <v>222.95</v>
      </c>
      <c r="J86" s="18" t="n">
        <v>-96.98</v>
      </c>
      <c r="K86" s="34" t="n">
        <v>280.39</v>
      </c>
      <c r="L86" s="18" t="n">
        <v>439.97</v>
      </c>
      <c r="M86" s="18" t="n">
        <v>-55.74</v>
      </c>
      <c r="N86" s="18" t="n">
        <v>-304.41</v>
      </c>
      <c r="O86" s="18" t="n">
        <v>1293.09</v>
      </c>
      <c r="P86" s="34" t="n">
        <v>1372.91</v>
      </c>
      <c r="Q86" s="18" t="n">
        <v>1625.64</v>
      </c>
      <c r="R86" s="18" t="n">
        <v>-1527.1</v>
      </c>
      <c r="S86" s="18" t="n">
        <v>958.62</v>
      </c>
      <c r="T86" s="18" t="n">
        <v>-10.37</v>
      </c>
      <c r="U86" s="34" t="n">
        <v>1046.79</v>
      </c>
      <c r="V86" s="18" t="n">
        <v>155.94</v>
      </c>
      <c r="W86" s="18" t="n">
        <v>-144.37</v>
      </c>
      <c r="X86" s="18" t="n">
        <v>89.54000000000001</v>
      </c>
      <c r="Y86" s="18" t="n">
        <v>319.01</v>
      </c>
      <c r="Z86" s="34" t="n">
        <v>420.12</v>
      </c>
      <c r="AA86" s="18" t="n">
        <v>14.36</v>
      </c>
      <c r="AB86" s="19" t="n">
        <v>249.75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G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F88" s="9" t="n"/>
      <c r="K88" s="9" t="n"/>
      <c r="N88" s="18" t="n">
        <v>21.68</v>
      </c>
      <c r="O88" s="18" t="n">
        <v>22.12</v>
      </c>
      <c r="P88" s="9" t="n"/>
      <c r="Q88" s="18" t="n">
        <v>22.39</v>
      </c>
      <c r="R88" s="18" t="n">
        <v>23.41</v>
      </c>
      <c r="S88" s="18" t="n">
        <v>23.71</v>
      </c>
      <c r="T88" s="18" t="n">
        <v>24.26</v>
      </c>
      <c r="U88" s="34" t="n">
        <v>93.77</v>
      </c>
      <c r="V88" s="18" t="n">
        <v>24.83</v>
      </c>
      <c r="W88" s="18" t="n">
        <v>25.41</v>
      </c>
      <c r="X88" s="18" t="n">
        <v>25.35</v>
      </c>
      <c r="Y88" s="18" t="n">
        <v>27.3</v>
      </c>
      <c r="Z88" s="34" t="n">
        <v>102.89</v>
      </c>
      <c r="AA88" s="18" t="n">
        <v>28.9</v>
      </c>
      <c r="AB88" s="19" t="n">
        <v>25.79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0.14</v>
      </c>
      <c r="P89" s="9" t="n"/>
      <c r="Q89" s="18" t="n">
        <v>0.98</v>
      </c>
      <c r="T89" s="18" t="n">
        <v>22.09</v>
      </c>
      <c r="U89" s="9" t="n"/>
      <c r="V89" s="18" t="n">
        <v>-4.5</v>
      </c>
      <c r="W89" s="18" t="n">
        <v>25.52</v>
      </c>
      <c r="X89" s="18" t="n">
        <v>0.53</v>
      </c>
      <c r="Y89" s="18" t="n">
        <v>0.09</v>
      </c>
      <c r="Z89" s="34" t="n">
        <v>21.64</v>
      </c>
      <c r="AA89" s="18" t="n">
        <v>0.21</v>
      </c>
      <c r="AB89" s="19" t="n">
        <v>0.05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-0.0309</v>
      </c>
      <c r="F10" s="34" t="n"/>
      <c r="G10" s="18" t="n">
        <v>-0.0514</v>
      </c>
      <c r="H10" s="18" t="n">
        <v>0.0048</v>
      </c>
      <c r="I10" s="18" t="n">
        <v>-0.0102</v>
      </c>
      <c r="J10" s="18" t="n">
        <v>0.0141</v>
      </c>
      <c r="K10" s="34">
        <f>SUM(G10:J10)</f>
        <v/>
      </c>
      <c r="L10" s="18" t="n">
        <v>0.0207</v>
      </c>
      <c r="M10" s="18" t="n">
        <v>0.0497</v>
      </c>
      <c r="N10" s="18" t="n">
        <v>0.0672</v>
      </c>
      <c r="O10" s="18" t="n">
        <v>0.0413</v>
      </c>
      <c r="P10" s="34">
        <f>SUM(L10:O10)</f>
        <v/>
      </c>
      <c r="Q10" s="18" t="n">
        <v>0.0053</v>
      </c>
      <c r="R10" s="18" t="n">
        <v>0.0269</v>
      </c>
      <c r="S10" s="18" t="n">
        <v>-0.0316</v>
      </c>
      <c r="T10" s="18" t="n">
        <v>0.0731</v>
      </c>
      <c r="U10" s="34">
        <f>SUM(Q10:T10)</f>
        <v/>
      </c>
      <c r="V10" s="18" t="n">
        <v>0.007900000000000001</v>
      </c>
      <c r="W10" s="18" t="n">
        <v>0.0304</v>
      </c>
      <c r="X10" s="18" t="n">
        <v>-0.0335</v>
      </c>
      <c r="Y10" s="18" t="n">
        <v>-0.0309</v>
      </c>
      <c r="Z10" s="34">
        <f>SUM(V10:Y10)</f>
        <v/>
      </c>
      <c r="AA10" s="18" t="n">
        <v>0.0067</v>
      </c>
      <c r="AB10" s="19" t="n">
        <v>0.0138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>
        <f>IFERROR(VLOOKUP($D12,BS별도,MATCH(H$1,BS별도H,0),0)/100,"")</f>
        <v/>
      </c>
      <c r="I12" s="18" t="n"/>
      <c r="J12" s="18" t="n"/>
      <c r="K12" s="34">
        <f>SUM(G12:J12)</f>
        <v/>
      </c>
      <c r="L12" s="18" t="n"/>
      <c r="M12" s="18">
        <f>IFERROR(VLOOKUP($D12,BS별도,MATCH(M$1,BS별도H,0),0)/100,"")</f>
        <v/>
      </c>
      <c r="N12" s="18" t="n"/>
      <c r="O12" s="18" t="n"/>
      <c r="P12" s="34">
        <f>SUM(L12:O12)</f>
        <v/>
      </c>
      <c r="Q12" s="18" t="n"/>
      <c r="R12" s="18">
        <f>IFERROR(VLOOKUP($D12,BS별도,MATCH(R$1,BS별도H,0),0)/100,"")</f>
        <v/>
      </c>
      <c r="S12" s="18" t="n"/>
      <c r="T12" s="18" t="n"/>
      <c r="U12" s="34">
        <f>SUM(Q12:T12)</f>
        <v/>
      </c>
      <c r="V12" s="18" t="n"/>
      <c r="W12" s="18">
        <f>IFERROR(VLOOKUP($D12,BS별도,MATCH(W$1,BS별도H,0),0)/100,"")</f>
        <v/>
      </c>
      <c r="X12" s="18" t="n"/>
      <c r="Y12" s="18" t="n"/>
      <c r="Z12" s="34">
        <f>SUM(V12:Y12)</f>
        <v/>
      </c>
      <c r="AA12" s="18" t="n"/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>
        <v>0.04</v>
      </c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/>
      <c r="AC13" s="20" t="n">
        <v>0</v>
      </c>
      <c r="AD13" s="20" t="n">
        <v>0</v>
      </c>
      <c r="AE13" s="35">
        <f>SUM(AA13:AD13)</f>
        <v/>
      </c>
      <c r="AF13" s="20" t="n">
        <v>0</v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4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4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 t="n"/>
      <c r="AB17" s="19" t="n"/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4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4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4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4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4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4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4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4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4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4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4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4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-20.62</v>
      </c>
      <c r="F29" s="34" t="n"/>
      <c r="G29" s="18" t="n">
        <v>-28.91</v>
      </c>
      <c r="H29" s="18" t="n">
        <v>-3.46</v>
      </c>
      <c r="I29" s="18" t="n">
        <v>40.46</v>
      </c>
      <c r="J29" s="18" t="n">
        <v>8.029999999999999</v>
      </c>
      <c r="K29" s="34">
        <f>SUM(G29:J29)</f>
        <v/>
      </c>
      <c r="L29" s="18" t="n">
        <v>-11.34</v>
      </c>
      <c r="M29" s="18" t="n">
        <v>18.51</v>
      </c>
      <c r="N29" s="18" t="n">
        <v>5.58</v>
      </c>
      <c r="O29" s="18" t="n">
        <v>23.55</v>
      </c>
      <c r="P29" s="34">
        <f>SUM(L29:O29)</f>
        <v/>
      </c>
      <c r="Q29" s="18" t="n">
        <v>9.65</v>
      </c>
      <c r="R29" s="18" t="n">
        <v>11.81</v>
      </c>
      <c r="S29" s="18" t="n">
        <v>20.67</v>
      </c>
      <c r="T29" s="18" t="n">
        <v>12.64</v>
      </c>
      <c r="U29" s="34">
        <f>SUM(Q29:T29)</f>
        <v/>
      </c>
      <c r="V29" s="18" t="n">
        <v>-4.2</v>
      </c>
      <c r="W29" s="18" t="n">
        <v>9.19</v>
      </c>
      <c r="X29" s="18" t="n">
        <v>-0.79</v>
      </c>
      <c r="Y29" s="18" t="n">
        <v>16.05</v>
      </c>
      <c r="Z29" s="34">
        <f>SUM(V29:Y29)</f>
        <v/>
      </c>
      <c r="AA29" s="18" t="n">
        <v>-39.64</v>
      </c>
      <c r="AB29" s="19" t="n">
        <v>-6.85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11.145</v>
      </c>
      <c r="F30" s="27">
        <f>E30</f>
        <v/>
      </c>
      <c r="G30" s="26" t="n">
        <v>11.145</v>
      </c>
      <c r="H30" s="26" t="n">
        <v>11.145</v>
      </c>
      <c r="I30" s="26" t="n">
        <v>11.145</v>
      </c>
      <c r="J30" s="26" t="n">
        <v>11.145</v>
      </c>
      <c r="K30" s="27">
        <f>J30</f>
        <v/>
      </c>
      <c r="L30" s="26" t="n">
        <v>11.145</v>
      </c>
      <c r="M30" s="26" t="n">
        <v>11.145</v>
      </c>
      <c r="N30" s="26" t="n">
        <v>11.145</v>
      </c>
      <c r="O30" s="26" t="n">
        <v>11.145</v>
      </c>
      <c r="P30" s="27">
        <f>O30</f>
        <v/>
      </c>
      <c r="Q30" s="26" t="n">
        <v>11.145</v>
      </c>
      <c r="R30" s="26" t="n">
        <v>11.145</v>
      </c>
      <c r="S30" s="26" t="n">
        <v>11.145</v>
      </c>
      <c r="T30" s="26" t="n">
        <v>11.145</v>
      </c>
      <c r="U30" s="27">
        <f>T30</f>
        <v/>
      </c>
      <c r="V30" s="26" t="n">
        <v>11.145</v>
      </c>
      <c r="W30" s="26" t="n">
        <v>11.145</v>
      </c>
      <c r="X30" s="26" t="n">
        <v>11.145</v>
      </c>
      <c r="Y30" s="26" t="n">
        <v>11.145</v>
      </c>
      <c r="Z30" s="27">
        <f>Y30</f>
        <v/>
      </c>
      <c r="AA30" s="26" t="n">
        <v>11.145</v>
      </c>
      <c r="AB30" s="28" t="n">
        <v>11.145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4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4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4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4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4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5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5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4" t="n">
        <v>0</v>
      </c>
      <c r="G33" s="18" t="n"/>
      <c r="H33" s="18" t="n"/>
      <c r="I33" s="18" t="n"/>
      <c r="J33" s="18" t="n">
        <v>0</v>
      </c>
      <c r="K33" s="34">
        <f>SUM(G33:J33)</f>
        <v/>
      </c>
      <c r="L33" s="18" t="n"/>
      <c r="M33" s="18" t="n"/>
      <c r="N33" s="18" t="n"/>
      <c r="O33" s="18" t="n">
        <v>0</v>
      </c>
      <c r="P33" s="34">
        <f>SUM(L33:O33)</f>
        <v/>
      </c>
      <c r="Q33" s="18" t="n"/>
      <c r="R33" s="18" t="n"/>
      <c r="S33" s="18" t="n"/>
      <c r="T33" s="18" t="n">
        <v>0</v>
      </c>
      <c r="U33" s="34">
        <f>SUM(Q33:T33)</f>
        <v/>
      </c>
      <c r="V33" s="18" t="n"/>
      <c r="W33" s="18" t="n"/>
      <c r="X33" s="18" t="n"/>
      <c r="Y33" s="18" t="n">
        <v>0</v>
      </c>
      <c r="Z33" s="34">
        <f>SUM(V33:Y33)</f>
        <v/>
      </c>
      <c r="AA33" s="18" t="n"/>
      <c r="AB33" s="19" t="n"/>
      <c r="AC33" s="20" t="n"/>
      <c r="AD33" s="20" t="n">
        <v>0</v>
      </c>
      <c r="AE33" s="35">
        <f>SUM(AA33:AD33)</f>
        <v/>
      </c>
      <c r="AF33" s="20" t="n"/>
      <c r="AG33" s="20" t="n"/>
      <c r="AH33" s="20" t="n"/>
      <c r="AI33" s="20" t="n">
        <v>0</v>
      </c>
      <c r="AJ33" s="35">
        <f>SUM(AF33:AI33)</f>
        <v/>
      </c>
      <c r="AK33" s="20" t="n"/>
      <c r="AL33" s="20" t="n"/>
      <c r="AM33" s="20" t="n"/>
      <c r="AN33" s="20" t="n">
        <v>0</v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>
        <v>27.2</v>
      </c>
      <c r="J34" s="18" t="n">
        <v>16.6</v>
      </c>
      <c r="K34" s="34">
        <f>SUM(G34:J34)</f>
        <v/>
      </c>
      <c r="L34" s="18" t="n"/>
      <c r="M34" s="18" t="n">
        <v>122.9</v>
      </c>
      <c r="N34" s="18" t="n">
        <v>17.47</v>
      </c>
      <c r="O34" s="18" t="n">
        <v>12.47</v>
      </c>
      <c r="P34" s="34">
        <f>SUM(L34:O34)</f>
        <v/>
      </c>
      <c r="Q34" s="18" t="n">
        <v>12.98</v>
      </c>
      <c r="R34" s="18" t="n">
        <v>12.23</v>
      </c>
      <c r="S34" s="18" t="n">
        <v>48.03</v>
      </c>
      <c r="T34" s="18" t="n">
        <v>28.82</v>
      </c>
      <c r="U34" s="34">
        <f>SUM(Q34:T34)</f>
        <v/>
      </c>
      <c r="V34" s="18" t="n">
        <v>22.48</v>
      </c>
      <c r="W34" s="18" t="n">
        <v>20.94</v>
      </c>
      <c r="X34" s="18" t="n">
        <v>21.03</v>
      </c>
      <c r="Y34" s="18" t="n"/>
      <c r="Z34" s="34">
        <f>SUM(V34:Y34)</f>
        <v/>
      </c>
      <c r="AA34" s="18" t="n"/>
      <c r="AB34" s="19" t="n"/>
      <c r="AC34" s="20" t="n"/>
      <c r="AD34" s="20" t="n">
        <v>252.38</v>
      </c>
      <c r="AE34" s="35">
        <f>SUM(AA34:AD34)</f>
        <v/>
      </c>
      <c r="AF34" s="20" t="n">
        <v>348.68</v>
      </c>
      <c r="AG34" s="20" t="n"/>
      <c r="AH34" s="20" t="n"/>
      <c r="AI34" s="20" t="n"/>
      <c r="AJ34" s="35">
        <f>SUM(AF34:AI34)</f>
        <v/>
      </c>
      <c r="AK34" s="20" t="n"/>
      <c r="AL34" s="20" t="n"/>
      <c r="AM34" s="20" t="n"/>
      <c r="AN34" s="20" t="n"/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2.43</v>
      </c>
      <c r="F35" s="34" t="n">
        <v>2.11</v>
      </c>
      <c r="G35" s="18" t="n">
        <v>1.7</v>
      </c>
      <c r="H35" s="18" t="n">
        <v>1.35</v>
      </c>
      <c r="I35" s="18" t="n">
        <v>1.05</v>
      </c>
      <c r="J35" s="18" t="n">
        <v>0.96</v>
      </c>
      <c r="K35" s="34">
        <f>SUM(G35:J35)</f>
        <v/>
      </c>
      <c r="L35" s="18" t="n">
        <v>1.16</v>
      </c>
      <c r="M35" s="18" t="n">
        <v>1.15</v>
      </c>
      <c r="N35" s="18" t="n">
        <v>0.97</v>
      </c>
      <c r="O35" s="18" t="n">
        <v>0.9399999999999999</v>
      </c>
      <c r="P35" s="34">
        <f>SUM(L35:O35)</f>
        <v/>
      </c>
      <c r="Q35" s="18" t="n">
        <v>0.92</v>
      </c>
      <c r="R35" s="18" t="n">
        <v>0.77</v>
      </c>
      <c r="S35" s="18" t="n">
        <v>0.7</v>
      </c>
      <c r="T35" s="18" t="n">
        <v>0.64</v>
      </c>
      <c r="U35" s="34">
        <f>SUM(Q35:T35)</f>
        <v/>
      </c>
      <c r="V35" s="18" t="n">
        <v>0.6</v>
      </c>
      <c r="W35" s="18" t="n">
        <v>0.6</v>
      </c>
      <c r="X35" s="18" t="n">
        <v>0.63</v>
      </c>
      <c r="Y35" s="18" t="n">
        <v>0.6</v>
      </c>
      <c r="Z35" s="34">
        <f>SUM(V35:Y35)</f>
        <v/>
      </c>
      <c r="AA35" s="18" t="n">
        <v>0.57</v>
      </c>
      <c r="AB35" s="19" t="n">
        <v>0.6899999999999999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4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4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4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4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4">
        <f>SUM(V36:Y36)</f>
        <v/>
      </c>
      <c r="AA36" s="18" t="n">
        <v>88.26000000000001</v>
      </c>
      <c r="AB36" s="19" t="n">
        <v>110.76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4" t="n"/>
      <c r="G37" s="18" t="n">
        <v>-6.84</v>
      </c>
      <c r="H37" s="18" t="n">
        <v>0.66</v>
      </c>
      <c r="I37" s="18" t="n">
        <v>-1.2</v>
      </c>
      <c r="J37" s="18" t="n">
        <v>2.2</v>
      </c>
      <c r="K37" s="34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4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4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4">
        <f>SUM(V37:Y37)</f>
        <v/>
      </c>
      <c r="AA37" s="18" t="n">
        <v>0.59</v>
      </c>
      <c r="AB37" s="19" t="n">
        <v>1.53</v>
      </c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1">
        <f>IFERROR(AC19/AC5,"")</f>
        <v/>
      </c>
      <c r="AD40" s="31">
        <f>IFERROR(AD19/AD5,"")</f>
        <v/>
      </c>
      <c r="AE40" s="25">
        <f>IFERROR(AE19/AE5,"")</f>
        <v/>
      </c>
      <c r="AF40" s="31">
        <f>IFERROR(AF19/AF5,"")</f>
        <v/>
      </c>
      <c r="AG40" s="31">
        <f>IFERROR(AG19/AG5,"")</f>
        <v/>
      </c>
      <c r="AH40" s="31">
        <f>IFERROR(AH19/AH5,"")</f>
        <v/>
      </c>
      <c r="AI40" s="31">
        <f>IFERROR(AI19/AI5,"")</f>
        <v/>
      </c>
      <c r="AJ40" s="25">
        <f>IFERROR(AJ19/AJ5,"")</f>
        <v/>
      </c>
      <c r="AK40" s="31">
        <f>IFERROR(AK19/AK5,"")</f>
        <v/>
      </c>
      <c r="AL40" s="31">
        <f>IFERROR(AL19/AL5,"")</f>
        <v/>
      </c>
      <c r="AM40" s="31">
        <f>IFERROR(AM19/AM5,"")</f>
        <v/>
      </c>
      <c r="AN40" s="31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2">
        <f>IFERROR(W19/S19-1,"")</f>
        <v/>
      </c>
      <c r="X42" s="31">
        <f>IFERROR(X19/T19-1,"")</f>
        <v/>
      </c>
      <c r="Y42" s="31">
        <f>IFERROR(Y19/U19-1,"")</f>
        <v/>
      </c>
      <c r="Z42" s="31">
        <f>IFERROR(Z19/V19-1,"")</f>
        <v/>
      </c>
      <c r="AA42" s="31">
        <f>IFERROR(AA19/W19-1,"")</f>
        <v/>
      </c>
      <c r="AB42" s="31">
        <f>IFERROR(AB19/X19-1,"")</f>
        <v/>
      </c>
      <c r="AC42" s="31">
        <f>IFERROR(AC19/Y19-1,"")</f>
        <v/>
      </c>
      <c r="AD42" s="31">
        <f>IFERROR(AD19/Z19-1,"")</f>
        <v/>
      </c>
      <c r="AE42" s="31">
        <f>IFERROR(AE19/AA19-1,"")</f>
        <v/>
      </c>
      <c r="AF42" s="31">
        <f>IFERROR(AF19/AB19-1,"")</f>
        <v/>
      </c>
      <c r="AG42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2">
        <f>IFERROR(I19/H19-1,"")</f>
        <v/>
      </c>
      <c r="J42" s="31">
        <f>IFERROR(J19/I19-1,"")</f>
        <v/>
      </c>
      <c r="K42" s="31">
        <f>IFERROR(K19/J19-1,"")</f>
        <v/>
      </c>
      <c r="L42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-4.4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-0.0015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