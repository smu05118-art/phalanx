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BS연결!$C$5:$AO$5</definedName>
    <definedName name="BS별도H">BS별도!$C$1:$AO$1</definedName>
    <definedName name="BS별도">BS별도!$C$5:$AO$90</definedName>
    <definedName name="SUBQH">subQ!$A$1:$AO$1</definedName>
    <definedName name="subQ">subQ!$A$5:$AO$41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(1+-13.8%) — g=최근 4분기 합 YoY -13.8% 클립(−30~+50%), 연차별 절반 감쇠(가정)</t>
      </text>
    </comment>
    <comment ref="AD21" authorId="0" shapeId="0">
      <text>
        <t>모델값 역산(implied): v / 전년동기 − 1
전년동기 × (1+-13.8%) — g=최근 4분기 합 YoY -13.8% 클립(−30~+50%), 연차별 절반 감쇠(가정)</t>
      </text>
    </comment>
    <comment ref="AF21" authorId="0" shapeId="0">
      <text>
        <t>모델값 역산(implied): v / 전년동기 − 1
전년동기 × (1+-13.8%) — g=최근 4분기 합 YoY -13.8% 클립(−30~+50%), 연차별 절반 감쇠(가정)</t>
      </text>
    </comment>
    <comment ref="AG21" authorId="0" shapeId="0">
      <text>
        <t>모델값 역산(implied): v / 전년동기 − 1
전년동기 × (1+-13.8%) — g=최근 4분기 합 YoY -13.8% 클립(−30~+50%), 연차별 절반 감쇠(가정)</t>
      </text>
    </comment>
    <comment ref="AH21" authorId="0" shapeId="0">
      <text>
        <t>모델값 역산(implied): v / 전년동기 − 1
전년동기 × (1+-6.9%) — g=최근 4분기 합 YoY -13.8% 클립(−30~+50%), 연차별 절반 감쇠(가정)</t>
      </text>
    </comment>
    <comment ref="AI21" authorId="0" shapeId="0">
      <text>
        <t>모델값 역산(implied): v / 전년동기 − 1
전년동기 × (1+-6.9%) — g=최근 4분기 합 YoY -13.8% 클립(−30~+50%), 연차별 절반 감쇠(가정)</t>
      </text>
    </comment>
    <comment ref="AK21" authorId="0" shapeId="0">
      <text>
        <t>모델값 역산(implied): v / 전년동기 − 1
전년동기 × (1+-6.9%) — g=최근 4분기 합 YoY -13.8% 클립(−30~+50%), 연차별 절반 감쇠(가정)</t>
      </text>
    </comment>
    <comment ref="AL21" authorId="0" shapeId="0">
      <text>
        <t>모델값 역산(implied): v / 전년동기 − 1
전년동기 × (1+-6.9%) — g=최근 4분기 합 YoY -13.8% 클립(−30~+50%), 연차별 절반 감쇠(가정)</t>
      </text>
    </comment>
    <comment ref="AM21" authorId="0" shapeId="0">
      <text>
        <t>모델값 역산(implied): v / 전년동기 − 1
전년동기 × (1+-3.4%) — g=최근 4분기 합 YoY -13.8% 클립(−30~+50%), 연차별 절반 감쇠(가정)</t>
      </text>
    </comment>
    <comment ref="AN21" authorId="0" shapeId="0">
      <text>
        <t>모델값 역산(implied): v / 전년동기 − 1
전년동기 × (1+-3.4%) — g=최근 4분기 합 YoY -13.8% 클립(−30~+50%), 연차별 절반 감쇠(가정)</t>
      </text>
    </comment>
    <comment ref="AC22" authorId="0" shapeId="0">
      <text>
        <t>3절 스칼라 '판관비율' 참조 — 숫자로 덮어쓰면 이 분기만 바뀐다
매출액 × 판관비율 4.86%(최근 4분기 중위)</t>
      </text>
    </comment>
    <comment ref="AD22" authorId="0" shapeId="0">
      <text>
        <t>3절 스칼라 '판관비율' 참조 — 숫자로 덮어쓰면 이 분기만 바뀐다
매출액 × 판관비율 4.86%(최근 4분기 중위)</t>
      </text>
    </comment>
    <comment ref="AF22" authorId="0" shapeId="0">
      <text>
        <t>3절 스칼라 '판관비율' 참조 — 숫자로 덮어쓰면 이 분기만 바뀐다
매출액 × 판관비율 4.86%(최근 4분기 중위)</t>
      </text>
    </comment>
    <comment ref="AG22" authorId="0" shapeId="0">
      <text>
        <t>3절 스칼라 '판관비율' 참조 — 숫자로 덮어쓰면 이 분기만 바뀐다
매출액 × 판관비율 4.86%(최근 4분기 중위)</t>
      </text>
    </comment>
    <comment ref="AH22" authorId="0" shapeId="0">
      <text>
        <t>3절 스칼라 '판관비율' 참조 — 숫자로 덮어쓰면 이 분기만 바뀐다
매출액 × 판관비율 4.86%(최근 4분기 중위)</t>
      </text>
    </comment>
    <comment ref="AI22" authorId="0" shapeId="0">
      <text>
        <t>3절 스칼라 '판관비율' 참조 — 숫자로 덮어쓰면 이 분기만 바뀐다
매출액 × 판관비율 4.86%(최근 4분기 중위)</t>
      </text>
    </comment>
    <comment ref="AK22" authorId="0" shapeId="0">
      <text>
        <t>3절 스칼라 '판관비율' 참조 — 숫자로 덮어쓰면 이 분기만 바뀐다
매출액 × 판관비율 4.86%(최근 4분기 중위)</t>
      </text>
    </comment>
    <comment ref="AL22" authorId="0" shapeId="0">
      <text>
        <t>3절 스칼라 '판관비율' 참조 — 숫자로 덮어쓰면 이 분기만 바뀐다
매출액 × 판관비율 4.86%(최근 4분기 중위)</t>
      </text>
    </comment>
    <comment ref="AM22" authorId="0" shapeId="0">
      <text>
        <t>3절 스칼라 '판관비율' 참조 — 숫자로 덮어쓰면 이 분기만 바뀐다
매출액 × 판관비율 4.86%(최근 4분기 중위)</t>
      </text>
    </comment>
    <comment ref="AN22" authorId="0" shapeId="0">
      <text>
        <t>3절 스칼라 '판관비율' 참조 — 숫자로 덮어쓰면 이 분기만 바뀐다
매출액 × 판관비율 4.86%(최근 4분기 중위)</t>
      </text>
    </comment>
    <comment ref="AC23" authorId="0" shapeId="0">
      <text>
        <t>모델값 역산(implied): v / 매출액
매출액 × OPM(최근 8분기 OPM 중위 0.7% 유지(클립 −20~40%))</t>
      </text>
    </comment>
    <comment ref="AD23" authorId="0" shapeId="0">
      <text>
        <t>모델값 역산(implied): v / 매출액
매출액 × OPM(최근 8분기 OPM 중위 0.7% 유지(클립 −20~40%))</t>
      </text>
    </comment>
    <comment ref="AF23" authorId="0" shapeId="0">
      <text>
        <t>모델값 역산(implied): v / 매출액
매출액 × OPM(최근 8분기 OPM 중위 0.7% 유지(클립 −20~40%))</t>
      </text>
    </comment>
    <comment ref="AG23" authorId="0" shapeId="0">
      <text>
        <t>모델값 역산(implied): v / 매출액
매출액 × OPM(최근 8분기 OPM 중위 0.7% 유지(클립 −20~40%))</t>
      </text>
    </comment>
    <comment ref="AH23" authorId="0" shapeId="0">
      <text>
        <t>모델값 역산(implied): v / 매출액
매출액 × OPM(최근 8분기 OPM 중위 0.7% 유지(클립 −20~40%))</t>
      </text>
    </comment>
    <comment ref="AI23" authorId="0" shapeId="0">
      <text>
        <t>모델값 역산(implied): v / 매출액
매출액 × OPM(최근 8분기 OPM 중위 0.7% 유지(클립 −20~40%))</t>
      </text>
    </comment>
    <comment ref="AK23" authorId="0" shapeId="0">
      <text>
        <t>모델값 역산(implied): v / 매출액
매출액 × OPM(최근 8분기 OPM 중위 0.7% 유지(클립 −20~40%))</t>
      </text>
    </comment>
    <comment ref="AL23" authorId="0" shapeId="0">
      <text>
        <t>모델값 역산(implied): v / 매출액
매출액 × OPM(최근 8분기 OPM 중위 0.7% 유지(클립 −20~40%))</t>
      </text>
    </comment>
    <comment ref="AM23" authorId="0" shapeId="0">
      <text>
        <t>모델값 역산(implied): v / 매출액
매출액 × OPM(최근 8분기 OPM 중위 0.7% 유지(클립 −20~40%))</t>
      </text>
    </comment>
    <comment ref="AN23" authorId="0" shapeId="0">
      <text>
        <t>모델값 역산(implied): v / 매출액
매출액 × OPM(최근 8분기 OPM 중위 0.7%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D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F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G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H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I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K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L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M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N27" authorId="0" shapeId="0">
      <text>
        <t>3절 스칼라 '세율' 참조 — 숫자로 덮어쓰면 이 분기만 바뀐다
max(세전, 0) × 세율 22.0%(최근 12분기 유효세율 -2.4% 가 5~27% 밖; 세전 &gt; 0 분기 중위 1.0% 도 5~27% 밖 → 법정세율 근사 22% 가정)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(1+-13.8%) — g=최근 4분기 합 YoY -13.8% 클립(−30~+50%), 연차별 절반 감쇠(가정)
[yoy]</t>
      </text>
    </comment>
    <comment ref="AD5" authorId="0" shapeId="0">
      <text>
        <t>추정: 전년동기 × (1+-13.8%) — g=최근 4분기 합 YoY -13.8% 클립(−30~+50%), 연차별 절반 감쇠(가정)
[yoy]</t>
      </text>
    </comment>
    <comment ref="AF5" authorId="0" shapeId="0">
      <text>
        <t>추정: 전년동기 × (1+-13.8%) — g=최근 4분기 합 YoY -13.8% 클립(−30~+50%), 연차별 절반 감쇠(가정)
[yoy]</t>
      </text>
    </comment>
    <comment ref="AG5" authorId="0" shapeId="0">
      <text>
        <t>추정: 전년동기 × (1+-13.8%) — g=최근 4분기 합 YoY -13.8% 클립(−30~+50%), 연차별 절반 감쇠(가정)
[yoy]</t>
      </text>
    </comment>
    <comment ref="AH5" authorId="0" shapeId="0">
      <text>
        <t>추정: 전년동기 × (1+-6.9%) — g=최근 4분기 합 YoY -13.8% 클립(−30~+50%), 연차별 절반 감쇠(가정)
[yoy]</t>
      </text>
    </comment>
    <comment ref="AI5" authorId="0" shapeId="0">
      <text>
        <t>추정: 전년동기 × (1+-6.9%) — g=최근 4분기 합 YoY -13.8% 클립(−30~+50%), 연차별 절반 감쇠(가정)
[yoy]</t>
      </text>
    </comment>
    <comment ref="AK5" authorId="0" shapeId="0">
      <text>
        <t>추정: 전년동기 × (1+-6.9%) — g=최근 4분기 합 YoY -13.8% 클립(−30~+50%), 연차별 절반 감쇠(가정)
[yoy]</t>
      </text>
    </comment>
    <comment ref="AL5" authorId="0" shapeId="0">
      <text>
        <t>추정: 전년동기 × (1+-6.9%) — g=최근 4분기 합 YoY -13.8% 클립(−30~+50%), 연차별 절반 감쇠(가정)
[yoy]</t>
      </text>
    </comment>
    <comment ref="AM5" authorId="0" shapeId="0">
      <text>
        <t>추정: 전년동기 × (1+-3.4%) — g=최근 4분기 합 YoY -13.8% 클립(−30~+50%), 연차별 절반 감쇠(가정)
[yoy]</t>
      </text>
    </comment>
    <comment ref="AN5" authorId="0" shapeId="0">
      <text>
        <t>추정: 전년동기 × (1+-3.4%) — g=최근 4분기 합 YoY -13.8%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4.86%(최근 4분기 중위)
[ratio]</t>
      </text>
    </comment>
    <comment ref="AD8" authorId="0" shapeId="0">
      <text>
        <t>추정: 매출액 × 판관비율 4.86%(최근 4분기 중위)
[ratio]</t>
      </text>
    </comment>
    <comment ref="AF8" authorId="0" shapeId="0">
      <text>
        <t>추정: 매출액 × 판관비율 4.86%(최근 4분기 중위)
[ratio]</t>
      </text>
    </comment>
    <comment ref="AG8" authorId="0" shapeId="0">
      <text>
        <t>추정: 매출액 × 판관비율 4.86%(최근 4분기 중위)
[ratio]</t>
      </text>
    </comment>
    <comment ref="AH8" authorId="0" shapeId="0">
      <text>
        <t>추정: 매출액 × 판관비율 4.86%(최근 4분기 중위)
[ratio]</t>
      </text>
    </comment>
    <comment ref="AI8" authorId="0" shapeId="0">
      <text>
        <t>추정: 매출액 × 판관비율 4.86%(최근 4분기 중위)
[ratio]</t>
      </text>
    </comment>
    <comment ref="AK8" authorId="0" shapeId="0">
      <text>
        <t>추정: 매출액 × 판관비율 4.86%(최근 4분기 중위)
[ratio]</t>
      </text>
    </comment>
    <comment ref="AL8" authorId="0" shapeId="0">
      <text>
        <t>추정: 매출액 × 판관비율 4.86%(최근 4분기 중위)
[ratio]</t>
      </text>
    </comment>
    <comment ref="AM8" authorId="0" shapeId="0">
      <text>
        <t>추정: 매출액 × 판관비율 4.86%(최근 4분기 중위)
[ratio]</t>
      </text>
    </comment>
    <comment ref="AN8" authorId="0" shapeId="0">
      <text>
        <t>추정: 매출액 × 판관비율 4.86%(최근 4분기 중위)
[ratio]</t>
      </text>
    </comment>
    <comment ref="AC9" authorId="0" shapeId="0">
      <text>
        <t>추정: 매출액 × OPM(최근 8분기 OPM 중위 0.7% 유지(클립 −20~40%))
[ratio]</t>
      </text>
    </comment>
    <comment ref="AD9" authorId="0" shapeId="0">
      <text>
        <t>추정: 매출액 × OPM(최근 8분기 OPM 중위 0.7% 유지(클립 −20~40%))
[ratio]</t>
      </text>
    </comment>
    <comment ref="AF9" authorId="0" shapeId="0">
      <text>
        <t>추정: 매출액 × OPM(최근 8분기 OPM 중위 0.7% 유지(클립 −20~40%))
[ratio]</t>
      </text>
    </comment>
    <comment ref="AG9" authorId="0" shapeId="0">
      <text>
        <t>추정: 매출액 × OPM(최근 8분기 OPM 중위 0.7% 유지(클립 −20~40%))
[ratio]</t>
      </text>
    </comment>
    <comment ref="AH9" authorId="0" shapeId="0">
      <text>
        <t>추정: 매출액 × OPM(최근 8분기 OPM 중위 0.7% 유지(클립 −20~40%))
[ratio]</t>
      </text>
    </comment>
    <comment ref="AI9" authorId="0" shapeId="0">
      <text>
        <t>추정: 매출액 × OPM(최근 8분기 OPM 중위 0.7% 유지(클립 −20~40%))
[ratio]</t>
      </text>
    </comment>
    <comment ref="AK9" authorId="0" shapeId="0">
      <text>
        <t>추정: 매출액 × OPM(최근 8분기 OPM 중위 0.7% 유지(클립 −20~40%))
[ratio]</t>
      </text>
    </comment>
    <comment ref="AL9" authorId="0" shapeId="0">
      <text>
        <t>추정: 매출액 × OPM(최근 8분기 OPM 중위 0.7% 유지(클립 −20~40%))
[ratio]</t>
      </text>
    </comment>
    <comment ref="AM9" authorId="0" shapeId="0">
      <text>
        <t>추정: 매출액 × OPM(최근 8분기 OPM 중위 0.7% 유지(클립 −20~40%))
[ratio]</t>
      </text>
    </comment>
    <comment ref="AN9" authorId="0" shapeId="0">
      <text>
        <t>추정: 매출액 × OPM(최근 8분기 OPM 중위 0.7% 유지(클립 −20~40%))
[ratio]</t>
      </text>
    </comment>
    <comment ref="AC10" authorId="0" shapeId="0">
      <text>
        <t>추정: 최근 8분기 OPM 중위 0.7% 유지(클립 −20~40%)
[divide]</t>
      </text>
    </comment>
    <comment ref="AD10" authorId="0" shapeId="0">
      <text>
        <t>추정: 최근 8분기 OPM 중위 0.7% 유지(클립 −20~40%)
[divide]</t>
      </text>
    </comment>
    <comment ref="AF10" authorId="0" shapeId="0">
      <text>
        <t>추정: 최근 8분기 OPM 중위 0.7% 유지(클립 −20~40%)
[divide]</t>
      </text>
    </comment>
    <comment ref="AG10" authorId="0" shapeId="0">
      <text>
        <t>추정: 최근 8분기 OPM 중위 0.7% 유지(클립 −20~40%)
[divide]</t>
      </text>
    </comment>
    <comment ref="AH10" authorId="0" shapeId="0">
      <text>
        <t>추정: 최근 8분기 OPM 중위 0.7% 유지(클립 −20~40%)
[divide]</t>
      </text>
    </comment>
    <comment ref="AI10" authorId="0" shapeId="0">
      <text>
        <t>추정: 최근 8분기 OPM 중위 0.7% 유지(클립 −20~40%)
[divide]</t>
      </text>
    </comment>
    <comment ref="AK10" authorId="0" shapeId="0">
      <text>
        <t>추정: 최근 8분기 OPM 중위 0.7% 유지(클립 −20~40%)
[divide]</t>
      </text>
    </comment>
    <comment ref="AL10" authorId="0" shapeId="0">
      <text>
        <t>추정: 최근 8분기 OPM 중위 0.7% 유지(클립 −20~40%)
[divide]</t>
      </text>
    </comment>
    <comment ref="AM10" authorId="0" shapeId="0">
      <text>
        <t>추정: 최근 8분기 OPM 중위 0.7% 유지(클립 −20~40%)
[divide]</t>
      </text>
    </comment>
    <comment ref="AN10" authorId="0" shapeId="0">
      <text>
        <t>추정: 최근 8분기 OPM 중위 0.7%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4억 × 0.30%(주석 이자수익 ÷ 평균 이자발생자산(2025Q3~2026Q2)) − 총차입금 60억 × 3.61%(주석 이자비용 ÷ 평균 총차입금(2025Q3~2026Q2)) (연율) ÷ 4; 환율 효과는 환관련손익 행 별도
[identity]</t>
      </text>
    </comment>
    <comment ref="AC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D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F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G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H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I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K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L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M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AN12" authorId="0" shapeId="0">
      <text>
        <t>추정: 이자발생자산 4억 × 0.30%(주석 이자수익 ÷ 평균 이자발생자산(2025Q3~2026Q2)) − 총차입금 60억 × 3.61%(주석 이자비용 ÷ 평균 총차입금(2025Q3~2026Q2)) (연율) ÷ 4
[interest]</t>
      </text>
    </comment>
    <comment ref="R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최근 4분기 중위
[abs]</t>
      </text>
    </comment>
    <comment ref="AD15" authorId="0" shapeId="0">
      <text>
        <t>추정: 최근 4분기 중위
[abs]</t>
      </text>
    </comment>
    <comment ref="AF15" authorId="0" shapeId="0">
      <text>
        <t>추정: 최근 4분기 중위
[abs]</t>
      </text>
    </comment>
    <comment ref="AG15" authorId="0" shapeId="0">
      <text>
        <t>추정: 최근 4분기 중위
[abs]</t>
      </text>
    </comment>
    <comment ref="AH15" authorId="0" shapeId="0">
      <text>
        <t>추정: 최근 4분기 중위
[abs]</t>
      </text>
    </comment>
    <comment ref="AI15" authorId="0" shapeId="0">
      <text>
        <t>추정: 최근 4분기 중위
[abs]</t>
      </text>
    </comment>
    <comment ref="AK15" authorId="0" shapeId="0">
      <text>
        <t>추정: 최근 4분기 중위
[abs]</t>
      </text>
    </comment>
    <comment ref="AL15" authorId="0" shapeId="0">
      <text>
        <t>추정: 최근 4분기 중위
[abs]</t>
      </text>
    </comment>
    <comment ref="AM15" authorId="0" shapeId="0">
      <text>
        <t>추정: 최근 4분기 중위
[abs]</t>
      </text>
    </comment>
    <comment ref="AN15" authorId="0" shapeId="0">
      <text>
        <t>추정: 최근 4분기 중위
[abs]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AK16" authorId="0" shapeId="0">
      <text>
        <t>추정: 영업이익 + 금융손익 + 기타영업외 + 지분법 + 환관련(항등식)
[identity]</t>
      </text>
    </comment>
    <comment ref="AL16" authorId="0" shapeId="0">
      <text>
        <t>추정: 영업이익 + 금융손익 + 기타영업외 + 지분법 + 환관련(항등식)
[identity]</t>
      </text>
    </comment>
    <comment ref="AM16" authorId="0" shapeId="0">
      <text>
        <t>추정: 영업이익 + 금융손익 + 기타영업외 + 지분법 + 환관련(항등식)
[identity]</t>
      </text>
    </comment>
    <comment ref="AN16" authorId="0" shapeId="0">
      <text>
        <t>추정: 영업이익 + 금융손익 + 기타영업외 + 지분법 + 환관련(항등식)
[identity]</t>
      </text>
    </comment>
    <comment ref="AC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D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F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G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H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I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K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L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M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N17" authorId="0" shapeId="0">
      <text>
        <t>추정: max(세전, 0) × 세율 22.0%(최근 12분기 유효세율 -2.4% 가 5~27% 밖; 세전 &gt; 0 분기 중위 1.0% 도 5~27% 밖 → 법정세율 근사 22% 가정)
[tax]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AK18" authorId="0" shapeId="0">
      <text>
        <t>추정: 세전이익 − 법인세비용(항등식)
[identity]</t>
      </text>
    </comment>
    <comment ref="AL18" authorId="0" shapeId="0">
      <text>
        <t>추정: 세전이익 − 법인세비용(항등식)
[identity]</t>
      </text>
    </comment>
    <comment ref="AM18" authorId="0" shapeId="0">
      <text>
        <t>추정: 세전이익 − 법인세비용(항등식)
[identity]</t>
      </text>
    </comment>
    <comment ref="AN18" authorId="0" shapeId="0">
      <text>
        <t>추정: 세전이익 − 법인세비용(항등식)
[identity]</t>
      </text>
    </comment>
    <comment ref="AC19" authorId="0" shapeId="0">
      <text>
        <t>추정: 당기순이익 × (1 − 비지배 비중 0.0%, 최근 8분기 실측)
[ratio]</t>
      </text>
    </comment>
    <comment ref="AD19" authorId="0" shapeId="0">
      <text>
        <t>추정: 당기순이익 × (1 − 비지배 비중 0.0%, 최근 8분기 실측)
[ratio]</t>
      </text>
    </comment>
    <comment ref="AF19" authorId="0" shapeId="0">
      <text>
        <t>추정: 당기순이익 × (1 − 비지배 비중 0.0%, 최근 8분기 실측)
[ratio]</t>
      </text>
    </comment>
    <comment ref="AG19" authorId="0" shapeId="0">
      <text>
        <t>추정: 당기순이익 × (1 − 비지배 비중 0.0%, 최근 8분기 실측)
[ratio]</t>
      </text>
    </comment>
    <comment ref="AH19" authorId="0" shapeId="0">
      <text>
        <t>추정: 당기순이익 × (1 − 비지배 비중 0.0%, 최근 8분기 실측)
[ratio]</t>
      </text>
    </comment>
    <comment ref="AI19" authorId="0" shapeId="0">
      <text>
        <t>추정: 당기순이익 × (1 − 비지배 비중 0.0%, 최근 8분기 실측)
[ratio]</t>
      </text>
    </comment>
    <comment ref="AK19" authorId="0" shapeId="0">
      <text>
        <t>추정: 당기순이익 × (1 − 비지배 비중 0.0%, 최근 8분기 실측)
[ratio]</t>
      </text>
    </comment>
    <comment ref="AL19" authorId="0" shapeId="0">
      <text>
        <t>추정: 당기순이익 × (1 − 비지배 비중 0.0%, 최근 8분기 실측)
[ratio]</t>
      </text>
    </comment>
    <comment ref="AM19" authorId="0" shapeId="0">
      <text>
        <t>추정: 당기순이익 × (1 − 비지배 비중 0.0%, 최근 8분기 실측)
[ratio]</t>
      </text>
    </comment>
    <comment ref="AN19" authorId="0" shapeId="0">
      <text>
        <t>추정: 당기순이익 × (1 − 비지배 비중 0.0%, 최근 8분기 실측)
[ratio]</t>
      </text>
    </comment>
    <comment ref="F20" authorId="0" shapeId="0">
      <text>
        <t>연간 실측(BS 시트에 2021.12A 없음 — 모델 a 값 직접)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L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M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N25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F26" authorId="0" shapeId="0">
      <text>
        <t>연간 실측(BS 시트에 2021.12A 없음 — 모델 a 값 직접)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AL26" authorId="0" shapeId="0">
      <text>
        <t>추정: 전분기 + FCF 근사 — 순차입금 롤과 같은 가정
[qoq]</t>
      </text>
    </comment>
    <comment ref="AM26" authorId="0" shapeId="0">
      <text>
        <t>추정: 전분기 + FCF 근사 — 순차입금 롤과 같은 가정
[qoq]</t>
      </text>
    </comment>
    <comment ref="AN26" authorId="0" shapeId="0">
      <text>
        <t>추정: 전분기 + FCF 근사 — 순차입금 롤과 같은 가정
[qoq]</t>
      </text>
    </comment>
    <comment ref="F27" authorId="0" shapeId="0">
      <text>
        <t>연간 실측(BS 시트에 2021.12A 없음 — 모델 a 값 직접)</t>
      </text>
    </comment>
    <comment ref="AC28" authorId="0" shapeId="0">
      <text>
        <t>추정: 최근 4분기(2025Q3~2026Q2) CAPEX 중위 유지 — 순차입금 롤에 미반영(감가상각비 없음 → CAPEX≈감가 가정)
[yoy]</t>
      </text>
    </comment>
    <comment ref="AD28" authorId="0" shapeId="0">
      <text>
        <t>추정: 최근 4분기(2025Q3~2026Q2) CAPEX 중위 유지 — 순차입금 롤에 미반영(감가상각비 없음 → CAPEX≈감가 가정)
[yoy]</t>
      </text>
    </comment>
    <comment ref="AF28" authorId="0" shapeId="0">
      <text>
        <t>추정: 최근 4분기(2025Q3~2026Q2) CAPEX 중위 유지 — 순차입금 롤에 미반영(감가상각비 없음 → CAPEX≈감가 가정)
[yoy]</t>
      </text>
    </comment>
    <comment ref="AG28" authorId="0" shapeId="0">
      <text>
        <t>추정: 최근 4분기(2025Q3~2026Q2) CAPEX 중위 유지 — 순차입금 롤에 미반영(감가상각비 없음 → CAPEX≈감가 가정)
[yoy]</t>
      </text>
    </comment>
    <comment ref="AH28" authorId="0" shapeId="0">
      <text>
        <t>추정: 최근 4분기(2025Q3~2026Q2) CAPEX 중위 유지 — 순차입금 롤에 미반영(감가상각비 없음 → CAPEX≈감가 가정)
[yoy]</t>
      </text>
    </comment>
    <comment ref="AI28" authorId="0" shapeId="0">
      <text>
        <t>추정: 최근 4분기(2025Q3~2026Q2) CAPEX 중위 유지 — 순차입금 롤에 미반영(감가상각비 없음 → CAPEX≈감가 가정)
[yoy]</t>
      </text>
    </comment>
    <comment ref="AK28" authorId="0" shapeId="0">
      <text>
        <t>추정: 최근 4분기(2025Q3~2026Q2) CAPEX 중위 유지 — 순차입금 롤에 미반영(감가상각비 없음 → CAPEX≈감가 가정)
[yoy]</t>
      </text>
    </comment>
    <comment ref="AL28" authorId="0" shapeId="0">
      <text>
        <t>추정: 최근 4분기(2025Q3~2026Q2) CAPEX 중위 유지 — 순차입금 롤에 미반영(감가상각비 없음 → CAPEX≈감가 가정)
[yoy]</t>
      </text>
    </comment>
    <comment ref="AM28" authorId="0" shapeId="0">
      <text>
        <t>추정: 최근 4분기(2025Q3~2026Q2) CAPEX 중위 유지 — 순차입금 롤에 미반영(감가상각비 없음 → CAPEX≈감가 가정)
[yoy]</t>
      </text>
    </comment>
    <comment ref="AN28" authorId="0" shapeId="0">
      <text>
        <t>추정: 최근 4분기(2025Q3~2026Q2) CAPEX 중위 유지 — 순차입금 롤에 미반영(감가상각비 없음 → CAPEX≈감가 가정)
[yoy]</t>
      </text>
    </comment>
    <comment ref="E30" authorId="0" shapeId="0">
      <text>
        <t>실측(계정 매핑 없음(파생·부문·시세 행) — 모델값 직접) — fin.shares.common_outstanding</t>
      </text>
    </comment>
    <comment ref="G30" authorId="0" shapeId="0">
      <text>
        <t>실측(계정 매핑 없음(파생·부문·시세 행) — 모델값 직접) — fin.shares.common_outstanding</t>
      </text>
    </comment>
    <comment ref="H30" authorId="0" shapeId="0">
      <text>
        <t>실측(계정 매핑 없음(파생·부문·시세 행) — 모델값 직접) — fin.shares.common_outstanding</t>
      </text>
    </comment>
    <comment ref="I30" authorId="0" shapeId="0">
      <text>
        <t>실측(계정 매핑 없음(파생·부문·시세 행) — 모델값 직접) — fin.shares.common_outstanding</t>
      </text>
    </comment>
    <comment ref="J30" authorId="0" shapeId="0">
      <text>
        <t>실측(계정 매핑 없음(파생·부문·시세 행) — 모델값 직접) — fin.shares.common_outstanding</t>
      </text>
    </comment>
    <comment ref="L30" authorId="0" shapeId="0">
      <text>
        <t>실측(계정 매핑 없음(파생·부문·시세 행) — 모델값 직접) — fin.shares.common_outstanding</t>
      </text>
    </comment>
    <comment ref="M30" authorId="0" shapeId="0">
      <text>
        <t>실측(계정 매핑 없음(파생·부문·시세 행) — 모델값 직접) — fin.shares.common_outstanding</t>
      </text>
    </comment>
    <comment ref="N30" authorId="0" shapeId="0">
      <text>
        <t>실측(계정 매핑 없음(파생·부문·시세 행) — 모델값 직접) — fin.shares.common_outstanding</t>
      </text>
    </comment>
    <comment ref="O30" authorId="0" shapeId="0">
      <text>
        <t>실측(계정 매핑 없음(파생·부문·시세 행) — 모델값 직접) — fin.shares.common_outstanding</t>
      </text>
    </comment>
    <comment ref="Q30" authorId="0" shapeId="0">
      <text>
        <t>실측(계정 매핑 없음(파생·부문·시세 행) — 모델값 직접) — fin.shares.common_outstanding</t>
      </text>
    </comment>
    <comment ref="R30" authorId="0" shapeId="0">
      <text>
        <t>실측(계정 매핑 없음(파생·부문·시세 행) — 모델값 직접) — fin.shares.common_outstanding</t>
      </text>
    </comment>
    <comment ref="S30" authorId="0" shapeId="0">
      <text>
        <t>실측(계정 매핑 없음(파생·부문·시세 행) — 모델값 직접) — fin.shares.common_outstanding</t>
      </text>
    </comment>
    <comment ref="T30" authorId="0" shapeId="0">
      <text>
        <t>실측(계정 매핑 없음(파생·부문·시세 행) — 모델값 직접) — fin.shares.common_outstanding</t>
      </text>
    </comment>
    <comment ref="V30" authorId="0" shapeId="0">
      <text>
        <t>실측(계정 매핑 없음(파생·부문·시세 행) — 모델값 직접) — fin.shares.common_outstanding</t>
      </text>
    </comment>
    <comment ref="W30" authorId="0" shapeId="0">
      <text>
        <t>실측(계정 매핑 없음(파생·부문·시세 행) — 모델값 직접) — fin.shares.common_outstanding</t>
      </text>
    </comment>
    <comment ref="X30" authorId="0" shapeId="0">
      <text>
        <t>실측(계정 매핑 없음(파생·부문·시세 행) — 모델값 직접) — fin.shares.common_outstanding</t>
      </text>
    </comment>
    <comment ref="Y30" authorId="0" shapeId="0">
      <text>
        <t>실측(계정 매핑 없음(파생·부문·시세 행) — 모델값 직접) — fin.shares.common_outstanding</t>
      </text>
    </comment>
    <comment ref="AA30" authorId="0" shapeId="0">
      <text>
        <t>실측(계정 매핑 없음(파생·부문·시세 행) — 모델값 직접) — fin.shares.common_outstanding</t>
      </text>
    </comment>
    <comment ref="AB30" authorId="0" shapeId="0">
      <text>
        <t>실측(계정 매핑 없음(파생·부문·시세 행) — 모델값 직접) — fin.shares.common_outstanding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AK30" authorId="0" shapeId="0">
      <text>
        <t>추정: 유통주식수 유지 — fin.shares.common_outstanding(2026Q2)
[qoq]</t>
      </text>
    </comment>
    <comment ref="AL30" authorId="0" shapeId="0">
      <text>
        <t>추정: 유통주식수 유지 — fin.shares.common_outstanding(2026Q2)
[qoq]</t>
      </text>
    </comment>
    <comment ref="AM30" authorId="0" shapeId="0">
      <text>
        <t>추정: 유통주식수 유지 — fin.shares.common_outstanding(2026Q2)
[qoq]</t>
      </text>
    </comment>
    <comment ref="AN30" authorId="0" shapeId="0">
      <text>
        <t>추정: 유통주식수 유지 — fin.shares.common_outstanding(2026Q2)
[qoq]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AK31" authorId="0" shapeId="0">
      <text>
        <t>추정: 지배주주순이익 ÷ 유통주식수
[per_share]</t>
      </text>
    </comment>
    <comment ref="AL31" authorId="0" shapeId="0">
      <text>
        <t>추정: 지배주주순이익 ÷ 유통주식수
[per_share]</t>
      </text>
    </comment>
    <comment ref="AM31" authorId="0" shapeId="0">
      <text>
        <t>추정: 지배주주순이익 ÷ 유통주식수
[per_share]</t>
      </text>
    </comment>
    <comment ref="AN31" authorId="0" shapeId="0">
      <text>
        <t>추정: 지배주주순이익 ÷ 유통주식수
[per_share]</t>
      </text>
    </comment>
    <comment ref="AC32" authorId="0" shapeId="0">
      <text>
        <t>추정: 지배주주지분 ÷ 유통주식수
[per_share]</t>
      </text>
    </comment>
    <comment ref="AD32" authorId="0" shapeId="0">
      <text>
        <t>추정: 지배주주지분 ÷ 유통주식수
[per_share]</t>
      </text>
    </comment>
    <comment ref="AF32" authorId="0" shapeId="0">
      <text>
        <t>추정: 지배주주지분 ÷ 유통주식수
[per_share]</t>
      </text>
    </comment>
    <comment ref="AG32" authorId="0" shapeId="0">
      <text>
        <t>추정: 지배주주지분 ÷ 유통주식수
[per_share]</t>
      </text>
    </comment>
    <comment ref="AH32" authorId="0" shapeId="0">
      <text>
        <t>추정: 지배주주지분 ÷ 유통주식수
[per_share]</t>
      </text>
    </comment>
    <comment ref="AI32" authorId="0" shapeId="0">
      <text>
        <t>추정: 지배주주지분 ÷ 유통주식수
[per_share]</t>
      </text>
    </comment>
    <comment ref="AK32" authorId="0" shapeId="0">
      <text>
        <t>추정: 지배주주지분 ÷ 유통주식수
[per_share]</t>
      </text>
    </comment>
    <comment ref="AL32" authorId="0" shapeId="0">
      <text>
        <t>추정: 지배주주지분 ÷ 유통주식수
[per_share]</t>
      </text>
    </comment>
    <comment ref="AM32" authorId="0" shapeId="0">
      <text>
        <t>추정: 지배주주지분 ÷ 유통주식수
[per_share]</t>
      </text>
    </comment>
    <comment ref="AN32" authorId="0" shapeId="0">
      <text>
        <t>추정: 지배주주지분 ÷ 유통주식수
[per_share]</t>
      </text>
    </comment>
    <comment ref="E33" authorId="0" shapeId="0">
      <text>
        <t>실측(계정 매핑 없음(파생·부문·시세 행) — 모델값 직접) — fin.dividend.dps_common(연간, Q4 에 표기)</t>
      </text>
    </comment>
    <comment ref="F33" authorId="0" shapeId="0">
      <text>
        <t>연간(actual) — 분기 미완 연도, 모델 a 값 직접</t>
      </text>
    </comment>
    <comment ref="J33" authorId="0" shapeId="0">
      <text>
        <t>실측(계정 매핑 없음(파생·부문·시세 행) — 모델값 직접) — fin.dividend.dps_common(연간, Q4 에 표기)</t>
      </text>
    </comment>
    <comment ref="O33" authorId="0" shapeId="0">
      <text>
        <t>실측(계정 매핑 없음(파생·부문·시세 행) — 모델값 직접) — fin.dividend.dps_common(연간, Q4 에 표기)</t>
      </text>
    </comment>
    <comment ref="T33" authorId="0" shapeId="0">
      <text>
        <t>실측(계정 매핑 없음(파생·부문·시세 행) — 모델값 직접) — fin.dividend.dps_common(연간, Q4 에 표기)</t>
      </text>
    </comment>
    <comment ref="Y33" authorId="0" shapeId="0">
      <text>
        <t>실측(계정 매핑 없음(파생·부문·시세 행) — 모델값 직접) — fin.dividend.dps_common(연간, Q4 에 표기)</t>
      </text>
    </comment>
    <comment ref="AD33" authorId="0" shapeId="0">
      <text>
        <t>추정: 직전 결산 DPS 0원 유지
[abs]</t>
      </text>
    </comment>
    <comment ref="AI33" authorId="0" shapeId="0">
      <text>
        <t>추정: 직전 결산 DPS 0원 유지
[abs]</t>
      </text>
    </comment>
    <comment ref="AN33" authorId="0" shapeId="0">
      <text>
        <t>추정: 직전 결산 DPS 0원 유지
[abs]</t>
      </text>
    </comment>
    <comment ref="AD34" authorId="0" shapeId="0">
      <text>
        <t>추정: 현재 종가 ÷ TTM EPS(추정 포함)
[valuation]</t>
      </text>
    </comment>
    <comment ref="AF34" authorId="0" shapeId="0">
      <text>
        <t>추정: 현재 종가 ÷ TTM EPS(추정 포함)
[valuation]</t>
      </text>
    </comment>
    <comment ref="AG34" authorId="0" shapeId="0">
      <text>
        <t>추정: 현재 종가 ÷ TTM EPS(추정 포함)
[valuation]</t>
      </text>
    </comment>
    <comment ref="AH34" authorId="0" shapeId="0">
      <text>
        <t>추정: 현재 종가 ÷ TTM EPS(추정 포함)
[valuation]</t>
      </text>
    </comment>
    <comment ref="AI34" authorId="0" shapeId="0">
      <text>
        <t>추정: 현재 종가 ÷ TTM EPS(추정 포함)
[valuation]</t>
      </text>
    </comment>
    <comment ref="AK34" authorId="0" shapeId="0">
      <text>
        <t>추정: 현재 종가 ÷ TTM EPS(추정 포함)
[valuation]</t>
      </text>
    </comment>
    <comment ref="AL34" authorId="0" shapeId="0">
      <text>
        <t>추정: 현재 종가 ÷ TTM EPS(추정 포함)
[valuation]</t>
      </text>
    </comment>
    <comment ref="AM34" authorId="0" shapeId="0">
      <text>
        <t>추정: 현재 종가 ÷ TTM EPS(추정 포함)
[valuation]</t>
      </text>
    </comment>
    <comment ref="AN34" authorId="0" shapeId="0">
      <text>
        <t>추정: 현재 종가 ÷ TTM EPS(추정 포함)
[valuation]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E36" authorId="0" shapeId="0">
      <text>
        <t>실측(계정 매핑 없음(파생·부문·시세 행) — 모델값 직접) — = 매출액(부문 미분리)</t>
      </text>
    </comment>
    <comment ref="G36" authorId="0" shapeId="0">
      <text>
        <t>실측(계정 매핑 없음(파생·부문·시세 행) — 모델값 직접) — = 매출액(부문 미분리)</t>
      </text>
    </comment>
    <comment ref="H36" authorId="0" shapeId="0">
      <text>
        <t>실측(계정 매핑 없음(파생·부문·시세 행) — 모델값 직접) — = 매출액(부문 미분리)</t>
      </text>
    </comment>
    <comment ref="I36" authorId="0" shapeId="0">
      <text>
        <t>실측(계정 매핑 없음(파생·부문·시세 행) — 모델값 직접) — = 매출액(부문 미분리)</t>
      </text>
    </comment>
    <comment ref="J36" authorId="0" shapeId="0">
      <text>
        <t>실측(계정 매핑 없음(파생·부문·시세 행) — 모델값 직접) — = 매출액(부문 미분리)</t>
      </text>
    </comment>
    <comment ref="L36" authorId="0" shapeId="0">
      <text>
        <t>실측(계정 매핑 없음(파생·부문·시세 행) — 모델값 직접) — = 매출액(부문 미분리)</t>
      </text>
    </comment>
    <comment ref="M36" authorId="0" shapeId="0">
      <text>
        <t>실측(계정 매핑 없음(파생·부문·시세 행) — 모델값 직접) — = 매출액(부문 미분리)</t>
      </text>
    </comment>
    <comment ref="N36" authorId="0" shapeId="0">
      <text>
        <t>실측(계정 매핑 없음(파생·부문·시세 행) — 모델값 직접) — = 매출액(부문 미분리)</t>
      </text>
    </comment>
    <comment ref="O36" authorId="0" shapeId="0">
      <text>
        <t>실측(계정 매핑 없음(파생·부문·시세 행) — 모델값 직접) — = 매출액(부문 미분리)</t>
      </text>
    </comment>
    <comment ref="Q36" authorId="0" shapeId="0">
      <text>
        <t>실측(계정 매핑 없음(파생·부문·시세 행) — 모델값 직접) — = 매출액(부문 미분리)</t>
      </text>
    </comment>
    <comment ref="R36" authorId="0" shapeId="0">
      <text>
        <t>실측(계정 매핑 없음(파생·부문·시세 행) — 모델값 직접) — = 매출액(부문 미분리)</t>
      </text>
    </comment>
    <comment ref="S36" authorId="0" shapeId="0">
      <text>
        <t>실측(계정 매핑 없음(파생·부문·시세 행) — 모델값 직접) — = 매출액(부문 미분리)</t>
      </text>
    </comment>
    <comment ref="T36" authorId="0" shapeId="0">
      <text>
        <t>실측(계정 매핑 없음(파생·부문·시세 행) — 모델값 직접) — = 매출액(부문 미분리)</t>
      </text>
    </comment>
    <comment ref="V36" authorId="0" shapeId="0">
      <text>
        <t>실측(계정 매핑 없음(파생·부문·시세 행) — 모델값 직접) — = 매출액(부문 미분리)</t>
      </text>
    </comment>
    <comment ref="W36" authorId="0" shapeId="0">
      <text>
        <t>실측(계정 매핑 없음(파생·부문·시세 행) — 모델값 직접) — = 매출액(부문 미분리)</t>
      </text>
    </comment>
    <comment ref="X36" authorId="0" shapeId="0">
      <text>
        <t>실측(계정 매핑 없음(파생·부문·시세 행) — 모델값 직접) — = 매출액(부문 미분리)</t>
      </text>
    </comment>
    <comment ref="Y36" authorId="0" shapeId="0">
      <text>
        <t>실측(계정 매핑 없음(파생·부문·시세 행) — 모델값 직접) — = 매출액(부문 미분리)</t>
      </text>
    </comment>
    <comment ref="AA36" authorId="0" shapeId="0">
      <text>
        <t>실측(계정 매핑 없음(파생·부문·시세 행) — 모델값 직접) — = 매출액(부문 미분리)</t>
      </text>
    </comment>
    <comment ref="AB36" authorId="0" shapeId="0">
      <text>
        <t>실측(계정 매핑 없음(파생·부문·시세 행) — 모델값 직접) — = 매출액(부문 미분리)</t>
      </text>
    </comment>
    <comment ref="AC36" authorId="0" shapeId="0">
      <text>
        <t>추정: = 매출액 추정(부문 미분리)
[identity]</t>
      </text>
    </comment>
    <comment ref="AD36" authorId="0" shapeId="0">
      <text>
        <t>추정: = 매출액 추정(부문 미분리)
[identity]</t>
      </text>
    </comment>
    <comment ref="AF36" authorId="0" shapeId="0">
      <text>
        <t>추정: = 매출액 추정(부문 미분리)
[identity]</t>
      </text>
    </comment>
    <comment ref="AG36" authorId="0" shapeId="0">
      <text>
        <t>추정: = 매출액 추정(부문 미분리)
[identity]</t>
      </text>
    </comment>
    <comment ref="AH36" authorId="0" shapeId="0">
      <text>
        <t>추정: = 매출액 추정(부문 미분리)
[identity]</t>
      </text>
    </comment>
    <comment ref="AI36" authorId="0" shapeId="0">
      <text>
        <t>추정: = 매출액 추정(부문 미분리)
[identity]</t>
      </text>
    </comment>
    <comment ref="AK36" authorId="0" shapeId="0">
      <text>
        <t>추정: = 매출액 추정(부문 미분리)
[identity]</t>
      </text>
    </comment>
    <comment ref="AL36" authorId="0" shapeId="0">
      <text>
        <t>추정: = 매출액 추정(부문 미분리)
[identity]</t>
      </text>
    </comment>
    <comment ref="AM36" authorId="0" shapeId="0">
      <text>
        <t>추정: = 매출액 추정(부문 미분리)
[identity]</t>
      </text>
    </comment>
    <comment ref="AN36" authorId="0" shapeId="0">
      <text>
        <t>추정: = 매출액 추정(부문 미분리)
[identity]</t>
      </text>
    </comment>
    <comment ref="E37" authorId="0" shapeId="0">
      <text>
        <t>실측(계정 매핑 없음(파생·부문·시세 행) — 모델값 직접) — = 영업이익(부문 미분리)</t>
      </text>
    </comment>
    <comment ref="G37" authorId="0" shapeId="0">
      <text>
        <t>실측(계정 매핑 없음(파생·부문·시세 행) — 모델값 직접) — = 영업이익(부문 미분리)</t>
      </text>
    </comment>
    <comment ref="H37" authorId="0" shapeId="0">
      <text>
        <t>실측(계정 매핑 없음(파생·부문·시세 행) — 모델값 직접) — = 영업이익(부문 미분리)</t>
      </text>
    </comment>
    <comment ref="I37" authorId="0" shapeId="0">
      <text>
        <t>실측(계정 매핑 없음(파생·부문·시세 행) — 모델값 직접) — = 영업이익(부문 미분리)</t>
      </text>
    </comment>
    <comment ref="J37" authorId="0" shapeId="0">
      <text>
        <t>실측(계정 매핑 없음(파생·부문·시세 행) — 모델값 직접) — = 영업이익(부문 미분리)</t>
      </text>
    </comment>
    <comment ref="L37" authorId="0" shapeId="0">
      <text>
        <t>실측(계정 매핑 없음(파생·부문·시세 행) — 모델값 직접) — = 영업이익(부문 미분리)</t>
      </text>
    </comment>
    <comment ref="M37" authorId="0" shapeId="0">
      <text>
        <t>실측(계정 매핑 없음(파생·부문·시세 행) — 모델값 직접) — = 영업이익(부문 미분리)</t>
      </text>
    </comment>
    <comment ref="N37" authorId="0" shapeId="0">
      <text>
        <t>실측(계정 매핑 없음(파생·부문·시세 행) — 모델값 직접) — = 영업이익(부문 미분리)</t>
      </text>
    </comment>
    <comment ref="O37" authorId="0" shapeId="0">
      <text>
        <t>실측(계정 매핑 없음(파생·부문·시세 행) — 모델값 직접) — = 영업이익(부문 미분리)</t>
      </text>
    </comment>
    <comment ref="Q37" authorId="0" shapeId="0">
      <text>
        <t>실측(계정 매핑 없음(파생·부문·시세 행) — 모델값 직접) — = 영업이익(부문 미분리)</t>
      </text>
    </comment>
    <comment ref="R37" authorId="0" shapeId="0">
      <text>
        <t>실측(계정 매핑 없음(파생·부문·시세 행) — 모델값 직접) — = 영업이익(부문 미분리)</t>
      </text>
    </comment>
    <comment ref="S37" authorId="0" shapeId="0">
      <text>
        <t>실측(계정 매핑 없음(파생·부문·시세 행) — 모델값 직접) — = 영업이익(부문 미분리)</t>
      </text>
    </comment>
    <comment ref="T37" authorId="0" shapeId="0">
      <text>
        <t>실측(계정 매핑 없음(파생·부문·시세 행) — 모델값 직접) — = 영업이익(부문 미분리)</t>
      </text>
    </comment>
    <comment ref="V37" authorId="0" shapeId="0">
      <text>
        <t>실측(계정 매핑 없음(파생·부문·시세 행) — 모델값 직접) — = 영업이익(부문 미분리)</t>
      </text>
    </comment>
    <comment ref="W37" authorId="0" shapeId="0">
      <text>
        <t>실측(계정 매핑 없음(파생·부문·시세 행) — 모델값 직접) — = 영업이익(부문 미분리)</t>
      </text>
    </comment>
    <comment ref="X37" authorId="0" shapeId="0">
      <text>
        <t>실측(계정 매핑 없음(파생·부문·시세 행) — 모델값 직접) — = 영업이익(부문 미분리)</t>
      </text>
    </comment>
    <comment ref="Y37" authorId="0" shapeId="0">
      <text>
        <t>실측(계정 매핑 없음(파생·부문·시세 행) — 모델값 직접) — = 영업이익(부문 미분리)</t>
      </text>
    </comment>
    <comment ref="AA37" authorId="0" shapeId="0">
      <text>
        <t>실측(계정 매핑 없음(파생·부문·시세 행) — 모델값 직접) — = 영업이익(부문 미분리)</t>
      </text>
    </comment>
    <comment ref="AB37" authorId="0" shapeId="0">
      <text>
        <t>실측(계정 매핑 없음(파생·부문·시세 행) — 모델값 직접) — = 영업이익(부문 미분리)</t>
      </text>
    </comment>
    <comment ref="AC37" authorId="0" shapeId="0">
      <text>
        <t>추정: = 매출액 × OPM(부문 미분리)
[identity]</t>
      </text>
    </comment>
    <comment ref="AD37" authorId="0" shapeId="0">
      <text>
        <t>추정: = 매출액 × OPM(부문 미분리)
[identity]</t>
      </text>
    </comment>
    <comment ref="AF37" authorId="0" shapeId="0">
      <text>
        <t>추정: = 매출액 × OPM(부문 미분리)
[identity]</t>
      </text>
    </comment>
    <comment ref="AG37" authorId="0" shapeId="0">
      <text>
        <t>추정: = 매출액 × OPM(부문 미분리)
[identity]</t>
      </text>
    </comment>
    <comment ref="AH37" authorId="0" shapeId="0">
      <text>
        <t>추정: = 매출액 × OPM(부문 미분리)
[identity]</t>
      </text>
    </comment>
    <comment ref="AI37" authorId="0" shapeId="0">
      <text>
        <t>추정: = 매출액 × OPM(부문 미분리)
[identity]</t>
      </text>
    </comment>
    <comment ref="AK37" authorId="0" shapeId="0">
      <text>
        <t>추정: = 매출액 × OPM(부문 미분리)
[identity]</t>
      </text>
    </comment>
    <comment ref="AL37" authorId="0" shapeId="0">
      <text>
        <t>추정: = 매출액 × OPM(부문 미분리)
[identity]</t>
      </text>
    </comment>
    <comment ref="AM37" authorId="0" shapeId="0">
      <text>
        <t>추정: = 매출액 × OPM(부문 미분리)
[identity]</t>
      </text>
    </comment>
    <comment ref="AN37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한국주강(025890)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22.50% — 법인세 = MAX(세전,0) × 세율, 추정 전 분기 연결(Σ법인세/Σmax(세전,0) 역산, 재현 오차 ≤ 0.05억). 모델 가정 22.00% · 근거: 최근 12분기 유효세율 -2.4% 가 5~27% 밖; 세전 &gt; 0 분기 중위 1.0% 도 5~27% 밖 → 법정세율 근사 22% 가정</t>
        </is>
      </c>
    </row>
    <row r="23">
      <c r="A23" t="inlineStr">
        <is>
          <t>· 판관비율 4.86%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0.00% / 부채 3.58% — 이자손익 = (전분기 이자발생자산 × 자산이자율 − 전분기 총차입금 × 부채이자율)/4, 최소자승 역산(모델 assumptions [0.003, 0.0361]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16.6/21.0/28.8배(hist_quarterly(분기 평균가 ÷ TTM EPS, 12분기,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assets/models/025890.json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금융손익 실적→추정 단절: 최근 4분기 실적 -0/-0/-0/-1(중위 -0억) → 추정 2026Q3 -1억(차 -0억, -99%)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16.0, "op_wape_pct": 180.2,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83.53, "rev_act": 97.77, "op_pred": 2.39, "op_act": -3.27}, {"q": "2025Q4", "rev_pred": 115.84, "rev_act": 89.99, "op_pred": 3.32, "op_act": -2.78}, {"q": "2026Q1", "rev_pred": 79.11, "rev_act": 88.26, "op_pred": 2.27, "op_act": 0.59}, {"q": "2026Q2", "rev_pred": 97.99, "rev_act": 110.76, "op_pred": 2.81, "op_act": 1.53}]}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5320</v>
      </c>
      <c r="F15" s="9" t="n"/>
      <c r="G15" s="18" t="n">
        <v>4260</v>
      </c>
      <c r="H15" s="18" t="n">
        <v>2710</v>
      </c>
      <c r="I15" s="18" t="n">
        <v>2410</v>
      </c>
      <c r="J15" s="18" t="n">
        <v>2560</v>
      </c>
      <c r="K15" s="9" t="n"/>
      <c r="L15" s="18" t="n">
        <v>3390</v>
      </c>
      <c r="M15" s="18" t="n">
        <v>3355</v>
      </c>
      <c r="N15" s="18" t="n">
        <v>2775</v>
      </c>
      <c r="O15" s="18" t="n">
        <v>3035</v>
      </c>
      <c r="P15" s="9" t="n"/>
      <c r="Q15" s="18" t="n">
        <v>2550</v>
      </c>
      <c r="R15" s="18" t="n">
        <v>2085</v>
      </c>
      <c r="S15" s="18" t="n">
        <v>1981</v>
      </c>
      <c r="T15" s="18" t="n">
        <v>1879</v>
      </c>
      <c r="U15" s="9" t="n"/>
      <c r="V15" s="18" t="n">
        <v>1727</v>
      </c>
      <c r="W15" s="18" t="n">
        <v>1856</v>
      </c>
      <c r="X15" s="18" t="n">
        <v>1882</v>
      </c>
      <c r="Y15" s="18" t="n">
        <v>1805</v>
      </c>
      <c r="Z15" s="9" t="n"/>
      <c r="AA15" s="18" t="n">
        <v>1956</v>
      </c>
      <c r="AB15" s="19" t="n">
        <v>2180</v>
      </c>
      <c r="AC15" s="20" t="n">
        <v>2680</v>
      </c>
      <c r="AD15" s="20" t="n">
        <v>2500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8580</v>
      </c>
      <c r="F16" s="9" t="n"/>
      <c r="G16" s="18" t="n">
        <v>5640</v>
      </c>
      <c r="H16" s="18" t="n">
        <v>4465</v>
      </c>
      <c r="I16" s="18" t="n">
        <v>4170</v>
      </c>
      <c r="J16" s="18" t="n">
        <v>3260</v>
      </c>
      <c r="K16" s="9" t="n"/>
      <c r="L16" s="18" t="n">
        <v>4170</v>
      </c>
      <c r="M16" s="18" t="n">
        <v>4705</v>
      </c>
      <c r="N16" s="18" t="n">
        <v>3375</v>
      </c>
      <c r="O16" s="18" t="n">
        <v>3185</v>
      </c>
      <c r="P16" s="9" t="n"/>
      <c r="Q16" s="18" t="n">
        <v>3205</v>
      </c>
      <c r="R16" s="18" t="n">
        <v>2565</v>
      </c>
      <c r="S16" s="18" t="n">
        <v>2865</v>
      </c>
      <c r="T16" s="18" t="n">
        <v>2525</v>
      </c>
      <c r="U16" s="9" t="n"/>
      <c r="V16" s="18" t="n">
        <v>1969</v>
      </c>
      <c r="W16" s="18" t="n">
        <v>1952</v>
      </c>
      <c r="X16" s="18" t="n">
        <v>2300</v>
      </c>
      <c r="Y16" s="18" t="n">
        <v>2235</v>
      </c>
      <c r="Z16" s="9" t="n"/>
      <c r="AA16" s="18" t="n">
        <v>2155</v>
      </c>
      <c r="AB16" s="19" t="n">
        <v>2340</v>
      </c>
      <c r="AC16" s="20" t="n">
        <v>2790</v>
      </c>
      <c r="AD16" s="20" t="n">
        <v>2780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3150</v>
      </c>
      <c r="F17" s="9" t="n"/>
      <c r="G17" s="18" t="n">
        <v>3990</v>
      </c>
      <c r="H17" s="18" t="n">
        <v>2420</v>
      </c>
      <c r="I17" s="18" t="n">
        <v>2355</v>
      </c>
      <c r="J17" s="18" t="n">
        <v>2295</v>
      </c>
      <c r="K17" s="9" t="n"/>
      <c r="L17" s="18" t="n">
        <v>2490</v>
      </c>
      <c r="M17" s="18" t="n">
        <v>2970</v>
      </c>
      <c r="N17" s="18" t="n">
        <v>2540</v>
      </c>
      <c r="O17" s="18" t="n">
        <v>2300</v>
      </c>
      <c r="P17" s="9" t="n"/>
      <c r="Q17" s="18" t="n">
        <v>2450</v>
      </c>
      <c r="R17" s="18" t="n">
        <v>2060</v>
      </c>
      <c r="S17" s="18" t="n">
        <v>1850</v>
      </c>
      <c r="T17" s="18" t="n">
        <v>1747</v>
      </c>
      <c r="U17" s="9" t="n"/>
      <c r="V17" s="18" t="n">
        <v>1715</v>
      </c>
      <c r="W17" s="18" t="n">
        <v>1715</v>
      </c>
      <c r="X17" s="18" t="n">
        <v>1780</v>
      </c>
      <c r="Y17" s="18" t="n">
        <v>1638</v>
      </c>
      <c r="Z17" s="9" t="n"/>
      <c r="AA17" s="18" t="n">
        <v>1494</v>
      </c>
      <c r="AB17" s="19" t="n">
        <v>1772</v>
      </c>
      <c r="AC17" s="20" t="n">
        <v>2130</v>
      </c>
      <c r="AD17" s="20" t="n">
        <v>2450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6118.8</v>
      </c>
      <c r="F18" s="9" t="n"/>
      <c r="G18" s="18" t="n">
        <v>4601.7</v>
      </c>
      <c r="H18" s="18" t="n">
        <v>3655.8</v>
      </c>
      <c r="I18" s="18" t="n">
        <v>2809.9</v>
      </c>
      <c r="J18" s="18" t="n">
        <v>2565.4</v>
      </c>
      <c r="K18" s="9" t="n"/>
      <c r="L18" s="18" t="n">
        <v>3426.5</v>
      </c>
      <c r="M18" s="18" t="n">
        <v>3367.5</v>
      </c>
      <c r="N18" s="18" t="n">
        <v>2833.7</v>
      </c>
      <c r="O18" s="18" t="n">
        <v>2793.8</v>
      </c>
      <c r="P18" s="9" t="n"/>
      <c r="Q18" s="18" t="n">
        <v>2734.1</v>
      </c>
      <c r="R18" s="18" t="n">
        <v>2292.9</v>
      </c>
      <c r="S18" s="18" t="n">
        <v>2079.9</v>
      </c>
      <c r="T18" s="18" t="n">
        <v>1971.1</v>
      </c>
      <c r="U18" s="9" t="n"/>
      <c r="V18" s="18" t="n">
        <v>1809.4</v>
      </c>
      <c r="W18" s="18" t="n">
        <v>1836.2</v>
      </c>
      <c r="X18" s="18" t="n">
        <v>1905</v>
      </c>
      <c r="Y18" s="18" t="n">
        <v>1790.6</v>
      </c>
      <c r="Z18" s="9" t="n"/>
      <c r="AA18" s="18" t="n">
        <v>1732.8</v>
      </c>
      <c r="AB18" s="19" t="n">
        <v>2055.9</v>
      </c>
      <c r="AC18" s="20" t="n">
        <v>2432.7</v>
      </c>
      <c r="AD18" s="20" t="n">
        <v>2609.4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-0.137543061</v>
      </c>
      <c r="AD21" s="24" t="n">
        <v>-0.137537297</v>
      </c>
      <c r="AE21" s="25" t="n"/>
      <c r="AF21" s="24" t="n">
        <v>-0.137588215</v>
      </c>
      <c r="AG21" s="24" t="n">
        <v>-0.137580005</v>
      </c>
      <c r="AH21" s="24" t="n">
        <v>-0.068785579</v>
      </c>
      <c r="AI21" s="24" t="n">
        <v>-0.068805566</v>
      </c>
      <c r="AJ21" s="25" t="n"/>
      <c r="AK21" s="24" t="n">
        <v>-0.068707304</v>
      </c>
      <c r="AL21" s="24" t="n">
        <v>-0.068781407</v>
      </c>
      <c r="AM21" s="24" t="n">
        <v>-0.034386144</v>
      </c>
      <c r="AN21" s="24" t="n">
        <v>-0.03445413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0.007234345</v>
      </c>
      <c r="AD23" s="24" t="n">
        <v>0.007344414</v>
      </c>
      <c r="AE23" s="25">
        <f>IFERROR(subQ!AE9/subQ!AE5,"")</f>
        <v/>
      </c>
      <c r="AF23" s="24" t="n">
        <v>0.007225434</v>
      </c>
      <c r="AG23" s="24" t="n">
        <v>0.007328308</v>
      </c>
      <c r="AH23" s="24" t="n">
        <v>0.007259297</v>
      </c>
      <c r="AI23" s="24" t="n">
        <v>0.00733361</v>
      </c>
      <c r="AJ23" s="25">
        <f>IFERROR(subQ!AJ9/subQ!AJ5,"")</f>
        <v/>
      </c>
      <c r="AK23" s="24" t="n">
        <v>0.007335308</v>
      </c>
      <c r="AL23" s="24" t="n">
        <v>0.007307476</v>
      </c>
      <c r="AM23" s="24" t="n">
        <v>0.007254023</v>
      </c>
      <c r="AN23" s="24" t="n">
        <v>0.007308684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세율</t>
        </is>
      </c>
      <c r="E27" s="21">
        <f>IFERROR(subQ!E17/subQ!E16,"")</f>
        <v/>
      </c>
      <c r="F27" s="22">
        <f>IFERROR(subQ!F17/subQ!F16,"")</f>
        <v/>
      </c>
      <c r="G27" s="21">
        <f>IFERROR(subQ!G17/subQ!G16,"")</f>
        <v/>
      </c>
      <c r="H27" s="21">
        <f>IFERROR(subQ!H17/subQ!H16,"")</f>
        <v/>
      </c>
      <c r="I27" s="21">
        <f>IFERROR(subQ!I17/subQ!I16,"")</f>
        <v/>
      </c>
      <c r="J27" s="21">
        <f>IFERROR(subQ!J17/subQ!J16,"")</f>
        <v/>
      </c>
      <c r="K27" s="22">
        <f>IFERROR(subQ!K17/subQ!K16,"")</f>
        <v/>
      </c>
      <c r="L27" s="21">
        <f>IFERROR(subQ!L17/subQ!L16,"")</f>
        <v/>
      </c>
      <c r="M27" s="21">
        <f>IFERROR(subQ!M17/subQ!M16,"")</f>
        <v/>
      </c>
      <c r="N27" s="21">
        <f>IFERROR(subQ!N17/subQ!N16,"")</f>
        <v/>
      </c>
      <c r="O27" s="21">
        <f>IFERROR(subQ!O17/subQ!O16,"")</f>
        <v/>
      </c>
      <c r="P27" s="22">
        <f>IFERROR(subQ!P17/subQ!P16,"")</f>
        <v/>
      </c>
      <c r="Q27" s="21">
        <f>IFERROR(subQ!Q17/subQ!Q16,"")</f>
        <v/>
      </c>
      <c r="R27" s="21">
        <f>IFERROR(subQ!R17/subQ!R16,"")</f>
        <v/>
      </c>
      <c r="S27" s="21">
        <f>IFERROR(subQ!S17/subQ!S16,"")</f>
        <v/>
      </c>
      <c r="T27" s="21">
        <f>IFERROR(subQ!T17/subQ!T16,"")</f>
        <v/>
      </c>
      <c r="U27" s="22">
        <f>IFERROR(subQ!U17/subQ!U16,"")</f>
        <v/>
      </c>
      <c r="V27" s="21">
        <f>IFERROR(subQ!V17/subQ!V16,"")</f>
        <v/>
      </c>
      <c r="W27" s="21">
        <f>IFERROR(subQ!W17/subQ!W16,"")</f>
        <v/>
      </c>
      <c r="X27" s="21">
        <f>IFERROR(subQ!X17/subQ!X16,"")</f>
        <v/>
      </c>
      <c r="Y27" s="21">
        <f>IFERROR(subQ!Y17/subQ!Y16,"")</f>
        <v/>
      </c>
      <c r="Z27" s="22">
        <f>IFERROR(subQ!Z17/subQ!Z16,"")</f>
        <v/>
      </c>
      <c r="AA27" s="21">
        <f>IFERROR(subQ!AA17/subQ!AA16,"")</f>
        <v/>
      </c>
      <c r="AB27" s="23">
        <f>IFERROR(subQ!AB17/subQ!AB16,"")</f>
        <v/>
      </c>
      <c r="AC27" s="26">
        <f>$D$49</f>
        <v/>
      </c>
      <c r="AD27" s="26">
        <f>$D$49</f>
        <v/>
      </c>
      <c r="AE27" s="25">
        <f>IFERROR(subQ!AE17/subQ!AE16,"")</f>
        <v/>
      </c>
      <c r="AF27" s="26">
        <f>$D$49</f>
        <v/>
      </c>
      <c r="AG27" s="26">
        <f>$D$49</f>
        <v/>
      </c>
      <c r="AH27" s="26">
        <f>$D$49</f>
        <v/>
      </c>
      <c r="AI27" s="26">
        <f>$D$49</f>
        <v/>
      </c>
      <c r="AJ27" s="25">
        <f>IFERROR(subQ!AJ17/subQ!AJ16,"")</f>
        <v/>
      </c>
      <c r="AK27" s="26">
        <f>$D$49</f>
        <v/>
      </c>
      <c r="AL27" s="26">
        <f>$D$49</f>
        <v/>
      </c>
      <c r="AM27" s="26">
        <f>$D$49</f>
        <v/>
      </c>
      <c r="AN27" s="26">
        <f>$D$49</f>
        <v/>
      </c>
      <c r="AO27" s="25">
        <f>IFERROR(subQ!AO17/subQ!AO16,"")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IFERROR(subQ!E19/subQ!E18,"")</f>
        <v/>
      </c>
      <c r="F28" s="22">
        <f>IFERROR(subQ!F19/subQ!F18,"")</f>
        <v/>
      </c>
      <c r="G28" s="21">
        <f>IFERROR(subQ!G19/subQ!G18,"")</f>
        <v/>
      </c>
      <c r="H28" s="21">
        <f>IFERROR(subQ!H19/subQ!H18,"")</f>
        <v/>
      </c>
      <c r="I28" s="21">
        <f>IFERROR(subQ!I19/subQ!I18,"")</f>
        <v/>
      </c>
      <c r="J28" s="21">
        <f>IFERROR(subQ!J19/subQ!J18,"")</f>
        <v/>
      </c>
      <c r="K28" s="22">
        <f>IFERROR(subQ!K19/subQ!K18,"")</f>
        <v/>
      </c>
      <c r="L28" s="21">
        <f>IFERROR(subQ!L19/subQ!L18,"")</f>
        <v/>
      </c>
      <c r="M28" s="21">
        <f>IFERROR(subQ!M19/subQ!M18,"")</f>
        <v/>
      </c>
      <c r="N28" s="21">
        <f>IFERROR(subQ!N19/subQ!N18,"")</f>
        <v/>
      </c>
      <c r="O28" s="21">
        <f>IFERROR(subQ!O19/subQ!O18,"")</f>
        <v/>
      </c>
      <c r="P28" s="22">
        <f>IFERROR(subQ!P19/subQ!P18,"")</f>
        <v/>
      </c>
      <c r="Q28" s="21">
        <f>IFERROR(subQ!Q19/subQ!Q18,"")</f>
        <v/>
      </c>
      <c r="R28" s="21">
        <f>IFERROR(subQ!R19/subQ!R18,"")</f>
        <v/>
      </c>
      <c r="S28" s="21">
        <f>IFERROR(subQ!S19/subQ!S18,"")</f>
        <v/>
      </c>
      <c r="T28" s="21">
        <f>IFERROR(subQ!T19/subQ!T18,"")</f>
        <v/>
      </c>
      <c r="U28" s="22">
        <f>IFERROR(subQ!U19/subQ!U18,"")</f>
        <v/>
      </c>
      <c r="V28" s="21">
        <f>IFERROR(subQ!V19/subQ!V18,"")</f>
        <v/>
      </c>
      <c r="W28" s="21">
        <f>IFERROR(subQ!W19/subQ!W18,"")</f>
        <v/>
      </c>
      <c r="X28" s="21">
        <f>IFERROR(subQ!X19/subQ!X18,"")</f>
        <v/>
      </c>
      <c r="Y28" s="21">
        <f>IFERROR(subQ!Y19/subQ!Y18,"")</f>
        <v/>
      </c>
      <c r="Z28" s="22">
        <f>IFERROR(subQ!Z19/subQ!Z18,"")</f>
        <v/>
      </c>
      <c r="AA28" s="21">
        <f>IFERROR(subQ!AA19/subQ!AA18,"")</f>
        <v/>
      </c>
      <c r="AB28" s="23">
        <f>IFERROR(subQ!AB19/subQ!AB18,"")</f>
        <v/>
      </c>
      <c r="AC28" s="26">
        <f>$D$51</f>
        <v/>
      </c>
      <c r="AD28" s="26">
        <f>$D$51</f>
        <v/>
      </c>
      <c r="AE28" s="25">
        <f>IFERROR(subQ!AE19/subQ!AE18,"")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IFERROR(subQ!AJ19/subQ!AJ18,"")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IFERROR(subQ!AO19/subQ!AO18,"")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IFERROR(subQ!G21/subQ!E21-1,"")</f>
        <v/>
      </c>
      <c r="H29" s="21">
        <f>IFERROR(subQ!H21/subQ!G21-1,"")</f>
        <v/>
      </c>
      <c r="I29" s="21">
        <f>IFERROR(subQ!I21/subQ!H21-1,"")</f>
        <v/>
      </c>
      <c r="J29" s="21">
        <f>IFERROR(subQ!J21/subQ!I21-1,"")</f>
        <v/>
      </c>
      <c r="K29" s="22" t="n"/>
      <c r="L29" s="21">
        <f>IFERROR(subQ!L21/subQ!J21-1,"")</f>
        <v/>
      </c>
      <c r="M29" s="21">
        <f>IFERROR(subQ!M21/subQ!L21-1,"")</f>
        <v/>
      </c>
      <c r="N29" s="21">
        <f>IFERROR(subQ!N21/subQ!M21-1,"")</f>
        <v/>
      </c>
      <c r="O29" s="21">
        <f>IFERROR(subQ!O21/subQ!N21-1,"")</f>
        <v/>
      </c>
      <c r="P29" s="22" t="n"/>
      <c r="Q29" s="21">
        <f>IFERROR(subQ!Q21/subQ!O21-1,"")</f>
        <v/>
      </c>
      <c r="R29" s="21">
        <f>IFERROR(subQ!R21/subQ!Q21-1,"")</f>
        <v/>
      </c>
      <c r="S29" s="21">
        <f>IFERROR(subQ!S21/subQ!R21-1,"")</f>
        <v/>
      </c>
      <c r="T29" s="21">
        <f>IFERROR(subQ!T21/subQ!S21-1,"")</f>
        <v/>
      </c>
      <c r="U29" s="22" t="n"/>
      <c r="V29" s="21">
        <f>IFERROR(subQ!V21/subQ!T21-1,"")</f>
        <v/>
      </c>
      <c r="W29" s="21">
        <f>IFERROR(subQ!W21/subQ!V21-1,"")</f>
        <v/>
      </c>
      <c r="X29" s="21">
        <f>IFERROR(subQ!X21/subQ!W21-1,"")</f>
        <v/>
      </c>
      <c r="Y29" s="21">
        <f>IFERROR(subQ!Y21/subQ!X21-1,"")</f>
        <v/>
      </c>
      <c r="Z29" s="22" t="n"/>
      <c r="AA29" s="21">
        <f>IFERROR(subQ!AA21/subQ!Y21-1,"")</f>
        <v/>
      </c>
      <c r="AB29" s="23">
        <f>IFERROR(subQ!AB21/subQ!AA21-1,"")</f>
        <v/>
      </c>
      <c r="AC29" s="24" t="n">
        <v>-1.5125e-05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0.000649977</v>
      </c>
      <c r="AD30" s="30" t="n">
        <v>0.003249978</v>
      </c>
      <c r="AE30" s="31" t="n"/>
      <c r="AF30" s="30" t="n">
        <v>-0.002249972</v>
      </c>
      <c r="AG30" s="30" t="n">
        <v>0.003999985</v>
      </c>
      <c r="AH30" s="30" t="n">
        <v>-0.00675</v>
      </c>
      <c r="AI30" s="30" t="n">
        <v>0.009999994999999999</v>
      </c>
      <c r="AJ30" s="31" t="n"/>
      <c r="AK30" s="30" t="n">
        <v>0.009999984999999999</v>
      </c>
      <c r="AL30" s="30" t="n">
        <v>-0.004750008</v>
      </c>
      <c r="AM30" s="30" t="n">
        <v>-0.002249981</v>
      </c>
      <c r="AN30" s="30" t="n">
        <v>0.00999997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0.000649977</v>
      </c>
      <c r="AD31" s="30" t="n">
        <v>0.003249978</v>
      </c>
      <c r="AE31" s="31" t="n"/>
      <c r="AF31" s="30" t="n">
        <v>-0.002249972</v>
      </c>
      <c r="AG31" s="30" t="n">
        <v>0.003999985</v>
      </c>
      <c r="AH31" s="30" t="n">
        <v>-0.00675</v>
      </c>
      <c r="AI31" s="30" t="n">
        <v>0.009999994999999999</v>
      </c>
      <c r="AJ31" s="31" t="n"/>
      <c r="AK31" s="30" t="n">
        <v>0.009999984999999999</v>
      </c>
      <c r="AL31" s="30" t="n">
        <v>-0.004750008</v>
      </c>
      <c r="AM31" s="30" t="n">
        <v>-0.002249981</v>
      </c>
      <c r="AN31" s="30" t="n">
        <v>0.00999997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-0.001020109</v>
      </c>
      <c r="AD33" s="24" t="n">
        <v>-0.000346741</v>
      </c>
      <c r="AE33" s="25" t="n"/>
      <c r="AF33" s="24" t="n">
        <v>-0.00017343</v>
      </c>
      <c r="AG33" s="24" t="n">
        <v>-0.002081526</v>
      </c>
      <c r="AH33" s="24" t="n">
        <v>-0.000347645</v>
      </c>
      <c r="AI33" s="24" t="n">
        <v>0.000347766</v>
      </c>
      <c r="AJ33" s="25" t="n"/>
      <c r="AK33" s="24" t="n">
        <v>0.000347645</v>
      </c>
      <c r="AL33" s="24" t="n">
        <v>-0.001390096</v>
      </c>
      <c r="AM33" s="24" t="n">
        <v>-0.000174004</v>
      </c>
      <c r="AN33" s="24" t="n">
        <v>0.000522102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0.015604337</v>
      </c>
      <c r="AD34" s="24" t="n">
        <v>0.005208333</v>
      </c>
      <c r="AE34" s="25" t="n"/>
      <c r="AF34" s="24" t="n">
        <v>0.002590674</v>
      </c>
      <c r="AG34" s="24" t="n">
        <v>0.031007752</v>
      </c>
      <c r="AH34" s="24" t="n">
        <v>0.005012531</v>
      </c>
      <c r="AI34" s="24" t="n">
        <v>-0.004987531</v>
      </c>
      <c r="AJ34" s="25" t="n"/>
      <c r="AK34" s="24" t="n">
        <v>-0.005012531</v>
      </c>
      <c r="AL34" s="24" t="n">
        <v>0.020151134</v>
      </c>
      <c r="AM34" s="24" t="n">
        <v>0.002469136</v>
      </c>
      <c r="AN34" s="24" t="n">
        <v>-0.007389163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24" t="n">
        <v>-0.377776402</v>
      </c>
      <c r="AD36" s="24" t="n">
        <v>1.561325263</v>
      </c>
      <c r="AE36" s="25" t="n"/>
      <c r="AF36" s="24" t="n">
        <v>3.451334293</v>
      </c>
      <c r="AG36" s="24" t="n">
        <v>-0.705656233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subQ!E33</f>
        <v/>
      </c>
      <c r="F39" s="28">
        <f>subQ!F33</f>
        <v/>
      </c>
      <c r="G39" s="27">
        <f>subQ!G33</f>
        <v/>
      </c>
      <c r="H39" s="27">
        <f>subQ!H33</f>
        <v/>
      </c>
      <c r="I39" s="27">
        <f>subQ!I33</f>
        <v/>
      </c>
      <c r="J39" s="27">
        <f>subQ!J33</f>
        <v/>
      </c>
      <c r="K39" s="28">
        <f>subQ!K33</f>
        <v/>
      </c>
      <c r="L39" s="27">
        <f>subQ!L33</f>
        <v/>
      </c>
      <c r="M39" s="27">
        <f>subQ!M33</f>
        <v/>
      </c>
      <c r="N39" s="27">
        <f>subQ!N33</f>
        <v/>
      </c>
      <c r="O39" s="27">
        <f>subQ!O33</f>
        <v/>
      </c>
      <c r="P39" s="28">
        <f>subQ!P33</f>
        <v/>
      </c>
      <c r="Q39" s="27">
        <f>subQ!Q33</f>
        <v/>
      </c>
      <c r="R39" s="27">
        <f>subQ!R33</f>
        <v/>
      </c>
      <c r="S39" s="27">
        <f>subQ!S33</f>
        <v/>
      </c>
      <c r="T39" s="27">
        <f>subQ!T33</f>
        <v/>
      </c>
      <c r="U39" s="28">
        <f>subQ!U33</f>
        <v/>
      </c>
      <c r="V39" s="27">
        <f>subQ!V33</f>
        <v/>
      </c>
      <c r="W39" s="27">
        <f>subQ!W33</f>
        <v/>
      </c>
      <c r="X39" s="27">
        <f>subQ!X33</f>
        <v/>
      </c>
      <c r="Y39" s="27">
        <f>subQ!Y33</f>
        <v/>
      </c>
      <c r="Z39" s="28">
        <f>subQ!Z33</f>
        <v/>
      </c>
      <c r="AA39" s="27">
        <f>subQ!AA33</f>
        <v/>
      </c>
      <c r="AB39" s="29">
        <f>subQ!AB33</f>
        <v/>
      </c>
      <c r="AC39" s="33" t="n"/>
      <c r="AD39" s="30" t="n">
        <v>0</v>
      </c>
      <c r="AE39" s="31">
        <f>subQ!AE33</f>
        <v/>
      </c>
      <c r="AF39" s="33" t="n"/>
      <c r="AG39" s="33" t="n"/>
      <c r="AH39" s="33" t="n"/>
      <c r="AI39" s="30" t="n">
        <v>0</v>
      </c>
      <c r="AJ39" s="31">
        <f>subQ!AJ33</f>
        <v/>
      </c>
      <c r="AK39" s="33" t="n"/>
      <c r="AL39" s="33" t="n"/>
      <c r="AM39" s="33" t="n"/>
      <c r="AN39" s="30" t="n">
        <v>0</v>
      </c>
      <c r="AO39" s="31">
        <f>subQ!AO33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2500</v>
      </c>
      <c r="E42" s="2" t="inlineStr">
        <is>
          <t>원 — 네이버 정규장 종가(aik 확정종가 대조 · aik 2,560원)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20261014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16.6</v>
      </c>
      <c r="E45" s="2" t="inlineStr">
        <is>
          <t>PER 밴드 하단(배) — hist_quarterly(분기 평균가 ÷ TTM EPS, 12분기, 25/50/75 백분위)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21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28.8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0.225</v>
      </c>
      <c r="E49" s="2" t="inlineStr">
        <is>
          <t>연결 — 법인세 = MAX(세전,0) × 세율(역산, 재현 오차 ≤ 0.05억 · 모델 assumptions 0.22) · 최근 12분기 유효세율 -2.4% 가 5~27% 밖; 세전 &gt; 0 분기 중위 1.0% 도 5~27% 밖 → 법정세율 근사 22% 가정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0.04861990377310712</v>
      </c>
      <c r="E50" s="2" t="inlineStr">
        <is>
          <t>연결 — 판관비 = 매출액 × 판관비율(역산, 재현 오차 ≤ 0.05억 · 모델 assumptions 0.0486)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3.047043830962804e-13</v>
      </c>
      <c r="E52" s="2" t="inlineStr">
        <is>
          <t>연결 — 이자손익 = (전분기 이자발생자산 × 자산이자율 − 전분기 총차입금 × 부채이자율)/4(역산, 재현 오차 ≤ 0.05억 · 모델 assumptions 0.003)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0.03577343491223215</v>
      </c>
      <c r="E53" s="2" t="inlineStr">
        <is>
          <t>연결 — 같은 수식의 부채 쪽(총차입금 행이 없으면 0)(역산, 재현 오차 ≤ 0.05억 · 모델 assumptions 0.0361)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/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한국주강(연)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한국주강(별)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19645.63</v>
      </c>
      <c r="F5" s="37" t="n">
        <v>19645.63</v>
      </c>
      <c r="G5" s="18" t="n">
        <v>22931.95</v>
      </c>
      <c r="H5" s="18" t="n">
        <v>22828.71</v>
      </c>
      <c r="I5" s="18" t="n">
        <v>19870.34</v>
      </c>
      <c r="J5" s="18" t="n">
        <v>19844.24</v>
      </c>
      <c r="K5" s="37" t="n">
        <v>19844.24</v>
      </c>
      <c r="L5" s="18" t="n">
        <v>18645.58</v>
      </c>
      <c r="M5" s="18" t="n">
        <v>17736.31</v>
      </c>
      <c r="N5" s="18" t="n">
        <v>17885.42</v>
      </c>
      <c r="O5" s="18" t="n">
        <v>15572.79</v>
      </c>
      <c r="P5" s="37" t="n">
        <v>15572.79</v>
      </c>
      <c r="Q5" s="18" t="n">
        <v>14976.06</v>
      </c>
      <c r="R5" s="18" t="n">
        <v>15130.63</v>
      </c>
      <c r="S5" s="18" t="n">
        <v>13951.38</v>
      </c>
      <c r="T5" s="18" t="n">
        <v>12638.31</v>
      </c>
      <c r="U5" s="37" t="n">
        <v>12638.31</v>
      </c>
      <c r="V5" s="18" t="n">
        <v>12547.46</v>
      </c>
      <c r="W5" s="18" t="n">
        <v>11618.59</v>
      </c>
      <c r="X5" s="18" t="n">
        <v>11929.24</v>
      </c>
      <c r="Y5" s="18" t="n">
        <v>10043.6</v>
      </c>
      <c r="Z5" s="37" t="n">
        <v>10043.6</v>
      </c>
      <c r="AA5" s="18" t="n">
        <v>13996.42</v>
      </c>
      <c r="AB5" s="19" t="n">
        <v>14320.99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65.03</v>
      </c>
      <c r="F6" s="37" t="n">
        <v>65.03</v>
      </c>
      <c r="G6" s="18" t="n">
        <v>737.38</v>
      </c>
      <c r="H6" s="18" t="n">
        <v>154.42</v>
      </c>
      <c r="I6" s="18" t="n">
        <v>377.37</v>
      </c>
      <c r="J6" s="18" t="n">
        <v>280.39</v>
      </c>
      <c r="K6" s="37" t="n">
        <v>280.39</v>
      </c>
      <c r="L6" s="18" t="n">
        <v>439.97</v>
      </c>
      <c r="M6" s="18" t="n">
        <v>384.23</v>
      </c>
      <c r="N6" s="18" t="n">
        <v>79.81999999999999</v>
      </c>
      <c r="O6" s="18" t="n">
        <v>1372.91</v>
      </c>
      <c r="P6" s="37" t="n">
        <v>1372.91</v>
      </c>
      <c r="Q6" s="18" t="n">
        <v>1625.64</v>
      </c>
      <c r="R6" s="18" t="n">
        <v>98.54000000000001</v>
      </c>
      <c r="S6" s="18" t="n">
        <v>1057.16</v>
      </c>
      <c r="T6" s="18" t="n">
        <v>1046.79</v>
      </c>
      <c r="U6" s="37" t="n">
        <v>1046.79</v>
      </c>
      <c r="V6" s="18" t="n">
        <v>155.94</v>
      </c>
      <c r="W6" s="18" t="n">
        <v>11.57</v>
      </c>
      <c r="X6" s="18" t="n">
        <v>101.11</v>
      </c>
      <c r="Y6" s="18" t="n">
        <v>420.12</v>
      </c>
      <c r="Z6" s="37" t="n">
        <v>420.12</v>
      </c>
      <c r="AA6" s="18" t="n">
        <v>14.36</v>
      </c>
      <c r="AB6" s="19" t="n">
        <v>264.11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3000</v>
      </c>
      <c r="F7" s="37" t="n">
        <v>3000</v>
      </c>
      <c r="G7" s="18" t="n">
        <v>3000</v>
      </c>
      <c r="H7" s="18" t="n">
        <v>3000</v>
      </c>
      <c r="I7" s="18" t="n">
        <v>3000</v>
      </c>
      <c r="J7" s="18" t="n">
        <v>3456.01</v>
      </c>
      <c r="K7" s="37" t="n">
        <v>3456.01</v>
      </c>
      <c r="L7" s="18" t="n">
        <v>459.47</v>
      </c>
      <c r="M7" s="18" t="n">
        <v>0</v>
      </c>
      <c r="N7" s="18" t="n">
        <v>0</v>
      </c>
      <c r="O7" s="18" t="n">
        <v>0</v>
      </c>
      <c r="P7" s="37" t="n">
        <v>0</v>
      </c>
      <c r="Q7" s="18" t="n">
        <v>500</v>
      </c>
      <c r="R7" s="18" t="n">
        <v>2000</v>
      </c>
      <c r="S7" s="18" t="n">
        <v>1500</v>
      </c>
      <c r="T7" s="18" t="n">
        <v>500</v>
      </c>
      <c r="U7" s="37" t="n">
        <v>500</v>
      </c>
      <c r="V7" s="18" t="n">
        <v>500</v>
      </c>
      <c r="W7" s="18" t="n">
        <v>0</v>
      </c>
      <c r="X7" s="18" t="n">
        <v>0</v>
      </c>
      <c r="Y7" s="18" t="n">
        <v>0</v>
      </c>
      <c r="Z7" s="37" t="n">
        <v>0</v>
      </c>
      <c r="AA7" s="18" t="n">
        <v>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3000</v>
      </c>
      <c r="F8" s="37" t="n">
        <v>3000</v>
      </c>
      <c r="G8" s="18" t="n">
        <v>3000</v>
      </c>
      <c r="H8" s="18" t="n">
        <v>3000</v>
      </c>
      <c r="I8" s="18" t="n">
        <v>3000</v>
      </c>
      <c r="J8" s="18" t="n">
        <v>3456.01</v>
      </c>
      <c r="K8" s="37" t="n">
        <v>3456.01</v>
      </c>
      <c r="L8" s="18" t="n">
        <v>459.47</v>
      </c>
      <c r="M8" s="18" t="n">
        <v>0</v>
      </c>
      <c r="N8" s="18" t="n">
        <v>0</v>
      </c>
      <c r="O8" s="18" t="n">
        <v>0</v>
      </c>
      <c r="P8" s="37" t="n">
        <v>0</v>
      </c>
      <c r="Q8" s="18" t="n">
        <v>500</v>
      </c>
      <c r="R8" s="18" t="n">
        <v>2000</v>
      </c>
      <c r="S8" s="18" t="n">
        <v>1500</v>
      </c>
      <c r="T8" s="18" t="n">
        <v>500</v>
      </c>
      <c r="U8" s="37" t="n">
        <v>500</v>
      </c>
      <c r="V8" s="18" t="n">
        <v>500</v>
      </c>
      <c r="W8" s="18" t="n">
        <v>0</v>
      </c>
      <c r="X8" s="18" t="n">
        <v>0</v>
      </c>
      <c r="Y8" s="18" t="n">
        <v>0</v>
      </c>
      <c r="Z8" s="37" t="n">
        <v>0</v>
      </c>
      <c r="AA8" s="18" t="n">
        <v>0</v>
      </c>
      <c r="AB8" s="19" t="n">
        <v>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9529.65</v>
      </c>
      <c r="F9" s="37" t="n">
        <v>9529.65</v>
      </c>
      <c r="G9" s="18" t="n">
        <v>9760.389999999999</v>
      </c>
      <c r="H9" s="18" t="n">
        <v>9554.879999999999</v>
      </c>
      <c r="I9" s="18" t="n">
        <v>6619.81</v>
      </c>
      <c r="J9" s="18" t="n">
        <v>7587.65</v>
      </c>
      <c r="K9" s="37" t="n">
        <v>7587.65</v>
      </c>
      <c r="L9" s="18" t="n">
        <v>7381.91</v>
      </c>
      <c r="M9" s="18" t="n">
        <v>5265.44</v>
      </c>
      <c r="N9" s="18" t="n">
        <v>7121.86</v>
      </c>
      <c r="O9" s="18" t="n">
        <v>7349.03</v>
      </c>
      <c r="P9" s="37" t="n">
        <v>7349.03</v>
      </c>
      <c r="Q9" s="18" t="n">
        <v>6242.03</v>
      </c>
      <c r="R9" s="18" t="n">
        <v>6195.95</v>
      </c>
      <c r="S9" s="18" t="n">
        <v>3831.77</v>
      </c>
      <c r="T9" s="18" t="n">
        <v>5125.8</v>
      </c>
      <c r="U9" s="37" t="n">
        <v>5125.8</v>
      </c>
      <c r="V9" s="18" t="n">
        <v>4532.29</v>
      </c>
      <c r="W9" s="18" t="n">
        <v>4220.87</v>
      </c>
      <c r="X9" s="18" t="n">
        <v>4063.69</v>
      </c>
      <c r="Y9" s="18" t="n">
        <v>1611.99</v>
      </c>
      <c r="Z9" s="37" t="n">
        <v>1611.99</v>
      </c>
      <c r="AA9" s="18" t="n">
        <v>3597.46</v>
      </c>
      <c r="AB9" s="19" t="n">
        <v>3463.49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6832.02</v>
      </c>
      <c r="F10" s="37" t="n">
        <v>6832.02</v>
      </c>
      <c r="G10" s="18" t="n">
        <v>8271.700000000001</v>
      </c>
      <c r="H10" s="18" t="n">
        <v>10027.89</v>
      </c>
      <c r="I10" s="18" t="n">
        <v>9810.5</v>
      </c>
      <c r="J10" s="18" t="n">
        <v>8385.32</v>
      </c>
      <c r="K10" s="37" t="n">
        <v>8385.32</v>
      </c>
      <c r="L10" s="18" t="n">
        <v>9919.93</v>
      </c>
      <c r="M10" s="18" t="n">
        <v>11741.47</v>
      </c>
      <c r="N10" s="18" t="n">
        <v>10387.04</v>
      </c>
      <c r="O10" s="18" t="n">
        <v>6588.36</v>
      </c>
      <c r="P10" s="37" t="n">
        <v>6588.36</v>
      </c>
      <c r="Q10" s="18" t="n">
        <v>6467.87</v>
      </c>
      <c r="R10" s="18" t="n">
        <v>6668.86</v>
      </c>
      <c r="S10" s="18" t="n">
        <v>7130.5</v>
      </c>
      <c r="T10" s="18" t="n">
        <v>5925.59</v>
      </c>
      <c r="U10" s="37" t="n">
        <v>5925.59</v>
      </c>
      <c r="V10" s="18" t="n">
        <v>7287.1</v>
      </c>
      <c r="W10" s="18" t="n">
        <v>7313.98</v>
      </c>
      <c r="X10" s="18" t="n">
        <v>7636.83</v>
      </c>
      <c r="Y10" s="18" t="n">
        <v>7871.67</v>
      </c>
      <c r="Z10" s="37" t="n">
        <v>7871.67</v>
      </c>
      <c r="AA10" s="18" t="n">
        <v>10230.91</v>
      </c>
      <c r="AB10" s="19" t="n">
        <v>10488.31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156.74</v>
      </c>
      <c r="F11" s="37" t="n">
        <v>156.74</v>
      </c>
      <c r="G11" s="18" t="n">
        <v>113.34</v>
      </c>
      <c r="H11" s="18" t="n">
        <v>60.81</v>
      </c>
      <c r="I11" s="18" t="n">
        <v>26.74</v>
      </c>
      <c r="J11" s="18" t="n">
        <v>43.39</v>
      </c>
      <c r="K11" s="37" t="n">
        <v>43.39</v>
      </c>
      <c r="L11" s="18" t="n">
        <v>365.64</v>
      </c>
      <c r="M11" s="18" t="n">
        <v>344.17</v>
      </c>
      <c r="N11" s="18" t="n">
        <v>294.38</v>
      </c>
      <c r="O11" s="18" t="n">
        <v>200.52</v>
      </c>
      <c r="P11" s="37" t="n">
        <v>200.52</v>
      </c>
      <c r="Q11" s="18" t="n">
        <v>77.12</v>
      </c>
      <c r="R11" s="18" t="n">
        <v>105.02</v>
      </c>
      <c r="S11" s="18" t="n">
        <v>135.78</v>
      </c>
      <c r="T11" s="18" t="n">
        <v>9.390000000000001</v>
      </c>
      <c r="U11" s="37" t="n">
        <v>9.390000000000001</v>
      </c>
      <c r="V11" s="18" t="n">
        <v>38.01</v>
      </c>
      <c r="W11" s="18" t="n">
        <v>59.41</v>
      </c>
      <c r="X11" s="18" t="n">
        <v>116.22</v>
      </c>
      <c r="Y11" s="18" t="n">
        <v>130.51</v>
      </c>
      <c r="Z11" s="37" t="n">
        <v>130.51</v>
      </c>
      <c r="AA11" s="18" t="n">
        <v>147.58</v>
      </c>
      <c r="AB11" s="19" t="n">
        <v>104.99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30549.15</v>
      </c>
      <c r="F12" s="37" t="n">
        <v>30549.15</v>
      </c>
      <c r="G12" s="18" t="n">
        <v>30171.65</v>
      </c>
      <c r="H12" s="18" t="n">
        <v>29449.18</v>
      </c>
      <c r="I12" s="18" t="n">
        <v>29088.47</v>
      </c>
      <c r="J12" s="18" t="n">
        <v>28200.98</v>
      </c>
      <c r="K12" s="37" t="n">
        <v>28200.98</v>
      </c>
      <c r="L12" s="18" t="n">
        <v>31115.79</v>
      </c>
      <c r="M12" s="18" t="n">
        <v>30620.5</v>
      </c>
      <c r="N12" s="18" t="n">
        <v>28724.33</v>
      </c>
      <c r="O12" s="18" t="n">
        <v>28614.14</v>
      </c>
      <c r="P12" s="37" t="n">
        <v>28614.14</v>
      </c>
      <c r="Q12" s="18" t="n">
        <v>28774.93</v>
      </c>
      <c r="R12" s="18" t="n">
        <v>28462.44</v>
      </c>
      <c r="S12" s="18" t="n">
        <v>28733.04</v>
      </c>
      <c r="T12" s="18" t="n">
        <v>28860.06</v>
      </c>
      <c r="U12" s="37" t="n">
        <v>28860.06</v>
      </c>
      <c r="V12" s="18" t="n">
        <v>28332.37</v>
      </c>
      <c r="W12" s="18" t="n">
        <v>27935.44</v>
      </c>
      <c r="X12" s="18" t="n">
        <v>28400.01</v>
      </c>
      <c r="Y12" s="18" t="n">
        <v>28263.21</v>
      </c>
      <c r="Z12" s="37" t="n">
        <v>28263.21</v>
      </c>
      <c r="AA12" s="18" t="n">
        <v>28723.52</v>
      </c>
      <c r="AB12" s="19" t="n">
        <v>29039.8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1100.26</v>
      </c>
      <c r="F13" s="37" t="n">
        <v>1100.26</v>
      </c>
      <c r="G13" s="18" t="n">
        <v>1123.69</v>
      </c>
      <c r="H13" s="18" t="n">
        <v>802.42</v>
      </c>
      <c r="I13" s="18" t="n">
        <v>810.37</v>
      </c>
      <c r="J13" s="18" t="n">
        <v>362.62</v>
      </c>
      <c r="K13" s="37" t="n">
        <v>362.62</v>
      </c>
      <c r="L13" s="18" t="n">
        <v>367.63</v>
      </c>
      <c r="M13" s="18" t="n">
        <v>1.33</v>
      </c>
      <c r="N13" s="18" t="n">
        <v>0.44</v>
      </c>
      <c r="O13" s="18" t="n">
        <v>6.46</v>
      </c>
      <c r="P13" s="37" t="n">
        <v>6.46</v>
      </c>
      <c r="Q13" s="18" t="n">
        <v>13.43</v>
      </c>
      <c r="R13" s="18" t="n">
        <v>20.44</v>
      </c>
      <c r="S13" s="18" t="n">
        <v>28.37</v>
      </c>
      <c r="T13" s="18" t="n">
        <v>39.97</v>
      </c>
      <c r="U13" s="37" t="n">
        <v>39.97</v>
      </c>
      <c r="V13" s="18" t="n">
        <v>51.83</v>
      </c>
      <c r="W13" s="18" t="n">
        <v>63.85</v>
      </c>
      <c r="X13" s="18" t="n">
        <v>76.3</v>
      </c>
      <c r="Y13" s="18" t="n">
        <v>88.81</v>
      </c>
      <c r="Z13" s="37" t="n">
        <v>88.81</v>
      </c>
      <c r="AA13" s="18" t="n">
        <v>101.38</v>
      </c>
      <c r="AB13" s="19" t="n">
        <v>113.99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1100.26</v>
      </c>
      <c r="F14" s="37" t="n">
        <v>1100.26</v>
      </c>
      <c r="G14" s="18" t="n">
        <v>1123.69</v>
      </c>
      <c r="H14" s="18" t="n">
        <v>802.42</v>
      </c>
      <c r="I14" s="18" t="n">
        <v>810.37</v>
      </c>
      <c r="J14" s="18" t="n">
        <v>362.62</v>
      </c>
      <c r="K14" s="37" t="n">
        <v>362.62</v>
      </c>
      <c r="L14" s="18" t="n">
        <v>367.63</v>
      </c>
      <c r="M14" s="18" t="n">
        <v>1.33</v>
      </c>
      <c r="N14" s="18" t="n">
        <v>0.44</v>
      </c>
      <c r="O14" s="18" t="n">
        <v>6.46</v>
      </c>
      <c r="P14" s="37" t="n">
        <v>6.46</v>
      </c>
      <c r="Q14" s="18" t="n">
        <v>13.43</v>
      </c>
      <c r="R14" s="18" t="n">
        <v>20.44</v>
      </c>
      <c r="S14" s="18" t="n">
        <v>28.37</v>
      </c>
      <c r="T14" s="18" t="n">
        <v>39.97</v>
      </c>
      <c r="U14" s="37" t="n">
        <v>39.97</v>
      </c>
      <c r="V14" s="18" t="n">
        <v>51.83</v>
      </c>
      <c r="W14" s="18" t="n">
        <v>63.85</v>
      </c>
      <c r="X14" s="18" t="n">
        <v>76.3</v>
      </c>
      <c r="Y14" s="18" t="n">
        <v>88.81</v>
      </c>
      <c r="Z14" s="37" t="n">
        <v>88.81</v>
      </c>
      <c r="AA14" s="18" t="n">
        <v>101.38</v>
      </c>
      <c r="AB14" s="19" t="n">
        <v>113.99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투자부동산</t>
        </is>
      </c>
      <c r="E15" s="18" t="n">
        <v>1927.84</v>
      </c>
      <c r="F15" s="37" t="n">
        <v>1927.84</v>
      </c>
      <c r="G15" s="18" t="n">
        <v>1910.87</v>
      </c>
      <c r="H15" s="18" t="n">
        <v>1893.89</v>
      </c>
      <c r="I15" s="18" t="n">
        <v>1876.92</v>
      </c>
      <c r="J15" s="18" t="n">
        <v>5034.69</v>
      </c>
      <c r="K15" s="37" t="n">
        <v>5034.69</v>
      </c>
      <c r="L15" s="18" t="n">
        <v>5017.71</v>
      </c>
      <c r="M15" s="18" t="n">
        <v>5000.74</v>
      </c>
      <c r="N15" s="18" t="n">
        <v>4983.76</v>
      </c>
      <c r="O15" s="18" t="n">
        <v>4966.79</v>
      </c>
      <c r="P15" s="37" t="n">
        <v>4966.79</v>
      </c>
      <c r="Q15" s="18" t="n">
        <v>4949.81</v>
      </c>
      <c r="R15" s="18" t="n">
        <v>4932.84</v>
      </c>
      <c r="S15" s="18" t="n">
        <v>4915.86</v>
      </c>
      <c r="T15" s="18" t="n">
        <v>4898.89</v>
      </c>
      <c r="U15" s="37" t="n">
        <v>4898.89</v>
      </c>
      <c r="V15" s="18" t="n">
        <v>4881.91</v>
      </c>
      <c r="W15" s="18" t="n">
        <v>4864.94</v>
      </c>
      <c r="X15" s="18" t="n">
        <v>4895.16</v>
      </c>
      <c r="Y15" s="18" t="n">
        <v>4877.77</v>
      </c>
      <c r="Z15" s="37" t="n">
        <v>4877.77</v>
      </c>
      <c r="AA15" s="18" t="n">
        <v>4860.39</v>
      </c>
      <c r="AB15" s="19" t="n">
        <v>4843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25428.81</v>
      </c>
      <c r="F16" s="37" t="n">
        <v>25428.81</v>
      </c>
      <c r="G16" s="18" t="n">
        <v>25062.96</v>
      </c>
      <c r="H16" s="18" t="n">
        <v>24696.83</v>
      </c>
      <c r="I16" s="18" t="n">
        <v>24309.93</v>
      </c>
      <c r="J16" s="18" t="n">
        <v>20824.75</v>
      </c>
      <c r="K16" s="37" t="n">
        <v>20824.75</v>
      </c>
      <c r="L16" s="18" t="n">
        <v>20791.57</v>
      </c>
      <c r="M16" s="18" t="n">
        <v>20673.97</v>
      </c>
      <c r="N16" s="18" t="n">
        <v>20458.68</v>
      </c>
      <c r="O16" s="18" t="n">
        <v>20450.46</v>
      </c>
      <c r="P16" s="37" t="n">
        <v>20450.46</v>
      </c>
      <c r="Q16" s="18" t="n">
        <v>20453.75</v>
      </c>
      <c r="R16" s="18" t="n">
        <v>20508.36</v>
      </c>
      <c r="S16" s="18" t="n">
        <v>20348.88</v>
      </c>
      <c r="T16" s="18" t="n">
        <v>20324.77</v>
      </c>
      <c r="U16" s="37" t="n">
        <v>20324.77</v>
      </c>
      <c r="V16" s="18" t="n">
        <v>20305.71</v>
      </c>
      <c r="W16" s="18" t="n">
        <v>20175.24</v>
      </c>
      <c r="X16" s="18" t="n">
        <v>20512.36</v>
      </c>
      <c r="Y16" s="18" t="n">
        <v>20452.36</v>
      </c>
      <c r="Z16" s="37" t="n">
        <v>20452.36</v>
      </c>
      <c r="AA16" s="18" t="n">
        <v>20351.92</v>
      </c>
      <c r="AB16" s="19" t="n">
        <v>21522.69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사용권자산</t>
        </is>
      </c>
      <c r="E17" s="18" t="n">
        <v>354.75</v>
      </c>
      <c r="F17" s="37" t="n">
        <v>354.75</v>
      </c>
      <c r="G17" s="18" t="n">
        <v>336.65</v>
      </c>
      <c r="H17" s="18" t="n">
        <v>318.56</v>
      </c>
      <c r="I17" s="18" t="n">
        <v>353.77</v>
      </c>
      <c r="J17" s="18" t="n">
        <v>336.03</v>
      </c>
      <c r="K17" s="37" t="n">
        <v>336.03</v>
      </c>
      <c r="L17" s="18" t="n">
        <v>318.29</v>
      </c>
      <c r="M17" s="18" t="n">
        <v>433.88</v>
      </c>
      <c r="N17" s="18" t="n">
        <v>448.36</v>
      </c>
      <c r="O17" s="18" t="n">
        <v>423.36</v>
      </c>
      <c r="P17" s="37" t="n">
        <v>423.36</v>
      </c>
      <c r="Q17" s="18" t="n">
        <v>398.36</v>
      </c>
      <c r="R17" s="18" t="n">
        <v>376.72</v>
      </c>
      <c r="S17" s="18" t="n">
        <v>348.35</v>
      </c>
      <c r="T17" s="18" t="n">
        <v>323.35</v>
      </c>
      <c r="U17" s="37" t="n">
        <v>323.35</v>
      </c>
      <c r="V17" s="18" t="n">
        <v>298.34</v>
      </c>
      <c r="W17" s="18" t="n">
        <v>273.34</v>
      </c>
      <c r="X17" s="18" t="n">
        <v>303.12</v>
      </c>
      <c r="Y17" s="18" t="n">
        <v>341.19</v>
      </c>
      <c r="Z17" s="37" t="n">
        <v>341.19</v>
      </c>
      <c r="AA17" s="18" t="n">
        <v>312.76</v>
      </c>
      <c r="AB17" s="19" t="n">
        <v>145.04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355.33</v>
      </c>
      <c r="F18" s="37" t="n">
        <v>355.33</v>
      </c>
      <c r="G18" s="18" t="n">
        <v>337.23</v>
      </c>
      <c r="H18" s="18" t="n">
        <v>319.14</v>
      </c>
      <c r="I18" s="18" t="n">
        <v>354.35</v>
      </c>
      <c r="J18" s="18" t="n">
        <v>336.61</v>
      </c>
      <c r="K18" s="37" t="n">
        <v>336.61</v>
      </c>
      <c r="L18" s="18" t="n">
        <v>318.87</v>
      </c>
      <c r="M18" s="18" t="n">
        <v>434.46</v>
      </c>
      <c r="N18" s="18" t="n">
        <v>448.94</v>
      </c>
      <c r="O18" s="18" t="n">
        <v>423.94</v>
      </c>
      <c r="P18" s="37" t="n">
        <v>423.94</v>
      </c>
      <c r="Q18" s="18" t="n">
        <v>398.94</v>
      </c>
      <c r="R18" s="18" t="n">
        <v>377.3</v>
      </c>
      <c r="S18" s="18" t="n">
        <v>348.93</v>
      </c>
      <c r="T18" s="18" t="n">
        <v>323.93</v>
      </c>
      <c r="U18" s="37" t="n">
        <v>323.93</v>
      </c>
      <c r="V18" s="18" t="n">
        <v>298.92</v>
      </c>
      <c r="W18" s="18" t="n">
        <v>273.92</v>
      </c>
      <c r="X18" s="18" t="n">
        <v>303.7</v>
      </c>
      <c r="Y18" s="18" t="n">
        <v>341.77</v>
      </c>
      <c r="Z18" s="37" t="n">
        <v>341.77</v>
      </c>
      <c r="AA18" s="18" t="n">
        <v>313.34</v>
      </c>
      <c r="AB18" s="19" t="n">
        <v>145.62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E19" s="18" t="n">
        <v>50194.78</v>
      </c>
      <c r="F19" s="37" t="n">
        <v>50194.78</v>
      </c>
      <c r="G19" s="18" t="n">
        <v>53103.6</v>
      </c>
      <c r="H19" s="18" t="n">
        <v>52277.89</v>
      </c>
      <c r="I19" s="18" t="n">
        <v>48958.81</v>
      </c>
      <c r="J19" s="18" t="n">
        <v>48045.22</v>
      </c>
      <c r="K19" s="37" t="n">
        <v>48045.22</v>
      </c>
      <c r="L19" s="18" t="n">
        <v>49761.38</v>
      </c>
      <c r="M19" s="18" t="n">
        <v>48356.81</v>
      </c>
      <c r="N19" s="18" t="n">
        <v>46609.75</v>
      </c>
      <c r="O19" s="18" t="n">
        <v>44186.93</v>
      </c>
      <c r="P19" s="37" t="n">
        <v>44186.93</v>
      </c>
      <c r="Q19" s="18" t="n">
        <v>43751</v>
      </c>
      <c r="R19" s="18" t="n">
        <v>43593.07</v>
      </c>
      <c r="S19" s="18" t="n">
        <v>42684.42</v>
      </c>
      <c r="T19" s="18" t="n">
        <v>41498.37</v>
      </c>
      <c r="U19" s="37" t="n">
        <v>41498.37</v>
      </c>
      <c r="V19" s="18" t="n">
        <v>40879.83</v>
      </c>
      <c r="W19" s="18" t="n">
        <v>39554.03</v>
      </c>
      <c r="X19" s="18" t="n">
        <v>40329.26</v>
      </c>
      <c r="Y19" s="18" t="n">
        <v>38306.81</v>
      </c>
      <c r="Z19" s="37" t="n">
        <v>38306.81</v>
      </c>
      <c r="AA19" s="18" t="n">
        <v>42719.94</v>
      </c>
      <c r="AB19" s="19" t="n">
        <v>43360.79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E20" s="18" t="n">
        <v>20188.55</v>
      </c>
      <c r="F20" s="37" t="n">
        <v>20188.55</v>
      </c>
      <c r="G20" s="18" t="n">
        <v>16718.63</v>
      </c>
      <c r="H20" s="18" t="n">
        <v>15885.75</v>
      </c>
      <c r="I20" s="18" t="n">
        <v>13324.02</v>
      </c>
      <c r="J20" s="18" t="n">
        <v>12787.09</v>
      </c>
      <c r="K20" s="37" t="n">
        <v>12787.09</v>
      </c>
      <c r="L20" s="18" t="n">
        <v>11406.29</v>
      </c>
      <c r="M20" s="18" t="n">
        <v>9655.34</v>
      </c>
      <c r="N20" s="18" t="n">
        <v>8353.549999999999</v>
      </c>
      <c r="O20" s="18" t="n">
        <v>6099.79</v>
      </c>
      <c r="P20" s="37" t="n">
        <v>6099.79</v>
      </c>
      <c r="Q20" s="18" t="n">
        <v>9855.75</v>
      </c>
      <c r="R20" s="18" t="n">
        <v>9808.65</v>
      </c>
      <c r="S20" s="18" t="n">
        <v>8803.370000000001</v>
      </c>
      <c r="T20" s="18" t="n">
        <v>6720.79</v>
      </c>
      <c r="U20" s="37" t="n">
        <v>6720.79</v>
      </c>
      <c r="V20" s="18" t="n">
        <v>6444.02</v>
      </c>
      <c r="W20" s="18" t="n">
        <v>4984.31</v>
      </c>
      <c r="X20" s="18" t="n">
        <v>5984.94</v>
      </c>
      <c r="Y20" s="18" t="n">
        <v>4507.55</v>
      </c>
      <c r="Z20" s="37" t="n">
        <v>4507.55</v>
      </c>
      <c r="AA20" s="18" t="n">
        <v>8276.049999999999</v>
      </c>
      <c r="AB20" s="19" t="n">
        <v>9594.129999999999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매입채무및기타채무</t>
        </is>
      </c>
      <c r="E21" s="18" t="n">
        <v>254.73</v>
      </c>
      <c r="F21" s="37" t="n">
        <v>254.73</v>
      </c>
      <c r="G21" s="18" t="n">
        <v>358.83</v>
      </c>
      <c r="H21" s="18" t="n">
        <v>349.75</v>
      </c>
      <c r="I21" s="18" t="n">
        <v>403.22</v>
      </c>
      <c r="J21" s="18" t="n">
        <v>493.45</v>
      </c>
      <c r="K21" s="37" t="n">
        <v>493.45</v>
      </c>
      <c r="L21" s="18" t="n">
        <v>536.21</v>
      </c>
      <c r="M21" s="18" t="n">
        <v>604.54</v>
      </c>
      <c r="N21" s="18" t="n">
        <v>293.21</v>
      </c>
      <c r="O21" s="18" t="n">
        <v>284.26</v>
      </c>
      <c r="P21" s="37" t="n">
        <v>284.26</v>
      </c>
      <c r="Q21" s="18" t="n">
        <v>282.54</v>
      </c>
      <c r="R21" s="18" t="n">
        <v>285.6</v>
      </c>
      <c r="S21" s="18" t="n">
        <v>574.79</v>
      </c>
      <c r="T21" s="18" t="n">
        <v>83.69</v>
      </c>
      <c r="U21" s="37" t="n">
        <v>83.69</v>
      </c>
      <c r="V21" s="18" t="n">
        <v>404.52</v>
      </c>
      <c r="W21" s="18" t="n">
        <v>493.98</v>
      </c>
      <c r="X21" s="18" t="n">
        <v>378.81</v>
      </c>
      <c r="Y21" s="18" t="n">
        <v>197.55</v>
      </c>
      <c r="Z21" s="37" t="n">
        <v>197.55</v>
      </c>
      <c r="AA21" s="18" t="n">
        <v>176.14</v>
      </c>
      <c r="AB21" s="19" t="n">
        <v>177.23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단기차입금</t>
        </is>
      </c>
      <c r="E22" s="18" t="n">
        <v>16024.67</v>
      </c>
      <c r="F22" s="37" t="n">
        <v>16024.67</v>
      </c>
      <c r="G22" s="18" t="n">
        <v>12443.71</v>
      </c>
      <c r="H22" s="18" t="n">
        <v>11834.18</v>
      </c>
      <c r="I22" s="18" t="n">
        <v>8520.870000000001</v>
      </c>
      <c r="J22" s="18" t="n">
        <v>7249.09</v>
      </c>
      <c r="K22" s="37" t="n">
        <v>7249.09</v>
      </c>
      <c r="L22" s="18" t="n">
        <v>5715.88</v>
      </c>
      <c r="M22" s="18" t="n">
        <v>3702.08</v>
      </c>
      <c r="N22" s="18" t="n">
        <v>2447.01</v>
      </c>
      <c r="O22" s="18" t="n">
        <v>2000</v>
      </c>
      <c r="P22" s="37" t="n">
        <v>2000</v>
      </c>
      <c r="Q22" s="18" t="n">
        <v>2000</v>
      </c>
      <c r="R22" s="18" t="n">
        <v>1500</v>
      </c>
      <c r="S22" s="18" t="n">
        <v>1500</v>
      </c>
      <c r="T22" s="18" t="n">
        <v>1000</v>
      </c>
      <c r="U22" s="37" t="n">
        <v>1000</v>
      </c>
      <c r="V22" s="18" t="n">
        <v>1725</v>
      </c>
      <c r="W22" s="18" t="n">
        <v>230</v>
      </c>
      <c r="X22" s="18" t="n">
        <v>1137.88</v>
      </c>
      <c r="Y22" s="18" t="n">
        <v>0</v>
      </c>
      <c r="Z22" s="37" t="n">
        <v>0</v>
      </c>
      <c r="AA22" s="18" t="n">
        <v>3692.28</v>
      </c>
      <c r="AB22" s="19" t="n">
        <v>6038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유동리스부채</t>
        </is>
      </c>
      <c r="E23" s="18" t="n">
        <v>56.95</v>
      </c>
      <c r="F23" s="37" t="n">
        <v>56.95</v>
      </c>
      <c r="G23" s="18" t="n">
        <v>52.92</v>
      </c>
      <c r="H23" s="18" t="n">
        <v>36.99</v>
      </c>
      <c r="I23" s="18" t="n">
        <v>63.22</v>
      </c>
      <c r="J23" s="18" t="n">
        <v>61.05</v>
      </c>
      <c r="K23" s="37" t="n">
        <v>61.05</v>
      </c>
      <c r="L23" s="18" t="n">
        <v>58.83</v>
      </c>
      <c r="M23" s="18" t="n">
        <v>74.37</v>
      </c>
      <c r="N23" s="18" t="n">
        <v>91.63</v>
      </c>
      <c r="O23" s="18" t="n">
        <v>93.77</v>
      </c>
      <c r="P23" s="37" t="n">
        <v>93.77</v>
      </c>
      <c r="Q23" s="18" t="n">
        <v>89.48999999999999</v>
      </c>
      <c r="R23" s="18" t="n">
        <v>98.22</v>
      </c>
      <c r="S23" s="18" t="n">
        <v>97.09999999999999</v>
      </c>
      <c r="T23" s="18" t="n">
        <v>94.23999999999999</v>
      </c>
      <c r="U23" s="37" t="n">
        <v>94.23999999999999</v>
      </c>
      <c r="V23" s="18" t="n">
        <v>91.3</v>
      </c>
      <c r="W23" s="18" t="n">
        <v>88.3</v>
      </c>
      <c r="X23" s="18" t="n">
        <v>107.82</v>
      </c>
      <c r="Y23" s="18" t="n">
        <v>112.97</v>
      </c>
      <c r="Z23" s="37" t="n">
        <v>112.97</v>
      </c>
      <c r="AA23" s="18" t="n">
        <v>106.9</v>
      </c>
      <c r="AB23" s="19" t="n">
        <v>53.65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리스부채</t>
        </is>
      </c>
      <c r="E24" s="18" t="n">
        <v>381.47</v>
      </c>
      <c r="F24" s="37" t="n">
        <v>381.47</v>
      </c>
      <c r="G24" s="18" t="n">
        <v>365.54</v>
      </c>
      <c r="H24" s="18" t="n">
        <v>349.33</v>
      </c>
      <c r="I24" s="18" t="n">
        <v>386.69</v>
      </c>
      <c r="J24" s="18" t="n">
        <v>371.1</v>
      </c>
      <c r="K24" s="37" t="n">
        <v>371.1</v>
      </c>
      <c r="L24" s="18" t="n">
        <v>355.16</v>
      </c>
      <c r="M24" s="18" t="n">
        <v>473.81</v>
      </c>
      <c r="N24" s="18" t="n">
        <v>491.42</v>
      </c>
      <c r="O24" s="18" t="n">
        <v>469.29</v>
      </c>
      <c r="P24" s="37" t="n">
        <v>469.29</v>
      </c>
      <c r="Q24" s="18" t="n">
        <v>446.9</v>
      </c>
      <c r="R24" s="18" t="n">
        <v>423.5</v>
      </c>
      <c r="S24" s="18" t="n">
        <v>399.78</v>
      </c>
      <c r="T24" s="18" t="n">
        <v>375.53</v>
      </c>
      <c r="U24" s="37" t="n">
        <v>375.53</v>
      </c>
      <c r="V24" s="18" t="n">
        <v>350.69</v>
      </c>
      <c r="W24" s="18" t="n">
        <v>325.28</v>
      </c>
      <c r="X24" s="18" t="n">
        <v>354.82</v>
      </c>
      <c r="Y24" s="18" t="n">
        <v>392.92</v>
      </c>
      <c r="Z24" s="37" t="n">
        <v>392.92</v>
      </c>
      <c r="AA24" s="18" t="n">
        <v>364.02</v>
      </c>
      <c r="AB24" s="19" t="n">
        <v>156.36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단기금융부채</t>
        </is>
      </c>
      <c r="E25" s="18" t="n">
        <v>56.95</v>
      </c>
      <c r="F25" s="37" t="n">
        <v>56.95</v>
      </c>
      <c r="G25" s="18" t="n">
        <v>52.92</v>
      </c>
      <c r="H25" s="18" t="n">
        <v>36.99</v>
      </c>
      <c r="I25" s="18" t="n">
        <v>63.22</v>
      </c>
      <c r="J25" s="18" t="n">
        <v>61.05</v>
      </c>
      <c r="K25" s="37" t="n">
        <v>61.05</v>
      </c>
      <c r="L25" s="18" t="n">
        <v>58.83</v>
      </c>
      <c r="M25" s="18" t="n">
        <v>74.37</v>
      </c>
      <c r="N25" s="18" t="n">
        <v>91.63</v>
      </c>
      <c r="O25" s="18" t="n">
        <v>93.77</v>
      </c>
      <c r="P25" s="37" t="n">
        <v>93.77</v>
      </c>
      <c r="Q25" s="18" t="n">
        <v>89.48999999999999</v>
      </c>
      <c r="R25" s="18" t="n">
        <v>98.22</v>
      </c>
      <c r="S25" s="18" t="n">
        <v>97.09999999999999</v>
      </c>
      <c r="T25" s="18" t="n">
        <v>112.98</v>
      </c>
      <c r="U25" s="37" t="n">
        <v>112.98</v>
      </c>
      <c r="V25" s="18" t="n">
        <v>91.3</v>
      </c>
      <c r="W25" s="18" t="n">
        <v>88.3</v>
      </c>
      <c r="X25" s="18" t="n">
        <v>107.82</v>
      </c>
      <c r="Y25" s="18" t="n">
        <v>112.97</v>
      </c>
      <c r="Z25" s="37" t="n">
        <v>112.97</v>
      </c>
      <c r="AA25" s="18" t="n">
        <v>106.9</v>
      </c>
      <c r="AB25" s="19" t="n">
        <v>53.65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1269.78</v>
      </c>
      <c r="F26" s="37" t="n">
        <v>1269.78</v>
      </c>
      <c r="G26" s="18" t="n">
        <v>1578.17</v>
      </c>
      <c r="H26" s="18" t="n">
        <v>1490.44</v>
      </c>
      <c r="I26" s="18" t="n">
        <v>2247.29</v>
      </c>
      <c r="J26" s="18" t="n">
        <v>1780.14</v>
      </c>
      <c r="K26" s="37" t="n">
        <v>1780.14</v>
      </c>
      <c r="L26" s="18" t="n">
        <v>1637.7</v>
      </c>
      <c r="M26" s="18" t="n">
        <v>2653.32</v>
      </c>
      <c r="N26" s="18" t="n">
        <v>2835.31</v>
      </c>
      <c r="O26" s="18" t="n">
        <v>1027.75</v>
      </c>
      <c r="P26" s="37" t="n">
        <v>1027.75</v>
      </c>
      <c r="Q26" s="18" t="n">
        <v>810.38</v>
      </c>
      <c r="R26" s="18" t="n">
        <v>1269.58</v>
      </c>
      <c r="S26" s="18" t="n">
        <v>1910.77</v>
      </c>
      <c r="T26" s="18" t="n">
        <v>1891.01</v>
      </c>
      <c r="U26" s="37" t="n">
        <v>1891.01</v>
      </c>
      <c r="V26" s="18" t="n">
        <v>1706.83</v>
      </c>
      <c r="W26" s="18" t="n">
        <v>1989.29</v>
      </c>
      <c r="X26" s="18" t="n">
        <v>1895.28</v>
      </c>
      <c r="Y26" s="18" t="n">
        <v>1873.75</v>
      </c>
      <c r="Z26" s="37" t="n">
        <v>1873.75</v>
      </c>
      <c r="AA26" s="18" t="n">
        <v>1819.85</v>
      </c>
      <c r="AB26" s="19" t="n">
        <v>735.21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비유동부채</t>
        </is>
      </c>
      <c r="E27" s="18" t="n">
        <v>1944.33</v>
      </c>
      <c r="F27" s="37" t="n">
        <v>1944.33</v>
      </c>
      <c r="G27" s="18" t="n">
        <v>6295.67</v>
      </c>
      <c r="H27" s="18" t="n">
        <v>6317.23</v>
      </c>
      <c r="I27" s="18" t="n">
        <v>5788.29</v>
      </c>
      <c r="J27" s="18" t="n">
        <v>5486.13</v>
      </c>
      <c r="K27" s="37" t="n">
        <v>5486.13</v>
      </c>
      <c r="L27" s="18" t="n">
        <v>5534.82</v>
      </c>
      <c r="M27" s="18" t="n">
        <v>6146.57</v>
      </c>
      <c r="N27" s="18" t="n">
        <v>5787.93</v>
      </c>
      <c r="O27" s="18" t="n">
        <v>5107.64</v>
      </c>
      <c r="P27" s="37" t="n">
        <v>5107.64</v>
      </c>
      <c r="Q27" s="18" t="n">
        <v>734.42</v>
      </c>
      <c r="R27" s="18" t="n">
        <v>773.54</v>
      </c>
      <c r="S27" s="18" t="n">
        <v>866.72</v>
      </c>
      <c r="T27" s="18" t="n">
        <v>642.29</v>
      </c>
      <c r="U27" s="37" t="n">
        <v>642.29</v>
      </c>
      <c r="V27" s="18" t="n">
        <v>721.96</v>
      </c>
      <c r="W27" s="18" t="n">
        <v>683.16</v>
      </c>
      <c r="X27" s="18" t="n">
        <v>704.6</v>
      </c>
      <c r="Y27" s="18" t="n">
        <v>518.33</v>
      </c>
      <c r="Z27" s="37" t="n">
        <v>518.33</v>
      </c>
      <c r="AA27" s="18" t="n">
        <v>487.49</v>
      </c>
      <c r="AB27" s="19" t="n">
        <v>323.02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장기차입금</t>
        </is>
      </c>
      <c r="E28" s="18" t="n">
        <v>800</v>
      </c>
      <c r="F28" s="37" t="n">
        <v>800</v>
      </c>
      <c r="G28" s="18" t="n">
        <v>5200</v>
      </c>
      <c r="H28" s="18" t="n">
        <v>5200</v>
      </c>
      <c r="I28" s="18" t="n">
        <v>4700</v>
      </c>
      <c r="J28" s="18" t="n">
        <v>4400</v>
      </c>
      <c r="K28" s="37" t="n">
        <v>4400</v>
      </c>
      <c r="L28" s="18" t="n">
        <v>4400</v>
      </c>
      <c r="M28" s="18" t="n">
        <v>4400</v>
      </c>
      <c r="N28" s="18" t="n">
        <v>4400</v>
      </c>
      <c r="O28" s="18" t="n">
        <v>4400</v>
      </c>
      <c r="P28" s="37" t="n">
        <v>4400</v>
      </c>
      <c r="Q28" s="18" t="n">
        <v>0</v>
      </c>
      <c r="R28" s="18" t="n">
        <v>0</v>
      </c>
      <c r="S28" s="18" t="n">
        <v>0</v>
      </c>
      <c r="T28" s="18" t="n">
        <v>0</v>
      </c>
      <c r="U28" s="37" t="n">
        <v>0</v>
      </c>
      <c r="Y28" s="18" t="n">
        <v>0</v>
      </c>
      <c r="Z28" s="37" t="n">
        <v>0</v>
      </c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비유동리스부채</t>
        </is>
      </c>
      <c r="E29" s="18" t="n">
        <v>324.52</v>
      </c>
      <c r="F29" s="37" t="n">
        <v>324.52</v>
      </c>
      <c r="G29" s="18" t="n">
        <v>312.62</v>
      </c>
      <c r="H29" s="18" t="n">
        <v>312.34</v>
      </c>
      <c r="I29" s="18" t="n">
        <v>323.47</v>
      </c>
      <c r="J29" s="18" t="n">
        <v>310.05</v>
      </c>
      <c r="K29" s="37" t="n">
        <v>310.05</v>
      </c>
      <c r="L29" s="18" t="n">
        <v>296.33</v>
      </c>
      <c r="M29" s="18" t="n">
        <v>399.44</v>
      </c>
      <c r="N29" s="18" t="n">
        <v>399.79</v>
      </c>
      <c r="O29" s="18" t="n">
        <v>375.52</v>
      </c>
      <c r="P29" s="37" t="n">
        <v>375.52</v>
      </c>
      <c r="Q29" s="18" t="n">
        <v>357.41</v>
      </c>
      <c r="R29" s="18" t="n">
        <v>325.28</v>
      </c>
      <c r="S29" s="18" t="n">
        <v>302.68</v>
      </c>
      <c r="T29" s="18" t="n">
        <v>281.29</v>
      </c>
      <c r="U29" s="37" t="n">
        <v>281.29</v>
      </c>
      <c r="V29" s="18" t="n">
        <v>259.39</v>
      </c>
      <c r="W29" s="18" t="n">
        <v>236.98</v>
      </c>
      <c r="X29" s="18" t="n">
        <v>247</v>
      </c>
      <c r="Y29" s="18" t="n">
        <v>279.95</v>
      </c>
      <c r="Z29" s="37" t="n">
        <v>279.95</v>
      </c>
      <c r="AA29" s="18" t="n">
        <v>257.12</v>
      </c>
      <c r="AB29" s="19" t="n">
        <v>102.71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장기금융부채</t>
        </is>
      </c>
      <c r="E30" s="18" t="n">
        <v>324.52</v>
      </c>
      <c r="F30" s="37" t="n">
        <v>324.52</v>
      </c>
      <c r="G30" s="18" t="n">
        <v>312.62</v>
      </c>
      <c r="H30" s="18" t="n">
        <v>312.34</v>
      </c>
      <c r="I30" s="18" t="n">
        <v>323.47</v>
      </c>
      <c r="J30" s="18" t="n">
        <v>310.05</v>
      </c>
      <c r="K30" s="37" t="n">
        <v>310.05</v>
      </c>
      <c r="L30" s="18" t="n">
        <v>296.33</v>
      </c>
      <c r="M30" s="18" t="n">
        <v>399.44</v>
      </c>
      <c r="N30" s="18" t="n">
        <v>399.79</v>
      </c>
      <c r="O30" s="18" t="n">
        <v>375.52</v>
      </c>
      <c r="P30" s="37" t="n">
        <v>375.52</v>
      </c>
      <c r="Q30" s="18" t="n">
        <v>357.41</v>
      </c>
      <c r="R30" s="18" t="n">
        <v>325.28</v>
      </c>
      <c r="S30" s="18" t="n">
        <v>302.68</v>
      </c>
      <c r="T30" s="18" t="n">
        <v>281.29</v>
      </c>
      <c r="U30" s="37" t="n">
        <v>281.29</v>
      </c>
      <c r="V30" s="18" t="n">
        <v>259.39</v>
      </c>
      <c r="W30" s="18" t="n">
        <v>236.98</v>
      </c>
      <c r="X30" s="18" t="n">
        <v>247</v>
      </c>
      <c r="Y30" s="18" t="n">
        <v>279.95</v>
      </c>
      <c r="Z30" s="37" t="n">
        <v>279.95</v>
      </c>
      <c r="AA30" s="18" t="n">
        <v>257.12</v>
      </c>
      <c r="AB30" s="19" t="n">
        <v>102.71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확정급여부채</t>
        </is>
      </c>
      <c r="E31" s="18" t="n">
        <v>819.8099999999999</v>
      </c>
      <c r="F31" s="37" t="n">
        <v>819.8099999999999</v>
      </c>
      <c r="G31" s="18" t="n">
        <v>783.05</v>
      </c>
      <c r="H31" s="18" t="n">
        <v>804.89</v>
      </c>
      <c r="I31" s="18" t="n">
        <v>764.8200000000001</v>
      </c>
      <c r="J31" s="18" t="n">
        <v>776.08</v>
      </c>
      <c r="K31" s="37" t="n">
        <v>776.08</v>
      </c>
      <c r="L31" s="18" t="n">
        <v>838.49</v>
      </c>
      <c r="M31" s="18" t="n">
        <v>767.17</v>
      </c>
      <c r="N31" s="18" t="n">
        <v>758.78</v>
      </c>
      <c r="O31" s="18" t="n">
        <v>324.73</v>
      </c>
      <c r="P31" s="37" t="n">
        <v>324.73</v>
      </c>
      <c r="Q31" s="18" t="n">
        <v>369.62</v>
      </c>
      <c r="R31" s="18" t="n">
        <v>440.88</v>
      </c>
      <c r="S31" s="18" t="n">
        <v>519.8200000000001</v>
      </c>
      <c r="T31" s="18" t="n">
        <v>288.17</v>
      </c>
      <c r="U31" s="37" t="n">
        <v>288.17</v>
      </c>
      <c r="V31" s="18" t="n">
        <v>389.74</v>
      </c>
      <c r="W31" s="18" t="n">
        <v>446.18</v>
      </c>
      <c r="X31" s="18" t="n">
        <v>457.6</v>
      </c>
      <c r="Y31" s="18" t="n">
        <v>238.38</v>
      </c>
      <c r="Z31" s="37" t="n">
        <v>238.38</v>
      </c>
      <c r="AA31" s="18" t="n">
        <v>230.37</v>
      </c>
      <c r="AB31" s="19" t="n">
        <v>220.31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부채총계</t>
        </is>
      </c>
      <c r="E32" s="18" t="n">
        <v>22132.88</v>
      </c>
      <c r="F32" s="37" t="n">
        <v>22132.88</v>
      </c>
      <c r="G32" s="18" t="n">
        <v>23014.3</v>
      </c>
      <c r="H32" s="18" t="n">
        <v>22202.98</v>
      </c>
      <c r="I32" s="18" t="n">
        <v>19112.3</v>
      </c>
      <c r="J32" s="18" t="n">
        <v>18273.22</v>
      </c>
      <c r="K32" s="37" t="n">
        <v>18273.22</v>
      </c>
      <c r="L32" s="18" t="n">
        <v>16941.12</v>
      </c>
      <c r="M32" s="18" t="n">
        <v>15801.91</v>
      </c>
      <c r="N32" s="18" t="n">
        <v>14141.48</v>
      </c>
      <c r="O32" s="18" t="n">
        <v>11207.43</v>
      </c>
      <c r="P32" s="37" t="n">
        <v>11207.43</v>
      </c>
      <c r="Q32" s="18" t="n">
        <v>10590.17</v>
      </c>
      <c r="R32" s="18" t="n">
        <v>10582.19</v>
      </c>
      <c r="S32" s="18" t="n">
        <v>9670.09</v>
      </c>
      <c r="T32" s="18" t="n">
        <v>7363.07</v>
      </c>
      <c r="U32" s="37" t="n">
        <v>7363.07</v>
      </c>
      <c r="V32" s="18" t="n">
        <v>7165.98</v>
      </c>
      <c r="W32" s="18" t="n">
        <v>5667.47</v>
      </c>
      <c r="X32" s="18" t="n">
        <v>6689.54</v>
      </c>
      <c r="Y32" s="18" t="n">
        <v>5025.88</v>
      </c>
      <c r="Z32" s="37" t="n">
        <v>5025.88</v>
      </c>
      <c r="AA32" s="18" t="n">
        <v>8763.540000000001</v>
      </c>
      <c r="AB32" s="19" t="n">
        <v>9917.15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자본금</t>
        </is>
      </c>
      <c r="E33" s="18" t="n">
        <v>5654.63</v>
      </c>
      <c r="F33" s="37" t="n">
        <v>5654.63</v>
      </c>
      <c r="G33" s="18" t="n">
        <v>5654.63</v>
      </c>
      <c r="H33" s="18" t="n">
        <v>5654.63</v>
      </c>
      <c r="I33" s="18" t="n">
        <v>5654.63</v>
      </c>
      <c r="J33" s="18" t="n">
        <v>5654.63</v>
      </c>
      <c r="K33" s="37" t="n">
        <v>5654.63</v>
      </c>
      <c r="L33" s="18" t="n">
        <v>5654.63</v>
      </c>
      <c r="M33" s="18" t="n">
        <v>5654.63</v>
      </c>
      <c r="N33" s="18" t="n">
        <v>5654.63</v>
      </c>
      <c r="O33" s="18" t="n">
        <v>5654.63</v>
      </c>
      <c r="P33" s="37" t="n">
        <v>5654.63</v>
      </c>
      <c r="Q33" s="18" t="n">
        <v>5654.63</v>
      </c>
      <c r="R33" s="18" t="n">
        <v>5654.63</v>
      </c>
      <c r="S33" s="18" t="n">
        <v>5654.63</v>
      </c>
      <c r="T33" s="18" t="n">
        <v>5654.63</v>
      </c>
      <c r="U33" s="37" t="n">
        <v>5654.63</v>
      </c>
      <c r="V33" s="18" t="n">
        <v>5654.63</v>
      </c>
      <c r="W33" s="18" t="n">
        <v>5654.63</v>
      </c>
      <c r="X33" s="18" t="n">
        <v>5654.63</v>
      </c>
      <c r="Y33" s="18" t="n">
        <v>5654.63</v>
      </c>
      <c r="Z33" s="37" t="n">
        <v>5654.63</v>
      </c>
      <c r="AA33" s="18" t="n">
        <v>5654.63</v>
      </c>
      <c r="AB33" s="19" t="n">
        <v>5654.63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자본잉여금</t>
        </is>
      </c>
      <c r="E34" s="18" t="n">
        <v>4409.7</v>
      </c>
      <c r="F34" s="37" t="n">
        <v>4409.7</v>
      </c>
      <c r="G34" s="18" t="n">
        <v>4409.7</v>
      </c>
      <c r="H34" s="18" t="n">
        <v>4409.7</v>
      </c>
      <c r="I34" s="18" t="n">
        <v>4409.7</v>
      </c>
      <c r="J34" s="18" t="n">
        <v>4409.7</v>
      </c>
      <c r="K34" s="37" t="n">
        <v>4409.7</v>
      </c>
      <c r="L34" s="18" t="n">
        <v>4409.7</v>
      </c>
      <c r="M34" s="18" t="n">
        <v>4409.7</v>
      </c>
      <c r="N34" s="18" t="n">
        <v>4409.7</v>
      </c>
      <c r="O34" s="18" t="n">
        <v>4409.7</v>
      </c>
      <c r="P34" s="37" t="n">
        <v>4409.7</v>
      </c>
      <c r="Q34" s="18" t="n">
        <v>4409.7</v>
      </c>
      <c r="R34" s="18" t="n">
        <v>4409.7</v>
      </c>
      <c r="S34" s="18" t="n">
        <v>4409.7</v>
      </c>
      <c r="T34" s="18" t="n">
        <v>4409.7</v>
      </c>
      <c r="U34" s="37" t="n">
        <v>4409.7</v>
      </c>
      <c r="V34" s="18" t="n">
        <v>4409.7</v>
      </c>
      <c r="W34" s="18" t="n">
        <v>4409.7</v>
      </c>
      <c r="X34" s="18" t="n">
        <v>4409.7</v>
      </c>
      <c r="Y34" s="18" t="n">
        <v>4409.7</v>
      </c>
      <c r="Z34" s="37" t="n">
        <v>4409.7</v>
      </c>
      <c r="AA34" s="18" t="n">
        <v>4409.7</v>
      </c>
      <c r="AB34" s="19" t="n">
        <v>4409.7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기타자본</t>
        </is>
      </c>
      <c r="E35" s="18" t="n">
        <v>-922.91</v>
      </c>
      <c r="F35" s="37" t="n">
        <v>-922.91</v>
      </c>
      <c r="G35" s="18" t="n">
        <v>-922.91</v>
      </c>
      <c r="H35" s="18" t="n">
        <v>-922.91</v>
      </c>
      <c r="I35" s="18" t="n">
        <v>-922.91</v>
      </c>
      <c r="J35" s="18" t="n">
        <v>-922.91</v>
      </c>
      <c r="K35" s="37" t="n">
        <v>-922.91</v>
      </c>
      <c r="L35" s="18" t="n">
        <v>-922.91</v>
      </c>
      <c r="M35" s="18" t="n">
        <v>-922.91</v>
      </c>
      <c r="N35" s="18" t="n">
        <v>-922.91</v>
      </c>
      <c r="O35" s="18" t="n">
        <v>-922.91</v>
      </c>
      <c r="P35" s="37" t="n">
        <v>-922.91</v>
      </c>
      <c r="Q35" s="18" t="n">
        <v>-922.91</v>
      </c>
      <c r="R35" s="18" t="n">
        <v>-922.91</v>
      </c>
      <c r="S35" s="18" t="n">
        <v>-922.91</v>
      </c>
      <c r="T35" s="18" t="n">
        <v>-922.91</v>
      </c>
      <c r="U35" s="37" t="n">
        <v>-922.91</v>
      </c>
      <c r="V35" s="18" t="n">
        <v>-922.91</v>
      </c>
      <c r="W35" s="18" t="n">
        <v>-922.91</v>
      </c>
      <c r="X35" s="18" t="n">
        <v>-922.91</v>
      </c>
      <c r="Y35" s="18" t="n">
        <v>-922.91</v>
      </c>
      <c r="Z35" s="37" t="n">
        <v>-922.91</v>
      </c>
      <c r="AA35" s="18" t="n">
        <v>-922.91</v>
      </c>
      <c r="AB35" s="19" t="n">
        <v>0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기타포괄이익누계액</t>
        </is>
      </c>
      <c r="E36" s="18" t="n">
        <v>-914.76</v>
      </c>
      <c r="F36" s="37" t="n">
        <v>-914.76</v>
      </c>
      <c r="G36" s="18" t="n">
        <v>-914.76</v>
      </c>
      <c r="H36" s="18" t="n">
        <v>-914.76</v>
      </c>
      <c r="I36" s="18" t="n">
        <v>-914.76</v>
      </c>
      <c r="J36" s="18" t="n">
        <v>-1009.36</v>
      </c>
      <c r="K36" s="37" t="n">
        <v>-1009.36</v>
      </c>
      <c r="L36" s="18" t="n">
        <v>1968.34</v>
      </c>
      <c r="M36" s="18" t="n">
        <v>1278.38</v>
      </c>
      <c r="N36" s="18" t="n">
        <v>-48.53</v>
      </c>
      <c r="O36" s="18" t="n">
        <v>-125.4</v>
      </c>
      <c r="P36" s="37" t="n">
        <v>-125.4</v>
      </c>
      <c r="Q36" s="18" t="n">
        <v>67.09999999999999</v>
      </c>
      <c r="R36" s="18" t="n">
        <v>-213.84</v>
      </c>
      <c r="S36" s="18" t="n">
        <v>155.95</v>
      </c>
      <c r="T36" s="18" t="n">
        <v>299.51</v>
      </c>
      <c r="U36" s="37" t="n">
        <v>299.51</v>
      </c>
      <c r="V36" s="18" t="n">
        <v>-178.99</v>
      </c>
      <c r="W36" s="18" t="n">
        <v>-266.05</v>
      </c>
      <c r="X36" s="18" t="n">
        <v>-222.55</v>
      </c>
      <c r="Y36" s="18" t="n">
        <v>-305.25</v>
      </c>
      <c r="Z36" s="37" t="n">
        <v>-305.25</v>
      </c>
      <c r="AA36" s="18" t="n">
        <v>288.75</v>
      </c>
      <c r="AB36" s="19" t="n">
        <v>-393.25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이익잉여금</t>
        </is>
      </c>
      <c r="E37" s="18" t="n">
        <v>19835.24</v>
      </c>
      <c r="F37" s="37" t="n">
        <v>19835.24</v>
      </c>
      <c r="G37" s="18" t="n">
        <v>21862.64</v>
      </c>
      <c r="H37" s="18" t="n">
        <v>21848.25</v>
      </c>
      <c r="I37" s="18" t="n">
        <v>21619.85</v>
      </c>
      <c r="J37" s="18" t="n">
        <v>21639.94</v>
      </c>
      <c r="K37" s="37" t="n">
        <v>21639.94</v>
      </c>
      <c r="L37" s="18" t="n">
        <v>21710.5</v>
      </c>
      <c r="M37" s="18" t="n">
        <v>22135.1</v>
      </c>
      <c r="N37" s="18" t="n">
        <v>23375.37</v>
      </c>
      <c r="O37" s="18" t="n">
        <v>23963.49</v>
      </c>
      <c r="P37" s="37" t="n">
        <v>23963.49</v>
      </c>
      <c r="Q37" s="18" t="n">
        <v>23952.31</v>
      </c>
      <c r="R37" s="18" t="n">
        <v>24083.3</v>
      </c>
      <c r="S37" s="18" t="n">
        <v>23716.96</v>
      </c>
      <c r="T37" s="18" t="n">
        <v>24694.36</v>
      </c>
      <c r="U37" s="37" t="n">
        <v>24694.36</v>
      </c>
      <c r="V37" s="18" t="n">
        <v>24751.41</v>
      </c>
      <c r="W37" s="18" t="n">
        <v>25011.19</v>
      </c>
      <c r="X37" s="18" t="n">
        <v>24720.84</v>
      </c>
      <c r="Y37" s="18" t="n">
        <v>24444.77</v>
      </c>
      <c r="Z37" s="37" t="n">
        <v>24444.77</v>
      </c>
      <c r="AA37" s="18" t="n">
        <v>24526.23</v>
      </c>
      <c r="AB37" s="19" t="n">
        <v>23772.56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자본총계</t>
        </is>
      </c>
      <c r="E38" s="18" t="n">
        <v>28061.9</v>
      </c>
      <c r="F38" s="37" t="n">
        <v>28061.9</v>
      </c>
      <c r="G38" s="18" t="n">
        <v>30089.3</v>
      </c>
      <c r="H38" s="18" t="n">
        <v>30074.91</v>
      </c>
      <c r="I38" s="18" t="n">
        <v>29846.51</v>
      </c>
      <c r="J38" s="18" t="n">
        <v>29772.01</v>
      </c>
      <c r="K38" s="37" t="n">
        <v>29772.01</v>
      </c>
      <c r="L38" s="18" t="n">
        <v>32820.26</v>
      </c>
      <c r="M38" s="18" t="n">
        <v>32554.9</v>
      </c>
      <c r="N38" s="18" t="n">
        <v>32468.26</v>
      </c>
      <c r="O38" s="18" t="n">
        <v>32979.51</v>
      </c>
      <c r="P38" s="37" t="n">
        <v>32979.51</v>
      </c>
      <c r="Q38" s="18" t="n">
        <v>33160.83</v>
      </c>
      <c r="R38" s="18" t="n">
        <v>33010.88</v>
      </c>
      <c r="S38" s="18" t="n">
        <v>33014.33</v>
      </c>
      <c r="T38" s="18" t="n">
        <v>34135.29</v>
      </c>
      <c r="U38" s="37" t="n">
        <v>34135.29</v>
      </c>
      <c r="V38" s="18" t="n">
        <v>33713.85</v>
      </c>
      <c r="W38" s="18" t="n">
        <v>33886.56</v>
      </c>
      <c r="X38" s="18" t="n">
        <v>33639.72</v>
      </c>
      <c r="Y38" s="18" t="n">
        <v>33280.94</v>
      </c>
      <c r="Z38" s="37" t="n">
        <v>33280.94</v>
      </c>
      <c r="AA38" s="18" t="n">
        <v>33956.4</v>
      </c>
      <c r="AB38" s="19" t="n">
        <v>33443.64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부채와자본총계</t>
        </is>
      </c>
      <c r="E39" s="18" t="n">
        <v>50194.78</v>
      </c>
      <c r="F39" s="37" t="n">
        <v>50194.78</v>
      </c>
      <c r="G39" s="18" t="n">
        <v>53103.6</v>
      </c>
      <c r="H39" s="18" t="n">
        <v>52277.89</v>
      </c>
      <c r="I39" s="18" t="n">
        <v>48958.81</v>
      </c>
      <c r="J39" s="18" t="n">
        <v>48045.22</v>
      </c>
      <c r="K39" s="37" t="n">
        <v>48045.22</v>
      </c>
      <c r="L39" s="18" t="n">
        <v>49761.38</v>
      </c>
      <c r="M39" s="18" t="n">
        <v>48356.81</v>
      </c>
      <c r="N39" s="18" t="n">
        <v>46609.75</v>
      </c>
      <c r="O39" s="18" t="n">
        <v>44186.93</v>
      </c>
      <c r="P39" s="37" t="n">
        <v>44186.93</v>
      </c>
      <c r="Q39" s="18" t="n">
        <v>43751</v>
      </c>
      <c r="R39" s="18" t="n">
        <v>43593.07</v>
      </c>
      <c r="S39" s="18" t="n">
        <v>42684.42</v>
      </c>
      <c r="T39" s="18" t="n">
        <v>41498.37</v>
      </c>
      <c r="U39" s="37" t="n">
        <v>41498.37</v>
      </c>
      <c r="V39" s="18" t="n">
        <v>40879.83</v>
      </c>
      <c r="W39" s="18" t="n">
        <v>39554.03</v>
      </c>
      <c r="X39" s="18" t="n">
        <v>40329.26</v>
      </c>
      <c r="Y39" s="18" t="n">
        <v>38306.81</v>
      </c>
      <c r="Z39" s="37" t="n">
        <v>38306.81</v>
      </c>
      <c r="AA39" s="18" t="n">
        <v>42719.94</v>
      </c>
      <c r="AB39" s="19" t="n">
        <v>43360.79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지배주주지분</t>
        </is>
      </c>
      <c r="E40" s="18" t="n">
        <v>28061.9</v>
      </c>
      <c r="F40" s="37" t="n">
        <v>28061.9</v>
      </c>
      <c r="G40" s="18" t="n">
        <v>30089.3</v>
      </c>
      <c r="H40" s="18" t="n">
        <v>30074.91</v>
      </c>
      <c r="I40" s="18" t="n">
        <v>29846.51</v>
      </c>
      <c r="J40" s="18" t="n">
        <v>29772.01</v>
      </c>
      <c r="K40" s="37" t="n">
        <v>29772.01</v>
      </c>
      <c r="L40" s="18" t="n">
        <v>32820.26</v>
      </c>
      <c r="M40" s="18" t="n">
        <v>32554.9</v>
      </c>
      <c r="N40" s="18" t="n">
        <v>32468.26</v>
      </c>
      <c r="O40" s="18" t="n">
        <v>32979.51</v>
      </c>
      <c r="P40" s="37" t="n">
        <v>32979.51</v>
      </c>
      <c r="Q40" s="18" t="n">
        <v>33160.83</v>
      </c>
      <c r="R40" s="18" t="n">
        <v>33010.88</v>
      </c>
      <c r="S40" s="18" t="n">
        <v>33014.33</v>
      </c>
      <c r="T40" s="18" t="n">
        <v>34135.29</v>
      </c>
      <c r="U40" s="37" t="n">
        <v>34135.29</v>
      </c>
      <c r="V40" s="18" t="n">
        <v>33713.85</v>
      </c>
      <c r="W40" s="18" t="n">
        <v>33886.56</v>
      </c>
      <c r="X40" s="18" t="n">
        <v>33639.72</v>
      </c>
      <c r="Y40" s="18" t="n">
        <v>33280.94</v>
      </c>
      <c r="Z40" s="37" t="n">
        <v>33280.94</v>
      </c>
      <c r="AA40" s="18" t="n">
        <v>33956.4</v>
      </c>
      <c r="AB40" s="19" t="n">
        <v>33443.64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총차입금</t>
        </is>
      </c>
      <c r="E41" s="18" t="n">
        <v>16824.67</v>
      </c>
      <c r="F41" s="37" t="n">
        <v>16824.67</v>
      </c>
      <c r="G41" s="18" t="n">
        <v>17643.71</v>
      </c>
      <c r="H41" s="18" t="n">
        <v>17034.18</v>
      </c>
      <c r="I41" s="18" t="n">
        <v>13720.87</v>
      </c>
      <c r="J41" s="18" t="n">
        <v>12449.09</v>
      </c>
      <c r="K41" s="37" t="n">
        <v>12449.09</v>
      </c>
      <c r="L41" s="18" t="n">
        <v>10915.88</v>
      </c>
      <c r="M41" s="18" t="n">
        <v>8402.08</v>
      </c>
      <c r="N41" s="18" t="n">
        <v>7147.01</v>
      </c>
      <c r="O41" s="18" t="n">
        <v>6400</v>
      </c>
      <c r="P41" s="37" t="n">
        <v>6400</v>
      </c>
      <c r="Q41" s="18" t="n">
        <v>6400</v>
      </c>
      <c r="R41" s="18" t="n">
        <v>5500</v>
      </c>
      <c r="S41" s="18" t="n">
        <v>4000</v>
      </c>
      <c r="T41" s="18" t="n">
        <v>2000</v>
      </c>
      <c r="U41" s="37" t="n">
        <v>2000</v>
      </c>
      <c r="V41" s="18" t="n">
        <v>1725</v>
      </c>
      <c r="W41" s="18" t="n">
        <v>230</v>
      </c>
      <c r="X41" s="18" t="n">
        <v>1137.88</v>
      </c>
      <c r="Y41" s="18" t="n">
        <v>0</v>
      </c>
      <c r="Z41" s="37" t="n">
        <v>0</v>
      </c>
      <c r="AA41" s="18" t="n">
        <v>3692.28</v>
      </c>
      <c r="AB41" s="19" t="n">
        <v>6038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순차입금</t>
        </is>
      </c>
      <c r="E42" s="18" t="n">
        <v>13759.64</v>
      </c>
      <c r="F42" s="37" t="n">
        <v>13759.64</v>
      </c>
      <c r="G42" s="18" t="n">
        <v>13906.33</v>
      </c>
      <c r="H42" s="18" t="n">
        <v>13879.76</v>
      </c>
      <c r="I42" s="18" t="n">
        <v>10343.5</v>
      </c>
      <c r="J42" s="18" t="n">
        <v>8712.690000000001</v>
      </c>
      <c r="K42" s="37" t="n">
        <v>8712.690000000001</v>
      </c>
      <c r="L42" s="18" t="n">
        <v>10016.44</v>
      </c>
      <c r="M42" s="18" t="n">
        <v>8017.85</v>
      </c>
      <c r="N42" s="18" t="n">
        <v>7067.19</v>
      </c>
      <c r="O42" s="18" t="n">
        <v>5027.09</v>
      </c>
      <c r="P42" s="37" t="n">
        <v>5027.09</v>
      </c>
      <c r="Q42" s="18" t="n">
        <v>4274.36</v>
      </c>
      <c r="R42" s="18" t="n">
        <v>3401.46</v>
      </c>
      <c r="S42" s="18" t="n">
        <v>1442.84</v>
      </c>
      <c r="T42" s="18" t="n">
        <v>453.21</v>
      </c>
      <c r="U42" s="37" t="n">
        <v>453.21</v>
      </c>
      <c r="V42" s="18" t="n">
        <v>1069.06</v>
      </c>
      <c r="W42" s="18" t="n">
        <v>218.43</v>
      </c>
      <c r="X42" s="18" t="n">
        <v>1036.77</v>
      </c>
      <c r="Y42" s="18" t="n">
        <v>-420.12</v>
      </c>
      <c r="Z42" s="37" t="n">
        <v>-420.12</v>
      </c>
      <c r="AA42" s="18" t="n">
        <v>3677.92</v>
      </c>
      <c r="AB42" s="19" t="n">
        <v>5773.89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이자발생자산</t>
        </is>
      </c>
      <c r="E43" s="18" t="n">
        <v>4165.29</v>
      </c>
      <c r="F43" s="37" t="n">
        <v>4165.29</v>
      </c>
      <c r="G43" s="18" t="n">
        <v>4861.07</v>
      </c>
      <c r="H43" s="18" t="n">
        <v>3956.84</v>
      </c>
      <c r="I43" s="18" t="n">
        <v>4187.74</v>
      </c>
      <c r="J43" s="18" t="n">
        <v>4099.02</v>
      </c>
      <c r="K43" s="37" t="n">
        <v>4099.02</v>
      </c>
      <c r="L43" s="18" t="n">
        <v>1267.07</v>
      </c>
      <c r="M43" s="18" t="n">
        <v>385.56</v>
      </c>
      <c r="N43" s="18" t="n">
        <v>80.26000000000001</v>
      </c>
      <c r="O43" s="18" t="n">
        <v>1379.37</v>
      </c>
      <c r="P43" s="37" t="n">
        <v>1379.37</v>
      </c>
      <c r="Q43" s="18" t="n">
        <v>2139.07</v>
      </c>
      <c r="R43" s="18" t="n">
        <v>2118.98</v>
      </c>
      <c r="S43" s="18" t="n">
        <v>2585.53</v>
      </c>
      <c r="T43" s="18" t="n">
        <v>1586.76</v>
      </c>
      <c r="U43" s="37" t="n">
        <v>1586.76</v>
      </c>
      <c r="V43" s="18" t="n">
        <v>707.77</v>
      </c>
      <c r="W43" s="18" t="n">
        <v>75.42</v>
      </c>
      <c r="X43" s="18" t="n">
        <v>177.41</v>
      </c>
      <c r="Y43" s="18" t="n">
        <v>508.93</v>
      </c>
      <c r="Z43" s="37" t="n">
        <v>508.93</v>
      </c>
      <c r="AA43" s="18" t="n">
        <v>115.74</v>
      </c>
      <c r="AB43" s="19" t="n">
        <v>378.1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유동성장기부채</t>
        </is>
      </c>
      <c r="F44" s="9" t="n"/>
      <c r="I44" s="18" t="n">
        <v>500</v>
      </c>
      <c r="J44" s="18" t="n">
        <v>800</v>
      </c>
      <c r="K44" s="37" t="n">
        <v>800</v>
      </c>
      <c r="L44" s="18" t="n">
        <v>800</v>
      </c>
      <c r="M44" s="18" t="n">
        <v>300</v>
      </c>
      <c r="N44" s="18" t="n">
        <v>300</v>
      </c>
      <c r="O44" s="18" t="n">
        <v>0</v>
      </c>
      <c r="P44" s="37" t="n">
        <v>0</v>
      </c>
      <c r="Q44" s="18" t="n">
        <v>4400</v>
      </c>
      <c r="R44" s="18" t="n">
        <v>4000</v>
      </c>
      <c r="S44" s="18" t="n">
        <v>2500</v>
      </c>
      <c r="T44" s="18" t="n">
        <v>1000</v>
      </c>
      <c r="U44" s="37" t="n">
        <v>1000</v>
      </c>
      <c r="V44" s="18" t="n">
        <v>0</v>
      </c>
      <c r="W44" s="18" t="n">
        <v>0</v>
      </c>
      <c r="X44" s="18" t="n">
        <v>0</v>
      </c>
      <c r="Y44" s="18" t="n">
        <v>0</v>
      </c>
      <c r="Z44" s="37" t="n">
        <v>0</v>
      </c>
      <c r="AA44" s="18" t="n">
        <v>0</v>
      </c>
      <c r="AB44" s="19" t="n">
        <v>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당기법인세자산(선급법인세)</t>
        </is>
      </c>
      <c r="F45" s="9" t="n"/>
      <c r="K45" s="9" t="n"/>
      <c r="L45" s="18" t="n">
        <v>0</v>
      </c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이연법인세부채</t>
        </is>
      </c>
      <c r="F46" s="9" t="n"/>
      <c r="K46" s="9" t="n"/>
      <c r="M46" s="18" t="n">
        <v>579.96</v>
      </c>
      <c r="N46" s="18" t="n">
        <v>229.36</v>
      </c>
      <c r="O46" s="18" t="n">
        <v>7.38</v>
      </c>
      <c r="P46" s="37" t="n">
        <v>7.38</v>
      </c>
      <c r="Q46" s="18" t="n">
        <v>7.38</v>
      </c>
      <c r="R46" s="18" t="n">
        <v>7.38</v>
      </c>
      <c r="S46" s="18" t="n">
        <v>44.22</v>
      </c>
      <c r="T46" s="18" t="n">
        <v>72.83</v>
      </c>
      <c r="U46" s="37" t="n">
        <v>72.83</v>
      </c>
      <c r="V46" s="18" t="n">
        <v>72.83</v>
      </c>
      <c r="W46" s="18" t="n">
        <v>0</v>
      </c>
      <c r="X46" s="18" t="n">
        <v>0</v>
      </c>
      <c r="Y46" s="18" t="n">
        <v>0</v>
      </c>
      <c r="Z46" s="37" t="n">
        <v>0</v>
      </c>
      <c r="AA46" s="18" t="n">
        <v>0</v>
      </c>
      <c r="AB46" s="19" t="n">
        <v>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당기법인세부채(미지급법인세)</t>
        </is>
      </c>
      <c r="F47" s="9" t="n"/>
      <c r="K47" s="9" t="n"/>
      <c r="P47" s="9" t="n"/>
      <c r="Q47" s="18" t="n">
        <v>0.62</v>
      </c>
      <c r="R47" s="18" t="n">
        <v>0</v>
      </c>
      <c r="S47" s="18" t="n">
        <v>-3.26</v>
      </c>
      <c r="T47" s="18" t="n">
        <v>8.69</v>
      </c>
      <c r="U47" s="37" t="n">
        <v>8.69</v>
      </c>
      <c r="V47" s="18" t="n">
        <v>1.09</v>
      </c>
      <c r="W47" s="18" t="n">
        <v>5.45</v>
      </c>
      <c r="X47" s="18" t="n">
        <v>0</v>
      </c>
      <c r="Y47" s="18" t="n">
        <v>0</v>
      </c>
      <c r="Z47" s="37" t="n">
        <v>0</v>
      </c>
      <c r="AA47" s="18" t="n">
        <v>0</v>
      </c>
      <c r="AB47" s="19" t="n">
        <v>0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단기파생상품부채</t>
        </is>
      </c>
      <c r="F48" s="9" t="n"/>
      <c r="K48" s="9" t="n"/>
      <c r="P48" s="9" t="n"/>
      <c r="T48" s="18" t="n">
        <v>18.74</v>
      </c>
      <c r="U48" s="37" t="n">
        <v>18.74</v>
      </c>
      <c r="V48" s="18" t="n">
        <v>0</v>
      </c>
      <c r="W48" s="18" t="n">
        <v>0</v>
      </c>
      <c r="X48" s="18" t="n">
        <v>0</v>
      </c>
      <c r="Y48" s="18" t="n">
        <v>0</v>
      </c>
      <c r="Z48" s="37" t="n">
        <v>0</v>
      </c>
      <c r="AA48" s="18" t="n">
        <v>0</v>
      </c>
      <c r="AB48" s="19" t="n">
        <v>0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매출액(수익)</t>
        </is>
      </c>
      <c r="E49" s="18" t="n">
        <v>13539.08</v>
      </c>
      <c r="F49" s="9" t="n"/>
      <c r="G49" s="18" t="n">
        <v>13295.39</v>
      </c>
      <c r="H49" s="18" t="n">
        <v>13675.13</v>
      </c>
      <c r="I49" s="18" t="n">
        <v>11800.98</v>
      </c>
      <c r="J49" s="18" t="n">
        <v>15599.61</v>
      </c>
      <c r="K49" s="37" t="n">
        <v>54371.11</v>
      </c>
      <c r="L49" s="18" t="n">
        <v>12447.67</v>
      </c>
      <c r="M49" s="18" t="n">
        <v>11473.4</v>
      </c>
      <c r="N49" s="18" t="n">
        <v>13682.34</v>
      </c>
      <c r="O49" s="18" t="n">
        <v>16207.82</v>
      </c>
      <c r="P49" s="37" t="n">
        <v>53811.23</v>
      </c>
      <c r="Q49" s="18" t="n">
        <v>11670.52</v>
      </c>
      <c r="R49" s="18" t="n">
        <v>11863.49</v>
      </c>
      <c r="S49" s="18" t="n">
        <v>9950.07</v>
      </c>
      <c r="T49" s="18" t="n">
        <v>13799.66</v>
      </c>
      <c r="U49" s="37" t="n">
        <v>47283.74</v>
      </c>
      <c r="V49" s="18" t="n">
        <v>9423.76</v>
      </c>
      <c r="W49" s="18" t="n">
        <v>11673.15</v>
      </c>
      <c r="X49" s="18" t="n">
        <v>9776.719999999999</v>
      </c>
      <c r="Y49" s="18" t="n">
        <v>8998.65</v>
      </c>
      <c r="Z49" s="37" t="n">
        <v>39872.28</v>
      </c>
      <c r="AA49" s="18" t="n">
        <v>8826.41</v>
      </c>
      <c r="AB49" s="19" t="n">
        <v>11075.81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매출원가</t>
        </is>
      </c>
      <c r="E50" s="18" t="n">
        <v>13479.8</v>
      </c>
      <c r="F50" s="9" t="n"/>
      <c r="G50" s="18" t="n">
        <v>13324.39</v>
      </c>
      <c r="H50" s="18" t="n">
        <v>13030.46</v>
      </c>
      <c r="I50" s="18" t="n">
        <v>11361.06</v>
      </c>
      <c r="J50" s="18" t="n">
        <v>14756.26</v>
      </c>
      <c r="K50" s="37" t="n">
        <v>52472.17</v>
      </c>
      <c r="L50" s="18" t="n">
        <v>11622.53</v>
      </c>
      <c r="M50" s="18" t="n">
        <v>10398.59</v>
      </c>
      <c r="N50" s="18" t="n">
        <v>12182.33</v>
      </c>
      <c r="O50" s="18" t="n">
        <v>15007.37</v>
      </c>
      <c r="P50" s="37" t="n">
        <v>49210.82</v>
      </c>
      <c r="Q50" s="18" t="n">
        <v>11083.31</v>
      </c>
      <c r="R50" s="18" t="n">
        <v>10962.74</v>
      </c>
      <c r="S50" s="18" t="n">
        <v>9743.610000000001</v>
      </c>
      <c r="T50" s="18" t="n">
        <v>12176.45</v>
      </c>
      <c r="U50" s="37" t="n">
        <v>43966.11</v>
      </c>
      <c r="V50" s="18" t="n">
        <v>8797.889999999999</v>
      </c>
      <c r="W50" s="18" t="n">
        <v>10816.16</v>
      </c>
      <c r="X50" s="18" t="n">
        <v>9646.74</v>
      </c>
      <c r="Y50" s="18" t="n">
        <v>8822.51</v>
      </c>
      <c r="Z50" s="37" t="n">
        <v>38083.3</v>
      </c>
      <c r="AA50" s="18" t="n">
        <v>8311.540000000001</v>
      </c>
      <c r="AB50" s="19" t="n">
        <v>10445.85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매출총이익</t>
        </is>
      </c>
      <c r="E51" s="18" t="n">
        <v>59.29</v>
      </c>
      <c r="F51" s="9" t="n"/>
      <c r="G51" s="18" t="n">
        <v>-29.01</v>
      </c>
      <c r="H51" s="18" t="n">
        <v>644.67</v>
      </c>
      <c r="I51" s="18" t="n">
        <v>439.92</v>
      </c>
      <c r="J51" s="18" t="n">
        <v>843.34</v>
      </c>
      <c r="K51" s="37" t="n">
        <v>1898.92</v>
      </c>
      <c r="L51" s="18" t="n">
        <v>825.14</v>
      </c>
      <c r="M51" s="18" t="n">
        <v>1074.82</v>
      </c>
      <c r="N51" s="18" t="n">
        <v>1500</v>
      </c>
      <c r="O51" s="18" t="n">
        <v>1200.45</v>
      </c>
      <c r="P51" s="37" t="n">
        <v>4600.41</v>
      </c>
      <c r="Q51" s="18" t="n">
        <v>587.21</v>
      </c>
      <c r="R51" s="18" t="n">
        <v>900.75</v>
      </c>
      <c r="S51" s="18" t="n">
        <v>206.46</v>
      </c>
      <c r="T51" s="18" t="n">
        <v>1623.22</v>
      </c>
      <c r="U51" s="37" t="n">
        <v>3317.64</v>
      </c>
      <c r="V51" s="18" t="n">
        <v>625.88</v>
      </c>
      <c r="W51" s="18" t="n">
        <v>856.99</v>
      </c>
      <c r="X51" s="18" t="n">
        <v>129.97</v>
      </c>
      <c r="Y51" s="18" t="n">
        <v>176.14</v>
      </c>
      <c r="Z51" s="37" t="n">
        <v>1788.98</v>
      </c>
      <c r="AA51" s="18" t="n">
        <v>514.88</v>
      </c>
      <c r="AB51" s="19" t="n">
        <v>629.95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판관비</t>
        </is>
      </c>
      <c r="E52" s="18" t="n">
        <v>478.32</v>
      </c>
      <c r="F52" s="9" t="n"/>
      <c r="G52" s="18" t="n">
        <v>654.77</v>
      </c>
      <c r="H52" s="18" t="n">
        <v>578.6799999999999</v>
      </c>
      <c r="I52" s="18" t="n">
        <v>560.02</v>
      </c>
      <c r="J52" s="18" t="n">
        <v>623.11</v>
      </c>
      <c r="K52" s="37" t="n">
        <v>2416.58</v>
      </c>
      <c r="L52" s="18" t="n">
        <v>566.99</v>
      </c>
      <c r="M52" s="18" t="n">
        <v>504.33</v>
      </c>
      <c r="N52" s="18" t="n">
        <v>580.3099999999999</v>
      </c>
      <c r="O52" s="18" t="n">
        <v>530.3</v>
      </c>
      <c r="P52" s="37" t="n">
        <v>2181.93</v>
      </c>
      <c r="Q52" s="18" t="n">
        <v>525.21</v>
      </c>
      <c r="R52" s="18" t="n">
        <v>581.22</v>
      </c>
      <c r="S52" s="18" t="n">
        <v>521.2</v>
      </c>
      <c r="T52" s="18" t="n">
        <v>615.04</v>
      </c>
      <c r="U52" s="37" t="n">
        <v>2242.67</v>
      </c>
      <c r="V52" s="18" t="n">
        <v>551.52</v>
      </c>
      <c r="W52" s="18" t="n">
        <v>502.65</v>
      </c>
      <c r="X52" s="18" t="n">
        <v>457.07</v>
      </c>
      <c r="Y52" s="18" t="n">
        <v>454.41</v>
      </c>
      <c r="Z52" s="37" t="n">
        <v>1965.65</v>
      </c>
      <c r="AA52" s="18" t="n">
        <v>455.94</v>
      </c>
      <c r="AB52" s="19" t="n">
        <v>477.17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영업이익</t>
        </is>
      </c>
      <c r="E53" s="18" t="n">
        <v>-419.03</v>
      </c>
      <c r="F53" s="9" t="n"/>
      <c r="G53" s="18" t="n">
        <v>-683.78</v>
      </c>
      <c r="H53" s="18" t="n">
        <v>65.98999999999999</v>
      </c>
      <c r="I53" s="18" t="n">
        <v>-120.1</v>
      </c>
      <c r="J53" s="18" t="n">
        <v>220.23</v>
      </c>
      <c r="K53" s="37" t="n">
        <v>-517.66</v>
      </c>
      <c r="L53" s="18" t="n">
        <v>258.15</v>
      </c>
      <c r="M53" s="18" t="n">
        <v>570.49</v>
      </c>
      <c r="N53" s="18" t="n">
        <v>919.6900000000001</v>
      </c>
      <c r="O53" s="18" t="n">
        <v>670.15</v>
      </c>
      <c r="P53" s="37" t="n">
        <v>2418.48</v>
      </c>
      <c r="Q53" s="18" t="n">
        <v>61.99</v>
      </c>
      <c r="R53" s="18" t="n">
        <v>319.53</v>
      </c>
      <c r="S53" s="18" t="n">
        <v>-314.74</v>
      </c>
      <c r="T53" s="18" t="n">
        <v>1008.18</v>
      </c>
      <c r="U53" s="37" t="n">
        <v>1074.96</v>
      </c>
      <c r="V53" s="18" t="n">
        <v>74.36</v>
      </c>
      <c r="W53" s="18" t="n">
        <v>354.34</v>
      </c>
      <c r="X53" s="18" t="n">
        <v>-327.1</v>
      </c>
      <c r="Y53" s="18" t="n">
        <v>-278.28</v>
      </c>
      <c r="Z53" s="37" t="n">
        <v>-176.68</v>
      </c>
      <c r="AA53" s="18" t="n">
        <v>58.93</v>
      </c>
      <c r="AB53" s="19" t="n">
        <v>152.78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금융수익</t>
        </is>
      </c>
      <c r="E54" s="18" t="n">
        <v>14.96</v>
      </c>
      <c r="F54" s="9" t="n"/>
      <c r="G54" s="18" t="n">
        <v>15.5</v>
      </c>
      <c r="H54" s="18" t="n">
        <v>22.17</v>
      </c>
      <c r="I54" s="18" t="n">
        <v>23.76</v>
      </c>
      <c r="J54" s="18" t="n">
        <v>22.31</v>
      </c>
      <c r="K54" s="37" t="n">
        <v>83.73999999999999</v>
      </c>
      <c r="L54" s="18" t="n">
        <v>18.8</v>
      </c>
      <c r="M54" s="18" t="n">
        <v>11.43</v>
      </c>
      <c r="N54" s="18" t="n">
        <v>0.37</v>
      </c>
      <c r="O54" s="18" t="n">
        <v>35.5</v>
      </c>
      <c r="P54" s="37" t="n">
        <v>66.09999999999999</v>
      </c>
      <c r="Q54" s="18" t="n">
        <v>3.71</v>
      </c>
      <c r="R54" s="18" t="n">
        <v>21.17</v>
      </c>
      <c r="S54" s="18" t="n">
        <v>17.19</v>
      </c>
      <c r="T54" s="18" t="n">
        <v>43.63</v>
      </c>
      <c r="U54" s="37" t="n">
        <v>85.7</v>
      </c>
      <c r="V54" s="18" t="n">
        <v>7.98</v>
      </c>
      <c r="W54" s="18" t="n">
        <v>1.32</v>
      </c>
      <c r="X54" s="18" t="n">
        <v>0.53</v>
      </c>
      <c r="Y54" s="18" t="n">
        <v>0.09</v>
      </c>
      <c r="Z54" s="37" t="n">
        <v>9.92</v>
      </c>
      <c r="AA54" s="18" t="n">
        <v>0.32</v>
      </c>
      <c r="AB54" s="19" t="n">
        <v>0.27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금융비용</t>
        </is>
      </c>
      <c r="E55" s="18" t="n">
        <v>94.26000000000001</v>
      </c>
      <c r="F55" s="9" t="n"/>
      <c r="G55" s="18" t="n">
        <v>89.11</v>
      </c>
      <c r="H55" s="18" t="n">
        <v>144.95</v>
      </c>
      <c r="I55" s="18" t="n">
        <v>103.57</v>
      </c>
      <c r="J55" s="18" t="n">
        <v>139.24</v>
      </c>
      <c r="K55" s="37" t="n">
        <v>476.87</v>
      </c>
      <c r="L55" s="18" t="n">
        <v>143.13</v>
      </c>
      <c r="M55" s="18" t="n">
        <v>117.71</v>
      </c>
      <c r="N55" s="18" t="n">
        <v>110.79</v>
      </c>
      <c r="O55" s="18" t="n">
        <v>106.19</v>
      </c>
      <c r="P55" s="37" t="n">
        <v>477.82</v>
      </c>
      <c r="Q55" s="18" t="n">
        <v>93.67</v>
      </c>
      <c r="R55" s="18" t="n">
        <v>86.11</v>
      </c>
      <c r="S55" s="18" t="n">
        <v>69.31999999999999</v>
      </c>
      <c r="T55" s="18" t="n">
        <v>64.59999999999999</v>
      </c>
      <c r="U55" s="37" t="n">
        <v>313.7</v>
      </c>
      <c r="V55" s="18" t="n">
        <v>26.1</v>
      </c>
      <c r="W55" s="18" t="n">
        <v>24.45</v>
      </c>
      <c r="X55" s="18" t="n">
        <v>18.05</v>
      </c>
      <c r="Y55" s="18" t="n">
        <v>23.64</v>
      </c>
      <c r="Z55" s="37" t="n">
        <v>92.23999999999999</v>
      </c>
      <c r="AA55" s="18" t="n">
        <v>31.02</v>
      </c>
      <c r="AB55" s="19" t="n">
        <v>56.17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종속기업,공동지배기업및관계기업관련손익</t>
        </is>
      </c>
      <c r="E56" s="18" t="n">
        <v>0</v>
      </c>
      <c r="F56" s="9" t="n"/>
      <c r="I56" s="18" t="n">
        <v>0</v>
      </c>
      <c r="J56" s="18" t="n">
        <v>0</v>
      </c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기타영업외손익</t>
        </is>
      </c>
      <c r="E57" s="18" t="n">
        <v>-56.25</v>
      </c>
      <c r="F57" s="9" t="n"/>
      <c r="G57" s="18" t="n">
        <v>2754.89</v>
      </c>
      <c r="H57" s="18" t="n">
        <v>14.14</v>
      </c>
      <c r="I57" s="18" t="n">
        <v>-49.07</v>
      </c>
      <c r="J57" s="18" t="n">
        <v>-87.70999999999999</v>
      </c>
      <c r="K57" s="37" t="n">
        <v>2632.25</v>
      </c>
      <c r="L57" s="18" t="n">
        <v>-21.17</v>
      </c>
      <c r="M57" s="18" t="n">
        <v>-40.87</v>
      </c>
      <c r="N57" s="18" t="n">
        <v>444.58</v>
      </c>
      <c r="O57" s="18" t="n">
        <v>-100.9</v>
      </c>
      <c r="P57" s="37" t="n">
        <v>281.64</v>
      </c>
      <c r="Q57" s="18" t="n">
        <v>-8.75</v>
      </c>
      <c r="R57" s="18" t="n">
        <v>-29.59</v>
      </c>
      <c r="S57" s="18" t="n">
        <v>-44.04</v>
      </c>
      <c r="T57" s="18" t="n">
        <v>7.07</v>
      </c>
      <c r="U57" s="37" t="n">
        <v>-75.31</v>
      </c>
      <c r="V57" s="18" t="n">
        <v>41.98</v>
      </c>
      <c r="W57" s="18" t="n">
        <v>9.029999999999999</v>
      </c>
      <c r="X57" s="18" t="n">
        <v>-2.7</v>
      </c>
      <c r="Y57" s="18" t="n">
        <v>0.7</v>
      </c>
      <c r="Z57" s="37" t="n">
        <v>49.01</v>
      </c>
      <c r="AA57" s="18" t="n">
        <v>-13.52</v>
      </c>
      <c r="AB57" s="19" t="n">
        <v>33.43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법인세비용차감전계속사업이익</t>
        </is>
      </c>
      <c r="E58" s="18" t="n">
        <v>-554.59</v>
      </c>
      <c r="F58" s="9" t="n"/>
      <c r="G58" s="18" t="n">
        <v>1997.49</v>
      </c>
      <c r="H58" s="18" t="n">
        <v>-42.66</v>
      </c>
      <c r="I58" s="18" t="n">
        <v>-248.98</v>
      </c>
      <c r="J58" s="18" t="n">
        <v>15.59</v>
      </c>
      <c r="K58" s="37" t="n">
        <v>1721.44</v>
      </c>
      <c r="L58" s="18" t="n">
        <v>112.64</v>
      </c>
      <c r="M58" s="18" t="n">
        <v>423.34</v>
      </c>
      <c r="N58" s="18" t="n">
        <v>1253.85</v>
      </c>
      <c r="O58" s="18" t="n">
        <v>498.57</v>
      </c>
      <c r="P58" s="37" t="n">
        <v>2288.4</v>
      </c>
      <c r="Q58" s="18" t="n">
        <v>-36.72</v>
      </c>
      <c r="R58" s="18" t="n">
        <v>225</v>
      </c>
      <c r="S58" s="18" t="n">
        <v>-410.91</v>
      </c>
      <c r="T58" s="18" t="n">
        <v>994.28</v>
      </c>
      <c r="U58" s="37" t="n">
        <v>771.65</v>
      </c>
      <c r="V58" s="18" t="n">
        <v>98.22</v>
      </c>
      <c r="W58" s="18" t="n">
        <v>340.24</v>
      </c>
      <c r="X58" s="18" t="n">
        <v>-347.32</v>
      </c>
      <c r="Y58" s="18" t="n">
        <v>-301.12</v>
      </c>
      <c r="Z58" s="37" t="n">
        <v>-209.98</v>
      </c>
      <c r="AA58" s="18" t="n">
        <v>14.72</v>
      </c>
      <c r="AB58" s="19" t="n">
        <v>130.31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</t>
        </is>
      </c>
      <c r="E59" s="18" t="n">
        <v>0</v>
      </c>
      <c r="F59" s="9" t="n"/>
      <c r="G59" s="18" t="n">
        <v>0</v>
      </c>
      <c r="H59" s="18" t="n">
        <v>0</v>
      </c>
      <c r="I59" s="18" t="n">
        <v>0</v>
      </c>
      <c r="J59" s="18" t="n">
        <v>0</v>
      </c>
      <c r="K59" s="37" t="n">
        <v>0</v>
      </c>
      <c r="L59" s="18" t="n">
        <v>0</v>
      </c>
      <c r="M59" s="18" t="n">
        <v>0</v>
      </c>
      <c r="P59" s="9" t="n"/>
      <c r="S59" s="18" t="n">
        <v>-57.46</v>
      </c>
      <c r="T59" s="18" t="n">
        <v>9.52</v>
      </c>
      <c r="U59" s="9" t="n"/>
      <c r="X59" s="18" t="n">
        <v>-26.44</v>
      </c>
      <c r="Y59" s="18" t="n">
        <v>14.92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당기순이익</t>
        </is>
      </c>
      <c r="E60" s="18" t="n">
        <v>-554.59</v>
      </c>
      <c r="F60" s="9" t="n"/>
      <c r="G60" s="18" t="n">
        <v>1997.49</v>
      </c>
      <c r="H60" s="18" t="n">
        <v>-42.66</v>
      </c>
      <c r="I60" s="18" t="n">
        <v>-248.98</v>
      </c>
      <c r="J60" s="18" t="n">
        <v>15.59</v>
      </c>
      <c r="K60" s="37" t="n">
        <v>1721.44</v>
      </c>
      <c r="L60" s="18" t="n">
        <v>112.64</v>
      </c>
      <c r="M60" s="18" t="n">
        <v>425.39</v>
      </c>
      <c r="N60" s="18" t="n">
        <v>1253.85</v>
      </c>
      <c r="O60" s="18" t="n">
        <v>705.25</v>
      </c>
      <c r="P60" s="37" t="n">
        <v>2497.13</v>
      </c>
      <c r="Q60" s="18" t="n">
        <v>-36.72</v>
      </c>
      <c r="R60" s="18" t="n">
        <v>167.54</v>
      </c>
      <c r="S60" s="18" t="n">
        <v>-353.45</v>
      </c>
      <c r="T60" s="18" t="n">
        <v>984.76</v>
      </c>
      <c r="U60" s="37" t="n">
        <v>762.13</v>
      </c>
      <c r="V60" s="18" t="n">
        <v>98.22</v>
      </c>
      <c r="W60" s="18" t="n">
        <v>247.35</v>
      </c>
      <c r="X60" s="18" t="n">
        <v>-320.88</v>
      </c>
      <c r="Y60" s="18" t="n">
        <v>-316.04</v>
      </c>
      <c r="Z60" s="37" t="n">
        <v>-291.35</v>
      </c>
      <c r="AA60" s="18" t="n">
        <v>14.72</v>
      </c>
      <c r="AB60" s="19" t="n">
        <v>130.31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총포괄손익</t>
        </is>
      </c>
      <c r="E61" s="18" t="n">
        <v>1146.33</v>
      </c>
      <c r="F61" s="9" t="n"/>
      <c r="G61" s="18" t="n">
        <v>2027.4</v>
      </c>
      <c r="H61" s="18" t="n">
        <v>-14.39</v>
      </c>
      <c r="I61" s="18" t="n">
        <v>-228.4</v>
      </c>
      <c r="J61" s="18" t="n">
        <v>-74.5</v>
      </c>
      <c r="K61" s="37" t="n">
        <v>1710.11</v>
      </c>
      <c r="L61" s="18" t="n">
        <v>3048.26</v>
      </c>
      <c r="M61" s="18" t="n">
        <v>316.65</v>
      </c>
      <c r="N61" s="18" t="n">
        <v>-86.63</v>
      </c>
      <c r="O61" s="18" t="n">
        <v>511.24</v>
      </c>
      <c r="P61" s="37" t="n">
        <v>3789.52</v>
      </c>
      <c r="Q61" s="18" t="n">
        <v>181.32</v>
      </c>
      <c r="R61" s="18" t="n">
        <v>-149.95</v>
      </c>
      <c r="S61" s="18" t="n">
        <v>3.45</v>
      </c>
      <c r="T61" s="18" t="n">
        <v>1120.97</v>
      </c>
      <c r="U61" s="37" t="n">
        <v>1155.79</v>
      </c>
      <c r="V61" s="18" t="n">
        <v>-421.44</v>
      </c>
      <c r="W61" s="18" t="n">
        <v>172.71</v>
      </c>
      <c r="X61" s="18" t="n">
        <v>-246.84</v>
      </c>
      <c r="Y61" s="18" t="n">
        <v>-358.78</v>
      </c>
      <c r="Z61" s="37" t="n">
        <v>-854.35</v>
      </c>
      <c r="AA61" s="18" t="n">
        <v>675.47</v>
      </c>
      <c r="AB61" s="19" t="n">
        <v>-512.76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금융손익</t>
        </is>
      </c>
      <c r="E62" s="18" t="n">
        <v>-79.3</v>
      </c>
      <c r="F62" s="9" t="n"/>
      <c r="G62" s="18" t="n">
        <v>-73.61</v>
      </c>
      <c r="H62" s="18" t="n">
        <v>-122.78</v>
      </c>
      <c r="I62" s="18" t="n">
        <v>-79.81</v>
      </c>
      <c r="J62" s="18" t="n">
        <v>-116.93</v>
      </c>
      <c r="K62" s="37" t="n">
        <v>-393.13</v>
      </c>
      <c r="L62" s="18" t="n">
        <v>-124.33</v>
      </c>
      <c r="M62" s="18" t="n">
        <v>-106.28</v>
      </c>
      <c r="N62" s="18" t="n">
        <v>-110.42</v>
      </c>
      <c r="O62" s="18" t="n">
        <v>-70.69</v>
      </c>
      <c r="P62" s="37" t="n">
        <v>-411.72</v>
      </c>
      <c r="Q62" s="18" t="n">
        <v>-89.95999999999999</v>
      </c>
      <c r="R62" s="18" t="n">
        <v>-64.94</v>
      </c>
      <c r="S62" s="18" t="n">
        <v>-52.13</v>
      </c>
      <c r="T62" s="18" t="n">
        <v>-20.97</v>
      </c>
      <c r="U62" s="37" t="n">
        <v>-228</v>
      </c>
      <c r="V62" s="18" t="n">
        <v>-18.12</v>
      </c>
      <c r="W62" s="18" t="n">
        <v>-23.13</v>
      </c>
      <c r="X62" s="18" t="n">
        <v>-17.52</v>
      </c>
      <c r="Y62" s="18" t="n">
        <v>-23.55</v>
      </c>
      <c r="Z62" s="37" t="n">
        <v>-82.31999999999999</v>
      </c>
      <c r="AA62" s="18" t="n">
        <v>-30.7</v>
      </c>
      <c r="AB62" s="19" t="n">
        <v>-55.9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(지배주주지분)당기순이익</t>
        </is>
      </c>
      <c r="E63" s="18" t="n">
        <v>-554.59</v>
      </c>
      <c r="F63" s="9" t="n"/>
      <c r="G63" s="18" t="n">
        <v>1997.49</v>
      </c>
      <c r="H63" s="18" t="n">
        <v>-42.66</v>
      </c>
      <c r="I63" s="18" t="n">
        <v>-248.98</v>
      </c>
      <c r="J63" s="18" t="n">
        <v>15.59</v>
      </c>
      <c r="K63" s="37" t="n">
        <v>1721.44</v>
      </c>
      <c r="L63" s="18" t="n">
        <v>112.64</v>
      </c>
      <c r="M63" s="18" t="n">
        <v>425.39</v>
      </c>
      <c r="N63" s="18" t="n">
        <v>1253.85</v>
      </c>
      <c r="O63" s="18" t="n">
        <v>705.25</v>
      </c>
      <c r="P63" s="37" t="n">
        <v>2497.13</v>
      </c>
      <c r="Q63" s="18" t="n">
        <v>-36.72</v>
      </c>
      <c r="R63" s="18" t="n">
        <v>167.54</v>
      </c>
      <c r="S63" s="18" t="n">
        <v>-353.45</v>
      </c>
      <c r="T63" s="18" t="n">
        <v>984.76</v>
      </c>
      <c r="U63" s="37" t="n">
        <v>762.13</v>
      </c>
      <c r="V63" s="18" t="n">
        <v>98.22</v>
      </c>
      <c r="W63" s="18" t="n">
        <v>247.35</v>
      </c>
      <c r="X63" s="18" t="n">
        <v>-320.88</v>
      </c>
      <c r="Y63" s="18" t="n">
        <v>-316.04</v>
      </c>
      <c r="Z63" s="37" t="n">
        <v>-291.35</v>
      </c>
      <c r="AA63" s="18" t="n">
        <v>14.72</v>
      </c>
      <c r="AB63" s="19" t="n">
        <v>130.31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계속사업이익</t>
        </is>
      </c>
      <c r="E64" s="18" t="n">
        <v>-554.59</v>
      </c>
      <c r="F64" s="9" t="n"/>
      <c r="G64" s="18" t="n">
        <v>1997.49</v>
      </c>
      <c r="H64" s="18" t="n">
        <v>-42.66</v>
      </c>
      <c r="I64" s="18" t="n">
        <v>-248.98</v>
      </c>
      <c r="J64" s="18" t="n">
        <v>15.59</v>
      </c>
      <c r="K64" s="37" t="n">
        <v>1721.44</v>
      </c>
      <c r="L64" s="18" t="n">
        <v>112.64</v>
      </c>
      <c r="M64" s="18" t="n">
        <v>425.39</v>
      </c>
      <c r="N64" s="18" t="n">
        <v>1253.85</v>
      </c>
      <c r="O64" s="18" t="n">
        <v>705.25</v>
      </c>
      <c r="P64" s="37" t="n">
        <v>2497.13</v>
      </c>
      <c r="Q64" s="18" t="n">
        <v>-36.72</v>
      </c>
      <c r="R64" s="18" t="n">
        <v>167.54</v>
      </c>
      <c r="S64" s="18" t="n">
        <v>-353.45</v>
      </c>
      <c r="T64" s="18" t="n">
        <v>984.76</v>
      </c>
      <c r="U64" s="37" t="n">
        <v>762.13</v>
      </c>
      <c r="V64" s="18" t="n">
        <v>98.22</v>
      </c>
      <c r="W64" s="18" t="n">
        <v>247.35</v>
      </c>
      <c r="X64" s="18" t="n">
        <v>-320.88</v>
      </c>
      <c r="Y64" s="18" t="n">
        <v>-316.04</v>
      </c>
      <c r="Z64" s="37" t="n">
        <v>-291.35</v>
      </c>
      <c r="AA64" s="18" t="n">
        <v>14.72</v>
      </c>
      <c r="AB64" s="19" t="n">
        <v>130.31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이자수익</t>
        </is>
      </c>
      <c r="F65" s="9" t="n"/>
      <c r="G65" s="18" t="n">
        <v>9.15</v>
      </c>
      <c r="H65" s="18" t="n">
        <v>15.89</v>
      </c>
      <c r="I65" s="18" t="n">
        <v>16.12</v>
      </c>
      <c r="J65" s="18" t="n">
        <v>16.05</v>
      </c>
      <c r="K65" s="37" t="n">
        <v>57.21</v>
      </c>
      <c r="L65" s="18" t="n">
        <v>12.73</v>
      </c>
      <c r="M65" s="18" t="n">
        <v>0.04</v>
      </c>
      <c r="N65" s="18" t="n">
        <v>0.37</v>
      </c>
      <c r="O65" s="18" t="n">
        <v>0.14</v>
      </c>
      <c r="P65" s="37" t="n">
        <v>13.28</v>
      </c>
      <c r="Q65" s="18" t="n">
        <v>1.61</v>
      </c>
      <c r="R65" s="18" t="n">
        <v>16.54</v>
      </c>
      <c r="S65" s="18" t="n">
        <v>17.19</v>
      </c>
      <c r="T65" s="18" t="n">
        <v>10.04</v>
      </c>
      <c r="U65" s="37" t="n">
        <v>45.38</v>
      </c>
      <c r="V65" s="18" t="n">
        <v>6.44</v>
      </c>
      <c r="W65" s="18" t="n">
        <v>1.33</v>
      </c>
      <c r="X65" s="18" t="n">
        <v>0.53</v>
      </c>
      <c r="Y65" s="18" t="n">
        <v>0.09</v>
      </c>
      <c r="Z65" s="37" t="n">
        <v>8.390000000000001</v>
      </c>
      <c r="AA65" s="18" t="n">
        <v>0.21</v>
      </c>
      <c r="AB65" s="19" t="n">
        <v>0.06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이자비용</t>
        </is>
      </c>
      <c r="F66" s="9" t="n"/>
      <c r="G66" s="18" t="n">
        <v>89.11</v>
      </c>
      <c r="H66" s="18" t="n">
        <v>132.13</v>
      </c>
      <c r="I66" s="18" t="n">
        <v>105.51</v>
      </c>
      <c r="J66" s="18" t="n">
        <v>135.06</v>
      </c>
      <c r="K66" s="37" t="n">
        <v>461.81</v>
      </c>
      <c r="L66" s="18" t="n">
        <v>143.13</v>
      </c>
      <c r="M66" s="18" t="n">
        <v>116.34</v>
      </c>
      <c r="N66" s="18" t="n">
        <v>90.8</v>
      </c>
      <c r="O66" s="18" t="n">
        <v>85.15000000000001</v>
      </c>
      <c r="P66" s="37" t="n">
        <v>435.42</v>
      </c>
      <c r="Q66" s="18" t="n">
        <v>80.09999999999999</v>
      </c>
      <c r="R66" s="18" t="n">
        <v>72.25</v>
      </c>
      <c r="S66" s="18" t="n">
        <v>54.63</v>
      </c>
      <c r="T66" s="18" t="n">
        <v>34.74</v>
      </c>
      <c r="U66" s="37" t="n">
        <v>241.72</v>
      </c>
      <c r="V66" s="18" t="n">
        <v>21.04</v>
      </c>
      <c r="W66" s="18" t="n">
        <v>15.31</v>
      </c>
      <c r="X66" s="18" t="n">
        <v>10.44</v>
      </c>
      <c r="Y66" s="18" t="n">
        <v>16.28</v>
      </c>
      <c r="Z66" s="37" t="n">
        <v>63.07</v>
      </c>
      <c r="AA66" s="18" t="n">
        <v>23.71</v>
      </c>
      <c r="AB66" s="19" t="n">
        <v>47.59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이자손익</t>
        </is>
      </c>
      <c r="F67" s="9" t="n"/>
      <c r="G67" s="18" t="n">
        <v>-79.95999999999999</v>
      </c>
      <c r="H67" s="18" t="n">
        <v>-116.24</v>
      </c>
      <c r="I67" s="18" t="n">
        <v>-89.39</v>
      </c>
      <c r="J67" s="18" t="n">
        <v>-119.01</v>
      </c>
      <c r="K67" s="37" t="n">
        <v>-404.6</v>
      </c>
      <c r="L67" s="18" t="n">
        <v>-130.4</v>
      </c>
      <c r="M67" s="18" t="n">
        <v>-116.3</v>
      </c>
      <c r="N67" s="18" t="n">
        <v>-90.43000000000001</v>
      </c>
      <c r="O67" s="18" t="n">
        <v>-85.01000000000001</v>
      </c>
      <c r="P67" s="37" t="n">
        <v>-422.14</v>
      </c>
      <c r="Q67" s="18" t="n">
        <v>-78.48999999999999</v>
      </c>
      <c r="R67" s="18" t="n">
        <v>-55.71</v>
      </c>
      <c r="S67" s="18" t="n">
        <v>-37.44</v>
      </c>
      <c r="T67" s="18" t="n">
        <v>-24.7</v>
      </c>
      <c r="U67" s="37" t="n">
        <v>-196.34</v>
      </c>
      <c r="V67" s="18" t="n">
        <v>-14.6</v>
      </c>
      <c r="W67" s="18" t="n">
        <v>-13.98</v>
      </c>
      <c r="X67" s="18" t="n">
        <v>-9.91</v>
      </c>
      <c r="Y67" s="18" t="n">
        <v>-16.19</v>
      </c>
      <c r="Z67" s="37" t="n">
        <v>-54.68</v>
      </c>
      <c r="AA67" s="18" t="n">
        <v>-23.5</v>
      </c>
      <c r="AB67" s="19" t="n">
        <v>-47.53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외환차익</t>
        </is>
      </c>
      <c r="F68" s="9" t="n"/>
      <c r="K68" s="9" t="n"/>
      <c r="M68" s="18" t="n">
        <v>5.52</v>
      </c>
      <c r="N68" s="18" t="n">
        <v>0</v>
      </c>
      <c r="O68" s="18" t="n">
        <v>34.95</v>
      </c>
      <c r="P68" s="9" t="n"/>
      <c r="Q68" s="18" t="n">
        <v>1.42</v>
      </c>
      <c r="R68" s="18" t="n">
        <v>5.31</v>
      </c>
      <c r="S68" s="18" t="n">
        <v>0</v>
      </c>
      <c r="T68" s="18" t="n">
        <v>8.710000000000001</v>
      </c>
      <c r="U68" s="37" t="n">
        <v>15.44</v>
      </c>
      <c r="V68" s="18" t="n">
        <v>1.49</v>
      </c>
      <c r="W68" s="18" t="n">
        <v>0.04</v>
      </c>
      <c r="X68" s="18" t="n">
        <v>0</v>
      </c>
      <c r="Y68" s="18" t="n">
        <v>0</v>
      </c>
      <c r="Z68" s="37" t="n">
        <v>1.53</v>
      </c>
      <c r="AA68" s="18" t="n">
        <v>0.11</v>
      </c>
      <c r="AB68" s="19" t="n">
        <v>0.21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외환차손</t>
        </is>
      </c>
      <c r="F69" s="9" t="n"/>
      <c r="K69" s="9" t="n"/>
      <c r="M69" s="18" t="n">
        <v>0.83</v>
      </c>
      <c r="N69" s="18" t="n">
        <v>0.29</v>
      </c>
      <c r="O69" s="18" t="n">
        <v>0.16</v>
      </c>
      <c r="P69" s="9" t="n"/>
      <c r="R69" s="18" t="n">
        <v>1.91</v>
      </c>
      <c r="S69" s="18" t="n">
        <v>1.55</v>
      </c>
      <c r="T69" s="18" t="n">
        <v>0</v>
      </c>
      <c r="U69" s="9" t="n"/>
      <c r="V69" s="18" t="n">
        <v>0.09</v>
      </c>
      <c r="W69" s="18" t="n">
        <v>1.27</v>
      </c>
      <c r="X69" s="18" t="n">
        <v>0.2</v>
      </c>
      <c r="Y69" s="18" t="n">
        <v>0</v>
      </c>
      <c r="Z69" s="37" t="n">
        <v>1.56</v>
      </c>
      <c r="AB69" s="19" t="n">
        <v>1.32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외화환산손실</t>
        </is>
      </c>
      <c r="F70" s="9" t="n"/>
      <c r="K70" s="9" t="n"/>
      <c r="M70" s="18" t="n">
        <v>0.54</v>
      </c>
      <c r="N70" s="18" t="n">
        <v>-0.54</v>
      </c>
      <c r="P70" s="9" t="n"/>
      <c r="Q70" s="18" t="n">
        <v>0.93</v>
      </c>
      <c r="R70" s="18" t="n">
        <v>-0.93</v>
      </c>
      <c r="S70" s="18" t="n">
        <v>1.24</v>
      </c>
      <c r="U70" s="9" t="n"/>
      <c r="Z70" s="9" t="n"/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외화환산이익</t>
        </is>
      </c>
      <c r="F71" s="9" t="n"/>
      <c r="K71" s="9" t="n"/>
      <c r="P71" s="9" t="n"/>
      <c r="Q71" s="18" t="n">
        <v>0.67</v>
      </c>
      <c r="R71" s="18" t="n">
        <v>-0.67</v>
      </c>
      <c r="U71" s="9" t="n"/>
      <c r="V71" s="18" t="n">
        <v>0.05</v>
      </c>
      <c r="W71" s="18" t="n">
        <v>-0.05</v>
      </c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파생상품손실</t>
        </is>
      </c>
      <c r="F72" s="9" t="n"/>
      <c r="K72" s="9" t="n"/>
      <c r="P72" s="9" t="n"/>
      <c r="U72" s="9" t="n"/>
      <c r="V72" s="18" t="n">
        <v>0.9</v>
      </c>
      <c r="W72" s="18" t="n">
        <v>0</v>
      </c>
      <c r="X72" s="18" t="n">
        <v>0</v>
      </c>
      <c r="Y72" s="18" t="n">
        <v>0</v>
      </c>
      <c r="Z72" s="37" t="n">
        <v>0.9</v>
      </c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영업활동으로인한현금흐름</t>
        </is>
      </c>
      <c r="E73" s="18" t="n">
        <v>-2062.42</v>
      </c>
      <c r="F73" s="9" t="n"/>
      <c r="G73" s="18" t="n">
        <v>-2890.82</v>
      </c>
      <c r="H73" s="18" t="n">
        <v>-346.11</v>
      </c>
      <c r="I73" s="18" t="n">
        <v>4045.72</v>
      </c>
      <c r="J73" s="18" t="n">
        <v>802.99</v>
      </c>
      <c r="K73" s="37" t="n">
        <v>1611.78</v>
      </c>
      <c r="L73" s="18" t="n">
        <v>-1134.31</v>
      </c>
      <c r="M73" s="18" t="n">
        <v>1851.1</v>
      </c>
      <c r="N73" s="18" t="n">
        <v>558.24</v>
      </c>
      <c r="O73" s="18" t="n">
        <v>2354.57</v>
      </c>
      <c r="P73" s="37" t="n">
        <v>3629.6</v>
      </c>
      <c r="Q73" s="18" t="n">
        <v>964.97</v>
      </c>
      <c r="R73" s="18" t="n">
        <v>1181.27</v>
      </c>
      <c r="S73" s="18" t="n">
        <v>2067.25</v>
      </c>
      <c r="T73" s="18" t="n">
        <v>1263.52</v>
      </c>
      <c r="U73" s="37" t="n">
        <v>5477.01</v>
      </c>
      <c r="V73" s="18" t="n">
        <v>-420.3</v>
      </c>
      <c r="W73" s="18" t="n">
        <v>918.64</v>
      </c>
      <c r="X73" s="18" t="n">
        <v>-78.62</v>
      </c>
      <c r="Y73" s="18" t="n">
        <v>1605.29</v>
      </c>
      <c r="Z73" s="37" t="n">
        <v>2025.01</v>
      </c>
      <c r="AA73" s="18" t="n">
        <v>-3963.94</v>
      </c>
      <c r="AB73" s="19" t="n">
        <v>-684.5700000000001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배당금수취(CF)</t>
        </is>
      </c>
      <c r="E74" s="18" t="n">
        <v>0</v>
      </c>
      <c r="F74" s="9" t="n"/>
      <c r="K74" s="9" t="n"/>
      <c r="P74" s="9" t="n"/>
      <c r="U74" s="9" t="n"/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법인세납부(CF)</t>
        </is>
      </c>
      <c r="E75" s="18" t="n">
        <v>0</v>
      </c>
      <c r="F75" s="9" t="n"/>
      <c r="G75" s="18" t="n">
        <v>-5.11</v>
      </c>
      <c r="H75" s="18" t="n">
        <v>7.06</v>
      </c>
      <c r="I75" s="18" t="n">
        <v>-0.01</v>
      </c>
      <c r="J75" s="18" t="n">
        <v>0</v>
      </c>
      <c r="K75" s="37" t="n">
        <v>1.94</v>
      </c>
      <c r="L75" s="18" t="n">
        <v>-9.800000000000001</v>
      </c>
      <c r="M75" s="18" t="n">
        <v>-2.79</v>
      </c>
      <c r="N75" s="18" t="n">
        <v>-0.05</v>
      </c>
      <c r="O75" s="18" t="n">
        <v>-0.02</v>
      </c>
      <c r="P75" s="37" t="n">
        <v>-12.66</v>
      </c>
      <c r="Q75" s="18" t="n">
        <v>-0.15</v>
      </c>
      <c r="R75" s="18" t="n">
        <v>-0.7</v>
      </c>
      <c r="S75" s="18" t="n">
        <v>-0.6899999999999999</v>
      </c>
      <c r="T75" s="18" t="n">
        <v>-6.66</v>
      </c>
      <c r="U75" s="37" t="n">
        <v>-8.199999999999999</v>
      </c>
      <c r="V75" s="18" t="n">
        <v>-7.9</v>
      </c>
      <c r="W75" s="18" t="n">
        <v>-4.03</v>
      </c>
      <c r="X75" s="18" t="n">
        <v>-5.51</v>
      </c>
      <c r="Y75" s="18" t="n">
        <v>34.9</v>
      </c>
      <c r="Z75" s="37" t="n">
        <v>17.46</v>
      </c>
      <c r="AA75" s="18" t="n">
        <v>-0.03</v>
      </c>
      <c r="AB75" s="19" t="n">
        <v>-0.01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투자활동으로인한현금흐름</t>
        </is>
      </c>
      <c r="E76" s="18" t="n">
        <v>-275.48</v>
      </c>
      <c r="F76" s="9" t="n"/>
      <c r="G76" s="18" t="n">
        <v>2744.14</v>
      </c>
      <c r="H76" s="18" t="n">
        <v>372.68</v>
      </c>
      <c r="I76" s="18" t="n">
        <v>-9.460000000000001</v>
      </c>
      <c r="J76" s="18" t="n">
        <v>-128.19</v>
      </c>
      <c r="K76" s="37" t="n">
        <v>2979.17</v>
      </c>
      <c r="L76" s="18" t="n">
        <v>2827.09</v>
      </c>
      <c r="M76" s="18" t="n">
        <v>644.9299999999999</v>
      </c>
      <c r="N76" s="18" t="n">
        <v>413.77</v>
      </c>
      <c r="O76" s="18" t="n">
        <v>-284.86</v>
      </c>
      <c r="P76" s="37" t="n">
        <v>3600.93</v>
      </c>
      <c r="Q76" s="18" t="n">
        <v>-688.92</v>
      </c>
      <c r="R76" s="18" t="n">
        <v>-1785.88</v>
      </c>
      <c r="S76" s="18" t="n">
        <v>416.31</v>
      </c>
      <c r="T76" s="18" t="n">
        <v>746.59</v>
      </c>
      <c r="U76" s="37" t="n">
        <v>-1311.9</v>
      </c>
      <c r="V76" s="18" t="n">
        <v>-170.79</v>
      </c>
      <c r="W76" s="18" t="n">
        <v>457.47</v>
      </c>
      <c r="X76" s="18" t="n">
        <v>-714.38</v>
      </c>
      <c r="Y76" s="18" t="n">
        <v>-101.46</v>
      </c>
      <c r="Z76" s="37" t="n">
        <v>-529.16</v>
      </c>
      <c r="AA76" s="18" t="n">
        <v>-105.19</v>
      </c>
      <c r="AB76" s="19" t="n">
        <v>-1385.61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유형자산의감소</t>
        </is>
      </c>
      <c r="E77" s="18" t="n">
        <v>0</v>
      </c>
      <c r="F77" s="9" t="n"/>
      <c r="G77" s="18" t="n">
        <v>2773.66</v>
      </c>
      <c r="H77" s="18" t="n">
        <v>66.13</v>
      </c>
      <c r="I77" s="18" t="n">
        <v>-0.13</v>
      </c>
      <c r="K77" s="9" t="n"/>
      <c r="L77" s="18" t="n">
        <v>0</v>
      </c>
      <c r="M77" s="18" t="n">
        <v>0</v>
      </c>
      <c r="N77" s="18" t="n">
        <v>480</v>
      </c>
      <c r="O77" s="18" t="n">
        <v>0</v>
      </c>
      <c r="P77" s="37" t="n">
        <v>480</v>
      </c>
      <c r="Q77" s="18" t="n">
        <v>11</v>
      </c>
      <c r="R77" s="18" t="n">
        <v>0</v>
      </c>
      <c r="S77" s="18" t="n">
        <v>0</v>
      </c>
      <c r="T77" s="18" t="n">
        <v>38.77</v>
      </c>
      <c r="U77" s="37" t="n">
        <v>49.77</v>
      </c>
      <c r="V77" s="18" t="n">
        <v>26</v>
      </c>
      <c r="W77" s="18" t="n">
        <v>29.8</v>
      </c>
      <c r="X77" s="18" t="n">
        <v>0</v>
      </c>
      <c r="Y77" s="18" t="n">
        <v>7.29</v>
      </c>
      <c r="Z77" s="37" t="n">
        <v>63.09</v>
      </c>
      <c r="AA77" s="18" t="n">
        <v>5</v>
      </c>
      <c r="AB77" s="19" t="n">
        <v>0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유형자산의증가</t>
        </is>
      </c>
      <c r="E78" s="18" t="n">
        <v>264.1</v>
      </c>
      <c r="F78" s="9" t="n"/>
      <c r="G78" s="18" t="n">
        <v>12.12</v>
      </c>
      <c r="H78" s="18" t="n">
        <v>21.01</v>
      </c>
      <c r="I78" s="18" t="n">
        <v>6.92</v>
      </c>
      <c r="J78" s="18" t="n">
        <v>120.42</v>
      </c>
      <c r="K78" s="37" t="n">
        <v>160.47</v>
      </c>
      <c r="L78" s="18" t="n">
        <v>170.5</v>
      </c>
      <c r="M78" s="18" t="n">
        <v>186.71</v>
      </c>
      <c r="N78" s="18" t="n">
        <v>46.88</v>
      </c>
      <c r="O78" s="18" t="n">
        <v>265.46</v>
      </c>
      <c r="P78" s="37" t="n">
        <v>669.55</v>
      </c>
      <c r="Q78" s="18" t="n">
        <v>180.3</v>
      </c>
      <c r="R78" s="18" t="n">
        <v>266</v>
      </c>
      <c r="S78" s="18" t="n">
        <v>63.86</v>
      </c>
      <c r="T78" s="18" t="n">
        <v>268.22</v>
      </c>
      <c r="U78" s="37" t="n">
        <v>778.38</v>
      </c>
      <c r="V78" s="18" t="n">
        <v>176.78</v>
      </c>
      <c r="W78" s="18" t="n">
        <v>36.9</v>
      </c>
      <c r="X78" s="18" t="n">
        <v>646.0700000000001</v>
      </c>
      <c r="Y78" s="18" t="n">
        <v>156.95</v>
      </c>
      <c r="Z78" s="37" t="n">
        <v>1016.7</v>
      </c>
      <c r="AA78" s="18" t="n">
        <v>90.31</v>
      </c>
      <c r="AB78" s="19" t="n">
        <v>1365.75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CAPEX</t>
        </is>
      </c>
      <c r="E79" s="18" t="n">
        <v>264.1</v>
      </c>
      <c r="F79" s="9" t="n"/>
      <c r="G79" s="18" t="n">
        <v>12.12</v>
      </c>
      <c r="H79" s="18" t="n">
        <v>21.01</v>
      </c>
      <c r="I79" s="18" t="n">
        <v>6.92</v>
      </c>
      <c r="J79" s="18" t="n">
        <v>120.42</v>
      </c>
      <c r="K79" s="37" t="n">
        <v>160.47</v>
      </c>
      <c r="L79" s="18" t="n">
        <v>170.5</v>
      </c>
      <c r="M79" s="18" t="n">
        <v>186.71</v>
      </c>
      <c r="N79" s="18" t="n">
        <v>46.88</v>
      </c>
      <c r="O79" s="18" t="n">
        <v>265.46</v>
      </c>
      <c r="P79" s="37" t="n">
        <v>669.55</v>
      </c>
      <c r="Q79" s="18" t="n">
        <v>180.3</v>
      </c>
      <c r="R79" s="18" t="n">
        <v>266</v>
      </c>
      <c r="S79" s="18" t="n">
        <v>63.86</v>
      </c>
      <c r="T79" s="18" t="n">
        <v>268.22</v>
      </c>
      <c r="U79" s="37" t="n">
        <v>778.38</v>
      </c>
      <c r="V79" s="18" t="n">
        <v>176.78</v>
      </c>
      <c r="W79" s="18" t="n">
        <v>36.9</v>
      </c>
      <c r="X79" s="18" t="n">
        <v>646.0700000000001</v>
      </c>
      <c r="Y79" s="18" t="n">
        <v>156.95</v>
      </c>
      <c r="Z79" s="37" t="n">
        <v>1016.7</v>
      </c>
      <c r="AA79" s="18" t="n">
        <v>90.31</v>
      </c>
      <c r="AB79" s="19" t="n">
        <v>1365.75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재무활동으로인한현금흐름</t>
        </is>
      </c>
      <c r="E80" s="18" t="n">
        <v>2187.95</v>
      </c>
      <c r="F80" s="9" t="n"/>
      <c r="G80" s="18" t="n">
        <v>819.03</v>
      </c>
      <c r="H80" s="18" t="n">
        <v>-609.52</v>
      </c>
      <c r="I80" s="18" t="n">
        <v>-3813.32</v>
      </c>
      <c r="J80" s="18" t="n">
        <v>-771.78</v>
      </c>
      <c r="K80" s="37" t="n">
        <v>-4375.59</v>
      </c>
      <c r="L80" s="18" t="n">
        <v>-1533.21</v>
      </c>
      <c r="M80" s="18" t="n">
        <v>-2551.43</v>
      </c>
      <c r="N80" s="18" t="n">
        <v>-1276.75</v>
      </c>
      <c r="O80" s="18" t="n">
        <v>-769.13</v>
      </c>
      <c r="P80" s="37" t="n">
        <v>-6130.52</v>
      </c>
      <c r="Q80" s="18" t="n">
        <v>-22.39</v>
      </c>
      <c r="R80" s="18" t="n">
        <v>-923.41</v>
      </c>
      <c r="S80" s="18" t="n">
        <v>-1523.71</v>
      </c>
      <c r="T80" s="18" t="n">
        <v>-2024.26</v>
      </c>
      <c r="U80" s="37" t="n">
        <v>-4493.77</v>
      </c>
      <c r="V80" s="18" t="n">
        <v>-299.83</v>
      </c>
      <c r="W80" s="18" t="n">
        <v>-1520.41</v>
      </c>
      <c r="X80" s="18" t="n">
        <v>882.54</v>
      </c>
      <c r="Y80" s="18" t="n">
        <v>-1184.83</v>
      </c>
      <c r="Z80" s="37" t="n">
        <v>-2122.53</v>
      </c>
      <c r="AA80" s="18" t="n">
        <v>3663.38</v>
      </c>
      <c r="AB80" s="19" t="n">
        <v>2319.93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단기차입금의증가</t>
        </is>
      </c>
      <c r="E81" s="18" t="n">
        <v>2187.95</v>
      </c>
      <c r="F81" s="9" t="n"/>
      <c r="G81" s="18" t="n">
        <v>3580.97</v>
      </c>
      <c r="I81" s="18" t="n">
        <v>333.32</v>
      </c>
      <c r="J81" s="18" t="n">
        <v>771.78</v>
      </c>
      <c r="K81" s="9" t="n"/>
      <c r="L81" s="18" t="n">
        <v>1533.21</v>
      </c>
      <c r="N81" s="18" t="n">
        <v>4802.08</v>
      </c>
      <c r="P81" s="9" t="n"/>
      <c r="U81" s="9" t="n"/>
      <c r="V81" s="18" t="n">
        <v>725</v>
      </c>
      <c r="W81" s="18" t="n">
        <v>45</v>
      </c>
      <c r="X81" s="18" t="n">
        <v>3687.24</v>
      </c>
      <c r="Y81" s="18" t="n">
        <v>6227.33</v>
      </c>
      <c r="Z81" s="37" t="n">
        <v>10684.57</v>
      </c>
      <c r="AA81" s="18" t="n">
        <v>9661.549999999999</v>
      </c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장기차입금의증가</t>
        </is>
      </c>
      <c r="E82" s="18" t="n">
        <v>0</v>
      </c>
      <c r="F82" s="9" t="n"/>
      <c r="G82" s="18" t="n">
        <v>4400</v>
      </c>
      <c r="H82" s="18" t="n">
        <v>0</v>
      </c>
      <c r="I82" s="18" t="n">
        <v>0</v>
      </c>
      <c r="K82" s="9" t="n"/>
      <c r="L82" s="18" t="n">
        <v>0</v>
      </c>
      <c r="M82" s="18" t="n">
        <v>0</v>
      </c>
      <c r="N82" s="18" t="n">
        <v>0</v>
      </c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유동성장기부채의감소</t>
        </is>
      </c>
      <c r="E83" s="18" t="n">
        <v>0</v>
      </c>
      <c r="F83" s="9" t="n"/>
      <c r="G83" s="18" t="n">
        <v>0</v>
      </c>
      <c r="H83" s="18" t="n">
        <v>0</v>
      </c>
      <c r="K83" s="9" t="n"/>
      <c r="L83" s="18" t="n">
        <v>0</v>
      </c>
      <c r="M83" s="18" t="n">
        <v>500</v>
      </c>
      <c r="N83" s="18" t="n">
        <v>0</v>
      </c>
      <c r="O83" s="18" t="n">
        <v>300</v>
      </c>
      <c r="P83" s="37" t="n">
        <v>800</v>
      </c>
      <c r="S83" s="18" t="n">
        <v>1500</v>
      </c>
      <c r="T83" s="18" t="n">
        <v>1500</v>
      </c>
      <c r="U83" s="9" t="n"/>
      <c r="V83" s="18" t="n">
        <v>1000</v>
      </c>
      <c r="W83" s="18" t="n">
        <v>0</v>
      </c>
      <c r="X83" s="18" t="n">
        <v>0</v>
      </c>
      <c r="Y83" s="18" t="n">
        <v>0</v>
      </c>
      <c r="Z83" s="37" t="n">
        <v>1000</v>
      </c>
      <c r="AA83" s="18" t="n">
        <v>0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단기차입금의감소</t>
        </is>
      </c>
      <c r="E84" s="18" t="n">
        <v>0</v>
      </c>
      <c r="F84" s="9" t="n"/>
      <c r="I84" s="18" t="n">
        <v>3480</v>
      </c>
      <c r="K84" s="9" t="n"/>
      <c r="O84" s="18" t="n">
        <v>5249.09</v>
      </c>
      <c r="P84" s="9" t="n"/>
      <c r="Q84" s="18" t="n">
        <v>0</v>
      </c>
      <c r="R84" s="18" t="n">
        <v>500</v>
      </c>
      <c r="S84" s="18" t="n">
        <v>0</v>
      </c>
      <c r="T84" s="18" t="n">
        <v>500</v>
      </c>
      <c r="U84" s="37" t="n">
        <v>1000</v>
      </c>
      <c r="Y84" s="18" t="n">
        <v>7365.21</v>
      </c>
      <c r="Z84" s="9" t="n"/>
      <c r="AA84" s="18" t="n">
        <v>5969.27</v>
      </c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장기차입금의감소</t>
        </is>
      </c>
      <c r="E85" s="18" t="n">
        <v>0</v>
      </c>
      <c r="F85" s="9" t="n"/>
      <c r="K85" s="9" t="n"/>
      <c r="P85" s="9" t="n"/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현금및현금성자산의증감</t>
        </is>
      </c>
      <c r="E86" s="18" t="n">
        <v>-149.96</v>
      </c>
      <c r="F86" s="9" t="n"/>
      <c r="G86" s="18" t="n">
        <v>672.35</v>
      </c>
      <c r="H86" s="18" t="n">
        <v>-582.96</v>
      </c>
      <c r="I86" s="18" t="n">
        <v>222.95</v>
      </c>
      <c r="J86" s="18" t="n">
        <v>-96.98</v>
      </c>
      <c r="K86" s="37" t="n">
        <v>215.36</v>
      </c>
      <c r="L86" s="18" t="n">
        <v>159.58</v>
      </c>
      <c r="M86" s="18" t="n">
        <v>-55.41</v>
      </c>
      <c r="N86" s="18" t="n">
        <v>-304.74</v>
      </c>
      <c r="O86" s="18" t="n">
        <v>1300.58</v>
      </c>
      <c r="P86" s="37" t="n">
        <v>1100.01</v>
      </c>
      <c r="Q86" s="18" t="n">
        <v>253.66</v>
      </c>
      <c r="R86" s="18" t="n">
        <v>-1528.03</v>
      </c>
      <c r="S86" s="18" t="n">
        <v>959.86</v>
      </c>
      <c r="T86" s="18" t="n">
        <v>-14.16</v>
      </c>
      <c r="U86" s="37" t="n">
        <v>-328.67</v>
      </c>
      <c r="V86" s="18" t="n">
        <v>-890.91</v>
      </c>
      <c r="W86" s="18" t="n">
        <v>-144.32</v>
      </c>
      <c r="X86" s="18" t="n">
        <v>89.55</v>
      </c>
      <c r="Y86" s="18" t="n">
        <v>319</v>
      </c>
      <c r="Z86" s="37" t="n">
        <v>-626.6799999999999</v>
      </c>
      <c r="AA86" s="18" t="n">
        <v>-405.75</v>
      </c>
      <c r="AB86" s="19" t="n">
        <v>249.74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기말현금및현금성자산</t>
        </is>
      </c>
      <c r="E87" s="18" t="n">
        <v>-149.96</v>
      </c>
      <c r="F87" s="9" t="n"/>
      <c r="G87" s="18" t="n">
        <v>737.38</v>
      </c>
      <c r="H87" s="18" t="n">
        <v>-582.96</v>
      </c>
      <c r="I87" s="18" t="n">
        <v>222.95</v>
      </c>
      <c r="J87" s="18" t="n">
        <v>-96.98</v>
      </c>
      <c r="K87" s="37" t="n">
        <v>280.39</v>
      </c>
      <c r="L87" s="18" t="n">
        <v>439.97</v>
      </c>
      <c r="M87" s="18" t="n">
        <v>-55.74</v>
      </c>
      <c r="N87" s="18" t="n">
        <v>-304.41</v>
      </c>
      <c r="O87" s="18" t="n">
        <v>1293.09</v>
      </c>
      <c r="P87" s="37" t="n">
        <v>1372.91</v>
      </c>
      <c r="Q87" s="18" t="n">
        <v>1625.64</v>
      </c>
      <c r="R87" s="18" t="n">
        <v>-1527.1</v>
      </c>
      <c r="S87" s="18" t="n">
        <v>958.62</v>
      </c>
      <c r="T87" s="18" t="n">
        <v>-10.37</v>
      </c>
      <c r="U87" s="37" t="n">
        <v>1046.79</v>
      </c>
      <c r="V87" s="18" t="n">
        <v>155.94</v>
      </c>
      <c r="W87" s="18" t="n">
        <v>-144.37</v>
      </c>
      <c r="X87" s="18" t="n">
        <v>89.54000000000001</v>
      </c>
      <c r="Y87" s="18" t="n">
        <v>319.01</v>
      </c>
      <c r="Z87" s="37" t="n">
        <v>420.12</v>
      </c>
      <c r="AA87" s="18" t="n">
        <v>14.36</v>
      </c>
      <c r="AB87" s="19" t="n">
        <v>249.75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무형자산의증가</t>
        </is>
      </c>
      <c r="F88" s="9" t="n"/>
      <c r="G88" s="18" t="n">
        <v>0</v>
      </c>
      <c r="K88" s="9" t="n"/>
      <c r="P88" s="9" t="n"/>
      <c r="U88" s="9" t="n"/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F89" s="9" t="n"/>
      <c r="K89" s="9" t="n"/>
      <c r="N89" s="18" t="n">
        <v>21.68</v>
      </c>
      <c r="O89" s="18" t="n">
        <v>22.12</v>
      </c>
      <c r="P89" s="9" t="n"/>
      <c r="Q89" s="18" t="n">
        <v>22.39</v>
      </c>
      <c r="R89" s="18" t="n">
        <v>23.41</v>
      </c>
      <c r="S89" s="18" t="n">
        <v>23.71</v>
      </c>
      <c r="T89" s="18" t="n">
        <v>24.26</v>
      </c>
      <c r="U89" s="37" t="n">
        <v>93.77</v>
      </c>
      <c r="V89" s="18" t="n">
        <v>24.83</v>
      </c>
      <c r="W89" s="18" t="n">
        <v>25.41</v>
      </c>
      <c r="X89" s="18" t="n">
        <v>25.35</v>
      </c>
      <c r="Y89" s="18" t="n">
        <v>27.3</v>
      </c>
      <c r="Z89" s="37" t="n">
        <v>102.89</v>
      </c>
      <c r="AA89" s="18" t="n">
        <v>28.9</v>
      </c>
      <c r="AB89" s="19" t="n">
        <v>25.79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이자수취(CF)</t>
        </is>
      </c>
      <c r="F90" s="9" t="n"/>
      <c r="K90" s="9" t="n"/>
      <c r="O90" s="18" t="n">
        <v>0.14</v>
      </c>
      <c r="P90" s="9" t="n"/>
      <c r="Q90" s="18" t="n">
        <v>0.98</v>
      </c>
      <c r="T90" s="18" t="n">
        <v>22.09</v>
      </c>
      <c r="U90" s="9" t="n"/>
      <c r="V90" s="18" t="n">
        <v>-4.5</v>
      </c>
      <c r="W90" s="18" t="n">
        <v>25.52</v>
      </c>
      <c r="X90" s="18" t="n">
        <v>0.53</v>
      </c>
      <c r="Y90" s="18" t="n">
        <v>0.09</v>
      </c>
      <c r="Z90" s="37" t="n">
        <v>21.64</v>
      </c>
      <c r="AA90" s="18" t="n">
        <v>0.21</v>
      </c>
      <c r="AB90" s="19" t="n">
        <v>0.05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7">
        <f>SUM(V5:Y5)</f>
        <v/>
      </c>
      <c r="AA5" s="18">
        <f>IFERROR(VLOOKUP($D5,BS별도,MATCH(AA$1,BS별도H,0),0)/100,"")</f>
        <v/>
      </c>
      <c r="AB5" s="19">
        <f>IFERROR(VLOOKUP($D5,BS별도,MATCH(AB$1,BS별도H,0),0)/100,"")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7">
        <f>SUM(V6:Y6)</f>
        <v/>
      </c>
      <c r="AA6" s="18">
        <f>IFERROR(VLOOKUP($D6,BS별도,MATCH(AA$1,BS별도H,0),0)/100,"")</f>
        <v/>
      </c>
      <c r="AB6" s="19">
        <f>IFERROR(VLOOKUP($D6,BS별도,MATCH(AB$1,BS별도H,0),0)/100,"")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7">
        <f>SUM(V7:Y7)</f>
        <v/>
      </c>
      <c r="AA7" s="18">
        <f>IFERROR(VLOOKUP($D7,BS별도,MATCH(AA$1,BS별도H,0),0)/100,"")</f>
        <v/>
      </c>
      <c r="AB7" s="19">
        <f>IFERROR(VLOOKUP($D7,BS별도,MATCH(AB$1,BS별도H,0),0)/100,"")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7">
        <f>SUM(V8:Y8)</f>
        <v/>
      </c>
      <c r="AA8" s="18">
        <f>IFERROR(VLOOKUP($D8,BS별도,MATCH(AA$1,BS별도H,0),0)/100,"")</f>
        <v/>
      </c>
      <c r="AB8" s="19">
        <f>IFERROR(VLOOKUP($D8,BS별도,MATCH(AB$1,BS별도H,0),0)/100,"")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7">
        <f>SUM(V9:Y9)</f>
        <v/>
      </c>
      <c r="AA9" s="18">
        <f>IFERROR(VLOOKUP($D9,BS별도,MATCH(AA$1,BS별도H,0),0)/100,"")</f>
        <v/>
      </c>
      <c r="AB9" s="19">
        <f>IFERROR(VLOOKUP($D9,BS별도,MATCH(AB$1,BS별도H,0),0)/100,"")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7">
        <f>SUM(V11:Y11)</f>
        <v/>
      </c>
      <c r="AA11" s="18">
        <f>IFERROR(VLOOKUP($D11,BS별도,MATCH(AA$1,BS별도H,0),0)/100,"")</f>
        <v/>
      </c>
      <c r="AB11" s="19">
        <f>IFERROR(VLOOKUP($D11,BS별도,MATCH(AB$1,BS별도H,0),0)/100,"")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IFERROR(VLOOKUP($D12,BS별도,MATCH(G$1,BS별도H,0),0)/100,"")</f>
        <v/>
      </c>
      <c r="H12" s="18">
        <f>IFERROR(VLOOKUP($D12,BS별도,MATCH(H$1,BS별도H,0),0)/100,"")</f>
        <v/>
      </c>
      <c r="I12" s="18">
        <f>IFERROR(VLOOKUP($D12,BS별도,MATCH(I$1,BS별도H,0),0)/100,"")</f>
        <v/>
      </c>
      <c r="J12" s="18">
        <f>IFERROR(VLOOKUP($D12,BS별도,MATCH(J$1,BS별도H,0),0)/100,"")</f>
        <v/>
      </c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>
        <f>IFERROR(VLOOKUP($D12,BS별도,MATCH(N$1,BS별도H,0),0)/100,"")</f>
        <v/>
      </c>
      <c r="O12" s="18">
        <f>IFERROR(VLOOKUP($D12,BS별도,MATCH(O$1,BS별도H,0),0)/100,"")</f>
        <v/>
      </c>
      <c r="P12" s="37">
        <f>SUM(L12:O12)</f>
        <v/>
      </c>
      <c r="Q12" s="18">
        <f>IFERROR(VLOOKUP($D12,BS별도,MATCH(Q$1,BS별도H,0),0)/100,"")</f>
        <v/>
      </c>
      <c r="R12" s="18">
        <f>IFERROR(VLOOKUP($D12,BS별도,MATCH(R$1,BS별도H,0),0)/100,"")</f>
        <v/>
      </c>
      <c r="S12" s="18">
        <f>IFERROR(VLOOKUP($D12,BS별도,MATCH(S$1,BS별도H,0),0)/100,"")</f>
        <v/>
      </c>
      <c r="T12" s="18">
        <f>IFERROR(VLOOKUP($D12,BS별도,MATCH(T$1,BS별도H,0),0)/100,"")</f>
        <v/>
      </c>
      <c r="U12" s="37">
        <f>SUM(Q12:T12)</f>
        <v/>
      </c>
      <c r="V12" s="18">
        <f>IFERROR(VLOOKUP($D12,BS별도,MATCH(V$1,BS별도H,0),0)/100,"")</f>
        <v/>
      </c>
      <c r="W12" s="18">
        <f>IFERROR(VLOOKUP($D12,BS별도,MATCH(W$1,BS별도H,0),0)/100,"")</f>
        <v/>
      </c>
      <c r="X12" s="18">
        <f>IFERROR(VLOOKUP($D12,BS별도,MATCH(X$1,BS별도H,0),0)/100,"")</f>
        <v/>
      </c>
      <c r="Y12" s="18">
        <f>IFERROR(VLOOKUP($D12,BS별도,MATCH(Y$1,BS별도H,0),0)/100,"")</f>
        <v/>
      </c>
      <c r="Z12" s="37">
        <f>SUM(V12:Y12)</f>
        <v/>
      </c>
      <c r="AA12" s="18">
        <f>IFERROR(VLOOKUP($D12,BS별도,MATCH(AA$1,BS별도H,0),0)/100,"")</f>
        <v/>
      </c>
      <c r="AB12" s="19">
        <f>IFERROR(VLOOKUP($D12,BS별도,MATCH(AB$1,BS별도H,0),0)/100,"")</f>
        <v/>
      </c>
      <c r="AC12" s="20">
        <f>IFERROR((AB26*변수!$D$52-AB24*변수!$D$53)/4,"")</f>
        <v/>
      </c>
      <c r="AD12" s="20">
        <f>IFERROR((AC26*변수!$D$52-AC24*변수!$D$53)/4,"")</f>
        <v/>
      </c>
      <c r="AE12" s="38">
        <f>SUM(AA12:AD12)</f>
        <v/>
      </c>
      <c r="AF12" s="20">
        <f>IFERROR((AD26*변수!$D$52-AD24*변수!$D$53)/4,"")</f>
        <v/>
      </c>
      <c r="AG12" s="20">
        <f>IFERROR((AF26*변수!$D$52-AF24*변수!$D$53)/4,"")</f>
        <v/>
      </c>
      <c r="AH12" s="20">
        <f>IFERROR((AG26*변수!$D$52-AG24*변수!$D$53)/4,"")</f>
        <v/>
      </c>
      <c r="AI12" s="20">
        <f>IFERROR((AH26*변수!$D$52-AH24*변수!$D$53)/4,"")</f>
        <v/>
      </c>
      <c r="AJ12" s="38">
        <f>SUM(AF12:AI12)</f>
        <v/>
      </c>
      <c r="AK12" s="20">
        <f>IFERROR((AI26*변수!$D$52-AI24*변수!$D$53)/4,"")</f>
        <v/>
      </c>
      <c r="AL12" s="20">
        <f>IFERROR((AK26*변수!$D$52-AK24*변수!$D$53)/4,"")</f>
        <v/>
      </c>
      <c r="AM12" s="20">
        <f>IFERROR((AL26*변수!$D$52-AL24*변수!$D$53)/4,"")</f>
        <v/>
      </c>
      <c r="AN12" s="20">
        <f>IFERROR((AM26*변수!$D$52-AM24*변수!$D$53)/4,"")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>
        <f>IFERROR((VLOOKUP("외환차익",BS별도,MATCH(R$1,BS별도H,0),0)-VLOOKUP("외환차손",BS별도,MATCH(R$1,BS별도H,0),0)+VLOOKUP("외화환산이익",BS별도,MATCH(R$1,BS별도H,0),0)-VLOOKUP("외화환산손실",BS별도,MATCH(R$1,BS별도H,0),0))/100,"")</f>
        <v/>
      </c>
      <c r="S13" s="18" t="n"/>
      <c r="T13" s="18" t="n"/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 t="n"/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IFERROR(VLOOKUP($D14,BS별도,MATCH(V$1,BS별도H,0),0)/100,"")</f>
        <v/>
      </c>
      <c r="W14" s="18">
        <f>IFERROR(VLOOKUP($D14,BS별도,MATCH(W$1,BS별도H,0),0)/100,"")</f>
        <v/>
      </c>
      <c r="X14" s="18">
        <f>IFERROR(VLOOKUP($D14,BS별도,MATCH(X$1,BS별도H,0),0)/100,"")</f>
        <v/>
      </c>
      <c r="Y14" s="18">
        <f>IFERROR(VLOOKUP($D14,BS별도,MATCH(Y$1,BS별도H,0),0)/100,"")</f>
        <v/>
      </c>
      <c r="Z14" s="37">
        <f>SUM(V14:Y14)</f>
        <v/>
      </c>
      <c r="AA14" s="18">
        <f>IFERROR(VLOOKUP($D14,BS별도,MATCH(AA$1,BS별도H,0),0)/100,"")</f>
        <v/>
      </c>
      <c r="AB14" s="19">
        <f>IFERROR(VLOOKUP($D14,BS별도,MATCH(AB$1,BS별도H,0),0)/100,"")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지분법손익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종속기업,공동지배기업및관계기업관련손익</t>
        </is>
      </c>
      <c r="E15" s="18">
        <f>IFERROR(VLOOKUP($D15,BS별도,MATCH(E$1,BS별도H,0),0)/100,"")</f>
        <v/>
      </c>
      <c r="F15" s="37" t="n"/>
      <c r="G15" s="18" t="n"/>
      <c r="H15" s="18" t="n"/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IFERROR(VLOOKUP($D16,BS별도,MATCH(X$1,BS별도H,0),0)/100,"")</f>
        <v/>
      </c>
      <c r="Y16" s="18">
        <f>IFERROR(VLOOKUP($D16,BS별도,MATCH(Y$1,BS별도H,0),0)/100,"")</f>
        <v/>
      </c>
      <c r="Z16" s="37">
        <f>SUM(V16:Y16)</f>
        <v/>
      </c>
      <c r="AA16" s="18">
        <f>IFERROR(VLOOKUP($D16,BS별도,MATCH(AA$1,BS별도H,0),0)/100,"")</f>
        <v/>
      </c>
      <c r="AB16" s="19">
        <f>IFERROR(VLOOKUP($D16,BS별도,MATCH(AB$1,BS별도H,0),0)/100,"")</f>
        <v/>
      </c>
      <c r="AC16" s="20">
        <f>IFERROR(AC9+AC11+AC14+AC15,"")</f>
        <v/>
      </c>
      <c r="AD16" s="20">
        <f>IFERROR(AD9+AD11+AD14+AD15,"")</f>
        <v/>
      </c>
      <c r="AE16" s="38">
        <f>SUM(AA16:AD16)</f>
        <v/>
      </c>
      <c r="AF16" s="20">
        <f>IFERROR(AF9+AF11+AF14+AF15,"")</f>
        <v/>
      </c>
      <c r="AG16" s="20">
        <f>IFERROR(AG9+AG11+AG14+AG15,"")</f>
        <v/>
      </c>
      <c r="AH16" s="20">
        <f>IFERROR(AH9+AH11+AH14+AH15,"")</f>
        <v/>
      </c>
      <c r="AI16" s="20">
        <f>IFERROR(AI9+AI11+AI14+AI15,"")</f>
        <v/>
      </c>
      <c r="AJ16" s="38">
        <f>SUM(AF16:AI16)</f>
        <v/>
      </c>
      <c r="AK16" s="20">
        <f>IFERROR(AK9+AK11+AK14+AK15,"")</f>
        <v/>
      </c>
      <c r="AL16" s="20">
        <f>IFERROR(AL9+AL11+AL14+AL15,"")</f>
        <v/>
      </c>
      <c r="AM16" s="20">
        <f>IFERROR(AM9+AM11+AM14+AM15,"")</f>
        <v/>
      </c>
      <c r="AN16" s="20">
        <f>IFERROR(AN9+AN11+AN14+AN15,"")</f>
        <v/>
      </c>
      <c r="AO16" s="38">
        <f>SUM(AK16:AN16)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 t="n"/>
      <c r="O17" s="18" t="n"/>
      <c r="P17" s="37">
        <f>SUM(L17:O17)</f>
        <v/>
      </c>
      <c r="Q17" s="18" t="n"/>
      <c r="R17" s="18" t="n"/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 t="n"/>
      <c r="W17" s="18" t="n"/>
      <c r="X17" s="18">
        <f>IFERROR(VLOOKUP($D17,BS별도,MATCH(X$1,BS별도H,0),0)/100,"")</f>
        <v/>
      </c>
      <c r="Y17" s="18">
        <f>IFERROR(VLOOKUP($D17,BS별도,MATCH(Y$1,BS별도H,0),0)/100,"")</f>
        <v/>
      </c>
      <c r="Z17" s="37">
        <f>SUM(V17:Y17)</f>
        <v/>
      </c>
      <c r="AA17" s="18" t="n"/>
      <c r="AB17" s="19" t="n"/>
      <c r="AC17" s="20">
        <f>IFERROR(MAX(AC16,0)*변수!AC27,"")</f>
        <v/>
      </c>
      <c r="AD17" s="20">
        <f>IFERROR(MAX(AD16,0)*변수!AD27,"")</f>
        <v/>
      </c>
      <c r="AE17" s="38">
        <f>SUM(AA17:AD17)</f>
        <v/>
      </c>
      <c r="AF17" s="20">
        <f>IFERROR(MAX(AF16,0)*변수!AF27,"")</f>
        <v/>
      </c>
      <c r="AG17" s="20">
        <f>IFERROR(MAX(AG16,0)*변수!AG27,"")</f>
        <v/>
      </c>
      <c r="AH17" s="20">
        <f>IFERROR(MAX(AH16,0)*변수!AH27,"")</f>
        <v/>
      </c>
      <c r="AI17" s="20">
        <f>IFERROR(MAX(AI16,0)*변수!AI27,"")</f>
        <v/>
      </c>
      <c r="AJ17" s="38">
        <f>SUM(AF17:AI17)</f>
        <v/>
      </c>
      <c r="AK17" s="20">
        <f>IFERROR(MAX(AK16,0)*변수!AK27,"")</f>
        <v/>
      </c>
      <c r="AL17" s="20">
        <f>IFERROR(MAX(AL16,0)*변수!AL27,"")</f>
        <v/>
      </c>
      <c r="AM17" s="20">
        <f>IFERROR(MAX(AM16,0)*변수!AM27,"")</f>
        <v/>
      </c>
      <c r="AN17" s="20">
        <f>IFERROR(MAX(AN16,0)*변수!AN27,"")</f>
        <v/>
      </c>
      <c r="AO17" s="38">
        <f>SUM(AK17:AN17)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7">
        <f>SUM(V18:Y18)</f>
        <v/>
      </c>
      <c r="AA18" s="18">
        <f>IFERROR(VLOOKUP($D18,BS별도,MATCH(AA$1,BS별도H,0),0)/100,"")</f>
        <v/>
      </c>
      <c r="AB18" s="19">
        <f>IFERROR(VLOOKUP($D18,BS별도,MATCH(AB$1,BS별도H,0),0)/100,"")</f>
        <v/>
      </c>
      <c r="AC18" s="20">
        <f>IFERROR(AC16-AC17,"")</f>
        <v/>
      </c>
      <c r="AD18" s="20">
        <f>IFERROR(AD16-AD17,"")</f>
        <v/>
      </c>
      <c r="AE18" s="38">
        <f>SUM(AA18:AD18)</f>
        <v/>
      </c>
      <c r="AF18" s="20">
        <f>IFERROR(AF16-AF17,"")</f>
        <v/>
      </c>
      <c r="AG18" s="20">
        <f>IFERROR(AG16-AG17,"")</f>
        <v/>
      </c>
      <c r="AH18" s="20">
        <f>IFERROR(AH16-AH17,"")</f>
        <v/>
      </c>
      <c r="AI18" s="20">
        <f>IFERROR(AI16-AI17,"")</f>
        <v/>
      </c>
      <c r="AJ18" s="38">
        <f>SUM(AF18:AI18)</f>
        <v/>
      </c>
      <c r="AK18" s="20">
        <f>IFERROR(AK16-AK17,"")</f>
        <v/>
      </c>
      <c r="AL18" s="20">
        <f>IFERROR(AL16-AL17,"")</f>
        <v/>
      </c>
      <c r="AM18" s="20">
        <f>IFERROR(AM16-AM17,"")</f>
        <v/>
      </c>
      <c r="AN18" s="20">
        <f>IFERROR(AN16-AN17,"")</f>
        <v/>
      </c>
      <c r="AO18" s="38">
        <f>SUM(AK18:AN18)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>
        <f>IFERROR(VLOOKUP($D19,BS별도,MATCH(E$1,BS별도H,0),0)/100,"")</f>
        <v/>
      </c>
      <c r="F19" s="37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SUM(L19:O19)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SUM(Q19:T19)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7">
        <f>SUM(V19:Y19)</f>
        <v/>
      </c>
      <c r="AA19" s="18">
        <f>IFERROR(VLOOKUP($D19,BS별도,MATCH(AA$1,BS별도H,0),0)/100,"")</f>
        <v/>
      </c>
      <c r="AB19" s="19">
        <f>IFERROR(VLOOKUP($D19,BS별도,MATCH(AB$1,BS별도H,0),0)/100,"")</f>
        <v/>
      </c>
      <c r="AC19" s="20">
        <f>IFERROR(AC18*변수!AC28,"")</f>
        <v/>
      </c>
      <c r="AD19" s="20">
        <f>IFERROR(AD18*변수!AD28,"")</f>
        <v/>
      </c>
      <c r="AE19" s="38">
        <f>SUM(AA19:AD19)</f>
        <v/>
      </c>
      <c r="AF19" s="20">
        <f>IFERROR(AF18*변수!AF28,"")</f>
        <v/>
      </c>
      <c r="AG19" s="20">
        <f>IFERROR(AG18*변수!AG28,"")</f>
        <v/>
      </c>
      <c r="AH19" s="20">
        <f>IFERROR(AH18*변수!AH28,"")</f>
        <v/>
      </c>
      <c r="AI19" s="20">
        <f>IFERROR(AI18*변수!AI28,"")</f>
        <v/>
      </c>
      <c r="AJ19" s="38">
        <f>SUM(AF19:AI19)</f>
        <v/>
      </c>
      <c r="AK19" s="20">
        <f>IFERROR(AK18*변수!AK28,"")</f>
        <v/>
      </c>
      <c r="AL19" s="20">
        <f>IFERROR(AL18*변수!AL28,"")</f>
        <v/>
      </c>
      <c r="AM19" s="20">
        <f>IFERROR(AM18*변수!AM28,"")</f>
        <v/>
      </c>
      <c r="AN19" s="20">
        <f>IFERROR(AN18*변수!AN28,"")</f>
        <v/>
      </c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IFERROR(VLOOKUP($D20,BS별도,MATCH(E$1,BS별도H,0),0)/100,"")</f>
        <v/>
      </c>
      <c r="F20" s="37" t="n">
        <v>501.95</v>
      </c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J20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O20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IFERROR(VLOOKUP($D20,BS별도,MATCH(X$1,BS별도H,0),0)/100,"")</f>
        <v/>
      </c>
      <c r="Y20" s="18">
        <f>IFERROR(VLOOKUP($D20,BS별도,MATCH(Y$1,BS별도H,0),0)/100,"")</f>
        <v/>
      </c>
      <c r="Z20" s="37">
        <f>Y20</f>
        <v/>
      </c>
      <c r="AA20" s="18">
        <f>IFERROR(VLOOKUP($D20,BS별도,MATCH(AA$1,BS별도H,0),0)/100,"")</f>
        <v/>
      </c>
      <c r="AB20" s="19">
        <f>IFERROR(VLOOKUP($D20,BS별도,MATCH(AB$1,BS별도H,0),0)/100,"")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IFERROR(VLOOKUP($D21,BS별도,MATCH(E$1,BS별도H,0),0)/100,"")</f>
        <v/>
      </c>
      <c r="F21" s="37" t="n">
        <v>221.33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7">
        <f>Y21</f>
        <v/>
      </c>
      <c r="AA21" s="18">
        <f>IFERROR(VLOOKUP($D21,BS별도,MATCH(AA$1,BS별도H,0),0)/100,"")</f>
        <v/>
      </c>
      <c r="AB21" s="19">
        <f>IFERROR(VLOOKUP($D21,BS별도,MATCH(AB$1,BS별도H,0),0)/100,"")</f>
        <v/>
      </c>
      <c r="AC21" s="20">
        <f>IFERROR(AB21*(1+변수!AC29),"")</f>
        <v/>
      </c>
      <c r="AD21" s="20">
        <f>IFERROR(AC21*(1+변수!AD29),"")</f>
        <v/>
      </c>
      <c r="AE21" s="38">
        <f>AD21</f>
        <v/>
      </c>
      <c r="AF21" s="20">
        <f>IFERROR(AD21*(1+변수!AF29),"")</f>
        <v/>
      </c>
      <c r="AG21" s="20">
        <f>IFERROR(AF21*(1+변수!AG29),"")</f>
        <v/>
      </c>
      <c r="AH21" s="20">
        <f>IFERROR(AG21*(1+변수!AH29),"")</f>
        <v/>
      </c>
      <c r="AI21" s="20">
        <f>IFERROR(AH21*(1+변수!AI29),"")</f>
        <v/>
      </c>
      <c r="AJ21" s="38">
        <f>AI21</f>
        <v/>
      </c>
      <c r="AK21" s="20">
        <f>IFERROR(AI21*(1+변수!AK29),"")</f>
        <v/>
      </c>
      <c r="AL21" s="20">
        <f>IFERROR(AK21*(1+변수!AL29),"")</f>
        <v/>
      </c>
      <c r="AM21" s="20">
        <f>IFERROR(AL21*(1+변수!AM29),"")</f>
        <v/>
      </c>
      <c r="AN21" s="20">
        <f>IFERROR(AM21*(1+변수!AN29),"")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IFERROR(VLOOKUP($D22,BS별도,MATCH(E$1,BS별도H,0),0)/100,"")</f>
        <v/>
      </c>
      <c r="F22" s="37" t="n">
        <v>280.62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7">
        <f>Y22</f>
        <v/>
      </c>
      <c r="AA22" s="18">
        <f>IFERROR(VLOOKUP($D22,BS별도,MATCH(AA$1,BS별도H,0),0)/100,"")</f>
        <v/>
      </c>
      <c r="AB22" s="19">
        <f>IFERROR(VLOOKUP($D22,BS별도,MATCH(AB$1,BS별도H,0),0)/100,"")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IFERROR(VLOOKUP($D23,BS별도,MATCH(E$1,BS별도H,0),0)/100,"")</f>
        <v/>
      </c>
      <c r="F23" s="37" t="n">
        <v>280.62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IFERROR(VLOOKUP($D23,BS별도,MATCH(V$1,BS별도H,0),0)/100,"")</f>
        <v/>
      </c>
      <c r="W23" s="18">
        <f>IFERROR(VLOOKUP($D23,BS별도,MATCH(W$1,BS별도H,0),0)/100,"")</f>
        <v/>
      </c>
      <c r="X23" s="18">
        <f>IFERROR(VLOOKUP($D23,BS별도,MATCH(X$1,BS별도H,0),0)/100,"")</f>
        <v/>
      </c>
      <c r="Y23" s="18">
        <f>IFERROR(VLOOKUP($D23,BS별도,MATCH(Y$1,BS별도H,0),0)/100,"")</f>
        <v/>
      </c>
      <c r="Z23" s="37">
        <f>Y23</f>
        <v/>
      </c>
      <c r="AA23" s="18">
        <f>IFERROR(VLOOKUP($D23,BS별도,MATCH(AA$1,BS별도H,0),0)/100,"")</f>
        <v/>
      </c>
      <c r="AB23" s="19">
        <f>IFERROR(VLOOKUP($D23,BS별도,MATCH(AB$1,BS별도H,0),0)/100,"")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IFERROR(VLOOKUP($D24,BS별도,MATCH(E$1,BS별도H,0),0)/100,"")</f>
        <v/>
      </c>
      <c r="F24" s="37" t="n">
        <v>168.25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7">
        <f>T24</f>
        <v/>
      </c>
      <c r="V24" s="18">
        <f>IFERROR(VLOOKUP($D24,BS별도,MATCH(V$1,BS별도H,0),0)/100,"")</f>
        <v/>
      </c>
      <c r="W24" s="18">
        <f>IFERROR(VLOOKUP($D24,BS별도,MATCH(W$1,BS별도H,0),0)/100,"")</f>
        <v/>
      </c>
      <c r="X24" s="18">
        <f>IFERROR(VLOOKUP($D24,BS별도,MATCH(X$1,BS별도H,0),0)/100,"")</f>
        <v/>
      </c>
      <c r="Y24" s="18">
        <f>IFERROR(VLOOKUP($D24,BS별도,MATCH(Y$1,BS별도H,0),0)/100,"")</f>
        <v/>
      </c>
      <c r="Z24" s="37">
        <f>Y24</f>
        <v/>
      </c>
      <c r="AA24" s="18">
        <f>IFERROR(VLOOKUP($D24,BS별도,MATCH(AA$1,BS별도H,0),0)/100,"")</f>
        <v/>
      </c>
      <c r="AB24" s="19">
        <f>IFERROR(VLOOKUP($D24,BS별도,MATCH(AB$1,BS별도H,0),0)/100,"")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IFERROR(VLOOKUP($D25,BS별도,MATCH(E$1,BS별도H,0),0)/100,"")</f>
        <v/>
      </c>
      <c r="F25" s="37" t="n">
        <v>137.6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7">
        <f>Y25</f>
        <v/>
      </c>
      <c r="AA25" s="18">
        <f>IFERROR(VLOOKUP($D25,BS별도,MATCH(AA$1,BS별도H,0),0)/100,"")</f>
        <v/>
      </c>
      <c r="AB25" s="19">
        <f>IFERROR(VLOOKUP($D25,BS별도,MATCH(AB$1,BS별도H,0),0)/100,"")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IFERROR(VLOOKUP($D26,BS별도,MATCH(E$1,BS별도H,0),0)/100,"")</f>
        <v/>
      </c>
      <c r="F26" s="37" t="n">
        <v>41.65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7">
        <f>Y26</f>
        <v/>
      </c>
      <c r="AA26" s="18">
        <f>IFERROR(VLOOKUP($D26,BS별도,MATCH(AA$1,BS별도H,0),0)/100,"")</f>
        <v/>
      </c>
      <c r="AB26" s="19">
        <f>IFERROR(VLOOKUP($D26,BS별도,MATCH(AB$1,BS별도H,0),0)/100,"")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IFERROR(VLOOKUP($D27,BS별도,MATCH(E$1,BS별도H,0),0)/100,"")</f>
        <v/>
      </c>
      <c r="F27" s="37" t="n">
        <v>0.65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O27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T27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7">
        <f>Y27</f>
        <v/>
      </c>
      <c r="AA27" s="18">
        <f>IFERROR(VLOOKUP($D27,BS별도,MATCH(AA$1,BS별도H,0),0)/100,"")</f>
        <v/>
      </c>
      <c r="AB27" s="19">
        <f>IFERROR(VLOOKUP($D27,BS별도,MATCH(AB$1,BS별도H,0),0)/100,"")</f>
        <v/>
      </c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  <c r="AK27" s="20" t="n"/>
      <c r="AL27" s="20" t="n"/>
      <c r="AM27" s="20" t="n"/>
      <c r="AN27" s="20" t="n"/>
      <c r="AO27" s="38">
        <f>AN27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>
        <f>IFERROR(VLOOKUP($D28,BS별도,MATCH(E$1,BS별도H,0),0)/100,"")</f>
        <v/>
      </c>
      <c r="F28" s="37" t="n"/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SUM(G28:J28)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SUM(L28:O28)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SUM(Q28:T28)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7">
        <f>SUM(V28:Y28)</f>
        <v/>
      </c>
      <c r="AA28" s="18">
        <f>IFERROR(VLOOKUP($D28,BS별도,MATCH(AA$1,BS별도H,0),0)/100,"")</f>
        <v/>
      </c>
      <c r="AB28" s="19">
        <f>IFERROR(VLOOKUP($D28,BS별도,MATCH(AB$1,BS별도H,0),0)/100,"")</f>
        <v/>
      </c>
      <c r="AC28" s="20">
        <f>IFERROR(X28*(1+변수!AC36),"")</f>
        <v/>
      </c>
      <c r="AD28" s="20">
        <f>IFERROR(Y28*(1+변수!AD36),"")</f>
        <v/>
      </c>
      <c r="AE28" s="38">
        <f>SUM(AA28:AD28)</f>
        <v/>
      </c>
      <c r="AF28" s="20">
        <f>IFERROR(AA28*(1+변수!AF36),"")</f>
        <v/>
      </c>
      <c r="AG28" s="20">
        <f>IFERROR(AB28*(1+변수!AG36),"")</f>
        <v/>
      </c>
      <c r="AH28" s="20">
        <f>IFERROR(AC28*(1+변수!AH36),"")</f>
        <v/>
      </c>
      <c r="AI28" s="20">
        <f>IFERROR(AD28*(1+변수!AI36),"")</f>
        <v/>
      </c>
      <c r="AJ28" s="38">
        <f>SUM(AF28:AI28)</f>
        <v/>
      </c>
      <c r="AK28" s="20">
        <f>IFERROR(AF28*(1+변수!AK36),"")</f>
        <v/>
      </c>
      <c r="AL28" s="20">
        <f>IFERROR(AG28*(1+변수!AL36),"")</f>
        <v/>
      </c>
      <c r="AM28" s="20">
        <f>IFERROR(AH28*(1+변수!AM36),"")</f>
        <v/>
      </c>
      <c r="AN28" s="20">
        <f>IFERROR(AI28*(1+변수!AN36),"")</f>
        <v/>
      </c>
      <c r="AO28" s="38">
        <f>SUM(AK28:AN28)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>
        <f>IFERROR(VLOOKUP($D29,BS별도,MATCH(E$1,BS별도H,0),0)/100,"")</f>
        <v/>
      </c>
      <c r="F29" s="37" t="n"/>
      <c r="G29" s="18">
        <f>IFERROR(VLOOKUP($D29,BS별도,MATCH(G$1,BS별도H,0),0)/100,"")</f>
        <v/>
      </c>
      <c r="H29" s="18">
        <f>IFERROR(VLOOKUP($D29,BS별도,MATCH(H$1,BS별도H,0),0)/100,"")</f>
        <v/>
      </c>
      <c r="I29" s="18">
        <f>IFERROR(VLOOKUP($D29,BS별도,MATCH(I$1,BS별도H,0),0)/100,"")</f>
        <v/>
      </c>
      <c r="J29" s="18">
        <f>IFERROR(VLOOKUP($D29,BS별도,MATCH(J$1,BS별도H,0),0)/100,"")</f>
        <v/>
      </c>
      <c r="K29" s="37">
        <f>SUM(G29:J29)</f>
        <v/>
      </c>
      <c r="L29" s="18">
        <f>IFERROR(VLOOKUP($D29,BS별도,MATCH(L$1,BS별도H,0),0)/100,"")</f>
        <v/>
      </c>
      <c r="M29" s="18">
        <f>IFERROR(VLOOKUP($D29,BS별도,MATCH(M$1,BS별도H,0),0)/100,"")</f>
        <v/>
      </c>
      <c r="N29" s="18">
        <f>IFERROR(VLOOKUP($D29,BS별도,MATCH(N$1,BS별도H,0),0)/100,"")</f>
        <v/>
      </c>
      <c r="O29" s="18">
        <f>IFERROR(VLOOKUP($D29,BS별도,MATCH(O$1,BS별도H,0),0)/100,"")</f>
        <v/>
      </c>
      <c r="P29" s="37">
        <f>SUM(L29:O29)</f>
        <v/>
      </c>
      <c r="Q29" s="18">
        <f>IFERROR(VLOOKUP($D29,BS별도,MATCH(Q$1,BS별도H,0),0)/100,"")</f>
        <v/>
      </c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7">
        <f>SUM(Q29:T29)</f>
        <v/>
      </c>
      <c r="V29" s="18">
        <f>IFERROR(VLOOKUP($D29,BS별도,MATCH(V$1,BS별도H,0),0)/100,"")</f>
        <v/>
      </c>
      <c r="W29" s="18">
        <f>IFERROR(VLOOKUP($D29,BS별도,MATCH(W$1,BS별도H,0),0)/100,"")</f>
        <v/>
      </c>
      <c r="X29" s="18">
        <f>IFERROR(VLOOKUP($D29,BS별도,MATCH(X$1,BS별도H,0),0)/100,"")</f>
        <v/>
      </c>
      <c r="Y29" s="18">
        <f>IFERROR(VLOOKUP($D29,BS별도,MATCH(Y$1,BS별도H,0),0)/100,"")</f>
        <v/>
      </c>
      <c r="Z29" s="37">
        <f>SUM(V29:Y29)</f>
        <v/>
      </c>
      <c r="AA29" s="18">
        <f>IFERROR(VLOOKUP($D29,BS별도,MATCH(AA$1,BS별도H,0),0)/100,"")</f>
        <v/>
      </c>
      <c r="AB29" s="19">
        <f>IFERROR(VLOOKUP($D29,BS별도,MATCH(AB$1,BS별도H,0),0)/100,"")</f>
        <v/>
      </c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  <c r="AK29" s="20" t="n"/>
      <c r="AL29" s="20" t="n"/>
      <c r="AM29" s="20" t="n"/>
      <c r="AN29" s="20" t="n"/>
      <c r="AO29" s="38">
        <f>SUM(AK29:AN29)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27" t="n">
        <v>11.145</v>
      </c>
      <c r="F30" s="28">
        <f>E30</f>
        <v/>
      </c>
      <c r="G30" s="27" t="n">
        <v>11.145</v>
      </c>
      <c r="H30" s="27" t="n">
        <v>11.145</v>
      </c>
      <c r="I30" s="27" t="n">
        <v>11.145</v>
      </c>
      <c r="J30" s="27" t="n">
        <v>11.145</v>
      </c>
      <c r="K30" s="28">
        <f>J30</f>
        <v/>
      </c>
      <c r="L30" s="27" t="n">
        <v>11.145</v>
      </c>
      <c r="M30" s="27" t="n">
        <v>11.145</v>
      </c>
      <c r="N30" s="27" t="n">
        <v>11.145</v>
      </c>
      <c r="O30" s="27" t="n">
        <v>11.145</v>
      </c>
      <c r="P30" s="28">
        <f>O30</f>
        <v/>
      </c>
      <c r="Q30" s="27" t="n">
        <v>11.145</v>
      </c>
      <c r="R30" s="27" t="n">
        <v>11.145</v>
      </c>
      <c r="S30" s="27" t="n">
        <v>11.145</v>
      </c>
      <c r="T30" s="27" t="n">
        <v>11.145</v>
      </c>
      <c r="U30" s="28">
        <f>T30</f>
        <v/>
      </c>
      <c r="V30" s="27" t="n">
        <v>11.145</v>
      </c>
      <c r="W30" s="27" t="n">
        <v>11.145</v>
      </c>
      <c r="X30" s="27" t="n">
        <v>11.145</v>
      </c>
      <c r="Y30" s="27" t="n">
        <v>11.145</v>
      </c>
      <c r="Z30" s="28">
        <f>Y30</f>
        <v/>
      </c>
      <c r="AA30" s="27" t="n">
        <v>11.145</v>
      </c>
      <c r="AB30" s="29" t="n">
        <v>11.145</v>
      </c>
      <c r="AC30" s="33">
        <f>IFERROR(AB30*(1+변수!AC38),"")</f>
        <v/>
      </c>
      <c r="AD30" s="33">
        <f>IFERROR(AC30*(1+변수!AD38),"")</f>
        <v/>
      </c>
      <c r="AE30" s="31">
        <f>AD30</f>
        <v/>
      </c>
      <c r="AF30" s="33">
        <f>IFERROR(AD30*(1+변수!AF38),"")</f>
        <v/>
      </c>
      <c r="AG30" s="33">
        <f>IFERROR(AF30*(1+변수!AG38),"")</f>
        <v/>
      </c>
      <c r="AH30" s="33">
        <f>IFERROR(AG30*(1+변수!AH38),"")</f>
        <v/>
      </c>
      <c r="AI30" s="33">
        <f>IFERROR(AH30*(1+변수!AI38),"")</f>
        <v/>
      </c>
      <c r="AJ30" s="31">
        <f>AI30</f>
        <v/>
      </c>
      <c r="AK30" s="33">
        <f>IFERROR(AI30*(1+변수!AK38),"")</f>
        <v/>
      </c>
      <c r="AL30" s="33">
        <f>IFERROR(AK30*(1+변수!AL38),"")</f>
        <v/>
      </c>
      <c r="AM30" s="33">
        <f>IFERROR(AL30*(1+변수!AM38),"")</f>
        <v/>
      </c>
      <c r="AN30" s="33">
        <f>IFERROR(AM30*(1+변수!AN38),"")</f>
        <v/>
      </c>
      <c r="AO30" s="31">
        <f>AN30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>
        <f>IFERROR(E19*100/E30,"")</f>
        <v/>
      </c>
      <c r="F31" s="37" t="n"/>
      <c r="G31" s="18">
        <f>IFERROR(G19*100/G30,"")</f>
        <v/>
      </c>
      <c r="H31" s="18">
        <f>IFERROR(H19*100/H30,"")</f>
        <v/>
      </c>
      <c r="I31" s="18">
        <f>IFERROR(I19*100/I30,"")</f>
        <v/>
      </c>
      <c r="J31" s="18">
        <f>IFERROR(J19*100/J30,"")</f>
        <v/>
      </c>
      <c r="K31" s="37">
        <f>SUM(G31:J31)</f>
        <v/>
      </c>
      <c r="L31" s="18">
        <f>IFERROR(L19*100/L30,"")</f>
        <v/>
      </c>
      <c r="M31" s="18">
        <f>IFERROR(M19*100/M30,"")</f>
        <v/>
      </c>
      <c r="N31" s="18">
        <f>IFERROR(N19*100/N30,"")</f>
        <v/>
      </c>
      <c r="O31" s="18">
        <f>IFERROR(O19*100/O30,"")</f>
        <v/>
      </c>
      <c r="P31" s="37">
        <f>SUM(L31:O31)</f>
        <v/>
      </c>
      <c r="Q31" s="18">
        <f>IFERROR(Q19*100/Q30,"")</f>
        <v/>
      </c>
      <c r="R31" s="18">
        <f>IFERROR(R19*100/R30,"")</f>
        <v/>
      </c>
      <c r="S31" s="18">
        <f>IFERROR(S19*100/S30,"")</f>
        <v/>
      </c>
      <c r="T31" s="18">
        <f>IFERROR(T19*100/T30,"")</f>
        <v/>
      </c>
      <c r="U31" s="37">
        <f>SUM(Q31:T31)</f>
        <v/>
      </c>
      <c r="V31" s="18">
        <f>IFERROR(V19*100/V30,"")</f>
        <v/>
      </c>
      <c r="W31" s="18">
        <f>IFERROR(W19*100/W30,"")</f>
        <v/>
      </c>
      <c r="X31" s="18">
        <f>IFERROR(X19*100/X30,"")</f>
        <v/>
      </c>
      <c r="Y31" s="18">
        <f>IFERROR(Y19*100/Y30,"")</f>
        <v/>
      </c>
      <c r="Z31" s="37">
        <f>SUM(V31:Y31)</f>
        <v/>
      </c>
      <c r="AA31" s="18">
        <f>IFERROR(AA19*100/AA30,"")</f>
        <v/>
      </c>
      <c r="AB31" s="19">
        <f>IFERROR(AB19*100/AB30,"")</f>
        <v/>
      </c>
      <c r="AC31" s="20">
        <f>IFERROR(AC19*100/AC30,"")</f>
        <v/>
      </c>
      <c r="AD31" s="20">
        <f>IFERROR(AD19*100/AD30,"")</f>
        <v/>
      </c>
      <c r="AE31" s="38">
        <f>SUM(AA31:AD31)</f>
        <v/>
      </c>
      <c r="AF31" s="20">
        <f>IFERROR(AF19*100/AF30,"")</f>
        <v/>
      </c>
      <c r="AG31" s="20">
        <f>IFERROR(AG19*100/AG30,"")</f>
        <v/>
      </c>
      <c r="AH31" s="20">
        <f>IFERROR(AH19*100/AH30,"")</f>
        <v/>
      </c>
      <c r="AI31" s="20">
        <f>IFERROR(AI19*100/AI30,"")</f>
        <v/>
      </c>
      <c r="AJ31" s="38">
        <f>SUM(AF31:AI31)</f>
        <v/>
      </c>
      <c r="AK31" s="20">
        <f>IFERROR(AK19*100/AK30,"")</f>
        <v/>
      </c>
      <c r="AL31" s="20">
        <f>IFERROR(AL19*100/AL30,"")</f>
        <v/>
      </c>
      <c r="AM31" s="20">
        <f>IFERROR(AM19*100/AM30,"")</f>
        <v/>
      </c>
      <c r="AN31" s="20">
        <f>IFERROR(AN19*100/AN30,"")</f>
        <v/>
      </c>
      <c r="AO31" s="38">
        <f>SUM(AK31:AN31)</f>
        <v/>
      </c>
    </row>
    <row r="32">
      <c r="A32" s="12" t="inlineStr">
        <is>
          <t>BPS</t>
        </is>
      </c>
      <c r="B32" t="inlineStr">
        <is>
          <t>주당</t>
        </is>
      </c>
      <c r="C32" t="inlineStr">
        <is>
          <t>원</t>
        </is>
      </c>
      <c r="D32" t="inlineStr">
        <is>
          <t>BPS</t>
        </is>
      </c>
      <c r="E32" s="18">
        <f>IFERROR(E23*100/E30,"")</f>
        <v/>
      </c>
      <c r="F32" s="37">
        <f>E32</f>
        <v/>
      </c>
      <c r="G32" s="18">
        <f>IFERROR(G23*100/G30,"")</f>
        <v/>
      </c>
      <c r="H32" s="18">
        <f>IFERROR(H23*100/H30,"")</f>
        <v/>
      </c>
      <c r="I32" s="18">
        <f>IFERROR(I23*100/I30,"")</f>
        <v/>
      </c>
      <c r="J32" s="18">
        <f>IFERROR(J23*100/J30,"")</f>
        <v/>
      </c>
      <c r="K32" s="37">
        <f>J32</f>
        <v/>
      </c>
      <c r="L32" s="18">
        <f>IFERROR(L23*100/L30,"")</f>
        <v/>
      </c>
      <c r="M32" s="18">
        <f>IFERROR(M23*100/M30,"")</f>
        <v/>
      </c>
      <c r="N32" s="18">
        <f>IFERROR(N23*100/N30,"")</f>
        <v/>
      </c>
      <c r="O32" s="18">
        <f>IFERROR(O23*100/O30,"")</f>
        <v/>
      </c>
      <c r="P32" s="37">
        <f>O32</f>
        <v/>
      </c>
      <c r="Q32" s="18">
        <f>IFERROR(Q23*100/Q30,"")</f>
        <v/>
      </c>
      <c r="R32" s="18">
        <f>IFERROR(R23*100/R30,"")</f>
        <v/>
      </c>
      <c r="S32" s="18">
        <f>IFERROR(S23*100/S30,"")</f>
        <v/>
      </c>
      <c r="T32" s="18">
        <f>IFERROR(T23*100/T30,"")</f>
        <v/>
      </c>
      <c r="U32" s="37">
        <f>T32</f>
        <v/>
      </c>
      <c r="V32" s="18">
        <f>IFERROR(V23*100/V30,"")</f>
        <v/>
      </c>
      <c r="W32" s="18">
        <f>IFERROR(W23*100/W30,"")</f>
        <v/>
      </c>
      <c r="X32" s="18">
        <f>IFERROR(X23*100/X30,"")</f>
        <v/>
      </c>
      <c r="Y32" s="18">
        <f>IFERROR(Y23*100/Y30,"")</f>
        <v/>
      </c>
      <c r="Z32" s="37">
        <f>Y32</f>
        <v/>
      </c>
      <c r="AA32" s="18">
        <f>IFERROR(AA23*100/AA30,"")</f>
        <v/>
      </c>
      <c r="AB32" s="19">
        <f>IFERROR(AB23*100/AB30,"")</f>
        <v/>
      </c>
      <c r="AC32" s="20">
        <f>IFERROR(AC23*100/AC30,"")</f>
        <v/>
      </c>
      <c r="AD32" s="20">
        <f>IFERROR(AD23*100/AD30,"")</f>
        <v/>
      </c>
      <c r="AE32" s="38">
        <f>AD32</f>
        <v/>
      </c>
      <c r="AF32" s="20">
        <f>IFERROR(AF23*100/AF30,"")</f>
        <v/>
      </c>
      <c r="AG32" s="20">
        <f>IFERROR(AG23*100/AG30,"")</f>
        <v/>
      </c>
      <c r="AH32" s="20">
        <f>IFERROR(AH23*100/AH30,"")</f>
        <v/>
      </c>
      <c r="AI32" s="20">
        <f>IFERROR(AI23*100/AI30,"")</f>
        <v/>
      </c>
      <c r="AJ32" s="38">
        <f>AI32</f>
        <v/>
      </c>
      <c r="AK32" s="20">
        <f>IFERROR(AK23*100/AK30,"")</f>
        <v/>
      </c>
      <c r="AL32" s="20">
        <f>IFERROR(AL23*100/AL30,"")</f>
        <v/>
      </c>
      <c r="AM32" s="20">
        <f>IFERROR(AM23*100/AM30,"")</f>
        <v/>
      </c>
      <c r="AN32" s="20">
        <f>IFERROR(AN23*100/AN30,"")</f>
        <v/>
      </c>
      <c r="AO32" s="38">
        <f>AN32</f>
        <v/>
      </c>
    </row>
    <row r="33">
      <c r="A33" s="12" t="inlineStr">
        <is>
          <t>DPS</t>
        </is>
      </c>
      <c r="B33" t="inlineStr">
        <is>
          <t>주당</t>
        </is>
      </c>
      <c r="C33" t="inlineStr">
        <is>
          <t>원</t>
        </is>
      </c>
      <c r="D33" t="inlineStr">
        <is>
          <t>DPS(보통주)</t>
        </is>
      </c>
      <c r="E33" s="18" t="n">
        <v>0</v>
      </c>
      <c r="F33" s="37" t="n">
        <v>0</v>
      </c>
      <c r="G33" s="18" t="n"/>
      <c r="H33" s="18" t="n"/>
      <c r="I33" s="18" t="n"/>
      <c r="J33" s="18" t="n">
        <v>0</v>
      </c>
      <c r="K33" s="37">
        <f>SUM(G33:J33)</f>
        <v/>
      </c>
      <c r="L33" s="18" t="n"/>
      <c r="M33" s="18" t="n"/>
      <c r="N33" s="18" t="n"/>
      <c r="O33" s="18" t="n">
        <v>0</v>
      </c>
      <c r="P33" s="37">
        <f>SUM(L33:O33)</f>
        <v/>
      </c>
      <c r="Q33" s="18" t="n"/>
      <c r="R33" s="18" t="n"/>
      <c r="S33" s="18" t="n"/>
      <c r="T33" s="18" t="n">
        <v>0</v>
      </c>
      <c r="U33" s="37">
        <f>SUM(Q33:T33)</f>
        <v/>
      </c>
      <c r="V33" s="18" t="n"/>
      <c r="W33" s="18" t="n"/>
      <c r="X33" s="18" t="n"/>
      <c r="Y33" s="18" t="n">
        <v>0</v>
      </c>
      <c r="Z33" s="37">
        <f>SUM(V33:Y33)</f>
        <v/>
      </c>
      <c r="AA33" s="18" t="n"/>
      <c r="AB33" s="19" t="n"/>
      <c r="AC33" s="20" t="n"/>
      <c r="AD33" s="20">
        <f>변수!AD39</f>
        <v/>
      </c>
      <c r="AE33" s="38">
        <f>SUM(AA33:AD33)</f>
        <v/>
      </c>
      <c r="AF33" s="20" t="n"/>
      <c r="AG33" s="20" t="n"/>
      <c r="AH33" s="20" t="n"/>
      <c r="AI33" s="20">
        <f>변수!AI39</f>
        <v/>
      </c>
      <c r="AJ33" s="38">
        <f>SUM(AF33:AI33)</f>
        <v/>
      </c>
      <c r="AK33" s="20" t="n"/>
      <c r="AL33" s="20" t="n"/>
      <c r="AM33" s="20" t="n"/>
      <c r="AN33" s="20">
        <f>변수!AN39</f>
        <v/>
      </c>
      <c r="AO33" s="38">
        <f>SUM(AK33:AN33)</f>
        <v/>
      </c>
    </row>
    <row r="34">
      <c r="A34" s="12" t="inlineStr">
        <is>
          <t>PER</t>
        </is>
      </c>
      <c r="B34" t="inlineStr">
        <is>
          <t>주당</t>
        </is>
      </c>
      <c r="C34" t="inlineStr">
        <is>
          <t>배</t>
        </is>
      </c>
      <c r="D34" t="inlineStr">
        <is>
          <t>PER</t>
        </is>
      </c>
      <c r="E34" s="13" t="n"/>
      <c r="F34" s="14">
        <f>E34</f>
        <v/>
      </c>
      <c r="G34" s="13" t="n"/>
      <c r="H34" s="13" t="n"/>
      <c r="I34" s="13">
        <f>IFERROR(변수!I18/(E31+G31+H31+I31),"")</f>
        <v/>
      </c>
      <c r="J34" s="13">
        <f>IFERROR(변수!J18/(G31+H31+I31+J31),"")</f>
        <v/>
      </c>
      <c r="K34" s="14">
        <f>J34</f>
        <v/>
      </c>
      <c r="L34" s="13" t="n"/>
      <c r="M34" s="13">
        <f>IFERROR(변수!M18/(I31+J31+L31+M31),"")</f>
        <v/>
      </c>
      <c r="N34" s="13">
        <f>IFERROR(변수!N18/(J31+L31+M31+N31),"")</f>
        <v/>
      </c>
      <c r="O34" s="13">
        <f>IFERROR(변수!O18/(L31+M31+N31+O31),"")</f>
        <v/>
      </c>
      <c r="P34" s="14">
        <f>O34</f>
        <v/>
      </c>
      <c r="Q34" s="13">
        <f>IFERROR(변수!Q18/(M31+N31+O31+Q31),"")</f>
        <v/>
      </c>
      <c r="R34" s="13">
        <f>IFERROR(변수!R18/(N31+O31+Q31+R31),"")</f>
        <v/>
      </c>
      <c r="S34" s="13">
        <f>IFERROR(변수!S18/(O31+Q31+R31+S31),"")</f>
        <v/>
      </c>
      <c r="T34" s="13">
        <f>IFERROR(변수!T18/(Q31+R31+S31+T31),"")</f>
        <v/>
      </c>
      <c r="U34" s="14">
        <f>T34</f>
        <v/>
      </c>
      <c r="V34" s="13">
        <f>IFERROR(변수!V18/(R31+S31+T31+V31),"")</f>
        <v/>
      </c>
      <c r="W34" s="13">
        <f>IFERROR(변수!W18/(S31+T31+V31+W31),"")</f>
        <v/>
      </c>
      <c r="X34" s="13">
        <f>IFERROR(변수!X18/(T31+V31+W31+X31),"")</f>
        <v/>
      </c>
      <c r="Y34" s="13" t="n"/>
      <c r="Z34" s="14">
        <f>Y34</f>
        <v/>
      </c>
      <c r="AA34" s="13" t="n"/>
      <c r="AB34" s="15" t="n"/>
      <c r="AC34" s="39" t="n"/>
      <c r="AD34" s="39">
        <f>IFERROR(변수!$D$42/(AA31+AB31+AC31+AD31),"")</f>
        <v/>
      </c>
      <c r="AE34" s="40">
        <f>AD34</f>
        <v/>
      </c>
      <c r="AF34" s="39">
        <f>IFERROR(변수!$D$42/(AB31+AC31+AD31+AF31),"")</f>
        <v/>
      </c>
      <c r="AG34" s="39">
        <f>IFERROR(변수!$D$42/(AC31+AD31+AF31+AG31),"")</f>
        <v/>
      </c>
      <c r="AH34" s="39">
        <f>IFERROR(변수!$D$42/(AD31+AF31+AG31+AH31),"")</f>
        <v/>
      </c>
      <c r="AI34" s="39">
        <f>IFERROR(변수!$D$42/(AF31+AG31+AH31+AI31),"")</f>
        <v/>
      </c>
      <c r="AJ34" s="40">
        <f>AI34</f>
        <v/>
      </c>
      <c r="AK34" s="39">
        <f>IFERROR(변수!$D$42/(AG31+AH31+AI31+AK31),"")</f>
        <v/>
      </c>
      <c r="AL34" s="39">
        <f>IFERROR(변수!$D$42/(AH31+AI31+AK31+AL31),"")</f>
        <v/>
      </c>
      <c r="AM34" s="39">
        <f>IFERROR(변수!$D$42/(AI31+AK31+AL31+AM31),"")</f>
        <v/>
      </c>
      <c r="AN34" s="39">
        <f>IFERROR(변수!$D$42/(AK31+AL31+AM31+AN31),"")</f>
        <v/>
      </c>
      <c r="AO34" s="40">
        <f>AN34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IFERROR(변수!E18/E32,"")</f>
        <v/>
      </c>
      <c r="F35" s="14">
        <f>E35</f>
        <v/>
      </c>
      <c r="G35" s="13">
        <f>IFERROR(변수!G18/G32,"")</f>
        <v/>
      </c>
      <c r="H35" s="13">
        <f>IFERROR(변수!H18/H32,"")</f>
        <v/>
      </c>
      <c r="I35" s="13">
        <f>IFERROR(변수!I18/I32,"")</f>
        <v/>
      </c>
      <c r="J35" s="13">
        <f>IFERROR(변수!J18/J32,"")</f>
        <v/>
      </c>
      <c r="K35" s="14">
        <f>J35</f>
        <v/>
      </c>
      <c r="L35" s="13">
        <f>IFERROR(변수!L18/L32,"")</f>
        <v/>
      </c>
      <c r="M35" s="13">
        <f>IFERROR(변수!M18/M32,"")</f>
        <v/>
      </c>
      <c r="N35" s="13">
        <f>IFERROR(변수!N18/N32,"")</f>
        <v/>
      </c>
      <c r="O35" s="13">
        <f>IFERROR(변수!O18/O32,"")</f>
        <v/>
      </c>
      <c r="P35" s="14">
        <f>O35</f>
        <v/>
      </c>
      <c r="Q35" s="13">
        <f>IFERROR(변수!Q18/Q32,"")</f>
        <v/>
      </c>
      <c r="R35" s="13">
        <f>IFERROR(변수!R18/R32,"")</f>
        <v/>
      </c>
      <c r="S35" s="13">
        <f>IFERROR(변수!S18/S32,"")</f>
        <v/>
      </c>
      <c r="T35" s="13">
        <f>IFERROR(변수!T18/T32,"")</f>
        <v/>
      </c>
      <c r="U35" s="14">
        <f>T35</f>
        <v/>
      </c>
      <c r="V35" s="13">
        <f>IFERROR(변수!V18/V32,"")</f>
        <v/>
      </c>
      <c r="W35" s="13">
        <f>IFERROR(변수!W18/W32,"")</f>
        <v/>
      </c>
      <c r="X35" s="13">
        <f>IFERROR(변수!X18/X32,"")</f>
        <v/>
      </c>
      <c r="Y35" s="13">
        <f>IFERROR(변수!Y18/Y32,"")</f>
        <v/>
      </c>
      <c r="Z35" s="14">
        <f>Y35</f>
        <v/>
      </c>
      <c r="AA35" s="13">
        <f>IFERROR(변수!AA18/AA32,"")</f>
        <v/>
      </c>
      <c r="AB35" s="15">
        <f>IFERROR(변수!AB18/AB32,"")</f>
        <v/>
      </c>
      <c r="AC35" s="39">
        <f>IFERROR(변수!$D$42/AC32,"")</f>
        <v/>
      </c>
      <c r="AD35" s="39">
        <f>IFERROR(변수!$D$42/AD32,"")</f>
        <v/>
      </c>
      <c r="AE35" s="40">
        <f>AD35</f>
        <v/>
      </c>
      <c r="AF35" s="39">
        <f>IFERROR(변수!$D$42/AF32,"")</f>
        <v/>
      </c>
      <c r="AG35" s="39">
        <f>IFERROR(변수!$D$42/AG32,"")</f>
        <v/>
      </c>
      <c r="AH35" s="39">
        <f>IFERROR(변수!$D$42/AH32,"")</f>
        <v/>
      </c>
      <c r="AI35" s="39">
        <f>IFERROR(변수!$D$42/AI32,"")</f>
        <v/>
      </c>
      <c r="AJ35" s="40">
        <f>AI35</f>
        <v/>
      </c>
      <c r="AK35" s="39">
        <f>IFERROR(변수!$D$42/AK32,"")</f>
        <v/>
      </c>
      <c r="AL35" s="39">
        <f>IFERROR(변수!$D$42/AL32,"")</f>
        <v/>
      </c>
      <c r="AM35" s="39">
        <f>IFERROR(변수!$D$42/AM32,"")</f>
        <v/>
      </c>
      <c r="AN35" s="39">
        <f>IFERROR(변수!$D$42/AN32,"")</f>
        <v/>
      </c>
      <c r="AO35" s="40">
        <f>AN35</f>
        <v/>
      </c>
    </row>
    <row r="36">
      <c r="A36" s="12" t="inlineStr">
        <is>
          <t>매출전사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전사(부문 미분리)</t>
        </is>
      </c>
      <c r="E36" s="18" t="n">
        <v>135.39</v>
      </c>
      <c r="F36" s="37" t="n"/>
      <c r="G36" s="18" t="n">
        <v>132.95</v>
      </c>
      <c r="H36" s="18" t="n">
        <v>136.75</v>
      </c>
      <c r="I36" s="18" t="n">
        <v>118.01</v>
      </c>
      <c r="J36" s="18" t="n">
        <v>156</v>
      </c>
      <c r="K36" s="37">
        <f>SUM(G36:J36)</f>
        <v/>
      </c>
      <c r="L36" s="18" t="n">
        <v>124.48</v>
      </c>
      <c r="M36" s="18" t="n">
        <v>114.73</v>
      </c>
      <c r="N36" s="18" t="n">
        <v>136.82</v>
      </c>
      <c r="O36" s="18" t="n">
        <v>162.08</v>
      </c>
      <c r="P36" s="37">
        <f>SUM(L36:O36)</f>
        <v/>
      </c>
      <c r="Q36" s="18" t="n">
        <v>116.71</v>
      </c>
      <c r="R36" s="18" t="n">
        <v>118.63</v>
      </c>
      <c r="S36" s="18" t="n">
        <v>99.5</v>
      </c>
      <c r="T36" s="18" t="n">
        <v>138</v>
      </c>
      <c r="U36" s="37">
        <f>SUM(Q36:T36)</f>
        <v/>
      </c>
      <c r="V36" s="18" t="n">
        <v>94.23999999999999</v>
      </c>
      <c r="W36" s="18" t="n">
        <v>116.73</v>
      </c>
      <c r="X36" s="18" t="n">
        <v>97.77</v>
      </c>
      <c r="Y36" s="18" t="n">
        <v>89.98999999999999</v>
      </c>
      <c r="Z36" s="37">
        <f>SUM(V36:Y36)</f>
        <v/>
      </c>
      <c r="AA36" s="18" t="n">
        <v>88.26000000000001</v>
      </c>
      <c r="AB36" s="19" t="n">
        <v>110.76</v>
      </c>
      <c r="AC36" s="20">
        <f>IFERROR(AC5,"")</f>
        <v/>
      </c>
      <c r="AD36" s="20">
        <f>IFERROR(AD5,"")</f>
        <v/>
      </c>
      <c r="AE36" s="38">
        <f>SUM(AA36:AD36)</f>
        <v/>
      </c>
      <c r="AF36" s="20">
        <f>IFERROR(AF5,"")</f>
        <v/>
      </c>
      <c r="AG36" s="20">
        <f>IFERROR(AG5,"")</f>
        <v/>
      </c>
      <c r="AH36" s="20">
        <f>IFERROR(AH5,"")</f>
        <v/>
      </c>
      <c r="AI36" s="20">
        <f>IFERROR(AI5,"")</f>
        <v/>
      </c>
      <c r="AJ36" s="38">
        <f>SUM(AF36:AI36)</f>
        <v/>
      </c>
      <c r="AK36" s="20">
        <f>IFERROR(AK5,"")</f>
        <v/>
      </c>
      <c r="AL36" s="20">
        <f>IFERROR(AL5,"")</f>
        <v/>
      </c>
      <c r="AM36" s="20">
        <f>IFERROR(AM5,"")</f>
        <v/>
      </c>
      <c r="AN36" s="20">
        <f>IFERROR(AN5,"")</f>
        <v/>
      </c>
      <c r="AO36" s="38">
        <f>SUM(AK36:AN36)</f>
        <v/>
      </c>
    </row>
    <row r="37">
      <c r="A37" s="12" t="inlineStr">
        <is>
          <t>OP전사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OP 전사(부문 미분리)</t>
        </is>
      </c>
      <c r="E37" s="18" t="n">
        <v>-4.19</v>
      </c>
      <c r="F37" s="37" t="n"/>
      <c r="G37" s="18" t="n">
        <v>-6.84</v>
      </c>
      <c r="H37" s="18" t="n">
        <v>0.66</v>
      </c>
      <c r="I37" s="18" t="n">
        <v>-1.2</v>
      </c>
      <c r="J37" s="18" t="n">
        <v>2.2</v>
      </c>
      <c r="K37" s="37">
        <f>SUM(G37:J37)</f>
        <v/>
      </c>
      <c r="L37" s="18" t="n">
        <v>2.58</v>
      </c>
      <c r="M37" s="18" t="n">
        <v>5.7</v>
      </c>
      <c r="N37" s="18" t="n">
        <v>9.199999999999999</v>
      </c>
      <c r="O37" s="18" t="n">
        <v>6.7</v>
      </c>
      <c r="P37" s="37">
        <f>SUM(L37:O37)</f>
        <v/>
      </c>
      <c r="Q37" s="18" t="n">
        <v>0.62</v>
      </c>
      <c r="R37" s="18" t="n">
        <v>3.2</v>
      </c>
      <c r="S37" s="18" t="n">
        <v>-3.15</v>
      </c>
      <c r="T37" s="18" t="n">
        <v>10.08</v>
      </c>
      <c r="U37" s="37">
        <f>SUM(Q37:T37)</f>
        <v/>
      </c>
      <c r="V37" s="18" t="n">
        <v>0.74</v>
      </c>
      <c r="W37" s="18" t="n">
        <v>3.54</v>
      </c>
      <c r="X37" s="18" t="n">
        <v>-3.27</v>
      </c>
      <c r="Y37" s="18" t="n">
        <v>-2.78</v>
      </c>
      <c r="Z37" s="37">
        <f>SUM(V37:Y37)</f>
        <v/>
      </c>
      <c r="AA37" s="18" t="n">
        <v>0.59</v>
      </c>
      <c r="AB37" s="19" t="n">
        <v>1.53</v>
      </c>
      <c r="AC37" s="20">
        <f>IFERROR(AC9,"")</f>
        <v/>
      </c>
      <c r="AD37" s="20">
        <f>IFERROR(AD9,"")</f>
        <v/>
      </c>
      <c r="AE37" s="38">
        <f>SUM(AA37:AD37)</f>
        <v/>
      </c>
      <c r="AF37" s="20">
        <f>IFERROR(AF9,"")</f>
        <v/>
      </c>
      <c r="AG37" s="20">
        <f>IFERROR(AG9,"")</f>
        <v/>
      </c>
      <c r="AH37" s="20">
        <f>IFERROR(AH9,"")</f>
        <v/>
      </c>
      <c r="AI37" s="20">
        <f>IFERROR(AI9,"")</f>
        <v/>
      </c>
      <c r="AJ37" s="38">
        <f>SUM(AF37:AI37)</f>
        <v/>
      </c>
      <c r="AK37" s="20">
        <f>IFERROR(AK9,"")</f>
        <v/>
      </c>
      <c r="AL37" s="20">
        <f>IFERROR(AL9,"")</f>
        <v/>
      </c>
      <c r="AM37" s="20">
        <f>IFERROR(AM9,"")</f>
        <v/>
      </c>
      <c r="AN37" s="20">
        <f>IFERROR(AN9,"")</f>
        <v/>
      </c>
      <c r="AO37" s="38">
        <f>SUM(AK37:AN37)</f>
        <v/>
      </c>
    </row>
    <row r="38">
      <c r="B38" s="2" t="inlineStr">
        <is>
          <t>비율(참고)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NPM</t>
        </is>
      </c>
      <c r="C39" t="inlineStr">
        <is>
          <t>%</t>
        </is>
      </c>
      <c r="D39" t="inlineStr">
        <is>
          <t>지배주주순이익 / 매출액</t>
        </is>
      </c>
      <c r="E39" s="21">
        <f>IFERROR(E19/E5,"")</f>
        <v/>
      </c>
      <c r="F39" s="22">
        <f>IFERROR(F19/F5,"")</f>
        <v/>
      </c>
      <c r="G39" s="21">
        <f>IFERROR(G19/G5,"")</f>
        <v/>
      </c>
      <c r="H39" s="21">
        <f>IFERROR(H19/H5,"")</f>
        <v/>
      </c>
      <c r="I39" s="21">
        <f>IFERROR(I19/I5,"")</f>
        <v/>
      </c>
      <c r="J39" s="21">
        <f>IFERROR(J19/J5,"")</f>
        <v/>
      </c>
      <c r="K39" s="22">
        <f>IFERROR(K19/K5,"")</f>
        <v/>
      </c>
      <c r="L39" s="21">
        <f>IFERROR(L19/L5,"")</f>
        <v/>
      </c>
      <c r="M39" s="21">
        <f>IFERROR(M19/M5,"")</f>
        <v/>
      </c>
      <c r="N39" s="21">
        <f>IFERROR(N19/N5,"")</f>
        <v/>
      </c>
      <c r="O39" s="21">
        <f>IFERROR(O19/O5,"")</f>
        <v/>
      </c>
      <c r="P39" s="22">
        <f>IFERROR(P19/P5,"")</f>
        <v/>
      </c>
      <c r="Q39" s="21">
        <f>IFERROR(Q19/Q5,"")</f>
        <v/>
      </c>
      <c r="R39" s="21">
        <f>IFERROR(R19/R5,"")</f>
        <v/>
      </c>
      <c r="S39" s="21">
        <f>IFERROR(S19/S5,"")</f>
        <v/>
      </c>
      <c r="T39" s="21">
        <f>IFERROR(T19/T5,"")</f>
        <v/>
      </c>
      <c r="U39" s="22">
        <f>IFERROR(U19/U5,"")</f>
        <v/>
      </c>
      <c r="V39" s="21">
        <f>IFERROR(V19/V5,"")</f>
        <v/>
      </c>
      <c r="W39" s="21">
        <f>IFERROR(W19/W5,"")</f>
        <v/>
      </c>
      <c r="X39" s="21">
        <f>IFERROR(X19/X5,"")</f>
        <v/>
      </c>
      <c r="Y39" s="21">
        <f>IFERROR(Y19/Y5,"")</f>
        <v/>
      </c>
      <c r="Z39" s="22">
        <f>IFERROR(Z19/Z5,"")</f>
        <v/>
      </c>
      <c r="AA39" s="21">
        <f>IFERROR(AA19/AA5,"")</f>
        <v/>
      </c>
      <c r="AB39" s="23">
        <f>IFERROR(AB19/AB5,"")</f>
        <v/>
      </c>
      <c r="AC39" s="32">
        <f>IFERROR(AC19/AC5,"")</f>
        <v/>
      </c>
      <c r="AD39" s="32">
        <f>IFERROR(AD19/AD5,"")</f>
        <v/>
      </c>
      <c r="AE39" s="25">
        <f>IFERROR(AE19/AE5,"")</f>
        <v/>
      </c>
      <c r="AF39" s="32">
        <f>IFERROR(AF19/AF5,"")</f>
        <v/>
      </c>
      <c r="AG39" s="32">
        <f>IFERROR(AG19/AG5,"")</f>
        <v/>
      </c>
      <c r="AH39" s="32">
        <f>IFERROR(AH19/AH5,"")</f>
        <v/>
      </c>
      <c r="AI39" s="32">
        <f>IFERROR(AI19/AI5,"")</f>
        <v/>
      </c>
      <c r="AJ39" s="25">
        <f>IFERROR(AJ19/AJ5,"")</f>
        <v/>
      </c>
      <c r="AK39" s="32">
        <f>IFERROR(AK19/AK5,"")</f>
        <v/>
      </c>
      <c r="AL39" s="32">
        <f>IFERROR(AL19/AL5,"")</f>
        <v/>
      </c>
      <c r="AM39" s="32">
        <f>IFERROR(AM19/AM5,"")</f>
        <v/>
      </c>
      <c r="AN39" s="32">
        <f>IFERROR(AN19/AN5,"")</f>
        <v/>
      </c>
      <c r="AO39" s="25">
        <f>IFERROR(AO19/AO5,"")</f>
        <v/>
      </c>
    </row>
    <row r="40">
      <c r="A40" s="12" t="inlineStr">
        <is>
          <t>매출원가율</t>
        </is>
      </c>
      <c r="C40" t="inlineStr">
        <is>
          <t>%</t>
        </is>
      </c>
      <c r="D40" t="inlineStr">
        <is>
          <t>매출원가 / 매출액</t>
        </is>
      </c>
      <c r="E40" s="21">
        <f>IFERROR(E6/E5,"")</f>
        <v/>
      </c>
      <c r="F40" s="22">
        <f>IFERROR(F6/F5,"")</f>
        <v/>
      </c>
      <c r="G40" s="21">
        <f>IFERROR(G6/G5,"")</f>
        <v/>
      </c>
      <c r="H40" s="21">
        <f>IFERROR(H6/H5,"")</f>
        <v/>
      </c>
      <c r="I40" s="21">
        <f>IFERROR(I6/I5,"")</f>
        <v/>
      </c>
      <c r="J40" s="21">
        <f>IFERROR(J6/J5,"")</f>
        <v/>
      </c>
      <c r="K40" s="22">
        <f>IFERROR(K6/K5,"")</f>
        <v/>
      </c>
      <c r="L40" s="21">
        <f>IFERROR(L6/L5,"")</f>
        <v/>
      </c>
      <c r="M40" s="21">
        <f>IFERROR(M6/M5,"")</f>
        <v/>
      </c>
      <c r="N40" s="21">
        <f>IFERROR(N6/N5,"")</f>
        <v/>
      </c>
      <c r="O40" s="21">
        <f>IFERROR(O6/O5,"")</f>
        <v/>
      </c>
      <c r="P40" s="22">
        <f>IFERROR(P6/P5,"")</f>
        <v/>
      </c>
      <c r="Q40" s="21">
        <f>IFERROR(Q6/Q5,"")</f>
        <v/>
      </c>
      <c r="R40" s="21">
        <f>IFERROR(R6/R5,"")</f>
        <v/>
      </c>
      <c r="S40" s="21">
        <f>IFERROR(S6/S5,"")</f>
        <v/>
      </c>
      <c r="T40" s="21">
        <f>IFERROR(T6/T5,"")</f>
        <v/>
      </c>
      <c r="U40" s="22">
        <f>IFERROR(U6/U5,"")</f>
        <v/>
      </c>
      <c r="V40" s="21">
        <f>IFERROR(V6/V5,"")</f>
        <v/>
      </c>
      <c r="W40" s="21">
        <f>IFERROR(W6/W5,"")</f>
        <v/>
      </c>
      <c r="X40" s="21">
        <f>IFERROR(X6/X5,"")</f>
        <v/>
      </c>
      <c r="Y40" s="21">
        <f>IFERROR(Y6/Y5,"")</f>
        <v/>
      </c>
      <c r="Z40" s="22">
        <f>IFERROR(Z6/Z5,"")</f>
        <v/>
      </c>
      <c r="AA40" s="21">
        <f>IFERROR(AA6/AA5,"")</f>
        <v/>
      </c>
      <c r="AB40" s="23">
        <f>IFERROR(AB6/AB5,"")</f>
        <v/>
      </c>
      <c r="AC40" s="32">
        <f>IFERROR(AC6/AC5,"")</f>
        <v/>
      </c>
      <c r="AD40" s="32">
        <f>IFERROR(AD6/AD5,"")</f>
        <v/>
      </c>
      <c r="AE40" s="25">
        <f>IFERROR(AE6/AE5,"")</f>
        <v/>
      </c>
      <c r="AF40" s="32">
        <f>IFERROR(AF6/AF5,"")</f>
        <v/>
      </c>
      <c r="AG40" s="32">
        <f>IFERROR(AG6/AG5,"")</f>
        <v/>
      </c>
      <c r="AH40" s="32">
        <f>IFERROR(AH6/AH5,"")</f>
        <v/>
      </c>
      <c r="AI40" s="32">
        <f>IFERROR(AI6/AI5,"")</f>
        <v/>
      </c>
      <c r="AJ40" s="25">
        <f>IFERROR(AJ6/AJ5,"")</f>
        <v/>
      </c>
      <c r="AK40" s="32">
        <f>IFERROR(AK6/AK5,"")</f>
        <v/>
      </c>
      <c r="AL40" s="32">
        <f>IFERROR(AL6/AL5,"")</f>
        <v/>
      </c>
      <c r="AM40" s="32">
        <f>IFERROR(AM6/AM5,"")</f>
        <v/>
      </c>
      <c r="AN40" s="32">
        <f>IFERROR(AN6/AN5,"")</f>
        <v/>
      </c>
      <c r="AO40" s="25">
        <f>IFERROR(AO6/AO5,"")</f>
        <v/>
      </c>
    </row>
    <row r="41">
      <c r="A41" s="12" t="inlineStr">
        <is>
          <t>판관비율</t>
        </is>
      </c>
      <c r="C41" t="inlineStr">
        <is>
          <t>%</t>
        </is>
      </c>
      <c r="D41" t="inlineStr">
        <is>
          <t>판관비 / 매출액</t>
        </is>
      </c>
      <c r="E41" s="21">
        <f>IFERROR(E8/E5,"")</f>
        <v/>
      </c>
      <c r="F41" s="22">
        <f>IFERROR(F8/F5,"")</f>
        <v/>
      </c>
      <c r="G41" s="21">
        <f>IFERROR(G8/G5,"")</f>
        <v/>
      </c>
      <c r="H41" s="21">
        <f>IFERROR(H8/H5,"")</f>
        <v/>
      </c>
      <c r="I41" s="21">
        <f>IFERROR(I8/I5,"")</f>
        <v/>
      </c>
      <c r="J41" s="21">
        <f>IFERROR(J8/J5,"")</f>
        <v/>
      </c>
      <c r="K41" s="22">
        <f>IFERROR(K8/K5,"")</f>
        <v/>
      </c>
      <c r="L41" s="21">
        <f>IFERROR(L8/L5,"")</f>
        <v/>
      </c>
      <c r="M41" s="21">
        <f>IFERROR(M8/M5,"")</f>
        <v/>
      </c>
      <c r="N41" s="21">
        <f>IFERROR(N8/N5,"")</f>
        <v/>
      </c>
      <c r="O41" s="21">
        <f>IFERROR(O8/O5,"")</f>
        <v/>
      </c>
      <c r="P41" s="22">
        <f>IFERROR(P8/P5,"")</f>
        <v/>
      </c>
      <c r="Q41" s="21">
        <f>IFERROR(Q8/Q5,"")</f>
        <v/>
      </c>
      <c r="R41" s="21">
        <f>IFERROR(R8/R5,"")</f>
        <v/>
      </c>
      <c r="S41" s="21">
        <f>IFERROR(S8/S5,"")</f>
        <v/>
      </c>
      <c r="T41" s="21">
        <f>IFERROR(T8/T5,"")</f>
        <v/>
      </c>
      <c r="U41" s="22">
        <f>IFERROR(U8/U5,"")</f>
        <v/>
      </c>
      <c r="V41" s="21">
        <f>IFERROR(V8/V5,"")</f>
        <v/>
      </c>
      <c r="W41" s="21">
        <f>IFERROR(W8/W5,"")</f>
        <v/>
      </c>
      <c r="X41" s="21">
        <f>IFERROR(X8/X5,"")</f>
        <v/>
      </c>
      <c r="Y41" s="21">
        <f>IFERROR(Y8/Y5,"")</f>
        <v/>
      </c>
      <c r="Z41" s="22">
        <f>IFERROR(Z8/Z5,"")</f>
        <v/>
      </c>
      <c r="AA41" s="21">
        <f>IFERROR(AA8/AA5,"")</f>
        <v/>
      </c>
      <c r="AB41" s="23">
        <f>IFERROR(AB8/AB5,"")</f>
        <v/>
      </c>
      <c r="AC41" s="32">
        <f>IFERROR(AC8/AC5,"")</f>
        <v/>
      </c>
      <c r="AD41" s="32">
        <f>IFERROR(AD8/AD5,"")</f>
        <v/>
      </c>
      <c r="AE41" s="25">
        <f>IFERROR(AE8/AE5,"")</f>
        <v/>
      </c>
      <c r="AF41" s="32">
        <f>IFERROR(AF8/AF5,"")</f>
        <v/>
      </c>
      <c r="AG41" s="32">
        <f>IFERROR(AG8/AG5,"")</f>
        <v/>
      </c>
      <c r="AH41" s="32">
        <f>IFERROR(AH8/AH5,"")</f>
        <v/>
      </c>
      <c r="AI41" s="32">
        <f>IFERROR(AI8/AI5,"")</f>
        <v/>
      </c>
      <c r="AJ41" s="25">
        <f>IFERROR(AJ8/AJ5,"")</f>
        <v/>
      </c>
      <c r="AK41" s="32">
        <f>IFERROR(AK8/AK5,"")</f>
        <v/>
      </c>
      <c r="AL41" s="32">
        <f>IFERROR(AL8/AL5,"")</f>
        <v/>
      </c>
      <c r="AM41" s="32">
        <f>IFERROR(AM8/AM5,"")</f>
        <v/>
      </c>
      <c r="AN41" s="32">
        <f>IFERROR(AN8/AN5,"")</f>
        <v/>
      </c>
      <c r="AO41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27">
        <f>IFERROR(VLOOKUP($A30,subQ,MATCH(I$1,SUBQH,0),0),"")</f>
        <v/>
      </c>
      <c r="J30" s="27">
        <f>IFERROR(VLOOKUP($A30,subQ,MATCH(J$1,SUBQH,0),0),"")</f>
        <v/>
      </c>
      <c r="K30" s="27">
        <f>IFERROR(VLOOKUP($A30,subQ,MATCH(K$1,SUBQH,0),0),"")</f>
        <v/>
      </c>
      <c r="L30" s="27">
        <f>IFERROR(VLOOKUP($A30,subQ,MATCH(L$1,SUBQH,0),0),"")</f>
        <v/>
      </c>
      <c r="M30" s="27">
        <f>IFERROR(VLOOKUP($A30,subQ,MATCH(M$1,SUBQH,0),0),"")</f>
        <v/>
      </c>
      <c r="N30" s="27">
        <f>IFERROR(VLOOKUP($A30,subQ,MATCH(N$1,SUBQH,0),0),"")</f>
        <v/>
      </c>
      <c r="O30" s="27">
        <f>IFERROR(VLOOKUP($A30,subQ,MATCH(O$1,SUBQH,0),0),"")</f>
        <v/>
      </c>
      <c r="P30" s="27">
        <f>IFERROR(VLOOKUP($A30,subQ,MATCH(P$1,SUBQH,0),0),"")</f>
        <v/>
      </c>
      <c r="Q30" s="27">
        <f>IFERROR(VLOOKUP($A30,subQ,MATCH(Q$1,SUBQH,0),0),"")</f>
        <v/>
      </c>
      <c r="R30" s="27">
        <f>IFERROR(VLOOKUP($A30,subQ,MATCH(R$1,SUBQH,0),0),"")</f>
        <v/>
      </c>
      <c r="S30" s="27">
        <f>IFERROR(VLOOKUP($A30,subQ,MATCH(S$1,SUBQH,0),0),"")</f>
        <v/>
      </c>
      <c r="T30" s="27">
        <f>IFERROR(VLOOKUP($A30,subQ,MATCH(T$1,SUBQH,0),0),"")</f>
        <v/>
      </c>
      <c r="U30" s="27">
        <f>IFERROR(VLOOKUP($A30,subQ,MATCH(U$1,SUBQH,0),0),"")</f>
        <v/>
      </c>
      <c r="V30" s="27">
        <f>IFERROR(VLOOKUP($A30,subQ,MATCH(V$1,SUBQH,0),0),"")</f>
        <v/>
      </c>
      <c r="W30" s="47">
        <f>IFERROR(VLOOKUP($A30,subQ,MATCH(W$1,SUBQH,0),0),"")</f>
        <v/>
      </c>
      <c r="X30" s="33">
        <f>IFERROR(VLOOKUP($A30,subQ,MATCH(X$1,SUBQH,0),0),"")</f>
        <v/>
      </c>
      <c r="Y30" s="33">
        <f>IFERROR(VLOOKUP($A30,subQ,MATCH(Y$1,SUBQH,0),0),"")</f>
        <v/>
      </c>
      <c r="Z30" s="33">
        <f>IFERROR(VLOOKUP($A30,subQ,MATCH(Z$1,SUBQH,0),0),"")</f>
        <v/>
      </c>
      <c r="AA30" s="33">
        <f>IFERROR(VLOOKUP($A30,subQ,MATCH(AA$1,SUBQH,0),0),"")</f>
        <v/>
      </c>
      <c r="AB30" s="33">
        <f>IFERROR(VLOOKUP($A30,subQ,MATCH(AB$1,SUBQH,0),0),"")</f>
        <v/>
      </c>
      <c r="AC30" s="33">
        <f>IFERROR(VLOOKUP($A30,subQ,MATCH(AC$1,SUBQH,0),0),"")</f>
        <v/>
      </c>
      <c r="AD30" s="33">
        <f>IFERROR(VLOOKUP($A30,subQ,MATCH(AD$1,SUBQH,0),0),"")</f>
        <v/>
      </c>
      <c r="AE30" s="33">
        <f>IFERROR(VLOOKUP($A30,subQ,MATCH(AE$1,SUBQH,0),0),"")</f>
        <v/>
      </c>
      <c r="AF30" s="33">
        <f>IFERROR(VLOOKUP($A30,subQ,MATCH(AF$1,SUBQH,0),0),"")</f>
        <v/>
      </c>
      <c r="AG30" s="33">
        <f>IFERROR(VLOOKUP($A30,subQ,MATCH(AG$1,SUBQH,0),0),"")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21">
        <f>IFERROR(VLOOKUP($A38,subQ,MATCH(I$1,SUBQH,0),0),"")</f>
        <v/>
      </c>
      <c r="J38" s="21">
        <f>IFERROR(VLOOKUP($A38,subQ,MATCH(J$1,SUBQH,0),0),"")</f>
        <v/>
      </c>
      <c r="K38" s="21">
        <f>IFERROR(VLOOKUP($A38,subQ,MATCH(K$1,SUBQH,0),0),"")</f>
        <v/>
      </c>
      <c r="L38" s="21">
        <f>IFERROR(VLOOKUP($A38,subQ,MATCH(L$1,SUBQH,0),0),"")</f>
        <v/>
      </c>
      <c r="M38" s="21">
        <f>IFERROR(VLOOKUP($A38,subQ,MATCH(M$1,SUBQH,0),0),"")</f>
        <v/>
      </c>
      <c r="N38" s="21">
        <f>IFERROR(VLOOKUP($A38,subQ,MATCH(N$1,SUBQH,0),0),"")</f>
        <v/>
      </c>
      <c r="O38" s="21">
        <f>IFERROR(VLOOKUP($A38,subQ,MATCH(O$1,SUBQH,0),0),"")</f>
        <v/>
      </c>
      <c r="P38" s="21">
        <f>IFERROR(VLOOKUP($A38,subQ,MATCH(P$1,SUBQH,0),0),"")</f>
        <v/>
      </c>
      <c r="Q38" s="21">
        <f>IFERROR(VLOOKUP($A38,subQ,MATCH(Q$1,SUBQH,0),0),"")</f>
        <v/>
      </c>
      <c r="R38" s="21">
        <f>IFERROR(VLOOKUP($A38,subQ,MATCH(R$1,SUBQH,0),0),"")</f>
        <v/>
      </c>
      <c r="S38" s="21">
        <f>IFERROR(VLOOKUP($A38,subQ,MATCH(S$1,SUBQH,0),0),"")</f>
        <v/>
      </c>
      <c r="T38" s="21">
        <f>IFERROR(VLOOKUP($A38,subQ,MATCH(T$1,SUBQH,0),0),"")</f>
        <v/>
      </c>
      <c r="U38" s="21">
        <f>IFERROR(VLOOKUP($A38,subQ,MATCH(U$1,SUBQH,0),0),"")</f>
        <v/>
      </c>
      <c r="V38" s="21">
        <f>IFERROR(VLOOKUP($A38,subQ,MATCH(V$1,SUBQH,0),0),"")</f>
        <v/>
      </c>
      <c r="W38" s="46">
        <f>IFERROR(VLOOKUP($A38,subQ,MATCH(W$1,SUBQH,0),0),"")</f>
        <v/>
      </c>
      <c r="X38" s="32">
        <f>IFERROR(VLOOKUP($A38,subQ,MATCH(X$1,SUBQH,0),0),"")</f>
        <v/>
      </c>
      <c r="Y38" s="32">
        <f>IFERROR(VLOOKUP($A38,subQ,MATCH(Y$1,SUBQH,0),0),"")</f>
        <v/>
      </c>
      <c r="Z38" s="32">
        <f>IFERROR(VLOOKUP($A38,subQ,MATCH(Z$1,SUBQH,0),0),"")</f>
        <v/>
      </c>
      <c r="AA38" s="32">
        <f>IFERROR(VLOOKUP($A38,subQ,MATCH(AA$1,SUBQH,0),0),"")</f>
        <v/>
      </c>
      <c r="AB38" s="32">
        <f>IFERROR(VLOOKUP($A38,subQ,MATCH(AB$1,SUBQH,0),0),"")</f>
        <v/>
      </c>
      <c r="AC38" s="32">
        <f>IFERROR(VLOOKUP($A38,subQ,MATCH(AC$1,SUBQH,0),0),"")</f>
        <v/>
      </c>
      <c r="AD38" s="32">
        <f>IFERROR(VLOOKUP($A38,subQ,MATCH(AD$1,SUBQH,0),0),"")</f>
        <v/>
      </c>
      <c r="AE38" s="32">
        <f>IFERROR(VLOOKUP($A38,subQ,MATCH(AE$1,SUBQH,0),0),"")</f>
        <v/>
      </c>
      <c r="AF38" s="32">
        <f>IFERROR(VLOOKUP($A38,subQ,MATCH(AF$1,SUBQH,0),0),"")</f>
        <v/>
      </c>
      <c r="AG38" s="32">
        <f>IFERROR(VLOOKUP($A38,subQ,MATCH(AG$1,SUBQH,0),0),"")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I39" s="21">
        <f>IFERROR(I5/E5-1,"")</f>
        <v/>
      </c>
      <c r="J39" s="21">
        <f>IFERROR(J5/F5-1,"")</f>
        <v/>
      </c>
      <c r="K39" s="21">
        <f>IFERROR(K5/G5-1,"")</f>
        <v/>
      </c>
      <c r="L39" s="21">
        <f>IFERROR(L5/H5-1,"")</f>
        <v/>
      </c>
      <c r="M39" s="21">
        <f>IFERROR(M5/I5-1,"")</f>
        <v/>
      </c>
      <c r="N39" s="21">
        <f>IFERROR(N5/J5-1,"")</f>
        <v/>
      </c>
      <c r="O39" s="21">
        <f>IFERROR(O5/K5-1,"")</f>
        <v/>
      </c>
      <c r="P39" s="21">
        <f>IFERROR(P5/L5-1,"")</f>
        <v/>
      </c>
      <c r="Q39" s="21">
        <f>IFERROR(Q5/M5-1,"")</f>
        <v/>
      </c>
      <c r="R39" s="21">
        <f>IFERROR(R5/N5-1,"")</f>
        <v/>
      </c>
      <c r="S39" s="21">
        <f>IFERROR(S5/O5-1,"")</f>
        <v/>
      </c>
      <c r="T39" s="21">
        <f>IFERROR(T5/P5-1,"")</f>
        <v/>
      </c>
      <c r="U39" s="21">
        <f>IFERROR(U5/Q5-1,"")</f>
        <v/>
      </c>
      <c r="V39" s="21">
        <f>IFERROR(V5/R5-1,"")</f>
        <v/>
      </c>
      <c r="W39" s="46">
        <f>IFERROR(W5/S5-1,"")</f>
        <v/>
      </c>
      <c r="X39" s="32">
        <f>IFERROR(X5/T5-1,"")</f>
        <v/>
      </c>
      <c r="Y39" s="32">
        <f>IFERROR(Y5/U5-1,"")</f>
        <v/>
      </c>
      <c r="Z39" s="32">
        <f>IFERROR(Z5/V5-1,"")</f>
        <v/>
      </c>
      <c r="AA39" s="32">
        <f>IFERROR(AA5/W5-1,"")</f>
        <v/>
      </c>
      <c r="AB39" s="32">
        <f>IFERROR(AB5/X5-1,"")</f>
        <v/>
      </c>
      <c r="AC39" s="32">
        <f>IFERROR(AC5/Y5-1,"")</f>
        <v/>
      </c>
      <c r="AD39" s="32">
        <f>IFERROR(AD5/Z5-1,"")</f>
        <v/>
      </c>
      <c r="AE39" s="32">
        <f>IFERROR(AE5/AA5-1,"")</f>
        <v/>
      </c>
      <c r="AF39" s="32">
        <f>IFERROR(AF5/AB5-1,"")</f>
        <v/>
      </c>
      <c r="AG39" s="32">
        <f>IFERROR(AG5/AC5-1,"")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I40" s="21">
        <f>IFERROR(I9/E9-1,"")</f>
        <v/>
      </c>
      <c r="J40" s="21">
        <f>IFERROR(J9/F9-1,"")</f>
        <v/>
      </c>
      <c r="K40" s="21">
        <f>IFERROR(K9/G9-1,"")</f>
        <v/>
      </c>
      <c r="L40" s="21">
        <f>IFERROR(L9/H9-1,"")</f>
        <v/>
      </c>
      <c r="M40" s="21">
        <f>IFERROR(M9/I9-1,"")</f>
        <v/>
      </c>
      <c r="N40" s="21">
        <f>IFERROR(N9/J9-1,"")</f>
        <v/>
      </c>
      <c r="O40" s="21">
        <f>IFERROR(O9/K9-1,"")</f>
        <v/>
      </c>
      <c r="P40" s="21">
        <f>IFERROR(P9/L9-1,"")</f>
        <v/>
      </c>
      <c r="Q40" s="21">
        <f>IFERROR(Q9/M9-1,"")</f>
        <v/>
      </c>
      <c r="R40" s="21">
        <f>IFERROR(R9/N9-1,"")</f>
        <v/>
      </c>
      <c r="S40" s="21">
        <f>IFERROR(S9/O9-1,"")</f>
        <v/>
      </c>
      <c r="T40" s="21">
        <f>IFERROR(T9/P9-1,"")</f>
        <v/>
      </c>
      <c r="U40" s="21">
        <f>IFERROR(U9/Q9-1,"")</f>
        <v/>
      </c>
      <c r="V40" s="21">
        <f>IFERROR(V9/R9-1,"")</f>
        <v/>
      </c>
      <c r="W40" s="46">
        <f>IFERROR(W9/S9-1,"")</f>
        <v/>
      </c>
      <c r="X40" s="32">
        <f>IFERROR(X9/T9-1,"")</f>
        <v/>
      </c>
      <c r="Y40" s="32">
        <f>IFERROR(Y9/U9-1,"")</f>
        <v/>
      </c>
      <c r="Z40" s="32">
        <f>IFERROR(Z9/V9-1,"")</f>
        <v/>
      </c>
      <c r="AA40" s="32">
        <f>IFERROR(AA9/W9-1,"")</f>
        <v/>
      </c>
      <c r="AB40" s="32">
        <f>IFERROR(AB9/X9-1,"")</f>
        <v/>
      </c>
      <c r="AC40" s="32">
        <f>IFERROR(AC9/Y9-1,"")</f>
        <v/>
      </c>
      <c r="AD40" s="32">
        <f>IFERROR(AD9/Z9-1,"")</f>
        <v/>
      </c>
      <c r="AE40" s="32">
        <f>IFERROR(AE9/AA9-1,"")</f>
        <v/>
      </c>
      <c r="AF40" s="32">
        <f>IFERROR(AF9/AB9-1,"")</f>
        <v/>
      </c>
      <c r="AG40" s="32">
        <f>IFERROR(AG9/AC9-1,"")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I41" s="21">
        <f>IFERROR(I19/E19-1,"")</f>
        <v/>
      </c>
      <c r="J41" s="21">
        <f>IFERROR(J19/F19-1,"")</f>
        <v/>
      </c>
      <c r="K41" s="21">
        <f>IFERROR(K19/G19-1,"")</f>
        <v/>
      </c>
      <c r="L41" s="21">
        <f>IFERROR(L19/H19-1,"")</f>
        <v/>
      </c>
      <c r="M41" s="21">
        <f>IFERROR(M19/I19-1,"")</f>
        <v/>
      </c>
      <c r="N41" s="21">
        <f>IFERROR(N19/J19-1,"")</f>
        <v/>
      </c>
      <c r="O41" s="21">
        <f>IFERROR(O19/K19-1,"")</f>
        <v/>
      </c>
      <c r="P41" s="21">
        <f>IFERROR(P19/L19-1,"")</f>
        <v/>
      </c>
      <c r="Q41" s="21">
        <f>IFERROR(Q19/M19-1,"")</f>
        <v/>
      </c>
      <c r="R41" s="21">
        <f>IFERROR(R19/N19-1,"")</f>
        <v/>
      </c>
      <c r="S41" s="21">
        <f>IFERROR(S19/O19-1,"")</f>
        <v/>
      </c>
      <c r="T41" s="21">
        <f>IFERROR(T19/P19-1,"")</f>
        <v/>
      </c>
      <c r="U41" s="21">
        <f>IFERROR(U19/Q19-1,"")</f>
        <v/>
      </c>
      <c r="V41" s="21">
        <f>IFERROR(V19/R19-1,"")</f>
        <v/>
      </c>
      <c r="W41" s="46">
        <f>IFERROR(W19/S19-1,"")</f>
        <v/>
      </c>
      <c r="X41" s="32">
        <f>IFERROR(X19/T19-1,"")</f>
        <v/>
      </c>
      <c r="Y41" s="32">
        <f>IFERROR(Y19/U19-1,"")</f>
        <v/>
      </c>
      <c r="Z41" s="32">
        <f>IFERROR(Z19/V19-1,"")</f>
        <v/>
      </c>
      <c r="AA41" s="32">
        <f>IFERROR(AA19/W19-1,"")</f>
        <v/>
      </c>
      <c r="AB41" s="32">
        <f>IFERROR(AB19/X19-1,"")</f>
        <v/>
      </c>
      <c r="AC41" s="32">
        <f>IFERROR(AC19/Y19-1,"")</f>
        <v/>
      </c>
      <c r="AD41" s="32">
        <f>IFERROR(AD19/Z19-1,"")</f>
        <v/>
      </c>
      <c r="AE41" s="32">
        <f>IFERROR(AE19/AA19-1,"")</f>
        <v/>
      </c>
      <c r="AF41" s="32">
        <f>IFERROR(AF19/AB19-1,"")</f>
        <v/>
      </c>
      <c r="AG41" s="32">
        <f>IFERROR(AG19/AC19-1,"")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47">
        <f>IFERROR(VLOOKUP($A30,subQ,MATCH(I$1,SUBQH,0),0),"")</f>
        <v/>
      </c>
      <c r="J30" s="33">
        <f>IFERROR(VLOOKUP($A30,subQ,MATCH(J$1,SUBQH,0),0),"")</f>
        <v/>
      </c>
      <c r="K30" s="33">
        <f>IFERROR(VLOOKUP($A30,subQ,MATCH(K$1,SUBQH,0),0),"")</f>
        <v/>
      </c>
      <c r="L30" s="33">
        <f>IFERROR(VLOOKUP($A30,subQ,MATCH(L$1,SUBQH,0),0),"")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46">
        <f>IFERROR(VLOOKUP($A38,subQ,MATCH(I$1,SUBQH,0),0),"")</f>
        <v/>
      </c>
      <c r="J38" s="32">
        <f>IFERROR(VLOOKUP($A38,subQ,MATCH(J$1,SUBQH,0),0),"")</f>
        <v/>
      </c>
      <c r="K38" s="32">
        <f>IFERROR(VLOOKUP($A38,subQ,MATCH(K$1,SUBQH,0),0),"")</f>
        <v/>
      </c>
      <c r="L38" s="32">
        <f>IFERROR(VLOOKUP($A38,subQ,MATCH(L$1,SUBQH,0),0),"")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F39" s="21">
        <f>IFERROR(F5/E5-1,"")</f>
        <v/>
      </c>
      <c r="G39" s="21">
        <f>IFERROR(G5/F5-1,"")</f>
        <v/>
      </c>
      <c r="H39" s="21">
        <f>IFERROR(H5/G5-1,"")</f>
        <v/>
      </c>
      <c r="I39" s="46">
        <f>IFERROR(I5/H5-1,"")</f>
        <v/>
      </c>
      <c r="J39" s="32">
        <f>IFERROR(J5/I5-1,"")</f>
        <v/>
      </c>
      <c r="K39" s="32">
        <f>IFERROR(K5/J5-1,"")</f>
        <v/>
      </c>
      <c r="L39" s="32">
        <f>IFERROR(L5/K5-1,"")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F40" s="21">
        <f>IFERROR(F9/E9-1,"")</f>
        <v/>
      </c>
      <c r="G40" s="21">
        <f>IFERROR(G9/F9-1,"")</f>
        <v/>
      </c>
      <c r="H40" s="21">
        <f>IFERROR(H9/G9-1,"")</f>
        <v/>
      </c>
      <c r="I40" s="46">
        <f>IFERROR(I9/H9-1,"")</f>
        <v/>
      </c>
      <c r="J40" s="32">
        <f>IFERROR(J9/I9-1,"")</f>
        <v/>
      </c>
      <c r="K40" s="32">
        <f>IFERROR(K9/J9-1,"")</f>
        <v/>
      </c>
      <c r="L40" s="32">
        <f>IFERROR(L9/K9-1,"")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F41" s="21">
        <f>IFERROR(F19/E19-1,"")</f>
        <v/>
      </c>
      <c r="G41" s="21">
        <f>IFERROR(G19/F19-1,"")</f>
        <v/>
      </c>
      <c r="H41" s="21">
        <f>IFERROR(H19/G19-1,"")</f>
        <v/>
      </c>
      <c r="I41" s="46">
        <f>IFERROR(I19/H19-1,"")</f>
        <v/>
      </c>
      <c r="J41" s="32">
        <f>IFERROR(J19/I19-1,"")</f>
        <v/>
      </c>
      <c r="K41" s="32">
        <f>IFERROR(K19/J19-1,"")</f>
        <v/>
      </c>
      <c r="L41" s="32">
        <f>IFERROR(L19/K19-1,"")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1.9</v>
      </c>
    </row>
    <row r="30">
      <c r="C30" s="2" t="inlineStr">
        <is>
          <t>bps_latest</t>
        </is>
      </c>
      <c r="D30" t="n">
        <v>3000.9</v>
      </c>
    </row>
    <row r="31">
      <c r="C31" s="2" t="inlineStr">
        <is>
          <t>per_now</t>
        </is>
      </c>
      <c r="D31" t="n">
        <v>1315.79</v>
      </c>
    </row>
    <row r="32">
      <c r="C32" s="2" t="inlineStr">
        <is>
          <t>pbr_now</t>
        </is>
      </c>
      <c r="D32" t="n">
        <v>0.83</v>
      </c>
    </row>
    <row r="33">
      <c r="C33" s="2" t="inlineStr">
        <is>
          <t>roe_fwd</t>
        </is>
      </c>
      <c r="D33" t="n">
        <v>0.0005999999999999999</v>
      </c>
    </row>
    <row r="34">
      <c r="C34" s="2" t="inlineStr">
        <is>
          <t>fair_pbr</t>
        </is>
      </c>
      <c r="D34" t="n">
        <v>0.01</v>
      </c>
    </row>
    <row r="35">
      <c r="C35" s="2" t="inlineStr">
        <is>
          <t>fair_value_pbr</t>
        </is>
      </c>
      <c r="D35" t="n">
        <v>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