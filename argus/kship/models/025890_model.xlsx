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모델값 역산(implied): v / 매출액
매출액 × 판관비율 4.86%(최근 4분기 중위)</t>
      </text>
    </comment>
    <comment ref="AD22" authorId="0" shapeId="0">
      <text>
        <t>모델값 역산(implied): v / 매출액
매출액 × 판관비율 4.86%(최근 4분기 중위)</t>
      </text>
    </comment>
    <comment ref="AF22" authorId="0" shapeId="0">
      <text>
        <t>모델값 역산(implied): v / 매출액
매출액 × 판관비율 4.86%(최근 4분기 중위)</t>
      </text>
    </comment>
    <comment ref="AG22" authorId="0" shapeId="0">
      <text>
        <t>모델값 역산(implied): v / 매출액
매출액 × 판관비율 4.86%(최근 4분기 중위)</t>
      </text>
    </comment>
    <comment ref="AH22" authorId="0" shapeId="0">
      <text>
        <t>모델값 역산(implied): v / 매출액
매출액 × 판관비율 4.86%(최근 4분기 중위)</t>
      </text>
    </comment>
    <comment ref="AI22" authorId="0" shapeId="0">
      <text>
        <t>모델값 역산(implied): v / 매출액
매출액 × 판관비율 4.86%(최근 4분기 중위)</t>
      </text>
    </comment>
    <comment ref="AK22" authorId="0" shapeId="0">
      <text>
        <t>모델값 역산(implied): v / 매출액
매출액 × 판관비율 4.86%(최근 4분기 중위)</t>
      </text>
    </comment>
    <comment ref="AL22" authorId="0" shapeId="0">
      <text>
        <t>모델값 역산(implied): v / 매출액
매출액 × 판관비율 4.86%(최근 4분기 중위)</t>
      </text>
    </comment>
    <comment ref="AM22" authorId="0" shapeId="0">
      <text>
        <t>모델값 역산(implied): v / 매출액
매출액 × 판관비율 4.86%(최근 4분기 중위)</t>
      </text>
    </comment>
    <comment ref="AN22" authorId="0" shapeId="0">
      <text>
        <t>모델값 역산(implied): v / 매출액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v / 전년동기 − 1
최근 8분기 OPM 중위 0.7% 유지(클립 −20~40%)</t>
      </text>
    </comment>
    <comment ref="AD24" authorId="0" shapeId="0">
      <text>
        <t>모델값 역산(implied): v / 전년동기 − 1
최근 8분기 OPM 중위 0.7% 유지(클립 −20~40%)</t>
      </text>
    </comment>
    <comment ref="AF24" authorId="0" shapeId="0">
      <text>
        <t>모델값 역산(implied): v / 전년동기 − 1
최근 8분기 OPM 중위 0.7% 유지(클립 −20~40%)</t>
      </text>
    </comment>
    <comment ref="AG24" authorId="0" shapeId="0">
      <text>
        <t>모델값 역산(implied): v / 전년동기 − 1
최근 8분기 OPM 중위 0.7% 유지(클립 −20~40%)</t>
      </text>
    </comment>
    <comment ref="AH24" authorId="0" shapeId="0">
      <text>
        <t>모델값 역산(implied): v / 전년동기 − 1
최근 8분기 OPM 중위 0.7% 유지(클립 −20~40%)</t>
      </text>
    </comment>
    <comment ref="AI24" authorId="0" shapeId="0">
      <text>
        <t>모델값 역산(implied): v / 전년동기 − 1
최근 8분기 OPM 중위 0.7% 유지(클립 −20~40%)</t>
      </text>
    </comment>
    <comment ref="AK24" authorId="0" shapeId="0">
      <text>
        <t>모델값 역산(implied): v / 전년동기 − 1
최근 8분기 OPM 중위 0.7% 유지(클립 −20~40%)</t>
      </text>
    </comment>
    <comment ref="AL24" authorId="0" shapeId="0">
      <text>
        <t>모델값 역산(implied): v / 전년동기 − 1
최근 8분기 OPM 중위 0.7% 유지(클립 −20~40%)</t>
      </text>
    </comment>
    <comment ref="AM24" authorId="0" shapeId="0">
      <text>
        <t>모델값 역산(implied): v / 전년동기 − 1
최근 8분기 OPM 중위 0.7% 유지(클립 −20~40%)</t>
      </text>
    </comment>
    <comment ref="AN24" authorId="0" shapeId="0">
      <text>
        <t>모델값 역산(implied): v / 전년동기 − 1
최근 8분기 OPM 중위 0.7% 유지(클립 −20~40%)</t>
      </text>
    </comment>
    <comment ref="AC25" authorId="0" shapeId="0">
      <text>
        <t>모델값 역산(implied): 모델 v 그대로
이자손익 = 이자발생자산 4억 × 0.30% − 총차입금 60억 × 0.00% (연율, CF 실측) ÷ 4; 환·평가손익 0 가정</t>
      </text>
    </comment>
    <comment ref="AD25" authorId="0" shapeId="0">
      <text>
        <t>모델값 역산(implied): 모델 v 그대로
이자손익 = 이자발생자산 4억 × 0.30% − 총차입금 60억 × 0.00% (연율, CF 실측) ÷ 4; 환·평가손익 0 가정</t>
      </text>
    </comment>
    <comment ref="AF25" authorId="0" shapeId="0">
      <text>
        <t>모델값 역산(implied): 모델 v 그대로
이자손익 = 이자발생자산 5억 × 0.30% − 총차입금 60억 × 0.00% (연율, CF 실측) ÷ 4; 환·평가손익 0 가정</t>
      </text>
    </comment>
    <comment ref="AG25" authorId="0" shapeId="0">
      <text>
        <t>모델값 역산(implied): 모델 v 그대로
이자손익 = 이자발생자산 5억 × 0.30% − 총차입금 60억 × 0.00% (연율, CF 실측) ÷ 4; 환·평가손익 0 가정</t>
      </text>
    </comment>
    <comment ref="AH25" authorId="0" shapeId="0">
      <text>
        <t>모델값 역산(implied): 모델 v 그대로
이자손익 = 이자발생자산 6억 × 0.30% − 총차입금 60억 × 0.00% (연율, CF 실측) ÷ 4; 환·평가손익 0 가정</t>
      </text>
    </comment>
    <comment ref="AI25" authorId="0" shapeId="0">
      <text>
        <t>모델값 역산(implied): 모델 v 그대로
이자손익 = 이자발생자산 7억 × 0.30% − 총차입금 60억 × 0.00% (연율, CF 실측) ÷ 4; 환·평가손익 0 가정</t>
      </text>
    </comment>
    <comment ref="AK25" authorId="0" shapeId="0">
      <text>
        <t>모델값 역산(implied): 모델 v 그대로
이자손익 = 이자발생자산 7억 × 0.30% − 총차입금 60억 × 0.00% (연율, CF 실측) ÷ 4; 환·평가손익 0 가정</t>
      </text>
    </comment>
    <comment ref="AL25" authorId="0" shapeId="0">
      <text>
        <t>모델값 역산(implied): 모델 v 그대로
이자손익 = 이자발생자산 8억 × 0.30% − 총차입금 60억 × 0.00% (연율, CF 실측) ÷ 4; 환·평가손익 0 가정</t>
      </text>
    </comment>
    <comment ref="AM25" authorId="0" shapeId="0">
      <text>
        <t>모델값 역산(implied): 모델 v 그대로
이자손익 = 이자발생자산 8억 × 0.30% − 총차입금 60억 × 0.00% (연율, CF 실측) ÷ 4; 환·평가손익 0 가정</t>
      </text>
    </comment>
    <comment ref="AN25" authorId="0" shapeId="0">
      <text>
        <t>모델값 역산(implied): 모델 v 그대로
이자손익 = 이자발생자산 9억 × 0.30% − 총차입금 60억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-2.4% → 5~27% 클립)</t>
      </text>
    </comment>
    <comment ref="AD28" authorId="0" shapeId="0">
      <text>
        <t>모델값 역산(implied): v / 세전이익
max(세전, 0) × 세율 5.0%(최근 12분기 유효세율 -2.4% → 5~27% 클립)</t>
      </text>
    </comment>
    <comment ref="AF28" authorId="0" shapeId="0">
      <text>
        <t>모델값 역산(implied): v / 세전이익
max(세전, 0) × 세율 5.0%(최근 12분기 유효세율 -2.4% → 5~27% 클립)</t>
      </text>
    </comment>
    <comment ref="AG28" authorId="0" shapeId="0">
      <text>
        <t>모델값 역산(implied): v / 세전이익
max(세전, 0) × 세율 5.0%(최근 12분기 유효세율 -2.4% → 5~27% 클립)</t>
      </text>
    </comment>
    <comment ref="AH28" authorId="0" shapeId="0">
      <text>
        <t>모델값 역산(implied): v / 세전이익
max(세전, 0) × 세율 5.0%(최근 12분기 유효세율 -2.4% → 5~27% 클립)</t>
      </text>
    </comment>
    <comment ref="AI28" authorId="0" shapeId="0">
      <text>
        <t>모델값 역산(implied): v / 세전이익
max(세전, 0) × 세율 5.0%(최근 12분기 유효세율 -2.4% → 5~27% 클립)</t>
      </text>
    </comment>
    <comment ref="AK28" authorId="0" shapeId="0">
      <text>
        <t>모델값 역산(implied): v / 세전이익
max(세전, 0) × 세율 5.0%(최근 12분기 유효세율 -2.4% → 5~27% 클립)</t>
      </text>
    </comment>
    <comment ref="AL28" authorId="0" shapeId="0">
      <text>
        <t>모델값 역산(implied): v / 세전이익
max(세전, 0) × 세율 5.0%(최근 12분기 유효세율 -2.4% → 5~27% 클립)</t>
      </text>
    </comment>
    <comment ref="AM28" authorId="0" shapeId="0">
      <text>
        <t>모델값 역산(implied): v / 세전이익
max(세전, 0) × 세율 5.0%(최근 12분기 유효세율 -2.4% → 5~27% 클립)</t>
      </text>
    </comment>
    <comment ref="AN28" authorId="0" shapeId="0">
      <text>
        <t>모델값 역산(implied): v / 세전이익
max(세전, 0) × 세율 5.0%(최근 12분기 유효세율 -2.4%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0.7% 유지(클립 −20~40%)
[yoy]</t>
      </text>
    </comment>
    <comment ref="AD10" authorId="0" shapeId="0">
      <text>
        <t>추정: 최근 8분기 OPM 중위 0.7% 유지(클립 −20~40%)
[yoy]</t>
      </text>
    </comment>
    <comment ref="AF10" authorId="0" shapeId="0">
      <text>
        <t>추정: 최근 8분기 OPM 중위 0.7% 유지(클립 −20~40%)
[yoy]</t>
      </text>
    </comment>
    <comment ref="AG10" authorId="0" shapeId="0">
      <text>
        <t>추정: 최근 8분기 OPM 중위 0.7% 유지(클립 −20~40%)
[yoy]</t>
      </text>
    </comment>
    <comment ref="AH10" authorId="0" shapeId="0">
      <text>
        <t>추정: 최근 8분기 OPM 중위 0.7% 유지(클립 −20~40%)
[yoy]</t>
      </text>
    </comment>
    <comment ref="AI10" authorId="0" shapeId="0">
      <text>
        <t>추정: 최근 8분기 OPM 중위 0.7% 유지(클립 −20~40%)
[yoy]</t>
      </text>
    </comment>
    <comment ref="AK10" authorId="0" shapeId="0">
      <text>
        <t>추정: 최근 8분기 OPM 중위 0.7% 유지(클립 −20~40%)
[yoy]</t>
      </text>
    </comment>
    <comment ref="AL10" authorId="0" shapeId="0">
      <text>
        <t>추정: 최근 8분기 OPM 중위 0.7% 유지(클립 −20~40%)
[yoy]</t>
      </text>
    </comment>
    <comment ref="AM10" authorId="0" shapeId="0">
      <text>
        <t>추정: 최근 8분기 OPM 중위 0.7% 유지(클립 −20~40%)
[yoy]</t>
      </text>
    </comment>
    <comment ref="AN10" authorId="0" shapeId="0">
      <text>
        <t>추정: 최근 8분기 OPM 중위 0.7% 유지(클립 −20~40%)
[yoy]</t>
      </text>
    </comment>
    <comment ref="AC11" authorId="0" shapeId="0">
      <text>
        <t>추정: 이자손익 = 이자발생자산 4억 × 0.30% − 총차입금 60억 × 0.00% (연율, CF 실측) ÷ 4; 환·평가손익 0 가정
[abs]</t>
      </text>
    </comment>
    <comment ref="AD11" authorId="0" shapeId="0">
      <text>
        <t>추정: 이자손익 = 이자발생자산 4억 × 0.30% − 총차입금 60억 × 0.00% (연율, CF 실측) ÷ 4; 환·평가손익 0 가정
[abs]</t>
      </text>
    </comment>
    <comment ref="AF11" authorId="0" shapeId="0">
      <text>
        <t>추정: 이자손익 = 이자발생자산 5억 × 0.30% − 총차입금 60억 × 0.00% (연율, CF 실측) ÷ 4; 환·평가손익 0 가정
[abs]</t>
      </text>
    </comment>
    <comment ref="AG11" authorId="0" shapeId="0">
      <text>
        <t>추정: 이자손익 = 이자발생자산 5억 × 0.30% − 총차입금 60억 × 0.00% (연율, CF 실측) ÷ 4; 환·평가손익 0 가정
[abs]</t>
      </text>
    </comment>
    <comment ref="AH11" authorId="0" shapeId="0">
      <text>
        <t>추정: 이자손익 = 이자발생자산 6억 × 0.30% − 총차입금 60억 × 0.00% (연율, CF 실측) ÷ 4; 환·평가손익 0 가정
[abs]</t>
      </text>
    </comment>
    <comment ref="AI11" authorId="0" shapeId="0">
      <text>
        <t>추정: 이자손익 = 이자발생자산 7억 × 0.30% − 총차입금 60억 × 0.00% (연율, CF 실측) ÷ 4; 환·평가손익 0 가정
[abs]</t>
      </text>
    </comment>
    <comment ref="AK11" authorId="0" shapeId="0">
      <text>
        <t>추정: 이자손익 = 이자발생자산 7억 × 0.30% − 총차입금 60억 × 0.00% (연율, CF 실측) ÷ 4; 환·평가손익 0 가정
[abs]</t>
      </text>
    </comment>
    <comment ref="AL11" authorId="0" shapeId="0">
      <text>
        <t>추정: 이자손익 = 이자발생자산 8억 × 0.30% − 총차입금 60억 × 0.00% (연율, CF 실측) ÷ 4; 환·평가손익 0 가정
[abs]</t>
      </text>
    </comment>
    <comment ref="AM11" authorId="0" shapeId="0">
      <text>
        <t>추정: 이자손익 = 이자발생자산 8억 × 0.30% − 총차입금 60억 × 0.00% (연율, CF 실측) ÷ 4; 환·평가손익 0 가정
[abs]</t>
      </text>
    </comment>
    <comment ref="AN11" authorId="0" shapeId="0">
      <text>
        <t>추정: 이자손익 = 이자발생자산 9억 × 0.30% − 총차입금 60억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-2.4% → 5~27% 클립)
[ratio]</t>
      </text>
    </comment>
    <comment ref="AD15" authorId="0" shapeId="0">
      <text>
        <t>추정: max(세전, 0) × 세율 5.0%(최근 12분기 유효세율 -2.4% → 5~27% 클립)
[ratio]</t>
      </text>
    </comment>
    <comment ref="AF15" authorId="0" shapeId="0">
      <text>
        <t>추정: max(세전, 0) × 세율 5.0%(최근 12분기 유효세율 -2.4% → 5~27% 클립)
[ratio]</t>
      </text>
    </comment>
    <comment ref="AG15" authorId="0" shapeId="0">
      <text>
        <t>추정: max(세전, 0) × 세율 5.0%(최근 12분기 유효세율 -2.4% → 5~27% 클립)
[ratio]</t>
      </text>
    </comment>
    <comment ref="AH15" authorId="0" shapeId="0">
      <text>
        <t>추정: max(세전, 0) × 세율 5.0%(최근 12분기 유효세율 -2.4% → 5~27% 클립)
[ratio]</t>
      </text>
    </comment>
    <comment ref="AI15" authorId="0" shapeId="0">
      <text>
        <t>추정: max(세전, 0) × 세율 5.0%(최근 12분기 유효세율 -2.4% → 5~27% 클립)
[ratio]</t>
      </text>
    </comment>
    <comment ref="AK15" authorId="0" shapeId="0">
      <text>
        <t>추정: max(세전, 0) × 세율 5.0%(최근 12분기 유효세율 -2.4% → 5~27% 클립)
[ratio]</t>
      </text>
    </comment>
    <comment ref="AL15" authorId="0" shapeId="0">
      <text>
        <t>추정: max(세전, 0) × 세율 5.0%(최근 12분기 유효세율 -2.4% → 5~27% 클립)
[ratio]</t>
      </text>
    </comment>
    <comment ref="AM15" authorId="0" shapeId="0">
      <text>
        <t>추정: max(세전, 0) × 세율 5.0%(최근 12분기 유효세율 -2.4% → 5~27% 클립)
[ratio]</t>
      </text>
    </comment>
    <comment ref="AN15" authorId="0" shapeId="0">
      <text>
        <t>추정: max(세전, 0) × 세율 5.0%(최근 12분기 유효세율 -2.4%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H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L27" authorId="0" shapeId="0">
      <text>
        <t>실측(계정 매핑 없음 — 모델값 직접) — fin.sep.cf.영업활동으로인한현금흐름</t>
      </text>
    </comment>
    <comment ref="M27" authorId="0" shapeId="0">
      <text>
        <t>실측(계정 매핑 없음 — 모델값 직접) — fin.sep.cf.영업활동으로인한현금흐름</t>
      </text>
    </comment>
    <comment ref="N27" authorId="0" shapeId="0">
      <text>
        <t>실측(계정 매핑 없음 — 모델값 직접) — fin.sep.cf.영업활동으로인한현금흐름</t>
      </text>
    </comment>
    <comment ref="O27" authorId="0" shapeId="0">
      <text>
        <t>실측(계정 매핑 없음 — 모델값 직접) — fin.sep.cf.영업활동으로인한현금흐름</t>
      </text>
    </comment>
    <comment ref="Q27" authorId="0" shapeId="0">
      <text>
        <t>실측(계정 매핑 없음 — 모델값 직접) — fin.sep.cf.영업활동으로인한현금흐름</t>
      </text>
    </comment>
    <comment ref="R27" authorId="0" shapeId="0">
      <text>
        <t>실측(계정 매핑 없음 — 모델값 직접) — fin.sep.cf.영업활동으로인한현금흐름</t>
      </text>
    </comment>
    <comment ref="S27" authorId="0" shapeId="0">
      <text>
        <t>실측(계정 매핑 없음 — 모델값 직접) — fin.sep.cf.영업활동으로인한현금흐름</t>
      </text>
    </comment>
    <comment ref="T27" authorId="0" shapeId="0">
      <text>
        <t>실측(계정 매핑 없음 — 모델값 직접) — fin.sep.cf.영업활동으로인한현금흐름</t>
      </text>
    </comment>
    <comment ref="V27" authorId="0" shapeId="0">
      <text>
        <t>실측(계정 매핑 없음 — 모델값 직접) — fin.sep.cf.영업활동으로인한현금흐름</t>
      </text>
    </comment>
    <comment ref="W27" authorId="0" shapeId="0">
      <text>
        <t>실측(계정 매핑 없음 — 모델값 직접) — fin.sep.cf.영업활동으로인한현금흐름</t>
      </text>
    </comment>
    <comment ref="X27" authorId="0" shapeId="0">
      <text>
        <t>실측(계정 매핑 없음 — 모델값 직접) — fin.sep.cf.영업활동으로인한현금흐름</t>
      </text>
    </comment>
    <comment ref="Y27" authorId="0" shapeId="0">
      <text>
        <t>실측(계정 매핑 없음 — 모델값 직접) — fin.sep.cf.영업활동으로인한현금흐름</t>
      </text>
    </comment>
    <comment ref="AA27" authorId="0" shapeId="0">
      <text>
        <t>실측(계정 매핑 없음 — 모델값 직접) — fin.sep.cf.영업활동으로인한현금흐름</t>
      </text>
    </comment>
    <comment ref="AB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AD32" authorId="0" shapeId="0">
      <text>
        <t>추정(가정 셀 참조 불가 — 기준값 없음, 모델값 직접): 현재 종가 ÷ TTM EPS(추정 포함)</t>
      </text>
    </comment>
    <comment ref="AF32" authorId="0" shapeId="0">
      <text>
        <t>추정(가정 셀 참조 불가 — 기준값 없음, 모델값 직접): 현재 종가 ÷ TTM EPS(추정 포함)</t>
      </text>
    </comment>
    <comment ref="AG32" authorId="0" shapeId="0">
      <text>
        <t>추정(가정 셀 참조 불가 — 기준값 없음, 모델값 직접): 현재 종가 ÷ TTM EPS(추정 포함)</t>
      </text>
    </comment>
    <comment ref="AH32" authorId="0" shapeId="0">
      <text>
        <t>추정(가정 셀 참조 불가 — 기준값 없음, 모델값 직접): 현재 종가 ÷ TTM EPS(추정 포함)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assets/models/025890.json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</v>
      </c>
      <c r="AD21" s="24" t="n">
        <v>-0.137537</v>
      </c>
      <c r="AE21" s="25" t="n"/>
      <c r="AF21" s="24" t="n">
        <v>-0.137588</v>
      </c>
      <c r="AG21" s="24" t="n">
        <v>-0.13758</v>
      </c>
      <c r="AH21" s="24" t="n">
        <v>-0.068786</v>
      </c>
      <c r="AI21" s="24" t="n">
        <v>-0.06880600000000001</v>
      </c>
      <c r="AJ21" s="25" t="n"/>
      <c r="AK21" s="24" t="n">
        <v>-0.068707</v>
      </c>
      <c r="AL21" s="24" t="n">
        <v>-0.06878099999999999</v>
      </c>
      <c r="AM21" s="24" t="n">
        <v>-0.034386</v>
      </c>
      <c r="AN21" s="24" t="n">
        <v>-0.034454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0.048624</v>
      </c>
      <c r="AD22" s="24" t="n">
        <v>0.048576</v>
      </c>
      <c r="AE22" s="25">
        <f>IFERROR(subQ!AE8/subQ!AE5,"")</f>
        <v/>
      </c>
      <c r="AF22" s="24" t="n">
        <v>0.048607</v>
      </c>
      <c r="AG22" s="24" t="n">
        <v>0.048576</v>
      </c>
      <c r="AH22" s="24" t="n">
        <v>0.04865</v>
      </c>
      <c r="AI22" s="24" t="n">
        <v>0.048568</v>
      </c>
      <c r="AJ22" s="25">
        <f>IFERROR(subQ!AJ8/subQ!AJ5,"")</f>
        <v/>
      </c>
      <c r="AK22" s="24" t="n">
        <v>0.048667</v>
      </c>
      <c r="AL22" s="24" t="n">
        <v>0.048679</v>
      </c>
      <c r="AM22" s="24" t="n">
        <v>0.048668</v>
      </c>
      <c r="AN22" s="24" t="n">
        <v>0.048581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</v>
      </c>
      <c r="AD23" s="24" t="n">
        <v>0.007344</v>
      </c>
      <c r="AE23" s="25">
        <f>IFERROR(subQ!AE9/subQ!AE5,"")</f>
        <v/>
      </c>
      <c r="AF23" s="24" t="n">
        <v>0.007225</v>
      </c>
      <c r="AG23" s="24" t="n">
        <v>0.007328</v>
      </c>
      <c r="AH23" s="24" t="n">
        <v>0.007259</v>
      </c>
      <c r="AI23" s="24" t="n">
        <v>0.007334</v>
      </c>
      <c r="AJ23" s="25">
        <f>IFERROR(subQ!AJ9/subQ!AJ5,"")</f>
        <v/>
      </c>
      <c r="AK23" s="24" t="n">
        <v>0.007335</v>
      </c>
      <c r="AL23" s="24" t="n">
        <v>0.007307</v>
      </c>
      <c r="AM23" s="24" t="n">
        <v>0.007254</v>
      </c>
      <c r="AN23" s="24" t="n">
        <v>0.007309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-1.21791</v>
      </c>
      <c r="AD24" s="24" t="n">
        <v>-1.236246</v>
      </c>
      <c r="AE24" s="25" t="n"/>
      <c r="AF24" s="24" t="n">
        <v>0.08955200000000001</v>
      </c>
      <c r="AG24" s="24" t="n">
        <v>-0.471014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</v>
      </c>
      <c r="AD25" s="29" t="n">
        <v>0</v>
      </c>
      <c r="AE25" s="30">
        <f>subQ!AE11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subQ!AJ11</f>
        <v/>
      </c>
      <c r="AK25" s="29" t="n">
        <v>0.01</v>
      </c>
      <c r="AL25" s="29" t="n">
        <v>0.01</v>
      </c>
      <c r="AM25" s="29" t="n">
        <v>0.01</v>
      </c>
      <c r="AN25" s="29" t="n">
        <v>0.01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0.048387</v>
      </c>
      <c r="AD28" s="24" t="n">
        <v>0.052632</v>
      </c>
      <c r="AE28" s="25">
        <f>IFERROR(subQ!AE15/subQ!AE14,"")</f>
        <v/>
      </c>
      <c r="AF28" s="24" t="n">
        <v>0.053571</v>
      </c>
      <c r="AG28" s="24" t="n">
        <v>0.042857</v>
      </c>
      <c r="AH28" s="24" t="n">
        <v>0.051724</v>
      </c>
      <c r="AI28" s="24" t="n">
        <v>0.056604</v>
      </c>
      <c r="AJ28" s="25">
        <f>IFERROR(subQ!AJ15/subQ!AJ14,"")</f>
        <v/>
      </c>
      <c r="AK28" s="24" t="n">
        <v>0.057692</v>
      </c>
      <c r="AL28" s="24" t="n">
        <v>0.046154</v>
      </c>
      <c r="AM28" s="24" t="n">
        <v>0.053571</v>
      </c>
      <c r="AN28" s="24" t="n">
        <v>0.058824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-1.5e-05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0.0064</v>
      </c>
      <c r="AD31" s="29" t="n">
        <v>0</v>
      </c>
      <c r="AE31" s="30" t="n"/>
      <c r="AF31" s="29" t="n">
        <v>0</v>
      </c>
      <c r="AG31" s="29" t="n">
        <v>-0.01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0.0064</v>
      </c>
      <c r="AD32" s="29" t="n">
        <v>0</v>
      </c>
      <c r="AE32" s="30" t="n"/>
      <c r="AF32" s="29" t="n">
        <v>0</v>
      </c>
      <c r="AG32" s="29" t="n">
        <v>-0.01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-0.010199</v>
      </c>
      <c r="AD34" s="24" t="n">
        <v>-0.009449000000000001</v>
      </c>
      <c r="AE34" s="25" t="n"/>
      <c r="AF34" s="24" t="n">
        <v>-0.009362000000000001</v>
      </c>
      <c r="AG34" s="24" t="n">
        <v>-0.011769</v>
      </c>
      <c r="AH34" s="24" t="n">
        <v>-0.009924000000000001</v>
      </c>
      <c r="AI34" s="24" t="n">
        <v>-0.009112</v>
      </c>
      <c r="AJ34" s="25" t="n"/>
      <c r="AK34" s="24" t="n">
        <v>-0.009195999999999999</v>
      </c>
      <c r="AL34" s="24" t="n">
        <v>-0.011509</v>
      </c>
      <c r="AM34" s="24" t="n">
        <v>-0.009953</v>
      </c>
      <c r="AN34" s="24" t="n">
        <v>-0.009294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0.155779</v>
      </c>
      <c r="AD35" s="24" t="n">
        <v>0.12357</v>
      </c>
      <c r="AE35" s="25" t="n"/>
      <c r="AF35" s="24" t="n">
        <v>0.107943</v>
      </c>
      <c r="AG35" s="24" t="n">
        <v>0.121324</v>
      </c>
      <c r="AH35" s="24" t="n">
        <v>0.09016399999999999</v>
      </c>
      <c r="AI35" s="24" t="n">
        <v>0.075188</v>
      </c>
      <c r="AJ35" s="25" t="n"/>
      <c r="AK35" s="24" t="n">
        <v>0.06993000000000001</v>
      </c>
      <c r="AL35" s="24" t="n">
        <v>0.08104600000000001</v>
      </c>
      <c r="AM35" s="24" t="n">
        <v>0.06408700000000001</v>
      </c>
      <c r="AN35" s="24" t="n">
        <v>0.055682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24" t="n">
        <v>0.143567</v>
      </c>
      <c r="AJ41" s="25" t="n"/>
      <c r="AK41" s="24" t="n">
        <v>0.343505</v>
      </c>
      <c r="AL41" s="24" t="n">
        <v>0.077372</v>
      </c>
      <c r="AM41" s="24" t="n">
        <v>0.062195</v>
      </c>
      <c r="AN41" s="24" t="n">
        <v>0.052062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0.396825</v>
      </c>
      <c r="AD42" s="24" t="n">
        <v>0.466667</v>
      </c>
      <c r="AE42" s="25" t="n"/>
      <c r="AF42" s="24" t="n">
        <v>0.54386</v>
      </c>
      <c r="AG42" s="24" t="n">
        <v>0.275362</v>
      </c>
      <c r="AH42" s="24" t="n">
        <v>0</v>
      </c>
      <c r="AI42" s="24" t="n">
        <v>-0.011364</v>
      </c>
      <c r="AJ42" s="25" t="n"/>
      <c r="AK42" s="24" t="n">
        <v>-0.011364</v>
      </c>
      <c r="AL42" s="24" t="n">
        <v>-0.011364</v>
      </c>
      <c r="AM42" s="24" t="n">
        <v>-0.011364</v>
      </c>
      <c r="AN42" s="24" t="n">
        <v>0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0.007234</v>
      </c>
      <c r="AD44" s="24" t="n">
        <v>0.007344</v>
      </c>
      <c r="AE44" s="25">
        <f>IFERROR(subQ!AE35/subQ!AE34,"")</f>
        <v/>
      </c>
      <c r="AF44" s="24" t="n">
        <v>0.007225</v>
      </c>
      <c r="AG44" s="24" t="n">
        <v>0.007328</v>
      </c>
      <c r="AH44" s="24" t="n">
        <v>0.007259</v>
      </c>
      <c r="AI44" s="24" t="n">
        <v>0.007334</v>
      </c>
      <c r="AJ44" s="25">
        <f>IFERROR(subQ!AJ35/subQ!AJ34,"")</f>
        <v/>
      </c>
      <c r="AK44" s="24" t="n">
        <v>0.007335</v>
      </c>
      <c r="AL44" s="24" t="n">
        <v>0.007307</v>
      </c>
      <c r="AM44" s="24" t="n">
        <v>0.007254</v>
      </c>
      <c r="AN44" s="24" t="n">
        <v>0.007309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2650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16.6</v>
      </c>
      <c r="E50" s="2" t="inlineStr">
        <is>
          <t>PER 밴드 하단(배) — hist_quarterly(분기 평균가 ÷ TTM EPS, 12분기,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21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28.8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0.0486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4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4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4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4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4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4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4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4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4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4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4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4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4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4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4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4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4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4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4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4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4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4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4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4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4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4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4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4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4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4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4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4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4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4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4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4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4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4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4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4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4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4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4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4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4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4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4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4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4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4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4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4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4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4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4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4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4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4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4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4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4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4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4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4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4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4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4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4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4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4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4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4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4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4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4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4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4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4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4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4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4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4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4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4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4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4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4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4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4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4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4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4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4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4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4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4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4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4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4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4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4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4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4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4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4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4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4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4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4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4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4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4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4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4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4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4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4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4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4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4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4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4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4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4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4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4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4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4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4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4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4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4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4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4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4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4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4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4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4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4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4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4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4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4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4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4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4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4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4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4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4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4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4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4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4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4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4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4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4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4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4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4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4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4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4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4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4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4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4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4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4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4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4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4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4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4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4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4" t="n">
        <v>16824.67</v>
      </c>
      <c r="G41" s="18" t="n">
        <v>17643.71</v>
      </c>
      <c r="H41" s="18" t="n">
        <v>17034.18</v>
      </c>
      <c r="I41" s="18" t="n">
        <v>13220.87</v>
      </c>
      <c r="J41" s="18" t="n">
        <v>12449.09</v>
      </c>
      <c r="K41" s="34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4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4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4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4" t="n">
        <v>13759.64</v>
      </c>
      <c r="G42" s="18" t="n">
        <v>13906.33</v>
      </c>
      <c r="H42" s="18" t="n">
        <v>13879.76</v>
      </c>
      <c r="I42" s="18" t="n">
        <v>9843.5</v>
      </c>
      <c r="J42" s="18" t="n">
        <v>8712.690000000001</v>
      </c>
      <c r="K42" s="34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4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4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4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4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4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4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4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4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J44" s="18" t="n">
        <v>800</v>
      </c>
      <c r="K44" s="34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4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4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4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4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4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4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4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4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4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4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4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4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4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4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4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4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4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4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4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4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4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4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4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4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4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4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4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4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4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4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4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4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4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4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4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4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4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4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4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4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4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4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4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4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4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4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4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4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4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4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4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4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4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4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4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4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4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4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4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4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4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4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4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4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4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4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-2062.42</v>
      </c>
      <c r="F65" s="9" t="n"/>
      <c r="G65" s="18" t="n">
        <v>-2890.82</v>
      </c>
      <c r="H65" s="18" t="n">
        <v>-346.11</v>
      </c>
      <c r="I65" s="18" t="n">
        <v>4045.72</v>
      </c>
      <c r="J65" s="18" t="n">
        <v>802.99</v>
      </c>
      <c r="K65" s="34" t="n">
        <v>1611.78</v>
      </c>
      <c r="L65" s="18" t="n">
        <v>-1134.31</v>
      </c>
      <c r="M65" s="18" t="n">
        <v>1851.1</v>
      </c>
      <c r="N65" s="18" t="n">
        <v>558.24</v>
      </c>
      <c r="O65" s="18" t="n">
        <v>2354.57</v>
      </c>
      <c r="P65" s="34" t="n">
        <v>3629.6</v>
      </c>
      <c r="Q65" s="18" t="n">
        <v>964.97</v>
      </c>
      <c r="R65" s="18" t="n">
        <v>1181.27</v>
      </c>
      <c r="S65" s="18" t="n">
        <v>2067.25</v>
      </c>
      <c r="T65" s="18" t="n">
        <v>1263.52</v>
      </c>
      <c r="U65" s="34" t="n">
        <v>5477.01</v>
      </c>
      <c r="V65" s="18" t="n">
        <v>-420.3</v>
      </c>
      <c r="W65" s="18" t="n">
        <v>918.64</v>
      </c>
      <c r="X65" s="18" t="n">
        <v>-78.62</v>
      </c>
      <c r="Y65" s="18" t="n">
        <v>1605.29</v>
      </c>
      <c r="Z65" s="34" t="n">
        <v>2025.01</v>
      </c>
      <c r="AA65" s="18" t="n">
        <v>-3963.94</v>
      </c>
      <c r="AB65" s="19" t="n">
        <v>-684.5700000000001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배당금수취(CF)</t>
        </is>
      </c>
      <c r="E66" s="18" t="n">
        <v>0</v>
      </c>
      <c r="F66" s="9" t="n"/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0</v>
      </c>
      <c r="F67" s="9" t="n"/>
      <c r="G67" s="18" t="n">
        <v>-5.11</v>
      </c>
      <c r="H67" s="18" t="n">
        <v>7.06</v>
      </c>
      <c r="I67" s="18" t="n">
        <v>-0.01</v>
      </c>
      <c r="J67" s="18" t="n">
        <v>0</v>
      </c>
      <c r="K67" s="34" t="n">
        <v>1.94</v>
      </c>
      <c r="L67" s="18" t="n">
        <v>-9.800000000000001</v>
      </c>
      <c r="M67" s="18" t="n">
        <v>-2.79</v>
      </c>
      <c r="N67" s="18" t="n">
        <v>-0.05</v>
      </c>
      <c r="O67" s="18" t="n">
        <v>-0.02</v>
      </c>
      <c r="P67" s="34" t="n">
        <v>-12.66</v>
      </c>
      <c r="Q67" s="18" t="n">
        <v>-0.15</v>
      </c>
      <c r="R67" s="18" t="n">
        <v>-0.7</v>
      </c>
      <c r="S67" s="18" t="n">
        <v>-0.6899999999999999</v>
      </c>
      <c r="T67" s="18" t="n">
        <v>-6.66</v>
      </c>
      <c r="U67" s="34" t="n">
        <v>-8.199999999999999</v>
      </c>
      <c r="V67" s="18" t="n">
        <v>-7.9</v>
      </c>
      <c r="W67" s="18" t="n">
        <v>-4.03</v>
      </c>
      <c r="X67" s="18" t="n">
        <v>-5.51</v>
      </c>
      <c r="Y67" s="18" t="n">
        <v>34.9</v>
      </c>
      <c r="Z67" s="34" t="n">
        <v>17.46</v>
      </c>
      <c r="AA67" s="18" t="n">
        <v>-0.03</v>
      </c>
      <c r="AB67" s="19" t="n">
        <v>-0.01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-275.48</v>
      </c>
      <c r="F68" s="9" t="n"/>
      <c r="G68" s="18" t="n">
        <v>2744.14</v>
      </c>
      <c r="H68" s="18" t="n">
        <v>372.68</v>
      </c>
      <c r="I68" s="18" t="n">
        <v>-9.460000000000001</v>
      </c>
      <c r="J68" s="18" t="n">
        <v>-128.19</v>
      </c>
      <c r="K68" s="34" t="n">
        <v>2979.17</v>
      </c>
      <c r="L68" s="18" t="n">
        <v>2827.09</v>
      </c>
      <c r="M68" s="18" t="n">
        <v>644.9299999999999</v>
      </c>
      <c r="N68" s="18" t="n">
        <v>413.77</v>
      </c>
      <c r="O68" s="18" t="n">
        <v>-284.86</v>
      </c>
      <c r="P68" s="34" t="n">
        <v>3600.93</v>
      </c>
      <c r="Q68" s="18" t="n">
        <v>-688.92</v>
      </c>
      <c r="R68" s="18" t="n">
        <v>-1785.88</v>
      </c>
      <c r="S68" s="18" t="n">
        <v>416.31</v>
      </c>
      <c r="T68" s="18" t="n">
        <v>746.59</v>
      </c>
      <c r="U68" s="34" t="n">
        <v>-1311.9</v>
      </c>
      <c r="V68" s="18" t="n">
        <v>-170.79</v>
      </c>
      <c r="W68" s="18" t="n">
        <v>457.47</v>
      </c>
      <c r="X68" s="18" t="n">
        <v>-714.38</v>
      </c>
      <c r="Y68" s="18" t="n">
        <v>-101.46</v>
      </c>
      <c r="Z68" s="34" t="n">
        <v>-529.16</v>
      </c>
      <c r="AA68" s="18" t="n">
        <v>-105.19</v>
      </c>
      <c r="AB68" s="19" t="n">
        <v>-1385.61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유형자산의감소</t>
        </is>
      </c>
      <c r="E69" s="18" t="n">
        <v>0</v>
      </c>
      <c r="F69" s="9" t="n"/>
      <c r="G69" s="18" t="n">
        <v>2773.66</v>
      </c>
      <c r="H69" s="18" t="n">
        <v>66.13</v>
      </c>
      <c r="I69" s="18" t="n">
        <v>-0.13</v>
      </c>
      <c r="K69" s="9" t="n"/>
      <c r="L69" s="18" t="n">
        <v>0</v>
      </c>
      <c r="M69" s="18" t="n">
        <v>0</v>
      </c>
      <c r="N69" s="18" t="n">
        <v>480</v>
      </c>
      <c r="O69" s="18" t="n">
        <v>0</v>
      </c>
      <c r="P69" s="34" t="n">
        <v>480</v>
      </c>
      <c r="Q69" s="18" t="n">
        <v>11</v>
      </c>
      <c r="R69" s="18" t="n">
        <v>0</v>
      </c>
      <c r="S69" s="18" t="n">
        <v>0</v>
      </c>
      <c r="T69" s="18" t="n">
        <v>38.77</v>
      </c>
      <c r="U69" s="34" t="n">
        <v>49.77</v>
      </c>
      <c r="V69" s="18" t="n">
        <v>26</v>
      </c>
      <c r="W69" s="18" t="n">
        <v>29.8</v>
      </c>
      <c r="X69" s="18" t="n">
        <v>0</v>
      </c>
      <c r="Y69" s="18" t="n">
        <v>7.29</v>
      </c>
      <c r="Z69" s="34" t="n">
        <v>63.09</v>
      </c>
      <c r="AA69" s="18" t="n">
        <v>5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264.1</v>
      </c>
      <c r="F70" s="9" t="n"/>
      <c r="G70" s="18" t="n">
        <v>12.12</v>
      </c>
      <c r="H70" s="18" t="n">
        <v>21.01</v>
      </c>
      <c r="I70" s="18" t="n">
        <v>6.92</v>
      </c>
      <c r="J70" s="18" t="n">
        <v>120.42</v>
      </c>
      <c r="K70" s="34" t="n">
        <v>160.47</v>
      </c>
      <c r="L70" s="18" t="n">
        <v>170.5</v>
      </c>
      <c r="M70" s="18" t="n">
        <v>186.71</v>
      </c>
      <c r="N70" s="18" t="n">
        <v>46.88</v>
      </c>
      <c r="O70" s="18" t="n">
        <v>265.46</v>
      </c>
      <c r="P70" s="34" t="n">
        <v>669.55</v>
      </c>
      <c r="Q70" s="18" t="n">
        <v>180.3</v>
      </c>
      <c r="R70" s="18" t="n">
        <v>266</v>
      </c>
      <c r="S70" s="18" t="n">
        <v>63.86</v>
      </c>
      <c r="T70" s="18" t="n">
        <v>268.22</v>
      </c>
      <c r="U70" s="34" t="n">
        <v>778.38</v>
      </c>
      <c r="V70" s="18" t="n">
        <v>176.78</v>
      </c>
      <c r="W70" s="18" t="n">
        <v>36.9</v>
      </c>
      <c r="X70" s="18" t="n">
        <v>646.0700000000001</v>
      </c>
      <c r="Y70" s="18" t="n">
        <v>156.95</v>
      </c>
      <c r="Z70" s="34" t="n">
        <v>1016.7</v>
      </c>
      <c r="AA70" s="18" t="n">
        <v>90.31</v>
      </c>
      <c r="AB70" s="19" t="n">
        <v>1365.75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264.1</v>
      </c>
      <c r="F71" s="9" t="n"/>
      <c r="G71" s="18" t="n">
        <v>12.12</v>
      </c>
      <c r="H71" s="18" t="n">
        <v>21.01</v>
      </c>
      <c r="I71" s="18" t="n">
        <v>6.92</v>
      </c>
      <c r="J71" s="18" t="n">
        <v>120.42</v>
      </c>
      <c r="K71" s="34" t="n">
        <v>160.47</v>
      </c>
      <c r="L71" s="18" t="n">
        <v>170.5</v>
      </c>
      <c r="M71" s="18" t="n">
        <v>186.71</v>
      </c>
      <c r="N71" s="18" t="n">
        <v>46.88</v>
      </c>
      <c r="O71" s="18" t="n">
        <v>265.46</v>
      </c>
      <c r="P71" s="34" t="n">
        <v>669.55</v>
      </c>
      <c r="Q71" s="18" t="n">
        <v>180.3</v>
      </c>
      <c r="R71" s="18" t="n">
        <v>266</v>
      </c>
      <c r="S71" s="18" t="n">
        <v>63.86</v>
      </c>
      <c r="T71" s="18" t="n">
        <v>268.22</v>
      </c>
      <c r="U71" s="34" t="n">
        <v>778.38</v>
      </c>
      <c r="V71" s="18" t="n">
        <v>176.78</v>
      </c>
      <c r="W71" s="18" t="n">
        <v>36.9</v>
      </c>
      <c r="X71" s="18" t="n">
        <v>646.0700000000001</v>
      </c>
      <c r="Y71" s="18" t="n">
        <v>156.95</v>
      </c>
      <c r="Z71" s="34" t="n">
        <v>1016.7</v>
      </c>
      <c r="AA71" s="18" t="n">
        <v>90.31</v>
      </c>
      <c r="AB71" s="19" t="n">
        <v>1365.75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2187.95</v>
      </c>
      <c r="F72" s="9" t="n"/>
      <c r="G72" s="18" t="n">
        <v>819.03</v>
      </c>
      <c r="H72" s="18" t="n">
        <v>-609.52</v>
      </c>
      <c r="I72" s="18" t="n">
        <v>-3813.32</v>
      </c>
      <c r="J72" s="18" t="n">
        <v>-771.78</v>
      </c>
      <c r="K72" s="34" t="n">
        <v>-4375.59</v>
      </c>
      <c r="L72" s="18" t="n">
        <v>-1533.21</v>
      </c>
      <c r="M72" s="18" t="n">
        <v>-2551.43</v>
      </c>
      <c r="N72" s="18" t="n">
        <v>-1276.75</v>
      </c>
      <c r="O72" s="18" t="n">
        <v>-769.13</v>
      </c>
      <c r="P72" s="34" t="n">
        <v>-6130.52</v>
      </c>
      <c r="Q72" s="18" t="n">
        <v>-22.39</v>
      </c>
      <c r="R72" s="18" t="n">
        <v>-923.41</v>
      </c>
      <c r="S72" s="18" t="n">
        <v>-1523.71</v>
      </c>
      <c r="T72" s="18" t="n">
        <v>-2024.26</v>
      </c>
      <c r="U72" s="34" t="n">
        <v>-4493.77</v>
      </c>
      <c r="V72" s="18" t="n">
        <v>-299.83</v>
      </c>
      <c r="W72" s="18" t="n">
        <v>-1520.41</v>
      </c>
      <c r="X72" s="18" t="n">
        <v>882.54</v>
      </c>
      <c r="Y72" s="18" t="n">
        <v>-1184.83</v>
      </c>
      <c r="Z72" s="34" t="n">
        <v>-2122.53</v>
      </c>
      <c r="AA72" s="18" t="n">
        <v>3663.38</v>
      </c>
      <c r="AB72" s="19" t="n">
        <v>2319.93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2187.95</v>
      </c>
      <c r="F73" s="9" t="n"/>
      <c r="G73" s="18" t="n">
        <v>3580.97</v>
      </c>
      <c r="I73" s="18" t="n">
        <v>333.32</v>
      </c>
      <c r="J73" s="18" t="n">
        <v>771.78</v>
      </c>
      <c r="K73" s="9" t="n"/>
      <c r="L73" s="18" t="n">
        <v>1533.21</v>
      </c>
      <c r="N73" s="18" t="n">
        <v>4802.08</v>
      </c>
      <c r="P73" s="9" t="n"/>
      <c r="U73" s="9" t="n"/>
      <c r="V73" s="18" t="n">
        <v>725</v>
      </c>
      <c r="W73" s="18" t="n">
        <v>45</v>
      </c>
      <c r="X73" s="18" t="n">
        <v>3687.24</v>
      </c>
      <c r="Y73" s="18" t="n">
        <v>6227.33</v>
      </c>
      <c r="Z73" s="34" t="n">
        <v>10684.57</v>
      </c>
      <c r="AA73" s="18" t="n">
        <v>9661.549999999999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장기차입금의증가</t>
        </is>
      </c>
      <c r="E74" s="18" t="n">
        <v>0</v>
      </c>
      <c r="F74" s="9" t="n"/>
      <c r="G74" s="18" t="n">
        <v>4400</v>
      </c>
      <c r="H74" s="18" t="n">
        <v>0</v>
      </c>
      <c r="I74" s="18" t="n">
        <v>0</v>
      </c>
      <c r="K74" s="9" t="n"/>
      <c r="L74" s="18" t="n">
        <v>0</v>
      </c>
      <c r="M74" s="18" t="n">
        <v>0</v>
      </c>
      <c r="N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유동성장기부채의감소</t>
        </is>
      </c>
      <c r="E75" s="18" t="n">
        <v>0</v>
      </c>
      <c r="F75" s="9" t="n"/>
      <c r="G75" s="18" t="n">
        <v>0</v>
      </c>
      <c r="H75" s="18" t="n">
        <v>0</v>
      </c>
      <c r="K75" s="9" t="n"/>
      <c r="L75" s="18" t="n">
        <v>0</v>
      </c>
      <c r="M75" s="18" t="n">
        <v>500</v>
      </c>
      <c r="N75" s="18" t="n">
        <v>0</v>
      </c>
      <c r="O75" s="18" t="n">
        <v>300</v>
      </c>
      <c r="P75" s="34" t="n">
        <v>800</v>
      </c>
      <c r="S75" s="18" t="n">
        <v>1500</v>
      </c>
      <c r="T75" s="18" t="n">
        <v>1500</v>
      </c>
      <c r="U75" s="9" t="n"/>
      <c r="V75" s="18" t="n">
        <v>1000</v>
      </c>
      <c r="W75" s="18" t="n">
        <v>0</v>
      </c>
      <c r="X75" s="18" t="n">
        <v>0</v>
      </c>
      <c r="Y75" s="18" t="n">
        <v>0</v>
      </c>
      <c r="Z75" s="34" t="n">
        <v>1000</v>
      </c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E76" s="18" t="n">
        <v>0</v>
      </c>
      <c r="F76" s="9" t="n"/>
      <c r="I76" s="18" t="n">
        <v>3480</v>
      </c>
      <c r="K76" s="9" t="n"/>
      <c r="O76" s="18" t="n">
        <v>5249.09</v>
      </c>
      <c r="P76" s="9" t="n"/>
      <c r="Q76" s="18" t="n">
        <v>0</v>
      </c>
      <c r="R76" s="18" t="n">
        <v>500</v>
      </c>
      <c r="S76" s="18" t="n">
        <v>0</v>
      </c>
      <c r="T76" s="18" t="n">
        <v>500</v>
      </c>
      <c r="U76" s="34" t="n">
        <v>1000</v>
      </c>
      <c r="Y76" s="18" t="n">
        <v>7365.21</v>
      </c>
      <c r="Z76" s="9" t="n"/>
      <c r="AA76" s="18" t="n">
        <v>5969.27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-149.96</v>
      </c>
      <c r="F78" s="9" t="n"/>
      <c r="G78" s="18" t="n">
        <v>672.35</v>
      </c>
      <c r="H78" s="18" t="n">
        <v>-582.96</v>
      </c>
      <c r="I78" s="18" t="n">
        <v>222.95</v>
      </c>
      <c r="J78" s="18" t="n">
        <v>-96.98</v>
      </c>
      <c r="K78" s="34" t="n">
        <v>215.36</v>
      </c>
      <c r="L78" s="18" t="n">
        <v>159.58</v>
      </c>
      <c r="M78" s="18" t="n">
        <v>-55.41</v>
      </c>
      <c r="N78" s="18" t="n">
        <v>-304.74</v>
      </c>
      <c r="O78" s="18" t="n">
        <v>1300.58</v>
      </c>
      <c r="P78" s="34" t="n">
        <v>1100.01</v>
      </c>
      <c r="Q78" s="18" t="n">
        <v>253.66</v>
      </c>
      <c r="R78" s="18" t="n">
        <v>-1528.03</v>
      </c>
      <c r="S78" s="18" t="n">
        <v>959.86</v>
      </c>
      <c r="T78" s="18" t="n">
        <v>-14.16</v>
      </c>
      <c r="U78" s="34" t="n">
        <v>-328.67</v>
      </c>
      <c r="V78" s="18" t="n">
        <v>-890.91</v>
      </c>
      <c r="W78" s="18" t="n">
        <v>-144.32</v>
      </c>
      <c r="X78" s="18" t="n">
        <v>89.55</v>
      </c>
      <c r="Y78" s="18" t="n">
        <v>319</v>
      </c>
      <c r="Z78" s="34" t="n">
        <v>-626.6799999999999</v>
      </c>
      <c r="AA78" s="18" t="n">
        <v>-405.75</v>
      </c>
      <c r="AB78" s="19" t="n">
        <v>249.74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-149.96</v>
      </c>
      <c r="F79" s="9" t="n"/>
      <c r="G79" s="18" t="n">
        <v>737.38</v>
      </c>
      <c r="H79" s="18" t="n">
        <v>-582.96</v>
      </c>
      <c r="I79" s="18" t="n">
        <v>222.95</v>
      </c>
      <c r="J79" s="18" t="n">
        <v>-96.98</v>
      </c>
      <c r="K79" s="34" t="n">
        <v>280.39</v>
      </c>
      <c r="L79" s="18" t="n">
        <v>439.97</v>
      </c>
      <c r="M79" s="18" t="n">
        <v>-55.74</v>
      </c>
      <c r="N79" s="18" t="n">
        <v>-304.41</v>
      </c>
      <c r="O79" s="18" t="n">
        <v>1293.09</v>
      </c>
      <c r="P79" s="34" t="n">
        <v>1372.91</v>
      </c>
      <c r="Q79" s="18" t="n">
        <v>1625.64</v>
      </c>
      <c r="R79" s="18" t="n">
        <v>-1527.1</v>
      </c>
      <c r="S79" s="18" t="n">
        <v>958.62</v>
      </c>
      <c r="T79" s="18" t="n">
        <v>-10.37</v>
      </c>
      <c r="U79" s="34" t="n">
        <v>1046.79</v>
      </c>
      <c r="V79" s="18" t="n">
        <v>155.94</v>
      </c>
      <c r="W79" s="18" t="n">
        <v>-144.37</v>
      </c>
      <c r="X79" s="18" t="n">
        <v>89.54000000000001</v>
      </c>
      <c r="Y79" s="18" t="n">
        <v>319.01</v>
      </c>
      <c r="Z79" s="34" t="n">
        <v>420.12</v>
      </c>
      <c r="AA79" s="18" t="n">
        <v>14.36</v>
      </c>
      <c r="AB79" s="19" t="n">
        <v>249.75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G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F81" s="9" t="n"/>
      <c r="K81" s="9" t="n"/>
      <c r="N81" s="18" t="n">
        <v>21.68</v>
      </c>
      <c r="O81" s="18" t="n">
        <v>22.12</v>
      </c>
      <c r="P81" s="9" t="n"/>
      <c r="Q81" s="18" t="n">
        <v>22.39</v>
      </c>
      <c r="R81" s="18" t="n">
        <v>23.41</v>
      </c>
      <c r="S81" s="18" t="n">
        <v>23.71</v>
      </c>
      <c r="T81" s="18" t="n">
        <v>24.26</v>
      </c>
      <c r="U81" s="34" t="n">
        <v>93.77</v>
      </c>
      <c r="V81" s="18" t="n">
        <v>24.83</v>
      </c>
      <c r="W81" s="18" t="n">
        <v>25.41</v>
      </c>
      <c r="X81" s="18" t="n">
        <v>25.35</v>
      </c>
      <c r="Y81" s="18" t="n">
        <v>27.3</v>
      </c>
      <c r="Z81" s="34" t="n">
        <v>102.89</v>
      </c>
      <c r="AA81" s="18" t="n">
        <v>28.9</v>
      </c>
      <c r="AB81" s="19" t="n">
        <v>25.79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0.14</v>
      </c>
      <c r="P82" s="9" t="n"/>
      <c r="Q82" s="18" t="n">
        <v>0.98</v>
      </c>
      <c r="T82" s="18" t="n">
        <v>22.09</v>
      </c>
      <c r="U82" s="9" t="n"/>
      <c r="V82" s="18" t="n">
        <v>-4.5</v>
      </c>
      <c r="W82" s="18" t="n">
        <v>25.52</v>
      </c>
      <c r="X82" s="18" t="n">
        <v>0.53</v>
      </c>
      <c r="Y82" s="18" t="n">
        <v>0.09</v>
      </c>
      <c r="Z82" s="34" t="n">
        <v>21.64</v>
      </c>
      <c r="AA82" s="18" t="n">
        <v>0.21</v>
      </c>
      <c r="AB82" s="19" t="n">
        <v>0.05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-0.0309</v>
      </c>
      <c r="F10" s="34" t="n"/>
      <c r="G10" s="18" t="n">
        <v>-0.0514</v>
      </c>
      <c r="H10" s="18" t="n">
        <v>0.0048</v>
      </c>
      <c r="I10" s="18" t="n">
        <v>-0.0102</v>
      </c>
      <c r="J10" s="18" t="n">
        <v>0.0141</v>
      </c>
      <c r="K10" s="34">
        <f>SUM(G10:J10)</f>
        <v/>
      </c>
      <c r="L10" s="18" t="n">
        <v>0.0207</v>
      </c>
      <c r="M10" s="18" t="n">
        <v>0.0497</v>
      </c>
      <c r="N10" s="18" t="n">
        <v>0.0672</v>
      </c>
      <c r="O10" s="18" t="n">
        <v>0.0413</v>
      </c>
      <c r="P10" s="34">
        <f>SUM(L10:O10)</f>
        <v/>
      </c>
      <c r="Q10" s="18" t="n">
        <v>0.0053</v>
      </c>
      <c r="R10" s="18" t="n">
        <v>0.0269</v>
      </c>
      <c r="S10" s="18" t="n">
        <v>-0.0316</v>
      </c>
      <c r="T10" s="18" t="n">
        <v>0.0731</v>
      </c>
      <c r="U10" s="34">
        <f>SUM(Q10:T10)</f>
        <v/>
      </c>
      <c r="V10" s="18" t="n">
        <v>0.007900000000000001</v>
      </c>
      <c r="W10" s="18" t="n">
        <v>0.0304</v>
      </c>
      <c r="X10" s="18" t="n">
        <v>-0.0335</v>
      </c>
      <c r="Y10" s="18" t="n">
        <v>-0.0309</v>
      </c>
      <c r="Z10" s="34">
        <f>SUM(V10:Y10)</f>
        <v/>
      </c>
      <c r="AA10" s="18" t="n">
        <v>0.0067</v>
      </c>
      <c r="AB10" s="19" t="n">
        <v>0.0138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IFERROR(VLOOKUP($D13,BS별도,MATCH(E$1,BS별도H,0),0)/100,"")</f>
        <v/>
      </c>
      <c r="F13" s="34" t="n"/>
      <c r="G13" s="18" t="n"/>
      <c r="H13" s="18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 t="n"/>
      <c r="O15" s="18" t="n"/>
      <c r="P15" s="34">
        <f>SUM(L15:O15)</f>
        <v/>
      </c>
      <c r="Q15" s="18" t="n"/>
      <c r="R15" s="18" t="n"/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 t="n"/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 t="n"/>
      <c r="AB15" s="19" t="n"/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501.95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221.33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280.62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280.62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168.25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137.6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41.65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0.65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-20.62</v>
      </c>
      <c r="F27" s="34" t="n"/>
      <c r="G27" s="18" t="n">
        <v>-28.91</v>
      </c>
      <c r="H27" s="18" t="n">
        <v>-3.46</v>
      </c>
      <c r="I27" s="18" t="n">
        <v>40.46</v>
      </c>
      <c r="J27" s="18" t="n">
        <v>8.029999999999999</v>
      </c>
      <c r="K27" s="34">
        <f>SUM(G27:J27)</f>
        <v/>
      </c>
      <c r="L27" s="18" t="n">
        <v>-11.34</v>
      </c>
      <c r="M27" s="18" t="n">
        <v>18.51</v>
      </c>
      <c r="N27" s="18" t="n">
        <v>5.58</v>
      </c>
      <c r="O27" s="18" t="n">
        <v>23.55</v>
      </c>
      <c r="P27" s="34">
        <f>SUM(L27:O27)</f>
        <v/>
      </c>
      <c r="Q27" s="18" t="n">
        <v>9.65</v>
      </c>
      <c r="R27" s="18" t="n">
        <v>11.81</v>
      </c>
      <c r="S27" s="18" t="n">
        <v>20.67</v>
      </c>
      <c r="T27" s="18" t="n">
        <v>12.64</v>
      </c>
      <c r="U27" s="34">
        <f>SUM(Q27:T27)</f>
        <v/>
      </c>
      <c r="V27" s="18" t="n">
        <v>-4.2</v>
      </c>
      <c r="W27" s="18" t="n">
        <v>9.19</v>
      </c>
      <c r="X27" s="18" t="n">
        <v>-0.79</v>
      </c>
      <c r="Y27" s="18" t="n">
        <v>16.05</v>
      </c>
      <c r="Z27" s="34">
        <f>SUM(V27:Y27)</f>
        <v/>
      </c>
      <c r="AA27" s="18" t="n">
        <v>-39.64</v>
      </c>
      <c r="AB27" s="19" t="n">
        <v>-6.85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11.145</v>
      </c>
      <c r="F28" s="27">
        <f>E28</f>
        <v/>
      </c>
      <c r="G28" s="26" t="n">
        <v>11.145</v>
      </c>
      <c r="H28" s="26" t="n">
        <v>11.145</v>
      </c>
      <c r="I28" s="26" t="n">
        <v>11.145</v>
      </c>
      <c r="J28" s="26" t="n">
        <v>11.145</v>
      </c>
      <c r="K28" s="27">
        <f>J28</f>
        <v/>
      </c>
      <c r="L28" s="26" t="n">
        <v>11.145</v>
      </c>
      <c r="M28" s="26" t="n">
        <v>11.145</v>
      </c>
      <c r="N28" s="26" t="n">
        <v>11.145</v>
      </c>
      <c r="O28" s="26" t="n">
        <v>11.145</v>
      </c>
      <c r="P28" s="27">
        <f>O28</f>
        <v/>
      </c>
      <c r="Q28" s="26" t="n">
        <v>11.145</v>
      </c>
      <c r="R28" s="26" t="n">
        <v>11.145</v>
      </c>
      <c r="S28" s="26" t="n">
        <v>11.145</v>
      </c>
      <c r="T28" s="26" t="n">
        <v>11.145</v>
      </c>
      <c r="U28" s="27">
        <f>T28</f>
        <v/>
      </c>
      <c r="V28" s="26" t="n">
        <v>11.145</v>
      </c>
      <c r="W28" s="26" t="n">
        <v>11.145</v>
      </c>
      <c r="X28" s="26" t="n">
        <v>11.145</v>
      </c>
      <c r="Y28" s="26" t="n">
        <v>11.145</v>
      </c>
      <c r="Z28" s="27">
        <f>Y28</f>
        <v/>
      </c>
      <c r="AA28" s="26" t="n">
        <v>11.145</v>
      </c>
      <c r="AB28" s="28" t="n">
        <v>11.145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27.2</v>
      </c>
      <c r="J32" s="18" t="n">
        <v>16.6</v>
      </c>
      <c r="K32" s="34">
        <f>SUM(G32:J32)</f>
        <v/>
      </c>
      <c r="L32" s="18" t="n"/>
      <c r="M32" s="18" t="n">
        <v>122.9</v>
      </c>
      <c r="N32" s="18" t="n">
        <v>17.47</v>
      </c>
      <c r="O32" s="18" t="n">
        <v>12.47</v>
      </c>
      <c r="P32" s="34">
        <f>SUM(L32:O32)</f>
        <v/>
      </c>
      <c r="Q32" s="18" t="n">
        <v>12.98</v>
      </c>
      <c r="R32" s="18" t="n">
        <v>12.23</v>
      </c>
      <c r="S32" s="18" t="n">
        <v>48.03</v>
      </c>
      <c r="T32" s="18" t="n">
        <v>28.82</v>
      </c>
      <c r="U32" s="34">
        <f>SUM(Q32:T32)</f>
        <v/>
      </c>
      <c r="V32" s="18" t="n">
        <v>22.48</v>
      </c>
      <c r="W32" s="18" t="n">
        <v>20.94</v>
      </c>
      <c r="X32" s="18" t="n">
        <v>21.03</v>
      </c>
      <c r="Y32" s="18" t="n"/>
      <c r="Z32" s="34">
        <f>SUM(V32:Y32)</f>
        <v/>
      </c>
      <c r="AA32" s="18" t="n"/>
      <c r="AB32" s="19" t="n"/>
      <c r="AC32" s="20" t="n"/>
      <c r="AD32" s="20" t="n">
        <v>114.72</v>
      </c>
      <c r="AE32" s="35">
        <f>SUM(AA32:AD32)</f>
        <v/>
      </c>
      <c r="AF32" s="20" t="n">
        <v>99.62</v>
      </c>
      <c r="AG32" s="20" t="n">
        <v>126.79</v>
      </c>
      <c r="AH32" s="20" t="n">
        <v>129.27</v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2.43</v>
      </c>
      <c r="F33" s="34" t="n">
        <v>2.11</v>
      </c>
      <c r="G33" s="18" t="n">
        <v>1.7</v>
      </c>
      <c r="H33" s="18" t="n">
        <v>1.35</v>
      </c>
      <c r="I33" s="18" t="n">
        <v>1.05</v>
      </c>
      <c r="J33" s="18" t="n">
        <v>0.96</v>
      </c>
      <c r="K33" s="34">
        <f>SUM(G33:J33)</f>
        <v/>
      </c>
      <c r="L33" s="18" t="n">
        <v>1.16</v>
      </c>
      <c r="M33" s="18" t="n">
        <v>1.15</v>
      </c>
      <c r="N33" s="18" t="n">
        <v>0.97</v>
      </c>
      <c r="O33" s="18" t="n">
        <v>0.9399999999999999</v>
      </c>
      <c r="P33" s="34">
        <f>SUM(L33:O33)</f>
        <v/>
      </c>
      <c r="Q33" s="18" t="n">
        <v>0.92</v>
      </c>
      <c r="R33" s="18" t="n">
        <v>0.77</v>
      </c>
      <c r="S33" s="18" t="n">
        <v>0.7</v>
      </c>
      <c r="T33" s="18" t="n">
        <v>0.64</v>
      </c>
      <c r="U33" s="34">
        <f>SUM(Q33:T33)</f>
        <v/>
      </c>
      <c r="V33" s="18" t="n">
        <v>0.6</v>
      </c>
      <c r="W33" s="18" t="n">
        <v>0.6</v>
      </c>
      <c r="X33" s="18" t="n">
        <v>0.63</v>
      </c>
      <c r="Y33" s="18" t="n">
        <v>0.6</v>
      </c>
      <c r="Z33" s="34">
        <f>SUM(V33:Y33)</f>
        <v/>
      </c>
      <c r="AA33" s="18" t="n">
        <v>0.57</v>
      </c>
      <c r="AB33" s="19" t="n">
        <v>0.6899999999999999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135.39</v>
      </c>
      <c r="F34" s="34" t="n"/>
      <c r="G34" s="18" t="n">
        <v>132.95</v>
      </c>
      <c r="H34" s="18" t="n">
        <v>136.75</v>
      </c>
      <c r="I34" s="18" t="n">
        <v>118.01</v>
      </c>
      <c r="J34" s="18" t="n">
        <v>156</v>
      </c>
      <c r="K34" s="34">
        <f>SUM(G34:J34)</f>
        <v/>
      </c>
      <c r="L34" s="18" t="n">
        <v>124.48</v>
      </c>
      <c r="M34" s="18" t="n">
        <v>114.73</v>
      </c>
      <c r="N34" s="18" t="n">
        <v>136.82</v>
      </c>
      <c r="O34" s="18" t="n">
        <v>162.08</v>
      </c>
      <c r="P34" s="34">
        <f>SUM(L34:O34)</f>
        <v/>
      </c>
      <c r="Q34" s="18" t="n">
        <v>116.71</v>
      </c>
      <c r="R34" s="18" t="n">
        <v>118.63</v>
      </c>
      <c r="S34" s="18" t="n">
        <v>99.5</v>
      </c>
      <c r="T34" s="18" t="n">
        <v>138</v>
      </c>
      <c r="U34" s="34">
        <f>SUM(Q34:T34)</f>
        <v/>
      </c>
      <c r="V34" s="18" t="n">
        <v>94.23999999999999</v>
      </c>
      <c r="W34" s="18" t="n">
        <v>116.73</v>
      </c>
      <c r="X34" s="18" t="n">
        <v>97.77</v>
      </c>
      <c r="Y34" s="18" t="n">
        <v>89.98999999999999</v>
      </c>
      <c r="Z34" s="34">
        <f>SUM(V34:Y34)</f>
        <v/>
      </c>
      <c r="AA34" s="18" t="n">
        <v>88.26000000000001</v>
      </c>
      <c r="AB34" s="19" t="n">
        <v>110.76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-4.19</v>
      </c>
      <c r="F35" s="34" t="n"/>
      <c r="G35" s="18" t="n">
        <v>-6.84</v>
      </c>
      <c r="H35" s="18" t="n">
        <v>0.66</v>
      </c>
      <c r="I35" s="18" t="n">
        <v>-1.2</v>
      </c>
      <c r="J35" s="18" t="n">
        <v>2.2</v>
      </c>
      <c r="K35" s="34">
        <f>SUM(G35:J35)</f>
        <v/>
      </c>
      <c r="L35" s="18" t="n">
        <v>2.58</v>
      </c>
      <c r="M35" s="18" t="n">
        <v>5.7</v>
      </c>
      <c r="N35" s="18" t="n">
        <v>9.199999999999999</v>
      </c>
      <c r="O35" s="18" t="n">
        <v>6.7</v>
      </c>
      <c r="P35" s="34">
        <f>SUM(L35:O35)</f>
        <v/>
      </c>
      <c r="Q35" s="18" t="n">
        <v>0.62</v>
      </c>
      <c r="R35" s="18" t="n">
        <v>3.2</v>
      </c>
      <c r="S35" s="18" t="n">
        <v>-3.15</v>
      </c>
      <c r="T35" s="18" t="n">
        <v>10.08</v>
      </c>
      <c r="U35" s="34">
        <f>SUM(Q35:T35)</f>
        <v/>
      </c>
      <c r="V35" s="18" t="n">
        <v>0.74</v>
      </c>
      <c r="W35" s="18" t="n">
        <v>3.54</v>
      </c>
      <c r="X35" s="18" t="n">
        <v>-3.27</v>
      </c>
      <c r="Y35" s="18" t="n">
        <v>-2.78</v>
      </c>
      <c r="Z35" s="34">
        <f>SUM(V35:Y35)</f>
        <v/>
      </c>
      <c r="AA35" s="18" t="n">
        <v>0.59</v>
      </c>
      <c r="AB35" s="19" t="n">
        <v>1.53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126.79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0.007</v>
      </c>
    </row>
    <row r="34">
      <c r="C34" s="2" t="inlineStr">
        <is>
          <t>fair_pbr</t>
        </is>
      </c>
      <c r="D34" t="n">
        <v>0.08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