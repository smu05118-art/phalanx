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모델값 역산(implied): v / 매출액
매출액 × 판관비율 12.67%(최근 4분기 중위)</t>
      </text>
    </comment>
    <comment ref="AD22" authorId="0" shapeId="0">
      <text>
        <t>모델값 역산(implied): v / 매출액
매출액 × 판관비율 12.67%(최근 4분기 중위)</t>
      </text>
    </comment>
    <comment ref="AF22" authorId="0" shapeId="0">
      <text>
        <t>모델값 역산(implied): v / 매출액
매출액 × 판관비율 12.67%(최근 4분기 중위)</t>
      </text>
    </comment>
    <comment ref="AG22" authorId="0" shapeId="0">
      <text>
        <t>모델값 역산(implied): v / 매출액
매출액 × 판관비율 12.67%(최근 4분기 중위)</t>
      </text>
    </comment>
    <comment ref="AH22" authorId="0" shapeId="0">
      <text>
        <t>모델값 역산(implied): v / 매출액
매출액 × 판관비율 12.67%(최근 4분기 중위)</t>
      </text>
    </comment>
    <comment ref="AI22" authorId="0" shapeId="0">
      <text>
        <t>모델값 역산(implied): v / 매출액
매출액 × 판관비율 12.67%(최근 4분기 중위)</t>
      </text>
    </comment>
    <comment ref="AK22" authorId="0" shapeId="0">
      <text>
        <t>모델값 역산(implied): v / 매출액
매출액 × 판관비율 12.67%(최근 4분기 중위)</t>
      </text>
    </comment>
    <comment ref="AL22" authorId="0" shapeId="0">
      <text>
        <t>모델값 역산(implied): v / 매출액
매출액 × 판관비율 12.67%(최근 4분기 중위)</t>
      </text>
    </comment>
    <comment ref="AM22" authorId="0" shapeId="0">
      <text>
        <t>모델값 역산(implied): v / 매출액
매출액 × 판관비율 12.67%(최근 4분기 중위)</t>
      </text>
    </comment>
    <comment ref="AN22" authorId="0" shapeId="0">
      <text>
        <t>모델값 역산(implied): v / 매출액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v / 전년동기 − 1
최근 8분기 OPM 중위 0.6% 유지(클립 −20~40%)</t>
      </text>
    </comment>
    <comment ref="AD24" authorId="0" shapeId="0">
      <text>
        <t>모델값 역산(implied): v / 전년동기 − 1
최근 8분기 OPM 중위 0.6% 유지(클립 −20~40%)</t>
      </text>
    </comment>
    <comment ref="AF24" authorId="0" shapeId="0">
      <text>
        <t>모델값 역산(implied): v / 전년동기 − 1
최근 8분기 OPM 중위 0.6% 유지(클립 −20~40%)</t>
      </text>
    </comment>
    <comment ref="AG24" authorId="0" shapeId="0">
      <text>
        <t>모델값 역산(implied): v / 전년동기 − 1
최근 8분기 OPM 중위 0.6% 유지(클립 −20~40%)</t>
      </text>
    </comment>
    <comment ref="AH24" authorId="0" shapeId="0">
      <text>
        <t>모델값 역산(implied): v / 전년동기 − 1
최근 8분기 OPM 중위 0.6% 유지(클립 −20~40%)</t>
      </text>
    </comment>
    <comment ref="AI24" authorId="0" shapeId="0">
      <text>
        <t>모델값 역산(implied): v / 전년동기 − 1
최근 8분기 OPM 중위 0.6% 유지(클립 −20~40%)</t>
      </text>
    </comment>
    <comment ref="AK24" authorId="0" shapeId="0">
      <text>
        <t>모델값 역산(implied): v / 전년동기 − 1
최근 8분기 OPM 중위 0.6% 유지(클립 −20~40%)</t>
      </text>
    </comment>
    <comment ref="AL24" authorId="0" shapeId="0">
      <text>
        <t>모델값 역산(implied): v / 전년동기 − 1
최근 8분기 OPM 중위 0.6% 유지(클립 −20~40%)</t>
      </text>
    </comment>
    <comment ref="AM24" authorId="0" shapeId="0">
      <text>
        <t>모델값 역산(implied): v / 전년동기 − 1
최근 8분기 OPM 중위 0.6% 유지(클립 −20~40%)</t>
      </text>
    </comment>
    <comment ref="AN24" authorId="0" shapeId="0">
      <text>
        <t>모델값 역산(implied): v / 전년동기 − 1
최근 8분기 OPM 중위 0.6% 유지(클립 −20~40%)</t>
      </text>
    </comment>
    <comment ref="AC25" authorId="0" shapeId="0">
      <text>
        <t>모델값 역산(implied): 모델 v 그대로
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</t>
      </text>
    </comment>
    <comment ref="AC26" authorId="0" shapeId="0">
      <text>
        <t>모델값 역산(implied): 모델 v 그대로
이자발생자산 168억 × 1.71%(주석 이자수익 ÷ 평균 이자발생자산(2025Q3~2026Q2)) − 총차입금 408억 × 3.53%(주석 이자비용 ÷ 평균 총차입금(2025Q3~2026Q2)) (연율) ÷ 4</t>
      </text>
    </comment>
    <comment ref="AD26" authorId="0" shapeId="0">
      <text>
        <t>모델값 역산(implied): 모델 v 그대로
이자발생자산 164억 × 1.71%(주석 이자수익 ÷ 평균 이자발생자산(2025Q3~2026Q2)) − 총차입금 408억 × 3.53%(주석 이자비용 ÷ 평균 총차입금(2025Q3~2026Q2)) (연율) ÷ 4</t>
      </text>
    </comment>
    <comment ref="AF26" authorId="0" shapeId="0">
      <text>
        <t>모델값 역산(implied): 모델 v 그대로
이자발생자산 159억 × 1.71%(주석 이자수익 ÷ 평균 이자발생자산(2025Q3~2026Q2)) − 총차입금 408억 × 3.53%(주석 이자비용 ÷ 평균 총차입금(2025Q3~2026Q2)) (연율) ÷ 4</t>
      </text>
    </comment>
    <comment ref="AG26" authorId="0" shapeId="0">
      <text>
        <t>모델값 역산(implied): 모델 v 그대로
이자발생자산 153억 × 1.71%(주석 이자수익 ÷ 평균 이자발생자산(2025Q3~2026Q2)) − 총차입금 408억 × 3.53%(주석 이자비용 ÷ 평균 총차입금(2025Q3~2026Q2)) (연율) ÷ 4</t>
      </text>
    </comment>
    <comment ref="AH26" authorId="0" shapeId="0">
      <text>
        <t>모델값 역산(implied): 모델 v 그대로
이자발생자산 148억 × 1.71%(주석 이자수익 ÷ 평균 이자발생자산(2025Q3~2026Q2)) − 총차입금 408억 × 3.53%(주석 이자비용 ÷ 평균 총차입금(2025Q3~2026Q2)) (연율) ÷ 4</t>
      </text>
    </comment>
    <comment ref="AI26" authorId="0" shapeId="0">
      <text>
        <t>모델값 역산(implied): 모델 v 그대로
이자발생자산 144억 × 1.71%(주석 이자수익 ÷ 평균 이자발생자산(2025Q3~2026Q2)) − 총차입금 408억 × 3.53%(주석 이자비용 ÷ 평균 총차입금(2025Q3~2026Q2)) (연율) ÷ 4</t>
      </text>
    </comment>
    <comment ref="AK26" authorId="0" shapeId="0">
      <text>
        <t>모델값 역산(implied): 모델 v 그대로
이자발생자산 139억 × 1.71%(주석 이자수익 ÷ 평균 이자발생자산(2025Q3~2026Q2)) − 총차입금 408억 × 3.53%(주석 이자비용 ÷ 평균 총차입금(2025Q3~2026Q2)) (연율) ÷ 4</t>
      </text>
    </comment>
    <comment ref="AL26" authorId="0" shapeId="0">
      <text>
        <t>모델값 역산(implied): 모델 v 그대로
이자발생자산 133억 × 1.71%(주석 이자수익 ÷ 평균 이자발생자산(2025Q3~2026Q2)) − 총차입금 408억 × 3.53%(주석 이자비용 ÷ 평균 총차입금(2025Q3~2026Q2)) (연율) ÷ 4</t>
      </text>
    </comment>
    <comment ref="AM26" authorId="0" shapeId="0">
      <text>
        <t>모델값 역산(implied): 모델 v 그대로
이자발생자산 128억 × 1.71%(주석 이자수익 ÷ 평균 이자발생자산(2025Q3~2026Q2)) − 총차입금 408억 × 3.53%(주석 이자비용 ÷ 평균 총차입금(2025Q3~2026Q2)) (연율) ÷ 4</t>
      </text>
    </comment>
    <comment ref="AN26" authorId="0" shapeId="0">
      <text>
        <t>모델값 역산(implied): 모델 v 그대로
이자발생자산 124억 × 1.71%(주석 이자수익 ÷ 평균 이자발생자산(2025Q3~2026Q2)) − 총차입금 408억 × 3.53%(주석 이자비용 ÷ 평균 총차입금(2025Q3~2026Q2)) (연율) ÷ 4</t>
      </text>
    </comment>
    <comment ref="AC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D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F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G27" authorId="0" shapeId="0">
      <text>
        <t>모델값 역산(implied): v / 전년동기 − 1
외환차손익·외화환산손익 0 가정 — 추정 구간 환율 효과는 조선사 환관련손익 행(공시 노출 × Δ기말환율)에만 둔다(이중 계상 방지)</t>
      </text>
    </comment>
    <comment ref="AC28" authorId="0" shapeId="0">
      <text>
        <t>모델값 역산(implied): 모델 v 그대로
파생상품 평가·거래손익 0 가정</t>
      </text>
    </comment>
    <comment ref="AD28" authorId="0" shapeId="0">
      <text>
        <t>모델값 역산(implied): 모델 v 그대로
파생상품 평가·거래손익 0 가정</t>
      </text>
    </comment>
    <comment ref="AF28" authorId="0" shapeId="0">
      <text>
        <t>모델값 역산(implied): 모델 v 그대로
파생상품 평가·거래손익 0 가정</t>
      </text>
    </comment>
    <comment ref="AG28" authorId="0" shapeId="0">
      <text>
        <t>모델값 역산(implied): 모델 v 그대로
파생상품 평가·거래손익 0 가정</t>
      </text>
    </comment>
    <comment ref="AH28" authorId="0" shapeId="0">
      <text>
        <t>모델값 역산(implied): 모델 v 그대로
파생상품 평가·거래손익 0 가정</t>
      </text>
    </comment>
    <comment ref="AI28" authorId="0" shapeId="0">
      <text>
        <t>모델값 역산(implied): 모델 v 그대로
파생상품 평가·거래손익 0 가정</t>
      </text>
    </comment>
    <comment ref="AK28" authorId="0" shapeId="0">
      <text>
        <t>모델값 역산(implied): 모델 v 그대로
파생상품 평가·거래손익 0 가정</t>
      </text>
    </comment>
    <comment ref="AL28" authorId="0" shapeId="0">
      <text>
        <t>모델값 역산(implied): 모델 v 그대로
파생상품 평가·거래손익 0 가정</t>
      </text>
    </comment>
    <comment ref="AM28" authorId="0" shapeId="0">
      <text>
        <t>모델값 역산(implied): 모델 v 그대로
파생상품 평가·거래손익 0 가정</t>
      </text>
    </comment>
    <comment ref="AN28" authorId="0" shapeId="0">
      <text>
        <t>모델값 역산(implied): 모델 v 그대로
파생상품 평가·거래손익 0 가정</t>
      </text>
    </comment>
    <comment ref="AC30" authorId="0" shapeId="0">
      <text>
        <t>모델값 역산(implied): 모델 v 그대로
일회성 미가정 → 0</t>
      </text>
    </comment>
    <comment ref="AD30" authorId="0" shapeId="0">
      <text>
        <t>모델값 역산(implied): 모델 v 그대로
일회성 미가정 → 0</t>
      </text>
    </comment>
    <comment ref="AF30" authorId="0" shapeId="0">
      <text>
        <t>모델값 역산(implied): 모델 v 그대로
일회성 미가정 → 0</t>
      </text>
    </comment>
    <comment ref="AG30" authorId="0" shapeId="0">
      <text>
        <t>모델값 역산(implied): 모델 v 그대로
일회성 미가정 → 0</t>
      </text>
    </comment>
    <comment ref="AH30" authorId="0" shapeId="0">
      <text>
        <t>모델값 역산(implied): 모델 v 그대로
일회성 미가정 → 0</t>
      </text>
    </comment>
    <comment ref="AI30" authorId="0" shapeId="0">
      <text>
        <t>모델값 역산(implied): 모델 v 그대로
일회성 미가정 → 0</t>
      </text>
    </comment>
    <comment ref="AK30" authorId="0" shapeId="0">
      <text>
        <t>모델값 역산(implied): 모델 v 그대로
일회성 미가정 → 0</t>
      </text>
    </comment>
    <comment ref="AL30" authorId="0" shapeId="0">
      <text>
        <t>모델값 역산(implied): 모델 v 그대로
일회성 미가정 → 0</t>
      </text>
    </comment>
    <comment ref="AM30" authorId="0" shapeId="0">
      <text>
        <t>모델값 역산(implied): 모델 v 그대로
일회성 미가정 → 0</t>
      </text>
    </comment>
    <comment ref="AN30" authorId="0" shapeId="0">
      <text>
        <t>모델값 역산(implied): 모델 v 그대로
일회성 미가정 → 0</t>
      </text>
    </comment>
    <comment ref="AC31" authorId="0" shapeId="0">
      <text>
        <t>모델값 역산(implied): 모델 v 그대로
최근 4분기 중위</t>
      </text>
    </comment>
    <comment ref="AD31" authorId="0" shapeId="0">
      <text>
        <t>모델값 역산(implied): 모델 v 그대로
최근 4분기 중위</t>
      </text>
    </comment>
    <comment ref="AF31" authorId="0" shapeId="0">
      <text>
        <t>모델값 역산(implied): 모델 v 그대로
최근 4분기 중위</t>
      </text>
    </comment>
    <comment ref="AG31" authorId="0" shapeId="0">
      <text>
        <t>모델값 역산(implied): 모델 v 그대로
최근 4분기 중위</t>
      </text>
    </comment>
    <comment ref="AH31" authorId="0" shapeId="0">
      <text>
        <t>모델값 역산(implied): 모델 v 그대로
최근 4분기 중위</t>
      </text>
    </comment>
    <comment ref="AI31" authorId="0" shapeId="0">
      <text>
        <t>모델값 역산(implied): 모델 v 그대로
최근 4분기 중위</t>
      </text>
    </comment>
    <comment ref="AK31" authorId="0" shapeId="0">
      <text>
        <t>모델값 역산(implied): 모델 v 그대로
최근 4분기 중위</t>
      </text>
    </comment>
    <comment ref="AL31" authorId="0" shapeId="0">
      <text>
        <t>모델값 역산(implied): 모델 v 그대로
최근 4분기 중위</t>
      </text>
    </comment>
    <comment ref="AM31" authorId="0" shapeId="0">
      <text>
        <t>모델값 역산(implied): 모델 v 그대로
최근 4분기 중위</t>
      </text>
    </comment>
    <comment ref="AN31" authorId="0" shapeId="0">
      <text>
        <t>모델값 역산(implied): 모델 v 그대로
최근 4분기 중위</t>
      </text>
    </comment>
    <comment ref="AC32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32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32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32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32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32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32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32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32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32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3" authorId="0" shapeId="0">
      <text>
        <t>모델값 역산(implied): v / 당기순이익
당기순이익 × (1 − 비지배 비중 0.0%, 최근 8분기 실측)</t>
      </text>
    </comment>
    <comment ref="AD33" authorId="0" shapeId="0">
      <text>
        <t>모델값 역산(implied): v / 당기순이익
당기순이익 × (1 − 비지배 비중 0.0%, 최근 8분기 실측)</t>
      </text>
    </comment>
    <comment ref="AF33" authorId="0" shapeId="0">
      <text>
        <t>모델값 역산(implied): v / 당기순이익
당기순이익 × (1 − 비지배 비중 0.0%, 최근 8분기 실측)</t>
      </text>
    </comment>
    <comment ref="AG33" authorId="0" shapeId="0">
      <text>
        <t>모델값 역산(implied): v / 당기순이익
당기순이익 × (1 − 비지배 비중 0.0%, 최근 8분기 실측)</t>
      </text>
    </comment>
    <comment ref="AH33" authorId="0" shapeId="0">
      <text>
        <t>모델값 역산(implied): v / 당기순이익
당기순이익 × (1 − 비지배 비중 0.0%, 최근 8분기 실측)</t>
      </text>
    </comment>
    <comment ref="AI33" authorId="0" shapeId="0">
      <text>
        <t>모델값 역산(implied): v / 당기순이익
당기순이익 × (1 − 비지배 비중 0.0%, 최근 8분기 실측)</t>
      </text>
    </comment>
    <comment ref="AK33" authorId="0" shapeId="0">
      <text>
        <t>모델값 역산(implied): v / 당기순이익
당기순이익 × (1 − 비지배 비중 0.0%, 최근 8분기 실측)</t>
      </text>
    </comment>
    <comment ref="AL33" authorId="0" shapeId="0">
      <text>
        <t>모델값 역산(implied): v / 당기순이익
당기순이익 × (1 − 비지배 비중 0.0%, 최근 8분기 실측)</t>
      </text>
    </comment>
    <comment ref="AM33" authorId="0" shapeId="0">
      <text>
        <t>모델값 역산(implied): v / 당기순이익
당기순이익 × (1 − 비지배 비중 0.0%, 최근 8분기 실측)</t>
      </text>
    </comment>
    <comment ref="AN33" authorId="0" shapeId="0">
      <text>
        <t>모델값 역산(implied): v / 당기순이익
당기순이익 × (1 − 비지배 비중 0.0%, 최근 8분기 실측)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전분기 + 당기순이익 − v
전분기 + 당기순이익 − 배당(Q2 지급 가정)</t>
      </text>
    </comment>
    <comment ref="AD35" authorId="0" shapeId="0">
      <text>
        <t>모델값 역산(implied): 전분기 + 당기순이익 − v
전분기 + 당기순이익 − 배당(Q2 지급 가정)</t>
      </text>
    </comment>
    <comment ref="AF35" authorId="0" shapeId="0">
      <text>
        <t>모델값 역산(implied): 전분기 + 당기순이익 − v
전분기 + 당기순이익 − 배당(Q2 지급 가정)</t>
      </text>
    </comment>
    <comment ref="AG35" authorId="0" shapeId="0">
      <text>
        <t>모델값 역산(implied): 전분기 + 당기순이익 − v
전분기 + 당기순이익 − 배당(Q2 지급 가정)</t>
      </text>
    </comment>
    <comment ref="AH35" authorId="0" shapeId="0">
      <text>
        <t>모델값 역산(implied): 전분기 + 당기순이익 − v
전분기 + 당기순이익 − 배당(Q2 지급 가정)</t>
      </text>
    </comment>
    <comment ref="AI35" authorId="0" shapeId="0">
      <text>
        <t>모델값 역산(implied): 전분기 + 당기순이익 − v
전분기 + 당기순이익 − 배당(Q2 지급 가정)</t>
      </text>
    </comment>
    <comment ref="AK35" authorId="0" shapeId="0">
      <text>
        <t>모델값 역산(implied): 전분기 + 당기순이익 − v
전분기 + 당기순이익 − 배당(Q2 지급 가정)</t>
      </text>
    </comment>
    <comment ref="AL35" authorId="0" shapeId="0">
      <text>
        <t>모델값 역산(implied): 전분기 + 당기순이익 − v
전분기 + 당기순이익 − 배당(Q2 지급 가정)</t>
      </text>
    </comment>
    <comment ref="AM35" authorId="0" shapeId="0">
      <text>
        <t>모델값 역산(implied): 전분기 + 당기순이익 − v
전분기 + 당기순이익 − 배당(Q2 지급 가정)</t>
      </text>
    </comment>
    <comment ref="AN35" authorId="0" shapeId="0">
      <text>
        <t>모델값 역산(implied): 전분기 + 당기순이익 − v
전분기 + 당기순이익 − 배당(Q2 지급 가정)</t>
      </text>
    </comment>
    <comment ref="AC36" authorId="0" shapeId="0">
      <text>
        <t>모델값 역산(implied): 전분기 + 지배주주순이익 − v
전분기 + 지배주주순이익 − 배당</t>
      </text>
    </comment>
    <comment ref="AD36" authorId="0" shapeId="0">
      <text>
        <t>모델값 역산(implied): 전분기 + 지배주주순이익 − v
전분기 + 지배주주순이익 − 배당</t>
      </text>
    </comment>
    <comment ref="AF36" authorId="0" shapeId="0">
      <text>
        <t>모델값 역산(implied): 전분기 + 지배주주순이익 − v
전분기 + 지배주주순이익 − 배당</t>
      </text>
    </comment>
    <comment ref="AG36" authorId="0" shapeId="0">
      <text>
        <t>모델값 역산(implied): 전분기 + 지배주주순이익 − v
전분기 + 지배주주순이익 − 배당</t>
      </text>
    </comment>
    <comment ref="AH36" authorId="0" shapeId="0">
      <text>
        <t>모델값 역산(implied): 전분기 + 지배주주순이익 − v
전분기 + 지배주주순이익 − 배당</t>
      </text>
    </comment>
    <comment ref="AI36" authorId="0" shapeId="0">
      <text>
        <t>모델값 역산(implied): 전분기 + 지배주주순이익 − v
전분기 + 지배주주순이익 − 배당</t>
      </text>
    </comment>
    <comment ref="AK36" authorId="0" shapeId="0">
      <text>
        <t>모델값 역산(implied): 전분기 + 지배주주순이익 − v
전분기 + 지배주주순이익 − 배당</t>
      </text>
    </comment>
    <comment ref="AL36" authorId="0" shapeId="0">
      <text>
        <t>모델값 역산(implied): 전분기 + 지배주주순이익 − v
전분기 + 지배주주순이익 − 배당</t>
      </text>
    </comment>
    <comment ref="AM36" authorId="0" shapeId="0">
      <text>
        <t>모델값 역산(implied): 전분기 + 지배주주순이익 − v
전분기 + 지배주주순이익 − 배당</t>
      </text>
    </comment>
    <comment ref="AN36" authorId="0" shapeId="0">
      <text>
        <t>모델값 역산(implied): 전분기 + 지배주주순이익 − v
전분기 + 지배주주순이익 − 배당</t>
      </text>
    </comment>
    <comment ref="AC37" authorId="0" shapeId="0">
      <text>
        <t>모델값 역산(implied): v / 전분기 − 1
마지막 실적 유지(가정)</t>
      </text>
    </comment>
    <comment ref="AD37" authorId="0" shapeId="0">
      <text>
        <t>모델값 역산(implied): v / 전분기 − 1
마지막 실적 유지(가정)</t>
      </text>
    </comment>
    <comment ref="AF37" authorId="0" shapeId="0">
      <text>
        <t>모델값 역산(implied): v / 전분기 − 1
마지막 실적 유지(가정)</t>
      </text>
    </comment>
    <comment ref="AG37" authorId="0" shapeId="0">
      <text>
        <t>모델값 역산(implied): v / 전분기 − 1
마지막 실적 유지(가정)</t>
      </text>
    </comment>
    <comment ref="AH37" authorId="0" shapeId="0">
      <text>
        <t>모델값 역산(implied): v / 전분기 − 1
마지막 실적 유지(가정)</t>
      </text>
    </comment>
    <comment ref="AI37" authorId="0" shapeId="0">
      <text>
        <t>모델값 역산(implied): v / 전분기 − 1
마지막 실적 유지(가정)</t>
      </text>
    </comment>
    <comment ref="AK37" authorId="0" shapeId="0">
      <text>
        <t>모델값 역산(implied): v / 전분기 − 1
마지막 실적 유지(가정)</t>
      </text>
    </comment>
    <comment ref="AL37" authorId="0" shapeId="0">
      <text>
        <t>모델값 역산(implied): v / 전분기 − 1
마지막 실적 유지(가정)</t>
      </text>
    </comment>
    <comment ref="AM37" authorId="0" shapeId="0">
      <text>
        <t>모델값 역산(implied): v / 전분기 − 1
마지막 실적 유지(가정)</t>
      </text>
    </comment>
    <comment ref="AN37" authorId="0" shapeId="0">
      <text>
        <t>모델값 역산(implied): v / 전분기 − 1
마지막 실적 유지(가정)</t>
      </text>
    </comment>
    <comment ref="AC38" authorId="0" shapeId="0">
      <text>
        <t>모델값 역산(implied): v / 전분기 − 1
전분기 − (순이익 − 배당): 순이익 = 순현금 증가 가정(CAPEX≈감가, 운전자본 불변)</t>
      </text>
    </comment>
    <comment ref="AD38" authorId="0" shapeId="0">
      <text>
        <t>모델값 역산(implied): v / 전분기 − 1
전분기 − (순이익 − 배당): 순이익 = 순현금 증가 가정(CAPEX≈감가, 운전자본 불변)</t>
      </text>
    </comment>
    <comment ref="AF38" authorId="0" shapeId="0">
      <text>
        <t>모델값 역산(implied): v / 전분기 − 1
전분기 − (순이익 − 배당): 순이익 = 순현금 증가 가정(CAPEX≈감가, 운전자본 불변)</t>
      </text>
    </comment>
    <comment ref="AG38" authorId="0" shapeId="0">
      <text>
        <t>모델값 역산(implied): v / 전분기 − 1
전분기 − (순이익 − 배당): 순이익 = 순현금 증가 가정(CAPEX≈감가, 운전자본 불변)</t>
      </text>
    </comment>
    <comment ref="AH38" authorId="0" shapeId="0">
      <text>
        <t>모델값 역산(implied): v / 전분기 − 1
전분기 − (순이익 − 배당): 순이익 = 순현금 증가 가정(CAPEX≈감가, 운전자본 불변)</t>
      </text>
    </comment>
    <comment ref="AI38" authorId="0" shapeId="0">
      <text>
        <t>모델값 역산(implied): v / 전분기 − 1
전분기 − (순이익 − 배당): 순이익 = 순현금 증가 가정(CAPEX≈감가, 운전자본 불변)</t>
      </text>
    </comment>
    <comment ref="AK38" authorId="0" shapeId="0">
      <text>
        <t>모델값 역산(implied): v / 전분기 − 1
전분기 − (순이익 − 배당): 순이익 = 순현금 증가 가정(CAPEX≈감가, 운전자본 불변)</t>
      </text>
    </comment>
    <comment ref="AL38" authorId="0" shapeId="0">
      <text>
        <t>모델값 역산(implied): v / 전분기 − 1
전분기 − (순이익 − 배당): 순이익 = 순현금 증가 가정(CAPEX≈감가, 운전자본 불변)</t>
      </text>
    </comment>
    <comment ref="AM38" authorId="0" shapeId="0">
      <text>
        <t>모델값 역산(implied): v / 전분기 − 1
전분기 − (순이익 − 배당): 순이익 = 순현금 증가 가정(CAPEX≈감가, 운전자본 불변)</t>
      </text>
    </comment>
    <comment ref="AN38" authorId="0" shapeId="0">
      <text>
        <t>모델값 역산(implied): v / 전분기 − 1
전분기 − (순이익 − 배당): 순이익 = 순현금 증가 가정(CAPEX≈감가, 운전자본 불변)</t>
      </text>
    </comment>
    <comment ref="AC39" authorId="0" shapeId="0">
      <text>
        <t>모델값 역산(implied): v / 전분기 − 1
전분기 + (순이익 − 배당) — 순차입금 롤과 같은 가정</t>
      </text>
    </comment>
    <comment ref="AD39" authorId="0" shapeId="0">
      <text>
        <t>모델값 역산(implied): v / 전분기 − 1
전분기 + (순이익 − 배당) — 순차입금 롤과 같은 가정</t>
      </text>
    </comment>
    <comment ref="AF39" authorId="0" shapeId="0">
      <text>
        <t>모델값 역산(implied): v / 전분기 − 1
전분기 + (순이익 − 배당) — 순차입금 롤과 같은 가정</t>
      </text>
    </comment>
    <comment ref="AG39" authorId="0" shapeId="0">
      <text>
        <t>모델값 역산(implied): v / 전분기 − 1
전분기 + (순이익 − 배당) — 순차입금 롤과 같은 가정</t>
      </text>
    </comment>
    <comment ref="AH39" authorId="0" shapeId="0">
      <text>
        <t>모델값 역산(implied): v / 전분기 − 1
전분기 + (순이익 − 배당) — 순차입금 롤과 같은 가정</t>
      </text>
    </comment>
    <comment ref="AI39" authorId="0" shapeId="0">
      <text>
        <t>모델값 역산(implied): v / 전분기 − 1
전분기 + (순이익 − 배당) — 순차입금 롤과 같은 가정</t>
      </text>
    </comment>
    <comment ref="AK39" authorId="0" shapeId="0">
      <text>
        <t>모델값 역산(implied): v / 전분기 − 1
전분기 + (순이익 − 배당) — 순차입금 롤과 같은 가정</t>
      </text>
    </comment>
    <comment ref="AL39" authorId="0" shapeId="0">
      <text>
        <t>모델값 역산(implied): v / 전분기 − 1
전분기 + (순이익 − 배당) — 순차입금 롤과 같은 가정</t>
      </text>
    </comment>
    <comment ref="AM39" authorId="0" shapeId="0">
      <text>
        <t>모델값 역산(implied): v / 전분기 − 1
전분기 + (순이익 − 배당) — 순차입금 롤과 같은 가정</t>
      </text>
    </comment>
    <comment ref="AN39" authorId="0" shapeId="0">
      <text>
        <t>모델값 역산(implied): v / 전분기 − 1
전분기 + (순이익 − 배당) — 순차입금 롤과 같은 가정</t>
      </text>
    </comment>
    <comment ref="AC43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전분기 − 1
유통주식수 유지 — fin.shares.common_outstanding(2026Q2)</t>
      </text>
    </comment>
    <comment ref="AF43" authorId="0" shapeId="0">
      <text>
        <t>모델값 역산(implied): v / 전분기 − 1
유통주식수 유지 — fin.shares.common_outstanding(2026Q2)</t>
      </text>
    </comment>
    <comment ref="AG43" authorId="0" shapeId="0">
      <text>
        <t>모델값 역산(implied): v / 전분기 − 1
유통주식수 유지 — fin.shares.common_outstanding(2026Q2)</t>
      </text>
    </comment>
    <comment ref="AH43" authorId="0" shapeId="0">
      <text>
        <t>모델값 역산(implied): v / 전분기 − 1
유통주식수 유지 — fin.shares.common_outstanding(2026Q2)</t>
      </text>
    </comment>
    <comment ref="AI43" authorId="0" shapeId="0">
      <text>
        <t>모델값 역산(implied): v / 전분기 − 1
유통주식수 유지 — fin.shares.common_outstanding(2026Q2)</t>
      </text>
    </comment>
    <comment ref="AK43" authorId="0" shapeId="0">
      <text>
        <t>모델값 역산(implied): v / 전분기 − 1
유통주식수 유지 — fin.shares.common_outstanding(2026Q2)</t>
      </text>
    </comment>
    <comment ref="AL43" authorId="0" shapeId="0">
      <text>
        <t>모델값 역산(implied): v / 전분기 − 1
유통주식수 유지 — fin.shares.common_outstanding(2026Q2)</t>
      </text>
    </comment>
    <comment ref="AM43" authorId="0" shapeId="0">
      <text>
        <t>모델값 역산(implied): v / 전분기 − 1
유통주식수 유지 — fin.shares.common_outstanding(2026Q2)</t>
      </text>
    </comment>
    <comment ref="AN43" authorId="0" shapeId="0">
      <text>
        <t>모델값 역산(implied): v / 전분기 − 1
유통주식수 유지 — fin.shares.common_outstanding(2026Q2)</t>
      </text>
    </comment>
    <comment ref="AC46" authorId="0" shapeId="0">
      <text>
        <t>모델값 역산(implied): v / 전년동기 − 1
현재 종가 ÷ BPS(추정 포함)</t>
      </text>
    </comment>
    <comment ref="AD46" authorId="0" shapeId="0">
      <text>
        <t>모델값 역산(implied): v / 전년동기 − 1
현재 종가 ÷ BPS(추정 포함)</t>
      </text>
    </comment>
    <comment ref="AF46" authorId="0" shapeId="0">
      <text>
        <t>모델값 역산(implied): v / 전년동기 − 1
현재 종가 ÷ BPS(추정 포함)</t>
      </text>
    </comment>
    <comment ref="AG46" authorId="0" shapeId="0">
      <text>
        <t>모델값 역산(implied): v / 전년동기 − 1
현재 종가 ÷ BPS(추정 포함)</t>
      </text>
    </comment>
    <comment ref="AH46" authorId="0" shapeId="0">
      <text>
        <t>모델값 역산(implied): v / 전년동기 − 1
현재 종가 ÷ BPS(추정 포함)</t>
      </text>
    </comment>
    <comment ref="AI46" authorId="0" shapeId="0">
      <text>
        <t>모델값 역산(implied): v / 전년동기 − 1
현재 종가 ÷ BPS(추정 포함)</t>
      </text>
    </comment>
    <comment ref="AK46" authorId="0" shapeId="0">
      <text>
        <t>모델값 역산(implied): v / 전년동기 − 1
현재 종가 ÷ BPS(추정 포함)</t>
      </text>
    </comment>
    <comment ref="AL46" authorId="0" shapeId="0">
      <text>
        <t>모델값 역산(implied): v / 전년동기 − 1
현재 종가 ÷ BPS(추정 포함)</t>
      </text>
    </comment>
    <comment ref="AM46" authorId="0" shapeId="0">
      <text>
        <t>모델값 역산(implied): v / 전년동기 − 1
현재 종가 ÷ BPS(추정 포함)</t>
      </text>
    </comment>
    <comment ref="AN46" authorId="0" shapeId="0">
      <text>
        <t>모델값 역산(implied): v / 전년동기 − 1
현재 종가 ÷ BPS(추정 포함)</t>
      </text>
    </comment>
    <comment ref="AC47" authorId="0" shapeId="0">
      <text>
        <t>모델값 역산(implied): v / 매출액
= 매출액 추정(부문 미분리)</t>
      </text>
    </comment>
    <comment ref="AD47" authorId="0" shapeId="0">
      <text>
        <t>모델값 역산(implied): v / 매출액
= 매출액 추정(부문 미분리)</t>
      </text>
    </comment>
    <comment ref="AF47" authorId="0" shapeId="0">
      <text>
        <t>모델값 역산(implied): v / 매출액
= 매출액 추정(부문 미분리)</t>
      </text>
    </comment>
    <comment ref="AG47" authorId="0" shapeId="0">
      <text>
        <t>모델값 역산(implied): v / 매출액
= 매출액 추정(부문 미분리)</t>
      </text>
    </comment>
    <comment ref="AH47" authorId="0" shapeId="0">
      <text>
        <t>모델값 역산(implied): v / 매출액
= 매출액 추정(부문 미분리)</t>
      </text>
    </comment>
    <comment ref="AI47" authorId="0" shapeId="0">
      <text>
        <t>모델값 역산(implied): v / 매출액
= 매출액 추정(부문 미분리)</t>
      </text>
    </comment>
    <comment ref="AK47" authorId="0" shapeId="0">
      <text>
        <t>모델값 역산(implied): v / 매출액
= 매출액 추정(부문 미분리)</t>
      </text>
    </comment>
    <comment ref="AL47" authorId="0" shapeId="0">
      <text>
        <t>모델값 역산(implied): v / 매출액
= 매출액 추정(부문 미분리)</t>
      </text>
    </comment>
    <comment ref="AM47" authorId="0" shapeId="0">
      <text>
        <t>모델값 역산(implied): v / 매출액
= 매출액 추정(부문 미분리)</t>
      </text>
    </comment>
    <comment ref="AN47" authorId="0" shapeId="0">
      <text>
        <t>모델값 역산(implied): v / 매출액
= 매출액 추정(부문 미분리)</t>
      </text>
    </comment>
    <comment ref="AC48" authorId="0" shapeId="0">
      <text>
        <t>모델값 역산(implied): v / 매출전사
= 매출액 × OPM(부문 미분리)</t>
      </text>
    </comment>
    <comment ref="AD48" authorId="0" shapeId="0">
      <text>
        <t>모델값 역산(implied): v / 매출전사
= 매출액 × OPM(부문 미분리)</t>
      </text>
    </comment>
    <comment ref="AF48" authorId="0" shapeId="0">
      <text>
        <t>모델값 역산(implied): v / 매출전사
= 매출액 × OPM(부문 미분리)</t>
      </text>
    </comment>
    <comment ref="AG48" authorId="0" shapeId="0">
      <text>
        <t>모델값 역산(implied): v / 매출전사
= 매출액 × OPM(부문 미분리)</t>
      </text>
    </comment>
    <comment ref="AH48" authorId="0" shapeId="0">
      <text>
        <t>모델값 역산(implied): v / 매출전사
= 매출액 × OPM(부문 미분리)</t>
      </text>
    </comment>
    <comment ref="AI48" authorId="0" shapeId="0">
      <text>
        <t>모델값 역산(implied): v / 매출전사
= 매출액 × OPM(부문 미분리)</t>
      </text>
    </comment>
    <comment ref="AK48" authorId="0" shapeId="0">
      <text>
        <t>모델값 역산(implied): v / 매출전사
= 매출액 × OPM(부문 미분리)</t>
      </text>
    </comment>
    <comment ref="AL48" authorId="0" shapeId="0">
      <text>
        <t>모델값 역산(implied): v / 매출전사
= 매출액 × OPM(부문 미분리)</t>
      </text>
    </comment>
    <comment ref="AM48" authorId="0" shapeId="0">
      <text>
        <t>모델값 역산(implied): v / 매출전사
= 매출액 × OPM(부문 미분리)</t>
      </text>
    </comment>
    <comment ref="AN48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0.6% 유지(클립 −20~40%)
[yoy]</t>
      </text>
    </comment>
    <comment ref="AD10" authorId="0" shapeId="0">
      <text>
        <t>추정: 최근 8분기 OPM 중위 0.6% 유지(클립 −20~40%)
[yoy]</t>
      </text>
    </comment>
    <comment ref="AF10" authorId="0" shapeId="0">
      <text>
        <t>추정: 최근 8분기 OPM 중위 0.6% 유지(클립 −20~40%)
[yoy]</t>
      </text>
    </comment>
    <comment ref="AG10" authorId="0" shapeId="0">
      <text>
        <t>추정: 최근 8분기 OPM 중위 0.6% 유지(클립 −20~40%)
[yoy]</t>
      </text>
    </comment>
    <comment ref="AH10" authorId="0" shapeId="0">
      <text>
        <t>추정: 최근 8분기 OPM 중위 0.6% 유지(클립 −20~40%)
[yoy]</t>
      </text>
    </comment>
    <comment ref="AI10" authorId="0" shapeId="0">
      <text>
        <t>추정: 최근 8분기 OPM 중위 0.6% 유지(클립 −20~40%)
[yoy]</t>
      </text>
    </comment>
    <comment ref="AK10" authorId="0" shapeId="0">
      <text>
        <t>추정: 최근 8분기 OPM 중위 0.6% 유지(클립 −20~40%)
[yoy]</t>
      </text>
    </comment>
    <comment ref="AL10" authorId="0" shapeId="0">
      <text>
        <t>추정: 최근 8분기 OPM 중위 0.6% 유지(클립 −20~40%)
[yoy]</t>
      </text>
    </comment>
    <comment ref="AM10" authorId="0" shapeId="0">
      <text>
        <t>추정: 최근 8분기 OPM 중위 0.6% 유지(클립 −20~40%)
[yoy]</t>
      </text>
    </comment>
    <comment ref="AN10" authorId="0" shapeId="0">
      <text>
        <t>추정: 최근 8분기 OPM 중위 0.6% 유지(클립 −20~40%)
[yoy]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[abs]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[abs]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[abs]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[abs]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[abs]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[abs]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[abs]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[abs]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[abs]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[abs]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[abs]</t>
      </text>
    </comment>
    <comment ref="G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H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I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J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L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M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N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O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Q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R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S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T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V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W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X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Y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A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B13" authorId="0" shapeId="0">
      <text>
        <t>실측(계정 매핑 없음 — 모델값 직접) — fin.cons.is.외환차익 − fin.cons.is.외환차손 + fin.cons.is.외화환산이익 − fin.cons.is.외화환산손실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[yoy]</t>
      </text>
    </comment>
    <comment ref="AH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I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K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L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M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AN13" authorId="0" shapeId="0">
      <text>
        <t>추정(가정 셀 참조 불가 — 기준값 없음, 모델값 직접): 외환차손익·외화환산손익 0 가정 — 추정 구간 환율 효과는 조선사 환관련손익 행(공시 노출 × Δ기말환율)에만 둔다(이중 계상 방지)</t>
      </text>
    </comment>
    <comment ref="J14" authorId="0" shapeId="0">
      <text>
        <t>실측(계정 매핑 없음 — 모델값 직접) — fin.cons.is.파생상품이익 − fin.cons.is.파생상품손실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J15" authorId="0" shapeId="0">
      <text>
        <t>실측(계정 매핑 없음 — 모델값 직접) — fin.cons.is.금융손익 − 이자손익 − 외환손익 − 파생상품손익(잔차)</t>
      </text>
    </comment>
    <comment ref="AC15" authorId="0" shapeId="0">
      <text>
        <t>추정(가정 셀 참조 불가 — 기준값 없음, 모델값 직접): 잔차 실측 1분기 &lt; 4 → 0</t>
      </text>
    </comment>
    <comment ref="AD15" authorId="0" shapeId="0">
      <text>
        <t>추정(가정 셀 참조 불가 — 기준값 없음, 모델값 직접): 잔차 실측 1분기 &lt; 4 → 0</t>
      </text>
    </comment>
    <comment ref="AF15" authorId="0" shapeId="0">
      <text>
        <t>추정(가정 셀 참조 불가 — 기준값 없음, 모델값 직접): 잔차 실측 1분기 &lt; 4 → 0</t>
      </text>
    </comment>
    <comment ref="AG15" authorId="0" shapeId="0">
      <text>
        <t>추정(가정 셀 참조 불가 — 기준값 없음, 모델값 직접): 잔차 실측 1분기 &lt; 4 → 0</t>
      </text>
    </comment>
    <comment ref="AH15" authorId="0" shapeId="0">
      <text>
        <t>추정(가정 셀 참조 불가 — 기준값 없음, 모델값 직접): 잔차 실측 1분기 &lt; 4 → 0</t>
      </text>
    </comment>
    <comment ref="AI15" authorId="0" shapeId="0">
      <text>
        <t>추정(가정 셀 참조 불가 — 기준값 없음, 모델값 직접): 잔차 실측 1분기 &lt; 4 → 0</t>
      </text>
    </comment>
    <comment ref="AK15" authorId="0" shapeId="0">
      <text>
        <t>추정(가정 셀 참조 불가 — 기준값 없음, 모델값 직접): 잔차 실측 1분기 &lt; 4 → 0</t>
      </text>
    </comment>
    <comment ref="AL15" authorId="0" shapeId="0">
      <text>
        <t>추정(가정 셀 참조 불가 — 기준값 없음, 모델값 직접): 잔차 실측 1분기 &lt; 4 → 0</t>
      </text>
    </comment>
    <comment ref="AM15" authorId="0" shapeId="0">
      <text>
        <t>추정(가정 셀 참조 불가 — 기준값 없음, 모델값 직접): 잔차 실측 1분기 &lt; 4 → 0</t>
      </text>
    </comment>
    <comment ref="AN15" authorId="0" shapeId="0">
      <text>
        <t>추정(가정 셀 참조 불가 — 기준값 없음, 모델값 직접): 잔차 실측 1분기 &lt; 4 → 0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(순이익 − 배당): 순이익 = 순현금 증가 가정(CAPEX≈감가, 운전자본 불변)
[qoq]</t>
      </text>
    </comment>
    <comment ref="AD27" authorId="0" shapeId="0">
      <text>
        <t>추정: 전분기 − (순이익 − 배당): 순이익 = 순현금 증가 가정(CAPEX≈감가, 운전자본 불변)
[qoq]</t>
      </text>
    </comment>
    <comment ref="AF27" authorId="0" shapeId="0">
      <text>
        <t>추정: 전분기 − (순이익 − 배당): 순이익 = 순현금 증가 가정(CAPEX≈감가, 운전자본 불변)
[qoq]</t>
      </text>
    </comment>
    <comment ref="AG27" authorId="0" shapeId="0">
      <text>
        <t>추정: 전분기 − (순이익 − 배당): 순이익 = 순현금 증가 가정(CAPEX≈감가, 운전자본 불변)
[qoq]</t>
      </text>
    </comment>
    <comment ref="AH27" authorId="0" shapeId="0">
      <text>
        <t>추정: 전분기 − (순이익 − 배당): 순이익 = 순현금 증가 가정(CAPEX≈감가, 운전자본 불변)
[qoq]</t>
      </text>
    </comment>
    <comment ref="AI27" authorId="0" shapeId="0">
      <text>
        <t>추정: 전분기 − (순이익 − 배당): 순이익 = 순현금 증가 가정(CAPEX≈감가, 운전자본 불변)
[qoq]</t>
      </text>
    </comment>
    <comment ref="AK27" authorId="0" shapeId="0">
      <text>
        <t>추정: 전분기 − (순이익 − 배당): 순이익 = 순현금 증가 가정(CAPEX≈감가, 운전자본 불변)
[qoq]</t>
      </text>
    </comment>
    <comment ref="AL27" authorId="0" shapeId="0">
      <text>
        <t>추정: 전분기 − (순이익 − 배당): 순이익 = 순현금 증가 가정(CAPEX≈감가, 운전자본 불변)
[qoq]</t>
      </text>
    </comment>
    <comment ref="AM27" authorId="0" shapeId="0">
      <text>
        <t>추정: 전분기 − (순이익 − 배당): 순이익 = 순현금 증가 가정(CAPEX≈감가, 운전자본 불변)
[qoq]</t>
      </text>
    </comment>
    <comment ref="AN27" authorId="0" shapeId="0">
      <text>
        <t>추정: 전분기 − (순이익 − 배당): 순이익 = 순현금 증가 가정(CAPEX≈감가, 운전자본 불변)
[qoq]</t>
      </text>
    </comment>
    <comment ref="AC28" authorId="0" shapeId="0">
      <text>
        <t>추정: 전분기 + (순이익 − 배당) — 순차입금 롤과 같은 가정
[qoq]</t>
      </text>
    </comment>
    <comment ref="AD28" authorId="0" shapeId="0">
      <text>
        <t>추정: 전분기 + (순이익 − 배당) — 순차입금 롤과 같은 가정
[qoq]</t>
      </text>
    </comment>
    <comment ref="AF28" authorId="0" shapeId="0">
      <text>
        <t>추정: 전분기 + (순이익 − 배당) — 순차입금 롤과 같은 가정
[qoq]</t>
      </text>
    </comment>
    <comment ref="AG28" authorId="0" shapeId="0">
      <text>
        <t>추정: 전분기 + (순이익 − 배당) — 순차입금 롤과 같은 가정
[qoq]</t>
      </text>
    </comment>
    <comment ref="AH28" authorId="0" shapeId="0">
      <text>
        <t>추정: 전분기 + (순이익 − 배당) — 순차입금 롤과 같은 가정
[qoq]</t>
      </text>
    </comment>
    <comment ref="AI28" authorId="0" shapeId="0">
      <text>
        <t>추정: 전분기 + (순이익 − 배당) — 순차입금 롤과 같은 가정
[qoq]</t>
      </text>
    </comment>
    <comment ref="AK28" authorId="0" shapeId="0">
      <text>
        <t>추정: 전분기 + (순이익 − 배당) — 순차입금 롤과 같은 가정
[qoq]</t>
      </text>
    </comment>
    <comment ref="AL28" authorId="0" shapeId="0">
      <text>
        <t>추정: 전분기 + (순이익 − 배당) — 순차입금 롤과 같은 가정
[qoq]</t>
      </text>
    </comment>
    <comment ref="AM28" authorId="0" shapeId="0">
      <text>
        <t>추정: 전분기 + (순이익 − 배당) — 순차입금 롤과 같은 가정
[qoq]</t>
      </text>
    </comment>
    <comment ref="AN28" authorId="0" shapeId="0">
      <text>
        <t>추정: 전분기 + (순이익 − 배당) — 순차입금 롤과 같은 가정
[qoq]</t>
      </text>
    </comment>
    <comment ref="E31" authorId="0" shapeId="0">
      <text>
        <t>실측(계정 매핑 없음 — 모델값 직접) — fin.cons.cf.영업활동으로인한현금흐름</t>
      </text>
    </comment>
    <comment ref="G31" authorId="0" shapeId="0">
      <text>
        <t>실측(계정 매핑 없음 — 모델값 직접) — fin.cons.cf.영업활동으로인한현금흐름</t>
      </text>
    </comment>
    <comment ref="H31" authorId="0" shapeId="0">
      <text>
        <t>실측(계정 매핑 없음 — 모델값 직접) — fin.cons.cf.영업활동으로인한현금흐름</t>
      </text>
    </comment>
    <comment ref="I31" authorId="0" shapeId="0">
      <text>
        <t>실측(계정 매핑 없음 — 모델값 직접) — fin.cons.cf.영업활동으로인한현금흐름</t>
      </text>
    </comment>
    <comment ref="J31" authorId="0" shapeId="0">
      <text>
        <t>실측(계정 매핑 없음 — 모델값 직접) — fin.cons.cf.영업활동으로인한현금흐름</t>
      </text>
    </comment>
    <comment ref="L31" authorId="0" shapeId="0">
      <text>
        <t>실측(계정 매핑 없음 — 모델값 직접) — fin.cons.cf.영업활동으로인한현금흐름</t>
      </text>
    </comment>
    <comment ref="M31" authorId="0" shapeId="0">
      <text>
        <t>실측(계정 매핑 없음 — 모델값 직접) — fin.cons.cf.영업활동으로인한현금흐름</t>
      </text>
    </comment>
    <comment ref="N31" authorId="0" shapeId="0">
      <text>
        <t>실측(계정 매핑 없음 — 모델값 직접) — fin.cons.cf.영업활동으로인한현금흐름</t>
      </text>
    </comment>
    <comment ref="O31" authorId="0" shapeId="0">
      <text>
        <t>실측(계정 매핑 없음 — 모델값 직접) — fin.cons.cf.영업활동으로인한현금흐름</t>
      </text>
    </comment>
    <comment ref="Q31" authorId="0" shapeId="0">
      <text>
        <t>실측(계정 매핑 없음 — 모델값 직접) — fin.cons.cf.영업활동으로인한현금흐름</t>
      </text>
    </comment>
    <comment ref="R31" authorId="0" shapeId="0">
      <text>
        <t>실측(계정 매핑 없음 — 모델값 직접) — fin.cons.cf.영업활동으로인한현금흐름</t>
      </text>
    </comment>
    <comment ref="S31" authorId="0" shapeId="0">
      <text>
        <t>실측(계정 매핑 없음 — 모델값 직접) — fin.cons.cf.영업활동으로인한현금흐름</t>
      </text>
    </comment>
    <comment ref="T31" authorId="0" shapeId="0">
      <text>
        <t>실측(계정 매핑 없음 — 모델값 직접) — fin.cons.cf.영업활동으로인한현금흐름</t>
      </text>
    </comment>
    <comment ref="V31" authorId="0" shapeId="0">
      <text>
        <t>실측(계정 매핑 없음 — 모델값 직접) — fin.cons.cf.영업활동으로인한현금흐름</t>
      </text>
    </comment>
    <comment ref="W31" authorId="0" shapeId="0">
      <text>
        <t>실측(계정 매핑 없음 — 모델값 직접) — fin.cons.cf.영업활동으로인한현금흐름</t>
      </text>
    </comment>
    <comment ref="X31" authorId="0" shapeId="0">
      <text>
        <t>실측(계정 매핑 없음 — 모델값 직접) — fin.cons.cf.영업활동으로인한현금흐름</t>
      </text>
    </comment>
    <comment ref="Y31" authorId="0" shapeId="0">
      <text>
        <t>실측(계정 매핑 없음 — 모델값 직접) — fin.cons.cf.영업활동으로인한현금흐름</t>
      </text>
    </comment>
    <comment ref="AA31" authorId="0" shapeId="0">
      <text>
        <t>실측(계정 매핑 없음 — 모델값 직접) — fin.cons.cf.영업활동으로인한현금흐름</t>
      </text>
    </comment>
    <comment ref="AB31" authorId="0" shapeId="0">
      <text>
        <t>실측(계정 매핑 없음 — 모델값 직접) — fin.cons.cf.영업활동으로인한현금흐름</t>
      </text>
    </comment>
    <comment ref="E32" authorId="0" shapeId="0">
      <text>
        <t>실측(계정 매핑 없음 — 모델값 직접) — fin.shares.common_outstanding</t>
      </text>
    </comment>
    <comment ref="G32" authorId="0" shapeId="0">
      <text>
        <t>실측(계정 매핑 없음 — 모델값 직접) — fin.shares.common_outstanding</t>
      </text>
    </comment>
    <comment ref="H32" authorId="0" shapeId="0">
      <text>
        <t>실측(계정 매핑 없음 — 모델값 직접) — fin.shares.common_outstanding</t>
      </text>
    </comment>
    <comment ref="I32" authorId="0" shapeId="0">
      <text>
        <t>실측(계정 매핑 없음 — 모델값 직접) — fin.shares.common_outstanding</t>
      </text>
    </comment>
    <comment ref="J32" authorId="0" shapeId="0">
      <text>
        <t>실측(계정 매핑 없음 — 모델값 직접) — fin.shares.common_outstanding</t>
      </text>
    </comment>
    <comment ref="L32" authorId="0" shapeId="0">
      <text>
        <t>실측(계정 매핑 없음 — 모델값 직접) — fin.shares.common_outstanding</t>
      </text>
    </comment>
    <comment ref="M32" authorId="0" shapeId="0">
      <text>
        <t>실측(계정 매핑 없음 — 모델값 직접) — fin.shares.common_outstanding</t>
      </text>
    </comment>
    <comment ref="N32" authorId="0" shapeId="0">
      <text>
        <t>실측(계정 매핑 없음 — 모델값 직접) — fin.shares.common_outstanding</t>
      </text>
    </comment>
    <comment ref="O32" authorId="0" shapeId="0">
      <text>
        <t>실측(계정 매핑 없음 — 모델값 직접) — fin.shares.common_outstanding</t>
      </text>
    </comment>
    <comment ref="Q32" authorId="0" shapeId="0">
      <text>
        <t>실측(계정 매핑 없음 — 모델값 직접) — fin.shares.common_outstanding</t>
      </text>
    </comment>
    <comment ref="R32" authorId="0" shapeId="0">
      <text>
        <t>실측(계정 매핑 없음 — 모델값 직접) — fin.shares.common_outstanding</t>
      </text>
    </comment>
    <comment ref="S32" authorId="0" shapeId="0">
      <text>
        <t>실측(계정 매핑 없음 — 모델값 직접) — fin.shares.common_outstanding</t>
      </text>
    </comment>
    <comment ref="T32" authorId="0" shapeId="0">
      <text>
        <t>실측(계정 매핑 없음 — 모델값 직접) — fin.shares.common_outstanding</t>
      </text>
    </comment>
    <comment ref="V32" authorId="0" shapeId="0">
      <text>
        <t>실측(계정 매핑 없음 — 모델값 직접) — fin.shares.common_outstanding</t>
      </text>
    </comment>
    <comment ref="W32" authorId="0" shapeId="0">
      <text>
        <t>실측(계정 매핑 없음 — 모델값 직접) — fin.shares.common_outstanding</t>
      </text>
    </comment>
    <comment ref="X32" authorId="0" shapeId="0">
      <text>
        <t>실측(계정 매핑 없음 — 모델값 직접) — fin.shares.common_outstanding</t>
      </text>
    </comment>
    <comment ref="Y32" authorId="0" shapeId="0">
      <text>
        <t>실측(계정 매핑 없음 — 모델값 직접) — fin.shares.common_outstanding</t>
      </text>
    </comment>
    <comment ref="AA32" authorId="0" shapeId="0">
      <text>
        <t>실측(계정 매핑 없음 — 모델값 직접) — fin.shares.common_outstanding</t>
      </text>
    </comment>
    <comment ref="AB32" authorId="0" shapeId="0">
      <text>
        <t>실측(계정 매핑 없음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 — 모델값 직접) — fin.dividend.dps_common(연간, Q4 에 표기)</t>
      </text>
    </comment>
    <comment ref="O35" authorId="0" shapeId="0">
      <text>
        <t>실측(계정 매핑 없음 — 모델값 직접) — fin.dividend.dps_common(연간, Q4 에 표기)</t>
      </text>
    </comment>
    <comment ref="T35" authorId="0" shapeId="0">
      <text>
        <t>실측(계정 매핑 없음 — 모델값 직접) — fin.dividend.dps_common(연간, Q4 에 표기)</t>
      </text>
    </comment>
    <comment ref="Y35" authorId="0" shapeId="0">
      <text>
        <t>실측(계정 매핑 없음 — 모델값 직접) — fin.dividend.dps_common(연간, Q4 에 표기)</t>
      </text>
    </comment>
    <comment ref="AD35" authorId="0" shapeId="0">
      <text>
        <t>추정(가정 셀 참조 불가 — 기준값 없음, 모델값 직접): 직전 결산 DPS 0원 유지</t>
      </text>
    </comment>
    <comment ref="AI35" authorId="0" shapeId="0">
      <text>
        <t>추정(가정 셀 참조 불가 — 기준값 없음, 모델값 직접): 직전 결산 DPS 0원 유지</t>
      </text>
    </comment>
    <comment ref="AN35" authorId="0" shapeId="0">
      <text>
        <t>추정(가정 셀 참조 불가 — 기준값 없음, 모델값 직접): 직전 결산 DPS 0원 유지</t>
      </text>
    </comment>
    <comment ref="R36" authorId="0" shapeId="0">
      <text>
        <t>실측(계정 매핑 없음 — 모델값 직접) — 토스 일봉 분기 평균 ÷ TTM EPS</t>
      </text>
    </comment>
    <comment ref="S36" authorId="0" shapeId="0">
      <text>
        <t>실측(계정 매핑 없음 — 모델값 직접) — 토스 일봉 분기 평균 ÷ TTM EPS</t>
      </text>
    </comment>
    <comment ref="T36" authorId="0" shapeId="0">
      <text>
        <t>실측(계정 매핑 없음 — 모델값 직접) — 토스 일봉 분기 평균 ÷ TTM EPS</t>
      </text>
    </comment>
    <comment ref="V36" authorId="0" shapeId="0">
      <text>
        <t>실측(계정 매핑 없음 — 모델값 직접) — 토스 일봉 분기 평균 ÷ TTM EPS</t>
      </text>
    </comment>
    <comment ref="W36" authorId="0" shapeId="0">
      <text>
        <t>실측(계정 매핑 없음 — 모델값 직접) — 토스 일봉 분기 평균 ÷ TTM EPS</t>
      </text>
    </comment>
    <comment ref="X36" authorId="0" shapeId="0">
      <text>
        <t>실측(계정 매핑 없음 — 모델값 직접) — 토스 일봉 분기 평균 ÷ TTM EPS</t>
      </text>
    </comment>
    <comment ref="Y36" authorId="0" shapeId="0">
      <text>
        <t>실측(계정 매핑 없음 — 모델값 직접) — 토스 일봉 분기 평균 ÷ TTM EPS</t>
      </text>
    </comment>
    <comment ref="AA36" authorId="0" shapeId="0">
      <text>
        <t>실측(계정 매핑 없음 — 모델값 직접) — 토스 일봉 분기 평균 ÷ TTM EPS</t>
      </text>
    </comment>
    <comment ref="E37" authorId="0" shapeId="0">
      <text>
        <t>실측(계정 매핑 없음 — 모델값 직접) — 토스 일봉 분기 평균 ÷ BPS</t>
      </text>
    </comment>
    <comment ref="F37" authorId="0" shapeId="0">
      <text>
        <t>연간(actual) — 분기 미완 연도, 모델 a 값 직접</t>
      </text>
    </comment>
    <comment ref="G37" authorId="0" shapeId="0">
      <text>
        <t>실측(계정 매핑 없음 — 모델값 직접) — 토스 일봉 분기 평균 ÷ BPS</t>
      </text>
    </comment>
    <comment ref="H37" authorId="0" shapeId="0">
      <text>
        <t>실측(계정 매핑 없음 — 모델값 직접) — 토스 일봉 분기 평균 ÷ BPS</t>
      </text>
    </comment>
    <comment ref="I37" authorId="0" shapeId="0">
      <text>
        <t>실측(계정 매핑 없음 — 모델값 직접) — 토스 일봉 분기 평균 ÷ BPS</t>
      </text>
    </comment>
    <comment ref="J37" authorId="0" shapeId="0">
      <text>
        <t>실측(계정 매핑 없음 — 모델값 직접) — 토스 일봉 분기 평균 ÷ BPS</t>
      </text>
    </comment>
    <comment ref="L37" authorId="0" shapeId="0">
      <text>
        <t>실측(계정 매핑 없음 — 모델값 직접) — 토스 일봉 분기 평균 ÷ BPS</t>
      </text>
    </comment>
    <comment ref="M37" authorId="0" shapeId="0">
      <text>
        <t>실측(계정 매핑 없음 — 모델값 직접) — 토스 일봉 분기 평균 ÷ BPS</t>
      </text>
    </comment>
    <comment ref="N37" authorId="0" shapeId="0">
      <text>
        <t>실측(계정 매핑 없음 — 모델값 직접) — 토스 일봉 분기 평균 ÷ BPS</t>
      </text>
    </comment>
    <comment ref="O37" authorId="0" shapeId="0">
      <text>
        <t>실측(계정 매핑 없음 — 모델값 직접) — 토스 일봉 분기 평균 ÷ BPS</t>
      </text>
    </comment>
    <comment ref="Q37" authorId="0" shapeId="0">
      <text>
        <t>실측(계정 매핑 없음 — 모델값 직접) — 토스 일봉 분기 평균 ÷ BPS</t>
      </text>
    </comment>
    <comment ref="R37" authorId="0" shapeId="0">
      <text>
        <t>실측(계정 매핑 없음 — 모델값 직접) — 토스 일봉 분기 평균 ÷ BPS</t>
      </text>
    </comment>
    <comment ref="S37" authorId="0" shapeId="0">
      <text>
        <t>실측(계정 매핑 없음 — 모델값 직접) — 토스 일봉 분기 평균 ÷ BPS</t>
      </text>
    </comment>
    <comment ref="T37" authorId="0" shapeId="0">
      <text>
        <t>실측(계정 매핑 없음 — 모델값 직접) — 토스 일봉 분기 평균 ÷ BPS</t>
      </text>
    </comment>
    <comment ref="V37" authorId="0" shapeId="0">
      <text>
        <t>실측(계정 매핑 없음 — 모델값 직접) — 토스 일봉 분기 평균 ÷ BPS</t>
      </text>
    </comment>
    <comment ref="W37" authorId="0" shapeId="0">
      <text>
        <t>실측(계정 매핑 없음 — 모델값 직접) — 토스 일봉 분기 평균 ÷ BPS</t>
      </text>
    </comment>
    <comment ref="X37" authorId="0" shapeId="0">
      <text>
        <t>실측(계정 매핑 없음 — 모델값 직접) — 토스 일봉 분기 평균 ÷ BPS</t>
      </text>
    </comment>
    <comment ref="Y37" authorId="0" shapeId="0">
      <text>
        <t>실측(계정 매핑 없음 — 모델값 직접) — 토스 일봉 분기 평균 ÷ BPS</t>
      </text>
    </comment>
    <comment ref="AA37" authorId="0" shapeId="0">
      <text>
        <t>실측(계정 매핑 없음 — 모델값 직접) — 토스 일봉 분기 평균 ÷ BPS</t>
      </text>
    </comment>
    <comment ref="AB37" authorId="0" shapeId="0">
      <text>
        <t>실측(계정 매핑 없음 — 모델값 직접) — 토스 일봉 분기 평균 ÷ BPS</t>
      </text>
    </comment>
    <comment ref="AC37" authorId="0" shapeId="0">
      <text>
        <t>추정: 현재 종가 ÷ BPS(추정 포함)
[yoy]</t>
      </text>
    </comment>
    <comment ref="AD37" authorId="0" shapeId="0">
      <text>
        <t>추정: 현재 종가 ÷ BPS(추정 포함)
[yoy]</t>
      </text>
    </comment>
    <comment ref="AF37" authorId="0" shapeId="0">
      <text>
        <t>추정: 현재 종가 ÷ BPS(추정 포함)
[yoy]</t>
      </text>
    </comment>
    <comment ref="AG37" authorId="0" shapeId="0">
      <text>
        <t>추정: 현재 종가 ÷ BPS(추정 포함)
[yoy]</t>
      </text>
    </comment>
    <comment ref="AH37" authorId="0" shapeId="0">
      <text>
        <t>추정: 현재 종가 ÷ BPS(추정 포함)
[yoy]</t>
      </text>
    </comment>
    <comment ref="AI37" authorId="0" shapeId="0">
      <text>
        <t>추정: 현재 종가 ÷ BPS(추정 포함)
[yoy]</t>
      </text>
    </comment>
    <comment ref="AK37" authorId="0" shapeId="0">
      <text>
        <t>추정: 현재 종가 ÷ BPS(추정 포함)
[yoy]</t>
      </text>
    </comment>
    <comment ref="AL37" authorId="0" shapeId="0">
      <text>
        <t>추정: 현재 종가 ÷ BPS(추정 포함)
[yoy]</t>
      </text>
    </comment>
    <comment ref="AM37" authorId="0" shapeId="0">
      <text>
        <t>추정: 현재 종가 ÷ BPS(추정 포함)
[yoy]</t>
      </text>
    </comment>
    <comment ref="AN37" authorId="0" shapeId="0">
      <text>
        <t>추정: 현재 종가 ÷ BPS(추정 포함)
[yoy]</t>
      </text>
    </comment>
    <comment ref="E38" authorId="0" shapeId="0">
      <text>
        <t>실측(계정 매핑 없음 — 모델값 직접) — = 매출액(부문 미분리)</t>
      </text>
    </comment>
    <comment ref="G38" authorId="0" shapeId="0">
      <text>
        <t>실측(계정 매핑 없음 — 모델값 직접) — = 매출액(부문 미분리)</t>
      </text>
    </comment>
    <comment ref="H38" authorId="0" shapeId="0">
      <text>
        <t>실측(계정 매핑 없음 — 모델값 직접) — = 매출액(부문 미분리)</t>
      </text>
    </comment>
    <comment ref="I38" authorId="0" shapeId="0">
      <text>
        <t>실측(계정 매핑 없음 — 모델값 직접) — = 매출액(부문 미분리)</t>
      </text>
    </comment>
    <comment ref="J38" authorId="0" shapeId="0">
      <text>
        <t>실측(계정 매핑 없음 — 모델값 직접) — = 매출액(부문 미분리)</t>
      </text>
    </comment>
    <comment ref="L38" authorId="0" shapeId="0">
      <text>
        <t>실측(계정 매핑 없음 — 모델값 직접) — = 매출액(부문 미분리)</t>
      </text>
    </comment>
    <comment ref="M38" authorId="0" shapeId="0">
      <text>
        <t>실측(계정 매핑 없음 — 모델값 직접) — = 매출액(부문 미분리)</t>
      </text>
    </comment>
    <comment ref="N38" authorId="0" shapeId="0">
      <text>
        <t>실측(계정 매핑 없음 — 모델값 직접) — = 매출액(부문 미분리)</t>
      </text>
    </comment>
    <comment ref="O38" authorId="0" shapeId="0">
      <text>
        <t>실측(계정 매핑 없음 — 모델값 직접) — = 매출액(부문 미분리)</t>
      </text>
    </comment>
    <comment ref="Q38" authorId="0" shapeId="0">
      <text>
        <t>실측(계정 매핑 없음 — 모델값 직접) — = 매출액(부문 미분리)</t>
      </text>
    </comment>
    <comment ref="R38" authorId="0" shapeId="0">
      <text>
        <t>실측(계정 매핑 없음 — 모델값 직접) — = 매출액(부문 미분리)</t>
      </text>
    </comment>
    <comment ref="S38" authorId="0" shapeId="0">
      <text>
        <t>실측(계정 매핑 없음 — 모델값 직접) — = 매출액(부문 미분리)</t>
      </text>
    </comment>
    <comment ref="T38" authorId="0" shapeId="0">
      <text>
        <t>실측(계정 매핑 없음 — 모델값 직접) — = 매출액(부문 미분리)</t>
      </text>
    </comment>
    <comment ref="V38" authorId="0" shapeId="0">
      <text>
        <t>실측(계정 매핑 없음 — 모델값 직접) — = 매출액(부문 미분리)</t>
      </text>
    </comment>
    <comment ref="W38" authorId="0" shapeId="0">
      <text>
        <t>실측(계정 매핑 없음 — 모델값 직접) — = 매출액(부문 미분리)</t>
      </text>
    </comment>
    <comment ref="X38" authorId="0" shapeId="0">
      <text>
        <t>실측(계정 매핑 없음 — 모델값 직접) — = 매출액(부문 미분리)</t>
      </text>
    </comment>
    <comment ref="Y38" authorId="0" shapeId="0">
      <text>
        <t>실측(계정 매핑 없음 — 모델값 직접) — = 매출액(부문 미분리)</t>
      </text>
    </comment>
    <comment ref="AA38" authorId="0" shapeId="0">
      <text>
        <t>실측(계정 매핑 없음 — 모델값 직접) — = 매출액(부문 미분리)</t>
      </text>
    </comment>
    <comment ref="AB38" authorId="0" shapeId="0">
      <text>
        <t>실측(계정 매핑 없음 — 모델값 직접) — = 매출액(부문 미분리)</t>
      </text>
    </comment>
    <comment ref="AC38" authorId="0" shapeId="0">
      <text>
        <t>추정: = 매출액 추정(부문 미분리)
[ratio]</t>
      </text>
    </comment>
    <comment ref="AD38" authorId="0" shapeId="0">
      <text>
        <t>추정: = 매출액 추정(부문 미분리)
[ratio]</t>
      </text>
    </comment>
    <comment ref="AF38" authorId="0" shapeId="0">
      <text>
        <t>추정: = 매출액 추정(부문 미분리)
[ratio]</t>
      </text>
    </comment>
    <comment ref="AG38" authorId="0" shapeId="0">
      <text>
        <t>추정: = 매출액 추정(부문 미분리)
[ratio]</t>
      </text>
    </comment>
    <comment ref="AH38" authorId="0" shapeId="0">
      <text>
        <t>추정: = 매출액 추정(부문 미분리)
[ratio]</t>
      </text>
    </comment>
    <comment ref="AI38" authorId="0" shapeId="0">
      <text>
        <t>추정: = 매출액 추정(부문 미분리)
[ratio]</t>
      </text>
    </comment>
    <comment ref="AK38" authorId="0" shapeId="0">
      <text>
        <t>추정: = 매출액 추정(부문 미분리)
[ratio]</t>
      </text>
    </comment>
    <comment ref="AL38" authorId="0" shapeId="0">
      <text>
        <t>추정: = 매출액 추정(부문 미분리)
[ratio]</t>
      </text>
    </comment>
    <comment ref="AM38" authorId="0" shapeId="0">
      <text>
        <t>추정: = 매출액 추정(부문 미분리)
[ratio]</t>
      </text>
    </comment>
    <comment ref="AN38" authorId="0" shapeId="0">
      <text>
        <t>추정: = 매출액 추정(부문 미분리)
[ratio]</t>
      </text>
    </comment>
    <comment ref="E39" authorId="0" shapeId="0">
      <text>
        <t>실측(계정 매핑 없음 — 모델값 직접) — = 영업이익(부문 미분리)</t>
      </text>
    </comment>
    <comment ref="G39" authorId="0" shapeId="0">
      <text>
        <t>실측(계정 매핑 없음 — 모델값 직접) — = 영업이익(부문 미분리)</t>
      </text>
    </comment>
    <comment ref="H39" authorId="0" shapeId="0">
      <text>
        <t>실측(계정 매핑 없음 — 모델값 직접) — = 영업이익(부문 미분리)</t>
      </text>
    </comment>
    <comment ref="I39" authorId="0" shapeId="0">
      <text>
        <t>실측(계정 매핑 없음 — 모델값 직접) — = 영업이익(부문 미분리)</t>
      </text>
    </comment>
    <comment ref="J39" authorId="0" shapeId="0">
      <text>
        <t>실측(계정 매핑 없음 — 모델값 직접) — = 영업이익(부문 미분리)</t>
      </text>
    </comment>
    <comment ref="L39" authorId="0" shapeId="0">
      <text>
        <t>실측(계정 매핑 없음 — 모델값 직접) — = 영업이익(부문 미분리)</t>
      </text>
    </comment>
    <comment ref="M39" authorId="0" shapeId="0">
      <text>
        <t>실측(계정 매핑 없음 — 모델값 직접) — = 영업이익(부문 미분리)</t>
      </text>
    </comment>
    <comment ref="N39" authorId="0" shapeId="0">
      <text>
        <t>실측(계정 매핑 없음 — 모델값 직접) — = 영업이익(부문 미분리)</t>
      </text>
    </comment>
    <comment ref="O39" authorId="0" shapeId="0">
      <text>
        <t>실측(계정 매핑 없음 — 모델값 직접) — = 영업이익(부문 미분리)</t>
      </text>
    </comment>
    <comment ref="Q39" authorId="0" shapeId="0">
      <text>
        <t>실측(계정 매핑 없음 — 모델값 직접) — = 영업이익(부문 미분리)</t>
      </text>
    </comment>
    <comment ref="R39" authorId="0" shapeId="0">
      <text>
        <t>실측(계정 매핑 없음 — 모델값 직접) — = 영업이익(부문 미분리)</t>
      </text>
    </comment>
    <comment ref="S39" authorId="0" shapeId="0">
      <text>
        <t>실측(계정 매핑 없음 — 모델값 직접) — = 영업이익(부문 미분리)</t>
      </text>
    </comment>
    <comment ref="T39" authorId="0" shapeId="0">
      <text>
        <t>실측(계정 매핑 없음 — 모델값 직접) — = 영업이익(부문 미분리)</t>
      </text>
    </comment>
    <comment ref="V39" authorId="0" shapeId="0">
      <text>
        <t>실측(계정 매핑 없음 — 모델값 직접) — = 영업이익(부문 미분리)</t>
      </text>
    </comment>
    <comment ref="W39" authorId="0" shapeId="0">
      <text>
        <t>실측(계정 매핑 없음 — 모델값 직접) — = 영업이익(부문 미분리)</t>
      </text>
    </comment>
    <comment ref="X39" authorId="0" shapeId="0">
      <text>
        <t>실측(계정 매핑 없음 — 모델값 직접) — = 영업이익(부문 미분리)</t>
      </text>
    </comment>
    <comment ref="Y39" authorId="0" shapeId="0">
      <text>
        <t>실측(계정 매핑 없음 — 모델값 직접) — = 영업이익(부문 미분리)</t>
      </text>
    </comment>
    <comment ref="AA39" authorId="0" shapeId="0">
      <text>
        <t>실측(계정 매핑 없음 — 모델값 직접) — = 영업이익(부문 미분리)</t>
      </text>
    </comment>
    <comment ref="AB39" authorId="0" shapeId="0">
      <text>
        <t>실측(계정 매핑 없음 — 모델값 직접) — = 영업이익(부문 미분리)</t>
      </text>
    </comment>
    <comment ref="AC39" authorId="0" shapeId="0">
      <text>
        <t>추정: = 매출액 × OPM(부문 미분리)
[ratio]</t>
      </text>
    </comment>
    <comment ref="AD39" authorId="0" shapeId="0">
      <text>
        <t>추정: = 매출액 × OPM(부문 미분리)
[ratio]</t>
      </text>
    </comment>
    <comment ref="AF39" authorId="0" shapeId="0">
      <text>
        <t>추정: = 매출액 × OPM(부문 미분리)
[ratio]</t>
      </text>
    </comment>
    <comment ref="AG39" authorId="0" shapeId="0">
      <text>
        <t>추정: = 매출액 × OPM(부문 미분리)
[ratio]</t>
      </text>
    </comment>
    <comment ref="AH39" authorId="0" shapeId="0">
      <text>
        <t>추정: = 매출액 × OPM(부문 미분리)
[ratio]</t>
      </text>
    </comment>
    <comment ref="AI39" authorId="0" shapeId="0">
      <text>
        <t>추정: = 매출액 × OPM(부문 미분리)
[ratio]</t>
      </text>
    </comment>
    <comment ref="AK39" authorId="0" shapeId="0">
      <text>
        <t>추정: = 매출액 × OPM(부문 미분리)
[ratio]</t>
      </text>
    </comment>
    <comment ref="AL39" authorId="0" shapeId="0">
      <text>
        <t>추정: = 매출액 × OPM(부문 미분리)
[ratio]</t>
      </text>
    </comment>
    <comment ref="AM39" authorId="0" shapeId="0">
      <text>
        <t>추정: = 매출액 × OPM(부문 미분리)
[ratio]</t>
      </text>
    </comment>
    <comment ref="AN39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assets/models/187790.json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4억) → 지배NI 186억·EPS·FY2024 합계·TTM PER 에 그대로 포함 — 처분이익 등 일회성 여부는 주석 확인 전까지 미확정(12M fwd EPS 에는 미포함)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1773</v>
      </c>
      <c r="H15" s="18" t="n">
        <v>1213</v>
      </c>
      <c r="I15" s="18" t="n">
        <v>1120</v>
      </c>
      <c r="J15" s="18" t="n">
        <v>1131</v>
      </c>
      <c r="K15" s="9" t="n"/>
      <c r="L15" s="18" t="n">
        <v>1297</v>
      </c>
      <c r="M15" s="18" t="n">
        <v>1487</v>
      </c>
      <c r="N15" s="18" t="n">
        <v>1443</v>
      </c>
      <c r="O15" s="18" t="n">
        <v>1493</v>
      </c>
      <c r="P15" s="9" t="n"/>
      <c r="Q15" s="18" t="n">
        <v>1298</v>
      </c>
      <c r="R15" s="18" t="n">
        <v>1125</v>
      </c>
      <c r="S15" s="18" t="n">
        <v>1125</v>
      </c>
      <c r="T15" s="18" t="n">
        <v>1125</v>
      </c>
      <c r="U15" s="9" t="n"/>
      <c r="V15" s="18" t="n">
        <v>1125</v>
      </c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2717</v>
      </c>
      <c r="F16" s="9" t="n"/>
      <c r="G16" s="18" t="n">
        <v>2080</v>
      </c>
      <c r="H16" s="18" t="n">
        <v>1888</v>
      </c>
      <c r="I16" s="18" t="n">
        <v>1696</v>
      </c>
      <c r="J16" s="18" t="n">
        <v>1531</v>
      </c>
      <c r="K16" s="9" t="n"/>
      <c r="L16" s="18" t="n">
        <v>1926</v>
      </c>
      <c r="M16" s="18" t="n">
        <v>1857</v>
      </c>
      <c r="N16" s="18" t="n">
        <v>2151</v>
      </c>
      <c r="O16" s="18" t="n">
        <v>1812</v>
      </c>
      <c r="P16" s="9" t="n"/>
      <c r="Q16" s="18" t="n">
        <v>1519</v>
      </c>
      <c r="R16" s="18" t="n">
        <v>1320</v>
      </c>
      <c r="S16" s="18" t="n">
        <v>1125</v>
      </c>
      <c r="T16" s="18" t="n">
        <v>1125</v>
      </c>
      <c r="U16" s="9" t="n"/>
      <c r="V16" s="18" t="n">
        <v>1125</v>
      </c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1663</v>
      </c>
      <c r="F17" s="9" t="n"/>
      <c r="G17" s="18" t="n">
        <v>1581</v>
      </c>
      <c r="H17" s="18" t="n">
        <v>1076</v>
      </c>
      <c r="I17" s="18" t="n">
        <v>1076</v>
      </c>
      <c r="J17" s="18" t="n">
        <v>1034</v>
      </c>
      <c r="K17" s="9" t="n"/>
      <c r="L17" s="18" t="n">
        <v>1120</v>
      </c>
      <c r="M17" s="18" t="n">
        <v>1246</v>
      </c>
      <c r="N17" s="18" t="n">
        <v>1295</v>
      </c>
      <c r="O17" s="18" t="n">
        <v>1241</v>
      </c>
      <c r="P17" s="9" t="n"/>
      <c r="Q17" s="18" t="n">
        <v>1187</v>
      </c>
      <c r="R17" s="18" t="n">
        <v>1038</v>
      </c>
      <c r="S17" s="18" t="n">
        <v>1125</v>
      </c>
      <c r="T17" s="18" t="n">
        <v>1125</v>
      </c>
      <c r="U17" s="9" t="n"/>
      <c r="V17" s="18" t="n">
        <v>1125</v>
      </c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2094.3</v>
      </c>
      <c r="F18" s="9" t="n"/>
      <c r="G18" s="18" t="n">
        <v>1827.1</v>
      </c>
      <c r="H18" s="18" t="n">
        <v>1501.6</v>
      </c>
      <c r="I18" s="18" t="n">
        <v>1283.7</v>
      </c>
      <c r="J18" s="18" t="n">
        <v>1241</v>
      </c>
      <c r="K18" s="9" t="n"/>
      <c r="L18" s="18" t="n">
        <v>1350.9</v>
      </c>
      <c r="M18" s="18" t="n">
        <v>1419.2</v>
      </c>
      <c r="N18" s="18" t="n">
        <v>1514</v>
      </c>
      <c r="O18" s="18" t="n">
        <v>1417.5</v>
      </c>
      <c r="P18" s="9" t="n"/>
      <c r="Q18" s="18" t="n">
        <v>1432.4</v>
      </c>
      <c r="R18" s="18" t="n">
        <v>1138.1</v>
      </c>
      <c r="S18" s="18" t="n">
        <v>1125</v>
      </c>
      <c r="T18" s="18" t="n">
        <v>1125</v>
      </c>
      <c r="U18" s="9" t="n"/>
      <c r="V18" s="18" t="n">
        <v>1125</v>
      </c>
      <c r="W18" s="18" t="n">
        <v>1104.9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</v>
      </c>
      <c r="AD21" s="24" t="n">
        <v>0.221584</v>
      </c>
      <c r="AE21" s="25" t="n"/>
      <c r="AF21" s="24" t="n">
        <v>0.221607</v>
      </c>
      <c r="AG21" s="24" t="n">
        <v>0.221599</v>
      </c>
      <c r="AH21" s="24" t="n">
        <v>0.110776</v>
      </c>
      <c r="AI21" s="24" t="n">
        <v>0.110785</v>
      </c>
      <c r="AJ21" s="25" t="n"/>
      <c r="AK21" s="24" t="n">
        <v>0.110748</v>
      </c>
      <c r="AL21" s="24" t="n">
        <v>0.110785</v>
      </c>
      <c r="AM21" s="24" t="n">
        <v>0.055402</v>
      </c>
      <c r="AN21" s="24" t="n">
        <v>0.055416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0.126713</v>
      </c>
      <c r="AD22" s="24" t="n">
        <v>0.126719</v>
      </c>
      <c r="AE22" s="25">
        <f>IFERROR(subQ!AE8/subQ!AE5,"")</f>
        <v/>
      </c>
      <c r="AF22" s="24" t="n">
        <v>0.126697</v>
      </c>
      <c r="AG22" s="24" t="n">
        <v>0.126715</v>
      </c>
      <c r="AH22" s="24" t="n">
        <v>0.126735</v>
      </c>
      <c r="AI22" s="24" t="n">
        <v>0.126734</v>
      </c>
      <c r="AJ22" s="25">
        <f>IFERROR(subQ!AJ8/subQ!AJ5,"")</f>
        <v/>
      </c>
      <c r="AK22" s="24" t="n">
        <v>0.126753</v>
      </c>
      <c r="AL22" s="24" t="n">
        <v>0.126715</v>
      </c>
      <c r="AM22" s="24" t="n">
        <v>0.126727</v>
      </c>
      <c r="AN22" s="24" t="n">
        <v>0.126715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</v>
      </c>
      <c r="AD23" s="24" t="n">
        <v>0.006389</v>
      </c>
      <c r="AE23" s="25">
        <f>IFERROR(subQ!AE9/subQ!AE5,"")</f>
        <v/>
      </c>
      <c r="AF23" s="24" t="n">
        <v>0.006379</v>
      </c>
      <c r="AG23" s="24" t="n">
        <v>0.006372</v>
      </c>
      <c r="AH23" s="24" t="n">
        <v>0.006372</v>
      </c>
      <c r="AI23" s="24" t="n">
        <v>0.00636</v>
      </c>
      <c r="AJ23" s="25">
        <f>IFERROR(subQ!AJ9/subQ!AJ5,"")</f>
        <v/>
      </c>
      <c r="AK23" s="24" t="n">
        <v>0.006344</v>
      </c>
      <c r="AL23" s="24" t="n">
        <v>0.006361</v>
      </c>
      <c r="AM23" s="24" t="n">
        <v>0.006382</v>
      </c>
      <c r="AN23" s="24" t="n">
        <v>0.006379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IFERROR(subQ!J41/subQ!E41-1,"")</f>
        <v/>
      </c>
      <c r="K24" s="22" t="n"/>
      <c r="L24" s="21">
        <f>IFERROR(subQ!L41/subQ!G41-1,"")</f>
        <v/>
      </c>
      <c r="M24" s="21">
        <f>IFERROR(subQ!M41/subQ!H41-1,"")</f>
        <v/>
      </c>
      <c r="N24" s="21">
        <f>IFERROR(subQ!N41/subQ!I41-1,"")</f>
        <v/>
      </c>
      <c r="O24" s="21">
        <f>IFERROR(subQ!O41/subQ!J41-1,"")</f>
        <v/>
      </c>
      <c r="P24" s="22" t="n"/>
      <c r="Q24" s="21">
        <f>IFERROR(subQ!Q41/subQ!L41-1,"")</f>
        <v/>
      </c>
      <c r="R24" s="21">
        <f>IFERROR(subQ!R41/subQ!M41-1,"")</f>
        <v/>
      </c>
      <c r="S24" s="21">
        <f>IFERROR(subQ!S41/subQ!N41-1,"")</f>
        <v/>
      </c>
      <c r="T24" s="21">
        <f>IFERROR(subQ!T41/subQ!O41-1,"")</f>
        <v/>
      </c>
      <c r="U24" s="22" t="n"/>
      <c r="V24" s="21">
        <f>IFERROR(subQ!V41/subQ!Q41-1,"")</f>
        <v/>
      </c>
      <c r="W24" s="21">
        <f>IFERROR(subQ!W41/subQ!R41-1,"")</f>
        <v/>
      </c>
      <c r="X24" s="21">
        <f>IFERROR(subQ!X41/subQ!S41-1,"")</f>
        <v/>
      </c>
      <c r="Y24" s="21">
        <f>IFERROR(subQ!Y41/subQ!T41-1,"")</f>
        <v/>
      </c>
      <c r="Z24" s="22" t="n"/>
      <c r="AA24" s="21">
        <f>IFERROR(subQ!AA41/subQ!V41-1,"")</f>
        <v/>
      </c>
      <c r="AB24" s="23">
        <f>IFERROR(subQ!AB41/subQ!W41-1,"")</f>
        <v/>
      </c>
      <c r="AC24" s="24" t="n">
        <v>-0.960025</v>
      </c>
      <c r="AD24" s="24" t="n">
        <v>-0.457627</v>
      </c>
      <c r="AE24" s="25" t="n"/>
      <c r="AF24" s="24" t="n">
        <v>-1.079404</v>
      </c>
      <c r="AG24" s="24" t="n">
        <v>-0.714286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-2.88</v>
      </c>
      <c r="AD25" s="29" t="n">
        <v>-2.89</v>
      </c>
      <c r="AE25" s="30">
        <f>subQ!AE11</f>
        <v/>
      </c>
      <c r="AF25" s="29" t="n">
        <v>-2.92</v>
      </c>
      <c r="AG25" s="29" t="n">
        <v>-2.94</v>
      </c>
      <c r="AH25" s="29" t="n">
        <v>-2.96</v>
      </c>
      <c r="AI25" s="29" t="n">
        <v>-2.98</v>
      </c>
      <c r="AJ25" s="30">
        <f>subQ!AJ11</f>
        <v/>
      </c>
      <c r="AK25" s="29" t="n">
        <v>-3</v>
      </c>
      <c r="AL25" s="29" t="n">
        <v>-3.03</v>
      </c>
      <c r="AM25" s="29" t="n">
        <v>-3.05</v>
      </c>
      <c r="AN25" s="29" t="n">
        <v>-3.06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-2.88</v>
      </c>
      <c r="AD26" s="29" t="n">
        <v>-2.89</v>
      </c>
      <c r="AE26" s="30">
        <f>subQ!AE12</f>
        <v/>
      </c>
      <c r="AF26" s="29" t="n">
        <v>-2.92</v>
      </c>
      <c r="AG26" s="29" t="n">
        <v>-2.94</v>
      </c>
      <c r="AH26" s="29" t="n">
        <v>-2.96</v>
      </c>
      <c r="AI26" s="29" t="n">
        <v>-2.98</v>
      </c>
      <c r="AJ26" s="30">
        <f>subQ!AJ12</f>
        <v/>
      </c>
      <c r="AK26" s="29" t="n">
        <v>-3</v>
      </c>
      <c r="AL26" s="29" t="n">
        <v>-3.03</v>
      </c>
      <c r="AM26" s="29" t="n">
        <v>-3.05</v>
      </c>
      <c r="AN26" s="29" t="n">
        <v>-3.06</v>
      </c>
      <c r="AO26" s="30">
        <f>subQ!AO12</f>
        <v/>
      </c>
    </row>
    <row r="27">
      <c r="A27" s="12" t="inlineStr">
        <is>
          <t>drv:외환손익</t>
        </is>
      </c>
      <c r="B27" s="2" t="inlineStr">
        <is>
          <t>yoy</t>
        </is>
      </c>
      <c r="C27" t="inlineStr">
        <is>
          <t>외환손익 YoY</t>
        </is>
      </c>
      <c r="E27" s="21" t="n"/>
      <c r="F27" s="22" t="n"/>
      <c r="G27" s="21" t="n"/>
      <c r="H27" s="21" t="n"/>
      <c r="I27" s="21" t="n"/>
      <c r="J27" s="21">
        <f>IFERROR(subQ!J13/subQ!E13-1,"")</f>
        <v/>
      </c>
      <c r="K27" s="22" t="n"/>
      <c r="L27" s="21">
        <f>IFERROR(subQ!L13/subQ!G13-1,"")</f>
        <v/>
      </c>
      <c r="M27" s="21">
        <f>IFERROR(subQ!M13/subQ!H13-1,"")</f>
        <v/>
      </c>
      <c r="N27" s="21">
        <f>IFERROR(subQ!N13/subQ!I13-1,"")</f>
        <v/>
      </c>
      <c r="O27" s="21">
        <f>IFERROR(subQ!O13/subQ!J13-1,"")</f>
        <v/>
      </c>
      <c r="P27" s="22" t="n"/>
      <c r="Q27" s="21">
        <f>IFERROR(subQ!Q13/subQ!L13-1,"")</f>
        <v/>
      </c>
      <c r="R27" s="21">
        <f>IFERROR(subQ!R13/subQ!M13-1,"")</f>
        <v/>
      </c>
      <c r="S27" s="21">
        <f>IFERROR(subQ!S13/subQ!N13-1,"")</f>
        <v/>
      </c>
      <c r="T27" s="21">
        <f>IFERROR(subQ!T13/subQ!O13-1,"")</f>
        <v/>
      </c>
      <c r="U27" s="22" t="n"/>
      <c r="V27" s="21">
        <f>IFERROR(subQ!V13/subQ!Q13-1,"")</f>
        <v/>
      </c>
      <c r="W27" s="21">
        <f>IFERROR(subQ!W13/subQ!R13-1,"")</f>
        <v/>
      </c>
      <c r="X27" s="21">
        <f>IFERROR(subQ!X13/subQ!S13-1,"")</f>
        <v/>
      </c>
      <c r="Y27" s="21">
        <f>IFERROR(subQ!Y13/subQ!T13-1,"")</f>
        <v/>
      </c>
      <c r="Z27" s="22" t="n"/>
      <c r="AA27" s="21">
        <f>IFERROR(subQ!AA13/subQ!V13-1,"")</f>
        <v/>
      </c>
      <c r="AB27" s="23">
        <f>IFERROR(subQ!AB13/subQ!W13-1,"")</f>
        <v/>
      </c>
      <c r="AC27" s="24" t="n">
        <v>-1</v>
      </c>
      <c r="AD27" s="24" t="n">
        <v>-1</v>
      </c>
      <c r="AE27" s="25" t="n"/>
      <c r="AF27" s="24" t="n">
        <v>-1</v>
      </c>
      <c r="AG27" s="24" t="n">
        <v>-1</v>
      </c>
      <c r="AH27" s="31" t="n"/>
      <c r="AI27" s="31" t="n"/>
      <c r="AJ27" s="25" t="n"/>
      <c r="AK27" s="31" t="n"/>
      <c r="AL27" s="31" t="n"/>
      <c r="AM27" s="31" t="n"/>
      <c r="AN27" s="31" t="n"/>
      <c r="AO27" s="25" t="n"/>
    </row>
    <row r="28">
      <c r="A28" s="12" t="inlineStr">
        <is>
          <t>drv:파생상품손익</t>
        </is>
      </c>
      <c r="B28" s="2" t="inlineStr">
        <is>
          <t>abs</t>
        </is>
      </c>
      <c r="C28" t="inlineStr">
        <is>
          <t>파생상품손익 (가정, 억원)</t>
        </is>
      </c>
      <c r="E28" s="26">
        <f>subQ!E14</f>
        <v/>
      </c>
      <c r="F28" s="27">
        <f>subQ!F14</f>
        <v/>
      </c>
      <c r="G28" s="26">
        <f>subQ!G14</f>
        <v/>
      </c>
      <c r="H28" s="26">
        <f>subQ!H14</f>
        <v/>
      </c>
      <c r="I28" s="26">
        <f>subQ!I14</f>
        <v/>
      </c>
      <c r="J28" s="26">
        <f>subQ!J14</f>
        <v/>
      </c>
      <c r="K28" s="27">
        <f>subQ!K14</f>
        <v/>
      </c>
      <c r="L28" s="26">
        <f>subQ!L14</f>
        <v/>
      </c>
      <c r="M28" s="26">
        <f>subQ!M14</f>
        <v/>
      </c>
      <c r="N28" s="26">
        <f>subQ!N14</f>
        <v/>
      </c>
      <c r="O28" s="26">
        <f>subQ!O14</f>
        <v/>
      </c>
      <c r="P28" s="27">
        <f>subQ!P14</f>
        <v/>
      </c>
      <c r="Q28" s="26">
        <f>subQ!Q14</f>
        <v/>
      </c>
      <c r="R28" s="26">
        <f>subQ!R14</f>
        <v/>
      </c>
      <c r="S28" s="26">
        <f>subQ!S14</f>
        <v/>
      </c>
      <c r="T28" s="26">
        <f>subQ!T14</f>
        <v/>
      </c>
      <c r="U28" s="27">
        <f>subQ!U14</f>
        <v/>
      </c>
      <c r="V28" s="26">
        <f>subQ!V14</f>
        <v/>
      </c>
      <c r="W28" s="26">
        <f>subQ!W14</f>
        <v/>
      </c>
      <c r="X28" s="26">
        <f>subQ!X14</f>
        <v/>
      </c>
      <c r="Y28" s="26">
        <f>subQ!Y14</f>
        <v/>
      </c>
      <c r="Z28" s="27">
        <f>subQ!Z14</f>
        <v/>
      </c>
      <c r="AA28" s="26">
        <f>subQ!AA14</f>
        <v/>
      </c>
      <c r="AB28" s="28">
        <f>subQ!AB14</f>
        <v/>
      </c>
      <c r="AC28" s="29" t="n">
        <v>0</v>
      </c>
      <c r="AD28" s="29" t="n">
        <v>0</v>
      </c>
      <c r="AE28" s="30">
        <f>subQ!AE14</f>
        <v/>
      </c>
      <c r="AF28" s="29" t="n">
        <v>0</v>
      </c>
      <c r="AG28" s="29" t="n">
        <v>0</v>
      </c>
      <c r="AH28" s="29" t="n">
        <v>0</v>
      </c>
      <c r="AI28" s="29" t="n">
        <v>0</v>
      </c>
      <c r="AJ28" s="30">
        <f>subQ!AJ14</f>
        <v/>
      </c>
      <c r="AK28" s="29" t="n">
        <v>0</v>
      </c>
      <c r="AL28" s="29" t="n">
        <v>0</v>
      </c>
      <c r="AM28" s="29" t="n">
        <v>0</v>
      </c>
      <c r="AN28" s="29" t="n">
        <v>0</v>
      </c>
      <c r="AO28" s="30">
        <f>subQ!AO14</f>
        <v/>
      </c>
    </row>
    <row r="29">
      <c r="A29" s="12" t="inlineStr">
        <is>
          <t>drv:기타금융손익</t>
        </is>
      </c>
      <c r="B29" s="2" t="inlineStr">
        <is>
          <t>yoy</t>
        </is>
      </c>
      <c r="C29" t="inlineStr">
        <is>
          <t>기타금융손익 YoY</t>
        </is>
      </c>
      <c r="E29" s="21" t="n"/>
      <c r="F29" s="22" t="n"/>
      <c r="G29" s="21" t="n"/>
      <c r="H29" s="21" t="n"/>
      <c r="I29" s="21" t="n"/>
      <c r="J29" s="21">
        <f>IFERROR(subQ!J15/subQ!E15-1,"")</f>
        <v/>
      </c>
      <c r="K29" s="22" t="n"/>
      <c r="L29" s="21">
        <f>IFERROR(subQ!L15/subQ!G15-1,"")</f>
        <v/>
      </c>
      <c r="M29" s="21">
        <f>IFERROR(subQ!M15/subQ!H15-1,"")</f>
        <v/>
      </c>
      <c r="N29" s="21">
        <f>IFERROR(subQ!N15/subQ!I15-1,"")</f>
        <v/>
      </c>
      <c r="O29" s="21">
        <f>IFERROR(subQ!O15/subQ!J15-1,"")</f>
        <v/>
      </c>
      <c r="P29" s="22" t="n"/>
      <c r="Q29" s="21">
        <f>IFERROR(subQ!Q15/subQ!L15-1,"")</f>
        <v/>
      </c>
      <c r="R29" s="21">
        <f>IFERROR(subQ!R15/subQ!M15-1,"")</f>
        <v/>
      </c>
      <c r="S29" s="21">
        <f>IFERROR(subQ!S15/subQ!N15-1,"")</f>
        <v/>
      </c>
      <c r="T29" s="21">
        <f>IFERROR(subQ!T15/subQ!O15-1,"")</f>
        <v/>
      </c>
      <c r="U29" s="22" t="n"/>
      <c r="V29" s="21">
        <f>IFERROR(subQ!V15/subQ!Q15-1,"")</f>
        <v/>
      </c>
      <c r="W29" s="21">
        <f>IFERROR(subQ!W15/subQ!R15-1,"")</f>
        <v/>
      </c>
      <c r="X29" s="21">
        <f>IFERROR(subQ!X15/subQ!S15-1,"")</f>
        <v/>
      </c>
      <c r="Y29" s="21">
        <f>IFERROR(subQ!Y15/subQ!T15-1,"")</f>
        <v/>
      </c>
      <c r="Z29" s="22" t="n"/>
      <c r="AA29" s="21">
        <f>IFERROR(subQ!AA15/subQ!V15-1,"")</f>
        <v/>
      </c>
      <c r="AB29" s="23">
        <f>IFERROR(subQ!AB15/subQ!W15-1,"")</f>
        <v/>
      </c>
      <c r="AC29" s="31" t="n"/>
      <c r="AD29" s="31" t="n"/>
      <c r="AE29" s="25" t="n"/>
      <c r="AF29" s="31" t="n"/>
      <c r="AG29" s="31" t="n"/>
      <c r="AH29" s="31" t="n"/>
      <c r="AI29" s="31" t="n"/>
      <c r="AJ29" s="25" t="n"/>
      <c r="AK29" s="31" t="n"/>
      <c r="AL29" s="31" t="n"/>
      <c r="AM29" s="31" t="n"/>
      <c r="AN29" s="31" t="n"/>
      <c r="AO29" s="25" t="n"/>
    </row>
    <row r="30">
      <c r="A30" s="12" t="inlineStr">
        <is>
          <t>drv:기타영업외손익</t>
        </is>
      </c>
      <c r="B30" s="2" t="inlineStr">
        <is>
          <t>abs</t>
        </is>
      </c>
      <c r="C30" t="inlineStr">
        <is>
          <t>기타영업외손익 (가정, 억원)</t>
        </is>
      </c>
      <c r="E30" s="26">
        <f>subQ!E16</f>
        <v/>
      </c>
      <c r="F30" s="27">
        <f>subQ!F16</f>
        <v/>
      </c>
      <c r="G30" s="26">
        <f>subQ!G16</f>
        <v/>
      </c>
      <c r="H30" s="26">
        <f>subQ!H16</f>
        <v/>
      </c>
      <c r="I30" s="26">
        <f>subQ!I16</f>
        <v/>
      </c>
      <c r="J30" s="26">
        <f>subQ!J16</f>
        <v/>
      </c>
      <c r="K30" s="27">
        <f>subQ!K16</f>
        <v/>
      </c>
      <c r="L30" s="26">
        <f>subQ!L16</f>
        <v/>
      </c>
      <c r="M30" s="26">
        <f>subQ!M16</f>
        <v/>
      </c>
      <c r="N30" s="26">
        <f>subQ!N16</f>
        <v/>
      </c>
      <c r="O30" s="26">
        <f>subQ!O16</f>
        <v/>
      </c>
      <c r="P30" s="27">
        <f>subQ!P16</f>
        <v/>
      </c>
      <c r="Q30" s="26">
        <f>subQ!Q16</f>
        <v/>
      </c>
      <c r="R30" s="26">
        <f>subQ!R16</f>
        <v/>
      </c>
      <c r="S30" s="26">
        <f>subQ!S16</f>
        <v/>
      </c>
      <c r="T30" s="26">
        <f>subQ!T16</f>
        <v/>
      </c>
      <c r="U30" s="27">
        <f>subQ!U16</f>
        <v/>
      </c>
      <c r="V30" s="26">
        <f>subQ!V16</f>
        <v/>
      </c>
      <c r="W30" s="26">
        <f>subQ!W16</f>
        <v/>
      </c>
      <c r="X30" s="26">
        <f>subQ!X16</f>
        <v/>
      </c>
      <c r="Y30" s="26">
        <f>subQ!Y16</f>
        <v/>
      </c>
      <c r="Z30" s="27">
        <f>subQ!Z16</f>
        <v/>
      </c>
      <c r="AA30" s="26">
        <f>subQ!AA16</f>
        <v/>
      </c>
      <c r="AB30" s="28">
        <f>subQ!AB16</f>
        <v/>
      </c>
      <c r="AC30" s="29" t="n">
        <v>0</v>
      </c>
      <c r="AD30" s="29" t="n">
        <v>0</v>
      </c>
      <c r="AE30" s="30">
        <f>subQ!AE16</f>
        <v/>
      </c>
      <c r="AF30" s="29" t="n">
        <v>0</v>
      </c>
      <c r="AG30" s="29" t="n">
        <v>0</v>
      </c>
      <c r="AH30" s="29" t="n">
        <v>0</v>
      </c>
      <c r="AI30" s="29" t="n">
        <v>0</v>
      </c>
      <c r="AJ30" s="30">
        <f>subQ!AJ16</f>
        <v/>
      </c>
      <c r="AK30" s="29" t="n">
        <v>0</v>
      </c>
      <c r="AL30" s="29" t="n">
        <v>0</v>
      </c>
      <c r="AM30" s="29" t="n">
        <v>0</v>
      </c>
      <c r="AN30" s="29" t="n">
        <v>0</v>
      </c>
      <c r="AO30" s="30">
        <f>subQ!AO16</f>
        <v/>
      </c>
    </row>
    <row r="31">
      <c r="A31" s="12" t="inlineStr">
        <is>
          <t>drv:지분법손익</t>
        </is>
      </c>
      <c r="B31" s="2" t="inlineStr">
        <is>
          <t>abs</t>
        </is>
      </c>
      <c r="C31" t="inlineStr">
        <is>
          <t>지분법손익 (가정, 억원)</t>
        </is>
      </c>
      <c r="E31" s="26">
        <f>subQ!E17</f>
        <v/>
      </c>
      <c r="F31" s="27">
        <f>subQ!F17</f>
        <v/>
      </c>
      <c r="G31" s="26">
        <f>subQ!G17</f>
        <v/>
      </c>
      <c r="H31" s="26">
        <f>subQ!H17</f>
        <v/>
      </c>
      <c r="I31" s="26">
        <f>subQ!I17</f>
        <v/>
      </c>
      <c r="J31" s="26">
        <f>subQ!J17</f>
        <v/>
      </c>
      <c r="K31" s="27">
        <f>subQ!K17</f>
        <v/>
      </c>
      <c r="L31" s="26">
        <f>subQ!L17</f>
        <v/>
      </c>
      <c r="M31" s="26">
        <f>subQ!M17</f>
        <v/>
      </c>
      <c r="N31" s="26">
        <f>subQ!N17</f>
        <v/>
      </c>
      <c r="O31" s="26">
        <f>subQ!O17</f>
        <v/>
      </c>
      <c r="P31" s="27">
        <f>subQ!P17</f>
        <v/>
      </c>
      <c r="Q31" s="26">
        <f>subQ!Q17</f>
        <v/>
      </c>
      <c r="R31" s="26">
        <f>subQ!R17</f>
        <v/>
      </c>
      <c r="S31" s="26">
        <f>subQ!S17</f>
        <v/>
      </c>
      <c r="T31" s="26">
        <f>subQ!T17</f>
        <v/>
      </c>
      <c r="U31" s="27">
        <f>subQ!U17</f>
        <v/>
      </c>
      <c r="V31" s="26">
        <f>subQ!V17</f>
        <v/>
      </c>
      <c r="W31" s="26">
        <f>subQ!W17</f>
        <v/>
      </c>
      <c r="X31" s="26">
        <f>subQ!X17</f>
        <v/>
      </c>
      <c r="Y31" s="26">
        <f>subQ!Y17</f>
        <v/>
      </c>
      <c r="Z31" s="27">
        <f>subQ!Z17</f>
        <v/>
      </c>
      <c r="AA31" s="26">
        <f>subQ!AA17</f>
        <v/>
      </c>
      <c r="AB31" s="28">
        <f>subQ!AB17</f>
        <v/>
      </c>
      <c r="AC31" s="29" t="n">
        <v>-3.98</v>
      </c>
      <c r="AD31" s="29" t="n">
        <v>-3.98</v>
      </c>
      <c r="AE31" s="30">
        <f>subQ!AE17</f>
        <v/>
      </c>
      <c r="AF31" s="29" t="n">
        <v>-3.98</v>
      </c>
      <c r="AG31" s="29" t="n">
        <v>-3.98</v>
      </c>
      <c r="AH31" s="29" t="n">
        <v>-3.98</v>
      </c>
      <c r="AI31" s="29" t="n">
        <v>-3.98</v>
      </c>
      <c r="AJ31" s="30">
        <f>subQ!AJ17</f>
        <v/>
      </c>
      <c r="AK31" s="29" t="n">
        <v>-3.98</v>
      </c>
      <c r="AL31" s="29" t="n">
        <v>-3.98</v>
      </c>
      <c r="AM31" s="29" t="n">
        <v>-3.98</v>
      </c>
      <c r="AN31" s="29" t="n">
        <v>-3.98</v>
      </c>
      <c r="AO31" s="30">
        <f>subQ!AO17</f>
        <v/>
      </c>
    </row>
    <row r="32">
      <c r="A32" s="12" t="inlineStr">
        <is>
          <t>drv:법인세비용</t>
        </is>
      </c>
      <c r="B32" s="2" t="inlineStr">
        <is>
          <t>ratio</t>
        </is>
      </c>
      <c r="C32" t="inlineStr">
        <is>
          <t>법인세율(/세전)</t>
        </is>
      </c>
      <c r="E32" s="21">
        <f>IFERROR(subQ!E19/subQ!E18,"")</f>
        <v/>
      </c>
      <c r="F32" s="22">
        <f>IFERROR(subQ!F19/subQ!F18,"")</f>
        <v/>
      </c>
      <c r="G32" s="21">
        <f>IFERROR(subQ!G19/subQ!G18,"")</f>
        <v/>
      </c>
      <c r="H32" s="21">
        <f>IFERROR(subQ!H19/subQ!H18,"")</f>
        <v/>
      </c>
      <c r="I32" s="21">
        <f>IFERROR(subQ!I19/subQ!I18,"")</f>
        <v/>
      </c>
      <c r="J32" s="21">
        <f>IFERROR(subQ!J19/subQ!J18,"")</f>
        <v/>
      </c>
      <c r="K32" s="22">
        <f>IFERROR(subQ!K19/subQ!K18,"")</f>
        <v/>
      </c>
      <c r="L32" s="21">
        <f>IFERROR(subQ!L19/subQ!L18,"")</f>
        <v/>
      </c>
      <c r="M32" s="21">
        <f>IFERROR(subQ!M19/subQ!M18,"")</f>
        <v/>
      </c>
      <c r="N32" s="21">
        <f>IFERROR(subQ!N19/subQ!N18,"")</f>
        <v/>
      </c>
      <c r="O32" s="21">
        <f>IFERROR(subQ!O19/subQ!O18,"")</f>
        <v/>
      </c>
      <c r="P32" s="22">
        <f>IFERROR(subQ!P19/subQ!P18,"")</f>
        <v/>
      </c>
      <c r="Q32" s="21">
        <f>IFERROR(subQ!Q19/subQ!Q18,"")</f>
        <v/>
      </c>
      <c r="R32" s="21">
        <f>IFERROR(subQ!R19/subQ!R18,"")</f>
        <v/>
      </c>
      <c r="S32" s="21">
        <f>IFERROR(subQ!S19/subQ!S18,"")</f>
        <v/>
      </c>
      <c r="T32" s="21">
        <f>IFERROR(subQ!T19/subQ!T18,"")</f>
        <v/>
      </c>
      <c r="U32" s="22">
        <f>IFERROR(subQ!U19/subQ!U18,"")</f>
        <v/>
      </c>
      <c r="V32" s="21">
        <f>IFERROR(subQ!V19/subQ!V18,"")</f>
        <v/>
      </c>
      <c r="W32" s="21">
        <f>IFERROR(subQ!W19/subQ!W18,"")</f>
        <v/>
      </c>
      <c r="X32" s="21">
        <f>IFERROR(subQ!X19/subQ!X18,"")</f>
        <v/>
      </c>
      <c r="Y32" s="21">
        <f>IFERROR(subQ!Y19/subQ!Y18,"")</f>
        <v/>
      </c>
      <c r="Z32" s="22">
        <f>IFERROR(subQ!Z19/subQ!Z18,"")</f>
        <v/>
      </c>
      <c r="AA32" s="21">
        <f>IFERROR(subQ!AA19/subQ!AA18,"")</f>
        <v/>
      </c>
      <c r="AB32" s="23">
        <f>IFERROR(subQ!AB19/subQ!AB18,"")</f>
        <v/>
      </c>
      <c r="AC32" s="24" t="n">
        <v>-0</v>
      </c>
      <c r="AD32" s="24" t="n">
        <v>-0</v>
      </c>
      <c r="AE32" s="25">
        <f>IFERROR(subQ!AE19/subQ!AE18,"")</f>
        <v/>
      </c>
      <c r="AF32" s="24" t="n">
        <v>-0</v>
      </c>
      <c r="AG32" s="24" t="n">
        <v>-0</v>
      </c>
      <c r="AH32" s="24" t="n">
        <v>-0</v>
      </c>
      <c r="AI32" s="24" t="n">
        <v>-0</v>
      </c>
      <c r="AJ32" s="25">
        <f>IFERROR(subQ!AJ19/subQ!AJ18,"")</f>
        <v/>
      </c>
      <c r="AK32" s="24" t="n">
        <v>-0</v>
      </c>
      <c r="AL32" s="24" t="n">
        <v>-0</v>
      </c>
      <c r="AM32" s="24" t="n">
        <v>-0</v>
      </c>
      <c r="AN32" s="24" t="n">
        <v>-0</v>
      </c>
      <c r="AO32" s="25">
        <f>IFERROR(subQ!AO19/subQ!AO18,"")</f>
        <v/>
      </c>
    </row>
    <row r="33">
      <c r="A33" s="12" t="inlineStr">
        <is>
          <t>drv:지배주주순이익</t>
        </is>
      </c>
      <c r="B33" s="2" t="inlineStr">
        <is>
          <t>ratio</t>
        </is>
      </c>
      <c r="C33" t="inlineStr">
        <is>
          <t>지배주주 비중(/당기순이익)</t>
        </is>
      </c>
      <c r="E33" s="21">
        <f>IFERROR(subQ!E21/subQ!E20,"")</f>
        <v/>
      </c>
      <c r="F33" s="22">
        <f>IFERROR(subQ!F21/subQ!F20,"")</f>
        <v/>
      </c>
      <c r="G33" s="21">
        <f>IFERROR(subQ!G21/subQ!G20,"")</f>
        <v/>
      </c>
      <c r="H33" s="21">
        <f>IFERROR(subQ!H21/subQ!H20,"")</f>
        <v/>
      </c>
      <c r="I33" s="21">
        <f>IFERROR(subQ!I21/subQ!I20,"")</f>
        <v/>
      </c>
      <c r="J33" s="21">
        <f>IFERROR(subQ!J21/subQ!J20,"")</f>
        <v/>
      </c>
      <c r="K33" s="22">
        <f>IFERROR(subQ!K21/subQ!K20,"")</f>
        <v/>
      </c>
      <c r="L33" s="21">
        <f>IFERROR(subQ!L21/subQ!L20,"")</f>
        <v/>
      </c>
      <c r="M33" s="21">
        <f>IFERROR(subQ!M21/subQ!M20,"")</f>
        <v/>
      </c>
      <c r="N33" s="21">
        <f>IFERROR(subQ!N21/subQ!N20,"")</f>
        <v/>
      </c>
      <c r="O33" s="21">
        <f>IFERROR(subQ!O21/subQ!O20,"")</f>
        <v/>
      </c>
      <c r="P33" s="22">
        <f>IFERROR(subQ!P21/subQ!P20,"")</f>
        <v/>
      </c>
      <c r="Q33" s="21">
        <f>IFERROR(subQ!Q21/subQ!Q20,"")</f>
        <v/>
      </c>
      <c r="R33" s="21">
        <f>IFERROR(subQ!R21/subQ!R20,"")</f>
        <v/>
      </c>
      <c r="S33" s="21">
        <f>IFERROR(subQ!S21/subQ!S20,"")</f>
        <v/>
      </c>
      <c r="T33" s="21">
        <f>IFERROR(subQ!T21/subQ!T20,"")</f>
        <v/>
      </c>
      <c r="U33" s="22">
        <f>IFERROR(subQ!U21/subQ!U20,"")</f>
        <v/>
      </c>
      <c r="V33" s="21">
        <f>IFERROR(subQ!V21/subQ!V20,"")</f>
        <v/>
      </c>
      <c r="W33" s="21">
        <f>IFERROR(subQ!W21/subQ!W20,"")</f>
        <v/>
      </c>
      <c r="X33" s="21">
        <f>IFERROR(subQ!X21/subQ!X20,"")</f>
        <v/>
      </c>
      <c r="Y33" s="21">
        <f>IFERROR(subQ!Y21/subQ!Y20,"")</f>
        <v/>
      </c>
      <c r="Z33" s="22">
        <f>IFERROR(subQ!Z21/subQ!Z20,"")</f>
        <v/>
      </c>
      <c r="AA33" s="21">
        <f>IFERROR(subQ!AA21/subQ!AA20,"")</f>
        <v/>
      </c>
      <c r="AB33" s="23">
        <f>IFERROR(subQ!AB21/subQ!AB20,"")</f>
        <v/>
      </c>
      <c r="AC33" s="24" t="n">
        <v>1</v>
      </c>
      <c r="AD33" s="24" t="n">
        <v>1</v>
      </c>
      <c r="AE33" s="25">
        <f>IFERROR(subQ!AE21/subQ!AE20,"")</f>
        <v/>
      </c>
      <c r="AF33" s="24" t="n">
        <v>1</v>
      </c>
      <c r="AG33" s="24" t="n">
        <v>1</v>
      </c>
      <c r="AH33" s="24" t="n">
        <v>1</v>
      </c>
      <c r="AI33" s="24" t="n">
        <v>1</v>
      </c>
      <c r="AJ33" s="25">
        <f>IFERROR(subQ!AJ21/subQ!AJ20,"")</f>
        <v/>
      </c>
      <c r="AK33" s="24" t="n">
        <v>1</v>
      </c>
      <c r="AL33" s="24" t="n">
        <v>1</v>
      </c>
      <c r="AM33" s="24" t="n">
        <v>1</v>
      </c>
      <c r="AN33" s="24" t="n">
        <v>1</v>
      </c>
      <c r="AO33" s="25">
        <f>IFERROR(subQ!AO21/subQ!AO20,"")</f>
        <v/>
      </c>
    </row>
    <row r="34">
      <c r="A34" s="12" t="inlineStr">
        <is>
          <t>drv:부채총계</t>
        </is>
      </c>
      <c r="B34" s="2" t="inlineStr">
        <is>
          <t>qoq</t>
        </is>
      </c>
      <c r="C34" t="inlineStr">
        <is>
          <t>부채총계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drv:자본총계</t>
        </is>
      </c>
      <c r="B35" s="2" t="inlineStr">
        <is>
          <t>roll</t>
        </is>
      </c>
      <c r="C35" t="inlineStr">
        <is>
          <t>자본총계 기타변동(배당 등, 억원)</t>
        </is>
      </c>
      <c r="E35" s="26" t="n"/>
      <c r="F35" s="27" t="n"/>
      <c r="G35" s="26">
        <f>IFERROR(subQ!E24+subQ!G20-subQ!G24,"")</f>
        <v/>
      </c>
      <c r="H35" s="26">
        <f>IFERROR(subQ!G24+subQ!H20-subQ!H24,"")</f>
        <v/>
      </c>
      <c r="I35" s="26">
        <f>IFERROR(subQ!H24+subQ!I20-subQ!I24,"")</f>
        <v/>
      </c>
      <c r="J35" s="26">
        <f>IFERROR(subQ!I24+subQ!J20-subQ!J24,"")</f>
        <v/>
      </c>
      <c r="K35" s="27" t="n"/>
      <c r="L35" s="26">
        <f>IFERROR(subQ!J24+subQ!L20-subQ!L24,"")</f>
        <v/>
      </c>
      <c r="M35" s="26">
        <f>IFERROR(subQ!L24+subQ!M20-subQ!M24,"")</f>
        <v/>
      </c>
      <c r="N35" s="26">
        <f>IFERROR(subQ!M24+subQ!N20-subQ!N24,"")</f>
        <v/>
      </c>
      <c r="O35" s="26">
        <f>IFERROR(subQ!N24+subQ!O20-subQ!O24,"")</f>
        <v/>
      </c>
      <c r="P35" s="27" t="n"/>
      <c r="Q35" s="26">
        <f>IFERROR(subQ!O24+subQ!Q20-subQ!Q24,"")</f>
        <v/>
      </c>
      <c r="R35" s="26">
        <f>IFERROR(subQ!Q24+subQ!R20-subQ!R24,"")</f>
        <v/>
      </c>
      <c r="S35" s="26">
        <f>IFERROR(subQ!R24+subQ!S20-subQ!S24,"")</f>
        <v/>
      </c>
      <c r="T35" s="26">
        <f>IFERROR(subQ!S24+subQ!T20-subQ!T24,"")</f>
        <v/>
      </c>
      <c r="U35" s="27" t="n"/>
      <c r="V35" s="26">
        <f>IFERROR(subQ!T24+subQ!V20-subQ!V24,"")</f>
        <v/>
      </c>
      <c r="W35" s="26">
        <f>IFERROR(subQ!V24+subQ!W20-subQ!W24,"")</f>
        <v/>
      </c>
      <c r="X35" s="26">
        <f>IFERROR(subQ!W24+subQ!X20-subQ!X24,"")</f>
        <v/>
      </c>
      <c r="Y35" s="26">
        <f>IFERROR(subQ!X24+subQ!Y20-subQ!Y24,"")</f>
        <v/>
      </c>
      <c r="Z35" s="27" t="n"/>
      <c r="AA35" s="26">
        <f>IFERROR(subQ!Y24+subQ!AA20-subQ!AA24,"")</f>
        <v/>
      </c>
      <c r="AB35" s="28">
        <f>IFERROR(subQ!AA24+subQ!AB20-subQ!AB24,"")</f>
        <v/>
      </c>
      <c r="AC35" s="29" t="n">
        <v>0.0053</v>
      </c>
      <c r="AD35" s="29" t="n">
        <v>0</v>
      </c>
      <c r="AE35" s="30" t="n"/>
      <c r="AF35" s="29" t="n">
        <v>0</v>
      </c>
      <c r="AG35" s="29" t="n">
        <v>0</v>
      </c>
      <c r="AH35" s="29" t="n">
        <v>0.01</v>
      </c>
      <c r="AI35" s="29" t="n">
        <v>-0.01</v>
      </c>
      <c r="AJ35" s="30" t="n"/>
      <c r="AK35" s="29" t="n">
        <v>0</v>
      </c>
      <c r="AL35" s="29" t="n">
        <v>0</v>
      </c>
      <c r="AM35" s="29" t="n">
        <v>0</v>
      </c>
      <c r="AN35" s="29" t="n">
        <v>0</v>
      </c>
      <c r="AO35" s="30" t="n"/>
    </row>
    <row r="36">
      <c r="A36" s="12" t="inlineStr">
        <is>
          <t>drv:지배주주지분</t>
        </is>
      </c>
      <c r="B36" s="2" t="inlineStr">
        <is>
          <t>roll</t>
        </is>
      </c>
      <c r="C36" t="inlineStr">
        <is>
          <t>지배주주지분 기타변동(배당 등, 억원)</t>
        </is>
      </c>
      <c r="E36" s="26" t="n"/>
      <c r="F36" s="27" t="n"/>
      <c r="G36" s="26">
        <f>IFERROR(subQ!E25+subQ!G21-subQ!G25,"")</f>
        <v/>
      </c>
      <c r="H36" s="26">
        <f>IFERROR(subQ!G25+subQ!H21-subQ!H25,"")</f>
        <v/>
      </c>
      <c r="I36" s="26">
        <f>IFERROR(subQ!H25+subQ!I21-subQ!I25,"")</f>
        <v/>
      </c>
      <c r="J36" s="26">
        <f>IFERROR(subQ!I25+subQ!J21-subQ!J25,"")</f>
        <v/>
      </c>
      <c r="K36" s="27" t="n"/>
      <c r="L36" s="26">
        <f>IFERROR(subQ!J25+subQ!L21-subQ!L25,"")</f>
        <v/>
      </c>
      <c r="M36" s="26">
        <f>IFERROR(subQ!L25+subQ!M21-subQ!M25,"")</f>
        <v/>
      </c>
      <c r="N36" s="26">
        <f>IFERROR(subQ!M25+subQ!N21-subQ!N25,"")</f>
        <v/>
      </c>
      <c r="O36" s="26">
        <f>IFERROR(subQ!N25+subQ!O21-subQ!O25,"")</f>
        <v/>
      </c>
      <c r="P36" s="27" t="n"/>
      <c r="Q36" s="26">
        <f>IFERROR(subQ!O25+subQ!Q21-subQ!Q25,"")</f>
        <v/>
      </c>
      <c r="R36" s="26">
        <f>IFERROR(subQ!Q25+subQ!R21-subQ!R25,"")</f>
        <v/>
      </c>
      <c r="S36" s="26">
        <f>IFERROR(subQ!R25+subQ!S21-subQ!S25,"")</f>
        <v/>
      </c>
      <c r="T36" s="26">
        <f>IFERROR(subQ!S25+subQ!T21-subQ!T25,"")</f>
        <v/>
      </c>
      <c r="U36" s="27" t="n"/>
      <c r="V36" s="26">
        <f>IFERROR(subQ!T25+subQ!V21-subQ!V25,"")</f>
        <v/>
      </c>
      <c r="W36" s="26">
        <f>IFERROR(subQ!V25+subQ!W21-subQ!W25,"")</f>
        <v/>
      </c>
      <c r="X36" s="26">
        <f>IFERROR(subQ!W25+subQ!X21-subQ!X25,"")</f>
        <v/>
      </c>
      <c r="Y36" s="26">
        <f>IFERROR(subQ!X25+subQ!Y21-subQ!Y25,"")</f>
        <v/>
      </c>
      <c r="Z36" s="27" t="n"/>
      <c r="AA36" s="26">
        <f>IFERROR(subQ!Y25+subQ!AA21-subQ!AA25,"")</f>
        <v/>
      </c>
      <c r="AB36" s="28">
        <f>IFERROR(subQ!AA25+subQ!AB21-subQ!AB25,"")</f>
        <v/>
      </c>
      <c r="AC36" s="29" t="n">
        <v>0.0013</v>
      </c>
      <c r="AD36" s="29" t="n">
        <v>0</v>
      </c>
      <c r="AE36" s="30" t="n"/>
      <c r="AF36" s="29" t="n">
        <v>-0</v>
      </c>
      <c r="AG36" s="29" t="n">
        <v>0.01</v>
      </c>
      <c r="AH36" s="29" t="n">
        <v>0</v>
      </c>
      <c r="AI36" s="29" t="n">
        <v>0</v>
      </c>
      <c r="AJ36" s="30" t="n"/>
      <c r="AK36" s="29" t="n">
        <v>0</v>
      </c>
      <c r="AL36" s="29" t="n">
        <v>-0.01</v>
      </c>
      <c r="AM36" s="29" t="n">
        <v>0.01</v>
      </c>
      <c r="AN36" s="29" t="n">
        <v>-0.01</v>
      </c>
      <c r="AO36" s="30" t="n"/>
    </row>
    <row r="37">
      <c r="A37" s="12" t="inlineStr">
        <is>
          <t>drv:총차입금</t>
        </is>
      </c>
      <c r="B37" s="2" t="inlineStr">
        <is>
          <t>qoq</t>
        </is>
      </c>
      <c r="C37" t="inlineStr">
        <is>
          <t>총차입금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1e-05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drv:순차입금</t>
        </is>
      </c>
      <c r="B38" s="2" t="inlineStr">
        <is>
          <t>qoq</t>
        </is>
      </c>
      <c r="C38" t="inlineStr">
        <is>
          <t>순차입금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0.017397</v>
      </c>
      <c r="AD38" s="24" t="n">
        <v>0.021236</v>
      </c>
      <c r="AE38" s="25" t="n"/>
      <c r="AF38" s="24" t="n">
        <v>0.024247</v>
      </c>
      <c r="AG38" s="24" t="n">
        <v>0.019244</v>
      </c>
      <c r="AH38" s="24" t="n">
        <v>0.015228</v>
      </c>
      <c r="AI38" s="24" t="n">
        <v>0.019242</v>
      </c>
      <c r="AJ38" s="25" t="n"/>
      <c r="AK38" s="24" t="n">
        <v>0.022409</v>
      </c>
      <c r="AL38" s="24" t="n">
        <v>0.017302</v>
      </c>
      <c r="AM38" s="24" t="n">
        <v>0.013899</v>
      </c>
      <c r="AN38" s="24" t="n">
        <v>0.017796</v>
      </c>
      <c r="AO38" s="25" t="n"/>
    </row>
    <row r="39">
      <c r="A39" s="12" t="inlineStr">
        <is>
          <t>drv:이자발생자산</t>
        </is>
      </c>
      <c r="B39" s="2" t="inlineStr">
        <is>
          <t>qoq</t>
        </is>
      </c>
      <c r="C39" t="inlineStr">
        <is>
          <t>이자발생자산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-0.024771</v>
      </c>
      <c r="AD39" s="24" t="n">
        <v>-0.031524</v>
      </c>
      <c r="AE39" s="25" t="n"/>
      <c r="AF39" s="24" t="n">
        <v>-0.037954</v>
      </c>
      <c r="AG39" s="24" t="n">
        <v>-0.032005</v>
      </c>
      <c r="AH39" s="24" t="n">
        <v>-0.026788</v>
      </c>
      <c r="AI39" s="24" t="n">
        <v>-0.035222</v>
      </c>
      <c r="AJ39" s="25" t="n"/>
      <c r="AK39" s="24" t="n">
        <v>-0.043263</v>
      </c>
      <c r="AL39" s="24" t="n">
        <v>-0.03583</v>
      </c>
      <c r="AM39" s="24" t="n">
        <v>-0.030227</v>
      </c>
      <c r="AN39" s="24" t="n">
        <v>-0.040649</v>
      </c>
      <c r="AO39" s="25" t="n"/>
    </row>
    <row r="40">
      <c r="A40" s="12" t="inlineStr">
        <is>
          <t>drv:현금및현금성자산</t>
        </is>
      </c>
      <c r="B40" s="2" t="inlineStr">
        <is>
          <t>qoq</t>
        </is>
      </c>
      <c r="C40" t="inlineStr">
        <is>
          <t>현금및현금성자산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drv:CAPEX</t>
        </is>
      </c>
      <c r="B41" s="2" t="inlineStr">
        <is>
          <t>yoy</t>
        </is>
      </c>
      <c r="C41" t="inlineStr">
        <is>
          <t>CAPEX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drv:영업활동현금흐름</t>
        </is>
      </c>
      <c r="B42" s="2" t="inlineStr">
        <is>
          <t>yoy</t>
        </is>
      </c>
      <c r="C42" t="inlineStr">
        <is>
          <t>영업활동현금흐름 YoY</t>
        </is>
      </c>
      <c r="E42" s="21" t="n"/>
      <c r="F42" s="22" t="n"/>
      <c r="G42" s="21" t="n"/>
      <c r="H42" s="21" t="n"/>
      <c r="I42" s="21" t="n"/>
      <c r="J42" s="21">
        <f>IFERROR(subQ!J31/subQ!E31-1,"")</f>
        <v/>
      </c>
      <c r="K42" s="22" t="n"/>
      <c r="L42" s="21">
        <f>IFERROR(subQ!L31/subQ!G31-1,"")</f>
        <v/>
      </c>
      <c r="M42" s="21">
        <f>IFERROR(subQ!M31/subQ!H31-1,"")</f>
        <v/>
      </c>
      <c r="N42" s="21">
        <f>IFERROR(subQ!N31/subQ!I31-1,"")</f>
        <v/>
      </c>
      <c r="O42" s="21">
        <f>IFERROR(subQ!O31/subQ!J31-1,"")</f>
        <v/>
      </c>
      <c r="P42" s="22" t="n"/>
      <c r="Q42" s="21">
        <f>IFERROR(subQ!Q31/subQ!L31-1,"")</f>
        <v/>
      </c>
      <c r="R42" s="21">
        <f>IFERROR(subQ!R31/subQ!M31-1,"")</f>
        <v/>
      </c>
      <c r="S42" s="21">
        <f>IFERROR(subQ!S31/subQ!N31-1,"")</f>
        <v/>
      </c>
      <c r="T42" s="21">
        <f>IFERROR(subQ!T31/subQ!O31-1,"")</f>
        <v/>
      </c>
      <c r="U42" s="22" t="n"/>
      <c r="V42" s="21">
        <f>IFERROR(subQ!V31/subQ!Q31-1,"")</f>
        <v/>
      </c>
      <c r="W42" s="21">
        <f>IFERROR(subQ!W31/subQ!R31-1,"")</f>
        <v/>
      </c>
      <c r="X42" s="21">
        <f>IFERROR(subQ!X31/subQ!S31-1,"")</f>
        <v/>
      </c>
      <c r="Y42" s="21">
        <f>IFERROR(subQ!Y31/subQ!T31-1,"")</f>
        <v/>
      </c>
      <c r="Z42" s="22" t="n"/>
      <c r="AA42" s="21">
        <f>IFERROR(subQ!AA31/subQ!V31-1,"")</f>
        <v/>
      </c>
      <c r="AB42" s="23">
        <f>IFERROR(subQ!AB31/subQ!W31-1,"")</f>
        <v/>
      </c>
      <c r="AC42" s="31" t="n"/>
      <c r="AD42" s="31" t="n"/>
      <c r="AE42" s="25" t="n"/>
      <c r="AF42" s="31" t="n"/>
      <c r="AG42" s="31" t="n"/>
      <c r="AH42" s="31" t="n"/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drv:주식수</t>
        </is>
      </c>
      <c r="B43" s="2" t="inlineStr">
        <is>
          <t>qoq</t>
        </is>
      </c>
      <c r="C43" t="inlineStr">
        <is>
          <t>주식수 QoQ</t>
        </is>
      </c>
      <c r="E43" s="21" t="n"/>
      <c r="F43" s="22" t="n"/>
      <c r="G43" s="21">
        <f>IFERROR(subQ!G32/subQ!E32-1,"")</f>
        <v/>
      </c>
      <c r="H43" s="21">
        <f>IFERROR(subQ!H32/subQ!G32-1,"")</f>
        <v/>
      </c>
      <c r="I43" s="21">
        <f>IFERROR(subQ!I32/subQ!H32-1,"")</f>
        <v/>
      </c>
      <c r="J43" s="21">
        <f>IFERROR(subQ!J32/subQ!I32-1,"")</f>
        <v/>
      </c>
      <c r="K43" s="22" t="n"/>
      <c r="L43" s="21">
        <f>IFERROR(subQ!L32/subQ!J32-1,"")</f>
        <v/>
      </c>
      <c r="M43" s="21">
        <f>IFERROR(subQ!M32/subQ!L32-1,"")</f>
        <v/>
      </c>
      <c r="N43" s="21">
        <f>IFERROR(subQ!N32/subQ!M32-1,"")</f>
        <v/>
      </c>
      <c r="O43" s="21">
        <f>IFERROR(subQ!O32/subQ!N32-1,"")</f>
        <v/>
      </c>
      <c r="P43" s="22" t="n"/>
      <c r="Q43" s="21">
        <f>IFERROR(subQ!Q32/subQ!O32-1,"")</f>
        <v/>
      </c>
      <c r="R43" s="21">
        <f>IFERROR(subQ!R32/subQ!Q32-1,"")</f>
        <v/>
      </c>
      <c r="S43" s="21">
        <f>IFERROR(subQ!S32/subQ!R32-1,"")</f>
        <v/>
      </c>
      <c r="T43" s="21">
        <f>IFERROR(subQ!T32/subQ!S32-1,"")</f>
        <v/>
      </c>
      <c r="U43" s="22" t="n"/>
      <c r="V43" s="21">
        <f>IFERROR(subQ!V32/subQ!T32-1,"")</f>
        <v/>
      </c>
      <c r="W43" s="21">
        <f>IFERROR(subQ!W32/subQ!V32-1,"")</f>
        <v/>
      </c>
      <c r="X43" s="21">
        <f>IFERROR(subQ!X32/subQ!W32-1,"")</f>
        <v/>
      </c>
      <c r="Y43" s="21">
        <f>IFERROR(subQ!Y32/subQ!X32-1,"")</f>
        <v/>
      </c>
      <c r="Z43" s="22" t="n"/>
      <c r="AA43" s="21">
        <f>IFERROR(subQ!AA32/subQ!Y32-1,"")</f>
        <v/>
      </c>
      <c r="AB43" s="23">
        <f>IFERROR(subQ!AB32/subQ!AA32-1,"")</f>
        <v/>
      </c>
      <c r="AC43" s="24" t="n">
        <v>0</v>
      </c>
      <c r="AD43" s="24" t="n">
        <v>0</v>
      </c>
      <c r="AE43" s="25" t="n"/>
      <c r="AF43" s="24" t="n">
        <v>0</v>
      </c>
      <c r="AG43" s="24" t="n">
        <v>0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drv:DPS</t>
        </is>
      </c>
      <c r="B44" s="2" t="inlineStr">
        <is>
          <t>yoy</t>
        </is>
      </c>
      <c r="C44" t="inlineStr">
        <is>
          <t>DPS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31" t="n"/>
      <c r="AE44" s="25" t="n"/>
      <c r="AF44" s="31" t="n"/>
      <c r="AG44" s="31" t="n"/>
      <c r="AH44" s="31" t="n"/>
      <c r="AI44" s="31" t="n"/>
      <c r="AJ44" s="25" t="n"/>
      <c r="AK44" s="31" t="n"/>
      <c r="AL44" s="31" t="n"/>
      <c r="AM44" s="31" t="n"/>
      <c r="AN44" s="31" t="n"/>
      <c r="AO44" s="25" t="n"/>
    </row>
    <row r="45">
      <c r="A45" s="12" t="inlineStr">
        <is>
          <t>drv:PER</t>
        </is>
      </c>
      <c r="B45" s="2" t="inlineStr">
        <is>
          <t>yoy</t>
        </is>
      </c>
      <c r="C45" t="inlineStr">
        <is>
          <t>PER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31" t="n"/>
      <c r="AD45" s="31" t="n"/>
      <c r="AE45" s="25" t="n"/>
      <c r="AF45" s="31" t="n"/>
      <c r="AG45" s="31" t="n"/>
      <c r="AH45" s="31" t="n"/>
      <c r="AI45" s="31" t="n"/>
      <c r="AJ45" s="25" t="n"/>
      <c r="AK45" s="31" t="n"/>
      <c r="AL45" s="31" t="n"/>
      <c r="AM45" s="31" t="n"/>
      <c r="AN45" s="31" t="n"/>
      <c r="AO45" s="25" t="n"/>
    </row>
    <row r="46">
      <c r="A46" s="12" t="inlineStr">
        <is>
          <t>drv:PBR</t>
        </is>
      </c>
      <c r="B46" s="2" t="inlineStr">
        <is>
          <t>yoy</t>
        </is>
      </c>
      <c r="C46" t="inlineStr">
        <is>
          <t>PBR YoY</t>
        </is>
      </c>
      <c r="E46" s="21" t="n"/>
      <c r="F46" s="22" t="n"/>
      <c r="G46" s="21" t="n"/>
      <c r="H46" s="21" t="n"/>
      <c r="I46" s="21" t="n"/>
      <c r="J46" s="21">
        <f>IFERROR(subQ!J37/subQ!E37-1,"")</f>
        <v/>
      </c>
      <c r="K46" s="22" t="n"/>
      <c r="L46" s="21">
        <f>IFERROR(subQ!L37/subQ!G37-1,"")</f>
        <v/>
      </c>
      <c r="M46" s="21">
        <f>IFERROR(subQ!M37/subQ!H37-1,"")</f>
        <v/>
      </c>
      <c r="N46" s="21">
        <f>IFERROR(subQ!N37/subQ!I37-1,"")</f>
        <v/>
      </c>
      <c r="O46" s="21">
        <f>IFERROR(subQ!O37/subQ!J37-1,"")</f>
        <v/>
      </c>
      <c r="P46" s="22" t="n"/>
      <c r="Q46" s="21">
        <f>IFERROR(subQ!Q37/subQ!L37-1,"")</f>
        <v/>
      </c>
      <c r="R46" s="21">
        <f>IFERROR(subQ!R37/subQ!M37-1,"")</f>
        <v/>
      </c>
      <c r="S46" s="21">
        <f>IFERROR(subQ!S37/subQ!N37-1,"")</f>
        <v/>
      </c>
      <c r="T46" s="21">
        <f>IFERROR(subQ!T37/subQ!O37-1,"")</f>
        <v/>
      </c>
      <c r="U46" s="22" t="n"/>
      <c r="V46" s="21">
        <f>IFERROR(subQ!V37/subQ!Q37-1,"")</f>
        <v/>
      </c>
      <c r="W46" s="21">
        <f>IFERROR(subQ!W37/subQ!R37-1,"")</f>
        <v/>
      </c>
      <c r="X46" s="21">
        <f>IFERROR(subQ!X37/subQ!S37-1,"")</f>
        <v/>
      </c>
      <c r="Y46" s="21">
        <f>IFERROR(subQ!Y37/subQ!T37-1,"")</f>
        <v/>
      </c>
      <c r="Z46" s="22" t="n"/>
      <c r="AA46" s="21">
        <f>IFERROR(subQ!AA37/subQ!V37-1,"")</f>
        <v/>
      </c>
      <c r="AB46" s="23">
        <f>IFERROR(subQ!AB37/subQ!W37-1,"")</f>
        <v/>
      </c>
      <c r="AC46" s="24" t="n">
        <v>0.85124</v>
      </c>
      <c r="AD46" s="24" t="n">
        <v>0.118227</v>
      </c>
      <c r="AE46" s="25" t="n"/>
      <c r="AF46" s="24" t="n">
        <v>-0.212329</v>
      </c>
      <c r="AG46" s="24" t="n">
        <v>-0.380319</v>
      </c>
      <c r="AH46" s="24" t="n">
        <v>0.049107</v>
      </c>
      <c r="AI46" s="24" t="n">
        <v>0.048458</v>
      </c>
      <c r="AJ46" s="25" t="n"/>
      <c r="AK46" s="24" t="n">
        <v>0.052174</v>
      </c>
      <c r="AL46" s="24" t="n">
        <v>0.051502</v>
      </c>
      <c r="AM46" s="24" t="n">
        <v>0.055319</v>
      </c>
      <c r="AN46" s="24" t="n">
        <v>0.054622</v>
      </c>
      <c r="AO46" s="25" t="n"/>
    </row>
    <row r="47">
      <c r="A47" s="12" t="inlineStr">
        <is>
          <t>drv:매출전사</t>
        </is>
      </c>
      <c r="B47" s="2" t="inlineStr">
        <is>
          <t>ratio</t>
        </is>
      </c>
      <c r="C47" t="inlineStr">
        <is>
          <t>매출전사 비중(/매출액)</t>
        </is>
      </c>
      <c r="E47" s="21">
        <f>IFERROR(subQ!E38/subQ!E5,"")</f>
        <v/>
      </c>
      <c r="F47" s="22">
        <f>IFERROR(subQ!F38/subQ!F5,"")</f>
        <v/>
      </c>
      <c r="G47" s="21">
        <f>IFERROR(subQ!G38/subQ!G5,"")</f>
        <v/>
      </c>
      <c r="H47" s="21">
        <f>IFERROR(subQ!H38/subQ!H5,"")</f>
        <v/>
      </c>
      <c r="I47" s="21">
        <f>IFERROR(subQ!I38/subQ!I5,"")</f>
        <v/>
      </c>
      <c r="J47" s="21">
        <f>IFERROR(subQ!J38/subQ!J5,"")</f>
        <v/>
      </c>
      <c r="K47" s="22">
        <f>IFERROR(subQ!K38/subQ!K5,"")</f>
        <v/>
      </c>
      <c r="L47" s="21">
        <f>IFERROR(subQ!L38/subQ!L5,"")</f>
        <v/>
      </c>
      <c r="M47" s="21">
        <f>IFERROR(subQ!M38/subQ!M5,"")</f>
        <v/>
      </c>
      <c r="N47" s="21">
        <f>IFERROR(subQ!N38/subQ!N5,"")</f>
        <v/>
      </c>
      <c r="O47" s="21">
        <f>IFERROR(subQ!O38/subQ!O5,"")</f>
        <v/>
      </c>
      <c r="P47" s="22">
        <f>IFERROR(subQ!P38/subQ!P5,"")</f>
        <v/>
      </c>
      <c r="Q47" s="21">
        <f>IFERROR(subQ!Q38/subQ!Q5,"")</f>
        <v/>
      </c>
      <c r="R47" s="21">
        <f>IFERROR(subQ!R38/subQ!R5,"")</f>
        <v/>
      </c>
      <c r="S47" s="21">
        <f>IFERROR(subQ!S38/subQ!S5,"")</f>
        <v/>
      </c>
      <c r="T47" s="21">
        <f>IFERROR(subQ!T38/subQ!T5,"")</f>
        <v/>
      </c>
      <c r="U47" s="22">
        <f>IFERROR(subQ!U38/subQ!U5,"")</f>
        <v/>
      </c>
      <c r="V47" s="21">
        <f>IFERROR(subQ!V38/subQ!V5,"")</f>
        <v/>
      </c>
      <c r="W47" s="21">
        <f>IFERROR(subQ!W38/subQ!W5,"")</f>
        <v/>
      </c>
      <c r="X47" s="21">
        <f>IFERROR(subQ!X38/subQ!X5,"")</f>
        <v/>
      </c>
      <c r="Y47" s="21">
        <f>IFERROR(subQ!Y38/subQ!Y5,"")</f>
        <v/>
      </c>
      <c r="Z47" s="22">
        <f>IFERROR(subQ!Z38/subQ!Z5,"")</f>
        <v/>
      </c>
      <c r="AA47" s="21">
        <f>IFERROR(subQ!AA38/subQ!AA5,"")</f>
        <v/>
      </c>
      <c r="AB47" s="23">
        <f>IFERROR(subQ!AB38/subQ!AB5,"")</f>
        <v/>
      </c>
      <c r="AC47" s="24" t="n">
        <v>1</v>
      </c>
      <c r="AD47" s="24" t="n">
        <v>1</v>
      </c>
      <c r="AE47" s="25">
        <f>IFERROR(subQ!AE38/subQ!AE5,"")</f>
        <v/>
      </c>
      <c r="AF47" s="24" t="n">
        <v>1</v>
      </c>
      <c r="AG47" s="24" t="n">
        <v>1</v>
      </c>
      <c r="AH47" s="24" t="n">
        <v>1</v>
      </c>
      <c r="AI47" s="24" t="n">
        <v>1</v>
      </c>
      <c r="AJ47" s="25">
        <f>IFERROR(subQ!AJ38/subQ!AJ5,"")</f>
        <v/>
      </c>
      <c r="AK47" s="24" t="n">
        <v>1</v>
      </c>
      <c r="AL47" s="24" t="n">
        <v>1</v>
      </c>
      <c r="AM47" s="24" t="n">
        <v>1</v>
      </c>
      <c r="AN47" s="24" t="n">
        <v>1</v>
      </c>
      <c r="AO47" s="25">
        <f>IFERROR(subQ!AO38/subQ!AO5,"")</f>
        <v/>
      </c>
    </row>
    <row r="48">
      <c r="A48" s="12" t="inlineStr">
        <is>
          <t>drv:OP전사</t>
        </is>
      </c>
      <c r="B48" s="2" t="inlineStr">
        <is>
          <t>ratio</t>
        </is>
      </c>
      <c r="C48" t="inlineStr">
        <is>
          <t>OP전사 마진(/매출전사)</t>
        </is>
      </c>
      <c r="E48" s="21">
        <f>IFERROR(subQ!E39/subQ!E38,"")</f>
        <v/>
      </c>
      <c r="F48" s="22">
        <f>IFERROR(subQ!F39/subQ!F38,"")</f>
        <v/>
      </c>
      <c r="G48" s="21">
        <f>IFERROR(subQ!G39/subQ!G38,"")</f>
        <v/>
      </c>
      <c r="H48" s="21">
        <f>IFERROR(subQ!H39/subQ!H38,"")</f>
        <v/>
      </c>
      <c r="I48" s="21">
        <f>IFERROR(subQ!I39/subQ!I38,"")</f>
        <v/>
      </c>
      <c r="J48" s="21">
        <f>IFERROR(subQ!J39/subQ!J38,"")</f>
        <v/>
      </c>
      <c r="K48" s="22">
        <f>IFERROR(subQ!K39/subQ!K38,"")</f>
        <v/>
      </c>
      <c r="L48" s="21">
        <f>IFERROR(subQ!L39/subQ!L38,"")</f>
        <v/>
      </c>
      <c r="M48" s="21">
        <f>IFERROR(subQ!M39/subQ!M38,"")</f>
        <v/>
      </c>
      <c r="N48" s="21">
        <f>IFERROR(subQ!N39/subQ!N38,"")</f>
        <v/>
      </c>
      <c r="O48" s="21">
        <f>IFERROR(subQ!O39/subQ!O38,"")</f>
        <v/>
      </c>
      <c r="P48" s="22">
        <f>IFERROR(subQ!P39/subQ!P38,"")</f>
        <v/>
      </c>
      <c r="Q48" s="21">
        <f>IFERROR(subQ!Q39/subQ!Q38,"")</f>
        <v/>
      </c>
      <c r="R48" s="21">
        <f>IFERROR(subQ!R39/subQ!R38,"")</f>
        <v/>
      </c>
      <c r="S48" s="21">
        <f>IFERROR(subQ!S39/subQ!S38,"")</f>
        <v/>
      </c>
      <c r="T48" s="21">
        <f>IFERROR(subQ!T39/subQ!T38,"")</f>
        <v/>
      </c>
      <c r="U48" s="22">
        <f>IFERROR(subQ!U39/subQ!U38,"")</f>
        <v/>
      </c>
      <c r="V48" s="21">
        <f>IFERROR(subQ!V39/subQ!V38,"")</f>
        <v/>
      </c>
      <c r="W48" s="21">
        <f>IFERROR(subQ!W39/subQ!W38,"")</f>
        <v/>
      </c>
      <c r="X48" s="21">
        <f>IFERROR(subQ!X39/subQ!X38,"")</f>
        <v/>
      </c>
      <c r="Y48" s="21">
        <f>IFERROR(subQ!Y39/subQ!Y38,"")</f>
        <v/>
      </c>
      <c r="Z48" s="22">
        <f>IFERROR(subQ!Z39/subQ!Z38,"")</f>
        <v/>
      </c>
      <c r="AA48" s="21">
        <f>IFERROR(subQ!AA39/subQ!AA38,"")</f>
        <v/>
      </c>
      <c r="AB48" s="23">
        <f>IFERROR(subQ!AB39/subQ!AB38,"")</f>
        <v/>
      </c>
      <c r="AC48" s="24" t="n">
        <v>0.006365</v>
      </c>
      <c r="AD48" s="24" t="n">
        <v>0.006389</v>
      </c>
      <c r="AE48" s="25">
        <f>IFERROR(subQ!AE39/subQ!AE38,"")</f>
        <v/>
      </c>
      <c r="AF48" s="24" t="n">
        <v>0.006379</v>
      </c>
      <c r="AG48" s="24" t="n">
        <v>0.006372</v>
      </c>
      <c r="AH48" s="24" t="n">
        <v>0.006372</v>
      </c>
      <c r="AI48" s="24" t="n">
        <v>0.00636</v>
      </c>
      <c r="AJ48" s="25">
        <f>IFERROR(subQ!AJ39/subQ!AJ38,"")</f>
        <v/>
      </c>
      <c r="AK48" s="24" t="n">
        <v>0.006344</v>
      </c>
      <c r="AL48" s="24" t="n">
        <v>0.006361</v>
      </c>
      <c r="AM48" s="24" t="n">
        <v>0.006382</v>
      </c>
      <c r="AN48" s="24" t="n">
        <v>0.006379</v>
      </c>
      <c r="AO48" s="25">
        <f>IFERROR(subQ!AO39/subQ!AO38,"")</f>
        <v/>
      </c>
    </row>
    <row r="49"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B50" s="1" t="inlineStr">
        <is>
          <t>3. 밸류에이션·스칼라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sc:종가</t>
        </is>
      </c>
      <c r="C51" t="inlineStr">
        <is>
          <t>종가</t>
        </is>
      </c>
      <c r="D51" s="32" t="n">
        <v>2970</v>
      </c>
      <c r="E51" s="2" t="inlineStr">
        <is>
          <t>원 — aikstockdata(금융위 T+1)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sc:기준일</t>
        </is>
      </c>
      <c r="C52" t="inlineStr">
        <is>
          <t>기준일</t>
        </is>
      </c>
      <c r="D52" s="33" t="inlineStr">
        <is>
          <t>20260929</t>
        </is>
      </c>
      <c r="E52" s="2" t="inlineStr">
        <is>
          <t>종가 기준일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sc:COE</t>
        </is>
      </c>
      <c r="C53" t="inlineStr">
        <is>
          <t>COE</t>
        </is>
      </c>
      <c r="D53" s="24" t="n">
        <v>0.09</v>
      </c>
      <c r="E53" s="2" t="inlineStr">
        <is>
          <t>자기자본비용(가정)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sc:PER_lo</t>
        </is>
      </c>
      <c r="C54" t="inlineStr">
        <is>
          <t>PER_lo</t>
        </is>
      </c>
      <c r="D54" s="29" t="n">
        <v>10</v>
      </c>
      <c r="E54" s="2" t="inlineStr">
        <is>
          <t>PER 밴드 하단(배) — sector_default(레퍼런스 TP_PE PB 예시 10/15/20배; 과거 PER 중위 4.0배가 캡 5~30 밖 — 턴어라운드 초기 TTM EPS 왜곡)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sc:PER_mid</t>
        </is>
      </c>
      <c r="C55" t="inlineStr">
        <is>
          <t>PER_mid</t>
        </is>
      </c>
      <c r="D55" s="29" t="n">
        <v>15</v>
      </c>
      <c r="E55" s="2" t="inlineStr">
        <is>
          <t>PER 밴드 중단(배)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sc:PER_hi</t>
        </is>
      </c>
      <c r="C56" t="inlineStr">
        <is>
          <t>PER_hi</t>
        </is>
      </c>
      <c r="D56" s="29" t="n">
        <v>20</v>
      </c>
      <c r="E56" s="2" t="inlineStr">
        <is>
          <t>PER 밴드 상단(배)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sc:EPS_Y1가중</t>
        </is>
      </c>
      <c r="C57" t="inlineStr">
        <is>
          <t>EPS_Y1가중</t>
        </is>
      </c>
      <c r="D57" s="24" t="n">
        <v>0.5</v>
      </c>
      <c r="E57" s="2" t="inlineStr">
        <is>
          <t>12M fwd EPS = FY(last_actual연도)E × w + FY+1E × (1−w) — 기준 분기 2Q 이면 0.5(가정)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sc:세율</t>
        </is>
      </c>
      <c r="C58" t="inlineStr">
        <is>
          <t>세율</t>
        </is>
      </c>
      <c r="D58" s="24" t="n">
        <v>0.22</v>
      </c>
      <c r="E58" s="2" t="inlineStr">
        <is>
          <t>법인세율 가정(참고 — 추정 수식은 드라이버 행 참조)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sc:판관비율</t>
        </is>
      </c>
      <c r="C59" t="inlineStr">
        <is>
          <t>판관비율</t>
        </is>
      </c>
      <c r="D59" s="24" t="n">
        <v>0.1267</v>
      </c>
      <c r="E59" s="2" t="inlineStr">
        <is>
          <t>판관비율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sc:배당성향</t>
        </is>
      </c>
      <c r="C60" t="inlineStr">
        <is>
          <t>배당성향</t>
        </is>
      </c>
      <c r="D60" s="24" t="n">
        <v>0</v>
      </c>
      <c r="E60" s="2" t="inlineStr">
        <is>
          <t>배당성향 가정(참고)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sc:외화순노출_백만$</t>
        </is>
      </c>
      <c r="C61" t="inlineStr">
        <is>
          <t>외화순노출_백만$</t>
        </is>
      </c>
      <c r="D61" s="29" t="n"/>
      <c r="E61" s="2" t="inlineStr">
        <is>
          <t>외화 순노출 × Δ기말환율 (외화 시트 방식)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4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4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4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4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4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4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4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4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4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4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4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4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4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4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4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4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4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4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4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4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4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4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4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4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4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4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4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4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4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4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4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4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4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4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4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4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4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4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4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4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4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4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4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4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4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4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4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4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4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4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4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4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4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4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4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4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4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4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4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4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4" t="n">
        <v>103.15</v>
      </c>
      <c r="G17" s="18" t="n">
        <v>21.44</v>
      </c>
      <c r="K17" s="9" t="n"/>
      <c r="P17" s="9" t="n"/>
      <c r="T17" s="18" t="n">
        <v>3152.44</v>
      </c>
      <c r="U17" s="34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4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4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4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4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4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4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4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4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4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4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4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4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4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4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4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4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4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4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4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4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4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4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4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4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4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4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4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4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4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4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4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4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4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4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4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4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4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4" t="n">
        <v>15593.14</v>
      </c>
      <c r="L25" s="18" t="n">
        <v>749.21</v>
      </c>
      <c r="M25" s="18" t="n">
        <v>177.05</v>
      </c>
      <c r="O25" s="18" t="n">
        <v>15027.28</v>
      </c>
      <c r="P25" s="34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4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4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4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4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4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4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4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4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4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4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4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4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4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4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4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4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4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4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4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4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4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4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4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4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4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4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4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4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4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4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4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4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4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4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4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4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4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4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4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4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4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4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4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4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4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4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4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4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4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4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4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4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4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4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4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4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4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4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4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4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4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4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4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4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4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4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4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4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4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4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4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4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4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4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4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4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4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4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4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4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4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4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4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4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4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4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4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4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4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4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4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4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4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4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19469.41</v>
      </c>
      <c r="K47" s="34" t="n">
        <v>19469.41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4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4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4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4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2461.86</v>
      </c>
      <c r="K48" s="34" t="n">
        <v>2461.86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4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4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4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4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4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4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4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4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4" t="n">
        <v>6000</v>
      </c>
      <c r="G50" s="18" t="n">
        <v>4162.78</v>
      </c>
      <c r="H50" s="18" t="n">
        <v>4333.83</v>
      </c>
      <c r="I50" s="18" t="n">
        <v>4212.92</v>
      </c>
      <c r="J50" s="18" t="n">
        <v>3720</v>
      </c>
      <c r="K50" s="34" t="n">
        <v>3720</v>
      </c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4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4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4" t="n">
        <v>12547.3</v>
      </c>
      <c r="N53" s="18" t="n">
        <v>16550.35</v>
      </c>
      <c r="O53" s="18" t="n">
        <v>16466.51</v>
      </c>
      <c r="P53" s="34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4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4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4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4" t="n">
        <v>370.84</v>
      </c>
      <c r="N55" s="18" t="n">
        <v>370.84</v>
      </c>
      <c r="O55" s="18" t="n">
        <v>370.84</v>
      </c>
      <c r="P55" s="34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4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4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4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4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4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4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4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4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4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4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4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4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4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4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4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4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4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4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4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4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4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4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4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4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4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4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4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4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4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4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4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4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4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4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4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4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4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4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4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4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4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4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4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4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4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4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4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4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4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4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4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4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4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4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4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4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4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4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4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4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4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4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4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4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4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4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4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4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4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4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4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4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4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4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4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4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4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4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4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4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4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4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4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4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4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4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4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4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4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4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4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4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4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4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4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4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4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4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4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4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4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4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4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4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4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4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4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4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4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4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4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4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4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4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4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4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4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4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4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4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4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4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4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4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4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4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4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4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4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4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4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4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4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4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4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4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4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4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4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4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4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4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4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4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4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4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4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4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4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4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4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4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4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4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4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4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4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4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4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4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4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4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4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4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4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4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4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4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4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4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4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4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4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4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4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4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4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4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4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4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4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4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4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4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4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4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4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4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4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4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4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4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4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4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4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4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4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4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4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4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4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4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4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4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4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4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4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4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4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4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4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4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4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4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4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4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4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4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4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4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4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4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4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4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4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4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4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4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4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4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4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4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4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4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4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4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4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4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4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4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4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4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4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4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4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4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4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4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4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4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4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4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4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4" t="n">
        <v>15593.14</v>
      </c>
      <c r="L26" s="18" t="n">
        <v>749.21</v>
      </c>
      <c r="M26" s="18" t="n">
        <v>177.05</v>
      </c>
      <c r="O26" s="18" t="n">
        <v>15027.28</v>
      </c>
      <c r="P26" s="34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4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4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4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4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4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4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4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4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4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4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4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4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4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4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4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4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4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4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4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4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4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4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4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4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4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4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4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4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4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4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4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4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4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4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4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4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4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4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4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4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4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4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4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4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4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4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4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4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4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4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4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4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4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4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4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4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4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4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4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4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4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4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4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4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4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4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4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4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4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4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4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4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4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4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4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4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4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4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4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4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4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4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4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4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4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4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4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4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4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4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4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4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4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4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4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4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4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4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4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4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4" t="n">
        <v>9989</v>
      </c>
      <c r="N51" s="18" t="n">
        <v>13989</v>
      </c>
      <c r="O51" s="18" t="n">
        <v>13989</v>
      </c>
      <c r="P51" s="34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4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4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4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4" t="n">
        <v>370.84</v>
      </c>
      <c r="N53" s="18" t="n">
        <v>370.84</v>
      </c>
      <c r="O53" s="18" t="n">
        <v>370.84</v>
      </c>
      <c r="P53" s="34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4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4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4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4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4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4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4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4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4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4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4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4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4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4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4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4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4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4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4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4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4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4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4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4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4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4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4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4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4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4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4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4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4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4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4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4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4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4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4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4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4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4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4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4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4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4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4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4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4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4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4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4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4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4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4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4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4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4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4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4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4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4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4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4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4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4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4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4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4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4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4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4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4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4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4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4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4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4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4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4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4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4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4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4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4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4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4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4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4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4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4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4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4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4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4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4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4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4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4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4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4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4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4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4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4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4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4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4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4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4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4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4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4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4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4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4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0.0223</v>
      </c>
      <c r="F10" s="34" t="n"/>
      <c r="G10" s="18" t="n">
        <v>0.0353</v>
      </c>
      <c r="H10" s="18" t="n">
        <v>-0.0359</v>
      </c>
      <c r="I10" s="18" t="n">
        <v>-0.0477</v>
      </c>
      <c r="J10" s="18" t="n">
        <v>-0.164</v>
      </c>
      <c r="K10" s="34">
        <f>SUM(G10:J10)</f>
        <v/>
      </c>
      <c r="L10" s="18" t="n">
        <v>-0.1148</v>
      </c>
      <c r="M10" s="18" t="n">
        <v>0.0732</v>
      </c>
      <c r="N10" s="18" t="n">
        <v>0.0248</v>
      </c>
      <c r="O10" s="18" t="n">
        <v>0.0547</v>
      </c>
      <c r="P10" s="34">
        <f>SUM(L10:O10)</f>
        <v/>
      </c>
      <c r="Q10" s="18" t="n">
        <v>0.0461</v>
      </c>
      <c r="R10" s="18" t="n">
        <v>0.1031</v>
      </c>
      <c r="S10" s="18" t="n">
        <v>0.0201</v>
      </c>
      <c r="T10" s="18" t="n">
        <v>-0.09950000000000001</v>
      </c>
      <c r="U10" s="34">
        <f>SUM(Q10:T10)</f>
        <v/>
      </c>
      <c r="V10" s="18" t="n">
        <v>-0.0193</v>
      </c>
      <c r="W10" s="18" t="n">
        <v>0.0009</v>
      </c>
      <c r="X10" s="18" t="n">
        <v>0.1601</v>
      </c>
      <c r="Y10" s="18" t="n">
        <v>0.0118</v>
      </c>
      <c r="Z10" s="34">
        <f>SUM(V10:Y10)</f>
        <v/>
      </c>
      <c r="AA10" s="18" t="n">
        <v>-0.0806</v>
      </c>
      <c r="AB10" s="19" t="n">
        <v>0.0224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4" t="n"/>
      <c r="G13" s="18" t="n">
        <v>0.5600000000000001</v>
      </c>
      <c r="H13" s="18" t="n">
        <v>1.11</v>
      </c>
      <c r="I13" s="18" t="n">
        <v>1.72</v>
      </c>
      <c r="J13" s="18" t="n">
        <v>-2.51</v>
      </c>
      <c r="K13" s="34">
        <f>SUM(G13:J13)</f>
        <v/>
      </c>
      <c r="L13" s="18" t="n">
        <v>-1.29</v>
      </c>
      <c r="M13" s="18" t="n">
        <v>2.3</v>
      </c>
      <c r="N13" s="18" t="n">
        <v>-0.72</v>
      </c>
      <c r="O13" s="18" t="n">
        <v>-0.05</v>
      </c>
      <c r="P13" s="34">
        <f>SUM(L13:O13)</f>
        <v/>
      </c>
      <c r="Q13" s="18" t="n">
        <v>-0.13</v>
      </c>
      <c r="R13" s="18" t="n">
        <v>0.33</v>
      </c>
      <c r="S13" s="18" t="n">
        <v>-0.86</v>
      </c>
      <c r="T13" s="18" t="n">
        <v>1.14</v>
      </c>
      <c r="U13" s="34">
        <f>SUM(Q13:T13)</f>
        <v/>
      </c>
      <c r="V13" s="18" t="n">
        <v>2.92</v>
      </c>
      <c r="W13" s="18" t="n">
        <v>-0.99</v>
      </c>
      <c r="X13" s="18" t="n">
        <v>1.74</v>
      </c>
      <c r="Y13" s="18" t="n">
        <v>-0.13</v>
      </c>
      <c r="Z13" s="34">
        <f>SUM(V13:Y13)</f>
        <v/>
      </c>
      <c r="AA13" s="18" t="n">
        <v>0.1</v>
      </c>
      <c r="AB13" s="19" t="n">
        <v>4.84</v>
      </c>
      <c r="AC13" s="20">
        <f>IFERROR(X13*(1+변수!AC27),"")</f>
        <v/>
      </c>
      <c r="AD13" s="20">
        <f>IFERROR(Y13*(1+변수!AD27),"")</f>
        <v/>
      </c>
      <c r="AE13" s="35">
        <f>SUM(AA13:AD13)</f>
        <v/>
      </c>
      <c r="AF13" s="20">
        <f>IFERROR(AA13*(1+변수!AF27),"")</f>
        <v/>
      </c>
      <c r="AG13" s="20">
        <f>IFERROR(AB13*(1+변수!AG27),"")</f>
        <v/>
      </c>
      <c r="AH13" s="20" t="n">
        <v>0</v>
      </c>
      <c r="AI13" s="20" t="n">
        <v>0</v>
      </c>
      <c r="AJ13" s="35">
        <f>SUM(AF13:AI13)</f>
        <v/>
      </c>
      <c r="AK13" s="20" t="n">
        <v>0</v>
      </c>
      <c r="AL13" s="20" t="n">
        <v>0</v>
      </c>
      <c r="AM13" s="20" t="n">
        <v>0</v>
      </c>
      <c r="AN13" s="20" t="n">
        <v>0</v>
      </c>
      <c r="AO13" s="35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4" t="n"/>
      <c r="G14" s="18" t="n"/>
      <c r="H14" s="18" t="n"/>
      <c r="I14" s="18" t="n"/>
      <c r="J14" s="18" t="n">
        <v>-80.95999999999999</v>
      </c>
      <c r="K14" s="34">
        <f>SUM(G14:J14)</f>
        <v/>
      </c>
      <c r="L14" s="18" t="n"/>
      <c r="M14" s="18" t="n"/>
      <c r="N14" s="18" t="n"/>
      <c r="O14" s="18" t="n"/>
      <c r="P14" s="34">
        <f>SUM(L14:O14)</f>
        <v/>
      </c>
      <c r="Q14" s="18" t="n"/>
      <c r="R14" s="18" t="n"/>
      <c r="S14" s="18" t="n"/>
      <c r="T14" s="18" t="n"/>
      <c r="U14" s="34">
        <f>SUM(Q14:T14)</f>
        <v/>
      </c>
      <c r="V14" s="18" t="n"/>
      <c r="W14" s="18" t="n"/>
      <c r="X14" s="18" t="n"/>
      <c r="Y14" s="18" t="n"/>
      <c r="Z14" s="34">
        <f>SUM(V14:Y14)</f>
        <v/>
      </c>
      <c r="AA14" s="18" t="n"/>
      <c r="AB14" s="19" t="n"/>
      <c r="AC14" s="20">
        <f>변수!AC28</f>
        <v/>
      </c>
      <c r="AD14" s="20">
        <f>변수!AD28</f>
        <v/>
      </c>
      <c r="AE14" s="35">
        <f>SUM(AA14:AD14)</f>
        <v/>
      </c>
      <c r="AF14" s="20">
        <f>변수!AF28</f>
        <v/>
      </c>
      <c r="AG14" s="20">
        <f>변수!AG28</f>
        <v/>
      </c>
      <c r="AH14" s="20">
        <f>변수!AH28</f>
        <v/>
      </c>
      <c r="AI14" s="20">
        <f>변수!AI28</f>
        <v/>
      </c>
      <c r="AJ14" s="35">
        <f>SUM(AF14:AI14)</f>
        <v/>
      </c>
      <c r="AK14" s="20">
        <f>변수!AK28</f>
        <v/>
      </c>
      <c r="AL14" s="20">
        <f>변수!AL28</f>
        <v/>
      </c>
      <c r="AM14" s="20">
        <f>변수!AM28</f>
        <v/>
      </c>
      <c r="AN14" s="20">
        <f>변수!AN28</f>
        <v/>
      </c>
      <c r="AO14" s="35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4" t="n"/>
      <c r="G15" s="18" t="n"/>
      <c r="H15" s="18" t="n"/>
      <c r="I15" s="18" t="n"/>
      <c r="J15" s="18" t="n">
        <v>45.64</v>
      </c>
      <c r="K15" s="34">
        <f>SUM(G15:J15)</f>
        <v/>
      </c>
      <c r="L15" s="18" t="n"/>
      <c r="M15" s="18" t="n"/>
      <c r="N15" s="18" t="n"/>
      <c r="O15" s="18" t="n"/>
      <c r="P15" s="34">
        <f>SUM(L15:O15)</f>
        <v/>
      </c>
      <c r="Q15" s="18" t="n"/>
      <c r="R15" s="18" t="n"/>
      <c r="S15" s="18" t="n"/>
      <c r="T15" s="18" t="n"/>
      <c r="U15" s="34">
        <f>SUM(Q15:T15)</f>
        <v/>
      </c>
      <c r="V15" s="18" t="n"/>
      <c r="W15" s="18" t="n"/>
      <c r="X15" s="18" t="n"/>
      <c r="Y15" s="18" t="n"/>
      <c r="Z15" s="34">
        <f>SUM(V15:Y15)</f>
        <v/>
      </c>
      <c r="AA15" s="18" t="n"/>
      <c r="AB15" s="19" t="n"/>
      <c r="AC15" s="20" t="n">
        <v>0</v>
      </c>
      <c r="AD15" s="20" t="n">
        <v>0</v>
      </c>
      <c r="AE15" s="35">
        <f>SUM(AA15:AD15)</f>
        <v/>
      </c>
      <c r="AF15" s="20" t="n">
        <v>0</v>
      </c>
      <c r="AG15" s="20" t="n">
        <v>0</v>
      </c>
      <c r="AH15" s="20" t="n">
        <v>0</v>
      </c>
      <c r="AI15" s="20" t="n">
        <v>0</v>
      </c>
      <c r="AJ15" s="35">
        <f>SUM(AF15:AI15)</f>
        <v/>
      </c>
      <c r="AK15" s="20" t="n">
        <v>0</v>
      </c>
      <c r="AL15" s="20" t="n">
        <v>0</v>
      </c>
      <c r="AM15" s="20" t="n">
        <v>0</v>
      </c>
      <c r="AN15" s="20" t="n">
        <v>0</v>
      </c>
      <c r="AO15" s="35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변수!AC30</f>
        <v/>
      </c>
      <c r="AD16" s="20">
        <f>변수!AD30</f>
        <v/>
      </c>
      <c r="AE16" s="35">
        <f>SUM(AA16:AD16)</f>
        <v/>
      </c>
      <c r="AF16" s="20">
        <f>변수!AF30</f>
        <v/>
      </c>
      <c r="AG16" s="20">
        <f>변수!AG30</f>
        <v/>
      </c>
      <c r="AH16" s="20">
        <f>변수!AH30</f>
        <v/>
      </c>
      <c r="AI16" s="20">
        <f>변수!AI30</f>
        <v/>
      </c>
      <c r="AJ16" s="35">
        <f>SUM(AF16:AI16)</f>
        <v/>
      </c>
      <c r="AK16" s="20">
        <f>변수!AK30</f>
        <v/>
      </c>
      <c r="AL16" s="20">
        <f>변수!AL30</f>
        <v/>
      </c>
      <c r="AM16" s="20">
        <f>변수!AM30</f>
        <v/>
      </c>
      <c r="AN16" s="20">
        <f>변수!AN30</f>
        <v/>
      </c>
      <c r="AO16" s="35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4" t="n"/>
      <c r="G17" s="18" t="n"/>
      <c r="H17" s="18" t="n"/>
      <c r="I17" s="18" t="n"/>
      <c r="J17" s="18" t="n"/>
      <c r="K17" s="34">
        <f>SUM(G17:J17)</f>
        <v/>
      </c>
      <c r="L17" s="18" t="n"/>
      <c r="M17" s="18" t="n"/>
      <c r="N17" s="18" t="n"/>
      <c r="O17" s="18" t="n"/>
      <c r="P17" s="34">
        <f>SUM(L17:O17)</f>
        <v/>
      </c>
      <c r="Q17" s="18" t="n"/>
      <c r="R17" s="18" t="n"/>
      <c r="S17" s="18" t="n"/>
      <c r="T17" s="18" t="n"/>
      <c r="U17" s="34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변수!AC31</f>
        <v/>
      </c>
      <c r="AD17" s="20">
        <f>변수!AD31</f>
        <v/>
      </c>
      <c r="AE17" s="35">
        <f>SUM(AA17:AD17)</f>
        <v/>
      </c>
      <c r="AF17" s="20">
        <f>변수!AF31</f>
        <v/>
      </c>
      <c r="AG17" s="20">
        <f>변수!AG31</f>
        <v/>
      </c>
      <c r="AH17" s="20">
        <f>변수!AH31</f>
        <v/>
      </c>
      <c r="AI17" s="20">
        <f>변수!AI31</f>
        <v/>
      </c>
      <c r="AJ17" s="35">
        <f>SUM(AF17:AI17)</f>
        <v/>
      </c>
      <c r="AK17" s="20">
        <f>변수!AK31</f>
        <v/>
      </c>
      <c r="AL17" s="20">
        <f>변수!AL31</f>
        <v/>
      </c>
      <c r="AM17" s="20">
        <f>변수!AM31</f>
        <v/>
      </c>
      <c r="AN17" s="20">
        <f>변수!AN31</f>
        <v/>
      </c>
      <c r="AO17" s="35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4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 t="n"/>
      <c r="W18" s="18" t="n"/>
      <c r="X18" s="18" t="n"/>
      <c r="Y18" s="18" t="n"/>
      <c r="Z18" s="34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5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5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5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4" t="n"/>
      <c r="G19" s="18" t="n"/>
      <c r="H19" s="18" t="n"/>
      <c r="I19" s="18" t="n"/>
      <c r="J19" s="18" t="n"/>
      <c r="K19" s="34">
        <f>SUM(G19:J19)</f>
        <v/>
      </c>
      <c r="L19" s="18" t="n"/>
      <c r="M19" s="18" t="n"/>
      <c r="N19" s="18" t="n"/>
      <c r="O19" s="18" t="n"/>
      <c r="P19" s="34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4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IFERROR(AC18*변수!AC32,"")</f>
        <v/>
      </c>
      <c r="AD19" s="20">
        <f>IFERROR(AD18*변수!AD32,"")</f>
        <v/>
      </c>
      <c r="AE19" s="35">
        <f>SUM(AA19:AD19)</f>
        <v/>
      </c>
      <c r="AF19" s="20">
        <f>IFERROR(AF18*변수!AF32,"")</f>
        <v/>
      </c>
      <c r="AG19" s="20">
        <f>IFERROR(AG18*변수!AG32,"")</f>
        <v/>
      </c>
      <c r="AH19" s="20">
        <f>IFERROR(AH18*변수!AH32,"")</f>
        <v/>
      </c>
      <c r="AI19" s="20">
        <f>IFERROR(AI18*변수!AI32,"")</f>
        <v/>
      </c>
      <c r="AJ19" s="35">
        <f>SUM(AF19:AI19)</f>
        <v/>
      </c>
      <c r="AK19" s="20">
        <f>IFERROR(AK18*변수!AK32,"")</f>
        <v/>
      </c>
      <c r="AL19" s="20">
        <f>IFERROR(AL18*변수!AL32,"")</f>
        <v/>
      </c>
      <c r="AM19" s="20">
        <f>IFERROR(AM18*변수!AM32,"")</f>
        <v/>
      </c>
      <c r="AN19" s="20">
        <f>IFERROR(AN18*변수!AN32,"")</f>
        <v/>
      </c>
      <c r="AO19" s="35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4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5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5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5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4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IFERROR(AC20*변수!AC33,"")</f>
        <v/>
      </c>
      <c r="AD21" s="20">
        <f>IFERROR(AD20*변수!AD33,"")</f>
        <v/>
      </c>
      <c r="AE21" s="35">
        <f>SUM(AA21:AD21)</f>
        <v/>
      </c>
      <c r="AF21" s="20">
        <f>IFERROR(AF20*변수!AF33,"")</f>
        <v/>
      </c>
      <c r="AG21" s="20">
        <f>IFERROR(AG20*변수!AG33,"")</f>
        <v/>
      </c>
      <c r="AH21" s="20">
        <f>IFERROR(AH20*변수!AH33,"")</f>
        <v/>
      </c>
      <c r="AI21" s="20">
        <f>IFERROR(AI20*변수!AI33,"")</f>
        <v/>
      </c>
      <c r="AJ21" s="35">
        <f>SUM(AF21:AI21)</f>
        <v/>
      </c>
      <c r="AK21" s="20">
        <f>IFERROR(AK20*변수!AK33,"")</f>
        <v/>
      </c>
      <c r="AL21" s="20">
        <f>IFERROR(AL20*변수!AL33,"")</f>
        <v/>
      </c>
      <c r="AM21" s="20">
        <f>IFERROR(AM20*변수!AM33,"")</f>
        <v/>
      </c>
      <c r="AN21" s="20">
        <f>IFERROR(AN20*변수!AN33,"")</f>
        <v/>
      </c>
      <c r="AO21" s="35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5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5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5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IFERROR(AB24+AC20-변수!AC35,"")</f>
        <v/>
      </c>
      <c r="AD24" s="20">
        <f>IFERROR(AC24+AD20-변수!AD35,"")</f>
        <v/>
      </c>
      <c r="AE24" s="35">
        <f>AD24</f>
        <v/>
      </c>
      <c r="AF24" s="20">
        <f>IFERROR(AD24+AF20-변수!AF35,"")</f>
        <v/>
      </c>
      <c r="AG24" s="20">
        <f>IFERROR(AF24+AG20-변수!AG35,"")</f>
        <v/>
      </c>
      <c r="AH24" s="20">
        <f>IFERROR(AG24+AH20-변수!AH35,"")</f>
        <v/>
      </c>
      <c r="AI24" s="20">
        <f>IFERROR(AH24+AI20-변수!AI35,"")</f>
        <v/>
      </c>
      <c r="AJ24" s="35">
        <f>AI24</f>
        <v/>
      </c>
      <c r="AK24" s="20">
        <f>IFERROR(AI24+AK20-변수!AK35,"")</f>
        <v/>
      </c>
      <c r="AL24" s="20">
        <f>IFERROR(AK24+AL20-변수!AL35,"")</f>
        <v/>
      </c>
      <c r="AM24" s="20">
        <f>IFERROR(AL24+AM20-변수!AM35,"")</f>
        <v/>
      </c>
      <c r="AN24" s="20">
        <f>IFERROR(AM24+AN20-변수!AN35,"")</f>
        <v/>
      </c>
      <c r="AO24" s="35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IFERROR(AB25+AC21-변수!AC36,"")</f>
        <v/>
      </c>
      <c r="AD25" s="20">
        <f>IFERROR(AC25+AD21-변수!AD36,"")</f>
        <v/>
      </c>
      <c r="AE25" s="35">
        <f>AD25</f>
        <v/>
      </c>
      <c r="AF25" s="20">
        <f>IFERROR(AD25+AF21-변수!AF36,"")</f>
        <v/>
      </c>
      <c r="AG25" s="20">
        <f>IFERROR(AF25+AG21-변수!AG36,"")</f>
        <v/>
      </c>
      <c r="AH25" s="20">
        <f>IFERROR(AG25+AH21-변수!AH36,"")</f>
        <v/>
      </c>
      <c r="AI25" s="20">
        <f>IFERROR(AH25+AI21-변수!AI36,"")</f>
        <v/>
      </c>
      <c r="AJ25" s="35">
        <f>AI25</f>
        <v/>
      </c>
      <c r="AK25" s="20">
        <f>IFERROR(AI25+AK21-변수!AK36,"")</f>
        <v/>
      </c>
      <c r="AL25" s="20">
        <f>IFERROR(AK25+AL21-변수!AL36,"")</f>
        <v/>
      </c>
      <c r="AM25" s="20">
        <f>IFERROR(AL25+AM21-변수!AM36,"")</f>
        <v/>
      </c>
      <c r="AN25" s="20">
        <f>IFERROR(AM25+AN21-변수!AN36,"")</f>
        <v/>
      </c>
      <c r="AO25" s="35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IFERROR(AB28*(1+변수!AC39),"")</f>
        <v/>
      </c>
      <c r="AD28" s="20">
        <f>IFERROR(AC28*(1+변수!AD39),"")</f>
        <v/>
      </c>
      <c r="AE28" s="35">
        <f>AD28</f>
        <v/>
      </c>
      <c r="AF28" s="20">
        <f>IFERROR(AD28*(1+변수!AF39),"")</f>
        <v/>
      </c>
      <c r="AG28" s="20">
        <f>IFERROR(AF28*(1+변수!AG39),"")</f>
        <v/>
      </c>
      <c r="AH28" s="20">
        <f>IFERROR(AG28*(1+변수!AH39),"")</f>
        <v/>
      </c>
      <c r="AI28" s="20">
        <f>IFERROR(AH28*(1+변수!AI39),"")</f>
        <v/>
      </c>
      <c r="AJ28" s="35">
        <f>AI28</f>
        <v/>
      </c>
      <c r="AK28" s="20">
        <f>IFERROR(AI28*(1+변수!AK39),"")</f>
        <v/>
      </c>
      <c r="AL28" s="20">
        <f>IFERROR(AK28*(1+변수!AL39),"")</f>
        <v/>
      </c>
      <c r="AM28" s="20">
        <f>IFERROR(AL28*(1+변수!AM39),"")</f>
        <v/>
      </c>
      <c r="AN28" s="20">
        <f>IFERROR(AM28*(1+변수!AN39),"")</f>
        <v/>
      </c>
      <c r="AO28" s="35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4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AD29</f>
        <v/>
      </c>
      <c r="AF29" s="20" t="n"/>
      <c r="AG29" s="20" t="n"/>
      <c r="AH29" s="20" t="n"/>
      <c r="AI29" s="20" t="n"/>
      <c r="AJ29" s="35">
        <f>AI29</f>
        <v/>
      </c>
      <c r="AK29" s="20" t="n"/>
      <c r="AL29" s="20" t="n"/>
      <c r="AM29" s="20" t="n"/>
      <c r="AN29" s="20" t="n"/>
      <c r="AO29" s="35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4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4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4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4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4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영업활동현금흐름</t>
        </is>
      </c>
      <c r="E31" s="18" t="n">
        <v>8.109999999999999</v>
      </c>
      <c r="F31" s="34" t="n"/>
      <c r="G31" s="18" t="n">
        <v>31.55</v>
      </c>
      <c r="H31" s="18" t="n">
        <v>-44.31</v>
      </c>
      <c r="I31" s="18" t="n">
        <v>36.93</v>
      </c>
      <c r="J31" s="18" t="n">
        <v>34.73</v>
      </c>
      <c r="K31" s="34">
        <f>SUM(G31:J31)</f>
        <v/>
      </c>
      <c r="L31" s="18" t="n">
        <v>-31.85</v>
      </c>
      <c r="M31" s="18" t="n">
        <v>45.26</v>
      </c>
      <c r="N31" s="18" t="n">
        <v>-51.55</v>
      </c>
      <c r="O31" s="18" t="n">
        <v>40.31</v>
      </c>
      <c r="P31" s="34">
        <f>SUM(L31:O31)</f>
        <v/>
      </c>
      <c r="Q31" s="18" t="n">
        <v>-38.72</v>
      </c>
      <c r="R31" s="18" t="n">
        <v>54.28</v>
      </c>
      <c r="S31" s="18" t="n">
        <v>-22.87</v>
      </c>
      <c r="T31" s="18" t="n">
        <v>88.42</v>
      </c>
      <c r="U31" s="34">
        <f>SUM(Q31:T31)</f>
        <v/>
      </c>
      <c r="V31" s="18" t="n">
        <v>-35</v>
      </c>
      <c r="W31" s="18" t="n">
        <v>1.52</v>
      </c>
      <c r="X31" s="18" t="n">
        <v>-22.43</v>
      </c>
      <c r="Y31" s="18" t="n">
        <v>57.26</v>
      </c>
      <c r="Z31" s="34">
        <f>SUM(V31:Y31)</f>
        <v/>
      </c>
      <c r="AA31" s="18" t="n">
        <v>-103.65</v>
      </c>
      <c r="AB31" s="19" t="n">
        <v>33</v>
      </c>
      <c r="AC31" s="20" t="n"/>
      <c r="AD31" s="20" t="n"/>
      <c r="AE31" s="35">
        <f>SUM(AA31:AD31)</f>
        <v/>
      </c>
      <c r="AF31" s="20" t="n"/>
      <c r="AG31" s="20" t="n"/>
      <c r="AH31" s="20" t="n"/>
      <c r="AI31" s="20" t="n"/>
      <c r="AJ31" s="35">
        <f>SUM(AF31:AI31)</f>
        <v/>
      </c>
      <c r="AK31" s="20" t="n"/>
      <c r="AL31" s="20" t="n"/>
      <c r="AM31" s="20" t="n"/>
      <c r="AN31" s="20" t="n"/>
      <c r="AO31" s="35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26.895</v>
      </c>
      <c r="F32" s="27">
        <f>E32</f>
        <v/>
      </c>
      <c r="G32" s="26" t="n">
        <v>26.895</v>
      </c>
      <c r="H32" s="26" t="n">
        <v>26.895</v>
      </c>
      <c r="I32" s="26" t="n">
        <v>27.246</v>
      </c>
      <c r="J32" s="26" t="n">
        <v>27.246</v>
      </c>
      <c r="K32" s="27">
        <f>J32</f>
        <v/>
      </c>
      <c r="L32" s="26" t="n">
        <v>28.93</v>
      </c>
      <c r="M32" s="26" t="n">
        <v>30.346</v>
      </c>
      <c r="N32" s="26" t="n">
        <v>30.668</v>
      </c>
      <c r="O32" s="26" t="n">
        <v>30.668</v>
      </c>
      <c r="P32" s="27">
        <f>O32</f>
        <v/>
      </c>
      <c r="Q32" s="26" t="n">
        <v>30.668</v>
      </c>
      <c r="R32" s="26" t="n">
        <v>30.668</v>
      </c>
      <c r="S32" s="26" t="n">
        <v>30.668</v>
      </c>
      <c r="T32" s="26" t="n">
        <v>30.668</v>
      </c>
      <c r="U32" s="27">
        <f>T32</f>
        <v/>
      </c>
      <c r="V32" s="26" t="n">
        <v>30.668</v>
      </c>
      <c r="W32" s="26" t="n">
        <v>30.668</v>
      </c>
      <c r="X32" s="26" t="n">
        <v>30.668</v>
      </c>
      <c r="Y32" s="26" t="n">
        <v>30.668</v>
      </c>
      <c r="Z32" s="27">
        <f>Y32</f>
        <v/>
      </c>
      <c r="AA32" s="26" t="n">
        <v>30.668</v>
      </c>
      <c r="AB32" s="28" t="n">
        <v>30.668</v>
      </c>
      <c r="AC32" s="36">
        <f>IFERROR(AB32*(1+변수!AC43),"")</f>
        <v/>
      </c>
      <c r="AD32" s="36">
        <f>IFERROR(AC32*(1+변수!AD43),"")</f>
        <v/>
      </c>
      <c r="AE32" s="30">
        <f>AD32</f>
        <v/>
      </c>
      <c r="AF32" s="36">
        <f>IFERROR(AD32*(1+변수!AF43),"")</f>
        <v/>
      </c>
      <c r="AG32" s="36">
        <f>IFERROR(AF32*(1+변수!AG43),"")</f>
        <v/>
      </c>
      <c r="AH32" s="36">
        <f>IFERROR(AG32*(1+변수!AH43),"")</f>
        <v/>
      </c>
      <c r="AI32" s="36">
        <f>IFERROR(AH32*(1+변수!AI43),"")</f>
        <v/>
      </c>
      <c r="AJ32" s="30">
        <f>AI32</f>
        <v/>
      </c>
      <c r="AK32" s="36">
        <f>IFERROR(AI32*(1+변수!AK43),"")</f>
        <v/>
      </c>
      <c r="AL32" s="36">
        <f>IFERROR(AK32*(1+변수!AL43),"")</f>
        <v/>
      </c>
      <c r="AM32" s="36">
        <f>IFERROR(AL32*(1+변수!AM43),"")</f>
        <v/>
      </c>
      <c r="AN32" s="36">
        <f>IFERROR(AM32*(1+변수!AN43),"")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4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4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4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4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4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5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5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5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4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4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4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4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4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5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5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5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4" t="n">
        <v>0</v>
      </c>
      <c r="G35" s="18" t="n"/>
      <c r="H35" s="18" t="n"/>
      <c r="I35" s="18" t="n"/>
      <c r="J35" s="18" t="n">
        <v>0</v>
      </c>
      <c r="K35" s="34">
        <f>SUM(G35:J35)</f>
        <v/>
      </c>
      <c r="L35" s="18" t="n"/>
      <c r="M35" s="18" t="n"/>
      <c r="N35" s="18" t="n"/>
      <c r="O35" s="18" t="n">
        <v>0</v>
      </c>
      <c r="P35" s="34">
        <f>SUM(L35:O35)</f>
        <v/>
      </c>
      <c r="Q35" s="18" t="n"/>
      <c r="R35" s="18" t="n"/>
      <c r="S35" s="18" t="n"/>
      <c r="T35" s="18" t="n">
        <v>0</v>
      </c>
      <c r="U35" s="34">
        <f>SUM(Q35:T35)</f>
        <v/>
      </c>
      <c r="V35" s="18" t="n"/>
      <c r="W35" s="18" t="n"/>
      <c r="X35" s="18" t="n"/>
      <c r="Y35" s="18" t="n">
        <v>0</v>
      </c>
      <c r="Z35" s="34">
        <f>SUM(V35:Y35)</f>
        <v/>
      </c>
      <c r="AA35" s="18" t="n"/>
      <c r="AB35" s="19" t="n"/>
      <c r="AC35" s="20" t="n"/>
      <c r="AD35" s="20" t="n">
        <v>0</v>
      </c>
      <c r="AE35" s="35">
        <f>SUM(AA35:AD35)</f>
        <v/>
      </c>
      <c r="AF35" s="20" t="n"/>
      <c r="AG35" s="20" t="n"/>
      <c r="AH35" s="20" t="n"/>
      <c r="AI35" s="20" t="n">
        <v>0</v>
      </c>
      <c r="AJ35" s="35">
        <f>SUM(AF35:AI35)</f>
        <v/>
      </c>
      <c r="AK35" s="20" t="n"/>
      <c r="AL35" s="20" t="n"/>
      <c r="AM35" s="20" t="n"/>
      <c r="AN35" s="20" t="n">
        <v>0</v>
      </c>
      <c r="AO35" s="35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8" t="n"/>
      <c r="F36" s="34" t="n"/>
      <c r="G36" s="18" t="n"/>
      <c r="H36" s="18" t="n"/>
      <c r="I36" s="18" t="n"/>
      <c r="J36" s="18" t="n"/>
      <c r="K36" s="34">
        <f>SUM(G36:J36)</f>
        <v/>
      </c>
      <c r="L36" s="18" t="n"/>
      <c r="M36" s="18" t="n"/>
      <c r="N36" s="18" t="n"/>
      <c r="O36" s="18" t="n"/>
      <c r="P36" s="34">
        <f>SUM(L36:O36)</f>
        <v/>
      </c>
      <c r="Q36" s="18" t="n"/>
      <c r="R36" s="18" t="n">
        <v>21.35</v>
      </c>
      <c r="S36" s="18" t="n">
        <v>6.14</v>
      </c>
      <c r="T36" s="18" t="n">
        <v>1.16</v>
      </c>
      <c r="U36" s="34">
        <f>SUM(Q36:T36)</f>
        <v/>
      </c>
      <c r="V36" s="18" t="n">
        <v>1.07</v>
      </c>
      <c r="W36" s="18" t="n">
        <v>1.24</v>
      </c>
      <c r="X36" s="18" t="n">
        <v>1.92</v>
      </c>
      <c r="Y36" s="18" t="n">
        <v>17.85</v>
      </c>
      <c r="Z36" s="34">
        <f>SUM(V36:Y36)</f>
        <v/>
      </c>
      <c r="AA36" s="18" t="n">
        <v>331.58</v>
      </c>
      <c r="AB36" s="19" t="n"/>
      <c r="AC36" s="20" t="n"/>
      <c r="AD36" s="20" t="n"/>
      <c r="AE36" s="35">
        <f>SUM(AA36:AD36)</f>
        <v/>
      </c>
      <c r="AF36" s="20" t="n"/>
      <c r="AG36" s="20" t="n"/>
      <c r="AH36" s="20" t="n"/>
      <c r="AI36" s="20" t="n"/>
      <c r="AJ36" s="35">
        <f>SUM(AF36:AI36)</f>
        <v/>
      </c>
      <c r="AK36" s="20" t="n"/>
      <c r="AL36" s="20" t="n"/>
      <c r="AM36" s="20" t="n"/>
      <c r="AN36" s="20" t="n"/>
      <c r="AO36" s="35">
        <f>SUM(AK36:AN36)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8" t="n">
        <v>1.79</v>
      </c>
      <c r="F37" s="34" t="n">
        <v>1.59</v>
      </c>
      <c r="G37" s="18" t="n">
        <v>1.55</v>
      </c>
      <c r="H37" s="18" t="n">
        <v>1.27</v>
      </c>
      <c r="I37" s="18" t="n">
        <v>1.09</v>
      </c>
      <c r="J37" s="18" t="n">
        <v>53.96</v>
      </c>
      <c r="K37" s="34">
        <f>SUM(G37:J37)</f>
        <v/>
      </c>
      <c r="L37" s="18" t="n">
        <v>1.63</v>
      </c>
      <c r="M37" s="18" t="n">
        <v>1.53</v>
      </c>
      <c r="N37" s="18" t="n">
        <v>1.6</v>
      </c>
      <c r="O37" s="18" t="n">
        <v>82.89</v>
      </c>
      <c r="P37" s="34">
        <f>SUM(L37:O37)</f>
        <v/>
      </c>
      <c r="Q37" s="18" t="n">
        <v>4.77</v>
      </c>
      <c r="R37" s="18" t="n">
        <v>2.25</v>
      </c>
      <c r="S37" s="18" t="n">
        <v>1.73</v>
      </c>
      <c r="T37" s="18" t="n">
        <v>1.1</v>
      </c>
      <c r="U37" s="34">
        <f>SUM(Q37:T37)</f>
        <v/>
      </c>
      <c r="V37" s="18" t="n">
        <v>0.9399999999999999</v>
      </c>
      <c r="W37" s="18" t="n">
        <v>0.86</v>
      </c>
      <c r="X37" s="18" t="n">
        <v>1.21</v>
      </c>
      <c r="Y37" s="18" t="n">
        <v>2.03</v>
      </c>
      <c r="Z37" s="34">
        <f>SUM(V37:Y37)</f>
        <v/>
      </c>
      <c r="AA37" s="18" t="n">
        <v>2.92</v>
      </c>
      <c r="AB37" s="19" t="n">
        <v>3.76</v>
      </c>
      <c r="AC37" s="20">
        <f>IFERROR(X37*(1+변수!AC46),"")</f>
        <v/>
      </c>
      <c r="AD37" s="20">
        <f>IFERROR(Y37*(1+변수!AD46),"")</f>
        <v/>
      </c>
      <c r="AE37" s="35">
        <f>SUM(AA37:AD37)</f>
        <v/>
      </c>
      <c r="AF37" s="20">
        <f>IFERROR(AA37*(1+변수!AF46),"")</f>
        <v/>
      </c>
      <c r="AG37" s="20">
        <f>IFERROR(AB37*(1+변수!AG46),"")</f>
        <v/>
      </c>
      <c r="AH37" s="20">
        <f>IFERROR(AC37*(1+변수!AH46),"")</f>
        <v/>
      </c>
      <c r="AI37" s="20">
        <f>IFERROR(AD37*(1+변수!AI46),"")</f>
        <v/>
      </c>
      <c r="AJ37" s="35">
        <f>SUM(AF37:AI37)</f>
        <v/>
      </c>
      <c r="AK37" s="20">
        <f>IFERROR(AF37*(1+변수!AK46),"")</f>
        <v/>
      </c>
      <c r="AL37" s="20">
        <f>IFERROR(AG37*(1+변수!AL46),"")</f>
        <v/>
      </c>
      <c r="AM37" s="20">
        <f>IFERROR(AH37*(1+변수!AM46),"")</f>
        <v/>
      </c>
      <c r="AN37" s="20">
        <f>IFERROR(AI37*(1+변수!AN46),"")</f>
        <v/>
      </c>
      <c r="AO37" s="35">
        <f>SUM(AK37:AN37)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180.06</v>
      </c>
      <c r="F38" s="34" t="n"/>
      <c r="G38" s="18" t="n">
        <v>109.98</v>
      </c>
      <c r="H38" s="18" t="n">
        <v>205.03</v>
      </c>
      <c r="I38" s="18" t="n">
        <v>222.93</v>
      </c>
      <c r="J38" s="18" t="n">
        <v>128.85</v>
      </c>
      <c r="K38" s="34">
        <f>SUM(G38:J38)</f>
        <v/>
      </c>
      <c r="L38" s="18" t="n">
        <v>176.42</v>
      </c>
      <c r="M38" s="18" t="n">
        <v>264.81</v>
      </c>
      <c r="N38" s="18" t="n">
        <v>232.63</v>
      </c>
      <c r="O38" s="18" t="n">
        <v>206.9</v>
      </c>
      <c r="P38" s="34">
        <f>SUM(L38:O38)</f>
        <v/>
      </c>
      <c r="Q38" s="18" t="n">
        <v>187.57</v>
      </c>
      <c r="R38" s="18" t="n">
        <v>229.49</v>
      </c>
      <c r="S38" s="18" t="n">
        <v>258.44</v>
      </c>
      <c r="T38" s="18" t="n">
        <v>210.51</v>
      </c>
      <c r="U38" s="34">
        <f>SUM(Q38:T38)</f>
        <v/>
      </c>
      <c r="V38" s="18" t="n">
        <v>136.62</v>
      </c>
      <c r="W38" s="18" t="n">
        <v>157.66</v>
      </c>
      <c r="X38" s="18" t="n">
        <v>344.65</v>
      </c>
      <c r="Y38" s="18" t="n">
        <v>217.83</v>
      </c>
      <c r="Z38" s="34">
        <f>SUM(V38:Y38)</f>
        <v/>
      </c>
      <c r="AA38" s="18" t="n">
        <v>110.35</v>
      </c>
      <c r="AB38" s="19" t="n">
        <v>259.5</v>
      </c>
      <c r="AC38" s="20">
        <f>IFERROR(AC5*변수!AC47,"")</f>
        <v/>
      </c>
      <c r="AD38" s="20">
        <f>IFERROR(AD5*변수!AD47,"")</f>
        <v/>
      </c>
      <c r="AE38" s="35">
        <f>SUM(AA38:AD38)</f>
        <v/>
      </c>
      <c r="AF38" s="20">
        <f>IFERROR(AF5*변수!AF47,"")</f>
        <v/>
      </c>
      <c r="AG38" s="20">
        <f>IFERROR(AG5*변수!AG47,"")</f>
        <v/>
      </c>
      <c r="AH38" s="20">
        <f>IFERROR(AH5*변수!AH47,"")</f>
        <v/>
      </c>
      <c r="AI38" s="20">
        <f>IFERROR(AI5*변수!AI47,"")</f>
        <v/>
      </c>
      <c r="AJ38" s="35">
        <f>SUM(AF38:AI38)</f>
        <v/>
      </c>
      <c r="AK38" s="20">
        <f>IFERROR(AK5*변수!AK47,"")</f>
        <v/>
      </c>
      <c r="AL38" s="20">
        <f>IFERROR(AL5*변수!AL47,"")</f>
        <v/>
      </c>
      <c r="AM38" s="20">
        <f>IFERROR(AM5*변수!AM47,"")</f>
        <v/>
      </c>
      <c r="AN38" s="20">
        <f>IFERROR(AN5*변수!AN47,"")</f>
        <v/>
      </c>
      <c r="AO38" s="35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4.02</v>
      </c>
      <c r="F39" s="34" t="n"/>
      <c r="G39" s="18" t="n">
        <v>3.88</v>
      </c>
      <c r="H39" s="18" t="n">
        <v>-7.36</v>
      </c>
      <c r="I39" s="18" t="n">
        <v>-10.63</v>
      </c>
      <c r="J39" s="18" t="n">
        <v>-21.14</v>
      </c>
      <c r="K39" s="34">
        <f>SUM(G39:J39)</f>
        <v/>
      </c>
      <c r="L39" s="18" t="n">
        <v>-20.25</v>
      </c>
      <c r="M39" s="18" t="n">
        <v>19.39</v>
      </c>
      <c r="N39" s="18" t="n">
        <v>5.77</v>
      </c>
      <c r="O39" s="18" t="n">
        <v>11.32</v>
      </c>
      <c r="P39" s="34">
        <f>SUM(L39:O39)</f>
        <v/>
      </c>
      <c r="Q39" s="18" t="n">
        <v>8.66</v>
      </c>
      <c r="R39" s="18" t="n">
        <v>23.66</v>
      </c>
      <c r="S39" s="18" t="n">
        <v>5.2</v>
      </c>
      <c r="T39" s="18" t="n">
        <v>-20.94</v>
      </c>
      <c r="U39" s="34">
        <f>SUM(Q39:T39)</f>
        <v/>
      </c>
      <c r="V39" s="18" t="n">
        <v>-2.64</v>
      </c>
      <c r="W39" s="18" t="n">
        <v>0.15</v>
      </c>
      <c r="X39" s="18" t="n">
        <v>55.18</v>
      </c>
      <c r="Y39" s="18" t="n">
        <v>2.58</v>
      </c>
      <c r="Z39" s="34">
        <f>SUM(V39:Y39)</f>
        <v/>
      </c>
      <c r="AA39" s="18" t="n">
        <v>-8.890000000000001</v>
      </c>
      <c r="AB39" s="19" t="n">
        <v>5.83</v>
      </c>
      <c r="AC39" s="20">
        <f>IFERROR(AC38*변수!AC48,"")</f>
        <v/>
      </c>
      <c r="AD39" s="20">
        <f>IFERROR(AD38*변수!AD48,"")</f>
        <v/>
      </c>
      <c r="AE39" s="35">
        <f>SUM(AA39:AD39)</f>
        <v/>
      </c>
      <c r="AF39" s="20">
        <f>IFERROR(AF38*변수!AF48,"")</f>
        <v/>
      </c>
      <c r="AG39" s="20">
        <f>IFERROR(AG38*변수!AG48,"")</f>
        <v/>
      </c>
      <c r="AH39" s="20">
        <f>IFERROR(AH38*변수!AH48,"")</f>
        <v/>
      </c>
      <c r="AI39" s="20">
        <f>IFERROR(AI38*변수!AI48,"")</f>
        <v/>
      </c>
      <c r="AJ39" s="35">
        <f>SUM(AF39:AI39)</f>
        <v/>
      </c>
      <c r="AK39" s="20">
        <f>IFERROR(AK38*변수!AK48,"")</f>
        <v/>
      </c>
      <c r="AL39" s="20">
        <f>IFERROR(AL38*변수!AL48,"")</f>
        <v/>
      </c>
      <c r="AM39" s="20">
        <f>IFERROR(AM38*변수!AM48,"")</f>
        <v/>
      </c>
      <c r="AN39" s="20">
        <f>IFERROR(AN38*변수!AN48,"")</f>
        <v/>
      </c>
      <c r="AO39" s="35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OPM</t>
        </is>
      </c>
      <c r="C41" t="inlineStr">
        <is>
          <t>%</t>
        </is>
      </c>
      <c r="D41" t="inlineStr">
        <is>
          <t>영업이익 / 매출액</t>
        </is>
      </c>
      <c r="E41" s="21">
        <f>IFERROR(E9/E5,"")</f>
        <v/>
      </c>
      <c r="F41" s="22">
        <f>IFERROR(F9/F5,"")</f>
        <v/>
      </c>
      <c r="G41" s="21">
        <f>IFERROR(G9/G5,"")</f>
        <v/>
      </c>
      <c r="H41" s="21">
        <f>IFERROR(H9/H5,"")</f>
        <v/>
      </c>
      <c r="I41" s="21">
        <f>IFERROR(I9/I5,"")</f>
        <v/>
      </c>
      <c r="J41" s="21">
        <f>IFERROR(J9/J5,"")</f>
        <v/>
      </c>
      <c r="K41" s="22">
        <f>IFERROR(K9/K5,"")</f>
        <v/>
      </c>
      <c r="L41" s="21">
        <f>IFERROR(L9/L5,"")</f>
        <v/>
      </c>
      <c r="M41" s="21">
        <f>IFERROR(M9/M5,"")</f>
        <v/>
      </c>
      <c r="N41" s="21">
        <f>IFERROR(N9/N5,"")</f>
        <v/>
      </c>
      <c r="O41" s="21">
        <f>IFERROR(O9/O5,"")</f>
        <v/>
      </c>
      <c r="P41" s="22">
        <f>IFERROR(P9/P5,"")</f>
        <v/>
      </c>
      <c r="Q41" s="21">
        <f>IFERROR(Q9/Q5,"")</f>
        <v/>
      </c>
      <c r="R41" s="21">
        <f>IFERROR(R9/R5,"")</f>
        <v/>
      </c>
      <c r="S41" s="21">
        <f>IFERROR(S9/S5,"")</f>
        <v/>
      </c>
      <c r="T41" s="21">
        <f>IFERROR(T9/T5,"")</f>
        <v/>
      </c>
      <c r="U41" s="22">
        <f>IFERROR(U9/U5,"")</f>
        <v/>
      </c>
      <c r="V41" s="21">
        <f>IFERROR(V9/V5,"")</f>
        <v/>
      </c>
      <c r="W41" s="21">
        <f>IFERROR(W9/W5,"")</f>
        <v/>
      </c>
      <c r="X41" s="21">
        <f>IFERROR(X9/X5,"")</f>
        <v/>
      </c>
      <c r="Y41" s="21">
        <f>IFERROR(Y9/Y5,"")</f>
        <v/>
      </c>
      <c r="Z41" s="22">
        <f>IFERROR(Z9/Z5,"")</f>
        <v/>
      </c>
      <c r="AA41" s="21">
        <f>IFERROR(AA9/AA5,"")</f>
        <v/>
      </c>
      <c r="AB41" s="23">
        <f>IFERROR(AB9/AB5,"")</f>
        <v/>
      </c>
      <c r="AC41" s="31">
        <f>IFERROR(AC9/AC5,"")</f>
        <v/>
      </c>
      <c r="AD41" s="31">
        <f>IFERROR(AD9/AD5,"")</f>
        <v/>
      </c>
      <c r="AE41" s="25">
        <f>IFERROR(AE9/AE5,"")</f>
        <v/>
      </c>
      <c r="AF41" s="31">
        <f>IFERROR(AF9/AF5,"")</f>
        <v/>
      </c>
      <c r="AG41" s="31">
        <f>IFERROR(AG9/AG5,"")</f>
        <v/>
      </c>
      <c r="AH41" s="31">
        <f>IFERROR(AH9/AH5,"")</f>
        <v/>
      </c>
      <c r="AI41" s="31">
        <f>IFERROR(AI9/AI5,"")</f>
        <v/>
      </c>
      <c r="AJ41" s="25">
        <f>IFERROR(AJ9/AJ5,"")</f>
        <v/>
      </c>
      <c r="AK41" s="31">
        <f>IFERROR(AK9/AK5,"")</f>
        <v/>
      </c>
      <c r="AL41" s="31">
        <f>IFERROR(AL9/AL5,"")</f>
        <v/>
      </c>
      <c r="AM41" s="31">
        <f>IFERROR(AM9/AM5,"")</f>
        <v/>
      </c>
      <c r="AN41" s="31">
        <f>IFERROR(AN9/AN5,"")</f>
        <v/>
      </c>
      <c r="AO41" s="25">
        <f>IFERROR(AO9/AO5,"")</f>
        <v/>
      </c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1">
        <f>IFERROR(AC21/AC5,"")</f>
        <v/>
      </c>
      <c r="AD42" s="31">
        <f>IFERROR(AD21/AD5,"")</f>
        <v/>
      </c>
      <c r="AE42" s="25">
        <f>IFERROR(AE21/AE5,"")</f>
        <v/>
      </c>
      <c r="AF42" s="31">
        <f>IFERROR(AF21/AF5,"")</f>
        <v/>
      </c>
      <c r="AG42" s="31">
        <f>IFERROR(AG21/AG5,"")</f>
        <v/>
      </c>
      <c r="AH42" s="31">
        <f>IFERROR(AH21/AH5,"")</f>
        <v/>
      </c>
      <c r="AI42" s="31">
        <f>IFERROR(AI21/AI5,"")</f>
        <v/>
      </c>
      <c r="AJ42" s="25">
        <f>IFERROR(AJ21/AJ5,"")</f>
        <v/>
      </c>
      <c r="AK42" s="31">
        <f>IFERROR(AK21/AK5,"")</f>
        <v/>
      </c>
      <c r="AL42" s="31">
        <f>IFERROR(AL21/AL5,"")</f>
        <v/>
      </c>
      <c r="AM42" s="31">
        <f>IFERROR(AM21/AM5,"")</f>
        <v/>
      </c>
      <c r="AN42" s="31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1">
        <f>IFERROR(AC6/AC5,"")</f>
        <v/>
      </c>
      <c r="AD43" s="31">
        <f>IFERROR(AD6/AD5,"")</f>
        <v/>
      </c>
      <c r="AE43" s="25">
        <f>IFERROR(AE6/AE5,"")</f>
        <v/>
      </c>
      <c r="AF43" s="31">
        <f>IFERROR(AF6/AF5,"")</f>
        <v/>
      </c>
      <c r="AG43" s="31">
        <f>IFERROR(AG6/AG5,"")</f>
        <v/>
      </c>
      <c r="AH43" s="31">
        <f>IFERROR(AH6/AH5,"")</f>
        <v/>
      </c>
      <c r="AI43" s="31">
        <f>IFERROR(AI6/AI5,"")</f>
        <v/>
      </c>
      <c r="AJ43" s="25">
        <f>IFERROR(AJ6/AJ5,"")</f>
        <v/>
      </c>
      <c r="AK43" s="31">
        <f>IFERROR(AK6/AK5,"")</f>
        <v/>
      </c>
      <c r="AL43" s="31">
        <f>IFERROR(AL6/AL5,"")</f>
        <v/>
      </c>
      <c r="AM43" s="31">
        <f>IFERROR(AM6/AM5,"")</f>
        <v/>
      </c>
      <c r="AN43" s="31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1">
        <f>IFERROR(AC8/AC5,"")</f>
        <v/>
      </c>
      <c r="AD44" s="31">
        <f>IFERROR(AD8/AD5,"")</f>
        <v/>
      </c>
      <c r="AE44" s="25">
        <f>IFERROR(AE8/AE5,"")</f>
        <v/>
      </c>
      <c r="AF44" s="31">
        <f>IFERROR(AF8/AF5,"")</f>
        <v/>
      </c>
      <c r="AG44" s="31">
        <f>IFERROR(AG8/AG5,"")</f>
        <v/>
      </c>
      <c r="AH44" s="31">
        <f>IFERROR(AH8/AH5,"")</f>
        <v/>
      </c>
      <c r="AI44" s="31">
        <f>IFERROR(AI8/AI5,"")</f>
        <v/>
      </c>
      <c r="AJ44" s="25">
        <f>IFERROR(AJ8/AJ5,"")</f>
        <v/>
      </c>
      <c r="AK44" s="31">
        <f>IFERROR(AK8/AK5,"")</f>
        <v/>
      </c>
      <c r="AL44" s="31">
        <f>IFERROR(AL8/AL5,"")</f>
        <v/>
      </c>
      <c r="AM44" s="31">
        <f>IFERROR(AM8/AM5,"")</f>
        <v/>
      </c>
      <c r="AN44" s="31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변수!D51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43">
        <f>IFERROR(VLOOKUP($A32,subQ,MATCH(W$1,SUBQH,0),0),"")</f>
        <v/>
      </c>
      <c r="X32" s="36">
        <f>IFERROR(VLOOKUP($A32,subQ,MATCH(X$1,SUBQH,0),0),"")</f>
        <v/>
      </c>
      <c r="Y32" s="36">
        <f>IFERROR(VLOOKUP($A32,subQ,MATCH(Y$1,SUBQH,0),0),"")</f>
        <v/>
      </c>
      <c r="Z32" s="36">
        <f>IFERROR(VLOOKUP($A32,subQ,MATCH(Z$1,SUBQH,0),0),"")</f>
        <v/>
      </c>
      <c r="AA32" s="36">
        <f>IFERROR(VLOOKUP($A32,subQ,MATCH(AA$1,SUBQH,0),0),"")</f>
        <v/>
      </c>
      <c r="AB32" s="36">
        <f>IFERROR(VLOOKUP($A32,subQ,MATCH(AB$1,SUBQH,0),0),"")</f>
        <v/>
      </c>
      <c r="AC32" s="36">
        <f>IFERROR(VLOOKUP($A32,subQ,MATCH(AC$1,SUBQH,0),0),"")</f>
        <v/>
      </c>
      <c r="AD32" s="36">
        <f>IFERROR(VLOOKUP($A32,subQ,MATCH(AD$1,SUBQH,0),0),"")</f>
        <v/>
      </c>
      <c r="AE32" s="36">
        <f>IFERROR(VLOOKUP($A32,subQ,MATCH(AE$1,SUBQH,0),0),"")</f>
        <v/>
      </c>
      <c r="AF32" s="36">
        <f>IFERROR(VLOOKUP($A32,subQ,MATCH(AF$1,SUBQH,0),0),"")</f>
        <v/>
      </c>
      <c r="AG32" s="36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1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2">
        <f>IFERROR(VLOOKUP($A41,subQ,MATCH(W$1,SUBQH,0),0),"")</f>
        <v/>
      </c>
      <c r="X41" s="31">
        <f>IFERROR(VLOOKUP($A41,subQ,MATCH(X$1,SUBQH,0),0),"")</f>
        <v/>
      </c>
      <c r="Y41" s="31">
        <f>IFERROR(VLOOKUP($A41,subQ,MATCH(Y$1,SUBQH,0),0),"")</f>
        <v/>
      </c>
      <c r="Z41" s="31">
        <f>IFERROR(VLOOKUP($A41,subQ,MATCH(Z$1,SUBQH,0),0),"")</f>
        <v/>
      </c>
      <c r="AA41" s="31">
        <f>IFERROR(VLOOKUP($A41,subQ,MATCH(AA$1,SUBQH,0),0),"")</f>
        <v/>
      </c>
      <c r="AB41" s="31">
        <f>IFERROR(VLOOKUP($A41,subQ,MATCH(AB$1,SUBQH,0),0),"")</f>
        <v/>
      </c>
      <c r="AC41" s="31">
        <f>IFERROR(VLOOKUP($A41,subQ,MATCH(AC$1,SUBQH,0),0),"")</f>
        <v/>
      </c>
      <c r="AD41" s="31">
        <f>IFERROR(VLOOKUP($A41,subQ,MATCH(AD$1,SUBQH,0),0),"")</f>
        <v/>
      </c>
      <c r="AE41" s="31">
        <f>IFERROR(VLOOKUP($A41,subQ,MATCH(AE$1,SUBQH,0),0),"")</f>
        <v/>
      </c>
      <c r="AF41" s="31">
        <f>IFERROR(VLOOKUP($A41,subQ,MATCH(AF$1,SUBQH,0),0),"")</f>
        <v/>
      </c>
      <c r="AG41" s="31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2">
        <f>IFERROR(W5/S5-1,"")</f>
        <v/>
      </c>
      <c r="X42" s="31">
        <f>IFERROR(X5/T5-1,"")</f>
        <v/>
      </c>
      <c r="Y42" s="31">
        <f>IFERROR(Y5/U5-1,"")</f>
        <v/>
      </c>
      <c r="Z42" s="31">
        <f>IFERROR(Z5/V5-1,"")</f>
        <v/>
      </c>
      <c r="AA42" s="31">
        <f>IFERROR(AA5/W5-1,"")</f>
        <v/>
      </c>
      <c r="AB42" s="31">
        <f>IFERROR(AB5/X5-1,"")</f>
        <v/>
      </c>
      <c r="AC42" s="31">
        <f>IFERROR(AC5/Y5-1,"")</f>
        <v/>
      </c>
      <c r="AD42" s="31">
        <f>IFERROR(AD5/Z5-1,"")</f>
        <v/>
      </c>
      <c r="AE42" s="31">
        <f>IFERROR(AE5/AA5-1,"")</f>
        <v/>
      </c>
      <c r="AF42" s="31">
        <f>IFERROR(AF5/AB5-1,"")</f>
        <v/>
      </c>
      <c r="AG42" s="31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2">
        <f>IFERROR(W9/S9-1,"")</f>
        <v/>
      </c>
      <c r="X43" s="31">
        <f>IFERROR(X9/T9-1,"")</f>
        <v/>
      </c>
      <c r="Y43" s="31">
        <f>IFERROR(Y9/U9-1,"")</f>
        <v/>
      </c>
      <c r="Z43" s="31">
        <f>IFERROR(Z9/V9-1,"")</f>
        <v/>
      </c>
      <c r="AA43" s="31">
        <f>IFERROR(AA9/W9-1,"")</f>
        <v/>
      </c>
      <c r="AB43" s="31">
        <f>IFERROR(AB9/X9-1,"")</f>
        <v/>
      </c>
      <c r="AC43" s="31">
        <f>IFERROR(AC9/Y9-1,"")</f>
        <v/>
      </c>
      <c r="AD43" s="31">
        <f>IFERROR(AD9/Z9-1,"")</f>
        <v/>
      </c>
      <c r="AE43" s="31">
        <f>IFERROR(AE9/AA9-1,"")</f>
        <v/>
      </c>
      <c r="AF43" s="31">
        <f>IFERROR(AF9/AB9-1,"")</f>
        <v/>
      </c>
      <c r="AG43" s="31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2">
        <f>IFERROR(W21/S21-1,"")</f>
        <v/>
      </c>
      <c r="X44" s="31">
        <f>IFERROR(X21/T21-1,"")</f>
        <v/>
      </c>
      <c r="Y44" s="31">
        <f>IFERROR(Y21/U21-1,"")</f>
        <v/>
      </c>
      <c r="Z44" s="31">
        <f>IFERROR(Z21/V21-1,"")</f>
        <v/>
      </c>
      <c r="AA44" s="31">
        <f>IFERROR(AA21/W21-1,"")</f>
        <v/>
      </c>
      <c r="AB44" s="31">
        <f>IFERROR(AB21/X21-1,"")</f>
        <v/>
      </c>
      <c r="AC44" s="31">
        <f>IFERROR(AC21/Y21-1,"")</f>
        <v/>
      </c>
      <c r="AD44" s="31">
        <f>IFERROR(AD21/Z21-1,"")</f>
        <v/>
      </c>
      <c r="AE44" s="31">
        <f>IFERROR(AE21/AA21-1,"")</f>
        <v/>
      </c>
      <c r="AF44" s="31">
        <f>IFERROR(AF21/AB21-1,"")</f>
        <v/>
      </c>
      <c r="AG44" s="31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변수!D51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43">
        <f>IFERROR(VLOOKUP($A32,subQ,MATCH(I$1,SUBQH,0),0),"")</f>
        <v/>
      </c>
      <c r="J32" s="36">
        <f>IFERROR(VLOOKUP($A32,subQ,MATCH(J$1,SUBQH,0),0),"")</f>
        <v/>
      </c>
      <c r="K32" s="36">
        <f>IFERROR(VLOOKUP($A32,subQ,MATCH(K$1,SUBQH,0),0),"")</f>
        <v/>
      </c>
      <c r="L32" s="36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1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OPM</t>
        </is>
      </c>
      <c r="D40" t="inlineStr">
        <is>
          <t>영업이익률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2">
        <f>IFERROR(VLOOKUP($A41,subQ,MATCH(I$1,SUBQH,0),0),"")</f>
        <v/>
      </c>
      <c r="J41" s="31">
        <f>IFERROR(VLOOKUP($A41,subQ,MATCH(J$1,SUBQH,0),0),"")</f>
        <v/>
      </c>
      <c r="K41" s="31">
        <f>IFERROR(VLOOKUP($A41,subQ,MATCH(K$1,SUBQH,0),0),"")</f>
        <v/>
      </c>
      <c r="L41" s="31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2">
        <f>IFERROR(I5/H5-1,"")</f>
        <v/>
      </c>
      <c r="J42" s="31">
        <f>IFERROR(J5/I5-1,"")</f>
        <v/>
      </c>
      <c r="K42" s="31">
        <f>IFERROR(K5/J5-1,"")</f>
        <v/>
      </c>
      <c r="L42" s="31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2">
        <f>IFERROR(I9/H9-1,"")</f>
        <v/>
      </c>
      <c r="J43" s="31">
        <f>IFERROR(J9/I9-1,"")</f>
        <v/>
      </c>
      <c r="K43" s="31">
        <f>IFERROR(K9/J9-1,"")</f>
        <v/>
      </c>
      <c r="L43" s="31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2">
        <f>IFERROR(I21/H21-1,"")</f>
        <v/>
      </c>
      <c r="J44" s="31">
        <f>IFERROR(J21/I21-1,"")</f>
        <v/>
      </c>
      <c r="K44" s="31">
        <f>IFERROR(K21/J21-1,"")</f>
        <v/>
      </c>
      <c r="L44" s="31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변수!D51</f>
        <v/>
      </c>
    </row>
    <row r="2">
      <c r="B2" s="1" t="inlineStr">
        <is>
          <t>기준일</t>
        </is>
      </c>
      <c r="C2">
        <f>변수!D52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IFERROR(E7*변수!D57+F7*(1-변수!D57),"")</f>
        <v/>
      </c>
    </row>
    <row r="15">
      <c r="C15" t="inlineStr">
        <is>
          <t>적정가치 @PER_lo</t>
        </is>
      </c>
      <c r="D15" s="26">
        <f>변수!D54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2.21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