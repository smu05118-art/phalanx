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추정(실적 구간 갭필): 지배NI 186억 − (비영업손익 227억 − 12분기 기준선 -0억) × (1 − 7.8%, 분기 유효세율(법인세 16억 ÷ 세전 206억)) × 지배 비중 0.98(그 분기 지배NI/NI) = -19억 ÷ 유통주식수 — 일회성 여부·세효과는 주석 미확인(모델 추정); 보고 EPS 606.8원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실측(계정 매핑 없음(파생·부문·시세 행) — 모델값 직접) — = EPS(일회성 의심 없음)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3115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3203.8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-1.080904224</v>
      </c>
      <c r="AD41" s="24" t="n">
        <v>-0.894835096</v>
      </c>
      <c r="AE41" s="25" t="n"/>
      <c r="AF41" s="24" t="n">
        <v>-0.460273973</v>
      </c>
      <c r="AG41" s="24" t="n">
        <v>-1.96969697</v>
      </c>
      <c r="AH41" s="24" t="n">
        <v>-0.051470588</v>
      </c>
      <c r="AI41" s="24" t="n">
        <v>-0.017751479</v>
      </c>
      <c r="AJ41" s="25" t="n"/>
      <c r="AK41" s="24" t="n">
        <v>0</v>
      </c>
      <c r="AL41" s="24" t="n">
        <v>-0.03125</v>
      </c>
      <c r="AM41" s="24" t="n">
        <v>-0.015503876</v>
      </c>
      <c r="AN41" s="24" t="n">
        <v>-0.006024096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3" t="n"/>
      <c r="AD42" s="30" t="n">
        <v>0</v>
      </c>
      <c r="AE42" s="31">
        <f>subQ!AE36</f>
        <v/>
      </c>
      <c r="AF42" s="33" t="n"/>
      <c r="AG42" s="33" t="n"/>
      <c r="AH42" s="33" t="n"/>
      <c r="AI42" s="30" t="n">
        <v>0</v>
      </c>
      <c r="AJ42" s="31">
        <f>subQ!AJ36</f>
        <v/>
      </c>
      <c r="AK42" s="33" t="n"/>
      <c r="AL42" s="33" t="n"/>
      <c r="AM42" s="33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3115</v>
      </c>
      <c r="E45" s="2" t="inlineStr">
        <is>
          <t>원 — 네이버 정규장 종가(aik 확정종가 대조 · aik 3,140원)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5분기, 25/50/75 백분위) · 캡 5~30배 적용(원값 1.9/17.9/23.2)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17.9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23.2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0.1267225613080717</v>
      </c>
      <c r="E53" s="2" t="inlineStr">
        <is>
          <t>연결 — 판관비 = 매출액 × 판관비율(역산, 재현 오차 ≤ 0.05억 · 모델 assumptions 0.1267)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0.01695606925782039</v>
      </c>
      <c r="E55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0.03522318503544594</v>
      </c>
      <c r="E56" s="2" t="inlineStr">
        <is>
          <t>연결 — 같은 수식의 부채 쪽(총차입금 행이 없으면 0)(역산, 재현 오차 ≤ 0.05억 · 모델 assumptions 0.0353)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19469.41</v>
      </c>
      <c r="K47" s="37" t="n">
        <v>19469.41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2461.86</v>
      </c>
      <c r="K48" s="37" t="n">
        <v>2461.86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J50" s="18" t="n">
        <v>3720</v>
      </c>
      <c r="K50" s="37" t="n">
        <v>3720</v>
      </c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-181.7</v>
      </c>
      <c r="F34" s="37" t="n"/>
      <c r="G34" s="18" t="n">
        <v>2.7</v>
      </c>
      <c r="H34" s="18" t="n">
        <v>-7.2</v>
      </c>
      <c r="I34" s="18" t="n">
        <v>-30.9</v>
      </c>
      <c r="J34" s="18" t="n">
        <v>-545.4</v>
      </c>
      <c r="K34" s="37">
        <f>SUM(G34:J34)</f>
        <v/>
      </c>
      <c r="L34" s="18" t="n">
        <v>-73.5</v>
      </c>
      <c r="M34" s="18" t="n">
        <v>73.59999999999999</v>
      </c>
      <c r="N34" s="18" t="n">
        <v>1.9</v>
      </c>
      <c r="O34" s="18" t="n">
        <v>-182</v>
      </c>
      <c r="P34" s="37">
        <f>SUM(L34:O34)</f>
        <v/>
      </c>
      <c r="Q34" s="18" t="n">
        <v>30.3</v>
      </c>
      <c r="R34" s="18" t="n">
        <v>203.1</v>
      </c>
      <c r="S34" s="18" t="n">
        <v>131.7</v>
      </c>
      <c r="T34" s="20" t="n">
        <v>-62.7</v>
      </c>
      <c r="U34" s="37">
        <f>SUM(Q34:T34)</f>
        <v/>
      </c>
      <c r="V34" s="18" t="n">
        <v>110.2</v>
      </c>
      <c r="W34" s="18" t="n">
        <v>40.7</v>
      </c>
      <c r="X34" s="18" t="n">
        <v>168.1</v>
      </c>
      <c r="Y34" s="18" t="n">
        <v>-160.7</v>
      </c>
      <c r="Z34" s="37">
        <f>SUM(V34:Y34)</f>
        <v/>
      </c>
      <c r="AA34" s="18" t="n">
        <v>-36.5</v>
      </c>
      <c r="AB34" s="19" t="n">
        <v>16.5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