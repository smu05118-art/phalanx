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BS연결!$C$5:$AO$104</definedName>
    <definedName name="BS별도H">BS별도!$C$1:$AO$1</definedName>
    <definedName name="BS별도">BS별도!$C$5:$AO$90</definedName>
    <definedName name="SUBQH">subQ!$A$1:$AO$1</definedName>
    <definedName name="subQ">subQ!$A$5:$AO$44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(1+22.2%) — g=최근 4분기 합 YoY 22.2% 클립(−30~+50%), 연차별 절반 감쇠(가정)</t>
      </text>
    </comment>
    <comment ref="AD21" authorId="0" shapeId="0">
      <text>
        <t>모델값 역산(implied): v / 전년동기 − 1
전년동기 × (1+22.2%) — g=최근 4분기 합 YoY 22.2% 클립(−30~+50%), 연차별 절반 감쇠(가정)</t>
      </text>
    </comment>
    <comment ref="AF21" authorId="0" shapeId="0">
      <text>
        <t>모델값 역산(implied): v / 전년동기 − 1
전년동기 × (1+22.2%) — g=최근 4분기 합 YoY 22.2% 클립(−30~+50%), 연차별 절반 감쇠(가정)</t>
      </text>
    </comment>
    <comment ref="AG21" authorId="0" shapeId="0">
      <text>
        <t>모델값 역산(implied): v / 전년동기 − 1
전년동기 × (1+22.2%) — g=최근 4분기 합 YoY 22.2% 클립(−30~+50%), 연차별 절반 감쇠(가정)</t>
      </text>
    </comment>
    <comment ref="AH21" authorId="0" shapeId="0">
      <text>
        <t>모델값 역산(implied): v / 전년동기 − 1
전년동기 × (1+11.1%) — g=최근 4분기 합 YoY 22.2% 클립(−30~+50%), 연차별 절반 감쇠(가정)</t>
      </text>
    </comment>
    <comment ref="AI21" authorId="0" shapeId="0">
      <text>
        <t>모델값 역산(implied): v / 전년동기 − 1
전년동기 × (1+11.1%) — g=최근 4분기 합 YoY 22.2% 클립(−30~+50%), 연차별 절반 감쇠(가정)</t>
      </text>
    </comment>
    <comment ref="AK21" authorId="0" shapeId="0">
      <text>
        <t>모델값 역산(implied): v / 전년동기 − 1
전년동기 × (1+11.1%) — g=최근 4분기 합 YoY 22.2% 클립(−30~+50%), 연차별 절반 감쇠(가정)</t>
      </text>
    </comment>
    <comment ref="AL21" authorId="0" shapeId="0">
      <text>
        <t>모델값 역산(implied): v / 전년동기 − 1
전년동기 × (1+11.1%) — g=최근 4분기 합 YoY 22.2% 클립(−30~+50%), 연차별 절반 감쇠(가정)</t>
      </text>
    </comment>
    <comment ref="AM21" authorId="0" shapeId="0">
      <text>
        <t>모델값 역산(implied): v / 전년동기 − 1
전년동기 × (1+5.5%) — g=최근 4분기 합 YoY 22.2% 클립(−30~+50%), 연차별 절반 감쇠(가정)</t>
      </text>
    </comment>
    <comment ref="AN21" authorId="0" shapeId="0">
      <text>
        <t>모델값 역산(implied): v / 전년동기 − 1
전년동기 × (1+5.5%) — g=최근 4분기 합 YoY 22.2% 클립(−30~+50%), 연차별 절반 감쇠(가정)</t>
      </text>
    </comment>
    <comment ref="AC22" authorId="0" shapeId="0">
      <text>
        <t>3절 스칼라 '판관비율' 참조 — 숫자로 덮어쓰면 이 분기만 바뀐다
매출액 × 판관비율 12.67%(최근 4분기 중위)</t>
      </text>
    </comment>
    <comment ref="AD22" authorId="0" shapeId="0">
      <text>
        <t>3절 스칼라 '판관비율' 참조 — 숫자로 덮어쓰면 이 분기만 바뀐다
매출액 × 판관비율 12.67%(최근 4분기 중위)</t>
      </text>
    </comment>
    <comment ref="AF22" authorId="0" shapeId="0">
      <text>
        <t>3절 스칼라 '판관비율' 참조 — 숫자로 덮어쓰면 이 분기만 바뀐다
매출액 × 판관비율 12.67%(최근 4분기 중위)</t>
      </text>
    </comment>
    <comment ref="AG22" authorId="0" shapeId="0">
      <text>
        <t>3절 스칼라 '판관비율' 참조 — 숫자로 덮어쓰면 이 분기만 바뀐다
매출액 × 판관비율 12.67%(최근 4분기 중위)</t>
      </text>
    </comment>
    <comment ref="AH22" authorId="0" shapeId="0">
      <text>
        <t>3절 스칼라 '판관비율' 참조 — 숫자로 덮어쓰면 이 분기만 바뀐다
매출액 × 판관비율 12.67%(최근 4분기 중위)</t>
      </text>
    </comment>
    <comment ref="AI22" authorId="0" shapeId="0">
      <text>
        <t>3절 스칼라 '판관비율' 참조 — 숫자로 덮어쓰면 이 분기만 바뀐다
매출액 × 판관비율 12.67%(최근 4분기 중위)</t>
      </text>
    </comment>
    <comment ref="AK22" authorId="0" shapeId="0">
      <text>
        <t>3절 스칼라 '판관비율' 참조 — 숫자로 덮어쓰면 이 분기만 바뀐다
매출액 × 판관비율 12.67%(최근 4분기 중위)</t>
      </text>
    </comment>
    <comment ref="AL22" authorId="0" shapeId="0">
      <text>
        <t>3절 스칼라 '판관비율' 참조 — 숫자로 덮어쓰면 이 분기만 바뀐다
매출액 × 판관비율 12.67%(최근 4분기 중위)</t>
      </text>
    </comment>
    <comment ref="AM22" authorId="0" shapeId="0">
      <text>
        <t>3절 스칼라 '판관비율' 참조 — 숫자로 덮어쓰면 이 분기만 바뀐다
매출액 × 판관비율 12.67%(최근 4분기 중위)</t>
      </text>
    </comment>
    <comment ref="AN22" authorId="0" shapeId="0">
      <text>
        <t>3절 스칼라 '판관비율' 참조 — 숫자로 덮어쓰면 이 분기만 바뀐다
매출액 × 판관비율 12.67%(최근 4분기 중위)</t>
      </text>
    </comment>
    <comment ref="AC23" authorId="0" shapeId="0">
      <text>
        <t>모델값 역산(implied): v / 매출액
매출액 × OPM(최근 8분기 OPM 중위 0.6% 유지(클립 −20~40%))</t>
      </text>
    </comment>
    <comment ref="AD23" authorId="0" shapeId="0">
      <text>
        <t>모델값 역산(implied): v / 매출액
매출액 × OPM(최근 8분기 OPM 중위 0.6% 유지(클립 −20~40%))</t>
      </text>
    </comment>
    <comment ref="AF23" authorId="0" shapeId="0">
      <text>
        <t>모델값 역산(implied): v / 매출액
매출액 × OPM(최근 8분기 OPM 중위 0.6% 유지(클립 −20~40%))</t>
      </text>
    </comment>
    <comment ref="AG23" authorId="0" shapeId="0">
      <text>
        <t>모델값 역산(implied): v / 매출액
매출액 × OPM(최근 8분기 OPM 중위 0.6% 유지(클립 −20~40%))</t>
      </text>
    </comment>
    <comment ref="AH23" authorId="0" shapeId="0">
      <text>
        <t>모델값 역산(implied): v / 매출액
매출액 × OPM(최근 8분기 OPM 중위 0.6% 유지(클립 −20~40%))</t>
      </text>
    </comment>
    <comment ref="AI23" authorId="0" shapeId="0">
      <text>
        <t>모델값 역산(implied): v / 매출액
매출액 × OPM(최근 8분기 OPM 중위 0.6% 유지(클립 −20~40%))</t>
      </text>
    </comment>
    <comment ref="AK23" authorId="0" shapeId="0">
      <text>
        <t>모델값 역산(implied): v / 매출액
매출액 × OPM(최근 8분기 OPM 중위 0.6% 유지(클립 −20~40%))</t>
      </text>
    </comment>
    <comment ref="AL23" authorId="0" shapeId="0">
      <text>
        <t>모델값 역산(implied): v / 매출액
매출액 × OPM(최근 8분기 OPM 중위 0.6% 유지(클립 −20~40%))</t>
      </text>
    </comment>
    <comment ref="AM23" authorId="0" shapeId="0">
      <text>
        <t>모델값 역산(implied): v / 매출액
매출액 × OPM(최근 8분기 OPM 중위 0.6% 유지(클립 −20~40%))</t>
      </text>
    </comment>
    <comment ref="AN23" authorId="0" shapeId="0">
      <text>
        <t>모델값 역산(implied): v / 매출액
매출액 × OPM(최근 8분기 OPM 중위 0.6%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잔차 실측 1분기 &lt; 4 → 0</t>
      </text>
    </comment>
    <comment ref="AD26" authorId="0" shapeId="0">
      <text>
        <t>모델값 역산(implied): 모델 v 그대로
잔차 실측 1분기 &lt; 4 → 0</t>
      </text>
    </comment>
    <comment ref="AF26" authorId="0" shapeId="0">
      <text>
        <t>모델값 역산(implied): 모델 v 그대로
잔차 실측 1분기 &lt; 4 → 0</t>
      </text>
    </comment>
    <comment ref="AG26" authorId="0" shapeId="0">
      <text>
        <t>모델값 역산(implied): 모델 v 그대로
잔차 실측 1분기 &lt; 4 → 0</t>
      </text>
    </comment>
    <comment ref="AH26" authorId="0" shapeId="0">
      <text>
        <t>모델값 역산(implied): 모델 v 그대로
잔차 실측 1분기 &lt; 4 → 0</t>
      </text>
    </comment>
    <comment ref="AI26" authorId="0" shapeId="0">
      <text>
        <t>모델값 역산(implied): 모델 v 그대로
잔차 실측 1분기 &lt; 4 → 0</t>
      </text>
    </comment>
    <comment ref="AK26" authorId="0" shapeId="0">
      <text>
        <t>모델값 역산(implied): 모델 v 그대로
잔차 실측 1분기 &lt; 4 → 0</t>
      </text>
    </comment>
    <comment ref="AL26" authorId="0" shapeId="0">
      <text>
        <t>모델값 역산(implied): 모델 v 그대로
잔차 실측 1분기 &lt; 4 → 0</t>
      </text>
    </comment>
    <comment ref="AM26" authorId="0" shapeId="0">
      <text>
        <t>모델값 역산(implied): 모델 v 그대로
잔차 실측 1분기 &lt; 4 → 0</t>
      </text>
    </comment>
    <comment ref="AN26" authorId="0" shapeId="0">
      <text>
        <t>모델값 역산(implied): 모델 v 그대로
잔차 실측 1분기 &lt; 4 → 0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모델값 역산(implied): 모델 v 그대로
최근 4분기 중위</t>
      </text>
    </comment>
    <comment ref="AD28" authorId="0" shapeId="0">
      <text>
        <t>모델값 역산(implied): 모델 v 그대로
최근 4분기 중위</t>
      </text>
    </comment>
    <comment ref="AF28" authorId="0" shapeId="0">
      <text>
        <t>모델값 역산(implied): 모델 v 그대로
최근 4분기 중위</t>
      </text>
    </comment>
    <comment ref="AG28" authorId="0" shapeId="0">
      <text>
        <t>모델값 역산(implied): 모델 v 그대로
최근 4분기 중위</t>
      </text>
    </comment>
    <comment ref="AH28" authorId="0" shapeId="0">
      <text>
        <t>모델값 역산(implied): 모델 v 그대로
최근 4분기 중위</t>
      </text>
    </comment>
    <comment ref="AI28" authorId="0" shapeId="0">
      <text>
        <t>모델값 역산(implied): 모델 v 그대로
최근 4분기 중위</t>
      </text>
    </comment>
    <comment ref="AK28" authorId="0" shapeId="0">
      <text>
        <t>모델값 역산(implied): 모델 v 그대로
최근 4분기 중위</t>
      </text>
    </comment>
    <comment ref="AL28" authorId="0" shapeId="0">
      <text>
        <t>모델값 역산(implied): 모델 v 그대로
최근 4분기 중위</t>
      </text>
    </comment>
    <comment ref="AM28" authorId="0" shapeId="0">
      <text>
        <t>모델값 역산(implied): 모델 v 그대로
최근 4분기 중위</t>
      </text>
    </comment>
    <comment ref="AN28" authorId="0" shapeId="0">
      <text>
        <t>모델값 역산(implied): 모델 v 그대로
최근 4분기 중위</t>
      </text>
    </comment>
    <comment ref="AC29" authorId="0" shapeId="0">
      <text>
        <t>모델값 역산(implied): v / 세전이익
max(세전, 0) × 세율 22.0%(최근 12분기 유효세율 -19.7% 가 5~27% 밖; 세전 &gt; 0 분기 중위 -46.3% 도 5~27% 밖 → 법정세율 근사 22% 가정)</t>
      </text>
    </comment>
    <comment ref="AD29" authorId="0" shapeId="0">
      <text>
        <t>모델값 역산(implied): v / 세전이익
max(세전, 0) × 세율 22.0%(최근 12분기 유효세율 -19.7% 가 5~27% 밖; 세전 &gt; 0 분기 중위 -46.3% 도 5~27% 밖 → 법정세율 근사 22% 가정)</t>
      </text>
    </comment>
    <comment ref="AF29" authorId="0" shapeId="0">
      <text>
        <t>모델값 역산(implied): v / 세전이익
max(세전, 0) × 세율 22.0%(최근 12분기 유효세율 -19.7% 가 5~27% 밖; 세전 &gt; 0 분기 중위 -46.3% 도 5~27% 밖 → 법정세율 근사 22% 가정)</t>
      </text>
    </comment>
    <comment ref="AG29" authorId="0" shapeId="0">
      <text>
        <t>모델값 역산(implied): v / 세전이익
max(세전, 0) × 세율 22.0%(최근 12분기 유효세율 -19.7% 가 5~27% 밖; 세전 &gt; 0 분기 중위 -46.3% 도 5~27% 밖 → 법정세율 근사 22% 가정)</t>
      </text>
    </comment>
    <comment ref="AH29" authorId="0" shapeId="0">
      <text>
        <t>모델값 역산(implied): v / 세전이익
max(세전, 0) × 세율 22.0%(최근 12분기 유효세율 -19.7% 가 5~27% 밖; 세전 &gt; 0 분기 중위 -46.3% 도 5~27% 밖 → 법정세율 근사 22% 가정)</t>
      </text>
    </comment>
    <comment ref="AI29" authorId="0" shapeId="0">
      <text>
        <t>모델값 역산(implied): v / 세전이익
max(세전, 0) × 세율 22.0%(최근 12분기 유효세율 -19.7% 가 5~27% 밖; 세전 &gt; 0 분기 중위 -46.3% 도 5~27% 밖 → 법정세율 근사 22% 가정)</t>
      </text>
    </comment>
    <comment ref="AK29" authorId="0" shapeId="0">
      <text>
        <t>모델값 역산(implied): v / 세전이익
max(세전, 0) × 세율 22.0%(최근 12분기 유효세율 -19.7% 가 5~27% 밖; 세전 &gt; 0 분기 중위 -46.3% 도 5~27% 밖 → 법정세율 근사 22% 가정)</t>
      </text>
    </comment>
    <comment ref="AL29" authorId="0" shapeId="0">
      <text>
        <t>모델값 역산(implied): v / 세전이익
max(세전, 0) × 세율 22.0%(최근 12분기 유효세율 -19.7% 가 5~27% 밖; 세전 &gt; 0 분기 중위 -46.3% 도 5~27% 밖 → 법정세율 근사 22% 가정)</t>
      </text>
    </comment>
    <comment ref="AM29" authorId="0" shapeId="0">
      <text>
        <t>모델값 역산(implied): v / 세전이익
max(세전, 0) × 세율 22.0%(최근 12분기 유효세율 -19.7% 가 5~27% 밖; 세전 &gt; 0 분기 중위 -46.3% 도 5~27% 밖 → 법정세율 근사 22% 가정)</t>
      </text>
    </comment>
    <comment ref="AN29" authorId="0" shapeId="0">
      <text>
        <t>모델값 역산(implied): v / 세전이익
max(세전, 0) × 세율 22.0%(최근 12분기 유효세율 -19.7% 가 5~27% 밖; 세전 &gt; 0 분기 중위 -46.3% 도 5~27% 밖 → 법정세율 근사 22% 가정)</t>
      </text>
    </comment>
    <comment ref="AC30" authorId="0" shapeId="0">
      <text>
        <t>3절 스칼라 '지배주주비중' 참조 — 숫자로 덮어쓰면 이 분기만 바뀐다
당기순이익 × (1 − 비지배 비중 0.0%, 최근 8분기 실측)</t>
      </text>
    </comment>
    <comment ref="AD30" authorId="0" shapeId="0">
      <text>
        <t>3절 스칼라 '지배주주비중' 참조 — 숫자로 덮어쓰면 이 분기만 바뀐다
당기순이익 × (1 − 비지배 비중 0.0%, 최근 8분기 실측)</t>
      </text>
    </comment>
    <comment ref="AF30" authorId="0" shapeId="0">
      <text>
        <t>3절 스칼라 '지배주주비중' 참조 — 숫자로 덮어쓰면 이 분기만 바뀐다
당기순이익 × (1 − 비지배 비중 0.0%, 최근 8분기 실측)</t>
      </text>
    </comment>
    <comment ref="AG30" authorId="0" shapeId="0">
      <text>
        <t>3절 스칼라 '지배주주비중' 참조 — 숫자로 덮어쓰면 이 분기만 바뀐다
당기순이익 × (1 − 비지배 비중 0.0%, 최근 8분기 실측)</t>
      </text>
    </comment>
    <comment ref="AH30" authorId="0" shapeId="0">
      <text>
        <t>3절 스칼라 '지배주주비중' 참조 — 숫자로 덮어쓰면 이 분기만 바뀐다
당기순이익 × (1 − 비지배 비중 0.0%, 최근 8분기 실측)</t>
      </text>
    </comment>
    <comment ref="AI30" authorId="0" shapeId="0">
      <text>
        <t>3절 스칼라 '지배주주비중' 참조 — 숫자로 덮어쓰면 이 분기만 바뀐다
당기순이익 × (1 − 비지배 비중 0.0%, 최근 8분기 실측)</t>
      </text>
    </comment>
    <comment ref="AK30" authorId="0" shapeId="0">
      <text>
        <t>3절 스칼라 '지배주주비중' 참조 — 숫자로 덮어쓰면 이 분기만 바뀐다
당기순이익 × (1 − 비지배 비중 0.0%, 최근 8분기 실측)</t>
      </text>
    </comment>
    <comment ref="AL30" authorId="0" shapeId="0">
      <text>
        <t>3절 스칼라 '지배주주비중' 참조 — 숫자로 덮어쓰면 이 분기만 바뀐다
당기순이익 × (1 − 비지배 비중 0.0%, 최근 8분기 실측)</t>
      </text>
    </comment>
    <comment ref="AM30" authorId="0" shapeId="0">
      <text>
        <t>3절 스칼라 '지배주주비중' 참조 — 숫자로 덮어쓰면 이 분기만 바뀐다
당기순이익 × (1 − 비지배 비중 0.0%, 최근 8분기 실측)</t>
      </text>
    </comment>
    <comment ref="AN30" authorId="0" shapeId="0">
      <text>
        <t>3절 스칼라 '지배주주비중' 참조 — 숫자로 덮어쓰면 이 분기만 바뀐다
당기순이익 × (1 − 비지배 비중 0.0%, 최근 8분기 실측)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전분기(시트값) + 당기순이익(시트 수식값) − v
전분기 + 당기순이익 − 배당(Q2 지급 가정)</t>
      </text>
    </comment>
    <comment ref="AD32" authorId="0" shapeId="0">
      <text>
        <t>모델값 역산(implied): 전분기(시트값) + 당기순이익(시트 수식값) − v
전분기 + 당기순이익 − 배당(Q2 지급 가정)</t>
      </text>
    </comment>
    <comment ref="AF32" authorId="0" shapeId="0">
      <text>
        <t>모델값 역산(implied): 전분기(시트값) + 당기순이익(시트 수식값) − v
전분기 + 당기순이익 − 배당(Q2 지급 가정)</t>
      </text>
    </comment>
    <comment ref="AG32" authorId="0" shapeId="0">
      <text>
        <t>모델값 역산(implied): 전분기(시트값) + 당기순이익(시트 수식값) − v
전분기 + 당기순이익 − 배당(Q2 지급 가정)</t>
      </text>
    </comment>
    <comment ref="AH32" authorId="0" shapeId="0">
      <text>
        <t>모델값 역산(implied): 전분기(시트값) + 당기순이익(시트 수식값) − v
전분기 + 당기순이익 − 배당(Q2 지급 가정)</t>
      </text>
    </comment>
    <comment ref="AI32" authorId="0" shapeId="0">
      <text>
        <t>모델값 역산(implied): 전분기(시트값) + 당기순이익(시트 수식값) − v
전분기 + 당기순이익 − 배당(Q2 지급 가정)</t>
      </text>
    </comment>
    <comment ref="AK32" authorId="0" shapeId="0">
      <text>
        <t>모델값 역산(implied): 전분기(시트값) + 당기순이익(시트 수식값) − v
전분기 + 당기순이익 − 배당(Q2 지급 가정)</t>
      </text>
    </comment>
    <comment ref="AL32" authorId="0" shapeId="0">
      <text>
        <t>모델값 역산(implied): 전분기(시트값) + 당기순이익(시트 수식값) − v
전분기 + 당기순이익 − 배당(Q2 지급 가정)</t>
      </text>
    </comment>
    <comment ref="AM32" authorId="0" shapeId="0">
      <text>
        <t>모델값 역산(implied): 전분기(시트값) + 당기순이익(시트 수식값) − v
전분기 + 당기순이익 − 배당(Q2 지급 가정)</t>
      </text>
    </comment>
    <comment ref="AN32" authorId="0" shapeId="0">
      <text>
        <t>모델값 역산(implied): 전분기(시트값) + 당기순이익(시트 수식값) − v
전분기 + 당기순이익 − 배당(Q2 지급 가정)</t>
      </text>
    </comment>
    <comment ref="AC33" authorId="0" shapeId="0">
      <text>
        <t>모델값 역산(implied): 전분기(시트값) + 지배주주순이익(시트 수식값) − v
전분기 + 지배주주순이익 − 배당</t>
      </text>
    </comment>
    <comment ref="AD33" authorId="0" shapeId="0">
      <text>
        <t>모델값 역산(implied): 전분기(시트값) + 지배주주순이익(시트 수식값) − v
전분기 + 지배주주순이익 − 배당</t>
      </text>
    </comment>
    <comment ref="AF33" authorId="0" shapeId="0">
      <text>
        <t>모델값 역산(implied): 전분기(시트값) + 지배주주순이익(시트 수식값) − v
전분기 + 지배주주순이익 − 배당</t>
      </text>
    </comment>
    <comment ref="AG33" authorId="0" shapeId="0">
      <text>
        <t>모델값 역산(implied): 전분기(시트값) + 지배주주순이익(시트 수식값) − v
전분기 + 지배주주순이익 − 배당</t>
      </text>
    </comment>
    <comment ref="AH33" authorId="0" shapeId="0">
      <text>
        <t>모델값 역산(implied): 전분기(시트값) + 지배주주순이익(시트 수식값) − v
전분기 + 지배주주순이익 − 배당</t>
      </text>
    </comment>
    <comment ref="AI33" authorId="0" shapeId="0">
      <text>
        <t>모델값 역산(implied): 전분기(시트값) + 지배주주순이익(시트 수식값) − v
전분기 + 지배주주순이익 − 배당</t>
      </text>
    </comment>
    <comment ref="AK33" authorId="0" shapeId="0">
      <text>
        <t>모델값 역산(implied): 전분기(시트값) + 지배주주순이익(시트 수식값) − v
전분기 + 지배주주순이익 − 배당</t>
      </text>
    </comment>
    <comment ref="AL33" authorId="0" shapeId="0">
      <text>
        <t>모델값 역산(implied): 전분기(시트값) + 지배주주순이익(시트 수식값) − v
전분기 + 지배주주순이익 − 배당</t>
      </text>
    </comment>
    <comment ref="AM33" authorId="0" shapeId="0">
      <text>
        <t>모델값 역산(implied): 전분기(시트값) + 지배주주순이익(시트 수식값) − v
전분기 + 지배주주순이익 − 배당</t>
      </text>
    </comment>
    <comment ref="AN33" authorId="0" shapeId="0">
      <text>
        <t>모델값 역산(implied): 전분기(시트값) + 지배주주순이익(시트 수식값) − v
전분기 + 지배주주순이익 − 배당</t>
      </text>
    </comment>
    <comment ref="AC34" authorId="0" shapeId="0">
      <text>
        <t>모델값 역산(implied): v / 전분기 − 1
마지막 실적 유지(가정)</t>
      </text>
    </comment>
    <comment ref="AD34" authorId="0" shapeId="0">
      <text>
        <t>모델값 역산(implied): v / 전분기 − 1
마지막 실적 유지(가정)</t>
      </text>
    </comment>
    <comment ref="AF34" authorId="0" shapeId="0">
      <text>
        <t>모델값 역산(implied): v / 전분기 − 1
마지막 실적 유지(가정)</t>
      </text>
    </comment>
    <comment ref="AG34" authorId="0" shapeId="0">
      <text>
        <t>모델값 역산(implied): v / 전분기 − 1
마지막 실적 유지(가정)</t>
      </text>
    </comment>
    <comment ref="AH34" authorId="0" shapeId="0">
      <text>
        <t>모델값 역산(implied): v / 전분기 − 1
마지막 실적 유지(가정)</t>
      </text>
    </comment>
    <comment ref="AI34" authorId="0" shapeId="0">
      <text>
        <t>모델값 역산(implied): v / 전분기 − 1
마지막 실적 유지(가정)</t>
      </text>
    </comment>
    <comment ref="AK34" authorId="0" shapeId="0">
      <text>
        <t>모델값 역산(implied): v / 전분기 − 1
마지막 실적 유지(가정)</t>
      </text>
    </comment>
    <comment ref="AL34" authorId="0" shapeId="0">
      <text>
        <t>모델값 역산(implied): v / 전분기 − 1
마지막 실적 유지(가정)</t>
      </text>
    </comment>
    <comment ref="AM34" authorId="0" shapeId="0">
      <text>
        <t>모델값 역산(implied): v / 전분기 − 1
마지막 실적 유지(가정)</t>
      </text>
    </comment>
    <comment ref="AN34" authorId="0" shapeId="0">
      <text>
        <t>모델값 역산(implied): v / 전분기 − 1
마지막 실적 유지(가정)</t>
      </text>
    </comment>
    <comment ref="AC35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AD35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AF35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AG35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AH35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AI35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AK35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AL35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AM35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AN35" authorId="0" shapeId="0">
      <text>
        <t>모델값 역산(implied): v / 전분기 − 1
전분기 − FCF 근사[순이익 − 배당(감가상각비 없음 → CAPEX≈감가 가정, CAPEX 중위 33억은 행에만)] (운전자본 불변·총차입금 유지 가정 → 변동은 전부 현금)</t>
      </text>
    </comment>
    <comment ref="AC36" authorId="0" shapeId="0">
      <text>
        <t>모델값 역산(implied): v / 전분기 − 1
전분기 + FCF 근사 — 순차입금 롤과 같은 가정</t>
      </text>
    </comment>
    <comment ref="AD36" authorId="0" shapeId="0">
      <text>
        <t>모델값 역산(implied): v / 전분기 − 1
전분기 + FCF 근사 — 순차입금 롤과 같은 가정</t>
      </text>
    </comment>
    <comment ref="AF36" authorId="0" shapeId="0">
      <text>
        <t>모델값 역산(implied): v / 전분기 − 1
전분기 + FCF 근사 — 순차입금 롤과 같은 가정</t>
      </text>
    </comment>
    <comment ref="AG36" authorId="0" shapeId="0">
      <text>
        <t>모델값 역산(implied): v / 전분기 − 1
전분기 + FCF 근사 — 순차입금 롤과 같은 가정</t>
      </text>
    </comment>
    <comment ref="AH36" authorId="0" shapeId="0">
      <text>
        <t>모델값 역산(implied): v / 전분기 − 1
전분기 + FCF 근사 — 순차입금 롤과 같은 가정</t>
      </text>
    </comment>
    <comment ref="AI36" authorId="0" shapeId="0">
      <text>
        <t>모델값 역산(implied): v / 전분기 − 1
전분기 + FCF 근사 — 순차입금 롤과 같은 가정</t>
      </text>
    </comment>
    <comment ref="AK36" authorId="0" shapeId="0">
      <text>
        <t>모델값 역산(implied): v / 전분기 − 1
전분기 + FCF 근사 — 순차입금 롤과 같은 가정</t>
      </text>
    </comment>
    <comment ref="AL36" authorId="0" shapeId="0">
      <text>
        <t>모델값 역산(implied): v / 전분기 − 1
전분기 + FCF 근사 — 순차입금 롤과 같은 가정</t>
      </text>
    </comment>
    <comment ref="AM36" authorId="0" shapeId="0">
      <text>
        <t>모델값 역산(implied): v / 전분기 − 1
전분기 + FCF 근사 — 순차입금 롤과 같은 가정</t>
      </text>
    </comment>
    <comment ref="AN36" authorId="0" shapeId="0">
      <text>
        <t>모델값 역산(implied): v / 전분기 − 1
전분기 + FCF 근사 — 순차입금 롤과 같은 가정</t>
      </text>
    </comment>
    <comment ref="AC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40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v / 전분기 − 1
유통주식수 유지 — fin.shares.common_outstanding(2026Q2)</t>
      </text>
    </comment>
    <comment ref="AF40" authorId="0" shapeId="0">
      <text>
        <t>모델값 역산(implied): v / 전분기 − 1
유통주식수 유지 — fin.shares.common_outstanding(2026Q2)</t>
      </text>
    </comment>
    <comment ref="AG40" authorId="0" shapeId="0">
      <text>
        <t>모델값 역산(implied): v / 전분기 − 1
유통주식수 유지 — fin.shares.common_outstanding(2026Q2)</t>
      </text>
    </comment>
    <comment ref="AH40" authorId="0" shapeId="0">
      <text>
        <t>모델값 역산(implied): v / 전분기 − 1
유통주식수 유지 — fin.shares.common_outstanding(2026Q2)</t>
      </text>
    </comment>
    <comment ref="AI40" authorId="0" shapeId="0">
      <text>
        <t>모델값 역산(implied): v / 전분기 − 1
유통주식수 유지 — fin.shares.common_outstanding(2026Q2)</t>
      </text>
    </comment>
    <comment ref="AK40" authorId="0" shapeId="0">
      <text>
        <t>모델값 역산(implied): v / 전분기 − 1
유통주식수 유지 — fin.shares.common_outstanding(2026Q2)</t>
      </text>
    </comment>
    <comment ref="AL40" authorId="0" shapeId="0">
      <text>
        <t>모델값 역산(implied): v / 전분기 − 1
유통주식수 유지 — fin.shares.common_outstanding(2026Q2)</t>
      </text>
    </comment>
    <comment ref="AM40" authorId="0" shapeId="0">
      <text>
        <t>모델값 역산(implied): v / 전분기 − 1
유통주식수 유지 — fin.shares.common_outstanding(2026Q2)</t>
      </text>
    </comment>
    <comment ref="AN40" authorId="0" shapeId="0">
      <text>
        <t>모델값 역산(implied): v / 전분기 − 1
유통주식수 유지 — fin.shares.common_outstanding(2026Q2)</t>
      </text>
    </comment>
    <comment ref="AD41" authorId="0" shapeId="0">
      <text>
        <t>모델값 역산(implied): 모델 v 그대로
직전 결산 DPS 0원 유지</t>
      </text>
    </comment>
    <comment ref="AI41" authorId="0" shapeId="0">
      <text>
        <t>모델값 역산(implied): 모델 v 그대로
직전 결산 DPS 0원 유지</t>
      </text>
    </comment>
    <comment ref="AN41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(1+22.2%) — g=최근 4분기 합 YoY 22.2% 클립(−30~+50%), 연차별 절반 감쇠(가정)
[yoy]</t>
      </text>
    </comment>
    <comment ref="AD5" authorId="0" shapeId="0">
      <text>
        <t>추정: 전년동기 × (1+22.2%) — g=최근 4분기 합 YoY 22.2% 클립(−30~+50%), 연차별 절반 감쇠(가정)
[yoy]</t>
      </text>
    </comment>
    <comment ref="AF5" authorId="0" shapeId="0">
      <text>
        <t>추정: 전년동기 × (1+22.2%) — g=최근 4분기 합 YoY 22.2% 클립(−30~+50%), 연차별 절반 감쇠(가정)
[yoy]</t>
      </text>
    </comment>
    <comment ref="AG5" authorId="0" shapeId="0">
      <text>
        <t>추정: 전년동기 × (1+22.2%) — g=최근 4분기 합 YoY 22.2% 클립(−30~+50%), 연차별 절반 감쇠(가정)
[yoy]</t>
      </text>
    </comment>
    <comment ref="AH5" authorId="0" shapeId="0">
      <text>
        <t>추정: 전년동기 × (1+11.1%) — g=최근 4분기 합 YoY 22.2% 클립(−30~+50%), 연차별 절반 감쇠(가정)
[yoy]</t>
      </text>
    </comment>
    <comment ref="AI5" authorId="0" shapeId="0">
      <text>
        <t>추정: 전년동기 × (1+11.1%) — g=최근 4분기 합 YoY 22.2% 클립(−30~+50%), 연차별 절반 감쇠(가정)
[yoy]</t>
      </text>
    </comment>
    <comment ref="AK5" authorId="0" shapeId="0">
      <text>
        <t>추정: 전년동기 × (1+11.1%) — g=최근 4분기 합 YoY 22.2% 클립(−30~+50%), 연차별 절반 감쇠(가정)
[yoy]</t>
      </text>
    </comment>
    <comment ref="AL5" authorId="0" shapeId="0">
      <text>
        <t>추정: 전년동기 × (1+11.1%) — g=최근 4분기 합 YoY 22.2% 클립(−30~+50%), 연차별 절반 감쇠(가정)
[yoy]</t>
      </text>
    </comment>
    <comment ref="AM5" authorId="0" shapeId="0">
      <text>
        <t>추정: 전년동기 × (1+5.5%) — g=최근 4분기 합 YoY 22.2% 클립(−30~+50%), 연차별 절반 감쇠(가정)
[yoy]</t>
      </text>
    </comment>
    <comment ref="AN5" authorId="0" shapeId="0">
      <text>
        <t>추정: 전년동기 × (1+5.5%) — g=최근 4분기 합 YoY 22.2%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12.67%(최근 4분기 중위)
[ratio]</t>
      </text>
    </comment>
    <comment ref="AD8" authorId="0" shapeId="0">
      <text>
        <t>추정: 매출액 × 판관비율 12.67%(최근 4분기 중위)
[ratio]</t>
      </text>
    </comment>
    <comment ref="AF8" authorId="0" shapeId="0">
      <text>
        <t>추정: 매출액 × 판관비율 12.67%(최근 4분기 중위)
[ratio]</t>
      </text>
    </comment>
    <comment ref="AG8" authorId="0" shapeId="0">
      <text>
        <t>추정: 매출액 × 판관비율 12.67%(최근 4분기 중위)
[ratio]</t>
      </text>
    </comment>
    <comment ref="AH8" authorId="0" shapeId="0">
      <text>
        <t>추정: 매출액 × 판관비율 12.67%(최근 4분기 중위)
[ratio]</t>
      </text>
    </comment>
    <comment ref="AI8" authorId="0" shapeId="0">
      <text>
        <t>추정: 매출액 × 판관비율 12.67%(최근 4분기 중위)
[ratio]</t>
      </text>
    </comment>
    <comment ref="AK8" authorId="0" shapeId="0">
      <text>
        <t>추정: 매출액 × 판관비율 12.67%(최근 4분기 중위)
[ratio]</t>
      </text>
    </comment>
    <comment ref="AL8" authorId="0" shapeId="0">
      <text>
        <t>추정: 매출액 × 판관비율 12.67%(최근 4분기 중위)
[ratio]</t>
      </text>
    </comment>
    <comment ref="AM8" authorId="0" shapeId="0">
      <text>
        <t>추정: 매출액 × 판관비율 12.67%(최근 4분기 중위)
[ratio]</t>
      </text>
    </comment>
    <comment ref="AN8" authorId="0" shapeId="0">
      <text>
        <t>추정: 매출액 × 판관비율 12.67%(최근 4분기 중위)
[ratio]</t>
      </text>
    </comment>
    <comment ref="AC9" authorId="0" shapeId="0">
      <text>
        <t>추정: 매출액 × OPM(최근 8분기 OPM 중위 0.6% 유지(클립 −20~40%))
[ratio]</t>
      </text>
    </comment>
    <comment ref="AD9" authorId="0" shapeId="0">
      <text>
        <t>추정: 매출액 × OPM(최근 8분기 OPM 중위 0.6% 유지(클립 −20~40%))
[ratio]</t>
      </text>
    </comment>
    <comment ref="AF9" authorId="0" shapeId="0">
      <text>
        <t>추정: 매출액 × OPM(최근 8분기 OPM 중위 0.6% 유지(클립 −20~40%))
[ratio]</t>
      </text>
    </comment>
    <comment ref="AG9" authorId="0" shapeId="0">
      <text>
        <t>추정: 매출액 × OPM(최근 8분기 OPM 중위 0.6% 유지(클립 −20~40%))
[ratio]</t>
      </text>
    </comment>
    <comment ref="AH9" authorId="0" shapeId="0">
      <text>
        <t>추정: 매출액 × OPM(최근 8분기 OPM 중위 0.6% 유지(클립 −20~40%))
[ratio]</t>
      </text>
    </comment>
    <comment ref="AI9" authorId="0" shapeId="0">
      <text>
        <t>추정: 매출액 × OPM(최근 8분기 OPM 중위 0.6% 유지(클립 −20~40%))
[ratio]</t>
      </text>
    </comment>
    <comment ref="AK9" authorId="0" shapeId="0">
      <text>
        <t>추정: 매출액 × OPM(최근 8분기 OPM 중위 0.6% 유지(클립 −20~40%))
[ratio]</t>
      </text>
    </comment>
    <comment ref="AL9" authorId="0" shapeId="0">
      <text>
        <t>추정: 매출액 × OPM(최근 8분기 OPM 중위 0.6% 유지(클립 −20~40%))
[ratio]</t>
      </text>
    </comment>
    <comment ref="AM9" authorId="0" shapeId="0">
      <text>
        <t>추정: 매출액 × OPM(최근 8분기 OPM 중위 0.6% 유지(클립 −20~40%))
[ratio]</t>
      </text>
    </comment>
    <comment ref="AN9" authorId="0" shapeId="0">
      <text>
        <t>추정: 매출액 × OPM(최근 8분기 OPM 중위 0.6% 유지(클립 −20~40%))
[ratio]</t>
      </text>
    </comment>
    <comment ref="AC10" authorId="0" shapeId="0">
      <text>
        <t>추정: 최근 8분기 OPM 중위 0.6% 유지(클립 −20~40%)
[divide]</t>
      </text>
    </comment>
    <comment ref="AD10" authorId="0" shapeId="0">
      <text>
        <t>추정: 최근 8분기 OPM 중위 0.6% 유지(클립 −20~40%)
[divide]</t>
      </text>
    </comment>
    <comment ref="AF10" authorId="0" shapeId="0">
      <text>
        <t>추정: 최근 8분기 OPM 중위 0.6% 유지(클립 −20~40%)
[divide]</t>
      </text>
    </comment>
    <comment ref="AG10" authorId="0" shapeId="0">
      <text>
        <t>추정: 최근 8분기 OPM 중위 0.6% 유지(클립 −20~40%)
[divide]</t>
      </text>
    </comment>
    <comment ref="AH10" authorId="0" shapeId="0">
      <text>
        <t>추정: 최근 8분기 OPM 중위 0.6% 유지(클립 −20~40%)
[divide]</t>
      </text>
    </comment>
    <comment ref="AI10" authorId="0" shapeId="0">
      <text>
        <t>추정: 최근 8분기 OPM 중위 0.6% 유지(클립 −20~40%)
[divide]</t>
      </text>
    </comment>
    <comment ref="AK10" authorId="0" shapeId="0">
      <text>
        <t>추정: 최근 8분기 OPM 중위 0.6% 유지(클립 −20~40%)
[divide]</t>
      </text>
    </comment>
    <comment ref="AL10" authorId="0" shapeId="0">
      <text>
        <t>추정: 최근 8분기 OPM 중위 0.6% 유지(클립 −20~40%)
[divide]</t>
      </text>
    </comment>
    <comment ref="AM10" authorId="0" shapeId="0">
      <text>
        <t>추정: 최근 8분기 OPM 중위 0.6% 유지(클립 −20~40%)
[divide]</t>
      </text>
    </comment>
    <comment ref="AN10" authorId="0" shapeId="0">
      <text>
        <t>추정: 최근 8분기 OPM 중위 0.6% 유지(클립 −20~40%)
[divide]</t>
      </text>
    </comment>
    <comment ref="AC11" authorId="0" shapeId="0">
      <text>
        <t>추정: 이자손익 + 외환손익 0 + 파생상품손익 0 + 기타금융손익 +0.00억(잔차 실측 1분기 &lt; 4 → 0) (항등식); 이자손익 = 이자발생자산 168억 × 1.71%(주석 이자수익 ÷ 평균 이자발생자산(2025Q3~2026Q2)) − 총차입금 408억 × 3.53%(주석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1분기 &lt; 4 → 0) (항등식); 이자손익 = 이자발생자산 164억 × 1.71%(주석 이자수익 ÷ 평균 이자발생자산(2025Q3~2026Q2)) − 총차입금 408억 × 3.53%(주석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1분기 &lt; 4 → 0) (항등식); 이자손익 = 이자발생자산 159억 × 1.71%(주석 이자수익 ÷ 평균 이자발생자산(2025Q3~2026Q2)) − 총차입금 408억 × 3.53%(주석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1분기 &lt; 4 → 0) (항등식); 이자손익 = 이자발생자산 153억 × 1.71%(주석 이자수익 ÷ 평균 이자발생자산(2025Q3~2026Q2)) − 총차입금 408억 × 3.53%(주석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1분기 &lt; 4 → 0) (항등식); 이자손익 = 이자발생자산 148억 × 1.71%(주석 이자수익 ÷ 평균 이자발생자산(2025Q3~2026Q2)) − 총차입금 408억 × 3.53%(주석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1분기 &lt; 4 → 0) (항등식); 이자손익 = 이자발생자산 144억 × 1.71%(주석 이자수익 ÷ 평균 이자발생자산(2025Q3~2026Q2)) − 총차입금 408억 × 3.53%(주석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1분기 &lt; 4 → 0) (항등식); 이자손익 = 이자발생자산 139억 × 1.71%(주석 이자수익 ÷ 평균 이자발생자산(2025Q3~2026Q2)) − 총차입금 408억 × 3.53%(주석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1분기 &lt; 4 → 0) (항등식); 이자손익 = 이자발생자산 133억 × 1.71%(주석 이자수익 ÷ 평균 이자발생자산(2025Q3~2026Q2)) − 총차입금 408억 × 3.53%(주석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1분기 &lt; 4 → 0) (항등식); 이자손익 = 이자발생자산 128억 × 1.71%(주석 이자수익 ÷ 평균 이자발생자산(2025Q3~2026Q2)) − 총차입금 408억 × 3.53%(주석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1분기 &lt; 4 → 0) (항등식); 이자손익 = 이자발생자산 124억 × 1.71%(주석 이자수익 ÷ 평균 이자발생자산(2025Q3~2026Q2)) − 총차입금 408억 × 3.53%(주석 이자비용 ÷ 평균 총차입금(2025Q3~2026Q2)) (연율) ÷ 4; 환율 효과는 환관련손익 행 별도
[identity]</t>
      </text>
    </comment>
    <comment ref="AC12" authorId="0" shapeId="0">
      <text>
        <t>추정: 이자발생자산 168억 × 1.71%(주석 이자수익 ÷ 평균 이자발생자산(2025Q3~2026Q2)) − 총차입금 408억 × 3.53%(주석 이자비용 ÷ 평균 총차입금(2025Q3~2026Q2)) (연율) ÷ 4
[interest]</t>
      </text>
    </comment>
    <comment ref="AD12" authorId="0" shapeId="0">
      <text>
        <t>추정: 이자발생자산 164억 × 1.71%(주석 이자수익 ÷ 평균 이자발생자산(2025Q3~2026Q2)) − 총차입금 408억 × 3.53%(주석 이자비용 ÷ 평균 총차입금(2025Q3~2026Q2)) (연율) ÷ 4
[interest]</t>
      </text>
    </comment>
    <comment ref="AF12" authorId="0" shapeId="0">
      <text>
        <t>추정: 이자발생자산 159억 × 1.71%(주석 이자수익 ÷ 평균 이자발생자산(2025Q3~2026Q2)) − 총차입금 408억 × 3.53%(주석 이자비용 ÷ 평균 총차입금(2025Q3~2026Q2)) (연율) ÷ 4
[interest]</t>
      </text>
    </comment>
    <comment ref="AG12" authorId="0" shapeId="0">
      <text>
        <t>추정: 이자발생자산 153억 × 1.71%(주석 이자수익 ÷ 평균 이자발생자산(2025Q3~2026Q2)) − 총차입금 408억 × 3.53%(주석 이자비용 ÷ 평균 총차입금(2025Q3~2026Q2)) (연율) ÷ 4
[interest]</t>
      </text>
    </comment>
    <comment ref="AH12" authorId="0" shapeId="0">
      <text>
        <t>추정: 이자발생자산 148억 × 1.71%(주석 이자수익 ÷ 평균 이자발생자산(2025Q3~2026Q2)) − 총차입금 408억 × 3.53%(주석 이자비용 ÷ 평균 총차입금(2025Q3~2026Q2)) (연율) ÷ 4
[interest]</t>
      </text>
    </comment>
    <comment ref="AI12" authorId="0" shapeId="0">
      <text>
        <t>추정: 이자발생자산 144억 × 1.71%(주석 이자수익 ÷ 평균 이자발생자산(2025Q3~2026Q2)) − 총차입금 408억 × 3.53%(주석 이자비용 ÷ 평균 총차입금(2025Q3~2026Q2)) (연율) ÷ 4
[interest]</t>
      </text>
    </comment>
    <comment ref="AK12" authorId="0" shapeId="0">
      <text>
        <t>추정: 이자발생자산 139억 × 1.71%(주석 이자수익 ÷ 평균 이자발생자산(2025Q3~2026Q2)) − 총차입금 408억 × 3.53%(주석 이자비용 ÷ 평균 총차입금(2025Q3~2026Q2)) (연율) ÷ 4
[interest]</t>
      </text>
    </comment>
    <comment ref="AL12" authorId="0" shapeId="0">
      <text>
        <t>추정: 이자발생자산 133억 × 1.71%(주석 이자수익 ÷ 평균 이자발생자산(2025Q3~2026Q2)) − 총차입금 408억 × 3.53%(주석 이자비용 ÷ 평균 총차입금(2025Q3~2026Q2)) (연율) ÷ 4
[interest]</t>
      </text>
    </comment>
    <comment ref="AM12" authorId="0" shapeId="0">
      <text>
        <t>추정: 이자발생자산 128억 × 1.71%(주석 이자수익 ÷ 평균 이자발생자산(2025Q3~2026Q2)) − 총차입금 408억 × 3.53%(주석 이자비용 ÷ 평균 총차입금(2025Q3~2026Q2)) (연율) ÷ 4
[interest]</t>
      </text>
    </comment>
    <comment ref="AN12" authorId="0" shapeId="0">
      <text>
        <t>추정: 이자발생자산 124억 × 1.71%(주석 이자수익 ÷ 평균 이자발생자산(2025Q3~2026Q2)) − 총차입금 408억 × 3.53%(주석 이자비용 ÷ 평균 총차입금(2025Q3~2026Q2))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J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잔차 실측 1분기 &lt; 4 → 0
[abs]</t>
      </text>
    </comment>
    <comment ref="AD15" authorId="0" shapeId="0">
      <text>
        <t>추정: 잔차 실측 1분기 &lt; 4 → 0
[abs]</t>
      </text>
    </comment>
    <comment ref="AF15" authorId="0" shapeId="0">
      <text>
        <t>추정: 잔차 실측 1분기 &lt; 4 → 0
[abs]</t>
      </text>
    </comment>
    <comment ref="AG15" authorId="0" shapeId="0">
      <text>
        <t>추정: 잔차 실측 1분기 &lt; 4 → 0
[abs]</t>
      </text>
    </comment>
    <comment ref="AH15" authorId="0" shapeId="0">
      <text>
        <t>추정: 잔차 실측 1분기 &lt; 4 → 0
[abs]</t>
      </text>
    </comment>
    <comment ref="AI15" authorId="0" shapeId="0">
      <text>
        <t>추정: 잔차 실측 1분기 &lt; 4 → 0
[abs]</t>
      </text>
    </comment>
    <comment ref="AK15" authorId="0" shapeId="0">
      <text>
        <t>추정: 잔차 실측 1분기 &lt; 4 → 0
[abs]</t>
      </text>
    </comment>
    <comment ref="AL15" authorId="0" shapeId="0">
      <text>
        <t>추정: 잔차 실측 1분기 &lt; 4 → 0
[abs]</t>
      </text>
    </comment>
    <comment ref="AM15" authorId="0" shapeId="0">
      <text>
        <t>추정: 잔차 실측 1분기 &lt; 4 → 0
[abs]</t>
      </text>
    </comment>
    <comment ref="AN15" authorId="0" shapeId="0">
      <text>
        <t>추정: 잔차 실측 1분기 &lt; 4 → 0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최근 4분기 중위
[abs]</t>
      </text>
    </comment>
    <comment ref="AD17" authorId="0" shapeId="0">
      <text>
        <t>추정: 최근 4분기 중위
[abs]</t>
      </text>
    </comment>
    <comment ref="AF17" authorId="0" shapeId="0">
      <text>
        <t>추정: 최근 4분기 중위
[abs]</t>
      </text>
    </comment>
    <comment ref="AG17" authorId="0" shapeId="0">
      <text>
        <t>추정: 최근 4분기 중위
[abs]</t>
      </text>
    </comment>
    <comment ref="AH17" authorId="0" shapeId="0">
      <text>
        <t>추정: 최근 4분기 중위
[abs]</t>
      </text>
    </comment>
    <comment ref="AI17" authorId="0" shapeId="0">
      <text>
        <t>추정: 최근 4분기 중위
[abs]</t>
      </text>
    </comment>
    <comment ref="AK17" authorId="0" shapeId="0">
      <text>
        <t>추정: 최근 4분기 중위
[abs]</t>
      </text>
    </comment>
    <comment ref="AL17" authorId="0" shapeId="0">
      <text>
        <t>추정: 최근 4분기 중위
[abs]</t>
      </text>
    </comment>
    <comment ref="AM17" authorId="0" shapeId="0">
      <text>
        <t>추정: 최근 4분기 중위
[abs]</t>
      </text>
    </comment>
    <comment ref="AN17" authorId="0" shapeId="0">
      <text>
        <t>추정: 최근 4분기 중위
[abs]</t>
      </text>
    </comment>
    <comment ref="AC18" authorId="0" shapeId="0">
      <text>
        <t>추정: 영업이익 + 금융손익 + 기타영업외 + 지분법 + 환관련(항등식)
[identity]</t>
      </text>
    </comment>
    <comment ref="AD18" authorId="0" shapeId="0">
      <text>
        <t>추정: 영업이익 + 금융손익 + 기타영업외 + 지분법 + 환관련(항등식)
[identity]</t>
      </text>
    </comment>
    <comment ref="AF18" authorId="0" shapeId="0">
      <text>
        <t>추정: 영업이익 + 금융손익 + 기타영업외 + 지분법 + 환관련(항등식)
[identity]</t>
      </text>
    </comment>
    <comment ref="AG18" authorId="0" shapeId="0">
      <text>
        <t>추정: 영업이익 + 금융손익 + 기타영업외 + 지분법 + 환관련(항등식)
[identity]</t>
      </text>
    </comment>
    <comment ref="AH18" authorId="0" shapeId="0">
      <text>
        <t>추정: 영업이익 + 금융손익 + 기타영업외 + 지분법 + 환관련(항등식)
[identity]</t>
      </text>
    </comment>
    <comment ref="AI18" authorId="0" shapeId="0">
      <text>
        <t>추정: 영업이익 + 금융손익 + 기타영업외 + 지분법 + 환관련(항등식)
[identity]</t>
      </text>
    </comment>
    <comment ref="AK18" authorId="0" shapeId="0">
      <text>
        <t>추정: 영업이익 + 금융손익 + 기타영업외 + 지분법 + 환관련(항등식)
[identity]</t>
      </text>
    </comment>
    <comment ref="AL18" authorId="0" shapeId="0">
      <text>
        <t>추정: 영업이익 + 금융손익 + 기타영업외 + 지분법 + 환관련(항등식)
[identity]</t>
      </text>
    </comment>
    <comment ref="AM18" authorId="0" shapeId="0">
      <text>
        <t>추정: 영업이익 + 금융손익 + 기타영업외 + 지분법 + 환관련(항등식)
[identity]</t>
      </text>
    </comment>
    <comment ref="AN18" authorId="0" shapeId="0">
      <text>
        <t>추정: 영업이익 + 금융손익 + 기타영업외 + 지분법 + 환관련(항등식)
[identity]</t>
      </text>
    </comment>
    <comment ref="AC19" authorId="0" shapeId="0">
      <text>
        <t>추정: max(세전, 0) × 세율 22.0%(최근 12분기 유효세율 -19.7% 가 5~27% 밖; 세전 &gt; 0 분기 중위 -46.3% 도 5~27% 밖 → 법정세율 근사 22% 가정)
[ratio]</t>
      </text>
    </comment>
    <comment ref="AD19" authorId="0" shapeId="0">
      <text>
        <t>추정: max(세전, 0) × 세율 22.0%(최근 12분기 유효세율 -19.7% 가 5~27% 밖; 세전 &gt; 0 분기 중위 -46.3% 도 5~27% 밖 → 법정세율 근사 22% 가정)
[ratio]</t>
      </text>
    </comment>
    <comment ref="AF19" authorId="0" shapeId="0">
      <text>
        <t>추정: max(세전, 0) × 세율 22.0%(최근 12분기 유효세율 -19.7% 가 5~27% 밖; 세전 &gt; 0 분기 중위 -46.3% 도 5~27% 밖 → 법정세율 근사 22% 가정)
[ratio]</t>
      </text>
    </comment>
    <comment ref="AG19" authorId="0" shapeId="0">
      <text>
        <t>추정: max(세전, 0) × 세율 22.0%(최근 12분기 유효세율 -19.7% 가 5~27% 밖; 세전 &gt; 0 분기 중위 -46.3% 도 5~27% 밖 → 법정세율 근사 22% 가정)
[ratio]</t>
      </text>
    </comment>
    <comment ref="AH19" authorId="0" shapeId="0">
      <text>
        <t>추정: max(세전, 0) × 세율 22.0%(최근 12분기 유효세율 -19.7% 가 5~27% 밖; 세전 &gt; 0 분기 중위 -46.3% 도 5~27% 밖 → 법정세율 근사 22% 가정)
[ratio]</t>
      </text>
    </comment>
    <comment ref="AI19" authorId="0" shapeId="0">
      <text>
        <t>추정: max(세전, 0) × 세율 22.0%(최근 12분기 유효세율 -19.7% 가 5~27% 밖; 세전 &gt; 0 분기 중위 -46.3% 도 5~27% 밖 → 법정세율 근사 22% 가정)
[ratio]</t>
      </text>
    </comment>
    <comment ref="AK19" authorId="0" shapeId="0">
      <text>
        <t>추정: max(세전, 0) × 세율 22.0%(최근 12분기 유효세율 -19.7% 가 5~27% 밖; 세전 &gt; 0 분기 중위 -46.3% 도 5~27% 밖 → 법정세율 근사 22% 가정)
[ratio]</t>
      </text>
    </comment>
    <comment ref="AL19" authorId="0" shapeId="0">
      <text>
        <t>추정: max(세전, 0) × 세율 22.0%(최근 12분기 유효세율 -19.7% 가 5~27% 밖; 세전 &gt; 0 분기 중위 -46.3% 도 5~27% 밖 → 법정세율 근사 22% 가정)
[ratio]</t>
      </text>
    </comment>
    <comment ref="AM19" authorId="0" shapeId="0">
      <text>
        <t>추정: max(세전, 0) × 세율 22.0%(최근 12분기 유효세율 -19.7% 가 5~27% 밖; 세전 &gt; 0 분기 중위 -46.3% 도 5~27% 밖 → 법정세율 근사 22% 가정)
[ratio]</t>
      </text>
    </comment>
    <comment ref="AN19" authorId="0" shapeId="0">
      <text>
        <t>추정: max(세전, 0) × 세율 22.0%(최근 12분기 유효세율 -19.7% 가 5~27% 밖; 세전 &gt; 0 분기 중위 -46.3% 도 5~27% 밖 → 법정세율 근사 22% 가정)
[ratio]</t>
      </text>
    </comment>
    <comment ref="AC20" authorId="0" shapeId="0">
      <text>
        <t>추정: 세전이익 − 법인세비용(항등식)
[identity]</t>
      </text>
    </comment>
    <comment ref="AD20" authorId="0" shapeId="0">
      <text>
        <t>추정: 세전이익 − 법인세비용(항등식)
[identity]</t>
      </text>
    </comment>
    <comment ref="AF20" authorId="0" shapeId="0">
      <text>
        <t>추정: 세전이익 − 법인세비용(항등식)
[identity]</t>
      </text>
    </comment>
    <comment ref="AG20" authorId="0" shapeId="0">
      <text>
        <t>추정: 세전이익 − 법인세비용(항등식)
[identity]</t>
      </text>
    </comment>
    <comment ref="AH20" authorId="0" shapeId="0">
      <text>
        <t>추정: 세전이익 − 법인세비용(항등식)
[identity]</t>
      </text>
    </comment>
    <comment ref="AI20" authorId="0" shapeId="0">
      <text>
        <t>추정: 세전이익 − 법인세비용(항등식)
[identity]</t>
      </text>
    </comment>
    <comment ref="AK20" authorId="0" shapeId="0">
      <text>
        <t>추정: 세전이익 − 법인세비용(항등식)
[identity]</t>
      </text>
    </comment>
    <comment ref="AL20" authorId="0" shapeId="0">
      <text>
        <t>추정: 세전이익 − 법인세비용(항등식)
[identity]</t>
      </text>
    </comment>
    <comment ref="AM20" authorId="0" shapeId="0">
      <text>
        <t>추정: 세전이익 − 법인세비용(항등식)
[identity]</t>
      </text>
    </comment>
    <comment ref="AN20" authorId="0" shapeId="0">
      <text>
        <t>추정: 세전이익 − 법인세비용(항등식)
[identity]</t>
      </text>
    </comment>
    <comment ref="AC21" authorId="0" shapeId="0">
      <text>
        <t>추정: 당기순이익 × (1 − 비지배 비중 0.0%, 최근 8분기 실측)
[ratio]</t>
      </text>
    </comment>
    <comment ref="AD21" authorId="0" shapeId="0">
      <text>
        <t>추정: 당기순이익 × (1 − 비지배 비중 0.0%, 최근 8분기 실측)
[ratio]</t>
      </text>
    </comment>
    <comment ref="AF21" authorId="0" shapeId="0">
      <text>
        <t>추정: 당기순이익 × (1 − 비지배 비중 0.0%, 최근 8분기 실측)
[ratio]</t>
      </text>
    </comment>
    <comment ref="AG21" authorId="0" shapeId="0">
      <text>
        <t>추정: 당기순이익 × (1 − 비지배 비중 0.0%, 최근 8분기 실측)
[ratio]</t>
      </text>
    </comment>
    <comment ref="AH21" authorId="0" shapeId="0">
      <text>
        <t>추정: 당기순이익 × (1 − 비지배 비중 0.0%, 최근 8분기 실측)
[ratio]</t>
      </text>
    </comment>
    <comment ref="AI21" authorId="0" shapeId="0">
      <text>
        <t>추정: 당기순이익 × (1 − 비지배 비중 0.0%, 최근 8분기 실측)
[ratio]</t>
      </text>
    </comment>
    <comment ref="AK21" authorId="0" shapeId="0">
      <text>
        <t>추정: 당기순이익 × (1 − 비지배 비중 0.0%, 최근 8분기 실측)
[ratio]</t>
      </text>
    </comment>
    <comment ref="AL21" authorId="0" shapeId="0">
      <text>
        <t>추정: 당기순이익 × (1 − 비지배 비중 0.0%, 최근 8분기 실측)
[ratio]</t>
      </text>
    </comment>
    <comment ref="AM21" authorId="0" shapeId="0">
      <text>
        <t>추정: 당기순이익 × (1 − 비지배 비중 0.0%, 최근 8분기 실측)
[ratio]</t>
      </text>
    </comment>
    <comment ref="AN21" authorId="0" shapeId="0">
      <text>
        <t>추정: 당기순이익 × (1 − 비지배 비중 0.0%, 최근 8분기 실측)
[ratio]</t>
      </text>
    </comment>
    <comment ref="AC22" authorId="0" shapeId="0">
      <text>
        <t>추정: 부채총계 + 자본총계(항등식)
[identity]</t>
      </text>
    </comment>
    <comment ref="AD22" authorId="0" shapeId="0">
      <text>
        <t>추정: 부채총계 + 자본총계(항등식)
[identity]</t>
      </text>
    </comment>
    <comment ref="AF22" authorId="0" shapeId="0">
      <text>
        <t>추정: 부채총계 + 자본총계(항등식)
[identity]</t>
      </text>
    </comment>
    <comment ref="AG22" authorId="0" shapeId="0">
      <text>
        <t>추정: 부채총계 + 자본총계(항등식)
[identity]</t>
      </text>
    </comment>
    <comment ref="AH22" authorId="0" shapeId="0">
      <text>
        <t>추정: 부채총계 + 자본총계(항등식)
[identity]</t>
      </text>
    </comment>
    <comment ref="AI22" authorId="0" shapeId="0">
      <text>
        <t>추정: 부채총계 + 자본총계(항등식)
[identity]</t>
      </text>
    </comment>
    <comment ref="AK22" authorId="0" shapeId="0">
      <text>
        <t>추정: 부채총계 + 자본총계(항등식)
[identity]</t>
      </text>
    </comment>
    <comment ref="AL22" authorId="0" shapeId="0">
      <text>
        <t>추정: 부채총계 + 자본총계(항등식)
[identity]</t>
      </text>
    </comment>
    <comment ref="AM22" authorId="0" shapeId="0">
      <text>
        <t>추정: 부채총계 + 자본총계(항등식)
[identity]</t>
      </text>
    </comment>
    <comment ref="AN22" authorId="0" shapeId="0">
      <text>
        <t>추정: 부채총계 + 자본총계(항등식)
[identity]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AC24" authorId="0" shapeId="0">
      <text>
        <t>추정: 전분기 + 당기순이익 − 배당(Q2 지급 가정)
[roll]</t>
      </text>
    </comment>
    <comment ref="AD24" authorId="0" shapeId="0">
      <text>
        <t>추정: 전분기 + 당기순이익 − 배당(Q2 지급 가정)
[roll]</t>
      </text>
    </comment>
    <comment ref="AF24" authorId="0" shapeId="0">
      <text>
        <t>추정: 전분기 + 당기순이익 − 배당(Q2 지급 가정)
[roll]</t>
      </text>
    </comment>
    <comment ref="AG24" authorId="0" shapeId="0">
      <text>
        <t>추정: 전분기 + 당기순이익 − 배당(Q2 지급 가정)
[roll]</t>
      </text>
    </comment>
    <comment ref="AH24" authorId="0" shapeId="0">
      <text>
        <t>추정: 전분기 + 당기순이익 − 배당(Q2 지급 가정)
[roll]</t>
      </text>
    </comment>
    <comment ref="AI24" authorId="0" shapeId="0">
      <text>
        <t>추정: 전분기 + 당기순이익 − 배당(Q2 지급 가정)
[roll]</t>
      </text>
    </comment>
    <comment ref="AK24" authorId="0" shapeId="0">
      <text>
        <t>추정: 전분기 + 당기순이익 − 배당(Q2 지급 가정)
[roll]</t>
      </text>
    </comment>
    <comment ref="AL24" authorId="0" shapeId="0">
      <text>
        <t>추정: 전분기 + 당기순이익 − 배당(Q2 지급 가정)
[roll]</t>
      </text>
    </comment>
    <comment ref="AM24" authorId="0" shapeId="0">
      <text>
        <t>추정: 전분기 + 당기순이익 − 배당(Q2 지급 가정)
[roll]</t>
      </text>
    </comment>
    <comment ref="AN24" authorId="0" shapeId="0">
      <text>
        <t>추정: 전분기 + 당기순이익 − 배당(Q2 지급 가정)
[roll]</t>
      </text>
    </comment>
    <comment ref="AC25" authorId="0" shapeId="0">
      <text>
        <t>추정: 전분기 + 지배주주순이익 − 배당
[roll]</t>
      </text>
    </comment>
    <comment ref="AD25" authorId="0" shapeId="0">
      <text>
        <t>추정: 전분기 + 지배주주순이익 − 배당
[roll]</t>
      </text>
    </comment>
    <comment ref="AF25" authorId="0" shapeId="0">
      <text>
        <t>추정: 전분기 + 지배주주순이익 − 배당
[roll]</t>
      </text>
    </comment>
    <comment ref="AG25" authorId="0" shapeId="0">
      <text>
        <t>추정: 전분기 + 지배주주순이익 − 배당
[roll]</t>
      </text>
    </comment>
    <comment ref="AH25" authorId="0" shapeId="0">
      <text>
        <t>추정: 전분기 + 지배주주순이익 − 배당
[roll]</t>
      </text>
    </comment>
    <comment ref="AI25" authorId="0" shapeId="0">
      <text>
        <t>추정: 전분기 + 지배주주순이익 − 배당
[roll]</t>
      </text>
    </comment>
    <comment ref="AK25" authorId="0" shapeId="0">
      <text>
        <t>추정: 전분기 + 지배주주순이익 − 배당
[roll]</t>
      </text>
    </comment>
    <comment ref="AL25" authorId="0" shapeId="0">
      <text>
        <t>추정: 전분기 + 지배주주순이익 − 배당
[roll]</t>
      </text>
    </comment>
    <comment ref="AM25" authorId="0" shapeId="0">
      <text>
        <t>추정: 전분기 + 지배주주순이익 − 배당
[roll]</t>
      </text>
    </comment>
    <comment ref="AN25" authorId="0" shapeId="0">
      <text>
        <t>추정: 전분기 + 지배주주순이익 − 배당
[roll]</t>
      </text>
    </comment>
    <comment ref="AC26" authorId="0" shapeId="0">
      <text>
        <t>추정: 마지막 실적 유지(가정)
[qoq]</t>
      </text>
    </comment>
    <comment ref="AD26" authorId="0" shapeId="0">
      <text>
        <t>추정: 마지막 실적 유지(가정)
[qoq]</t>
      </text>
    </comment>
    <comment ref="AF26" authorId="0" shapeId="0">
      <text>
        <t>추정: 마지막 실적 유지(가정)
[qoq]</t>
      </text>
    </comment>
    <comment ref="AG26" authorId="0" shapeId="0">
      <text>
        <t>추정: 마지막 실적 유지(가정)
[qoq]</t>
      </text>
    </comment>
    <comment ref="AH26" authorId="0" shapeId="0">
      <text>
        <t>추정: 마지막 실적 유지(가정)
[qoq]</t>
      </text>
    </comment>
    <comment ref="AI26" authorId="0" shapeId="0">
      <text>
        <t>추정: 마지막 실적 유지(가정)
[qoq]</t>
      </text>
    </comment>
    <comment ref="AK26" authorId="0" shapeId="0">
      <text>
        <t>추정: 마지막 실적 유지(가정)
[qoq]</t>
      </text>
    </comment>
    <comment ref="AL26" authorId="0" shapeId="0">
      <text>
        <t>추정: 마지막 실적 유지(가정)
[qoq]</t>
      </text>
    </comment>
    <comment ref="AM26" authorId="0" shapeId="0">
      <text>
        <t>추정: 마지막 실적 유지(가정)
[qoq]</t>
      </text>
    </comment>
    <comment ref="AN26" authorId="0" shapeId="0">
      <text>
        <t>추정: 마지막 실적 유지(가정)
[qoq]</t>
      </text>
    </comment>
    <comment ref="AC27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AD27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AF27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AG27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AH27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AI27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AK27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AL27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AM27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AN27" authorId="0" shapeId="0">
      <text>
        <t>추정: 전분기 − FCF 근사[순이익 − 배당(감가상각비 없음 → CAPEX≈감가 가정, CAPEX 중위 33억은 행에만)] (운전자본 불변·총차입금 유지 가정 → 변동은 전부 현금)
[qoq]</t>
      </text>
    </comment>
    <comment ref="AC28" authorId="0" shapeId="0">
      <text>
        <t>추정: 전분기 + FCF 근사 — 순차입금 롤과 같은 가정
[qoq]</t>
      </text>
    </comment>
    <comment ref="AD28" authorId="0" shapeId="0">
      <text>
        <t>추정: 전분기 + FCF 근사 — 순차입금 롤과 같은 가정
[qoq]</t>
      </text>
    </comment>
    <comment ref="AF28" authorId="0" shapeId="0">
      <text>
        <t>추정: 전분기 + FCF 근사 — 순차입금 롤과 같은 가정
[qoq]</t>
      </text>
    </comment>
    <comment ref="AG28" authorId="0" shapeId="0">
      <text>
        <t>추정: 전분기 + FCF 근사 — 순차입금 롤과 같은 가정
[qoq]</t>
      </text>
    </comment>
    <comment ref="AH28" authorId="0" shapeId="0">
      <text>
        <t>추정: 전분기 + FCF 근사 — 순차입금 롤과 같은 가정
[qoq]</t>
      </text>
    </comment>
    <comment ref="AI28" authorId="0" shapeId="0">
      <text>
        <t>추정: 전분기 + FCF 근사 — 순차입금 롤과 같은 가정
[qoq]</t>
      </text>
    </comment>
    <comment ref="AK28" authorId="0" shapeId="0">
      <text>
        <t>추정: 전분기 + FCF 근사 — 순차입금 롤과 같은 가정
[qoq]</t>
      </text>
    </comment>
    <comment ref="AL28" authorId="0" shapeId="0">
      <text>
        <t>추정: 전분기 + FCF 근사 — 순차입금 롤과 같은 가정
[qoq]</t>
      </text>
    </comment>
    <comment ref="AM28" authorId="0" shapeId="0">
      <text>
        <t>추정: 전분기 + FCF 근사 — 순차입금 롤과 같은 가정
[qoq]</t>
      </text>
    </comment>
    <comment ref="AN28" authorId="0" shapeId="0">
      <text>
        <t>추정: 전분기 + FCF 근사 — 순차입금 롤과 같은 가정
[qoq]</t>
      </text>
    </comment>
    <comment ref="AC30" authorId="0" shapeId="0">
      <text>
        <t>추정: 최근 4분기(2025Q3~2026Q2) CAPEX 중위 유지 — 순차입금 롤에 미반영(감가상각비 없음 → CAPEX≈감가 가정)
[yoy]</t>
      </text>
    </comment>
    <comment ref="AD30" authorId="0" shapeId="0">
      <text>
        <t>추정: 최근 4분기(2025Q3~2026Q2) CAPEX 중위 유지 — 순차입금 롤에 미반영(감가상각비 없음 → CAPEX≈감가 가정)
[yoy]</t>
      </text>
    </comment>
    <comment ref="AF30" authorId="0" shapeId="0">
      <text>
        <t>추정: 최근 4분기(2025Q3~2026Q2) CAPEX 중위 유지 — 순차입금 롤에 미반영(감가상각비 없음 → CAPEX≈감가 가정)
[yoy]</t>
      </text>
    </comment>
    <comment ref="AG30" authorId="0" shapeId="0">
      <text>
        <t>추정: 최근 4분기(2025Q3~2026Q2) CAPEX 중위 유지 — 순차입금 롤에 미반영(감가상각비 없음 → CAPEX≈감가 가정)
[yoy]</t>
      </text>
    </comment>
    <comment ref="AH30" authorId="0" shapeId="0">
      <text>
        <t>추정: 최근 4분기(2025Q3~2026Q2) CAPEX 중위 유지 — 순차입금 롤에 미반영(감가상각비 없음 → CAPEX≈감가 가정)
[yoy]</t>
      </text>
    </comment>
    <comment ref="AI30" authorId="0" shapeId="0">
      <text>
        <t>추정: 최근 4분기(2025Q3~2026Q2) CAPEX 중위 유지 — 순차입금 롤에 미반영(감가상각비 없음 → CAPEX≈감가 가정)
[yoy]</t>
      </text>
    </comment>
    <comment ref="AK30" authorId="0" shapeId="0">
      <text>
        <t>추정: 최근 4분기(2025Q3~2026Q2) CAPEX 중위 유지 — 순차입금 롤에 미반영(감가상각비 없음 → CAPEX≈감가 가정)
[yoy]</t>
      </text>
    </comment>
    <comment ref="AL30" authorId="0" shapeId="0">
      <text>
        <t>추정: 최근 4분기(2025Q3~2026Q2) CAPEX 중위 유지 — 순차입금 롤에 미반영(감가상각비 없음 → CAPEX≈감가 가정)
[yoy]</t>
      </text>
    </comment>
    <comment ref="AM30" authorId="0" shapeId="0">
      <text>
        <t>추정: 최근 4분기(2025Q3~2026Q2) CAPEX 중위 유지 — 순차입금 롤에 미반영(감가상각비 없음 → CAPEX≈감가 가정)
[yoy]</t>
      </text>
    </comment>
    <comment ref="AN30" authorId="0" shapeId="0">
      <text>
        <t>추정: 최근 4분기(2025Q3~2026Q2) CAPEX 중위 유지 — 순차입금 롤에 미반영(감가상각비 없음 → CAPEX≈감가 가정)
[yoy]</t>
      </text>
    </comment>
    <comment ref="E32" authorId="0" shapeId="0">
      <text>
        <t>실측(계정 매핑 없음(파생·부문·시세 행) — 모델값 직접) — fin.shares.common_outstanding</t>
      </text>
    </comment>
    <comment ref="G32" authorId="0" shapeId="0">
      <text>
        <t>실측(계정 매핑 없음(파생·부문·시세 행) — 모델값 직접) — fin.shares.common_outstanding</t>
      </text>
    </comment>
    <comment ref="H32" authorId="0" shapeId="0">
      <text>
        <t>실측(계정 매핑 없음(파생·부문·시세 행) — 모델값 직접) — fin.shares.common_outstanding</t>
      </text>
    </comment>
    <comment ref="I32" authorId="0" shapeId="0">
      <text>
        <t>실측(계정 매핑 없음(파생·부문·시세 행) — 모델값 직접) — fin.shares.common_outstanding</t>
      </text>
    </comment>
    <comment ref="J32" authorId="0" shapeId="0">
      <text>
        <t>실측(계정 매핑 없음(파생·부문·시세 행) — 모델값 직접) — fin.shares.common_outstanding</t>
      </text>
    </comment>
    <comment ref="L32" authorId="0" shapeId="0">
      <text>
        <t>실측(계정 매핑 없음(파생·부문·시세 행) — 모델값 직접) — fin.shares.common_outstanding</t>
      </text>
    </comment>
    <comment ref="M32" authorId="0" shapeId="0">
      <text>
        <t>실측(계정 매핑 없음(파생·부문·시세 행) — 모델값 직접) — fin.shares.common_outstanding</t>
      </text>
    </comment>
    <comment ref="N32" authorId="0" shapeId="0">
      <text>
        <t>실측(계정 매핑 없음(파생·부문·시세 행) — 모델값 직접) — fin.shares.common_outstanding</t>
      </text>
    </comment>
    <comment ref="O32" authorId="0" shapeId="0">
      <text>
        <t>실측(계정 매핑 없음(파생·부문·시세 행) — 모델값 직접) — fin.shares.common_outstanding</t>
      </text>
    </comment>
    <comment ref="Q32" authorId="0" shapeId="0">
      <text>
        <t>실측(계정 매핑 없음(파생·부문·시세 행) — 모델값 직접) — fin.shares.common_outstanding</t>
      </text>
    </comment>
    <comment ref="R32" authorId="0" shapeId="0">
      <text>
        <t>실측(계정 매핑 없음(파생·부문·시세 행) — 모델값 직접) — fin.shares.common_outstanding</t>
      </text>
    </comment>
    <comment ref="S32" authorId="0" shapeId="0">
      <text>
        <t>실측(계정 매핑 없음(파생·부문·시세 행) — 모델값 직접) — fin.shares.common_outstanding</t>
      </text>
    </comment>
    <comment ref="T32" authorId="0" shapeId="0">
      <text>
        <t>실측(계정 매핑 없음(파생·부문·시세 행) — 모델값 직접) — fin.shares.common_outstanding</t>
      </text>
    </comment>
    <comment ref="V32" authorId="0" shapeId="0">
      <text>
        <t>실측(계정 매핑 없음(파생·부문·시세 행) — 모델값 직접) — fin.shares.common_outstanding</t>
      </text>
    </comment>
    <comment ref="W32" authorId="0" shapeId="0">
      <text>
        <t>실측(계정 매핑 없음(파생·부문·시세 행) — 모델값 직접) — fin.shares.common_outstanding</t>
      </text>
    </comment>
    <comment ref="X32" authorId="0" shapeId="0">
      <text>
        <t>실측(계정 매핑 없음(파생·부문·시세 행) — 모델값 직접) — fin.shares.common_outstanding</t>
      </text>
    </comment>
    <comment ref="Y32" authorId="0" shapeId="0">
      <text>
        <t>실측(계정 매핑 없음(파생·부문·시세 행) — 모델값 직접) — fin.shares.common_outstanding</t>
      </text>
    </comment>
    <comment ref="AA32" authorId="0" shapeId="0">
      <text>
        <t>실측(계정 매핑 없음(파생·부문·시세 행) — 모델값 직접) — fin.shares.common_outstanding</t>
      </text>
    </comment>
    <comment ref="AB32" authorId="0" shapeId="0">
      <text>
        <t>실측(계정 매핑 없음(파생·부문·시세 행) — 모델값 직접) — fin.shares.common_outstanding</t>
      </text>
    </comment>
    <comment ref="AC32" authorId="0" shapeId="0">
      <text>
        <t>추정: 유통주식수 유지 — fin.shares.common_outstanding(2026Q2)
[qoq]</t>
      </text>
    </comment>
    <comment ref="AD32" authorId="0" shapeId="0">
      <text>
        <t>추정: 유통주식수 유지 — fin.shares.common_outstanding(2026Q2)
[qoq]</t>
      </text>
    </comment>
    <comment ref="AF32" authorId="0" shapeId="0">
      <text>
        <t>추정: 유통주식수 유지 — fin.shares.common_outstanding(2026Q2)
[qoq]</t>
      </text>
    </comment>
    <comment ref="AG32" authorId="0" shapeId="0">
      <text>
        <t>추정: 유통주식수 유지 — fin.shares.common_outstanding(2026Q2)
[qoq]</t>
      </text>
    </comment>
    <comment ref="AH32" authorId="0" shapeId="0">
      <text>
        <t>추정: 유통주식수 유지 — fin.shares.common_outstanding(2026Q2)
[qoq]</t>
      </text>
    </comment>
    <comment ref="AI32" authorId="0" shapeId="0">
      <text>
        <t>추정: 유통주식수 유지 — fin.shares.common_outstanding(2026Q2)
[qoq]</t>
      </text>
    </comment>
    <comment ref="AK32" authorId="0" shapeId="0">
      <text>
        <t>추정: 유통주식수 유지 — fin.shares.common_outstanding(2026Q2)
[qoq]</t>
      </text>
    </comment>
    <comment ref="AL32" authorId="0" shapeId="0">
      <text>
        <t>추정: 유통주식수 유지 — fin.shares.common_outstanding(2026Q2)
[qoq]</t>
      </text>
    </comment>
    <comment ref="AM32" authorId="0" shapeId="0">
      <text>
        <t>추정: 유통주식수 유지 — fin.shares.common_outstanding(2026Q2)
[qoq]</t>
      </text>
    </comment>
    <comment ref="AN32" authorId="0" shapeId="0">
      <text>
        <t>추정: 유통주식수 유지 — fin.shares.common_outstanding(2026Q2)
[qoq]</t>
      </text>
    </comment>
    <comment ref="AC33" authorId="0" shapeId="0">
      <text>
        <t>추정: 지배주주순이익 ÷ 유통주식수
[per_share]</t>
      </text>
    </comment>
    <comment ref="AD33" authorId="0" shapeId="0">
      <text>
        <t>추정: 지배주주순이익 ÷ 유통주식수
[per_share]</t>
      </text>
    </comment>
    <comment ref="AF33" authorId="0" shapeId="0">
      <text>
        <t>추정: 지배주주순이익 ÷ 유통주식수
[per_share]</t>
      </text>
    </comment>
    <comment ref="AG33" authorId="0" shapeId="0">
      <text>
        <t>추정: 지배주주순이익 ÷ 유통주식수
[per_share]</t>
      </text>
    </comment>
    <comment ref="AH33" authorId="0" shapeId="0">
      <text>
        <t>추정: 지배주주순이익 ÷ 유통주식수
[per_share]</t>
      </text>
    </comment>
    <comment ref="AI33" authorId="0" shapeId="0">
      <text>
        <t>추정: 지배주주순이익 ÷ 유통주식수
[per_share]</t>
      </text>
    </comment>
    <comment ref="AK33" authorId="0" shapeId="0">
      <text>
        <t>추정: 지배주주순이익 ÷ 유통주식수
[per_share]</t>
      </text>
    </comment>
    <comment ref="AL33" authorId="0" shapeId="0">
      <text>
        <t>추정: 지배주주순이익 ÷ 유통주식수
[per_share]</t>
      </text>
    </comment>
    <comment ref="AM33" authorId="0" shapeId="0">
      <text>
        <t>추정: 지배주주순이익 ÷ 유통주식수
[per_share]</t>
      </text>
    </comment>
    <comment ref="AN33" authorId="0" shapeId="0">
      <text>
        <t>추정: 지배주주순이익 ÷ 유통주식수
[per_share]</t>
      </text>
    </comment>
    <comment ref="T34" authorId="0" shapeId="0">
      <text>
        <t>조정EPS 산식(모델 추정, 일회성 여부·세효과 주석 미확인): 지배NI − 초과 비영업손익 228억 × (1 − 세율 7.8% [분기 유효세율(법인세 16억 ÷ 세전 206억)]) × 지배 비중 0.9776 [그 분기 지배NI/NI] = -19억 ÷ 유통주식수 · 초과 = 비영업손익 227억 − 12분기 기준선 -0억 · 보고 EPS 607원(EPS 행 불변) · 상수 210.03·0.9776 는 모델 one_offs_detected 값(세전·법인세 셀을 바꿔도 재계산되지 않음)</t>
      </text>
    </comment>
    <comment ref="AC34" authorId="0" shapeId="0">
      <text>
        <t>추정: = EPS(추정 구간은 일회성 미가정)
[identity]</t>
      </text>
    </comment>
    <comment ref="AD34" authorId="0" shapeId="0">
      <text>
        <t>추정: = EPS(추정 구간은 일회성 미가정)
[identity]</t>
      </text>
    </comment>
    <comment ref="AF34" authorId="0" shapeId="0">
      <text>
        <t>추정: = EPS(추정 구간은 일회성 미가정)
[identity]</t>
      </text>
    </comment>
    <comment ref="AG34" authorId="0" shapeId="0">
      <text>
        <t>추정: = EPS(추정 구간은 일회성 미가정)
[identity]</t>
      </text>
    </comment>
    <comment ref="AH34" authorId="0" shapeId="0">
      <text>
        <t>추정: = EPS(추정 구간은 일회성 미가정)
[identity]</t>
      </text>
    </comment>
    <comment ref="AI34" authorId="0" shapeId="0">
      <text>
        <t>추정: = EPS(추정 구간은 일회성 미가정)
[identity]</t>
      </text>
    </comment>
    <comment ref="AK34" authorId="0" shapeId="0">
      <text>
        <t>추정: = EPS(추정 구간은 일회성 미가정)
[identity]</t>
      </text>
    </comment>
    <comment ref="AL34" authorId="0" shapeId="0">
      <text>
        <t>추정: = EPS(추정 구간은 일회성 미가정)
[identity]</t>
      </text>
    </comment>
    <comment ref="AM34" authorId="0" shapeId="0">
      <text>
        <t>추정: = EPS(추정 구간은 일회성 미가정)
[identity]</t>
      </text>
    </comment>
    <comment ref="AN34" authorId="0" shapeId="0">
      <text>
        <t>추정: = EPS(추정 구간은 일회성 미가정)
[identity]</t>
      </text>
    </comment>
    <comment ref="AC35" authorId="0" shapeId="0">
      <text>
        <t>추정: 지배주주지분 ÷ 유통주식수
[per_share]</t>
      </text>
    </comment>
    <comment ref="AD35" authorId="0" shapeId="0">
      <text>
        <t>추정: 지배주주지분 ÷ 유통주식수
[per_share]</t>
      </text>
    </comment>
    <comment ref="AF35" authorId="0" shapeId="0">
      <text>
        <t>추정: 지배주주지분 ÷ 유통주식수
[per_share]</t>
      </text>
    </comment>
    <comment ref="AG35" authorId="0" shapeId="0">
      <text>
        <t>추정: 지배주주지분 ÷ 유통주식수
[per_share]</t>
      </text>
    </comment>
    <comment ref="AH35" authorId="0" shapeId="0">
      <text>
        <t>추정: 지배주주지분 ÷ 유통주식수
[per_share]</t>
      </text>
    </comment>
    <comment ref="AI35" authorId="0" shapeId="0">
      <text>
        <t>추정: 지배주주지분 ÷ 유통주식수
[per_share]</t>
      </text>
    </comment>
    <comment ref="AK35" authorId="0" shapeId="0">
      <text>
        <t>추정: 지배주주지분 ÷ 유통주식수
[per_share]</t>
      </text>
    </comment>
    <comment ref="AL35" authorId="0" shapeId="0">
      <text>
        <t>추정: 지배주주지분 ÷ 유통주식수
[per_share]</t>
      </text>
    </comment>
    <comment ref="AM35" authorId="0" shapeId="0">
      <text>
        <t>추정: 지배주주지분 ÷ 유통주식수
[per_share]</t>
      </text>
    </comment>
    <comment ref="AN35" authorId="0" shapeId="0">
      <text>
        <t>추정: 지배주주지분 ÷ 유통주식수
[per_share]</t>
      </text>
    </comment>
    <comment ref="E36" authorId="0" shapeId="0">
      <text>
        <t>실측(계정 매핑 없음(파생·부문·시세 행) — 모델값 직접) — fin.dividend.dps_common(연간, Q4 에 표기)</t>
      </text>
    </comment>
    <comment ref="F36" authorId="0" shapeId="0">
      <text>
        <t>연간(actual) — 분기 미완 연도, 모델 a 값 직접</t>
      </text>
    </comment>
    <comment ref="J36" authorId="0" shapeId="0">
      <text>
        <t>실측(계정 매핑 없음(파생·부문·시세 행) — 모델값 직접) — fin.dividend.dps_common(연간, Q4 에 표기)</t>
      </text>
    </comment>
    <comment ref="O36" authorId="0" shapeId="0">
      <text>
        <t>실측(계정 매핑 없음(파생·부문·시세 행) — 모델값 직접) — fin.dividend.dps_common(연간, Q4 에 표기)</t>
      </text>
    </comment>
    <comment ref="T36" authorId="0" shapeId="0">
      <text>
        <t>실측(계정 매핑 없음(파생·부문·시세 행) — 모델값 직접) — fin.dividend.dps_common(연간, Q4 에 표기)</t>
      </text>
    </comment>
    <comment ref="Y36" authorId="0" shapeId="0">
      <text>
        <t>실측(계정 매핑 없음(파생·부문·시세 행) — 모델값 직접) — fin.dividend.dps_common(연간, Q4 에 표기)</t>
      </text>
    </comment>
    <comment ref="AD36" authorId="0" shapeId="0">
      <text>
        <t>추정: 직전 결산 DPS 0원 유지
[abs]</t>
      </text>
    </comment>
    <comment ref="AI36" authorId="0" shapeId="0">
      <text>
        <t>추정: 직전 결산 DPS 0원 유지
[abs]</t>
      </text>
    </comment>
    <comment ref="AN36" authorId="0" shapeId="0">
      <text>
        <t>추정: 직전 결산 DPS 0원 유지
[abs]</t>
      </text>
    </comment>
    <comment ref="AC38" authorId="0" shapeId="0">
      <text>
        <t>추정: 현재 종가 ÷ BPS(추정 포함)
[valuation]</t>
      </text>
    </comment>
    <comment ref="AD38" authorId="0" shapeId="0">
      <text>
        <t>추정: 현재 종가 ÷ BPS(추정 포함)
[valuation]</t>
      </text>
    </comment>
    <comment ref="AF38" authorId="0" shapeId="0">
      <text>
        <t>추정: 현재 종가 ÷ BPS(추정 포함)
[valuation]</t>
      </text>
    </comment>
    <comment ref="AG38" authorId="0" shapeId="0">
      <text>
        <t>추정: 현재 종가 ÷ BPS(추정 포함)
[valuation]</t>
      </text>
    </comment>
    <comment ref="AH38" authorId="0" shapeId="0">
      <text>
        <t>추정: 현재 종가 ÷ BPS(추정 포함)
[valuation]</t>
      </text>
    </comment>
    <comment ref="AI38" authorId="0" shapeId="0">
      <text>
        <t>추정: 현재 종가 ÷ BPS(추정 포함)
[valuation]</t>
      </text>
    </comment>
    <comment ref="AK38" authorId="0" shapeId="0">
      <text>
        <t>추정: 현재 종가 ÷ BPS(추정 포함)
[valuation]</t>
      </text>
    </comment>
    <comment ref="AL38" authorId="0" shapeId="0">
      <text>
        <t>추정: 현재 종가 ÷ BPS(추정 포함)
[valuation]</t>
      </text>
    </comment>
    <comment ref="AM38" authorId="0" shapeId="0">
      <text>
        <t>추정: 현재 종가 ÷ BPS(추정 포함)
[valuation]</t>
      </text>
    </comment>
    <comment ref="AN38" authorId="0" shapeId="0">
      <text>
        <t>추정: 현재 종가 ÷ BPS(추정 포함)
[valuation]</t>
      </text>
    </comment>
    <comment ref="E39" authorId="0" shapeId="0">
      <text>
        <t>실측(계정 매핑 없음(파생·부문·시세 행) — 모델값 직접) — = 매출액(부문 미분리)</t>
      </text>
    </comment>
    <comment ref="G39" authorId="0" shapeId="0">
      <text>
        <t>실측(계정 매핑 없음(파생·부문·시세 행) — 모델값 직접) — = 매출액(부문 미분리)</t>
      </text>
    </comment>
    <comment ref="H39" authorId="0" shapeId="0">
      <text>
        <t>실측(계정 매핑 없음(파생·부문·시세 행) — 모델값 직접) — = 매출액(부문 미분리)</t>
      </text>
    </comment>
    <comment ref="I39" authorId="0" shapeId="0">
      <text>
        <t>실측(계정 매핑 없음(파생·부문·시세 행) — 모델값 직접) — = 매출액(부문 미분리)</t>
      </text>
    </comment>
    <comment ref="J39" authorId="0" shapeId="0">
      <text>
        <t>실측(계정 매핑 없음(파생·부문·시세 행) — 모델값 직접) — = 매출액(부문 미분리)</t>
      </text>
    </comment>
    <comment ref="L39" authorId="0" shapeId="0">
      <text>
        <t>실측(계정 매핑 없음(파생·부문·시세 행) — 모델값 직접) — = 매출액(부문 미분리)</t>
      </text>
    </comment>
    <comment ref="M39" authorId="0" shapeId="0">
      <text>
        <t>실측(계정 매핑 없음(파생·부문·시세 행) — 모델값 직접) — = 매출액(부문 미분리)</t>
      </text>
    </comment>
    <comment ref="N39" authorId="0" shapeId="0">
      <text>
        <t>실측(계정 매핑 없음(파생·부문·시세 행) — 모델값 직접) — = 매출액(부문 미분리)</t>
      </text>
    </comment>
    <comment ref="O39" authorId="0" shapeId="0">
      <text>
        <t>실측(계정 매핑 없음(파생·부문·시세 행) — 모델값 직접) — = 매출액(부문 미분리)</t>
      </text>
    </comment>
    <comment ref="Q39" authorId="0" shapeId="0">
      <text>
        <t>실측(계정 매핑 없음(파생·부문·시세 행) — 모델값 직접) — = 매출액(부문 미분리)</t>
      </text>
    </comment>
    <comment ref="R39" authorId="0" shapeId="0">
      <text>
        <t>실측(계정 매핑 없음(파생·부문·시세 행) — 모델값 직접) — = 매출액(부문 미분리)</t>
      </text>
    </comment>
    <comment ref="S39" authorId="0" shapeId="0">
      <text>
        <t>실측(계정 매핑 없음(파생·부문·시세 행) — 모델값 직접) — = 매출액(부문 미분리)</t>
      </text>
    </comment>
    <comment ref="T39" authorId="0" shapeId="0">
      <text>
        <t>실측(계정 매핑 없음(파생·부문·시세 행) — 모델값 직접) — = 매출액(부문 미분리)</t>
      </text>
    </comment>
    <comment ref="V39" authorId="0" shapeId="0">
      <text>
        <t>실측(계정 매핑 없음(파생·부문·시세 행) — 모델값 직접) — = 매출액(부문 미분리)</t>
      </text>
    </comment>
    <comment ref="W39" authorId="0" shapeId="0">
      <text>
        <t>실측(계정 매핑 없음(파생·부문·시세 행) — 모델값 직접) — = 매출액(부문 미분리)</t>
      </text>
    </comment>
    <comment ref="X39" authorId="0" shapeId="0">
      <text>
        <t>실측(계정 매핑 없음(파생·부문·시세 행) — 모델값 직접) — = 매출액(부문 미분리)</t>
      </text>
    </comment>
    <comment ref="Y39" authorId="0" shapeId="0">
      <text>
        <t>실측(계정 매핑 없음(파생·부문·시세 행) — 모델값 직접) — = 매출액(부문 미분리)</t>
      </text>
    </comment>
    <comment ref="AA39" authorId="0" shapeId="0">
      <text>
        <t>실측(계정 매핑 없음(파생·부문·시세 행) — 모델값 직접) — = 매출액(부문 미분리)</t>
      </text>
    </comment>
    <comment ref="AB39" authorId="0" shapeId="0">
      <text>
        <t>실측(계정 매핑 없음(파생·부문·시세 행) — 모델값 직접) — = 매출액(부문 미분리)</t>
      </text>
    </comment>
    <comment ref="AC39" authorId="0" shapeId="0">
      <text>
        <t>추정: = 매출액 추정(부문 미분리)
[identity]</t>
      </text>
    </comment>
    <comment ref="AD39" authorId="0" shapeId="0">
      <text>
        <t>추정: = 매출액 추정(부문 미분리)
[identity]</t>
      </text>
    </comment>
    <comment ref="AF39" authorId="0" shapeId="0">
      <text>
        <t>추정: = 매출액 추정(부문 미분리)
[identity]</t>
      </text>
    </comment>
    <comment ref="AG39" authorId="0" shapeId="0">
      <text>
        <t>추정: = 매출액 추정(부문 미분리)
[identity]</t>
      </text>
    </comment>
    <comment ref="AH39" authorId="0" shapeId="0">
      <text>
        <t>추정: = 매출액 추정(부문 미분리)
[identity]</t>
      </text>
    </comment>
    <comment ref="AI39" authorId="0" shapeId="0">
      <text>
        <t>추정: = 매출액 추정(부문 미분리)
[identity]</t>
      </text>
    </comment>
    <comment ref="AK39" authorId="0" shapeId="0">
      <text>
        <t>추정: = 매출액 추정(부문 미분리)
[identity]</t>
      </text>
    </comment>
    <comment ref="AL39" authorId="0" shapeId="0">
      <text>
        <t>추정: = 매출액 추정(부문 미분리)
[identity]</t>
      </text>
    </comment>
    <comment ref="AM39" authorId="0" shapeId="0">
      <text>
        <t>추정: = 매출액 추정(부문 미분리)
[identity]</t>
      </text>
    </comment>
    <comment ref="AN39" authorId="0" shapeId="0">
      <text>
        <t>추정: = 매출액 추정(부문 미분리)
[identity]</t>
      </text>
    </comment>
    <comment ref="E40" authorId="0" shapeId="0">
      <text>
        <t>실측(계정 매핑 없음(파생·부문·시세 행) — 모델값 직접) — = 영업이익(부문 미분리)</t>
      </text>
    </comment>
    <comment ref="G40" authorId="0" shapeId="0">
      <text>
        <t>실측(계정 매핑 없음(파생·부문·시세 행) — 모델값 직접) — = 영업이익(부문 미분리)</t>
      </text>
    </comment>
    <comment ref="H40" authorId="0" shapeId="0">
      <text>
        <t>실측(계정 매핑 없음(파생·부문·시세 행) — 모델값 직접) — = 영업이익(부문 미분리)</t>
      </text>
    </comment>
    <comment ref="I40" authorId="0" shapeId="0">
      <text>
        <t>실측(계정 매핑 없음(파생·부문·시세 행) — 모델값 직접) — = 영업이익(부문 미분리)</t>
      </text>
    </comment>
    <comment ref="J40" authorId="0" shapeId="0">
      <text>
        <t>실측(계정 매핑 없음(파생·부문·시세 행) — 모델값 직접) — = 영업이익(부문 미분리)</t>
      </text>
    </comment>
    <comment ref="L40" authorId="0" shapeId="0">
      <text>
        <t>실측(계정 매핑 없음(파생·부문·시세 행) — 모델값 직접) — = 영업이익(부문 미분리)</t>
      </text>
    </comment>
    <comment ref="M40" authorId="0" shapeId="0">
      <text>
        <t>실측(계정 매핑 없음(파생·부문·시세 행) — 모델값 직접) — = 영업이익(부문 미분리)</t>
      </text>
    </comment>
    <comment ref="N40" authorId="0" shapeId="0">
      <text>
        <t>실측(계정 매핑 없음(파생·부문·시세 행) — 모델값 직접) — = 영업이익(부문 미분리)</t>
      </text>
    </comment>
    <comment ref="O40" authorId="0" shapeId="0">
      <text>
        <t>실측(계정 매핑 없음(파생·부문·시세 행) — 모델값 직접) — = 영업이익(부문 미분리)</t>
      </text>
    </comment>
    <comment ref="Q40" authorId="0" shapeId="0">
      <text>
        <t>실측(계정 매핑 없음(파생·부문·시세 행) — 모델값 직접) — = 영업이익(부문 미분리)</t>
      </text>
    </comment>
    <comment ref="R40" authorId="0" shapeId="0">
      <text>
        <t>실측(계정 매핑 없음(파생·부문·시세 행) — 모델값 직접) — = 영업이익(부문 미분리)</t>
      </text>
    </comment>
    <comment ref="S40" authorId="0" shapeId="0">
      <text>
        <t>실측(계정 매핑 없음(파생·부문·시세 행) — 모델값 직접) — = 영업이익(부문 미분리)</t>
      </text>
    </comment>
    <comment ref="T40" authorId="0" shapeId="0">
      <text>
        <t>실측(계정 매핑 없음(파생·부문·시세 행) — 모델값 직접) — = 영업이익(부문 미분리)</t>
      </text>
    </comment>
    <comment ref="V40" authorId="0" shapeId="0">
      <text>
        <t>실측(계정 매핑 없음(파생·부문·시세 행) — 모델값 직접) — = 영업이익(부문 미분리)</t>
      </text>
    </comment>
    <comment ref="W40" authorId="0" shapeId="0">
      <text>
        <t>실측(계정 매핑 없음(파생·부문·시세 행) — 모델값 직접) — = 영업이익(부문 미분리)</t>
      </text>
    </comment>
    <comment ref="X40" authorId="0" shapeId="0">
      <text>
        <t>실측(계정 매핑 없음(파생·부문·시세 행) — 모델값 직접) — = 영업이익(부문 미분리)</t>
      </text>
    </comment>
    <comment ref="Y40" authorId="0" shapeId="0">
      <text>
        <t>실측(계정 매핑 없음(파생·부문·시세 행) — 모델값 직접) — = 영업이익(부문 미분리)</t>
      </text>
    </comment>
    <comment ref="AA40" authorId="0" shapeId="0">
      <text>
        <t>실측(계정 매핑 없음(파생·부문·시세 행) — 모델값 직접) — = 영업이익(부문 미분리)</t>
      </text>
    </comment>
    <comment ref="AB40" authorId="0" shapeId="0">
      <text>
        <t>실측(계정 매핑 없음(파생·부문·시세 행) — 모델값 직접) — = 영업이익(부문 미분리)</t>
      </text>
    </comment>
    <comment ref="AC40" authorId="0" shapeId="0">
      <text>
        <t>추정: = 매출액 × OPM(부문 미분리)
[identity]</t>
      </text>
    </comment>
    <comment ref="AD40" authorId="0" shapeId="0">
      <text>
        <t>추정: = 매출액 × OPM(부문 미분리)
[identity]</t>
      </text>
    </comment>
    <comment ref="AF40" authorId="0" shapeId="0">
      <text>
        <t>추정: = 매출액 × OPM(부문 미분리)
[identity]</t>
      </text>
    </comment>
    <comment ref="AG40" authorId="0" shapeId="0">
      <text>
        <t>추정: = 매출액 × OPM(부문 미분리)
[identity]</t>
      </text>
    </comment>
    <comment ref="AH40" authorId="0" shapeId="0">
      <text>
        <t>추정: = 매출액 × OPM(부문 미분리)
[identity]</t>
      </text>
    </comment>
    <comment ref="AI40" authorId="0" shapeId="0">
      <text>
        <t>추정: = 매출액 × OPM(부문 미분리)
[identity]</t>
      </text>
    </comment>
    <comment ref="AK40" authorId="0" shapeId="0">
      <text>
        <t>추정: = 매출액 × OPM(부문 미분리)
[identity]</t>
      </text>
    </comment>
    <comment ref="AL40" authorId="0" shapeId="0">
      <text>
        <t>추정: = 매출액 × OPM(부문 미분리)
[identity]</t>
      </text>
    </comment>
    <comment ref="AM40" authorId="0" shapeId="0">
      <text>
        <t>추정: = 매출액 × OPM(부문 미분리)
[identity]</t>
      </text>
    </comment>
    <comment ref="AN40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나노(187790) 실적 모델 — ARGUS 한국조선</t>
        </is>
      </c>
    </row>
    <row r="2">
      <c r="A2" t="inlineStr">
        <is>
          <t>기준 분기 2026Q2 · 마지막 실적 2026Q2 · 생성 2026-10-14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수식, 조정EPS 는 EPS 참조(일회성 의심 분기만 산식 셀)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22.00% — 연결 안 됨(MAX(세전,0)×단일 세율로 재현 불가(지주 자회사 합산 등) → 분기별 역산) — 드라이버 행 분기별 역산값 사용</t>
        </is>
      </c>
    </row>
    <row r="23">
      <c r="A23" t="inlineStr">
        <is>
          <t>· 판관비율 12.67%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1.70% / 부채 3.52% — 이자손익 = (전분기 이자발생자산 × 자산이자율 − 전분기 총차입금 × 부채이자율)/4, 최소자승 역산(모델 assumptions [0.0171, 0.0353]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조정EPS(일회성 의심 1분기: 2024Q4 보고 607→조정 -63원) — 의심 분기 = 지배NI − (비영업손익 − 12분기 기준선) × (1 − 세율) × 지배 비중 ÷ 유통주식수(subQ 수식+메모, 세후 초과·지배 비중은 모델 상수), 다른 분기 = EPS. 보고 EPS 행·TP 12M fwd EPS(추정 분기만) 는 불변. 일회성 여부·세효과는 주석 미확인(모델 추정)</t>
        </is>
      </c>
    </row>
    <row r="28">
      <c r="A28" t="inlineStr">
        <is>
          <t>· 연결된 가정: 판관비율, 지배주주비중, 이자율 · 연결 안 된 가정(모델값·분기별 역산 그대로): 세율(MAX(세전,0)×단일 세율로 재현 불가(지주 자회사 합산 등) → 분기별 역산)</t>
        </is>
      </c>
    </row>
    <row r="29">
      <c r="A29" t="inlineStr">
        <is>
          <t>· 밸류에이션 — PER 밴드 5.0/17.9/23.2배(hist_quarterly(분기 평균가 ÷ TTM EPS, 5분기, 25/50/75 백분위) · 캡 5~30배 적용(원값 1.9/17.9/23.2)) · COE 9.0% · 12M fwd EPS 가중 0.5(가정). 모델 산출값 구간이며 추천이 아니다</t>
        </is>
      </c>
    </row>
    <row r="30">
      <c r="A30" t="inlineStr"/>
    </row>
    <row r="31">
      <c r="A31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2">
      <c r="A32" t="inlineStr">
        <is>
          <t>재현: cd argus/kship/tools &amp;&amp; python3 kship_model_xlsx.py --model assets/models/187790.json --verify   (모델 json 부터: kship_model.py --build --all --xlsx · xlsx 58사 일괄: kship_model_xlsx.py --all --verify)</t>
        </is>
      </c>
    </row>
    <row r="33">
      <c r="A33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4">
      <c r="A34" t="inlineStr">
        <is>
          <t>한계: 모델 quality.warnings — 매출 드라이버 폴백(고객 조선사 연결 없음(suppliers.json)): 전년동기 × (1+g) 추세 / 감가상각비가 face·CF 에 없음(주석 미파싱) → EBITDA·EV/EBITDA 미산출 / 일회성 의심 2024Q4: 비영업손익 227억(영업이익 -21억의 11배, 12분기 중위 4억·기준선 0억) → 지배NI 186억·보고 EPS·FY2024 합계·TTM PER 에 그대로 포함 — 처분이익 등 일회성 여부는 주석 확인 전까지 미확정(12M fwd EPS 에는 미포함) · 조정EPS -62.7원(보고 606.8원; 초과 비영업손익 228억 × (1 − 세율 7.8%) × 지배 비중 0.98 = 205억 차감 — 추정, 조정EPS 행) / 금융손익 실적→추정 단절: 최근 4분기 실적 +0/-2/+2/-0(중위 -0억) → 추정 2026Q3 -3억(차 -3억, -2336%) — 추정은 이자손익 + 기타금융 중위, 외환·파생 평가손익 0 가정(환율 효과는 환관련손익 행). 값은 바꾸지 않음 — 지배NI·EPS 해석 시 참고</t>
        </is>
      </c>
    </row>
    <row r="35">
      <c r="A35" t="inlineStr">
        <is>
          <t>백테스트: {"freeze": "2025Q2", "horizon": 4, "revenue_wape_pct": 29.5, "op_wape_pct": 91.0,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230.27, "rev_act": 344.65, "op_pred": 5.17, "op_act": 55.18}, {"q": "2025Q4", "rev_pred": 187.56, "rev_act": 217.83, "op_pred": 4.21, "op_act": 2.58}, {"q": "2026Q1", "rev_pred": 121.73, "rev_act": 110.35, "op_pred": 2.74, "op_act": -8.89}, {"q": "2026Q2", "rev_pred": 140.47, "rev_act": 259.5, "op_pred": 3.16, "op_act": 5.83}]}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1343.39</v>
      </c>
      <c r="AE6" s="17" t="n">
        <v>1456.01</v>
      </c>
      <c r="AF6" s="16" t="n">
        <v>1341.45</v>
      </c>
      <c r="AG6" s="16" t="n">
        <v>1341.45</v>
      </c>
      <c r="AH6" s="16" t="n">
        <v>1341.45</v>
      </c>
      <c r="AI6" s="16" t="n">
        <v>1341.45</v>
      </c>
      <c r="AJ6" s="11" t="n"/>
      <c r="AK6" s="16" t="n">
        <v>1341.45</v>
      </c>
      <c r="AL6" s="16" t="n">
        <v>1341.45</v>
      </c>
      <c r="AM6" s="16" t="n">
        <v>1341.45</v>
      </c>
      <c r="AN6" s="16" t="n">
        <v>1341.45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1341.45</v>
      </c>
      <c r="AE7" s="17" t="n">
        <v>1341.45</v>
      </c>
      <c r="AF7" s="16" t="n">
        <v>1341.45</v>
      </c>
      <c r="AG7" s="16" t="n">
        <v>1341.45</v>
      </c>
      <c r="AH7" s="16" t="n">
        <v>1341.45</v>
      </c>
      <c r="AI7" s="16" t="n">
        <v>1341.45</v>
      </c>
      <c r="AJ7" s="11" t="n"/>
      <c r="AK7" s="16" t="n">
        <v>1341.45</v>
      </c>
      <c r="AL7" s="16" t="n">
        <v>1341.45</v>
      </c>
      <c r="AM7" s="16" t="n">
        <v>1341.45</v>
      </c>
      <c r="AN7" s="16" t="n">
        <v>1341.45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849.39</v>
      </c>
      <c r="AE8" s="17" t="n">
        <v>918.46</v>
      </c>
      <c r="AF8" s="16" t="n">
        <v>848.37</v>
      </c>
      <c r="AG8" s="16" t="n">
        <v>848.37</v>
      </c>
      <c r="AH8" s="16" t="n">
        <v>848.37</v>
      </c>
      <c r="AI8" s="16" t="n">
        <v>848.37</v>
      </c>
      <c r="AJ8" s="11" t="n"/>
      <c r="AK8" s="16" t="n">
        <v>848.37</v>
      </c>
      <c r="AL8" s="16" t="n">
        <v>848.37</v>
      </c>
      <c r="AM8" s="16" t="n">
        <v>848.37</v>
      </c>
      <c r="AN8" s="16" t="n">
        <v>848.37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848.37</v>
      </c>
      <c r="AE9" s="17" t="n">
        <v>848.37</v>
      </c>
      <c r="AF9" s="16" t="n">
        <v>848.37</v>
      </c>
      <c r="AG9" s="16" t="n">
        <v>848.37</v>
      </c>
      <c r="AH9" s="16" t="n">
        <v>848.37</v>
      </c>
      <c r="AI9" s="16" t="n">
        <v>848.37</v>
      </c>
      <c r="AJ9" s="11" t="n"/>
      <c r="AK9" s="16" t="n">
        <v>848.37</v>
      </c>
      <c r="AL9" s="16" t="n">
        <v>848.37</v>
      </c>
      <c r="AM9" s="16" t="n">
        <v>848.37</v>
      </c>
      <c r="AN9" s="16" t="n">
        <v>848.37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1506.62</v>
      </c>
      <c r="AE10" s="17" t="n">
        <v>1688.01</v>
      </c>
      <c r="AF10" s="16" t="n">
        <v>1500.82</v>
      </c>
      <c r="AG10" s="16" t="n">
        <v>1500.82</v>
      </c>
      <c r="AH10" s="16" t="n">
        <v>1500.82</v>
      </c>
      <c r="AI10" s="16" t="n">
        <v>1500.82</v>
      </c>
      <c r="AJ10" s="11" t="n"/>
      <c r="AK10" s="16" t="n">
        <v>1500.82</v>
      </c>
      <c r="AL10" s="16" t="n">
        <v>1500.82</v>
      </c>
      <c r="AM10" s="16" t="n">
        <v>1500.82</v>
      </c>
      <c r="AN10" s="16" t="n">
        <v>1500.82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1500.82</v>
      </c>
      <c r="AE11" s="17" t="n">
        <v>1500.82</v>
      </c>
      <c r="AF11" s="16" t="n">
        <v>1500.82</v>
      </c>
      <c r="AG11" s="16" t="n">
        <v>1500.82</v>
      </c>
      <c r="AH11" s="16" t="n">
        <v>1500.82</v>
      </c>
      <c r="AI11" s="16" t="n">
        <v>1500.82</v>
      </c>
      <c r="AJ11" s="11" t="n"/>
      <c r="AK11" s="16" t="n">
        <v>1500.82</v>
      </c>
      <c r="AL11" s="16" t="n">
        <v>1500.82</v>
      </c>
      <c r="AM11" s="16" t="n">
        <v>1500.82</v>
      </c>
      <c r="AN11" s="16" t="n">
        <v>1500.82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200.49</v>
      </c>
      <c r="AE12" s="17" t="n">
        <v>213.61</v>
      </c>
      <c r="AF12" s="16" t="n">
        <v>200.4</v>
      </c>
      <c r="AG12" s="16" t="n">
        <v>200.4</v>
      </c>
      <c r="AH12" s="16" t="n">
        <v>200.4</v>
      </c>
      <c r="AI12" s="16" t="n">
        <v>200.4</v>
      </c>
      <c r="AJ12" s="11" t="n"/>
      <c r="AK12" s="16" t="n">
        <v>200.4</v>
      </c>
      <c r="AL12" s="16" t="n">
        <v>200.4</v>
      </c>
      <c r="AM12" s="16" t="n">
        <v>200.4</v>
      </c>
      <c r="AN12" s="16" t="n">
        <v>200.4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</v>
      </c>
      <c r="AE13" s="17" t="n">
        <v>200.4</v>
      </c>
      <c r="AF13" s="16" t="n">
        <v>200.4</v>
      </c>
      <c r="AG13" s="16" t="n">
        <v>200.4</v>
      </c>
      <c r="AH13" s="16" t="n">
        <v>200.4</v>
      </c>
      <c r="AI13" s="16" t="n">
        <v>200.4</v>
      </c>
      <c r="AJ13" s="11" t="n"/>
      <c r="AK13" s="16" t="n">
        <v>200.4</v>
      </c>
      <c r="AL13" s="16" t="n">
        <v>200.4</v>
      </c>
      <c r="AM13" s="16" t="n">
        <v>200.4</v>
      </c>
      <c r="AN13" s="16" t="n">
        <v>200.4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1860</v>
      </c>
      <c r="F15" s="9" t="n"/>
      <c r="G15" s="18" t="n">
        <v>1772</v>
      </c>
      <c r="H15" s="18" t="n">
        <v>1212</v>
      </c>
      <c r="I15" s="18" t="n">
        <v>1119</v>
      </c>
      <c r="J15" s="18" t="n">
        <v>1130</v>
      </c>
      <c r="K15" s="9" t="n"/>
      <c r="L15" s="18" t="n">
        <v>1297</v>
      </c>
      <c r="M15" s="18" t="n">
        <v>1487</v>
      </c>
      <c r="N15" s="18" t="n">
        <v>1443</v>
      </c>
      <c r="O15" s="18" t="n">
        <v>1492</v>
      </c>
      <c r="P15" s="9" t="n"/>
      <c r="Q15" s="18" t="n">
        <v>1298</v>
      </c>
      <c r="R15" s="18" t="n">
        <v>1125</v>
      </c>
      <c r="U15" s="9" t="n"/>
      <c r="W15" s="18" t="n">
        <v>1340</v>
      </c>
      <c r="X15" s="18" t="n">
        <v>1923</v>
      </c>
      <c r="Y15" s="18" t="n">
        <v>3480</v>
      </c>
      <c r="Z15" s="9" t="n"/>
      <c r="AA15" s="18" t="n">
        <v>3265</v>
      </c>
      <c r="AB15" s="19" t="n">
        <v>3640</v>
      </c>
      <c r="AC15" s="20" t="n">
        <v>3045</v>
      </c>
      <c r="AD15" s="20" t="n">
        <v>2680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2716</v>
      </c>
      <c r="F16" s="9" t="n"/>
      <c r="G16" s="18" t="n">
        <v>2079</v>
      </c>
      <c r="H16" s="18" t="n">
        <v>1886</v>
      </c>
      <c r="I16" s="18" t="n">
        <v>1695</v>
      </c>
      <c r="J16" s="18" t="n">
        <v>1530</v>
      </c>
      <c r="K16" s="9" t="n"/>
      <c r="L16" s="18" t="n">
        <v>1925</v>
      </c>
      <c r="M16" s="18" t="n">
        <v>1856</v>
      </c>
      <c r="N16" s="18" t="n">
        <v>2151</v>
      </c>
      <c r="O16" s="18" t="n">
        <v>1811</v>
      </c>
      <c r="P16" s="9" t="n"/>
      <c r="Q16" s="18" t="n">
        <v>1518</v>
      </c>
      <c r="R16" s="18" t="n">
        <v>1320</v>
      </c>
      <c r="U16" s="9" t="n"/>
      <c r="W16" s="18" t="n">
        <v>1370</v>
      </c>
      <c r="X16" s="18" t="n">
        <v>2190</v>
      </c>
      <c r="Y16" s="18" t="n">
        <v>4155</v>
      </c>
      <c r="Z16" s="9" t="n"/>
      <c r="AA16" s="18" t="n">
        <v>5000</v>
      </c>
      <c r="AB16" s="19" t="n">
        <v>7560</v>
      </c>
      <c r="AC16" s="20" t="n">
        <v>4005</v>
      </c>
      <c r="AD16" s="20" t="n">
        <v>3300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1662</v>
      </c>
      <c r="F17" s="9" t="n"/>
      <c r="G17" s="18" t="n">
        <v>1579</v>
      </c>
      <c r="H17" s="18" t="n">
        <v>1075</v>
      </c>
      <c r="I17" s="18" t="n">
        <v>1075</v>
      </c>
      <c r="J17" s="18" t="n">
        <v>1033</v>
      </c>
      <c r="K17" s="9" t="n"/>
      <c r="L17" s="18" t="n">
        <v>1118</v>
      </c>
      <c r="M17" s="18" t="n">
        <v>1245</v>
      </c>
      <c r="N17" s="18" t="n">
        <v>1294</v>
      </c>
      <c r="O17" s="18" t="n">
        <v>1241</v>
      </c>
      <c r="P17" s="9" t="n"/>
      <c r="Q17" s="18" t="n">
        <v>1186</v>
      </c>
      <c r="R17" s="18" t="n">
        <v>1038</v>
      </c>
      <c r="U17" s="9" t="n"/>
      <c r="W17" s="18" t="n">
        <v>936</v>
      </c>
      <c r="X17" s="18" t="n">
        <v>1261</v>
      </c>
      <c r="Y17" s="18" t="n">
        <v>1685</v>
      </c>
      <c r="Z17" s="9" t="n"/>
      <c r="AA17" s="18" t="n">
        <v>3075</v>
      </c>
      <c r="AB17" s="19" t="n">
        <v>3100</v>
      </c>
      <c r="AC17" s="20" t="n">
        <v>2160</v>
      </c>
      <c r="AD17" s="20" t="n">
        <v>2660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2093.8</v>
      </c>
      <c r="F18" s="9" t="n"/>
      <c r="G18" s="18" t="n">
        <v>1826.5</v>
      </c>
      <c r="H18" s="18" t="n">
        <v>1501</v>
      </c>
      <c r="I18" s="18" t="n">
        <v>1283.3</v>
      </c>
      <c r="J18" s="18" t="n">
        <v>1240.5</v>
      </c>
      <c r="K18" s="9" t="n"/>
      <c r="L18" s="18" t="n">
        <v>1350.3</v>
      </c>
      <c r="M18" s="18" t="n">
        <v>1418.7</v>
      </c>
      <c r="N18" s="18" t="n">
        <v>1513.4</v>
      </c>
      <c r="O18" s="18" t="n">
        <v>1416.9</v>
      </c>
      <c r="P18" s="9" t="n"/>
      <c r="Q18" s="18" t="n">
        <v>1431.9</v>
      </c>
      <c r="R18" s="18" t="n">
        <v>1236.6</v>
      </c>
      <c r="U18" s="9" t="n"/>
      <c r="W18" s="18" t="n">
        <v>1080.4</v>
      </c>
      <c r="X18" s="18" t="n">
        <v>1781.7</v>
      </c>
      <c r="Y18" s="18" t="n">
        <v>2826.2</v>
      </c>
      <c r="Z18" s="9" t="n"/>
      <c r="AA18" s="18" t="n">
        <v>3846.3</v>
      </c>
      <c r="AB18" s="19" t="n">
        <v>5041.6</v>
      </c>
      <c r="AC18" s="20" t="n">
        <v>3053.3</v>
      </c>
      <c r="AD18" s="20" t="n">
        <v>3049.4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0.221605144</v>
      </c>
      <c r="AD21" s="24" t="n">
        <v>0.221583606</v>
      </c>
      <c r="AE21" s="25" t="n"/>
      <c r="AF21" s="24" t="n">
        <v>0.221607436</v>
      </c>
      <c r="AG21" s="24" t="n">
        <v>0.221599196</v>
      </c>
      <c r="AH21" s="24" t="n">
        <v>0.110775954</v>
      </c>
      <c r="AI21" s="24" t="n">
        <v>0.110785419</v>
      </c>
      <c r="AJ21" s="25" t="n"/>
      <c r="AK21" s="24" t="n">
        <v>0.110748461</v>
      </c>
      <c r="AL21" s="24" t="n">
        <v>0.110785149</v>
      </c>
      <c r="AM21" s="24" t="n">
        <v>0.055402314</v>
      </c>
      <c r="AN21" s="24" t="n">
        <v>0.055416469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$D$52</f>
        <v/>
      </c>
      <c r="AD22" s="26">
        <f>$D$52</f>
        <v/>
      </c>
      <c r="AE22" s="25">
        <f>IFERROR(subQ!AE8/subQ!AE5,"")</f>
        <v/>
      </c>
      <c r="AF22" s="26">
        <f>$D$52</f>
        <v/>
      </c>
      <c r="AG22" s="26">
        <f>$D$52</f>
        <v/>
      </c>
      <c r="AH22" s="26">
        <f>$D$52</f>
        <v/>
      </c>
      <c r="AI22" s="26">
        <f>$D$52</f>
        <v/>
      </c>
      <c r="AJ22" s="25">
        <f>IFERROR(subQ!AJ8/subQ!AJ5,"")</f>
        <v/>
      </c>
      <c r="AK22" s="26">
        <f>$D$52</f>
        <v/>
      </c>
      <c r="AL22" s="26">
        <f>$D$52</f>
        <v/>
      </c>
      <c r="AM22" s="26">
        <f>$D$52</f>
        <v/>
      </c>
      <c r="AN22" s="26">
        <f>$D$52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0.006365342</v>
      </c>
      <c r="AD23" s="24" t="n">
        <v>0.006388576</v>
      </c>
      <c r="AE23" s="25">
        <f>IFERROR(subQ!AE9/subQ!AE5,"")</f>
        <v/>
      </c>
      <c r="AF23" s="24" t="n">
        <v>0.006379349</v>
      </c>
      <c r="AG23" s="24" t="n">
        <v>0.006372039</v>
      </c>
      <c r="AH23" s="24" t="n">
        <v>0.006372014</v>
      </c>
      <c r="AI23" s="24" t="n">
        <v>0.006360376</v>
      </c>
      <c r="AJ23" s="25">
        <f>IFERROR(subQ!AJ9/subQ!AJ5,"")</f>
        <v/>
      </c>
      <c r="AK23" s="24" t="n">
        <v>0.00634433</v>
      </c>
      <c r="AL23" s="24" t="n">
        <v>0.006361287</v>
      </c>
      <c r="AM23" s="24" t="n">
        <v>0.006381944</v>
      </c>
      <c r="AN23" s="24" t="n">
        <v>0.006379023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drv:지분법손익</t>
        </is>
      </c>
      <c r="B28" s="2" t="inlineStr">
        <is>
          <t>abs</t>
        </is>
      </c>
      <c r="C28" t="inlineStr">
        <is>
          <t>지분법손익 (가정, 억원)</t>
        </is>
      </c>
      <c r="E28" s="27">
        <f>subQ!E17</f>
        <v/>
      </c>
      <c r="F28" s="28">
        <f>subQ!F17</f>
        <v/>
      </c>
      <c r="G28" s="27">
        <f>subQ!G17</f>
        <v/>
      </c>
      <c r="H28" s="27">
        <f>subQ!H17</f>
        <v/>
      </c>
      <c r="I28" s="27">
        <f>subQ!I17</f>
        <v/>
      </c>
      <c r="J28" s="27">
        <f>subQ!J17</f>
        <v/>
      </c>
      <c r="K28" s="28">
        <f>subQ!K17</f>
        <v/>
      </c>
      <c r="L28" s="27">
        <f>subQ!L17</f>
        <v/>
      </c>
      <c r="M28" s="27">
        <f>subQ!M17</f>
        <v/>
      </c>
      <c r="N28" s="27">
        <f>subQ!N17</f>
        <v/>
      </c>
      <c r="O28" s="27">
        <f>subQ!O17</f>
        <v/>
      </c>
      <c r="P28" s="28">
        <f>subQ!P17</f>
        <v/>
      </c>
      <c r="Q28" s="27">
        <f>subQ!Q17</f>
        <v/>
      </c>
      <c r="R28" s="27">
        <f>subQ!R17</f>
        <v/>
      </c>
      <c r="S28" s="27">
        <f>subQ!S17</f>
        <v/>
      </c>
      <c r="T28" s="27">
        <f>subQ!T17</f>
        <v/>
      </c>
      <c r="U28" s="28">
        <f>subQ!U17</f>
        <v/>
      </c>
      <c r="V28" s="27">
        <f>subQ!V17</f>
        <v/>
      </c>
      <c r="W28" s="27">
        <f>subQ!W17</f>
        <v/>
      </c>
      <c r="X28" s="27">
        <f>subQ!X17</f>
        <v/>
      </c>
      <c r="Y28" s="27">
        <f>subQ!Y17</f>
        <v/>
      </c>
      <c r="Z28" s="28">
        <f>subQ!Z17</f>
        <v/>
      </c>
      <c r="AA28" s="27">
        <f>subQ!AA17</f>
        <v/>
      </c>
      <c r="AB28" s="29">
        <f>subQ!AB17</f>
        <v/>
      </c>
      <c r="AC28" s="30" t="n">
        <v>-3.98</v>
      </c>
      <c r="AD28" s="30" t="n">
        <v>-3.98</v>
      </c>
      <c r="AE28" s="31">
        <f>subQ!AE17</f>
        <v/>
      </c>
      <c r="AF28" s="30" t="n">
        <v>-3.98</v>
      </c>
      <c r="AG28" s="30" t="n">
        <v>-3.98</v>
      </c>
      <c r="AH28" s="30" t="n">
        <v>-3.98</v>
      </c>
      <c r="AI28" s="30" t="n">
        <v>-3.98</v>
      </c>
      <c r="AJ28" s="31">
        <f>subQ!AJ17</f>
        <v/>
      </c>
      <c r="AK28" s="30" t="n">
        <v>-3.98</v>
      </c>
      <c r="AL28" s="30" t="n">
        <v>-3.98</v>
      </c>
      <c r="AM28" s="30" t="n">
        <v>-3.98</v>
      </c>
      <c r="AN28" s="30" t="n">
        <v>-3.98</v>
      </c>
      <c r="AO28" s="31">
        <f>subQ!AO17</f>
        <v/>
      </c>
    </row>
    <row r="29">
      <c r="A29" s="12" t="inlineStr">
        <is>
          <t>drv:법인세비용</t>
        </is>
      </c>
      <c r="B29" s="2" t="inlineStr">
        <is>
          <t>ratio</t>
        </is>
      </c>
      <c r="C29" t="inlineStr">
        <is>
          <t>법인세율(/세전)</t>
        </is>
      </c>
      <c r="E29" s="21">
        <f>IFERROR(subQ!E19/subQ!E18,"")</f>
        <v/>
      </c>
      <c r="F29" s="22">
        <f>IFERROR(subQ!F19/subQ!F18,"")</f>
        <v/>
      </c>
      <c r="G29" s="21">
        <f>IFERROR(subQ!G19/subQ!G18,"")</f>
        <v/>
      </c>
      <c r="H29" s="21">
        <f>IFERROR(subQ!H19/subQ!H18,"")</f>
        <v/>
      </c>
      <c r="I29" s="21">
        <f>IFERROR(subQ!I19/subQ!I18,"")</f>
        <v/>
      </c>
      <c r="J29" s="21">
        <f>IFERROR(subQ!J19/subQ!J18,"")</f>
        <v/>
      </c>
      <c r="K29" s="22">
        <f>IFERROR(subQ!K19/subQ!K18,"")</f>
        <v/>
      </c>
      <c r="L29" s="21">
        <f>IFERROR(subQ!L19/subQ!L18,"")</f>
        <v/>
      </c>
      <c r="M29" s="21">
        <f>IFERROR(subQ!M19/subQ!M18,"")</f>
        <v/>
      </c>
      <c r="N29" s="21">
        <f>IFERROR(subQ!N19/subQ!N18,"")</f>
        <v/>
      </c>
      <c r="O29" s="21">
        <f>IFERROR(subQ!O19/subQ!O18,"")</f>
        <v/>
      </c>
      <c r="P29" s="22">
        <f>IFERROR(subQ!P19/subQ!P18,"")</f>
        <v/>
      </c>
      <c r="Q29" s="21">
        <f>IFERROR(subQ!Q19/subQ!Q18,"")</f>
        <v/>
      </c>
      <c r="R29" s="21">
        <f>IFERROR(subQ!R19/subQ!R18,"")</f>
        <v/>
      </c>
      <c r="S29" s="21">
        <f>IFERROR(subQ!S19/subQ!S18,"")</f>
        <v/>
      </c>
      <c r="T29" s="21">
        <f>IFERROR(subQ!T19/subQ!T18,"")</f>
        <v/>
      </c>
      <c r="U29" s="22">
        <f>IFERROR(subQ!U19/subQ!U18,"")</f>
        <v/>
      </c>
      <c r="V29" s="21">
        <f>IFERROR(subQ!V19/subQ!V18,"")</f>
        <v/>
      </c>
      <c r="W29" s="21">
        <f>IFERROR(subQ!W19/subQ!W18,"")</f>
        <v/>
      </c>
      <c r="X29" s="21">
        <f>IFERROR(subQ!X19/subQ!X18,"")</f>
        <v/>
      </c>
      <c r="Y29" s="21">
        <f>IFERROR(subQ!Y19/subQ!Y18,"")</f>
        <v/>
      </c>
      <c r="Z29" s="22">
        <f>IFERROR(subQ!Z19/subQ!Z18,"")</f>
        <v/>
      </c>
      <c r="AA29" s="21">
        <f>IFERROR(subQ!AA19/subQ!AA18,"")</f>
        <v/>
      </c>
      <c r="AB29" s="23">
        <f>IFERROR(subQ!AB19/subQ!AB18,"")</f>
        <v/>
      </c>
      <c r="AC29" s="24" t="n">
        <v>-0</v>
      </c>
      <c r="AD29" s="24" t="n">
        <v>-0</v>
      </c>
      <c r="AE29" s="25">
        <f>IFERROR(subQ!AE19/subQ!AE18,"")</f>
        <v/>
      </c>
      <c r="AF29" s="24" t="n">
        <v>-0</v>
      </c>
      <c r="AG29" s="24" t="n">
        <v>-0</v>
      </c>
      <c r="AH29" s="24" t="n">
        <v>-0</v>
      </c>
      <c r="AI29" s="24" t="n">
        <v>-0</v>
      </c>
      <c r="AJ29" s="25">
        <f>IFERROR(subQ!AJ19/subQ!AJ18,"")</f>
        <v/>
      </c>
      <c r="AK29" s="24" t="n">
        <v>-0</v>
      </c>
      <c r="AL29" s="24" t="n">
        <v>-0</v>
      </c>
      <c r="AM29" s="24" t="n">
        <v>-0</v>
      </c>
      <c r="AN29" s="24" t="n">
        <v>-0</v>
      </c>
      <c r="AO29" s="25">
        <f>IFERROR(subQ!AO19/subQ!AO18,"")</f>
        <v/>
      </c>
    </row>
    <row r="30">
      <c r="A30" s="12" t="inlineStr">
        <is>
          <t>drv:지배주주순이익</t>
        </is>
      </c>
      <c r="B30" s="2" t="inlineStr">
        <is>
          <t>ratio</t>
        </is>
      </c>
      <c r="C30" t="inlineStr">
        <is>
          <t>지배주주 비중(/당기순이익)</t>
        </is>
      </c>
      <c r="E30" s="21">
        <f>IFERROR(subQ!E21/subQ!E20,"")</f>
        <v/>
      </c>
      <c r="F30" s="22">
        <f>IFERROR(subQ!F21/subQ!F20,"")</f>
        <v/>
      </c>
      <c r="G30" s="21">
        <f>IFERROR(subQ!G21/subQ!G20,"")</f>
        <v/>
      </c>
      <c r="H30" s="21">
        <f>IFERROR(subQ!H21/subQ!H20,"")</f>
        <v/>
      </c>
      <c r="I30" s="21">
        <f>IFERROR(subQ!I21/subQ!I20,"")</f>
        <v/>
      </c>
      <c r="J30" s="21">
        <f>IFERROR(subQ!J21/subQ!J20,"")</f>
        <v/>
      </c>
      <c r="K30" s="22">
        <f>IFERROR(subQ!K21/subQ!K20,"")</f>
        <v/>
      </c>
      <c r="L30" s="21">
        <f>IFERROR(subQ!L21/subQ!L20,"")</f>
        <v/>
      </c>
      <c r="M30" s="21">
        <f>IFERROR(subQ!M21/subQ!M20,"")</f>
        <v/>
      </c>
      <c r="N30" s="21">
        <f>IFERROR(subQ!N21/subQ!N20,"")</f>
        <v/>
      </c>
      <c r="O30" s="21">
        <f>IFERROR(subQ!O21/subQ!O20,"")</f>
        <v/>
      </c>
      <c r="P30" s="22">
        <f>IFERROR(subQ!P21/subQ!P20,"")</f>
        <v/>
      </c>
      <c r="Q30" s="21">
        <f>IFERROR(subQ!Q21/subQ!Q20,"")</f>
        <v/>
      </c>
      <c r="R30" s="21">
        <f>IFERROR(subQ!R21/subQ!R20,"")</f>
        <v/>
      </c>
      <c r="S30" s="21">
        <f>IFERROR(subQ!S21/subQ!S20,"")</f>
        <v/>
      </c>
      <c r="T30" s="21">
        <f>IFERROR(subQ!T21/subQ!T20,"")</f>
        <v/>
      </c>
      <c r="U30" s="22">
        <f>IFERROR(subQ!U21/subQ!U20,"")</f>
        <v/>
      </c>
      <c r="V30" s="21">
        <f>IFERROR(subQ!V21/subQ!V20,"")</f>
        <v/>
      </c>
      <c r="W30" s="21">
        <f>IFERROR(subQ!W21/subQ!W20,"")</f>
        <v/>
      </c>
      <c r="X30" s="21">
        <f>IFERROR(subQ!X21/subQ!X20,"")</f>
        <v/>
      </c>
      <c r="Y30" s="21">
        <f>IFERROR(subQ!Y21/subQ!Y20,"")</f>
        <v/>
      </c>
      <c r="Z30" s="22">
        <f>IFERROR(subQ!Z21/subQ!Z20,"")</f>
        <v/>
      </c>
      <c r="AA30" s="21">
        <f>IFERROR(subQ!AA21/subQ!AA20,"")</f>
        <v/>
      </c>
      <c r="AB30" s="23">
        <f>IFERROR(subQ!AB21/subQ!AB20,"")</f>
        <v/>
      </c>
      <c r="AC30" s="26">
        <f>$D$53</f>
        <v/>
      </c>
      <c r="AD30" s="26">
        <f>$D$53</f>
        <v/>
      </c>
      <c r="AE30" s="25">
        <f>IFERROR(subQ!AE21/subQ!AE20,"")</f>
        <v/>
      </c>
      <c r="AF30" s="26">
        <f>$D$53</f>
        <v/>
      </c>
      <c r="AG30" s="26">
        <f>$D$53</f>
        <v/>
      </c>
      <c r="AH30" s="26">
        <f>$D$53</f>
        <v/>
      </c>
      <c r="AI30" s="26">
        <f>$D$53</f>
        <v/>
      </c>
      <c r="AJ30" s="25">
        <f>IFERROR(subQ!AJ21/subQ!AJ20,"")</f>
        <v/>
      </c>
      <c r="AK30" s="26">
        <f>$D$53</f>
        <v/>
      </c>
      <c r="AL30" s="26">
        <f>$D$53</f>
        <v/>
      </c>
      <c r="AM30" s="26">
        <f>$D$53</f>
        <v/>
      </c>
      <c r="AN30" s="26">
        <f>$D$53</f>
        <v/>
      </c>
      <c r="AO30" s="25">
        <f>IFERROR(subQ!AO21/subQ!AO20,"")</f>
        <v/>
      </c>
    </row>
    <row r="31">
      <c r="A31" s="12" t="inlineStr">
        <is>
          <t>drv:부채총계</t>
        </is>
      </c>
      <c r="B31" s="2" t="inlineStr">
        <is>
          <t>qoq</t>
        </is>
      </c>
      <c r="C31" t="inlineStr">
        <is>
          <t>부채총계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4.68e-07</v>
      </c>
      <c r="AD31" s="24" t="n">
        <v>0</v>
      </c>
      <c r="AE31" s="25" t="n"/>
      <c r="AF31" s="24" t="n">
        <v>0</v>
      </c>
      <c r="AG31" s="24" t="n">
        <v>0</v>
      </c>
      <c r="AH31" s="24" t="n">
        <v>0</v>
      </c>
      <c r="AI31" s="24" t="n">
        <v>0</v>
      </c>
      <c r="AJ31" s="25" t="n"/>
      <c r="AK31" s="24" t="n">
        <v>0</v>
      </c>
      <c r="AL31" s="24" t="n">
        <v>0</v>
      </c>
      <c r="AM31" s="24" t="n">
        <v>0</v>
      </c>
      <c r="AN31" s="24" t="n">
        <v>0</v>
      </c>
      <c r="AO31" s="25" t="n"/>
    </row>
    <row r="32">
      <c r="A32" s="12" t="inlineStr">
        <is>
          <t>drv:자본총계</t>
        </is>
      </c>
      <c r="B32" s="2" t="inlineStr">
        <is>
          <t>roll</t>
        </is>
      </c>
      <c r="C32" t="inlineStr">
        <is>
          <t>자본총계 기타변동(배당 등, 억원)</t>
        </is>
      </c>
      <c r="E32" s="27" t="n"/>
      <c r="F32" s="28" t="n"/>
      <c r="G32" s="27">
        <f>IFERROR(subQ!E24+subQ!G20-subQ!G24,"")</f>
        <v/>
      </c>
      <c r="H32" s="27">
        <f>IFERROR(subQ!G24+subQ!H20-subQ!H24,"")</f>
        <v/>
      </c>
      <c r="I32" s="27">
        <f>IFERROR(subQ!H24+subQ!I20-subQ!I24,"")</f>
        <v/>
      </c>
      <c r="J32" s="27">
        <f>IFERROR(subQ!I24+subQ!J20-subQ!J24,"")</f>
        <v/>
      </c>
      <c r="K32" s="28" t="n"/>
      <c r="L32" s="27">
        <f>IFERROR(subQ!J24+subQ!L20-subQ!L24,"")</f>
        <v/>
      </c>
      <c r="M32" s="27">
        <f>IFERROR(subQ!L24+subQ!M20-subQ!M24,"")</f>
        <v/>
      </c>
      <c r="N32" s="27">
        <f>IFERROR(subQ!M24+subQ!N20-subQ!N24,"")</f>
        <v/>
      </c>
      <c r="O32" s="27">
        <f>IFERROR(subQ!N24+subQ!O20-subQ!O24,"")</f>
        <v/>
      </c>
      <c r="P32" s="28" t="n"/>
      <c r="Q32" s="27">
        <f>IFERROR(subQ!O24+subQ!Q20-subQ!Q24,"")</f>
        <v/>
      </c>
      <c r="R32" s="27">
        <f>IFERROR(subQ!Q24+subQ!R20-subQ!R24,"")</f>
        <v/>
      </c>
      <c r="S32" s="27">
        <f>IFERROR(subQ!R24+subQ!S20-subQ!S24,"")</f>
        <v/>
      </c>
      <c r="T32" s="27">
        <f>IFERROR(subQ!S24+subQ!T20-subQ!T24,"")</f>
        <v/>
      </c>
      <c r="U32" s="28" t="n"/>
      <c r="V32" s="27">
        <f>IFERROR(subQ!T24+subQ!V20-subQ!V24,"")</f>
        <v/>
      </c>
      <c r="W32" s="27">
        <f>IFERROR(subQ!V24+subQ!W20-subQ!W24,"")</f>
        <v/>
      </c>
      <c r="X32" s="27">
        <f>IFERROR(subQ!W24+subQ!X20-subQ!X24,"")</f>
        <v/>
      </c>
      <c r="Y32" s="27">
        <f>IFERROR(subQ!X24+subQ!Y20-subQ!Y24,"")</f>
        <v/>
      </c>
      <c r="Z32" s="28" t="n"/>
      <c r="AA32" s="27">
        <f>IFERROR(subQ!Y24+subQ!AA20-subQ!AA24,"")</f>
        <v/>
      </c>
      <c r="AB32" s="29">
        <f>IFERROR(subQ!AA24+subQ!AB20-subQ!AB24,"")</f>
        <v/>
      </c>
      <c r="AC32" s="30" t="n">
        <v>-0.001421295</v>
      </c>
      <c r="AD32" s="30" t="n">
        <v>0.005551683</v>
      </c>
      <c r="AE32" s="31" t="n"/>
      <c r="AF32" s="30" t="n">
        <v>0.003593538</v>
      </c>
      <c r="AG32" s="30" t="n">
        <v>-0.002010082</v>
      </c>
      <c r="AH32" s="30" t="n">
        <v>0.007218436</v>
      </c>
      <c r="AI32" s="30" t="n">
        <v>-0.00961031</v>
      </c>
      <c r="AJ32" s="31" t="n"/>
      <c r="AK32" s="30" t="n">
        <v>-0.001144482</v>
      </c>
      <c r="AL32" s="30" t="n">
        <v>0.00333665</v>
      </c>
      <c r="AM32" s="30" t="n">
        <v>0.003116466</v>
      </c>
      <c r="AN32" s="30" t="n">
        <v>0.006669175</v>
      </c>
      <c r="AO32" s="31" t="n"/>
    </row>
    <row r="33">
      <c r="A33" s="12" t="inlineStr">
        <is>
          <t>drv:지배주주지분</t>
        </is>
      </c>
      <c r="B33" s="2" t="inlineStr">
        <is>
          <t>roll</t>
        </is>
      </c>
      <c r="C33" t="inlineStr">
        <is>
          <t>지배주주지분 기타변동(배당 등, 억원)</t>
        </is>
      </c>
      <c r="E33" s="27" t="n"/>
      <c r="F33" s="28" t="n"/>
      <c r="G33" s="27">
        <f>IFERROR(subQ!E25+subQ!G21-subQ!G25,"")</f>
        <v/>
      </c>
      <c r="H33" s="27">
        <f>IFERROR(subQ!G25+subQ!H21-subQ!H25,"")</f>
        <v/>
      </c>
      <c r="I33" s="27">
        <f>IFERROR(subQ!H25+subQ!I21-subQ!I25,"")</f>
        <v/>
      </c>
      <c r="J33" s="27">
        <f>IFERROR(subQ!I25+subQ!J21-subQ!J25,"")</f>
        <v/>
      </c>
      <c r="K33" s="28" t="n"/>
      <c r="L33" s="27">
        <f>IFERROR(subQ!J25+subQ!L21-subQ!L25,"")</f>
        <v/>
      </c>
      <c r="M33" s="27">
        <f>IFERROR(subQ!L25+subQ!M21-subQ!M25,"")</f>
        <v/>
      </c>
      <c r="N33" s="27">
        <f>IFERROR(subQ!M25+subQ!N21-subQ!N25,"")</f>
        <v/>
      </c>
      <c r="O33" s="27">
        <f>IFERROR(subQ!N25+subQ!O21-subQ!O25,"")</f>
        <v/>
      </c>
      <c r="P33" s="28" t="n"/>
      <c r="Q33" s="27">
        <f>IFERROR(subQ!O25+subQ!Q21-subQ!Q25,"")</f>
        <v/>
      </c>
      <c r="R33" s="27">
        <f>IFERROR(subQ!Q25+subQ!R21-subQ!R25,"")</f>
        <v/>
      </c>
      <c r="S33" s="27">
        <f>IFERROR(subQ!R25+subQ!S21-subQ!S25,"")</f>
        <v/>
      </c>
      <c r="T33" s="27">
        <f>IFERROR(subQ!S25+subQ!T21-subQ!T25,"")</f>
        <v/>
      </c>
      <c r="U33" s="28" t="n"/>
      <c r="V33" s="27">
        <f>IFERROR(subQ!T25+subQ!V21-subQ!V25,"")</f>
        <v/>
      </c>
      <c r="W33" s="27">
        <f>IFERROR(subQ!V25+subQ!W21-subQ!W25,"")</f>
        <v/>
      </c>
      <c r="X33" s="27">
        <f>IFERROR(subQ!W25+subQ!X21-subQ!X25,"")</f>
        <v/>
      </c>
      <c r="Y33" s="27">
        <f>IFERROR(subQ!X25+subQ!Y21-subQ!Y25,"")</f>
        <v/>
      </c>
      <c r="Z33" s="28" t="n"/>
      <c r="AA33" s="27">
        <f>IFERROR(subQ!Y25+subQ!AA21-subQ!AA25,"")</f>
        <v/>
      </c>
      <c r="AB33" s="29">
        <f>IFERROR(subQ!AA25+subQ!AB21-subQ!AB25,"")</f>
        <v/>
      </c>
      <c r="AC33" s="30" t="n">
        <v>-0.005421295</v>
      </c>
      <c r="AD33" s="30" t="n">
        <v>0.005551683</v>
      </c>
      <c r="AE33" s="31" t="n"/>
      <c r="AF33" s="30" t="n">
        <v>0.003593538</v>
      </c>
      <c r="AG33" s="30" t="n">
        <v>0.007989918</v>
      </c>
      <c r="AH33" s="30" t="n">
        <v>-0.002781564</v>
      </c>
      <c r="AI33" s="30" t="n">
        <v>0.00038969</v>
      </c>
      <c r="AJ33" s="31" t="n"/>
      <c r="AK33" s="30" t="n">
        <v>-0.001144482</v>
      </c>
      <c r="AL33" s="30" t="n">
        <v>-0.00666335</v>
      </c>
      <c r="AM33" s="30" t="n">
        <v>0.013116466</v>
      </c>
      <c r="AN33" s="30" t="n">
        <v>-0.003330825</v>
      </c>
      <c r="AO33" s="31" t="n"/>
    </row>
    <row r="34">
      <c r="A34" s="12" t="inlineStr">
        <is>
          <t>drv:총차입금</t>
        </is>
      </c>
      <c r="B34" s="2" t="inlineStr">
        <is>
          <t>qoq</t>
        </is>
      </c>
      <c r="C34" t="inlineStr">
        <is>
          <t>총차입금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9.564e-06</v>
      </c>
      <c r="AD34" s="24" t="n">
        <v>0</v>
      </c>
      <c r="AE34" s="25" t="n"/>
      <c r="AF34" s="24" t="n">
        <v>0</v>
      </c>
      <c r="AG34" s="24" t="n">
        <v>0</v>
      </c>
      <c r="AH34" s="24" t="n">
        <v>0</v>
      </c>
      <c r="AI34" s="24" t="n">
        <v>0</v>
      </c>
      <c r="AJ34" s="25" t="n"/>
      <c r="AK34" s="24" t="n">
        <v>0</v>
      </c>
      <c r="AL34" s="24" t="n">
        <v>0</v>
      </c>
      <c r="AM34" s="24" t="n">
        <v>0</v>
      </c>
      <c r="AN34" s="24" t="n">
        <v>0</v>
      </c>
      <c r="AO34" s="25" t="n"/>
    </row>
    <row r="35">
      <c r="A35" s="12" t="inlineStr">
        <is>
          <t>drv:순차입금</t>
        </is>
      </c>
      <c r="B35" s="2" t="inlineStr">
        <is>
          <t>qoq</t>
        </is>
      </c>
      <c r="C35" t="inlineStr">
        <is>
          <t>순차입금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0.017396513</v>
      </c>
      <c r="AD35" s="24" t="n">
        <v>0.021236471</v>
      </c>
      <c r="AE35" s="25" t="n"/>
      <c r="AF35" s="24" t="n">
        <v>0.02424729</v>
      </c>
      <c r="AG35" s="24" t="n">
        <v>0.019244336</v>
      </c>
      <c r="AH35" s="24" t="n">
        <v>0.015227841</v>
      </c>
      <c r="AI35" s="24" t="n">
        <v>0.019241695</v>
      </c>
      <c r="AJ35" s="25" t="n"/>
      <c r="AK35" s="24" t="n">
        <v>0.022408859</v>
      </c>
      <c r="AL35" s="24" t="n">
        <v>0.017301541</v>
      </c>
      <c r="AM35" s="24" t="n">
        <v>0.013898814</v>
      </c>
      <c r="AN35" s="24" t="n">
        <v>0.017796102</v>
      </c>
      <c r="AO35" s="25" t="n"/>
    </row>
    <row r="36">
      <c r="A36" s="12" t="inlineStr">
        <is>
          <t>drv:이자발생자산</t>
        </is>
      </c>
      <c r="B36" s="2" t="inlineStr">
        <is>
          <t>qoq</t>
        </is>
      </c>
      <c r="C36" t="inlineStr">
        <is>
          <t>이자발생자산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-0.024771238</v>
      </c>
      <c r="AD36" s="24" t="n">
        <v>-0.031523856</v>
      </c>
      <c r="AE36" s="25" t="n"/>
      <c r="AF36" s="24" t="n">
        <v>-0.037954003</v>
      </c>
      <c r="AG36" s="24" t="n">
        <v>-0.032005225</v>
      </c>
      <c r="AH36" s="24" t="n">
        <v>-0.026788124</v>
      </c>
      <c r="AI36" s="24" t="n">
        <v>-0.035221521</v>
      </c>
      <c r="AJ36" s="25" t="n"/>
      <c r="AK36" s="24" t="n">
        <v>-0.043262666</v>
      </c>
      <c r="AL36" s="24" t="n">
        <v>-0.03582964</v>
      </c>
      <c r="AM36" s="24" t="n">
        <v>-0.030227485</v>
      </c>
      <c r="AN36" s="24" t="n">
        <v>-0.0406491</v>
      </c>
      <c r="AO36" s="25" t="n"/>
    </row>
    <row r="37">
      <c r="A37" s="12" t="inlineStr">
        <is>
          <t>drv:현금및현금성자산</t>
        </is>
      </c>
      <c r="B37" s="2" t="inlineStr">
        <is>
          <t>qoq</t>
        </is>
      </c>
      <c r="C37" t="inlineStr">
        <is>
          <t>현금및현금성자산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drv:CAPEX</t>
        </is>
      </c>
      <c r="B38" s="2" t="inlineStr">
        <is>
          <t>yoy</t>
        </is>
      </c>
      <c r="C38" t="inlineStr">
        <is>
          <t>CAPEX YoY</t>
        </is>
      </c>
      <c r="E38" s="21" t="n"/>
      <c r="F38" s="22" t="n"/>
      <c r="G38" s="21" t="n"/>
      <c r="H38" s="21" t="n"/>
      <c r="I38" s="21" t="n"/>
      <c r="J38" s="21">
        <f>IFERROR(subQ!J30/subQ!E30-1,"")</f>
        <v/>
      </c>
      <c r="K38" s="22" t="n"/>
      <c r="L38" s="21">
        <f>IFERROR(subQ!L30/subQ!G30-1,"")</f>
        <v/>
      </c>
      <c r="M38" s="21">
        <f>IFERROR(subQ!M30/subQ!H30-1,"")</f>
        <v/>
      </c>
      <c r="N38" s="21">
        <f>IFERROR(subQ!N30/subQ!I30-1,"")</f>
        <v/>
      </c>
      <c r="O38" s="21">
        <f>IFERROR(subQ!O30/subQ!J30-1,"")</f>
        <v/>
      </c>
      <c r="P38" s="22" t="n"/>
      <c r="Q38" s="21">
        <f>IFERROR(subQ!Q30/subQ!L30-1,"")</f>
        <v/>
      </c>
      <c r="R38" s="21">
        <f>IFERROR(subQ!R30/subQ!M30-1,"")</f>
        <v/>
      </c>
      <c r="S38" s="21">
        <f>IFERROR(subQ!S30/subQ!N30-1,"")</f>
        <v/>
      </c>
      <c r="T38" s="21">
        <f>IFERROR(subQ!T30/subQ!O30-1,"")</f>
        <v/>
      </c>
      <c r="U38" s="22" t="n"/>
      <c r="V38" s="21">
        <f>IFERROR(subQ!V30/subQ!Q30-1,"")</f>
        <v/>
      </c>
      <c r="W38" s="21">
        <f>IFERROR(subQ!W30/subQ!R30-1,"")</f>
        <v/>
      </c>
      <c r="X38" s="21">
        <f>IFERROR(subQ!X30/subQ!S30-1,"")</f>
        <v/>
      </c>
      <c r="Y38" s="21">
        <f>IFERROR(subQ!Y30/subQ!T30-1,"")</f>
        <v/>
      </c>
      <c r="Z38" s="22" t="n"/>
      <c r="AA38" s="21">
        <f>IFERROR(subQ!AA30/subQ!V30-1,"")</f>
        <v/>
      </c>
      <c r="AB38" s="23">
        <f>IFERROR(subQ!AB30/subQ!W30-1,"")</f>
        <v/>
      </c>
      <c r="AC38" s="24" t="n">
        <v>-0.645514139</v>
      </c>
      <c r="AD38" s="24" t="n">
        <v>-0.397908813</v>
      </c>
      <c r="AE38" s="25" t="n"/>
      <c r="AF38" s="24" t="n">
        <v>1.948185835</v>
      </c>
      <c r="AG38" s="24" t="n">
        <v>5.582172535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drv:영업활동현금흐름</t>
        </is>
      </c>
      <c r="B39" s="2" t="inlineStr">
        <is>
          <t>yoy</t>
        </is>
      </c>
      <c r="C39" t="inlineStr">
        <is>
          <t>영업활동현금흐름 YoY</t>
        </is>
      </c>
      <c r="E39" s="21" t="n"/>
      <c r="F39" s="22" t="n"/>
      <c r="G39" s="21" t="n"/>
      <c r="H39" s="21" t="n"/>
      <c r="I39" s="21" t="n"/>
      <c r="J39" s="21">
        <f>IFERROR(subQ!J31/subQ!E31-1,"")</f>
        <v/>
      </c>
      <c r="K39" s="22" t="n"/>
      <c r="L39" s="21">
        <f>IFERROR(subQ!L31/subQ!G31-1,"")</f>
        <v/>
      </c>
      <c r="M39" s="21">
        <f>IFERROR(subQ!M31/subQ!H31-1,"")</f>
        <v/>
      </c>
      <c r="N39" s="21">
        <f>IFERROR(subQ!N31/subQ!I31-1,"")</f>
        <v/>
      </c>
      <c r="O39" s="21">
        <f>IFERROR(subQ!O31/subQ!J31-1,"")</f>
        <v/>
      </c>
      <c r="P39" s="22" t="n"/>
      <c r="Q39" s="21">
        <f>IFERROR(subQ!Q31/subQ!L31-1,"")</f>
        <v/>
      </c>
      <c r="R39" s="21">
        <f>IFERROR(subQ!R31/subQ!M31-1,"")</f>
        <v/>
      </c>
      <c r="S39" s="21">
        <f>IFERROR(subQ!S31/subQ!N31-1,"")</f>
        <v/>
      </c>
      <c r="T39" s="21">
        <f>IFERROR(subQ!T31/subQ!O31-1,"")</f>
        <v/>
      </c>
      <c r="U39" s="22" t="n"/>
      <c r="V39" s="21">
        <f>IFERROR(subQ!V31/subQ!Q31-1,"")</f>
        <v/>
      </c>
      <c r="W39" s="21">
        <f>IFERROR(subQ!W31/subQ!R31-1,"")</f>
        <v/>
      </c>
      <c r="X39" s="21">
        <f>IFERROR(subQ!X31/subQ!S31-1,"")</f>
        <v/>
      </c>
      <c r="Y39" s="21">
        <f>IFERROR(subQ!Y31/subQ!T31-1,"")</f>
        <v/>
      </c>
      <c r="Z39" s="22" t="n"/>
      <c r="AA39" s="21">
        <f>IFERROR(subQ!AA31/subQ!V31-1,"")</f>
        <v/>
      </c>
      <c r="AB39" s="23">
        <f>IFERROR(subQ!AB31/subQ!W31-1,"")</f>
        <v/>
      </c>
      <c r="AC39" s="32" t="n"/>
      <c r="AD39" s="32" t="n"/>
      <c r="AE39" s="25" t="n"/>
      <c r="AF39" s="32" t="n"/>
      <c r="AG39" s="32" t="n"/>
      <c r="AH39" s="32" t="n"/>
      <c r="AI39" s="32" t="n"/>
      <c r="AJ39" s="25" t="n"/>
      <c r="AK39" s="32" t="n"/>
      <c r="AL39" s="32" t="n"/>
      <c r="AM39" s="32" t="n"/>
      <c r="AN39" s="32" t="n"/>
      <c r="AO39" s="25" t="n"/>
    </row>
    <row r="40">
      <c r="A40" s="12" t="inlineStr">
        <is>
          <t>drv:주식수</t>
        </is>
      </c>
      <c r="B40" s="2" t="inlineStr">
        <is>
          <t>qoq</t>
        </is>
      </c>
      <c r="C40" t="inlineStr">
        <is>
          <t>주식수 QoQ</t>
        </is>
      </c>
      <c r="E40" s="21" t="n"/>
      <c r="F40" s="22" t="n"/>
      <c r="G40" s="21">
        <f>IFERROR(subQ!G32/subQ!E32-1,"")</f>
        <v/>
      </c>
      <c r="H40" s="21">
        <f>IFERROR(subQ!H32/subQ!G32-1,"")</f>
        <v/>
      </c>
      <c r="I40" s="21">
        <f>IFERROR(subQ!I32/subQ!H32-1,"")</f>
        <v/>
      </c>
      <c r="J40" s="21">
        <f>IFERROR(subQ!J32/subQ!I32-1,"")</f>
        <v/>
      </c>
      <c r="K40" s="22" t="n"/>
      <c r="L40" s="21">
        <f>IFERROR(subQ!L32/subQ!J32-1,"")</f>
        <v/>
      </c>
      <c r="M40" s="21">
        <f>IFERROR(subQ!M32/subQ!L32-1,"")</f>
        <v/>
      </c>
      <c r="N40" s="21">
        <f>IFERROR(subQ!N32/subQ!M32-1,"")</f>
        <v/>
      </c>
      <c r="O40" s="21">
        <f>IFERROR(subQ!O32/subQ!N32-1,"")</f>
        <v/>
      </c>
      <c r="P40" s="22" t="n"/>
      <c r="Q40" s="21">
        <f>IFERROR(subQ!Q32/subQ!O32-1,"")</f>
        <v/>
      </c>
      <c r="R40" s="21">
        <f>IFERROR(subQ!R32/subQ!Q32-1,"")</f>
        <v/>
      </c>
      <c r="S40" s="21">
        <f>IFERROR(subQ!S32/subQ!R32-1,"")</f>
        <v/>
      </c>
      <c r="T40" s="21">
        <f>IFERROR(subQ!T32/subQ!S32-1,"")</f>
        <v/>
      </c>
      <c r="U40" s="22" t="n"/>
      <c r="V40" s="21">
        <f>IFERROR(subQ!V32/subQ!T32-1,"")</f>
        <v/>
      </c>
      <c r="W40" s="21">
        <f>IFERROR(subQ!W32/subQ!V32-1,"")</f>
        <v/>
      </c>
      <c r="X40" s="21">
        <f>IFERROR(subQ!X32/subQ!W32-1,"")</f>
        <v/>
      </c>
      <c r="Y40" s="21">
        <f>IFERROR(subQ!Y32/subQ!X32-1,"")</f>
        <v/>
      </c>
      <c r="Z40" s="22" t="n"/>
      <c r="AA40" s="21">
        <f>IFERROR(subQ!AA32/subQ!Y32-1,"")</f>
        <v/>
      </c>
      <c r="AB40" s="23">
        <f>IFERROR(subQ!AB32/subQ!AA32-1,"")</f>
        <v/>
      </c>
      <c r="AC40" s="24" t="n">
        <v>0</v>
      </c>
      <c r="AD40" s="24" t="n">
        <v>0</v>
      </c>
      <c r="AE40" s="25" t="n"/>
      <c r="AF40" s="24" t="n">
        <v>0</v>
      </c>
      <c r="AG40" s="24" t="n">
        <v>0</v>
      </c>
      <c r="AH40" s="24" t="n">
        <v>0</v>
      </c>
      <c r="AI40" s="24" t="n">
        <v>0</v>
      </c>
      <c r="AJ40" s="25" t="n"/>
      <c r="AK40" s="24" t="n">
        <v>0</v>
      </c>
      <c r="AL40" s="24" t="n">
        <v>0</v>
      </c>
      <c r="AM40" s="24" t="n">
        <v>0</v>
      </c>
      <c r="AN40" s="24" t="n">
        <v>0</v>
      </c>
      <c r="AO40" s="25" t="n"/>
    </row>
    <row r="41">
      <c r="A41" s="12" t="inlineStr">
        <is>
          <t>drv:DPS</t>
        </is>
      </c>
      <c r="B41" s="2" t="inlineStr">
        <is>
          <t>abs</t>
        </is>
      </c>
      <c r="C41" t="inlineStr">
        <is>
          <t>DPS (가정, 원)</t>
        </is>
      </c>
      <c r="E41" s="27">
        <f>subQ!E36</f>
        <v/>
      </c>
      <c r="F41" s="28">
        <f>subQ!F36</f>
        <v/>
      </c>
      <c r="G41" s="27">
        <f>subQ!G36</f>
        <v/>
      </c>
      <c r="H41" s="27">
        <f>subQ!H36</f>
        <v/>
      </c>
      <c r="I41" s="27">
        <f>subQ!I36</f>
        <v/>
      </c>
      <c r="J41" s="27">
        <f>subQ!J36</f>
        <v/>
      </c>
      <c r="K41" s="28">
        <f>subQ!K36</f>
        <v/>
      </c>
      <c r="L41" s="27">
        <f>subQ!L36</f>
        <v/>
      </c>
      <c r="M41" s="27">
        <f>subQ!M36</f>
        <v/>
      </c>
      <c r="N41" s="27">
        <f>subQ!N36</f>
        <v/>
      </c>
      <c r="O41" s="27">
        <f>subQ!O36</f>
        <v/>
      </c>
      <c r="P41" s="28">
        <f>subQ!P36</f>
        <v/>
      </c>
      <c r="Q41" s="27">
        <f>subQ!Q36</f>
        <v/>
      </c>
      <c r="R41" s="27">
        <f>subQ!R36</f>
        <v/>
      </c>
      <c r="S41" s="27">
        <f>subQ!S36</f>
        <v/>
      </c>
      <c r="T41" s="27">
        <f>subQ!T36</f>
        <v/>
      </c>
      <c r="U41" s="28">
        <f>subQ!U36</f>
        <v/>
      </c>
      <c r="V41" s="27">
        <f>subQ!V36</f>
        <v/>
      </c>
      <c r="W41" s="27">
        <f>subQ!W36</f>
        <v/>
      </c>
      <c r="X41" s="27">
        <f>subQ!X36</f>
        <v/>
      </c>
      <c r="Y41" s="27">
        <f>subQ!Y36</f>
        <v/>
      </c>
      <c r="Z41" s="28">
        <f>subQ!Z36</f>
        <v/>
      </c>
      <c r="AA41" s="27">
        <f>subQ!AA36</f>
        <v/>
      </c>
      <c r="AB41" s="29">
        <f>subQ!AB36</f>
        <v/>
      </c>
      <c r="AC41" s="33" t="n"/>
      <c r="AD41" s="30" t="n">
        <v>0</v>
      </c>
      <c r="AE41" s="31">
        <f>subQ!AE36</f>
        <v/>
      </c>
      <c r="AF41" s="33" t="n"/>
      <c r="AG41" s="33" t="n"/>
      <c r="AH41" s="33" t="n"/>
      <c r="AI41" s="30" t="n">
        <v>0</v>
      </c>
      <c r="AJ41" s="31">
        <f>subQ!AJ36</f>
        <v/>
      </c>
      <c r="AK41" s="33" t="n"/>
      <c r="AL41" s="33" t="n"/>
      <c r="AM41" s="33" t="n"/>
      <c r="AN41" s="30" t="n">
        <v>0</v>
      </c>
      <c r="AO41" s="31">
        <f>subQ!AO36</f>
        <v/>
      </c>
    </row>
    <row r="42"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B43" s="1" t="inlineStr">
        <is>
          <t>3. 밸류에이션·스칼라</t>
        </is>
      </c>
      <c r="C43" s="2" t="inlineStr">
        <is>
          <t>노란 셀 = 가정. '연결' 표시는 추정 전 분기 수식이 이 셀을 참조한다는 뜻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sc:종가</t>
        </is>
      </c>
      <c r="C44" t="inlineStr">
        <is>
          <t>종가</t>
        </is>
      </c>
      <c r="D44" s="34" t="n">
        <v>2680</v>
      </c>
      <c r="E44" s="2" t="inlineStr">
        <is>
          <t>원 — 네이버 정규장 종가(aik 확정종가 대조 · aik 2,850원)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sc:기준일</t>
        </is>
      </c>
      <c r="C45" t="inlineStr">
        <is>
          <t>기준일</t>
        </is>
      </c>
      <c r="D45" s="35" t="inlineStr">
        <is>
          <t>20261014</t>
        </is>
      </c>
      <c r="E45" s="2" t="inlineStr">
        <is>
          <t>종가 기준일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sc:COE</t>
        </is>
      </c>
      <c r="C46" t="inlineStr">
        <is>
          <t>COE</t>
        </is>
      </c>
      <c r="D46" s="24" t="n">
        <v>0.09</v>
      </c>
      <c r="E46" s="2" t="inlineStr">
        <is>
          <t>자기자본비용(가정) — TP 적정 PBR = ROE/COE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sc:PER_lo</t>
        </is>
      </c>
      <c r="C47" t="inlineStr">
        <is>
          <t>PER_lo</t>
        </is>
      </c>
      <c r="D47" s="30" t="n">
        <v>5</v>
      </c>
      <c r="E47" s="2" t="inlineStr">
        <is>
          <t>PER 밴드 하단(배) — hist_quarterly(분기 평균가 ÷ TTM EPS, 5분기, 25/50/75 백분위) · 캡 5~30배 적용(원값 1.9/17.9/23.2)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sc:PER_mid</t>
        </is>
      </c>
      <c r="C48" t="inlineStr">
        <is>
          <t>PER_mid</t>
        </is>
      </c>
      <c r="D48" s="30" t="n">
        <v>17.9</v>
      </c>
      <c r="E48" s="2" t="inlineStr">
        <is>
          <t>PER 밴드 중단(배)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sc:PER_hi</t>
        </is>
      </c>
      <c r="C49" t="inlineStr">
        <is>
          <t>PER_hi</t>
        </is>
      </c>
      <c r="D49" s="30" t="n">
        <v>23.2</v>
      </c>
      <c r="E49" s="2" t="inlineStr">
        <is>
          <t>PER 밴드 상단(배)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sc:EPS_Y1가중</t>
        </is>
      </c>
      <c r="C50" t="inlineStr">
        <is>
          <t>EPS_Y1가중</t>
        </is>
      </c>
      <c r="D50" s="24" t="n">
        <v>0.5</v>
      </c>
      <c r="E50" s="2" t="inlineStr">
        <is>
          <t>12M fwd EPS = FY(last_actual연도)E × w + FY+1E × (1−w) — 기준 분기 2Q 이면 0.5(가정)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sc:세율</t>
        </is>
      </c>
      <c r="C51" t="inlineStr">
        <is>
          <t>세율</t>
        </is>
      </c>
      <c r="D51" s="36" t="n">
        <v>0.22</v>
      </c>
      <c r="E51" s="2" t="inlineStr">
        <is>
          <t>참고(연결 안 됨: MAX(세전,0)×단일 세율로 재현 불가(지주 자회사 합산 등) → 분기별 역산) — 모델 assumptions 값 · 최근 12분기 유효세율 -19.7% 가 5~27% 밖; 세전 &gt; 0 분기 중위 -46.3% 도 5~27% 밖 → 법정세율 근사 22% 가정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sc:판관비율</t>
        </is>
      </c>
      <c r="C52" t="inlineStr">
        <is>
          <t>판관비율</t>
        </is>
      </c>
      <c r="D52" s="36" t="n">
        <v>0.1267225613080717</v>
      </c>
      <c r="E52" s="2" t="inlineStr">
        <is>
          <t>연결 — 판관비 = 매출액 × 판관비율(역산, 재현 오차 ≤ 0.05억 · 모델 assumptions 0.1267)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sc:지배주주비중</t>
        </is>
      </c>
      <c r="C53" t="inlineStr">
        <is>
          <t>지배주주비중</t>
        </is>
      </c>
      <c r="D53" s="36" t="n">
        <v>1</v>
      </c>
      <c r="E53" s="2" t="inlineStr">
        <is>
          <t>연결 — 지배주주순이익 = 당기순이익 × 비중(역산, 재현 오차 ≤ 0.05억)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sc:이자율_자산</t>
        </is>
      </c>
      <c r="C54" t="inlineStr">
        <is>
          <t>이자율_자산</t>
        </is>
      </c>
      <c r="D54" s="36" t="n">
        <v>0.01695606925782039</v>
      </c>
      <c r="E54" s="2" t="inlineStr">
        <is>
          <t>연결 — 이자손익 = (전분기 이자발생자산 × 자산이자율 − 전분기 총차입금 × 부채이자율)/4(역산, 재현 오차 ≤ 0.05억 · 모델 assumptions 0.0171)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sc:이자율_부채</t>
        </is>
      </c>
      <c r="C55" t="inlineStr">
        <is>
          <t>이자율_부채</t>
        </is>
      </c>
      <c r="D55" s="36" t="n">
        <v>0.03522318503544594</v>
      </c>
      <c r="E55" s="2" t="inlineStr">
        <is>
          <t>연결 — 같은 수식의 부채 쪽(총차입금 행이 없으면 0)(역산, 재현 오차 ≤ 0.05억 · 모델 assumptions 0.0353)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sc:배당성향</t>
        </is>
      </c>
      <c r="C56" t="inlineStr">
        <is>
          <t>배당성향</t>
        </is>
      </c>
      <c r="D56" s="24" t="n">
        <v>0</v>
      </c>
      <c r="E56" s="2" t="inlineStr">
        <is>
          <t>배당성향(참고 — 모델은 직전 DPS 유지·Q2 지급 가정)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sc:외화순노출_백만$</t>
        </is>
      </c>
      <c r="C57" t="inlineStr">
        <is>
          <t>외화순노출_백만$</t>
        </is>
      </c>
      <c r="D57" s="30" t="n"/>
      <c r="E57" s="2" t="inlineStr">
        <is>
          <t>외화 순노출 × Δ기말환율 (외화 시트 방식) — 외화 순노출 미공시(face) → 0 + 표기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sc:헤지비율</t>
        </is>
      </c>
      <c r="C58" t="inlineStr">
        <is>
          <t>헤지비율</t>
        </is>
      </c>
      <c r="D58" s="24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sc:헤지환율_약정</t>
        </is>
      </c>
      <c r="C59" t="inlineStr">
        <is>
          <t>헤지환율_약정</t>
        </is>
      </c>
      <c r="D59" s="16" t="n"/>
      <c r="E59" s="2" t="inlineStr">
        <is>
          <t>sls 없음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나노(연)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38107.93</v>
      </c>
      <c r="F5" s="37" t="n">
        <v>38107.93</v>
      </c>
      <c r="G5" s="18" t="n">
        <v>46979.15</v>
      </c>
      <c r="H5" s="18" t="n">
        <v>44990.71</v>
      </c>
      <c r="I5" s="18" t="n">
        <v>48326.25</v>
      </c>
      <c r="J5" s="18" t="n">
        <v>44789.52</v>
      </c>
      <c r="K5" s="37" t="n">
        <v>44789.52</v>
      </c>
      <c r="L5" s="18" t="n">
        <v>47782.65</v>
      </c>
      <c r="M5" s="18" t="n">
        <v>50014.48</v>
      </c>
      <c r="N5" s="18" t="n">
        <v>45592.34</v>
      </c>
      <c r="O5" s="18" t="n">
        <v>40389.85</v>
      </c>
      <c r="P5" s="37" t="n">
        <v>40389.85</v>
      </c>
      <c r="Q5" s="18" t="n">
        <v>47082.71</v>
      </c>
      <c r="R5" s="18" t="n">
        <v>51047.24</v>
      </c>
      <c r="S5" s="18" t="n">
        <v>50363.21</v>
      </c>
      <c r="T5" s="18" t="n">
        <v>57695.76</v>
      </c>
      <c r="U5" s="37" t="n">
        <v>57695.76</v>
      </c>
      <c r="V5" s="18" t="n">
        <v>54123.61</v>
      </c>
      <c r="W5" s="18" t="n">
        <v>57121.18</v>
      </c>
      <c r="X5" s="18" t="n">
        <v>46191.13</v>
      </c>
      <c r="Y5" s="18" t="n">
        <v>45833.72</v>
      </c>
      <c r="Z5" s="37" t="n">
        <v>45833.72</v>
      </c>
      <c r="AA5" s="18" t="n">
        <v>55112.26</v>
      </c>
      <c r="AB5" s="19" t="n">
        <v>54477.72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4708.18</v>
      </c>
      <c r="F6" s="37" t="n">
        <v>4708.18</v>
      </c>
      <c r="G6" s="18" t="n">
        <v>8362.65</v>
      </c>
      <c r="H6" s="18" t="n">
        <v>5651.23</v>
      </c>
      <c r="I6" s="18" t="n">
        <v>8180.7</v>
      </c>
      <c r="J6" s="18" t="n">
        <v>11207.55</v>
      </c>
      <c r="K6" s="37" t="n">
        <v>11207.55</v>
      </c>
      <c r="L6" s="18" t="n">
        <v>6479.86</v>
      </c>
      <c r="M6" s="18" t="n">
        <v>9106.18</v>
      </c>
      <c r="N6" s="18" t="n">
        <v>4567.31</v>
      </c>
      <c r="O6" s="18" t="n">
        <v>8121.38</v>
      </c>
      <c r="P6" s="37" t="n">
        <v>8121.38</v>
      </c>
      <c r="Q6" s="18" t="n">
        <v>6239.84</v>
      </c>
      <c r="R6" s="18" t="n">
        <v>10080.39</v>
      </c>
      <c r="S6" s="18" t="n">
        <v>5269.31</v>
      </c>
      <c r="T6" s="18" t="n">
        <v>20758.41</v>
      </c>
      <c r="U6" s="37" t="n">
        <v>20758.41</v>
      </c>
      <c r="V6" s="18" t="n">
        <v>17012.76</v>
      </c>
      <c r="W6" s="18" t="n">
        <v>14376</v>
      </c>
      <c r="X6" s="18" t="n">
        <v>12655.87</v>
      </c>
      <c r="Y6" s="18" t="n">
        <v>13539.17</v>
      </c>
      <c r="Z6" s="37" t="n">
        <v>13539.17</v>
      </c>
      <c r="AA6" s="18" t="n">
        <v>4731.35</v>
      </c>
      <c r="AB6" s="19" t="n">
        <v>14184.69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10010.19</v>
      </c>
      <c r="F7" s="37" t="n">
        <v>10010.19</v>
      </c>
      <c r="G7" s="18" t="n">
        <v>8514.68</v>
      </c>
      <c r="H7" s="18" t="n">
        <v>7029.23</v>
      </c>
      <c r="I7" s="18" t="n">
        <v>5800</v>
      </c>
      <c r="J7" s="18" t="n">
        <v>5800</v>
      </c>
      <c r="K7" s="37" t="n">
        <v>5800</v>
      </c>
      <c r="L7" s="18" t="n">
        <v>7800</v>
      </c>
      <c r="M7" s="18" t="n">
        <v>7800</v>
      </c>
      <c r="N7" s="18" t="n">
        <v>6300</v>
      </c>
      <c r="O7" s="18" t="n">
        <v>6300</v>
      </c>
      <c r="P7" s="37" t="n">
        <v>6300</v>
      </c>
      <c r="Q7" s="18" t="n">
        <v>5800</v>
      </c>
      <c r="R7" s="18" t="n">
        <v>5800</v>
      </c>
      <c r="S7" s="18" t="n">
        <v>9400</v>
      </c>
      <c r="T7" s="18" t="n">
        <v>2811.4</v>
      </c>
      <c r="U7" s="37" t="n">
        <v>2811.4</v>
      </c>
      <c r="V7" s="18" t="n">
        <v>2812.3</v>
      </c>
      <c r="W7" s="18" t="n">
        <v>2813.2</v>
      </c>
      <c r="X7" s="18" t="n">
        <v>2814.1</v>
      </c>
      <c r="Y7" s="18" t="n">
        <v>2815</v>
      </c>
      <c r="Z7" s="37" t="n">
        <v>2815</v>
      </c>
      <c r="AA7" s="18" t="n">
        <v>2620</v>
      </c>
      <c r="AB7" s="19" t="n">
        <v>2620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10010.19</v>
      </c>
      <c r="F8" s="37" t="n">
        <v>10010.19</v>
      </c>
      <c r="G8" s="18" t="n">
        <v>8514.68</v>
      </c>
      <c r="H8" s="18" t="n">
        <v>7029.23</v>
      </c>
      <c r="I8" s="18" t="n">
        <v>6098.51</v>
      </c>
      <c r="J8" s="18" t="n">
        <v>5800</v>
      </c>
      <c r="K8" s="37" t="n">
        <v>5800</v>
      </c>
      <c r="L8" s="18" t="n">
        <v>7800</v>
      </c>
      <c r="M8" s="18" t="n">
        <v>7800</v>
      </c>
      <c r="N8" s="18" t="n">
        <v>6300</v>
      </c>
      <c r="O8" s="18" t="n">
        <v>6300</v>
      </c>
      <c r="P8" s="37" t="n">
        <v>6300</v>
      </c>
      <c r="Q8" s="18" t="n">
        <v>5800</v>
      </c>
      <c r="R8" s="18" t="n">
        <v>5800</v>
      </c>
      <c r="S8" s="18" t="n">
        <v>9400</v>
      </c>
      <c r="T8" s="18" t="n">
        <v>2811.4</v>
      </c>
      <c r="U8" s="37" t="n">
        <v>2811.4</v>
      </c>
      <c r="V8" s="18" t="n">
        <v>2812.3</v>
      </c>
      <c r="W8" s="18" t="n">
        <v>2813.2</v>
      </c>
      <c r="X8" s="18" t="n">
        <v>2814.1</v>
      </c>
      <c r="Y8" s="18" t="n">
        <v>2815</v>
      </c>
      <c r="Z8" s="37" t="n">
        <v>2815</v>
      </c>
      <c r="AA8" s="18" t="n">
        <v>2620</v>
      </c>
      <c r="AB8" s="19" t="n">
        <v>2620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7522.71</v>
      </c>
      <c r="F9" s="37" t="n">
        <v>7522.71</v>
      </c>
      <c r="G9" s="18" t="n">
        <v>4280.85</v>
      </c>
      <c r="H9" s="18" t="n">
        <v>10270.1</v>
      </c>
      <c r="I9" s="18" t="n">
        <v>14041.58</v>
      </c>
      <c r="J9" s="18" t="n">
        <v>8789.969999999999</v>
      </c>
      <c r="K9" s="37" t="n">
        <v>8789.969999999999</v>
      </c>
      <c r="L9" s="18" t="n">
        <v>6992.44</v>
      </c>
      <c r="M9" s="18" t="n">
        <v>10904.66</v>
      </c>
      <c r="N9" s="18" t="n">
        <v>9354.459999999999</v>
      </c>
      <c r="O9" s="18" t="n">
        <v>5169.85</v>
      </c>
      <c r="P9" s="37" t="n">
        <v>5169.85</v>
      </c>
      <c r="Q9" s="18" t="n">
        <v>11727.15</v>
      </c>
      <c r="R9" s="18" t="n">
        <v>9019.52</v>
      </c>
      <c r="S9" s="18" t="n">
        <v>9958.969999999999</v>
      </c>
      <c r="T9" s="18" t="n">
        <v>9591.549999999999</v>
      </c>
      <c r="U9" s="37" t="n">
        <v>9591.549999999999</v>
      </c>
      <c r="V9" s="18" t="n">
        <v>8513.4</v>
      </c>
      <c r="W9" s="18" t="n">
        <v>5783.09</v>
      </c>
      <c r="X9" s="18" t="n">
        <v>8802.26</v>
      </c>
      <c r="Y9" s="18" t="n">
        <v>8966.1</v>
      </c>
      <c r="Z9" s="37" t="n">
        <v>8966.1</v>
      </c>
      <c r="AA9" s="18" t="n">
        <v>18757.3</v>
      </c>
      <c r="AB9" s="19" t="n">
        <v>13495.95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기타유동금융자산</t>
        </is>
      </c>
      <c r="E10" s="18" t="n">
        <v>2680.06</v>
      </c>
      <c r="F10" s="37" t="n">
        <v>2680.06</v>
      </c>
      <c r="G10" s="18" t="n">
        <v>3622.82</v>
      </c>
      <c r="H10" s="18" t="n">
        <v>1690.91</v>
      </c>
      <c r="I10" s="18" t="n">
        <v>1018.01</v>
      </c>
      <c r="J10" s="18" t="n">
        <v>646.52</v>
      </c>
      <c r="K10" s="37" t="n">
        <v>646.52</v>
      </c>
      <c r="L10" s="18" t="n">
        <v>2435.33</v>
      </c>
      <c r="M10" s="18" t="n">
        <v>2154.23</v>
      </c>
      <c r="N10" s="18" t="n">
        <v>5603.06</v>
      </c>
      <c r="O10" s="18" t="n">
        <v>1122.9</v>
      </c>
      <c r="P10" s="37" t="n">
        <v>1122.9</v>
      </c>
      <c r="Q10" s="18" t="n">
        <v>1275.04</v>
      </c>
      <c r="R10" s="18" t="n">
        <v>1210.64</v>
      </c>
      <c r="S10" s="18" t="n">
        <v>1689.95</v>
      </c>
      <c r="T10" s="18" t="n">
        <v>4495.78</v>
      </c>
      <c r="U10" s="37" t="n">
        <v>4495.78</v>
      </c>
      <c r="V10" s="18" t="n">
        <v>1702.69</v>
      </c>
      <c r="W10" s="18" t="n">
        <v>2951.06</v>
      </c>
      <c r="X10" s="18" t="n">
        <v>1422.69</v>
      </c>
      <c r="Y10" s="18" t="n">
        <v>1741.92</v>
      </c>
      <c r="Z10" s="37" t="n">
        <v>1741.92</v>
      </c>
      <c r="AA10" s="18" t="n">
        <v>1487.43</v>
      </c>
      <c r="AB10" s="19" t="n">
        <v>1037.76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기타유동자산</t>
        </is>
      </c>
      <c r="E11" s="18" t="n">
        <v>2854.22</v>
      </c>
      <c r="F11" s="37" t="n">
        <v>2854.22</v>
      </c>
      <c r="G11" s="18" t="n">
        <v>4718.68</v>
      </c>
      <c r="H11" s="18" t="n">
        <v>4171.57</v>
      </c>
      <c r="I11" s="18" t="n">
        <v>4110.05</v>
      </c>
      <c r="J11" s="18" t="n">
        <v>2218.91</v>
      </c>
      <c r="K11" s="37" t="n">
        <v>2218.91</v>
      </c>
      <c r="L11" s="18" t="n">
        <v>2071.8</v>
      </c>
      <c r="M11" s="18" t="n">
        <v>2540.15</v>
      </c>
      <c r="N11" s="18" t="n">
        <v>3746.07</v>
      </c>
      <c r="O11" s="18" t="n">
        <v>1649.84</v>
      </c>
      <c r="P11" s="37" t="n">
        <v>1649.84</v>
      </c>
      <c r="Q11" s="18" t="n">
        <v>1515.74</v>
      </c>
      <c r="R11" s="18" t="n">
        <v>1749.61</v>
      </c>
      <c r="S11" s="18" t="n">
        <v>2295.51</v>
      </c>
      <c r="T11" s="18" t="n">
        <v>3600.4</v>
      </c>
      <c r="U11" s="37" t="n">
        <v>3600.4</v>
      </c>
      <c r="V11" s="18" t="n">
        <v>2240.39</v>
      </c>
      <c r="W11" s="18" t="n">
        <v>1502.87</v>
      </c>
      <c r="X11" s="18" t="n">
        <v>1796.94</v>
      </c>
      <c r="Y11" s="18" t="n">
        <v>4270.43</v>
      </c>
      <c r="Z11" s="37" t="n">
        <v>4270.43</v>
      </c>
      <c r="AA11" s="18" t="n">
        <v>3943.41</v>
      </c>
      <c r="AB11" s="19" t="n">
        <v>4361.01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재고자산</t>
        </is>
      </c>
      <c r="E12" s="18" t="n">
        <v>10312.98</v>
      </c>
      <c r="F12" s="37" t="n">
        <v>10312.98</v>
      </c>
      <c r="G12" s="18" t="n">
        <v>15859.15</v>
      </c>
      <c r="H12" s="18" t="n">
        <v>15856.23</v>
      </c>
      <c r="I12" s="18" t="n">
        <v>14737.94</v>
      </c>
      <c r="J12" s="18" t="n">
        <v>15771.71</v>
      </c>
      <c r="K12" s="37" t="n">
        <v>15771.71</v>
      </c>
      <c r="L12" s="18" t="n">
        <v>21606.47</v>
      </c>
      <c r="M12" s="18" t="n">
        <v>17141.99</v>
      </c>
      <c r="N12" s="18" t="n">
        <v>15110.46</v>
      </c>
      <c r="O12" s="18" t="n">
        <v>17114.2</v>
      </c>
      <c r="P12" s="37" t="n">
        <v>17114.2</v>
      </c>
      <c r="Q12" s="18" t="n">
        <v>19892.99</v>
      </c>
      <c r="R12" s="18" t="n">
        <v>22840.95</v>
      </c>
      <c r="S12" s="18" t="n">
        <v>21535.52</v>
      </c>
      <c r="T12" s="18" t="n">
        <v>16304.27</v>
      </c>
      <c r="U12" s="37" t="n">
        <v>16304.27</v>
      </c>
      <c r="V12" s="18" t="n">
        <v>21629.73</v>
      </c>
      <c r="W12" s="18" t="n">
        <v>29606.59</v>
      </c>
      <c r="X12" s="18" t="n">
        <v>18596.37</v>
      </c>
      <c r="Y12" s="18" t="n">
        <v>14389.76</v>
      </c>
      <c r="Z12" s="37" t="n">
        <v>14389.76</v>
      </c>
      <c r="AA12" s="18" t="n">
        <v>23451.17</v>
      </c>
      <c r="AB12" s="19" t="n">
        <v>18763.26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당기법인세자산(선급법인세)</t>
        </is>
      </c>
      <c r="E13" s="18" t="n">
        <v>19.6</v>
      </c>
      <c r="F13" s="37" t="n">
        <v>19.6</v>
      </c>
      <c r="G13" s="18" t="n">
        <v>26.06</v>
      </c>
      <c r="H13" s="18" t="n">
        <v>11.67</v>
      </c>
      <c r="I13" s="18" t="n">
        <v>30.22</v>
      </c>
      <c r="J13" s="18" t="n">
        <v>41.8</v>
      </c>
      <c r="K13" s="37" t="n">
        <v>41.8</v>
      </c>
      <c r="L13" s="18" t="n">
        <v>52.96</v>
      </c>
      <c r="M13" s="18" t="n">
        <v>18.53</v>
      </c>
      <c r="N13" s="18" t="n">
        <v>43.21</v>
      </c>
      <c r="O13" s="18" t="n">
        <v>52.44</v>
      </c>
      <c r="P13" s="37" t="n">
        <v>52.44</v>
      </c>
      <c r="Q13" s="18" t="n">
        <v>122.71</v>
      </c>
      <c r="R13" s="18" t="n">
        <v>86.89</v>
      </c>
      <c r="S13" s="18" t="n">
        <v>104.71</v>
      </c>
      <c r="T13" s="18" t="n">
        <v>133.94</v>
      </c>
      <c r="U13" s="37" t="n">
        <v>133.94</v>
      </c>
      <c r="V13" s="18" t="n">
        <v>212.33</v>
      </c>
      <c r="W13" s="18" t="n">
        <v>88.37</v>
      </c>
      <c r="X13" s="18" t="n">
        <v>102.89</v>
      </c>
      <c r="Y13" s="18" t="n">
        <v>111.34</v>
      </c>
      <c r="Z13" s="37" t="n">
        <v>111.34</v>
      </c>
      <c r="AA13" s="18" t="n">
        <v>121.59</v>
      </c>
      <c r="AB13" s="19" t="n">
        <v>13.16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32955.73</v>
      </c>
      <c r="F14" s="37" t="n">
        <v>32955.73</v>
      </c>
      <c r="G14" s="18" t="n">
        <v>32935.3</v>
      </c>
      <c r="H14" s="18" t="n">
        <v>33848.38</v>
      </c>
      <c r="I14" s="18" t="n">
        <v>34736.97</v>
      </c>
      <c r="J14" s="18" t="n">
        <v>25135.22</v>
      </c>
      <c r="K14" s="37" t="n">
        <v>25135.22</v>
      </c>
      <c r="L14" s="18" t="n">
        <v>26271.06</v>
      </c>
      <c r="M14" s="18" t="n">
        <v>26863.92</v>
      </c>
      <c r="N14" s="18" t="n">
        <v>27127.01</v>
      </c>
      <c r="O14" s="18" t="n">
        <v>27395.17</v>
      </c>
      <c r="P14" s="37" t="n">
        <v>27395.17</v>
      </c>
      <c r="Q14" s="18" t="n">
        <v>27615.48</v>
      </c>
      <c r="R14" s="18" t="n">
        <v>29901.16</v>
      </c>
      <c r="S14" s="18" t="n">
        <v>28052.75</v>
      </c>
      <c r="T14" s="18" t="n">
        <v>28633.3</v>
      </c>
      <c r="U14" s="37" t="n">
        <v>28633.3</v>
      </c>
      <c r="V14" s="18" t="n">
        <v>32840.9</v>
      </c>
      <c r="W14" s="18" t="n">
        <v>38421.61</v>
      </c>
      <c r="X14" s="18" t="n">
        <v>47321.91</v>
      </c>
      <c r="Y14" s="18" t="n">
        <v>48410.52</v>
      </c>
      <c r="Z14" s="37" t="n">
        <v>48410.52</v>
      </c>
      <c r="AA14" s="18" t="n">
        <v>48116.73</v>
      </c>
      <c r="AB14" s="19" t="n">
        <v>48154.77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0.6</v>
      </c>
      <c r="F15" s="37" t="n">
        <v>0.6</v>
      </c>
      <c r="G15" s="18" t="n">
        <v>1.5</v>
      </c>
      <c r="H15" s="18" t="n">
        <v>2.4</v>
      </c>
      <c r="I15" s="18" t="n">
        <v>3.3</v>
      </c>
      <c r="J15" s="18" t="n">
        <v>2402.94</v>
      </c>
      <c r="K15" s="37" t="n">
        <v>2402.94</v>
      </c>
      <c r="L15" s="18" t="n">
        <v>5.1</v>
      </c>
      <c r="M15" s="18" t="n">
        <v>6</v>
      </c>
      <c r="N15" s="18" t="n">
        <v>6.9</v>
      </c>
      <c r="O15" s="18" t="n">
        <v>2955.88</v>
      </c>
      <c r="P15" s="37" t="n">
        <v>2955.88</v>
      </c>
      <c r="Q15" s="18" t="n">
        <v>3185.15</v>
      </c>
      <c r="R15" s="18" t="n">
        <v>2822.91</v>
      </c>
      <c r="S15" s="18" t="n">
        <v>1430.86</v>
      </c>
      <c r="T15" s="18" t="n">
        <v>313.61</v>
      </c>
      <c r="U15" s="37" t="n">
        <v>313.61</v>
      </c>
      <c r="V15" s="18" t="n">
        <v>313.61</v>
      </c>
      <c r="W15" s="18" t="n">
        <v>313.61</v>
      </c>
      <c r="X15" s="18" t="n">
        <v>313.61</v>
      </c>
      <c r="Y15" s="18" t="n">
        <v>313.61</v>
      </c>
      <c r="Z15" s="37" t="n">
        <v>313.61</v>
      </c>
      <c r="AA15" s="18" t="n">
        <v>44.69</v>
      </c>
      <c r="AB15" s="19" t="n">
        <v>44.69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103.75</v>
      </c>
      <c r="F16" s="37" t="n">
        <v>103.75</v>
      </c>
      <c r="G16" s="18" t="n">
        <v>22.94</v>
      </c>
      <c r="H16" s="18" t="n">
        <v>2.4</v>
      </c>
      <c r="I16" s="18" t="n">
        <v>3.3</v>
      </c>
      <c r="J16" s="18" t="n">
        <v>2402.94</v>
      </c>
      <c r="K16" s="37" t="n">
        <v>2402.94</v>
      </c>
      <c r="L16" s="18" t="n">
        <v>5.1</v>
      </c>
      <c r="M16" s="18" t="n">
        <v>6</v>
      </c>
      <c r="N16" s="18" t="n">
        <v>6.9</v>
      </c>
      <c r="O16" s="18" t="n">
        <v>2955.88</v>
      </c>
      <c r="P16" s="37" t="n">
        <v>2955.88</v>
      </c>
      <c r="Q16" s="18" t="n">
        <v>3185.15</v>
      </c>
      <c r="R16" s="18" t="n">
        <v>2822.91</v>
      </c>
      <c r="S16" s="18" t="n">
        <v>1430.86</v>
      </c>
      <c r="T16" s="18" t="n">
        <v>3466.05</v>
      </c>
      <c r="U16" s="37" t="n">
        <v>3466.05</v>
      </c>
      <c r="V16" s="18" t="n">
        <v>5301.48</v>
      </c>
      <c r="W16" s="18" t="n">
        <v>7814.08</v>
      </c>
      <c r="X16" s="18" t="n">
        <v>7773.2</v>
      </c>
      <c r="Y16" s="18" t="n">
        <v>8106.96</v>
      </c>
      <c r="Z16" s="37" t="n">
        <v>8106.96</v>
      </c>
      <c r="AA16" s="18" t="n">
        <v>7432.09</v>
      </c>
      <c r="AB16" s="19" t="n">
        <v>7175.86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103.15</v>
      </c>
      <c r="F17" s="37" t="n">
        <v>103.15</v>
      </c>
      <c r="G17" s="18" t="n">
        <v>21.44</v>
      </c>
      <c r="K17" s="9" t="n"/>
      <c r="P17" s="9" t="n"/>
      <c r="T17" s="18" t="n">
        <v>3152.44</v>
      </c>
      <c r="U17" s="37" t="n">
        <v>3152.44</v>
      </c>
      <c r="V17" s="18" t="n">
        <v>4987.87</v>
      </c>
      <c r="W17" s="18" t="n">
        <v>7500.47</v>
      </c>
      <c r="X17" s="18" t="n">
        <v>7459.59</v>
      </c>
      <c r="Y17" s="18" t="n">
        <v>7793.35</v>
      </c>
      <c r="Z17" s="37" t="n">
        <v>7793.35</v>
      </c>
      <c r="AA17" s="18" t="n">
        <v>7387.4</v>
      </c>
      <c r="AB17" s="19" t="n">
        <v>7131.17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30042.22</v>
      </c>
      <c r="F18" s="37" t="n">
        <v>30042.22</v>
      </c>
      <c r="G18" s="18" t="n">
        <v>30194.03</v>
      </c>
      <c r="H18" s="18" t="n">
        <v>30117.83</v>
      </c>
      <c r="I18" s="18" t="n">
        <v>31196.11</v>
      </c>
      <c r="J18" s="18" t="n">
        <v>21717.25</v>
      </c>
      <c r="K18" s="37" t="n">
        <v>21717.25</v>
      </c>
      <c r="L18" s="18" t="n">
        <v>22637.85</v>
      </c>
      <c r="M18" s="18" t="n">
        <v>23368.82</v>
      </c>
      <c r="N18" s="18" t="n">
        <v>23521.34</v>
      </c>
      <c r="O18" s="18" t="n">
        <v>23373.09</v>
      </c>
      <c r="P18" s="37" t="n">
        <v>23373.09</v>
      </c>
      <c r="Q18" s="18" t="n">
        <v>23350.78</v>
      </c>
      <c r="R18" s="18" t="n">
        <v>23139.51</v>
      </c>
      <c r="S18" s="18" t="n">
        <v>22675.87</v>
      </c>
      <c r="T18" s="18" t="n">
        <v>22745.29</v>
      </c>
      <c r="U18" s="37" t="n">
        <v>22745.29</v>
      </c>
      <c r="V18" s="18" t="n">
        <v>25593.66</v>
      </c>
      <c r="W18" s="18" t="n">
        <v>28780.04</v>
      </c>
      <c r="X18" s="18" t="n">
        <v>37751.86</v>
      </c>
      <c r="Y18" s="18" t="n">
        <v>36775.1</v>
      </c>
      <c r="Z18" s="37" t="n">
        <v>36775.1</v>
      </c>
      <c r="AA18" s="18" t="n">
        <v>37066.83</v>
      </c>
      <c r="AB18" s="19" t="n">
        <v>37220.37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사용권자산</t>
        </is>
      </c>
      <c r="E19" s="18" t="n">
        <v>548.14</v>
      </c>
      <c r="F19" s="37" t="n">
        <v>548.14</v>
      </c>
      <c r="G19" s="18" t="n">
        <v>556.29</v>
      </c>
      <c r="H19" s="18" t="n">
        <v>500.43</v>
      </c>
      <c r="I19" s="18" t="n">
        <v>362.14</v>
      </c>
      <c r="J19" s="18" t="n">
        <v>337.3</v>
      </c>
      <c r="K19" s="37" t="n">
        <v>337.3</v>
      </c>
      <c r="L19" s="18" t="n">
        <v>357.64</v>
      </c>
      <c r="M19" s="18" t="n">
        <v>297.24</v>
      </c>
      <c r="N19" s="18" t="n">
        <v>429.08</v>
      </c>
      <c r="O19" s="18" t="n">
        <v>643.85</v>
      </c>
      <c r="P19" s="37" t="n">
        <v>643.85</v>
      </c>
      <c r="Q19" s="18" t="n">
        <v>659.6900000000001</v>
      </c>
      <c r="R19" s="18" t="n">
        <v>636.14</v>
      </c>
      <c r="S19" s="18" t="n">
        <v>644.89</v>
      </c>
      <c r="T19" s="18" t="n">
        <v>647.47</v>
      </c>
      <c r="U19" s="37" t="n">
        <v>647.47</v>
      </c>
      <c r="V19" s="18" t="n">
        <v>595.88</v>
      </c>
      <c r="W19" s="18" t="n">
        <v>596.59</v>
      </c>
      <c r="X19" s="18" t="n">
        <v>562.49</v>
      </c>
      <c r="Y19" s="18" t="n">
        <v>585.61</v>
      </c>
      <c r="Z19" s="37" t="n">
        <v>585.61</v>
      </c>
      <c r="AA19" s="18" t="n">
        <v>570.88</v>
      </c>
      <c r="AB19" s="19" t="n">
        <v>531.74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기타비유동자산</t>
        </is>
      </c>
      <c r="E20" s="18" t="n">
        <v>548.14</v>
      </c>
      <c r="F20" s="37" t="n">
        <v>548.14</v>
      </c>
      <c r="G20" s="18" t="n">
        <v>556.29</v>
      </c>
      <c r="H20" s="18" t="n">
        <v>500.43</v>
      </c>
      <c r="I20" s="18" t="n">
        <v>362.14</v>
      </c>
      <c r="J20" s="18" t="n">
        <v>337.3</v>
      </c>
      <c r="K20" s="37" t="n">
        <v>337.3</v>
      </c>
      <c r="L20" s="18" t="n">
        <v>357.64</v>
      </c>
      <c r="M20" s="18" t="n">
        <v>297.24</v>
      </c>
      <c r="N20" s="18" t="n">
        <v>429.08</v>
      </c>
      <c r="O20" s="18" t="n">
        <v>643.85</v>
      </c>
      <c r="P20" s="37" t="n">
        <v>643.85</v>
      </c>
      <c r="Q20" s="18" t="n">
        <v>659.6900000000001</v>
      </c>
      <c r="R20" s="18" t="n">
        <v>636.14</v>
      </c>
      <c r="S20" s="18" t="n">
        <v>644.89</v>
      </c>
      <c r="T20" s="18" t="n">
        <v>647.47</v>
      </c>
      <c r="U20" s="37" t="n">
        <v>647.47</v>
      </c>
      <c r="V20" s="18" t="n">
        <v>595.88</v>
      </c>
      <c r="W20" s="18" t="n">
        <v>596.59</v>
      </c>
      <c r="X20" s="18" t="n">
        <v>562.49</v>
      </c>
      <c r="Y20" s="18" t="n">
        <v>585.61</v>
      </c>
      <c r="Z20" s="37" t="n">
        <v>585.61</v>
      </c>
      <c r="AA20" s="18" t="n">
        <v>570.88</v>
      </c>
      <c r="AB20" s="19" t="n">
        <v>531.74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무형자산</t>
        </is>
      </c>
      <c r="E21" s="18" t="n">
        <v>284.66</v>
      </c>
      <c r="F21" s="37" t="n">
        <v>284.66</v>
      </c>
      <c r="G21" s="18" t="n">
        <v>260.38</v>
      </c>
      <c r="H21" s="18" t="n">
        <v>264.73</v>
      </c>
      <c r="I21" s="18" t="n">
        <v>239.04</v>
      </c>
      <c r="J21" s="18" t="n">
        <v>212.38</v>
      </c>
      <c r="K21" s="37" t="n">
        <v>212.38</v>
      </c>
      <c r="L21" s="18" t="n">
        <v>186.7</v>
      </c>
      <c r="M21" s="18" t="n">
        <v>160.55</v>
      </c>
      <c r="N21" s="18" t="n">
        <v>134.7</v>
      </c>
      <c r="O21" s="18" t="n">
        <v>108.74</v>
      </c>
      <c r="P21" s="37" t="n">
        <v>108.74</v>
      </c>
      <c r="Q21" s="18" t="n">
        <v>106.25</v>
      </c>
      <c r="R21" s="18" t="n">
        <v>103.7</v>
      </c>
      <c r="S21" s="18" t="n">
        <v>102.24</v>
      </c>
      <c r="T21" s="18" t="n">
        <v>100.78</v>
      </c>
      <c r="U21" s="37" t="n">
        <v>100.78</v>
      </c>
      <c r="V21" s="18" t="n">
        <v>99.31999999999999</v>
      </c>
      <c r="W21" s="18" t="n">
        <v>97.86</v>
      </c>
      <c r="X21" s="18" t="n">
        <v>96.40000000000001</v>
      </c>
      <c r="Y21" s="18" t="n">
        <v>94.94</v>
      </c>
      <c r="Z21" s="37" t="n">
        <v>94.94</v>
      </c>
      <c r="AA21" s="18" t="n">
        <v>146.1</v>
      </c>
      <c r="AB21" s="19" t="n">
        <v>145.25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71063.64999999999</v>
      </c>
      <c r="F22" s="37" t="n">
        <v>71063.64999999999</v>
      </c>
      <c r="G22" s="18" t="n">
        <v>79914.45</v>
      </c>
      <c r="H22" s="18" t="n">
        <v>78839.09</v>
      </c>
      <c r="I22" s="18" t="n">
        <v>83063.22</v>
      </c>
      <c r="J22" s="18" t="n">
        <v>69924.74000000001</v>
      </c>
      <c r="K22" s="37" t="n">
        <v>69924.74000000001</v>
      </c>
      <c r="L22" s="18" t="n">
        <v>74053.71000000001</v>
      </c>
      <c r="M22" s="18" t="n">
        <v>76878.39999999999</v>
      </c>
      <c r="N22" s="18" t="n">
        <v>72719.35000000001</v>
      </c>
      <c r="O22" s="18" t="n">
        <v>67785.02</v>
      </c>
      <c r="P22" s="37" t="n">
        <v>67785.02</v>
      </c>
      <c r="Q22" s="18" t="n">
        <v>74698.19</v>
      </c>
      <c r="R22" s="18" t="n">
        <v>80948.39</v>
      </c>
      <c r="S22" s="18" t="n">
        <v>78415.95</v>
      </c>
      <c r="T22" s="18" t="n">
        <v>86329.06</v>
      </c>
      <c r="U22" s="37" t="n">
        <v>86329.06</v>
      </c>
      <c r="V22" s="18" t="n">
        <v>86964.50999999999</v>
      </c>
      <c r="W22" s="18" t="n">
        <v>95542.78</v>
      </c>
      <c r="X22" s="18" t="n">
        <v>93513.03999999999</v>
      </c>
      <c r="Y22" s="18" t="n">
        <v>94244.24000000001</v>
      </c>
      <c r="Z22" s="37" t="n">
        <v>94244.24000000001</v>
      </c>
      <c r="AA22" s="18" t="n">
        <v>103228.99</v>
      </c>
      <c r="AB22" s="19" t="n">
        <v>102632.49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34871.2</v>
      </c>
      <c r="F23" s="37" t="n">
        <v>34871.2</v>
      </c>
      <c r="G23" s="18" t="n">
        <v>43492.38</v>
      </c>
      <c r="H23" s="18" t="n">
        <v>42491.81</v>
      </c>
      <c r="I23" s="18" t="n">
        <v>46634.76</v>
      </c>
      <c r="J23" s="18" t="n">
        <v>67696.83</v>
      </c>
      <c r="K23" s="37" t="n">
        <v>67696.83</v>
      </c>
      <c r="L23" s="18" t="n">
        <v>47907.13</v>
      </c>
      <c r="M23" s="18" t="n">
        <v>45992.22</v>
      </c>
      <c r="N23" s="18" t="n">
        <v>40902.57</v>
      </c>
      <c r="O23" s="18" t="n">
        <v>64242.73</v>
      </c>
      <c r="P23" s="37" t="n">
        <v>64242.73</v>
      </c>
      <c r="Q23" s="18" t="n">
        <v>62541.13</v>
      </c>
      <c r="R23" s="18" t="n">
        <v>62609.49</v>
      </c>
      <c r="S23" s="18" t="n">
        <v>54749</v>
      </c>
      <c r="T23" s="18" t="n">
        <v>50959.95</v>
      </c>
      <c r="U23" s="37" t="n">
        <v>50959.95</v>
      </c>
      <c r="V23" s="18" t="n">
        <v>46851.51</v>
      </c>
      <c r="W23" s="18" t="n">
        <v>52966.3</v>
      </c>
      <c r="X23" s="18" t="n">
        <v>36566.45</v>
      </c>
      <c r="Y23" s="18" t="n">
        <v>39227.81</v>
      </c>
      <c r="Z23" s="37" t="n">
        <v>39227.81</v>
      </c>
      <c r="AA23" s="18" t="n">
        <v>50154.15</v>
      </c>
      <c r="AB23" s="19" t="n">
        <v>49130.91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계약부채</t>
        </is>
      </c>
      <c r="E24" s="18" t="n">
        <v>5024.35</v>
      </c>
      <c r="F24" s="37" t="n">
        <v>5024.35</v>
      </c>
      <c r="G24" s="18" t="n">
        <v>10094.44</v>
      </c>
      <c r="H24" s="18" t="n">
        <v>8816.620000000001</v>
      </c>
      <c r="I24" s="18" t="n">
        <v>8183.98</v>
      </c>
      <c r="J24" s="18" t="n">
        <v>14787.93</v>
      </c>
      <c r="K24" s="37" t="n">
        <v>14787.93</v>
      </c>
      <c r="L24" s="18" t="n">
        <v>13532.69</v>
      </c>
      <c r="M24" s="18" t="n">
        <v>15325.87</v>
      </c>
      <c r="N24" s="18" t="n">
        <v>7886.78</v>
      </c>
      <c r="O24" s="18" t="n">
        <v>6128.25</v>
      </c>
      <c r="P24" s="37" t="n">
        <v>6128.25</v>
      </c>
      <c r="Q24" s="18" t="n">
        <v>7721.45</v>
      </c>
      <c r="R24" s="18" t="n">
        <v>14629.97</v>
      </c>
      <c r="S24" s="18" t="n">
        <v>6730.12</v>
      </c>
      <c r="T24" s="18" t="n">
        <v>14535.32</v>
      </c>
      <c r="U24" s="37" t="n">
        <v>14535.32</v>
      </c>
      <c r="V24" s="18" t="n">
        <v>14727.76</v>
      </c>
      <c r="W24" s="18" t="n">
        <v>20869.32</v>
      </c>
      <c r="X24" s="18" t="n">
        <v>5689.24</v>
      </c>
      <c r="Y24" s="18" t="n">
        <v>6472.55</v>
      </c>
      <c r="Z24" s="37" t="n">
        <v>6472.55</v>
      </c>
      <c r="AA24" s="18" t="n">
        <v>13965.44</v>
      </c>
      <c r="AB24" s="19" t="n">
        <v>5789.66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단기파생상품부채</t>
        </is>
      </c>
      <c r="E25" s="18" t="n">
        <v>2923.34</v>
      </c>
      <c r="F25" s="37" t="n">
        <v>2923.34</v>
      </c>
      <c r="G25" s="18" t="n">
        <v>2923.34</v>
      </c>
      <c r="H25" s="18" t="n">
        <v>2288.79</v>
      </c>
      <c r="I25" s="18" t="n">
        <v>2434.71</v>
      </c>
      <c r="J25" s="18" t="n">
        <v>15593.14</v>
      </c>
      <c r="K25" s="37" t="n">
        <v>15593.14</v>
      </c>
      <c r="L25" s="18" t="n">
        <v>749.21</v>
      </c>
      <c r="M25" s="18" t="n">
        <v>177.05</v>
      </c>
      <c r="O25" s="18" t="n">
        <v>15027.28</v>
      </c>
      <c r="P25" s="37" t="n">
        <v>15027.28</v>
      </c>
      <c r="Q25" s="18" t="n">
        <v>7288.71</v>
      </c>
      <c r="R25" s="18" t="n">
        <v>10001.96</v>
      </c>
      <c r="S25" s="18" t="n">
        <v>10001.96</v>
      </c>
      <c r="T25" s="18" t="n">
        <v>238.23</v>
      </c>
      <c r="U25" s="37" t="n">
        <v>238.23</v>
      </c>
      <c r="Z25" s="9" t="n"/>
      <c r="AB25" s="5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단기금융부채</t>
        </is>
      </c>
      <c r="E26" s="18" t="n">
        <v>3090.73</v>
      </c>
      <c r="F26" s="37" t="n">
        <v>3090.73</v>
      </c>
      <c r="G26" s="18" t="n">
        <v>3092.85</v>
      </c>
      <c r="H26" s="18" t="n">
        <v>2450.19</v>
      </c>
      <c r="I26" s="18" t="n">
        <v>2556.97</v>
      </c>
      <c r="J26" s="18" t="n">
        <v>15730.14</v>
      </c>
      <c r="K26" s="37" t="n">
        <v>15730.14</v>
      </c>
      <c r="L26" s="18" t="n">
        <v>918.3</v>
      </c>
      <c r="M26" s="18" t="n">
        <v>296.67</v>
      </c>
      <c r="N26" s="18" t="n">
        <v>147.56</v>
      </c>
      <c r="O26" s="18" t="n">
        <v>15215.82</v>
      </c>
      <c r="P26" s="37" t="n">
        <v>15215.82</v>
      </c>
      <c r="Q26" s="18" t="n">
        <v>7481.08</v>
      </c>
      <c r="R26" s="18" t="n">
        <v>10190.33</v>
      </c>
      <c r="S26" s="18" t="n">
        <v>10187.4</v>
      </c>
      <c r="T26" s="18" t="n">
        <v>238.23</v>
      </c>
      <c r="U26" s="37" t="n">
        <v>238.23</v>
      </c>
      <c r="Z26" s="9" t="n"/>
      <c r="AB26" s="5" t="n"/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단기차입금</t>
        </is>
      </c>
      <c r="E27" s="18" t="n">
        <v>13322.01</v>
      </c>
      <c r="F27" s="37" t="n">
        <v>13322.01</v>
      </c>
      <c r="G27" s="18" t="n">
        <v>13110.32</v>
      </c>
      <c r="H27" s="18" t="n">
        <v>12857.34</v>
      </c>
      <c r="I27" s="18" t="n">
        <v>12344.14</v>
      </c>
      <c r="J27" s="18" t="n">
        <v>12547.3</v>
      </c>
      <c r="K27" s="37" t="n">
        <v>12547.3</v>
      </c>
      <c r="L27" s="18" t="n">
        <v>13155.73</v>
      </c>
      <c r="M27" s="18" t="n">
        <v>13505.59</v>
      </c>
      <c r="N27" s="18" t="n">
        <v>16550.35</v>
      </c>
      <c r="O27" s="18" t="n">
        <v>16466.51</v>
      </c>
      <c r="P27" s="37" t="n">
        <v>16466.51</v>
      </c>
      <c r="Q27" s="18" t="n">
        <v>18109.59</v>
      </c>
      <c r="R27" s="18" t="n">
        <v>16597.89</v>
      </c>
      <c r="S27" s="18" t="n">
        <v>16574.74</v>
      </c>
      <c r="T27" s="18" t="n">
        <v>16645.76</v>
      </c>
      <c r="U27" s="37" t="n">
        <v>16645.76</v>
      </c>
      <c r="V27" s="18" t="n">
        <v>16651.18</v>
      </c>
      <c r="W27" s="18" t="n">
        <v>16848.08</v>
      </c>
      <c r="X27" s="18" t="n">
        <v>17547.66</v>
      </c>
      <c r="Y27" s="18" t="n">
        <v>17650.88</v>
      </c>
      <c r="Z27" s="37" t="n">
        <v>17650.88</v>
      </c>
      <c r="AA27" s="18" t="n">
        <v>18632.1</v>
      </c>
      <c r="AB27" s="19" t="n">
        <v>26539.61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유동성장기부채</t>
        </is>
      </c>
      <c r="E28" s="18" t="n">
        <v>4904.52</v>
      </c>
      <c r="F28" s="37" t="n">
        <v>4904.52</v>
      </c>
      <c r="G28" s="18" t="n">
        <v>4746.66</v>
      </c>
      <c r="H28" s="18" t="n">
        <v>4593.83</v>
      </c>
      <c r="I28" s="18" t="n">
        <v>4472.92</v>
      </c>
      <c r="J28" s="18" t="n">
        <v>2812.11</v>
      </c>
      <c r="K28" s="37" t="n">
        <v>2812.11</v>
      </c>
      <c r="L28" s="18" t="n">
        <v>1640.97</v>
      </c>
      <c r="M28" s="18" t="n">
        <v>532.1799999999999</v>
      </c>
      <c r="N28" s="18" t="n">
        <v>260</v>
      </c>
      <c r="O28" s="18" t="n">
        <v>260</v>
      </c>
      <c r="P28" s="37" t="n">
        <v>260</v>
      </c>
      <c r="Q28" s="18" t="n">
        <v>260</v>
      </c>
      <c r="R28" s="18" t="n">
        <v>260</v>
      </c>
      <c r="S28" s="18" t="n">
        <v>695</v>
      </c>
      <c r="T28" s="18" t="n">
        <v>630</v>
      </c>
      <c r="U28" s="37" t="n">
        <v>630</v>
      </c>
      <c r="V28" s="18" t="n">
        <v>565</v>
      </c>
      <c r="W28" s="18" t="n">
        <v>585</v>
      </c>
      <c r="X28" s="18" t="n">
        <v>670</v>
      </c>
      <c r="Y28" s="18" t="n">
        <v>840</v>
      </c>
      <c r="Z28" s="37" t="n">
        <v>840</v>
      </c>
      <c r="AA28" s="18" t="n">
        <v>840</v>
      </c>
      <c r="AB28" s="19" t="n">
        <v>840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유동리스부채</t>
        </is>
      </c>
      <c r="E29" s="18" t="n">
        <v>167.39</v>
      </c>
      <c r="F29" s="37" t="n">
        <v>167.39</v>
      </c>
      <c r="G29" s="18" t="n">
        <v>169.51</v>
      </c>
      <c r="H29" s="18" t="n">
        <v>161.4</v>
      </c>
      <c r="I29" s="18" t="n">
        <v>122.26</v>
      </c>
      <c r="J29" s="18" t="n">
        <v>137</v>
      </c>
      <c r="K29" s="37" t="n">
        <v>137</v>
      </c>
      <c r="L29" s="18" t="n">
        <v>169.09</v>
      </c>
      <c r="M29" s="18" t="n">
        <v>119.62</v>
      </c>
      <c r="N29" s="18" t="n">
        <v>147.56</v>
      </c>
      <c r="O29" s="18" t="n">
        <v>188.54</v>
      </c>
      <c r="P29" s="37" t="n">
        <v>188.54</v>
      </c>
      <c r="Q29" s="18" t="n">
        <v>192.37</v>
      </c>
      <c r="R29" s="18" t="n">
        <v>188.37</v>
      </c>
      <c r="S29" s="18" t="n">
        <v>185.44</v>
      </c>
      <c r="U29" s="9" t="n"/>
      <c r="Z29" s="9" t="n"/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리스부채</t>
        </is>
      </c>
      <c r="E30" s="18" t="n">
        <v>547.9299999999999</v>
      </c>
      <c r="F30" s="37" t="n">
        <v>547.9299999999999</v>
      </c>
      <c r="G30" s="18" t="n">
        <v>555.9</v>
      </c>
      <c r="H30" s="18" t="n">
        <v>503.38</v>
      </c>
      <c r="I30" s="18" t="n">
        <v>361.45</v>
      </c>
      <c r="J30" s="18" t="n">
        <v>337.69</v>
      </c>
      <c r="K30" s="37" t="n">
        <v>337.69</v>
      </c>
      <c r="L30" s="18" t="n">
        <v>353.87</v>
      </c>
      <c r="M30" s="18" t="n">
        <v>276.74</v>
      </c>
      <c r="N30" s="18" t="n">
        <v>432.35</v>
      </c>
      <c r="O30" s="18" t="n">
        <v>590.02</v>
      </c>
      <c r="P30" s="37" t="n">
        <v>590.02</v>
      </c>
      <c r="Q30" s="18" t="n">
        <v>604.33</v>
      </c>
      <c r="R30" s="18" t="n">
        <v>583.77</v>
      </c>
      <c r="S30" s="18" t="n">
        <v>578.0599999999999</v>
      </c>
      <c r="U30" s="9" t="n"/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기타유동부채</t>
        </is>
      </c>
      <c r="E31" s="18" t="n">
        <v>396.24</v>
      </c>
      <c r="F31" s="37" t="n">
        <v>396.24</v>
      </c>
      <c r="G31" s="18" t="n">
        <v>356.49</v>
      </c>
      <c r="H31" s="18" t="n">
        <v>383.91</v>
      </c>
      <c r="I31" s="18" t="n">
        <v>430.67</v>
      </c>
      <c r="J31" s="18" t="n">
        <v>455.48</v>
      </c>
      <c r="K31" s="37" t="n">
        <v>455.48</v>
      </c>
      <c r="L31" s="18" t="n">
        <v>651.91</v>
      </c>
      <c r="M31" s="18" t="n">
        <v>256.53</v>
      </c>
      <c r="N31" s="18" t="n">
        <v>290.07</v>
      </c>
      <c r="O31" s="18" t="n">
        <v>242.43</v>
      </c>
      <c r="P31" s="37" t="n">
        <v>242.43</v>
      </c>
      <c r="Q31" s="18" t="n">
        <v>276.96</v>
      </c>
      <c r="R31" s="18" t="n">
        <v>313.55</v>
      </c>
      <c r="S31" s="18" t="n">
        <v>378.6</v>
      </c>
      <c r="T31" s="18" t="n">
        <v>491.53</v>
      </c>
      <c r="U31" s="37" t="n">
        <v>491.53</v>
      </c>
      <c r="V31" s="18" t="n">
        <v>390.68</v>
      </c>
      <c r="W31" s="18" t="n">
        <v>291.32</v>
      </c>
      <c r="X31" s="18" t="n">
        <v>360.64</v>
      </c>
      <c r="Y31" s="18" t="n">
        <v>541.0700000000001</v>
      </c>
      <c r="Z31" s="37" t="n">
        <v>541.0700000000001</v>
      </c>
      <c r="AA31" s="18" t="n">
        <v>438.81</v>
      </c>
      <c r="AB31" s="19" t="n">
        <v>375.4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비유동부채</t>
        </is>
      </c>
      <c r="E32" s="18" t="n">
        <v>1359.68</v>
      </c>
      <c r="F32" s="37" t="n">
        <v>1359.68</v>
      </c>
      <c r="G32" s="18" t="n">
        <v>1301.66</v>
      </c>
      <c r="H32" s="18" t="n">
        <v>1211.08</v>
      </c>
      <c r="I32" s="18" t="n">
        <v>1048.04</v>
      </c>
      <c r="J32" s="18" t="n">
        <v>961.53</v>
      </c>
      <c r="K32" s="37" t="n">
        <v>961.53</v>
      </c>
      <c r="L32" s="18" t="n">
        <v>1780.61</v>
      </c>
      <c r="M32" s="18" t="n">
        <v>2487.95</v>
      </c>
      <c r="N32" s="18" t="n">
        <v>2602.92</v>
      </c>
      <c r="O32" s="18" t="n">
        <v>2943.1</v>
      </c>
      <c r="P32" s="37" t="n">
        <v>2943.1</v>
      </c>
      <c r="Q32" s="18" t="n">
        <v>2980.92</v>
      </c>
      <c r="R32" s="18" t="n">
        <v>2977.59</v>
      </c>
      <c r="S32" s="18" t="n">
        <v>4062.05</v>
      </c>
      <c r="T32" s="18" t="n">
        <v>4656.68</v>
      </c>
      <c r="U32" s="37" t="n">
        <v>4656.68</v>
      </c>
      <c r="V32" s="18" t="n">
        <v>4115.57</v>
      </c>
      <c r="W32" s="18" t="n">
        <v>4035.02</v>
      </c>
      <c r="X32" s="18" t="n">
        <v>12882.58</v>
      </c>
      <c r="Y32" s="18" t="n">
        <v>15131.96</v>
      </c>
      <c r="Z32" s="37" t="n">
        <v>15131.96</v>
      </c>
      <c r="AA32" s="18" t="n">
        <v>15085.2</v>
      </c>
      <c r="AB32" s="19" t="n">
        <v>14978.06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장기차입금</t>
        </is>
      </c>
      <c r="E33" s="18" t="n">
        <v>650</v>
      </c>
      <c r="F33" s="37" t="n">
        <v>650</v>
      </c>
      <c r="G33" s="18" t="n">
        <v>585</v>
      </c>
      <c r="H33" s="18" t="n">
        <v>520</v>
      </c>
      <c r="I33" s="18" t="n">
        <v>455</v>
      </c>
      <c r="J33" s="18" t="n">
        <v>390</v>
      </c>
      <c r="K33" s="37" t="n">
        <v>390</v>
      </c>
      <c r="L33" s="18" t="n">
        <v>1225</v>
      </c>
      <c r="M33" s="18" t="n">
        <v>1960</v>
      </c>
      <c r="N33" s="18" t="n">
        <v>1895</v>
      </c>
      <c r="O33" s="18" t="n">
        <v>1830</v>
      </c>
      <c r="P33" s="37" t="n">
        <v>1830</v>
      </c>
      <c r="Q33" s="18" t="n">
        <v>1765</v>
      </c>
      <c r="R33" s="18" t="n">
        <v>1700</v>
      </c>
      <c r="S33" s="18" t="n">
        <v>2700</v>
      </c>
      <c r="T33" s="18" t="n">
        <v>2575</v>
      </c>
      <c r="U33" s="37" t="n">
        <v>2575</v>
      </c>
      <c r="V33" s="18" t="n">
        <v>2450</v>
      </c>
      <c r="W33" s="18" t="n">
        <v>2240</v>
      </c>
      <c r="X33" s="18" t="n">
        <v>10990</v>
      </c>
      <c r="Y33" s="18" t="n">
        <v>13735</v>
      </c>
      <c r="Z33" s="37" t="n">
        <v>13735</v>
      </c>
      <c r="AA33" s="18" t="n">
        <v>13610</v>
      </c>
      <c r="AB33" s="19" t="n">
        <v>13400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비유동리스부채</t>
        </is>
      </c>
      <c r="E34" s="18" t="n">
        <v>380.54</v>
      </c>
      <c r="F34" s="37" t="n">
        <v>380.54</v>
      </c>
      <c r="G34" s="18" t="n">
        <v>386.39</v>
      </c>
      <c r="H34" s="18" t="n">
        <v>341.98</v>
      </c>
      <c r="I34" s="18" t="n">
        <v>239.19</v>
      </c>
      <c r="J34" s="18" t="n">
        <v>200.69</v>
      </c>
      <c r="K34" s="37" t="n">
        <v>200.69</v>
      </c>
      <c r="L34" s="18" t="n">
        <v>184.78</v>
      </c>
      <c r="M34" s="18" t="n">
        <v>157.12</v>
      </c>
      <c r="N34" s="18" t="n">
        <v>284.79</v>
      </c>
      <c r="O34" s="18" t="n">
        <v>401.48</v>
      </c>
      <c r="P34" s="37" t="n">
        <v>401.48</v>
      </c>
      <c r="Q34" s="18" t="n">
        <v>411.96</v>
      </c>
      <c r="R34" s="18" t="n">
        <v>395.4</v>
      </c>
      <c r="S34" s="18" t="n">
        <v>392.62</v>
      </c>
      <c r="U34" s="9" t="n"/>
      <c r="Z34" s="9" t="n"/>
      <c r="AB34" s="5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장기금융부채</t>
        </is>
      </c>
      <c r="E35" s="18" t="n">
        <v>709.6799999999999</v>
      </c>
      <c r="F35" s="37" t="n">
        <v>709.6799999999999</v>
      </c>
      <c r="G35" s="18" t="n">
        <v>716.67</v>
      </c>
      <c r="H35" s="18" t="n">
        <v>691.08</v>
      </c>
      <c r="I35" s="18" t="n">
        <v>593.03</v>
      </c>
      <c r="J35" s="18" t="n">
        <v>200.69</v>
      </c>
      <c r="K35" s="37" t="n">
        <v>200.69</v>
      </c>
      <c r="L35" s="18" t="n">
        <v>555.62</v>
      </c>
      <c r="M35" s="18" t="n">
        <v>527.96</v>
      </c>
      <c r="N35" s="18" t="n">
        <v>284.79</v>
      </c>
      <c r="O35" s="18" t="n">
        <v>401.48</v>
      </c>
      <c r="P35" s="37" t="n">
        <v>401.48</v>
      </c>
      <c r="Q35" s="18" t="n">
        <v>411.96</v>
      </c>
      <c r="R35" s="18" t="n">
        <v>395.4</v>
      </c>
      <c r="S35" s="18" t="n">
        <v>392.62</v>
      </c>
      <c r="U35" s="9" t="n"/>
      <c r="Z35" s="9" t="n"/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기타비유동금융부채</t>
        </is>
      </c>
      <c r="E36" s="18" t="n">
        <v>329.14</v>
      </c>
      <c r="F36" s="37" t="n">
        <v>329.14</v>
      </c>
      <c r="G36" s="18" t="n">
        <v>330.28</v>
      </c>
      <c r="H36" s="18" t="n">
        <v>349.1</v>
      </c>
      <c r="I36" s="18" t="n">
        <v>353.84</v>
      </c>
      <c r="K36" s="9" t="n"/>
      <c r="L36" s="18" t="n">
        <v>370.84</v>
      </c>
      <c r="M36" s="18" t="n">
        <v>370.84</v>
      </c>
      <c r="P36" s="9" t="n"/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부채총계</t>
        </is>
      </c>
      <c r="E37" s="18" t="n">
        <v>36230.87</v>
      </c>
      <c r="F37" s="37" t="n">
        <v>36230.87</v>
      </c>
      <c r="G37" s="18" t="n">
        <v>44794.05</v>
      </c>
      <c r="H37" s="18" t="n">
        <v>43702.88</v>
      </c>
      <c r="I37" s="18" t="n">
        <v>47682.79</v>
      </c>
      <c r="J37" s="18" t="n">
        <v>68658.36</v>
      </c>
      <c r="K37" s="37" t="n">
        <v>68658.36</v>
      </c>
      <c r="L37" s="18" t="n">
        <v>49687.75</v>
      </c>
      <c r="M37" s="18" t="n">
        <v>48480.17</v>
      </c>
      <c r="N37" s="18" t="n">
        <v>43505.49</v>
      </c>
      <c r="O37" s="18" t="n">
        <v>67185.83</v>
      </c>
      <c r="P37" s="37" t="n">
        <v>67185.83</v>
      </c>
      <c r="Q37" s="18" t="n">
        <v>65522.05</v>
      </c>
      <c r="R37" s="18" t="n">
        <v>65587.08</v>
      </c>
      <c r="S37" s="18" t="n">
        <v>58811.05</v>
      </c>
      <c r="T37" s="18" t="n">
        <v>55616.63</v>
      </c>
      <c r="U37" s="37" t="n">
        <v>55616.63</v>
      </c>
      <c r="V37" s="18" t="n">
        <v>50967.08</v>
      </c>
      <c r="W37" s="18" t="n">
        <v>57001.32</v>
      </c>
      <c r="X37" s="18" t="n">
        <v>49449.03</v>
      </c>
      <c r="Y37" s="18" t="n">
        <v>54359.77</v>
      </c>
      <c r="Z37" s="37" t="n">
        <v>54359.77</v>
      </c>
      <c r="AA37" s="18" t="n">
        <v>65239.35</v>
      </c>
      <c r="AB37" s="19" t="n">
        <v>64108.97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지배주주지분</t>
        </is>
      </c>
      <c r="E38" s="18" t="n">
        <v>31490</v>
      </c>
      <c r="F38" s="37" t="n">
        <v>31490</v>
      </c>
      <c r="G38" s="18" t="n">
        <v>31796.8</v>
      </c>
      <c r="H38" s="18" t="n">
        <v>31870.39</v>
      </c>
      <c r="I38" s="18" t="n">
        <v>32188.04</v>
      </c>
      <c r="J38" s="18" t="n">
        <v>625.9299999999999</v>
      </c>
      <c r="K38" s="37" t="n">
        <v>625.9299999999999</v>
      </c>
      <c r="L38" s="18" t="n">
        <v>23960.02</v>
      </c>
      <c r="M38" s="18" t="n">
        <v>28203.33</v>
      </c>
      <c r="N38" s="18" t="n">
        <v>29102.58</v>
      </c>
      <c r="O38" s="18" t="n">
        <v>525.28</v>
      </c>
      <c r="P38" s="37" t="n">
        <v>525.28</v>
      </c>
      <c r="Q38" s="18" t="n">
        <v>9204.620000000001</v>
      </c>
      <c r="R38" s="18" t="n">
        <v>15545.29</v>
      </c>
      <c r="S38" s="18" t="n">
        <v>19958.81</v>
      </c>
      <c r="T38" s="18" t="n">
        <v>31269.06</v>
      </c>
      <c r="U38" s="37" t="n">
        <v>31269.06</v>
      </c>
      <c r="V38" s="18" t="n">
        <v>36719.1</v>
      </c>
      <c r="W38" s="18" t="n">
        <v>39379.29</v>
      </c>
      <c r="X38" s="18" t="n">
        <v>45126.04</v>
      </c>
      <c r="Y38" s="18" t="n">
        <v>42706.28</v>
      </c>
      <c r="Z38" s="37" t="n">
        <v>42706.28</v>
      </c>
      <c r="AA38" s="18" t="n">
        <v>40370.85</v>
      </c>
      <c r="AB38" s="19" t="n">
        <v>41131.13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자본금</t>
        </is>
      </c>
      <c r="E39" s="18" t="n">
        <v>13533.85</v>
      </c>
      <c r="F39" s="37" t="n">
        <v>13533.85</v>
      </c>
      <c r="G39" s="18" t="n">
        <v>13533.85</v>
      </c>
      <c r="H39" s="18" t="n">
        <v>13533.85</v>
      </c>
      <c r="I39" s="18" t="n">
        <v>13709.29</v>
      </c>
      <c r="J39" s="18" t="n">
        <v>13709.29</v>
      </c>
      <c r="K39" s="37" t="n">
        <v>13709.29</v>
      </c>
      <c r="L39" s="18" t="n">
        <v>14551.05</v>
      </c>
      <c r="M39" s="18" t="n">
        <v>15259.42</v>
      </c>
      <c r="N39" s="18" t="n">
        <v>15420.41</v>
      </c>
      <c r="O39" s="18" t="n">
        <v>15420.41</v>
      </c>
      <c r="P39" s="37" t="n">
        <v>15420.41</v>
      </c>
      <c r="Q39" s="18" t="n">
        <v>15420.41</v>
      </c>
      <c r="R39" s="18" t="n">
        <v>15420.41</v>
      </c>
      <c r="S39" s="18" t="n">
        <v>15420.41</v>
      </c>
      <c r="T39" s="18" t="n">
        <v>15420.41</v>
      </c>
      <c r="U39" s="37" t="n">
        <v>15420.41</v>
      </c>
      <c r="V39" s="18" t="n">
        <v>15420.41</v>
      </c>
      <c r="W39" s="18" t="n">
        <v>15420.41</v>
      </c>
      <c r="X39" s="18" t="n">
        <v>15420.41</v>
      </c>
      <c r="Y39" s="18" t="n">
        <v>15420.41</v>
      </c>
      <c r="Z39" s="37" t="n">
        <v>15420.41</v>
      </c>
      <c r="AA39" s="18" t="n">
        <v>15420.41</v>
      </c>
      <c r="AB39" s="19" t="n">
        <v>15420.41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자본잉여금</t>
        </is>
      </c>
      <c r="E40" s="18" t="n">
        <v>24957.45</v>
      </c>
      <c r="F40" s="37" t="n">
        <v>24957.45</v>
      </c>
      <c r="G40" s="18" t="n">
        <v>24957.45</v>
      </c>
      <c r="H40" s="18" t="n">
        <v>24957.45</v>
      </c>
      <c r="I40" s="18" t="n">
        <v>25223.52</v>
      </c>
      <c r="J40" s="18" t="n">
        <v>25268.31</v>
      </c>
      <c r="K40" s="37" t="n">
        <v>25268.31</v>
      </c>
      <c r="L40" s="18" t="n">
        <v>26435.55</v>
      </c>
      <c r="M40" s="18" t="n">
        <v>27488.31</v>
      </c>
      <c r="N40" s="18" t="n">
        <v>27786.55</v>
      </c>
      <c r="O40" s="18" t="n">
        <v>28574.59</v>
      </c>
      <c r="P40" s="37" t="n">
        <v>28574.59</v>
      </c>
      <c r="Q40" s="18" t="n">
        <v>28574.59</v>
      </c>
      <c r="R40" s="18" t="n">
        <v>28574.59</v>
      </c>
      <c r="S40" s="18" t="n">
        <v>28574.59</v>
      </c>
      <c r="T40" s="18" t="n">
        <v>28574.59</v>
      </c>
      <c r="U40" s="37" t="n">
        <v>28574.59</v>
      </c>
      <c r="V40" s="18" t="n">
        <v>28574.59</v>
      </c>
      <c r="W40" s="18" t="n">
        <v>28574.59</v>
      </c>
      <c r="X40" s="18" t="n">
        <v>28574.59</v>
      </c>
      <c r="Y40" s="18" t="n">
        <v>28574.59</v>
      </c>
      <c r="Z40" s="37" t="n">
        <v>28574.59</v>
      </c>
      <c r="AA40" s="18" t="n">
        <v>23877.13</v>
      </c>
      <c r="AB40" s="19" t="n">
        <v>23877.13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기타자본</t>
        </is>
      </c>
      <c r="E41" s="18" t="n">
        <v>-2601.22</v>
      </c>
      <c r="F41" s="37" t="n">
        <v>-2601.22</v>
      </c>
      <c r="G41" s="18" t="n">
        <v>-2986.22</v>
      </c>
      <c r="H41" s="18" t="n">
        <v>-2986.22</v>
      </c>
      <c r="I41" s="18" t="n">
        <v>-2986.22</v>
      </c>
      <c r="J41" s="18" t="n">
        <v>-2601.22</v>
      </c>
      <c r="K41" s="37" t="n">
        <v>-2601.22</v>
      </c>
      <c r="L41" s="18" t="n">
        <v>-2601.22</v>
      </c>
      <c r="M41" s="18" t="n">
        <v>-2601.22</v>
      </c>
      <c r="N41" s="18" t="n">
        <v>-2601.22</v>
      </c>
      <c r="O41" s="18" t="n">
        <v>-2601.22</v>
      </c>
      <c r="P41" s="37" t="n">
        <v>-2601.22</v>
      </c>
      <c r="Q41" s="18" t="n">
        <v>-2601.22</v>
      </c>
      <c r="R41" s="18" t="n">
        <v>-2601.22</v>
      </c>
      <c r="S41" s="18" t="n">
        <v>-2601.22</v>
      </c>
      <c r="T41" s="18" t="n">
        <v>-2601.22</v>
      </c>
      <c r="U41" s="37" t="n">
        <v>-2601.22</v>
      </c>
      <c r="V41" s="18" t="n">
        <v>-2601.22</v>
      </c>
      <c r="W41" s="18" t="n">
        <v>-2601.22</v>
      </c>
      <c r="X41" s="18" t="n">
        <v>-2601.22</v>
      </c>
      <c r="Y41" s="18" t="n">
        <v>-2601.22</v>
      </c>
      <c r="Z41" s="37" t="n">
        <v>-2601.22</v>
      </c>
      <c r="AA41" s="18" t="n">
        <v>-4615.15</v>
      </c>
      <c r="AB41" s="19" t="n">
        <v>-4615.15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기타포괄이익누계액</t>
        </is>
      </c>
      <c r="E42" s="18" t="n">
        <v>1537.69</v>
      </c>
      <c r="F42" s="37" t="n">
        <v>1537.69</v>
      </c>
      <c r="G42" s="18" t="n">
        <v>1686.47</v>
      </c>
      <c r="H42" s="18" t="n">
        <v>1954.87</v>
      </c>
      <c r="I42" s="18" t="n">
        <v>2689.24</v>
      </c>
      <c r="J42" s="18" t="n">
        <v>2323.17</v>
      </c>
      <c r="K42" s="37" t="n">
        <v>2323.17</v>
      </c>
      <c r="L42" s="18" t="n">
        <v>2333.18</v>
      </c>
      <c r="M42" s="18" t="n">
        <v>2582.22</v>
      </c>
      <c r="N42" s="18" t="n">
        <v>2884.89</v>
      </c>
      <c r="O42" s="18" t="n">
        <v>2757.45</v>
      </c>
      <c r="P42" s="37" t="n">
        <v>2757.45</v>
      </c>
      <c r="Q42" s="18" t="n">
        <v>2767.97</v>
      </c>
      <c r="R42" s="18" t="n">
        <v>2880.2</v>
      </c>
      <c r="S42" s="18" t="n">
        <v>3253.66</v>
      </c>
      <c r="T42" s="18" t="n">
        <v>3639.28</v>
      </c>
      <c r="U42" s="37" t="n">
        <v>3639.28</v>
      </c>
      <c r="V42" s="18" t="n">
        <v>5548.68</v>
      </c>
      <c r="W42" s="18" t="n">
        <v>6794.66</v>
      </c>
      <c r="X42" s="18" t="n">
        <v>7201.13</v>
      </c>
      <c r="Y42" s="18" t="n">
        <v>7480.12</v>
      </c>
      <c r="Z42" s="37" t="n">
        <v>7480.12</v>
      </c>
      <c r="AA42" s="18" t="n">
        <v>6867.11</v>
      </c>
      <c r="AB42" s="19" t="n">
        <v>7120.29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이익잉여금</t>
        </is>
      </c>
      <c r="E43" s="18" t="n">
        <v>-5937.78</v>
      </c>
      <c r="F43" s="37" t="n">
        <v>-5937.78</v>
      </c>
      <c r="G43" s="18" t="n">
        <v>-5394.75</v>
      </c>
      <c r="H43" s="18" t="n">
        <v>-5589.56</v>
      </c>
      <c r="I43" s="18" t="n">
        <v>-6447.79</v>
      </c>
      <c r="J43" s="18" t="n">
        <v>-38073.62</v>
      </c>
      <c r="K43" s="37" t="n">
        <v>-38073.62</v>
      </c>
      <c r="L43" s="18" t="n">
        <v>-16758.54</v>
      </c>
      <c r="M43" s="18" t="n">
        <v>-14525.41</v>
      </c>
      <c r="N43" s="18" t="n">
        <v>-14388.06</v>
      </c>
      <c r="O43" s="18" t="n">
        <v>-43625.96</v>
      </c>
      <c r="P43" s="37" t="n">
        <v>-43625.96</v>
      </c>
      <c r="Q43" s="18" t="n">
        <v>-34957.14</v>
      </c>
      <c r="R43" s="18" t="n">
        <v>-28728.7</v>
      </c>
      <c r="S43" s="18" t="n">
        <v>-24688.64</v>
      </c>
      <c r="T43" s="18" t="n">
        <v>-13764.01</v>
      </c>
      <c r="U43" s="37" t="n">
        <v>-13764.01</v>
      </c>
      <c r="V43" s="18" t="n">
        <v>-10223.37</v>
      </c>
      <c r="W43" s="18" t="n">
        <v>-8809.16</v>
      </c>
      <c r="X43" s="18" t="n">
        <v>-3468.89</v>
      </c>
      <c r="Y43" s="18" t="n">
        <v>-6167.64</v>
      </c>
      <c r="Z43" s="37" t="n">
        <v>-6167.64</v>
      </c>
      <c r="AA43" s="18" t="n">
        <v>-1178.65</v>
      </c>
      <c r="AB43" s="19" t="n">
        <v>-671.5599999999999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비지배주주지분</t>
        </is>
      </c>
      <c r="E44" s="18" t="n">
        <v>3342.78</v>
      </c>
      <c r="F44" s="37" t="n">
        <v>3342.78</v>
      </c>
      <c r="G44" s="18" t="n">
        <v>3323.6</v>
      </c>
      <c r="H44" s="18" t="n">
        <v>3265.81</v>
      </c>
      <c r="I44" s="18" t="n">
        <v>3192.39</v>
      </c>
      <c r="J44" s="18" t="n">
        <v>640.45</v>
      </c>
      <c r="K44" s="37" t="n">
        <v>640.45</v>
      </c>
      <c r="L44" s="18" t="n">
        <v>405.94</v>
      </c>
      <c r="M44" s="18" t="n">
        <v>194.89</v>
      </c>
      <c r="N44" s="18" t="n">
        <v>111.28</v>
      </c>
      <c r="O44" s="18" t="n">
        <v>73.91</v>
      </c>
      <c r="P44" s="37" t="n">
        <v>73.91</v>
      </c>
      <c r="Q44" s="18" t="n">
        <v>-28.49</v>
      </c>
      <c r="R44" s="18" t="n">
        <v>-183.98</v>
      </c>
      <c r="S44" s="18" t="n">
        <v>-353.91</v>
      </c>
      <c r="T44" s="18" t="n">
        <v>-556.63</v>
      </c>
      <c r="U44" s="37" t="n">
        <v>-556.63</v>
      </c>
      <c r="V44" s="18" t="n">
        <v>-721.67</v>
      </c>
      <c r="W44" s="18" t="n">
        <v>-837.83</v>
      </c>
      <c r="X44" s="18" t="n">
        <v>-1062.03</v>
      </c>
      <c r="Y44" s="18" t="n">
        <v>-2821.81</v>
      </c>
      <c r="Z44" s="37" t="n">
        <v>-2821.81</v>
      </c>
      <c r="AA44" s="18" t="n">
        <v>-2381.22</v>
      </c>
      <c r="AB44" s="19" t="n">
        <v>-2607.61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자본총계</t>
        </is>
      </c>
      <c r="E45" s="18" t="n">
        <v>34832.78</v>
      </c>
      <c r="F45" s="37" t="n">
        <v>34832.78</v>
      </c>
      <c r="G45" s="18" t="n">
        <v>35120.4</v>
      </c>
      <c r="H45" s="18" t="n">
        <v>35136.2</v>
      </c>
      <c r="I45" s="18" t="n">
        <v>35380.42</v>
      </c>
      <c r="J45" s="18" t="n">
        <v>1266.38</v>
      </c>
      <c r="K45" s="37" t="n">
        <v>1266.38</v>
      </c>
      <c r="L45" s="18" t="n">
        <v>24365.97</v>
      </c>
      <c r="M45" s="18" t="n">
        <v>28398.22</v>
      </c>
      <c r="N45" s="18" t="n">
        <v>29213.85</v>
      </c>
      <c r="O45" s="18" t="n">
        <v>599.1900000000001</v>
      </c>
      <c r="P45" s="37" t="n">
        <v>599.1900000000001</v>
      </c>
      <c r="Q45" s="18" t="n">
        <v>9176.129999999999</v>
      </c>
      <c r="R45" s="18" t="n">
        <v>15361.31</v>
      </c>
      <c r="S45" s="18" t="n">
        <v>19604.9</v>
      </c>
      <c r="T45" s="18" t="n">
        <v>30712.43</v>
      </c>
      <c r="U45" s="37" t="n">
        <v>30712.43</v>
      </c>
      <c r="V45" s="18" t="n">
        <v>35997.43</v>
      </c>
      <c r="W45" s="18" t="n">
        <v>38541.46</v>
      </c>
      <c r="X45" s="18" t="n">
        <v>44064.01</v>
      </c>
      <c r="Y45" s="18" t="n">
        <v>39884.47</v>
      </c>
      <c r="Z45" s="37" t="n">
        <v>39884.47</v>
      </c>
      <c r="AA45" s="18" t="n">
        <v>37989.64</v>
      </c>
      <c r="AB45" s="19" t="n">
        <v>38523.53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부채와자본총계</t>
        </is>
      </c>
      <c r="E46" s="18" t="n">
        <v>71063.64999999999</v>
      </c>
      <c r="F46" s="37" t="n">
        <v>71063.64999999999</v>
      </c>
      <c r="G46" s="18" t="n">
        <v>79914.45</v>
      </c>
      <c r="H46" s="18" t="n">
        <v>78839.09</v>
      </c>
      <c r="I46" s="18" t="n">
        <v>83063.22</v>
      </c>
      <c r="J46" s="18" t="n">
        <v>69924.74000000001</v>
      </c>
      <c r="K46" s="37" t="n">
        <v>69924.74000000001</v>
      </c>
      <c r="L46" s="18" t="n">
        <v>74053.71000000001</v>
      </c>
      <c r="M46" s="18" t="n">
        <v>76878.39999999999</v>
      </c>
      <c r="N46" s="18" t="n">
        <v>72719.35000000001</v>
      </c>
      <c r="O46" s="18" t="n">
        <v>67785.02</v>
      </c>
      <c r="P46" s="37" t="n">
        <v>67785.02</v>
      </c>
      <c r="Q46" s="18" t="n">
        <v>74698.19</v>
      </c>
      <c r="R46" s="18" t="n">
        <v>80948.39</v>
      </c>
      <c r="S46" s="18" t="n">
        <v>78415.95</v>
      </c>
      <c r="T46" s="18" t="n">
        <v>86329.06</v>
      </c>
      <c r="U46" s="37" t="n">
        <v>86329.06</v>
      </c>
      <c r="V46" s="18" t="n">
        <v>86964.50999999999</v>
      </c>
      <c r="W46" s="18" t="n">
        <v>95542.78</v>
      </c>
      <c r="X46" s="18" t="n">
        <v>93513.03999999999</v>
      </c>
      <c r="Y46" s="18" t="n">
        <v>94244.24000000001</v>
      </c>
      <c r="Z46" s="37" t="n">
        <v>94244.24000000001</v>
      </c>
      <c r="AA46" s="18" t="n">
        <v>103228.99</v>
      </c>
      <c r="AB46" s="19" t="n">
        <v>102632.49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총차입금</t>
        </is>
      </c>
      <c r="E47" s="18" t="n">
        <v>24876.53</v>
      </c>
      <c r="F47" s="37" t="n">
        <v>24876.53</v>
      </c>
      <c r="G47" s="18" t="n">
        <v>22604.76</v>
      </c>
      <c r="H47" s="18" t="n">
        <v>22305</v>
      </c>
      <c r="I47" s="18" t="n">
        <v>21484.98</v>
      </c>
      <c r="J47" s="18" t="n">
        <v>15749.41</v>
      </c>
      <c r="K47" s="37" t="n">
        <v>15749.41</v>
      </c>
      <c r="L47" s="18" t="n">
        <v>17402.67</v>
      </c>
      <c r="M47" s="18" t="n">
        <v>16269.95</v>
      </c>
      <c r="N47" s="18" t="n">
        <v>18705.35</v>
      </c>
      <c r="O47" s="18" t="n">
        <v>18556.51</v>
      </c>
      <c r="P47" s="37" t="n">
        <v>18556.51</v>
      </c>
      <c r="Q47" s="18" t="n">
        <v>20134.59</v>
      </c>
      <c r="R47" s="18" t="n">
        <v>18557.89</v>
      </c>
      <c r="S47" s="18" t="n">
        <v>19969.74</v>
      </c>
      <c r="T47" s="18" t="n">
        <v>19850.76</v>
      </c>
      <c r="U47" s="37" t="n">
        <v>19850.76</v>
      </c>
      <c r="V47" s="18" t="n">
        <v>19666.18</v>
      </c>
      <c r="W47" s="18" t="n">
        <v>19673.08</v>
      </c>
      <c r="X47" s="18" t="n">
        <v>29207.66</v>
      </c>
      <c r="Y47" s="18" t="n">
        <v>32225.88</v>
      </c>
      <c r="Z47" s="37" t="n">
        <v>32225.88</v>
      </c>
      <c r="AA47" s="18" t="n">
        <v>33082.1</v>
      </c>
      <c r="AB47" s="19" t="n">
        <v>40779.61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순차입금</t>
        </is>
      </c>
      <c r="E48" s="18" t="n">
        <v>10158.16</v>
      </c>
      <c r="F48" s="37" t="n">
        <v>10158.16</v>
      </c>
      <c r="G48" s="18" t="n">
        <v>5727.43</v>
      </c>
      <c r="H48" s="18" t="n">
        <v>9624.540000000001</v>
      </c>
      <c r="I48" s="18" t="n">
        <v>7205.77</v>
      </c>
      <c r="J48" s="18" t="n">
        <v>-1258.14</v>
      </c>
      <c r="K48" s="37" t="n">
        <v>-1258.14</v>
      </c>
      <c r="L48" s="18" t="n">
        <v>3122.81</v>
      </c>
      <c r="M48" s="18" t="n">
        <v>-636.23</v>
      </c>
      <c r="N48" s="18" t="n">
        <v>7838.04</v>
      </c>
      <c r="O48" s="18" t="n">
        <v>4135.13</v>
      </c>
      <c r="P48" s="37" t="n">
        <v>4135.13</v>
      </c>
      <c r="Q48" s="18" t="n">
        <v>8094.75</v>
      </c>
      <c r="R48" s="18" t="n">
        <v>2677.5</v>
      </c>
      <c r="S48" s="18" t="n">
        <v>5300.43</v>
      </c>
      <c r="T48" s="18" t="n">
        <v>-3719.05</v>
      </c>
      <c r="U48" s="37" t="n">
        <v>-3719.05</v>
      </c>
      <c r="V48" s="18" t="n">
        <v>-158.88</v>
      </c>
      <c r="W48" s="18" t="n">
        <v>2483.88</v>
      </c>
      <c r="X48" s="18" t="n">
        <v>13737.69</v>
      </c>
      <c r="Y48" s="18" t="n">
        <v>15871.71</v>
      </c>
      <c r="Z48" s="37" t="n">
        <v>15871.71</v>
      </c>
      <c r="AA48" s="18" t="n">
        <v>25730.75</v>
      </c>
      <c r="AB48" s="19" t="n">
        <v>23974.92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이자발생자산</t>
        </is>
      </c>
      <c r="E49" s="18" t="n">
        <v>14718.97</v>
      </c>
      <c r="F49" s="37" t="n">
        <v>14718.97</v>
      </c>
      <c r="G49" s="18" t="n">
        <v>16878.83</v>
      </c>
      <c r="H49" s="18" t="n">
        <v>12682.86</v>
      </c>
      <c r="I49" s="18" t="n">
        <v>14282.51</v>
      </c>
      <c r="J49" s="18" t="n">
        <v>19410.49</v>
      </c>
      <c r="K49" s="37" t="n">
        <v>19410.49</v>
      </c>
      <c r="L49" s="18" t="n">
        <v>14284.96</v>
      </c>
      <c r="M49" s="18" t="n">
        <v>16912.18</v>
      </c>
      <c r="N49" s="18" t="n">
        <v>10874.21</v>
      </c>
      <c r="O49" s="18" t="n">
        <v>17377.26</v>
      </c>
      <c r="P49" s="37" t="n">
        <v>17377.26</v>
      </c>
      <c r="Q49" s="18" t="n">
        <v>15224.99</v>
      </c>
      <c r="R49" s="18" t="n">
        <v>18703.3</v>
      </c>
      <c r="S49" s="18" t="n">
        <v>16100.17</v>
      </c>
      <c r="T49" s="18" t="n">
        <v>23883.42</v>
      </c>
      <c r="U49" s="37" t="n">
        <v>23883.42</v>
      </c>
      <c r="V49" s="18" t="n">
        <v>20138.67</v>
      </c>
      <c r="W49" s="18" t="n">
        <v>17502.81</v>
      </c>
      <c r="X49" s="18" t="n">
        <v>15783.58</v>
      </c>
      <c r="Y49" s="18" t="n">
        <v>16667.78</v>
      </c>
      <c r="Z49" s="37" t="n">
        <v>16667.78</v>
      </c>
      <c r="AA49" s="18" t="n">
        <v>7396.04</v>
      </c>
      <c r="AB49" s="19" t="n">
        <v>16849.38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사채</t>
        </is>
      </c>
      <c r="E50" s="18" t="n">
        <v>6000</v>
      </c>
      <c r="F50" s="37" t="n">
        <v>6000</v>
      </c>
      <c r="G50" s="18" t="n">
        <v>4162.78</v>
      </c>
      <c r="H50" s="18" t="n">
        <v>4333.83</v>
      </c>
      <c r="I50" s="18" t="n">
        <v>4212.92</v>
      </c>
      <c r="K50" s="9" t="n"/>
      <c r="L50" s="18" t="n">
        <v>1380.97</v>
      </c>
      <c r="M50" s="18" t="n">
        <v>272.18</v>
      </c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계약자산</t>
        </is>
      </c>
      <c r="F51" s="9" t="n"/>
      <c r="G51" s="18" t="n">
        <v>1594.26</v>
      </c>
      <c r="H51" s="18" t="n">
        <v>309.76</v>
      </c>
      <c r="I51" s="18" t="n">
        <v>109.24</v>
      </c>
      <c r="J51" s="18" t="n">
        <v>313.07</v>
      </c>
      <c r="K51" s="37" t="n">
        <v>313.07</v>
      </c>
      <c r="L51" s="18" t="n">
        <v>343.78</v>
      </c>
      <c r="M51" s="18" t="n">
        <v>348.74</v>
      </c>
      <c r="N51" s="18" t="n">
        <v>867.77</v>
      </c>
      <c r="O51" s="18" t="n">
        <v>859.24</v>
      </c>
      <c r="P51" s="37" t="n">
        <v>859.24</v>
      </c>
      <c r="Q51" s="18" t="n">
        <v>509.24</v>
      </c>
      <c r="R51" s="18" t="n">
        <v>259.24</v>
      </c>
      <c r="S51" s="18" t="n">
        <v>109.24</v>
      </c>
      <c r="U51" s="9" t="n"/>
      <c r="Z51" s="9" t="n"/>
      <c r="AB51" s="19" t="n">
        <v>1.89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유동파생상품자산</t>
        </is>
      </c>
      <c r="F52" s="9" t="n"/>
      <c r="I52" s="18" t="n">
        <v>298.51</v>
      </c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단기금융부채(face)</t>
        </is>
      </c>
      <c r="F53" s="9" t="n"/>
      <c r="J53" s="18" t="n">
        <v>12547.3</v>
      </c>
      <c r="K53" s="37" t="n">
        <v>12547.3</v>
      </c>
      <c r="N53" s="18" t="n">
        <v>16550.35</v>
      </c>
      <c r="O53" s="18" t="n">
        <v>16466.51</v>
      </c>
      <c r="P53" s="37" t="n">
        <v>16466.51</v>
      </c>
      <c r="Q53" s="18" t="n">
        <v>18109.59</v>
      </c>
      <c r="R53" s="18" t="n">
        <v>16597.89</v>
      </c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단기충당부채</t>
        </is>
      </c>
      <c r="F54" s="9" t="n"/>
      <c r="J54" s="18" t="n">
        <v>56.89</v>
      </c>
      <c r="K54" s="37" t="n">
        <v>56.89</v>
      </c>
      <c r="L54" s="18" t="n">
        <v>40.25</v>
      </c>
      <c r="M54" s="18" t="n">
        <v>39.75</v>
      </c>
      <c r="N54" s="18" t="n">
        <v>39.73</v>
      </c>
      <c r="O54" s="18" t="n">
        <v>39.58</v>
      </c>
      <c r="P54" s="37" t="n">
        <v>39.58</v>
      </c>
      <c r="Q54" s="18" t="n">
        <v>19.71</v>
      </c>
      <c r="R54" s="18" t="n">
        <v>19.71</v>
      </c>
      <c r="S54" s="18" t="n">
        <v>19.71</v>
      </c>
      <c r="T54" s="18" t="n">
        <v>6.37</v>
      </c>
      <c r="U54" s="37" t="n">
        <v>6.37</v>
      </c>
      <c r="V54" s="18" t="n">
        <v>6.37</v>
      </c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기타비유동부채</t>
        </is>
      </c>
      <c r="F55" s="9" t="n"/>
      <c r="J55" s="18" t="n">
        <v>370.84</v>
      </c>
      <c r="K55" s="37" t="n">
        <v>370.84</v>
      </c>
      <c r="N55" s="18" t="n">
        <v>370.84</v>
      </c>
      <c r="O55" s="18" t="n">
        <v>370.84</v>
      </c>
      <c r="P55" s="37" t="n">
        <v>370.84</v>
      </c>
      <c r="Q55" s="18" t="n">
        <v>370.84</v>
      </c>
      <c r="R55" s="18" t="n">
        <v>370.84</v>
      </c>
      <c r="S55" s="18" t="n">
        <v>369.89</v>
      </c>
      <c r="T55" s="18" t="n">
        <v>369.89</v>
      </c>
      <c r="U55" s="37" t="n">
        <v>369.89</v>
      </c>
      <c r="V55" s="18" t="n">
        <v>369.89</v>
      </c>
      <c r="W55" s="18" t="n">
        <v>369.89</v>
      </c>
      <c r="X55" s="18" t="n">
        <v>369.89</v>
      </c>
      <c r="Y55" s="18" t="n">
        <v>441.81</v>
      </c>
      <c r="Z55" s="37" t="n">
        <v>441.81</v>
      </c>
      <c r="AA55" s="18" t="n">
        <v>441.81</v>
      </c>
      <c r="AB55" s="19" t="n">
        <v>441.81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확정급여부채</t>
        </is>
      </c>
      <c r="F56" s="9" t="n"/>
      <c r="K56" s="9" t="n"/>
      <c r="N56" s="18" t="n">
        <v>52.3</v>
      </c>
      <c r="O56" s="18" t="n">
        <v>340.78</v>
      </c>
      <c r="P56" s="37" t="n">
        <v>340.78</v>
      </c>
      <c r="Q56" s="18" t="n">
        <v>433.13</v>
      </c>
      <c r="R56" s="18" t="n">
        <v>511.36</v>
      </c>
      <c r="S56" s="18" t="n">
        <v>599.55</v>
      </c>
      <c r="T56" s="18" t="n">
        <v>1333.81</v>
      </c>
      <c r="U56" s="37" t="n">
        <v>1333.81</v>
      </c>
      <c r="V56" s="18" t="n">
        <v>954.26</v>
      </c>
      <c r="W56" s="18" t="n">
        <v>1068.2</v>
      </c>
      <c r="X56" s="18" t="n">
        <v>1195.76</v>
      </c>
      <c r="Y56" s="18" t="n">
        <v>608.12</v>
      </c>
      <c r="Z56" s="37" t="n">
        <v>608.12</v>
      </c>
      <c r="AA56" s="18" t="n">
        <v>717.63</v>
      </c>
      <c r="AB56" s="19" t="n">
        <v>845.98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이연법인세자산</t>
        </is>
      </c>
      <c r="F57" s="9" t="n"/>
      <c r="K57" s="9" t="n"/>
      <c r="P57" s="9" t="n"/>
      <c r="R57" s="18" t="n">
        <v>2885.28</v>
      </c>
      <c r="S57" s="18" t="n">
        <v>2885.28</v>
      </c>
      <c r="T57" s="18" t="n">
        <v>1447.56</v>
      </c>
      <c r="U57" s="37" t="n">
        <v>1447.56</v>
      </c>
      <c r="V57" s="18" t="n">
        <v>1014.51</v>
      </c>
      <c r="W57" s="18" t="n">
        <v>898.96</v>
      </c>
      <c r="X57" s="18" t="n">
        <v>899.52</v>
      </c>
      <c r="Y57" s="18" t="n">
        <v>2603.36</v>
      </c>
      <c r="Z57" s="37" t="n">
        <v>2603.36</v>
      </c>
      <c r="AA57" s="18" t="n">
        <v>2652.47</v>
      </c>
      <c r="AB57" s="19" t="n">
        <v>2830.3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당기법인세부채(미지급법인세)</t>
        </is>
      </c>
      <c r="F58" s="9" t="n"/>
      <c r="K58" s="9" t="n"/>
      <c r="P58" s="9" t="n"/>
      <c r="U58" s="9" t="n"/>
      <c r="Y58" s="18" t="n">
        <v>3.39</v>
      </c>
      <c r="Z58" s="37" t="n">
        <v>3.39</v>
      </c>
      <c r="AA58" s="18" t="n">
        <v>23.74</v>
      </c>
      <c r="AB58" s="19" t="n">
        <v>33.96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매출액(수익)</t>
        </is>
      </c>
      <c r="E59" s="18" t="n">
        <v>18006.47</v>
      </c>
      <c r="F59" s="9" t="n"/>
      <c r="G59" s="18" t="n">
        <v>10997.85</v>
      </c>
      <c r="H59" s="18" t="n">
        <v>20502.96</v>
      </c>
      <c r="I59" s="18" t="n">
        <v>22292.65</v>
      </c>
      <c r="J59" s="18" t="n">
        <v>12885.4</v>
      </c>
      <c r="K59" s="37" t="n">
        <v>66678.86</v>
      </c>
      <c r="L59" s="18" t="n">
        <v>17642.43</v>
      </c>
      <c r="M59" s="18" t="n">
        <v>26481.14</v>
      </c>
      <c r="N59" s="18" t="n">
        <v>23263.3</v>
      </c>
      <c r="O59" s="18" t="n">
        <v>20689.57</v>
      </c>
      <c r="P59" s="37" t="n">
        <v>88076.44</v>
      </c>
      <c r="Q59" s="18" t="n">
        <v>18757.1</v>
      </c>
      <c r="R59" s="18" t="n">
        <v>22949.24</v>
      </c>
      <c r="S59" s="18" t="n">
        <v>25843.64</v>
      </c>
      <c r="T59" s="18" t="n">
        <v>21050.55</v>
      </c>
      <c r="U59" s="37" t="n">
        <v>88600.53</v>
      </c>
      <c r="V59" s="18" t="n">
        <v>13661.87</v>
      </c>
      <c r="W59" s="18" t="n">
        <v>15765.96</v>
      </c>
      <c r="X59" s="18" t="n">
        <v>34465.31</v>
      </c>
      <c r="Y59" s="18" t="n">
        <v>21783.2</v>
      </c>
      <c r="Z59" s="37" t="n">
        <v>85676.34</v>
      </c>
      <c r="AA59" s="18" t="n">
        <v>11035.46</v>
      </c>
      <c r="AB59" s="19" t="n">
        <v>25950.41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매출원가</t>
        </is>
      </c>
      <c r="E60" s="18" t="n">
        <v>15910.13</v>
      </c>
      <c r="F60" s="9" t="n"/>
      <c r="G60" s="18" t="n">
        <v>8997.92</v>
      </c>
      <c r="H60" s="18" t="n">
        <v>18790.25</v>
      </c>
      <c r="I60" s="18" t="n">
        <v>20572.95</v>
      </c>
      <c r="J60" s="18" t="n">
        <v>11875.82</v>
      </c>
      <c r="K60" s="37" t="n">
        <v>60236.94</v>
      </c>
      <c r="L60" s="18" t="n">
        <v>17512.74</v>
      </c>
      <c r="M60" s="18" t="n">
        <v>22090.94</v>
      </c>
      <c r="N60" s="18" t="n">
        <v>20092.9</v>
      </c>
      <c r="O60" s="18" t="n">
        <v>17311.88</v>
      </c>
      <c r="P60" s="37" t="n">
        <v>77008.46000000001</v>
      </c>
      <c r="Q60" s="18" t="n">
        <v>15565.71</v>
      </c>
      <c r="R60" s="18" t="n">
        <v>18267.13</v>
      </c>
      <c r="S60" s="18" t="n">
        <v>23119.3</v>
      </c>
      <c r="T60" s="18" t="n">
        <v>19919.07</v>
      </c>
      <c r="U60" s="37" t="n">
        <v>76871.21000000001</v>
      </c>
      <c r="V60" s="18" t="n">
        <v>10386.57</v>
      </c>
      <c r="W60" s="18" t="n">
        <v>12806.14</v>
      </c>
      <c r="X60" s="18" t="n">
        <v>26660.2</v>
      </c>
      <c r="Y60" s="18" t="n">
        <v>18456.28</v>
      </c>
      <c r="Z60" s="37" t="n">
        <v>68309.19</v>
      </c>
      <c r="AA60" s="18" t="n">
        <v>9022.9</v>
      </c>
      <c r="AB60" s="19" t="n">
        <v>22447.46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판관비</t>
        </is>
      </c>
      <c r="E61" s="18" t="n">
        <v>1694.73</v>
      </c>
      <c r="F61" s="9" t="n"/>
      <c r="G61" s="18" t="n">
        <v>1611.69</v>
      </c>
      <c r="H61" s="18" t="n">
        <v>2448.3</v>
      </c>
      <c r="I61" s="18" t="n">
        <v>2783.1</v>
      </c>
      <c r="J61" s="18" t="n">
        <v>3123.31</v>
      </c>
      <c r="K61" s="37" t="n">
        <v>9966.4</v>
      </c>
      <c r="L61" s="18" t="n">
        <v>2154.72</v>
      </c>
      <c r="M61" s="18" t="n">
        <v>2451.48</v>
      </c>
      <c r="N61" s="18" t="n">
        <v>2592.9</v>
      </c>
      <c r="O61" s="18" t="n">
        <v>2246.09</v>
      </c>
      <c r="P61" s="37" t="n">
        <v>9445.190000000001</v>
      </c>
      <c r="Q61" s="18" t="n">
        <v>2325.84</v>
      </c>
      <c r="R61" s="18" t="n">
        <v>2316.19</v>
      </c>
      <c r="S61" s="18" t="n">
        <v>2204.52</v>
      </c>
      <c r="T61" s="18" t="n">
        <v>3225.17</v>
      </c>
      <c r="U61" s="37" t="n">
        <v>10071.72</v>
      </c>
      <c r="V61" s="18" t="n">
        <v>3538.91</v>
      </c>
      <c r="W61" s="18" t="n">
        <v>2945.21</v>
      </c>
      <c r="X61" s="18" t="n">
        <v>2287.23</v>
      </c>
      <c r="Y61" s="18" t="n">
        <v>3069.42</v>
      </c>
      <c r="Z61" s="37" t="n">
        <v>11840.77</v>
      </c>
      <c r="AA61" s="18" t="n">
        <v>2901.66</v>
      </c>
      <c r="AB61" s="19" t="n">
        <v>2920.43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영업이익</t>
        </is>
      </c>
      <c r="E62" s="18" t="n">
        <v>401.62</v>
      </c>
      <c r="F62" s="9" t="n"/>
      <c r="G62" s="18" t="n">
        <v>388.24</v>
      </c>
      <c r="H62" s="18" t="n">
        <v>-735.58</v>
      </c>
      <c r="I62" s="18" t="n">
        <v>-1063.4</v>
      </c>
      <c r="J62" s="18" t="n">
        <v>-2113.73</v>
      </c>
      <c r="K62" s="37" t="n">
        <v>-3524.47</v>
      </c>
      <c r="L62" s="18" t="n">
        <v>-2025.03</v>
      </c>
      <c r="M62" s="18" t="n">
        <v>1938.72</v>
      </c>
      <c r="N62" s="18" t="n">
        <v>577.49</v>
      </c>
      <c r="O62" s="18" t="n">
        <v>1131.6</v>
      </c>
      <c r="P62" s="37" t="n">
        <v>1622.78</v>
      </c>
      <c r="Q62" s="18" t="n">
        <v>865.55</v>
      </c>
      <c r="R62" s="18" t="n">
        <v>2365.92</v>
      </c>
      <c r="S62" s="18" t="n">
        <v>519.8200000000001</v>
      </c>
      <c r="T62" s="18" t="n">
        <v>-2093.69</v>
      </c>
      <c r="U62" s="37" t="n">
        <v>1657.6</v>
      </c>
      <c r="V62" s="18" t="n">
        <v>-263.61</v>
      </c>
      <c r="W62" s="18" t="n">
        <v>14.61</v>
      </c>
      <c r="X62" s="18" t="n">
        <v>5517.88</v>
      </c>
      <c r="Y62" s="18" t="n">
        <v>257.5</v>
      </c>
      <c r="Z62" s="37" t="n">
        <v>5526.38</v>
      </c>
      <c r="AA62" s="18" t="n">
        <v>-889.09</v>
      </c>
      <c r="AB62" s="19" t="n">
        <v>582.53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기타영업외수익</t>
        </is>
      </c>
      <c r="E63" s="18" t="n">
        <v>18.82</v>
      </c>
      <c r="F63" s="9" t="n"/>
      <c r="G63" s="18" t="n">
        <v>10.4</v>
      </c>
      <c r="H63" s="18" t="n">
        <v>22.88</v>
      </c>
      <c r="I63" s="18" t="n">
        <v>74.41</v>
      </c>
      <c r="J63" s="18" t="n">
        <v>44.16</v>
      </c>
      <c r="K63" s="37" t="n">
        <v>151.85</v>
      </c>
      <c r="L63" s="18" t="n">
        <v>47.74</v>
      </c>
      <c r="M63" s="18" t="n">
        <v>15.57</v>
      </c>
      <c r="N63" s="18" t="n">
        <v>24.92</v>
      </c>
      <c r="O63" s="18" t="n">
        <v>108.73</v>
      </c>
      <c r="P63" s="37" t="n">
        <v>196.96</v>
      </c>
      <c r="Q63" s="18" t="n">
        <v>84.09999999999999</v>
      </c>
      <c r="R63" s="18" t="n">
        <v>103.94</v>
      </c>
      <c r="S63" s="18" t="n">
        <v>178.68</v>
      </c>
      <c r="T63" s="18" t="n">
        <v>22028.5</v>
      </c>
      <c r="U63" s="37" t="n">
        <v>22395.22</v>
      </c>
      <c r="V63" s="18" t="n">
        <v>36.03</v>
      </c>
      <c r="W63" s="18" t="n">
        <v>1261.27</v>
      </c>
      <c r="X63" s="18" t="n">
        <v>22.98</v>
      </c>
      <c r="Y63" s="18" t="n">
        <v>1637.86</v>
      </c>
      <c r="Z63" s="37" t="n">
        <v>2958.14</v>
      </c>
      <c r="AA63" s="18" t="n">
        <v>78.81</v>
      </c>
      <c r="AB63" s="19" t="n">
        <v>174.53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기타영업외비용</t>
        </is>
      </c>
      <c r="E64" s="18" t="n">
        <v>2108.3</v>
      </c>
      <c r="F64" s="9" t="n"/>
      <c r="G64" s="18" t="n">
        <v>24.95</v>
      </c>
      <c r="H64" s="18" t="n">
        <v>82.41</v>
      </c>
      <c r="I64" s="18" t="n">
        <v>43.5</v>
      </c>
      <c r="J64" s="18" t="n">
        <v>8102.7</v>
      </c>
      <c r="K64" s="37" t="n">
        <v>8253.559999999999</v>
      </c>
      <c r="L64" s="18" t="n">
        <v>79.13</v>
      </c>
      <c r="M64" s="18" t="n">
        <v>60.9</v>
      </c>
      <c r="N64" s="18" t="n">
        <v>422.71</v>
      </c>
      <c r="O64" s="18" t="n">
        <v>102.31</v>
      </c>
      <c r="P64" s="37" t="n">
        <v>665.05</v>
      </c>
      <c r="Q64" s="18" t="n">
        <v>58.27</v>
      </c>
      <c r="R64" s="18" t="n">
        <v>60.96</v>
      </c>
      <c r="S64" s="18" t="n">
        <v>-33.05</v>
      </c>
      <c r="T64" s="18" t="n">
        <v>239.6</v>
      </c>
      <c r="U64" s="37" t="n">
        <v>325.78</v>
      </c>
      <c r="V64" s="18" t="n">
        <v>103.03</v>
      </c>
      <c r="W64" s="18" t="n">
        <v>114.87</v>
      </c>
      <c r="X64" s="18" t="n">
        <v>310.3</v>
      </c>
      <c r="Y64" s="18" t="n">
        <v>5620.47</v>
      </c>
      <c r="Z64" s="37" t="n">
        <v>6148.67</v>
      </c>
      <c r="AA64" s="18" t="n">
        <v>34.36</v>
      </c>
      <c r="AB64" s="19" t="n">
        <v>97.38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금융수익</t>
        </is>
      </c>
      <c r="E65" s="18" t="n">
        <v>218.96</v>
      </c>
      <c r="F65" s="9" t="n"/>
      <c r="G65" s="18" t="n">
        <v>236.34</v>
      </c>
      <c r="H65" s="18" t="n">
        <v>965.75</v>
      </c>
      <c r="I65" s="18" t="n">
        <v>659.6900000000001</v>
      </c>
      <c r="J65" s="18" t="n">
        <v>5029.45</v>
      </c>
      <c r="K65" s="37" t="n">
        <v>6891.23</v>
      </c>
      <c r="L65" s="18" t="n">
        <v>438.92</v>
      </c>
      <c r="M65" s="18" t="n">
        <v>537.73</v>
      </c>
      <c r="N65" s="18" t="n">
        <v>249.61</v>
      </c>
      <c r="O65" s="18" t="n">
        <v>261.4</v>
      </c>
      <c r="P65" s="37" t="n">
        <v>1487.66</v>
      </c>
      <c r="Q65" s="18" t="n">
        <v>339.68</v>
      </c>
      <c r="R65" s="18" t="n">
        <v>3836.25</v>
      </c>
      <c r="S65" s="18" t="n">
        <v>3470.18</v>
      </c>
      <c r="T65" s="18" t="n">
        <v>15451.16</v>
      </c>
      <c r="U65" s="37" t="n">
        <v>23097.27</v>
      </c>
      <c r="V65" s="18" t="n">
        <v>4154.68</v>
      </c>
      <c r="W65" s="18" t="n">
        <v>218.63</v>
      </c>
      <c r="X65" s="18" t="n">
        <v>288.69</v>
      </c>
      <c r="Y65" s="18" t="n">
        <v>256.57</v>
      </c>
      <c r="Z65" s="37" t="n">
        <v>4918.57</v>
      </c>
      <c r="AA65" s="18" t="n">
        <v>499.13</v>
      </c>
      <c r="AB65" s="19" t="n">
        <v>677.71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금융비용</t>
        </is>
      </c>
      <c r="E66" s="18" t="n">
        <v>1177.99</v>
      </c>
      <c r="F66" s="9" t="n"/>
      <c r="G66" s="18" t="n">
        <v>456.24</v>
      </c>
      <c r="H66" s="18" t="n">
        <v>447.86</v>
      </c>
      <c r="I66" s="18" t="n">
        <v>653.99</v>
      </c>
      <c r="J66" s="18" t="n">
        <v>9335.440000000001</v>
      </c>
      <c r="K66" s="37" t="n">
        <v>10893.53</v>
      </c>
      <c r="L66" s="18" t="n">
        <v>766.59</v>
      </c>
      <c r="M66" s="18" t="n">
        <v>402.48</v>
      </c>
      <c r="N66" s="18" t="n">
        <v>371.28</v>
      </c>
      <c r="O66" s="18" t="n">
        <v>2880.55</v>
      </c>
      <c r="P66" s="37" t="n">
        <v>4420.9</v>
      </c>
      <c r="Q66" s="18" t="n">
        <v>403.83</v>
      </c>
      <c r="R66" s="18" t="n">
        <v>3264.31</v>
      </c>
      <c r="S66" s="18" t="n">
        <v>333.56</v>
      </c>
      <c r="T66" s="18" t="n">
        <v>-1544.61</v>
      </c>
      <c r="U66" s="37" t="n">
        <v>2457.09</v>
      </c>
      <c r="V66" s="18" t="n">
        <v>324.73</v>
      </c>
      <c r="W66" s="18" t="n">
        <v>463.35</v>
      </c>
      <c r="X66" s="18" t="n">
        <v>286.77</v>
      </c>
      <c r="Y66" s="18" t="n">
        <v>453.6</v>
      </c>
      <c r="Z66" s="37" t="n">
        <v>1528.45</v>
      </c>
      <c r="AA66" s="18" t="n">
        <v>345.29</v>
      </c>
      <c r="AB66" s="19" t="n">
        <v>703.28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법인세비용차감전계속사업이익</t>
        </is>
      </c>
      <c r="E67" s="18" t="n">
        <v>-4885.73</v>
      </c>
      <c r="F67" s="9" t="n"/>
      <c r="G67" s="18" t="n">
        <v>72.08</v>
      </c>
      <c r="H67" s="18" t="n">
        <v>-298.67</v>
      </c>
      <c r="I67" s="18" t="n">
        <v>-1026.78</v>
      </c>
      <c r="J67" s="18" t="n">
        <v>-14478.25</v>
      </c>
      <c r="K67" s="37" t="n">
        <v>-15731.62</v>
      </c>
      <c r="L67" s="18" t="n">
        <v>-2384.1</v>
      </c>
      <c r="M67" s="18" t="n">
        <v>2028.63</v>
      </c>
      <c r="N67" s="18" t="n">
        <v>58.04</v>
      </c>
      <c r="O67" s="18" t="n">
        <v>-5581.14</v>
      </c>
      <c r="P67" s="37" t="n">
        <v>-5878.57</v>
      </c>
      <c r="Q67" s="18" t="n">
        <v>827.23</v>
      </c>
      <c r="R67" s="18" t="n">
        <v>3190.84</v>
      </c>
      <c r="S67" s="18" t="n">
        <v>3868.18</v>
      </c>
      <c r="T67" s="18" t="n">
        <v>20646.06</v>
      </c>
      <c r="U67" s="37" t="n">
        <v>28532.31</v>
      </c>
      <c r="Z67" s="9" t="n"/>
      <c r="AB67" s="19" t="n">
        <v>261.95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계속사업이익</t>
        </is>
      </c>
      <c r="E68" s="18" t="n">
        <v>-4885.73</v>
      </c>
      <c r="F68" s="9" t="n"/>
      <c r="G68" s="18" t="n">
        <v>72.08</v>
      </c>
      <c r="H68" s="18" t="n">
        <v>-298.67</v>
      </c>
      <c r="I68" s="18" t="n">
        <v>-1026.78</v>
      </c>
      <c r="J68" s="18" t="n">
        <v>-14478.25</v>
      </c>
      <c r="K68" s="37" t="n">
        <v>-15731.62</v>
      </c>
      <c r="L68" s="18" t="n">
        <v>-2384.1</v>
      </c>
      <c r="M68" s="18" t="n">
        <v>2028.63</v>
      </c>
      <c r="N68" s="18" t="n">
        <v>58.04</v>
      </c>
      <c r="O68" s="18" t="n">
        <v>-5581.14</v>
      </c>
      <c r="P68" s="37" t="n">
        <v>-5878.57</v>
      </c>
      <c r="Q68" s="18" t="n">
        <v>827.23</v>
      </c>
      <c r="R68" s="18" t="n">
        <v>6076.12</v>
      </c>
      <c r="S68" s="18" t="n">
        <v>3868.18</v>
      </c>
      <c r="T68" s="18" t="n">
        <v>19037.56</v>
      </c>
      <c r="U68" s="37" t="n">
        <v>29809.09</v>
      </c>
      <c r="V68" s="18" t="n">
        <v>3378.7</v>
      </c>
      <c r="W68" s="18" t="n">
        <v>1247.4</v>
      </c>
      <c r="X68" s="18" t="n">
        <v>5154.15</v>
      </c>
      <c r="Y68" s="18" t="n">
        <v>-4927.96</v>
      </c>
      <c r="Z68" s="37" t="n">
        <v>4852.29</v>
      </c>
      <c r="AA68" s="18" t="n">
        <v>-1119.51</v>
      </c>
      <c r="AB68" s="19" t="n">
        <v>383.36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당기순이익</t>
        </is>
      </c>
      <c r="E69" s="18" t="n">
        <v>-4885.73</v>
      </c>
      <c r="F69" s="9" t="n"/>
      <c r="G69" s="18" t="n">
        <v>72.08</v>
      </c>
      <c r="H69" s="18" t="n">
        <v>-298.67</v>
      </c>
      <c r="I69" s="18" t="n">
        <v>-1026.78</v>
      </c>
      <c r="J69" s="18" t="n">
        <v>-14478.25</v>
      </c>
      <c r="K69" s="37" t="n">
        <v>-15731.62</v>
      </c>
      <c r="L69" s="18" t="n">
        <v>-2384.1</v>
      </c>
      <c r="M69" s="18" t="n">
        <v>2028.63</v>
      </c>
      <c r="N69" s="18" t="n">
        <v>58.04</v>
      </c>
      <c r="O69" s="18" t="n">
        <v>-5581.14</v>
      </c>
      <c r="P69" s="37" t="n">
        <v>-5878.57</v>
      </c>
      <c r="Q69" s="18" t="n">
        <v>827.23</v>
      </c>
      <c r="R69" s="18" t="n">
        <v>6076.12</v>
      </c>
      <c r="S69" s="18" t="n">
        <v>3868.18</v>
      </c>
      <c r="T69" s="18" t="n">
        <v>19037.56</v>
      </c>
      <c r="U69" s="37" t="n">
        <v>29809.09</v>
      </c>
      <c r="V69" s="18" t="n">
        <v>3378.7</v>
      </c>
      <c r="W69" s="18" t="n">
        <v>1247.4</v>
      </c>
      <c r="X69" s="18" t="n">
        <v>5154.15</v>
      </c>
      <c r="Y69" s="18" t="n">
        <v>-4927.96</v>
      </c>
      <c r="Z69" s="37" t="n">
        <v>4852.29</v>
      </c>
      <c r="AA69" s="18" t="n">
        <v>-1119.51</v>
      </c>
      <c r="AB69" s="19" t="n">
        <v>383.36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매출총이익</t>
        </is>
      </c>
      <c r="E70" s="18" t="n">
        <v>2096.34</v>
      </c>
      <c r="F70" s="9" t="n"/>
      <c r="G70" s="18" t="n">
        <v>1999.93</v>
      </c>
      <c r="H70" s="18" t="n">
        <v>1712.71</v>
      </c>
      <c r="I70" s="18" t="n">
        <v>1719.7</v>
      </c>
      <c r="J70" s="18" t="n">
        <v>1009.58</v>
      </c>
      <c r="K70" s="37" t="n">
        <v>6441.92</v>
      </c>
      <c r="L70" s="18" t="n">
        <v>129.69</v>
      </c>
      <c r="M70" s="18" t="n">
        <v>4390.2</v>
      </c>
      <c r="N70" s="18" t="n">
        <v>3170.4</v>
      </c>
      <c r="O70" s="18" t="n">
        <v>3377.69</v>
      </c>
      <c r="P70" s="37" t="n">
        <v>11067.98</v>
      </c>
      <c r="Q70" s="18" t="n">
        <v>3191.39</v>
      </c>
      <c r="R70" s="18" t="n">
        <v>4682.11</v>
      </c>
      <c r="S70" s="18" t="n">
        <v>2724.34</v>
      </c>
      <c r="T70" s="18" t="n">
        <v>1131.49</v>
      </c>
      <c r="U70" s="37" t="n">
        <v>11729.33</v>
      </c>
      <c r="V70" s="18" t="n">
        <v>3275.3</v>
      </c>
      <c r="W70" s="18" t="n">
        <v>2959.83</v>
      </c>
      <c r="X70" s="18" t="n">
        <v>7805.11</v>
      </c>
      <c r="Y70" s="18" t="n">
        <v>3326.92</v>
      </c>
      <c r="Z70" s="37" t="n">
        <v>17367.16</v>
      </c>
      <c r="AA70" s="18" t="n">
        <v>2012.56</v>
      </c>
      <c r="AB70" s="19" t="n">
        <v>3502.95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금융손익</t>
        </is>
      </c>
      <c r="E71" s="18" t="n">
        <v>-959.03</v>
      </c>
      <c r="F71" s="9" t="n"/>
      <c r="G71" s="18" t="n">
        <v>-219.9</v>
      </c>
      <c r="H71" s="18" t="n">
        <v>517.89</v>
      </c>
      <c r="I71" s="18" t="n">
        <v>5.7</v>
      </c>
      <c r="J71" s="18" t="n">
        <v>-4305.99</v>
      </c>
      <c r="K71" s="37" t="n">
        <v>-4002.3</v>
      </c>
      <c r="L71" s="18" t="n">
        <v>-327.67</v>
      </c>
      <c r="M71" s="18" t="n">
        <v>135.25</v>
      </c>
      <c r="N71" s="18" t="n">
        <v>-121.67</v>
      </c>
      <c r="O71" s="18" t="n">
        <v>-2619.15</v>
      </c>
      <c r="P71" s="37" t="n">
        <v>-2933.24</v>
      </c>
      <c r="Q71" s="18" t="n">
        <v>-64.15000000000001</v>
      </c>
      <c r="R71" s="18" t="n">
        <v>571.9400000000001</v>
      </c>
      <c r="S71" s="18" t="n">
        <v>3136.62</v>
      </c>
      <c r="T71" s="18" t="n">
        <v>16995.77</v>
      </c>
      <c r="U71" s="37" t="n">
        <v>20640.18</v>
      </c>
      <c r="V71" s="18" t="n">
        <v>3829.95</v>
      </c>
      <c r="W71" s="18" t="n">
        <v>-244.72</v>
      </c>
      <c r="X71" s="18" t="n">
        <v>1.92</v>
      </c>
      <c r="Y71" s="18" t="n">
        <v>-197.03</v>
      </c>
      <c r="Z71" s="37" t="n">
        <v>3390.12</v>
      </c>
      <c r="AA71" s="18" t="n">
        <v>153.84</v>
      </c>
      <c r="AB71" s="19" t="n">
        <v>-25.57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기타영업외손익</t>
        </is>
      </c>
      <c r="E72" s="18" t="n">
        <v>-2089.48</v>
      </c>
      <c r="F72" s="9" t="n"/>
      <c r="G72" s="18" t="n">
        <v>-14.55</v>
      </c>
      <c r="H72" s="18" t="n">
        <v>-59.53</v>
      </c>
      <c r="I72" s="18" t="n">
        <v>30.91</v>
      </c>
      <c r="J72" s="18" t="n">
        <v>-8058.54</v>
      </c>
      <c r="K72" s="37" t="n">
        <v>-8101.71</v>
      </c>
      <c r="L72" s="18" t="n">
        <v>-31.39</v>
      </c>
      <c r="M72" s="18" t="n">
        <v>-45.33</v>
      </c>
      <c r="N72" s="18" t="n">
        <v>-397.79</v>
      </c>
      <c r="O72" s="18" t="n">
        <v>6.42</v>
      </c>
      <c r="P72" s="37" t="n">
        <v>-468.09</v>
      </c>
      <c r="Q72" s="18" t="n">
        <v>25.83</v>
      </c>
      <c r="R72" s="18" t="n">
        <v>42.98</v>
      </c>
      <c r="S72" s="18" t="n">
        <v>211.73</v>
      </c>
      <c r="T72" s="18" t="n">
        <v>21788.9</v>
      </c>
      <c r="U72" s="37" t="n">
        <v>22069.44</v>
      </c>
      <c r="V72" s="18" t="n">
        <v>-67</v>
      </c>
      <c r="W72" s="18" t="n">
        <v>1146.4</v>
      </c>
      <c r="X72" s="18" t="n">
        <v>-287.32</v>
      </c>
      <c r="Y72" s="18" t="n">
        <v>-3982.61</v>
      </c>
      <c r="Z72" s="37" t="n">
        <v>-3190.53</v>
      </c>
      <c r="AA72" s="18" t="n">
        <v>44.45</v>
      </c>
      <c r="AB72" s="19" t="n">
        <v>77.15000000000001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(지배주주지분)당기순이익</t>
        </is>
      </c>
      <c r="E73" s="18" t="n">
        <v>-4885.73</v>
      </c>
      <c r="F73" s="9" t="n"/>
      <c r="G73" s="18" t="n">
        <v>72.08</v>
      </c>
      <c r="H73" s="18" t="n">
        <v>-194.81</v>
      </c>
      <c r="I73" s="18" t="n">
        <v>-842.78</v>
      </c>
      <c r="J73" s="18" t="n">
        <v>-14860.99</v>
      </c>
      <c r="K73" s="37" t="n">
        <v>-15826.5</v>
      </c>
      <c r="L73" s="18" t="n">
        <v>-2127.23</v>
      </c>
      <c r="M73" s="18" t="n">
        <v>2233.13</v>
      </c>
      <c r="N73" s="18" t="n">
        <v>58.04</v>
      </c>
      <c r="O73" s="18" t="n">
        <v>-5581.14</v>
      </c>
      <c r="P73" s="37" t="n">
        <v>-5417.2</v>
      </c>
      <c r="Q73" s="18" t="n">
        <v>930.25</v>
      </c>
      <c r="R73" s="18" t="n">
        <v>6228.44</v>
      </c>
      <c r="S73" s="18" t="n">
        <v>4040.06</v>
      </c>
      <c r="T73" s="18" t="n">
        <v>18610.35</v>
      </c>
      <c r="U73" s="37" t="n">
        <v>29809.1</v>
      </c>
      <c r="V73" s="18" t="n">
        <v>3378.7</v>
      </c>
      <c r="W73" s="18" t="n">
        <v>1247.4</v>
      </c>
      <c r="X73" s="18" t="n">
        <v>5154.15</v>
      </c>
      <c r="Y73" s="18" t="n">
        <v>-4927.96</v>
      </c>
      <c r="Z73" s="37" t="n">
        <v>4852.29</v>
      </c>
      <c r="AA73" s="18" t="n">
        <v>-1119.51</v>
      </c>
      <c r="AB73" s="19" t="n">
        <v>507.1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총포괄손익</t>
        </is>
      </c>
      <c r="F74" s="9" t="n"/>
      <c r="G74" s="18" t="n">
        <v>287.62</v>
      </c>
      <c r="H74" s="18" t="n">
        <v>15.8</v>
      </c>
      <c r="I74" s="18" t="n">
        <v>-172.35</v>
      </c>
      <c r="J74" s="18" t="n">
        <v>-15068.23</v>
      </c>
      <c r="K74" s="37" t="n">
        <v>-14937.16</v>
      </c>
      <c r="L74" s="18" t="n">
        <v>-2351.72</v>
      </c>
      <c r="M74" s="18" t="n">
        <v>2271.12</v>
      </c>
      <c r="N74" s="18" t="n">
        <v>356.4</v>
      </c>
      <c r="O74" s="18" t="n">
        <v>-5960.4</v>
      </c>
      <c r="P74" s="37" t="n">
        <v>-5684.6</v>
      </c>
      <c r="Q74" s="18" t="n">
        <v>838.37</v>
      </c>
      <c r="R74" s="18" t="n">
        <v>6185.18</v>
      </c>
      <c r="S74" s="18" t="n">
        <v>4243.59</v>
      </c>
      <c r="T74" s="18" t="n">
        <v>18846.1</v>
      </c>
      <c r="U74" s="37" t="n">
        <v>30113.24</v>
      </c>
      <c r="V74" s="18" t="n">
        <v>5285</v>
      </c>
      <c r="W74" s="18" t="n">
        <v>2544.03</v>
      </c>
      <c r="X74" s="18" t="n">
        <v>6384.04</v>
      </c>
      <c r="Y74" s="18" t="n">
        <v>-4179.54</v>
      </c>
      <c r="Z74" s="37" t="n">
        <v>10033.53</v>
      </c>
      <c r="AA74" s="18" t="n">
        <v>-1894.83</v>
      </c>
      <c r="AB74" s="19" t="n">
        <v>533.89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이자수익</t>
        </is>
      </c>
      <c r="F75" s="9" t="n"/>
      <c r="G75" s="18" t="n">
        <v>54.62</v>
      </c>
      <c r="H75" s="18" t="n">
        <v>61.48</v>
      </c>
      <c r="I75" s="18" t="n">
        <v>64.3</v>
      </c>
      <c r="J75" s="18" t="n">
        <v>136.96</v>
      </c>
      <c r="K75" s="37" t="n">
        <v>317.36</v>
      </c>
      <c r="L75" s="18" t="n">
        <v>111.63</v>
      </c>
      <c r="M75" s="18" t="n">
        <v>169.54</v>
      </c>
      <c r="N75" s="18" t="n">
        <v>211.65</v>
      </c>
      <c r="O75" s="18" t="n">
        <v>118.83</v>
      </c>
      <c r="P75" s="37" t="n">
        <v>611.65</v>
      </c>
      <c r="Q75" s="18" t="n">
        <v>178.9</v>
      </c>
      <c r="R75" s="18" t="n">
        <v>148.04</v>
      </c>
      <c r="S75" s="18" t="n">
        <v>16</v>
      </c>
      <c r="T75" s="18" t="n">
        <v>183.89</v>
      </c>
      <c r="U75" s="37" t="n">
        <v>526.83</v>
      </c>
      <c r="V75" s="18" t="n">
        <v>149.04</v>
      </c>
      <c r="W75" s="18" t="n">
        <v>87.17</v>
      </c>
      <c r="X75" s="18" t="n">
        <v>59.57</v>
      </c>
      <c r="Y75" s="18" t="n">
        <v>81.75</v>
      </c>
      <c r="Z75" s="37" t="n">
        <v>377.53</v>
      </c>
      <c r="AA75" s="18" t="n">
        <v>60.5</v>
      </c>
      <c r="AB75" s="19" t="n">
        <v>40.49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이자비용</t>
        </is>
      </c>
      <c r="F76" s="9" t="n"/>
      <c r="G76" s="18" t="n">
        <v>280.1</v>
      </c>
      <c r="H76" s="18" t="n">
        <v>295.48</v>
      </c>
      <c r="I76" s="18" t="n">
        <v>226.42</v>
      </c>
      <c r="J76" s="18" t="n">
        <v>659.83</v>
      </c>
      <c r="K76" s="37" t="n">
        <v>1461.83</v>
      </c>
      <c r="L76" s="18" t="n">
        <v>284.09</v>
      </c>
      <c r="M76" s="18" t="n">
        <v>219.94</v>
      </c>
      <c r="N76" s="18" t="n">
        <v>207.44</v>
      </c>
      <c r="O76" s="18" t="n">
        <v>257.24</v>
      </c>
      <c r="P76" s="37" t="n">
        <v>968.71</v>
      </c>
      <c r="Q76" s="18" t="n">
        <v>202.27</v>
      </c>
      <c r="R76" s="18" t="n">
        <v>227.24</v>
      </c>
      <c r="S76" s="18" t="n">
        <v>261.75</v>
      </c>
      <c r="T76" s="18" t="n">
        <v>198.7</v>
      </c>
      <c r="U76" s="37" t="n">
        <v>889.96</v>
      </c>
      <c r="V76" s="18" t="n">
        <v>235.43</v>
      </c>
      <c r="W76" s="18" t="n">
        <v>232.67</v>
      </c>
      <c r="X76" s="18" t="n">
        <v>231.7</v>
      </c>
      <c r="Y76" s="18" t="n">
        <v>265.78</v>
      </c>
      <c r="Z76" s="37" t="n">
        <v>965.58</v>
      </c>
      <c r="AA76" s="18" t="n">
        <v>125.14</v>
      </c>
      <c r="AB76" s="19" t="n">
        <v>570.17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외환차익</t>
        </is>
      </c>
      <c r="F77" s="9" t="n"/>
      <c r="G77" s="18" t="n">
        <v>36.03</v>
      </c>
      <c r="H77" s="18" t="n">
        <v>102.93</v>
      </c>
      <c r="I77" s="18" t="n">
        <v>103.31</v>
      </c>
      <c r="J77" s="18" t="n">
        <v>264.9</v>
      </c>
      <c r="K77" s="37" t="n">
        <v>507.17</v>
      </c>
      <c r="L77" s="18" t="n">
        <v>61.44</v>
      </c>
      <c r="M77" s="18" t="n">
        <v>242.65</v>
      </c>
      <c r="N77" s="18" t="n">
        <v>173.31</v>
      </c>
      <c r="O77" s="18" t="n">
        <v>68.53</v>
      </c>
      <c r="P77" s="37" t="n">
        <v>545.9299999999999</v>
      </c>
      <c r="Q77" s="18" t="n">
        <v>55.22</v>
      </c>
      <c r="R77" s="18" t="n">
        <v>93.98999999999999</v>
      </c>
      <c r="S77" s="18" t="n">
        <v>47.62</v>
      </c>
      <c r="T77" s="18" t="n">
        <v>96.75</v>
      </c>
      <c r="U77" s="37" t="n">
        <v>293.58</v>
      </c>
      <c r="V77" s="18" t="n">
        <v>118.15</v>
      </c>
      <c r="W77" s="18" t="n">
        <v>277.29</v>
      </c>
      <c r="X77" s="18" t="n">
        <v>215.14</v>
      </c>
      <c r="Y77" s="18" t="n">
        <v>284.35</v>
      </c>
      <c r="Z77" s="37" t="n">
        <v>894.9299999999999</v>
      </c>
      <c r="AA77" s="18" t="n">
        <v>101.64</v>
      </c>
      <c r="AB77" s="19" t="n">
        <v>133.77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외환차손</t>
        </is>
      </c>
      <c r="F78" s="9" t="n"/>
      <c r="G78" s="18" t="n">
        <v>48.17</v>
      </c>
      <c r="H78" s="18" t="n">
        <v>38.5</v>
      </c>
      <c r="I78" s="18" t="n">
        <v>105.35</v>
      </c>
      <c r="J78" s="18" t="n">
        <v>247.22</v>
      </c>
      <c r="K78" s="37" t="n">
        <v>439.24</v>
      </c>
      <c r="L78" s="18" t="n">
        <v>171.18</v>
      </c>
      <c r="M78" s="18" t="n">
        <v>269.76</v>
      </c>
      <c r="N78" s="18" t="n">
        <v>76.28</v>
      </c>
      <c r="O78" s="18" t="n">
        <v>92.98</v>
      </c>
      <c r="P78" s="37" t="n">
        <v>610.2</v>
      </c>
      <c r="Q78" s="18" t="n">
        <v>87.84999999999999</v>
      </c>
      <c r="R78" s="18" t="n">
        <v>173.77</v>
      </c>
      <c r="S78" s="18" t="n">
        <v>60.73</v>
      </c>
      <c r="T78" s="18" t="n">
        <v>59.25</v>
      </c>
      <c r="U78" s="37" t="n">
        <v>381.6</v>
      </c>
      <c r="V78" s="18" t="n">
        <v>66.28</v>
      </c>
      <c r="W78" s="18" t="n">
        <v>79.19</v>
      </c>
      <c r="X78" s="18" t="n">
        <v>86.81</v>
      </c>
      <c r="Y78" s="18" t="n">
        <v>118.55</v>
      </c>
      <c r="Z78" s="37" t="n">
        <v>350.83</v>
      </c>
      <c r="AA78" s="18" t="n">
        <v>81.14</v>
      </c>
      <c r="AB78" s="19" t="n">
        <v>215.62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외화환산이익</t>
        </is>
      </c>
      <c r="F79" s="9" t="n"/>
      <c r="G79" s="18" t="n">
        <v>73.17</v>
      </c>
      <c r="H79" s="18" t="n">
        <v>90.94</v>
      </c>
      <c r="I79" s="18" t="n">
        <v>232.9</v>
      </c>
      <c r="J79" s="18" t="n">
        <v>-94.06</v>
      </c>
      <c r="K79" s="37" t="n">
        <v>302.95</v>
      </c>
      <c r="L79" s="18" t="n">
        <v>207.56</v>
      </c>
      <c r="M79" s="18" t="n">
        <v>70.27</v>
      </c>
      <c r="N79" s="18" t="n">
        <v>-182.27</v>
      </c>
      <c r="O79" s="18" t="n">
        <v>34.58</v>
      </c>
      <c r="P79" s="37" t="n">
        <v>130.14</v>
      </c>
      <c r="Q79" s="18" t="n">
        <v>105.56</v>
      </c>
      <c r="R79" s="18" t="n">
        <v>113.73</v>
      </c>
      <c r="S79" s="18" t="n">
        <v>-73.92</v>
      </c>
      <c r="T79" s="18" t="n">
        <v>305.2</v>
      </c>
      <c r="U79" s="37" t="n">
        <v>450.57</v>
      </c>
      <c r="V79" s="18" t="n">
        <v>263.63</v>
      </c>
      <c r="W79" s="18" t="n">
        <v>-145.82</v>
      </c>
      <c r="X79" s="18" t="n">
        <v>13.97</v>
      </c>
      <c r="Y79" s="18" t="n">
        <v>-109.51</v>
      </c>
      <c r="Z79" s="37" t="n">
        <v>22.27</v>
      </c>
      <c r="AA79" s="18" t="n">
        <v>128.46</v>
      </c>
      <c r="AB79" s="19" t="n">
        <v>483.45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외화환산손실</t>
        </is>
      </c>
      <c r="F80" s="9" t="n"/>
      <c r="G80" s="18" t="n">
        <v>4.88</v>
      </c>
      <c r="H80" s="18" t="n">
        <v>44.19</v>
      </c>
      <c r="I80" s="18" t="n">
        <v>59.07</v>
      </c>
      <c r="J80" s="18" t="n">
        <v>174.52</v>
      </c>
      <c r="K80" s="37" t="n">
        <v>282.66</v>
      </c>
      <c r="L80" s="18" t="n">
        <v>227.23</v>
      </c>
      <c r="M80" s="18" t="n">
        <v>-187.15</v>
      </c>
      <c r="N80" s="18" t="n">
        <v>-13.55</v>
      </c>
      <c r="O80" s="18" t="n">
        <v>14.75</v>
      </c>
      <c r="P80" s="37" t="n">
        <v>41.28</v>
      </c>
      <c r="Q80" s="18" t="n">
        <v>86.04000000000001</v>
      </c>
      <c r="R80" s="18" t="n">
        <v>0.49</v>
      </c>
      <c r="S80" s="18" t="n">
        <v>-1.29</v>
      </c>
      <c r="T80" s="18" t="n">
        <v>228.72</v>
      </c>
      <c r="U80" s="37" t="n">
        <v>313.96</v>
      </c>
      <c r="V80" s="18" t="n">
        <v>23.02</v>
      </c>
      <c r="W80" s="18" t="n">
        <v>151.07</v>
      </c>
      <c r="X80" s="18" t="n">
        <v>-31.74</v>
      </c>
      <c r="Y80" s="18" t="n">
        <v>69.27</v>
      </c>
      <c r="Z80" s="37" t="n">
        <v>211.62</v>
      </c>
      <c r="AA80" s="18" t="n">
        <v>139.01</v>
      </c>
      <c r="AB80" s="19" t="n">
        <v>-82.51000000000001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이자손익</t>
        </is>
      </c>
      <c r="F81" s="9" t="n"/>
      <c r="G81" s="18" t="n">
        <v>-225.48</v>
      </c>
      <c r="H81" s="18" t="n">
        <v>-234</v>
      </c>
      <c r="I81" s="18" t="n">
        <v>-162.12</v>
      </c>
      <c r="J81" s="18" t="n">
        <v>-522.87</v>
      </c>
      <c r="K81" s="37" t="n">
        <v>-1144.47</v>
      </c>
      <c r="L81" s="18" t="n">
        <v>-172.46</v>
      </c>
      <c r="M81" s="18" t="n">
        <v>-50.4</v>
      </c>
      <c r="N81" s="18" t="n">
        <v>4.21</v>
      </c>
      <c r="O81" s="18" t="n">
        <v>-138.41</v>
      </c>
      <c r="P81" s="37" t="n">
        <v>-357.06</v>
      </c>
      <c r="Q81" s="18" t="n">
        <v>-23.37</v>
      </c>
      <c r="R81" s="18" t="n">
        <v>-79.2</v>
      </c>
      <c r="S81" s="18" t="n">
        <v>-245.75</v>
      </c>
      <c r="T81" s="18" t="n">
        <v>-14.81</v>
      </c>
      <c r="U81" s="37" t="n">
        <v>-363.13</v>
      </c>
      <c r="V81" s="18" t="n">
        <v>-86.39</v>
      </c>
      <c r="W81" s="18" t="n">
        <v>-145.5</v>
      </c>
      <c r="X81" s="18" t="n">
        <v>-172.13</v>
      </c>
      <c r="Y81" s="18" t="n">
        <v>-184.03</v>
      </c>
      <c r="Z81" s="37" t="n">
        <v>-588.05</v>
      </c>
      <c r="AA81" s="18" t="n">
        <v>-64.64</v>
      </c>
      <c r="AB81" s="19" t="n">
        <v>-529.6799999999999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(비지배주주지분)당기순이익</t>
        </is>
      </c>
      <c r="F82" s="9" t="n"/>
      <c r="H82" s="18" t="n">
        <v>-103.86</v>
      </c>
      <c r="I82" s="18" t="n">
        <v>-184</v>
      </c>
      <c r="K82" s="9" t="n"/>
      <c r="L82" s="18" t="n">
        <v>-256.87</v>
      </c>
      <c r="M82" s="18" t="n">
        <v>-204.5</v>
      </c>
      <c r="P82" s="9" t="n"/>
      <c r="Q82" s="18" t="n">
        <v>-103.01</v>
      </c>
      <c r="R82" s="18" t="n">
        <v>-152.32</v>
      </c>
      <c r="S82" s="18" t="n">
        <v>-171.88</v>
      </c>
      <c r="U82" s="9" t="n"/>
      <c r="Z82" s="9" t="n"/>
      <c r="AB82" s="19" t="n">
        <v>-123.74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파생상품이익</t>
        </is>
      </c>
      <c r="F83" s="9" t="n"/>
      <c r="I83" s="18" t="n">
        <v>198.7</v>
      </c>
      <c r="J83" s="18" t="n">
        <v>-76.3</v>
      </c>
      <c r="K83" s="9" t="n"/>
      <c r="P83" s="9" t="n"/>
      <c r="U83" s="9" t="n"/>
      <c r="V83" s="18" t="n">
        <v>238.22</v>
      </c>
      <c r="W83" s="18" t="n">
        <v>0</v>
      </c>
      <c r="X83" s="18" t="n">
        <v>0</v>
      </c>
      <c r="Y83" s="18" t="n">
        <v>0</v>
      </c>
      <c r="Z83" s="37" t="n">
        <v>238.22</v>
      </c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파생상품손실</t>
        </is>
      </c>
      <c r="F84" s="9" t="n"/>
      <c r="J84" s="18" t="n">
        <v>8019.27</v>
      </c>
      <c r="K84" s="9" t="n"/>
      <c r="N84" s="18" t="n">
        <v>0</v>
      </c>
      <c r="O84" s="18" t="n">
        <v>1696.81</v>
      </c>
      <c r="P84" s="9" t="n"/>
      <c r="S84" s="18" t="n">
        <v>0</v>
      </c>
      <c r="T84" s="18" t="n">
        <v>-2636.98</v>
      </c>
      <c r="U84" s="9" t="n"/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법인세비용</t>
        </is>
      </c>
      <c r="F85" s="9" t="n"/>
      <c r="K85" s="9" t="n"/>
      <c r="P85" s="9" t="n"/>
      <c r="R85" s="18" t="n">
        <v>-2885.28</v>
      </c>
      <c r="T85" s="18" t="n">
        <v>1608.49</v>
      </c>
      <c r="U85" s="9" t="n"/>
      <c r="V85" s="18" t="n">
        <v>-43.92</v>
      </c>
      <c r="W85" s="18" t="n">
        <v>69.79000000000001</v>
      </c>
      <c r="X85" s="18" t="n">
        <v>18.26</v>
      </c>
      <c r="Y85" s="18" t="n">
        <v>-1848.5</v>
      </c>
      <c r="Z85" s="37" t="n">
        <v>-1804.37</v>
      </c>
      <c r="AA85" s="18" t="n">
        <v>4.21</v>
      </c>
      <c r="AB85" s="19" t="n">
        <v>-121.41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종속기업,공동지배기업및관계기업관련손익</t>
        </is>
      </c>
      <c r="F86" s="9" t="n"/>
      <c r="K86" s="9" t="n"/>
      <c r="P86" s="9" t="n"/>
      <c r="U86" s="9" t="n"/>
      <c r="V86" s="18" t="n">
        <v>-164.57</v>
      </c>
      <c r="W86" s="18" t="n">
        <v>400.88</v>
      </c>
      <c r="X86" s="18" t="n">
        <v>-60.06</v>
      </c>
      <c r="Y86" s="18" t="n">
        <v>-2854.34</v>
      </c>
      <c r="Z86" s="37" t="n">
        <v>-2678.09</v>
      </c>
      <c r="AA86" s="18" t="n">
        <v>-424.49</v>
      </c>
      <c r="AB86" s="19" t="n">
        <v>-372.15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지분법관련손익</t>
        </is>
      </c>
      <c r="F87" s="9" t="n"/>
      <c r="K87" s="9" t="n"/>
      <c r="P87" s="9" t="n"/>
      <c r="U87" s="9" t="n"/>
      <c r="V87" s="18" t="n">
        <v>-164.57</v>
      </c>
      <c r="W87" s="18" t="n">
        <v>400.88</v>
      </c>
      <c r="X87" s="18" t="n">
        <v>-60.06</v>
      </c>
      <c r="Y87" s="18" t="n">
        <v>-2854.34</v>
      </c>
      <c r="Z87" s="37" t="n">
        <v>-2678.09</v>
      </c>
      <c r="AA87" s="18" t="n">
        <v>-424.49</v>
      </c>
      <c r="AB87" s="19" t="n">
        <v>-372.15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영업활동으로인한현금흐름</t>
        </is>
      </c>
      <c r="E88" s="18" t="n">
        <v>810.53</v>
      </c>
      <c r="F88" s="9" t="n"/>
      <c r="G88" s="18" t="n">
        <v>3154.82</v>
      </c>
      <c r="H88" s="18" t="n">
        <v>-4431.43</v>
      </c>
      <c r="I88" s="18" t="n">
        <v>3693.42</v>
      </c>
      <c r="J88" s="18" t="n">
        <v>3473.02</v>
      </c>
      <c r="K88" s="37" t="n">
        <v>5889.83</v>
      </c>
      <c r="L88" s="18" t="n">
        <v>-3184.9</v>
      </c>
      <c r="M88" s="18" t="n">
        <v>4526.1</v>
      </c>
      <c r="N88" s="18" t="n">
        <v>-5155.29</v>
      </c>
      <c r="O88" s="18" t="n">
        <v>4031.33</v>
      </c>
      <c r="P88" s="37" t="n">
        <v>217.24</v>
      </c>
      <c r="Q88" s="18" t="n">
        <v>-3872.3</v>
      </c>
      <c r="R88" s="18" t="n">
        <v>5427.95</v>
      </c>
      <c r="S88" s="18" t="n">
        <v>-2287.41</v>
      </c>
      <c r="T88" s="18" t="n">
        <v>8842.360000000001</v>
      </c>
      <c r="U88" s="37" t="n">
        <v>8110.6</v>
      </c>
      <c r="V88" s="18" t="n">
        <v>-3499.89</v>
      </c>
      <c r="W88" s="18" t="n">
        <v>151.74</v>
      </c>
      <c r="X88" s="18" t="n">
        <v>-2243.19</v>
      </c>
      <c r="Y88" s="18" t="n">
        <v>5725.73</v>
      </c>
      <c r="Z88" s="37" t="n">
        <v>134.39</v>
      </c>
      <c r="AA88" s="18" t="n">
        <v>-10365.18</v>
      </c>
      <c r="AB88" s="19" t="n">
        <v>3300.29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법인세납부(CF)</t>
        </is>
      </c>
      <c r="E89" s="18" t="n">
        <v>-3.78</v>
      </c>
      <c r="F89" s="9" t="n"/>
      <c r="G89" s="18" t="n">
        <v>-6.46</v>
      </c>
      <c r="H89" s="18" t="n">
        <v>14.39</v>
      </c>
      <c r="I89" s="18" t="n">
        <v>-18.55</v>
      </c>
      <c r="J89" s="18" t="n">
        <v>-11.58</v>
      </c>
      <c r="K89" s="37" t="n">
        <v>-22.2</v>
      </c>
      <c r="L89" s="18" t="n">
        <v>-11.17</v>
      </c>
      <c r="M89" s="18" t="n">
        <v>34.43</v>
      </c>
      <c r="N89" s="18" t="n">
        <v>-24.68</v>
      </c>
      <c r="O89" s="18" t="n">
        <v>-9.23</v>
      </c>
      <c r="P89" s="37" t="n">
        <v>-10.65</v>
      </c>
      <c r="Q89" s="18" t="n">
        <v>-70.26000000000001</v>
      </c>
      <c r="R89" s="18" t="n">
        <v>35.81</v>
      </c>
      <c r="S89" s="18" t="n">
        <v>-17.81</v>
      </c>
      <c r="T89" s="18" t="n">
        <v>-29.24</v>
      </c>
      <c r="U89" s="37" t="n">
        <v>-81.5</v>
      </c>
      <c r="V89" s="18" t="n">
        <v>-78.39</v>
      </c>
      <c r="W89" s="18" t="n">
        <v>123.96</v>
      </c>
      <c r="X89" s="18" t="n">
        <v>-14.52</v>
      </c>
      <c r="Y89" s="18" t="n">
        <v>-8.44</v>
      </c>
      <c r="Z89" s="37" t="n">
        <v>22.61</v>
      </c>
      <c r="AA89" s="18" t="n">
        <v>-10.25</v>
      </c>
      <c r="AB89" s="19" t="n">
        <v>92.31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투자활동으로인한현금흐름</t>
        </is>
      </c>
      <c r="E90" s="18" t="n">
        <v>-717.84</v>
      </c>
      <c r="F90" s="9" t="n"/>
      <c r="G90" s="18" t="n">
        <v>1158.55</v>
      </c>
      <c r="H90" s="18" t="n">
        <v>2214.34</v>
      </c>
      <c r="I90" s="18" t="n">
        <v>243.79</v>
      </c>
      <c r="J90" s="18" t="n">
        <v>-119.73</v>
      </c>
      <c r="K90" s="37" t="n">
        <v>3496.95</v>
      </c>
      <c r="L90" s="18" t="n">
        <v>-3539.52</v>
      </c>
      <c r="M90" s="18" t="n">
        <v>-1739.39</v>
      </c>
      <c r="N90" s="18" t="n">
        <v>-2358.91</v>
      </c>
      <c r="O90" s="18" t="n">
        <v>-488.16</v>
      </c>
      <c r="P90" s="37" t="n">
        <v>-8125.98</v>
      </c>
      <c r="Q90" s="18" t="n">
        <v>278.45</v>
      </c>
      <c r="R90" s="18" t="n">
        <v>465.46</v>
      </c>
      <c r="S90" s="18" t="n">
        <v>-3349.36</v>
      </c>
      <c r="T90" s="18" t="n">
        <v>7803.17</v>
      </c>
      <c r="U90" s="37" t="n">
        <v>5197.72</v>
      </c>
      <c r="V90" s="18" t="n">
        <v>525.03</v>
      </c>
      <c r="W90" s="18" t="n">
        <v>-4125.64</v>
      </c>
      <c r="X90" s="18" t="n">
        <v>-10623.36</v>
      </c>
      <c r="Y90" s="18" t="n">
        <v>-4445.63</v>
      </c>
      <c r="Z90" s="37" t="n">
        <v>-18669.6</v>
      </c>
      <c r="AA90" s="18" t="n">
        <v>-198.46</v>
      </c>
      <c r="AB90" s="19" t="n">
        <v>-463.92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유형자산의증가</t>
        </is>
      </c>
      <c r="E91" s="18" t="n">
        <v>540.61</v>
      </c>
      <c r="F91" s="9" t="n"/>
      <c r="G91" s="18" t="n">
        <v>373.44</v>
      </c>
      <c r="H91" s="18" t="n">
        <v>300.08</v>
      </c>
      <c r="I91" s="18" t="n">
        <v>1008.02</v>
      </c>
      <c r="J91" s="18" t="n">
        <v>203.22</v>
      </c>
      <c r="K91" s="37" t="n">
        <v>1884.76</v>
      </c>
      <c r="L91" s="18" t="n">
        <v>1038.62</v>
      </c>
      <c r="M91" s="18" t="n">
        <v>1438.49</v>
      </c>
      <c r="N91" s="18" t="n">
        <v>731.39</v>
      </c>
      <c r="O91" s="18" t="n">
        <v>464.6</v>
      </c>
      <c r="P91" s="37" t="n">
        <v>3673.1</v>
      </c>
      <c r="Q91" s="18" t="n">
        <v>298.74</v>
      </c>
      <c r="R91" s="18" t="n">
        <v>133.64</v>
      </c>
      <c r="S91" s="18" t="n">
        <v>83.45999999999999</v>
      </c>
      <c r="T91" s="18" t="n">
        <v>201.66</v>
      </c>
      <c r="U91" s="37" t="n">
        <v>717.5</v>
      </c>
      <c r="V91" s="18" t="n">
        <v>927.16</v>
      </c>
      <c r="W91" s="18" t="n">
        <v>4089.43</v>
      </c>
      <c r="X91" s="18" t="n">
        <v>9317.719999999999</v>
      </c>
      <c r="Y91" s="18" t="n">
        <v>5485.88</v>
      </c>
      <c r="Z91" s="37" t="n">
        <v>19820.19</v>
      </c>
      <c r="AA91" s="18" t="n">
        <v>1069.01</v>
      </c>
      <c r="AB91" s="19" t="n">
        <v>500.68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CAPEX</t>
        </is>
      </c>
      <c r="E92" s="18" t="n">
        <v>540.61</v>
      </c>
      <c r="F92" s="9" t="n"/>
      <c r="G92" s="18" t="n">
        <v>373.44</v>
      </c>
      <c r="H92" s="18" t="n">
        <v>329.28</v>
      </c>
      <c r="I92" s="18" t="n">
        <v>1008.02</v>
      </c>
      <c r="J92" s="18" t="n">
        <v>203.22</v>
      </c>
      <c r="K92" s="37" t="n">
        <v>1913.96</v>
      </c>
      <c r="L92" s="18" t="n">
        <v>1038.62</v>
      </c>
      <c r="M92" s="18" t="n">
        <v>1438.49</v>
      </c>
      <c r="N92" s="18" t="n">
        <v>731.39</v>
      </c>
      <c r="O92" s="18" t="n">
        <v>464.6</v>
      </c>
      <c r="P92" s="37" t="n">
        <v>3673.1</v>
      </c>
      <c r="Q92" s="18" t="n">
        <v>298.74</v>
      </c>
      <c r="R92" s="18" t="n">
        <v>133.64</v>
      </c>
      <c r="S92" s="18" t="n">
        <v>83.45999999999999</v>
      </c>
      <c r="T92" s="18" t="n">
        <v>201.66</v>
      </c>
      <c r="U92" s="37" t="n">
        <v>717.5</v>
      </c>
      <c r="V92" s="18" t="n">
        <v>927.16</v>
      </c>
      <c r="W92" s="18" t="n">
        <v>4089.43</v>
      </c>
      <c r="X92" s="18" t="n">
        <v>9317.719999999999</v>
      </c>
      <c r="Y92" s="18" t="n">
        <v>5485.88</v>
      </c>
      <c r="Z92" s="37" t="n">
        <v>19820.19</v>
      </c>
      <c r="AA92" s="18" t="n">
        <v>1120.35</v>
      </c>
      <c r="AB92" s="19" t="n">
        <v>501.81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재무활동으로인한현금흐름</t>
        </is>
      </c>
      <c r="E93" s="18" t="n">
        <v>-516.09</v>
      </c>
      <c r="F93" s="9" t="n"/>
      <c r="G93" s="18" t="n">
        <v>-387.74</v>
      </c>
      <c r="H93" s="18" t="n">
        <v>-758.35</v>
      </c>
      <c r="I93" s="18" t="n">
        <v>-723.85</v>
      </c>
      <c r="J93" s="18" t="n">
        <v>-1513.76</v>
      </c>
      <c r="K93" s="37" t="n">
        <v>-3383.7</v>
      </c>
      <c r="L93" s="18" t="n">
        <v>1279.51</v>
      </c>
      <c r="M93" s="18" t="n">
        <v>1153.31</v>
      </c>
      <c r="N93" s="18" t="n">
        <v>2894.21</v>
      </c>
      <c r="O93" s="18" t="n">
        <v>-238.85</v>
      </c>
      <c r="P93" s="37" t="n">
        <v>5088.18</v>
      </c>
      <c r="Q93" s="18" t="n">
        <v>190.35</v>
      </c>
      <c r="R93" s="18" t="n">
        <v>-1750.97</v>
      </c>
      <c r="S93" s="18" t="n">
        <v>1355.98</v>
      </c>
      <c r="T93" s="18" t="n">
        <v>-351.54</v>
      </c>
      <c r="U93" s="37" t="n">
        <v>-556.1799999999999</v>
      </c>
      <c r="V93" s="18" t="n">
        <v>-247.34</v>
      </c>
      <c r="W93" s="18" t="n">
        <v>115.84</v>
      </c>
      <c r="X93" s="18" t="n">
        <v>10644.52</v>
      </c>
      <c r="Y93" s="18" t="n">
        <v>1505.63</v>
      </c>
      <c r="Z93" s="37" t="n">
        <v>12018.65</v>
      </c>
      <c r="AA93" s="18" t="n">
        <v>543.22</v>
      </c>
      <c r="AB93" s="19" t="n">
        <v>7614.73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단기차입금의감소</t>
        </is>
      </c>
      <c r="E94" s="18" t="n">
        <v>80.90000000000001</v>
      </c>
      <c r="F94" s="9" t="n"/>
      <c r="I94" s="18" t="n">
        <v>602.88</v>
      </c>
      <c r="J94" s="18" t="n">
        <v>37.89</v>
      </c>
      <c r="K94" s="9" t="n"/>
      <c r="N94" s="18" t="n">
        <v>-0.4</v>
      </c>
      <c r="O94" s="18" t="n">
        <v>36.73</v>
      </c>
      <c r="P94" s="9" t="n"/>
      <c r="Q94" s="18" t="n">
        <v>498.31</v>
      </c>
      <c r="R94" s="18" t="n">
        <v>827.47</v>
      </c>
      <c r="S94" s="18" t="n">
        <v>5.97</v>
      </c>
      <c r="T94" s="18" t="n">
        <v>106.17</v>
      </c>
      <c r="U94" s="37" t="n">
        <v>1437.92</v>
      </c>
      <c r="X94" s="18" t="n">
        <v>-0.22</v>
      </c>
      <c r="Y94" s="18" t="n">
        <v>0.46</v>
      </c>
      <c r="Z94" s="9" t="n"/>
      <c r="AB94" s="5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유동성장기부채의감소</t>
        </is>
      </c>
      <c r="E95" s="18" t="n">
        <v>388.88</v>
      </c>
      <c r="F95" s="9" t="n"/>
      <c r="G95" s="18" t="n">
        <v>388.88</v>
      </c>
      <c r="H95" s="18" t="n">
        <v>388.88</v>
      </c>
      <c r="I95" s="18" t="n">
        <v>65</v>
      </c>
      <c r="J95" s="18" t="n">
        <v>65</v>
      </c>
      <c r="K95" s="37" t="n">
        <v>907.76</v>
      </c>
      <c r="L95" s="18" t="n">
        <v>65</v>
      </c>
      <c r="M95" s="18" t="n">
        <v>65</v>
      </c>
      <c r="N95" s="18" t="n">
        <v>65</v>
      </c>
      <c r="O95" s="18" t="n">
        <v>65</v>
      </c>
      <c r="P95" s="37" t="n">
        <v>260</v>
      </c>
      <c r="Q95" s="18" t="n">
        <v>65</v>
      </c>
      <c r="R95" s="18" t="n">
        <v>65</v>
      </c>
      <c r="S95" s="18" t="n">
        <v>65</v>
      </c>
      <c r="T95" s="18" t="n">
        <v>190</v>
      </c>
      <c r="U95" s="37" t="n">
        <v>385</v>
      </c>
      <c r="V95" s="18" t="n">
        <v>190</v>
      </c>
      <c r="W95" s="18" t="n">
        <v>190</v>
      </c>
      <c r="X95" s="18" t="n">
        <v>125</v>
      </c>
      <c r="Y95" s="18" t="n">
        <v>125</v>
      </c>
      <c r="Z95" s="37" t="n">
        <v>630</v>
      </c>
      <c r="AA95" s="18" t="n">
        <v>125</v>
      </c>
      <c r="AB95" s="19" t="n">
        <v>210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리스부채의상환</t>
        </is>
      </c>
      <c r="E96" s="18" t="n">
        <v>57.07</v>
      </c>
      <c r="F96" s="9" t="n"/>
      <c r="I96" s="18" t="n">
        <v>60.72</v>
      </c>
      <c r="J96" s="18" t="n">
        <v>47.87</v>
      </c>
      <c r="K96" s="9" t="n"/>
      <c r="L96" s="18" t="n">
        <v>55.49</v>
      </c>
      <c r="M96" s="18" t="n">
        <v>44.33</v>
      </c>
      <c r="N96" s="18" t="n">
        <v>41.19</v>
      </c>
      <c r="O96" s="18" t="n">
        <v>137.13</v>
      </c>
      <c r="P96" s="37" t="n">
        <v>278.14</v>
      </c>
      <c r="S96" s="18" t="n">
        <v>72.11</v>
      </c>
      <c r="T96" s="18" t="n">
        <v>56.31</v>
      </c>
      <c r="U96" s="9" t="n"/>
      <c r="V96" s="18" t="n">
        <v>57.34</v>
      </c>
      <c r="W96" s="18" t="n">
        <v>54.84</v>
      </c>
      <c r="X96" s="18" t="n">
        <v>73.90000000000001</v>
      </c>
      <c r="Y96" s="18" t="n">
        <v>125.71</v>
      </c>
      <c r="Z96" s="37" t="n">
        <v>311.79</v>
      </c>
      <c r="AA96" s="18" t="n">
        <v>131.78</v>
      </c>
      <c r="AB96" s="5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현금및현금성자산의증감</t>
        </is>
      </c>
      <c r="E97" s="18" t="n">
        <v>-423.4</v>
      </c>
      <c r="F97" s="9" t="n"/>
      <c r="G97" s="18" t="n">
        <v>3925.63</v>
      </c>
      <c r="H97" s="18" t="n">
        <v>-2975.44</v>
      </c>
      <c r="I97" s="18" t="n">
        <v>3213.36</v>
      </c>
      <c r="J97" s="18" t="n">
        <v>1839.54</v>
      </c>
      <c r="K97" s="37" t="n">
        <v>6003.09</v>
      </c>
      <c r="L97" s="18" t="n">
        <v>-5444.91</v>
      </c>
      <c r="M97" s="18" t="n">
        <v>3940.02</v>
      </c>
      <c r="N97" s="18" t="n">
        <v>-4620</v>
      </c>
      <c r="O97" s="18" t="n">
        <v>3304.32</v>
      </c>
      <c r="P97" s="37" t="n">
        <v>-2820.57</v>
      </c>
      <c r="Q97" s="18" t="n">
        <v>-3403.51</v>
      </c>
      <c r="R97" s="18" t="n">
        <v>4142.46</v>
      </c>
      <c r="S97" s="18" t="n">
        <v>-4280.8</v>
      </c>
      <c r="T97" s="18" t="n">
        <v>16293.98</v>
      </c>
      <c r="U97" s="37" t="n">
        <v>12752.13</v>
      </c>
      <c r="V97" s="18" t="n">
        <v>-3222.2</v>
      </c>
      <c r="W97" s="18" t="n">
        <v>-3858.07</v>
      </c>
      <c r="X97" s="18" t="n">
        <v>-2222.02</v>
      </c>
      <c r="Y97" s="18" t="n">
        <v>2785.73</v>
      </c>
      <c r="Z97" s="37" t="n">
        <v>-6516.56</v>
      </c>
      <c r="AA97" s="18" t="n">
        <v>-10020.43</v>
      </c>
      <c r="AB97" s="19" t="n">
        <v>10451.1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기말현금및현금성자산</t>
        </is>
      </c>
      <c r="E98" s="18" t="n">
        <v>-174.43</v>
      </c>
      <c r="F98" s="9" t="n"/>
      <c r="G98" s="18" t="n">
        <v>8362.65</v>
      </c>
      <c r="H98" s="18" t="n">
        <v>-2711.42</v>
      </c>
      <c r="I98" s="18" t="n">
        <v>2529.47</v>
      </c>
      <c r="J98" s="18" t="n">
        <v>3026.85</v>
      </c>
      <c r="K98" s="37" t="n">
        <v>11207.55</v>
      </c>
      <c r="L98" s="18" t="n">
        <v>6479.86</v>
      </c>
      <c r="M98" s="18" t="n">
        <v>2626.32</v>
      </c>
      <c r="N98" s="18" t="n">
        <v>-4538.87</v>
      </c>
      <c r="O98" s="18" t="n">
        <v>3554.07</v>
      </c>
      <c r="P98" s="37" t="n">
        <v>8121.38</v>
      </c>
      <c r="Q98" s="18" t="n">
        <v>6239.84</v>
      </c>
      <c r="R98" s="18" t="n">
        <v>3840.55</v>
      </c>
      <c r="S98" s="18" t="n">
        <v>-4811.08</v>
      </c>
      <c r="T98" s="18" t="n">
        <v>15489.1</v>
      </c>
      <c r="U98" s="37" t="n">
        <v>20758.41</v>
      </c>
      <c r="V98" s="18" t="n">
        <v>17012.76</v>
      </c>
      <c r="W98" s="18" t="n">
        <v>-2636.76</v>
      </c>
      <c r="X98" s="18" t="n">
        <v>-1720.13</v>
      </c>
      <c r="Y98" s="18" t="n">
        <v>883.3</v>
      </c>
      <c r="Z98" s="37" t="n">
        <v>13539.17</v>
      </c>
      <c r="AA98" s="18" t="n">
        <v>4731.35</v>
      </c>
      <c r="AB98" s="19" t="n">
        <v>9453.34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유형자산의감소</t>
        </is>
      </c>
      <c r="F99" s="9" t="n"/>
      <c r="G99" s="18" t="n">
        <v>1.05</v>
      </c>
      <c r="H99" s="18" t="n">
        <v>0</v>
      </c>
      <c r="I99" s="18" t="n">
        <v>0</v>
      </c>
      <c r="J99" s="18" t="n">
        <v>1.69</v>
      </c>
      <c r="K99" s="37" t="n">
        <v>2.74</v>
      </c>
      <c r="P99" s="9" t="n"/>
      <c r="U99" s="9" t="n"/>
      <c r="V99" s="18" t="n">
        <v>1.5</v>
      </c>
      <c r="W99" s="18" t="n">
        <v>0</v>
      </c>
      <c r="X99" s="18" t="n">
        <v>0</v>
      </c>
      <c r="Y99" s="18" t="n">
        <v>0</v>
      </c>
      <c r="Z99" s="37" t="n">
        <v>1.5</v>
      </c>
      <c r="AB99" s="5" t="n"/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무형자산의증가</t>
        </is>
      </c>
      <c r="F100" s="9" t="n"/>
      <c r="I100" s="18" t="n">
        <v>0</v>
      </c>
      <c r="J100" s="18" t="n">
        <v>0</v>
      </c>
      <c r="K100" s="9" t="n"/>
      <c r="P100" s="9" t="n"/>
      <c r="U100" s="9" t="n"/>
      <c r="Z100" s="9" t="n"/>
      <c r="AA100" s="18" t="n">
        <v>51.34</v>
      </c>
      <c r="AB100" s="19" t="n">
        <v>1.13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단기차입금의증가</t>
        </is>
      </c>
      <c r="F101" s="9" t="n"/>
      <c r="K101" s="9" t="n"/>
      <c r="L101" s="18" t="n">
        <v>500</v>
      </c>
      <c r="M101" s="18" t="n">
        <v>500</v>
      </c>
      <c r="N101" s="18" t="n">
        <v>3000</v>
      </c>
      <c r="O101" s="18" t="n">
        <v>0</v>
      </c>
      <c r="P101" s="37" t="n">
        <v>4000</v>
      </c>
      <c r="Q101" s="18" t="n">
        <v>753.66</v>
      </c>
      <c r="U101" s="9" t="n"/>
      <c r="X101" s="18" t="n">
        <v>600</v>
      </c>
      <c r="Y101" s="18" t="n">
        <v>0</v>
      </c>
      <c r="Z101" s="9" t="n"/>
      <c r="AA101" s="18" t="n">
        <v>800</v>
      </c>
      <c r="AB101" s="19" t="n">
        <v>7800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장기차입금의증가</t>
        </is>
      </c>
      <c r="F102" s="9" t="n"/>
      <c r="K102" s="9" t="n"/>
      <c r="L102" s="18" t="n">
        <v>900</v>
      </c>
      <c r="M102" s="18" t="n">
        <v>800</v>
      </c>
      <c r="N102" s="18" t="n">
        <v>0</v>
      </c>
      <c r="O102" s="18" t="n">
        <v>0</v>
      </c>
      <c r="P102" s="37" t="n">
        <v>1700</v>
      </c>
      <c r="T102" s="18" t="n">
        <v>0</v>
      </c>
      <c r="U102" s="9" t="n"/>
      <c r="Y102" s="18" t="n">
        <v>3040</v>
      </c>
      <c r="Z102" s="9" t="n"/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이자수취(CF)</t>
        </is>
      </c>
      <c r="F103" s="9" t="n"/>
      <c r="K103" s="9" t="n"/>
      <c r="O103" s="18" t="n">
        <v>208.36</v>
      </c>
      <c r="P103" s="9" t="n"/>
      <c r="Q103" s="18" t="n">
        <v>293.83</v>
      </c>
      <c r="R103" s="18" t="n">
        <v>139.92</v>
      </c>
      <c r="S103" s="18" t="n">
        <v>73.44</v>
      </c>
      <c r="T103" s="18" t="n">
        <v>203.18</v>
      </c>
      <c r="U103" s="37" t="n">
        <v>710.37</v>
      </c>
      <c r="V103" s="18" t="n">
        <v>297.65</v>
      </c>
      <c r="W103" s="18" t="n">
        <v>68.69</v>
      </c>
      <c r="X103" s="18" t="n">
        <v>97.98</v>
      </c>
      <c r="Y103" s="18" t="n">
        <v>69.48</v>
      </c>
      <c r="Z103" s="37" t="n">
        <v>533.8</v>
      </c>
      <c r="AA103" s="18" t="n">
        <v>66.56999999999999</v>
      </c>
      <c r="AB103" s="19" t="n">
        <v>23.09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이자지급(CF)</t>
        </is>
      </c>
      <c r="F104" s="9" t="n"/>
      <c r="K104" s="9" t="n"/>
      <c r="P104" s="9" t="n"/>
      <c r="U104" s="9" t="n"/>
      <c r="V104" s="18" t="n">
        <v>-263.65</v>
      </c>
      <c r="W104" s="18" t="n">
        <v>-270.96</v>
      </c>
      <c r="X104" s="18" t="n">
        <v>-268.23</v>
      </c>
      <c r="Y104" s="18" t="n">
        <v>-369.71</v>
      </c>
      <c r="Z104" s="37" t="n">
        <v>-1172.55</v>
      </c>
      <c r="AA104" s="18" t="n">
        <v>-577.8</v>
      </c>
      <c r="AB104" s="19" t="n">
        <v>-145.18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나노(별)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30900.66</v>
      </c>
      <c r="F5" s="37" t="n">
        <v>30900.66</v>
      </c>
      <c r="G5" s="18" t="n">
        <v>40515.02</v>
      </c>
      <c r="H5" s="18" t="n">
        <v>35695.16</v>
      </c>
      <c r="I5" s="18" t="n">
        <v>35126.14</v>
      </c>
      <c r="J5" s="18" t="n">
        <v>37431.81</v>
      </c>
      <c r="K5" s="37" t="n">
        <v>37431.81</v>
      </c>
      <c r="L5" s="18" t="n">
        <v>40900</v>
      </c>
      <c r="M5" s="18" t="n">
        <v>43160.42</v>
      </c>
      <c r="N5" s="18" t="n">
        <v>37337.57</v>
      </c>
      <c r="O5" s="18" t="n">
        <v>39829</v>
      </c>
      <c r="P5" s="37" t="n">
        <v>39829</v>
      </c>
      <c r="Q5" s="18" t="n">
        <v>44617.5</v>
      </c>
      <c r="R5" s="18" t="n">
        <v>48513.25</v>
      </c>
      <c r="S5" s="18" t="n">
        <v>43301.55</v>
      </c>
      <c r="T5" s="18" t="n">
        <v>51569.14</v>
      </c>
      <c r="U5" s="37" t="n">
        <v>51569.14</v>
      </c>
      <c r="V5" s="18" t="n">
        <v>48008.57</v>
      </c>
      <c r="W5" s="18" t="n">
        <v>50979.46</v>
      </c>
      <c r="X5" s="18" t="n">
        <v>41102.54</v>
      </c>
      <c r="Y5" s="18" t="n">
        <v>36530.2</v>
      </c>
      <c r="Z5" s="37" t="n">
        <v>36530.2</v>
      </c>
      <c r="AA5" s="18" t="n">
        <v>46299.88</v>
      </c>
      <c r="AB5" s="19" t="n">
        <v>44064.14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4255.53</v>
      </c>
      <c r="F6" s="37" t="n">
        <v>4255.53</v>
      </c>
      <c r="G6" s="18" t="n">
        <v>8173.6</v>
      </c>
      <c r="H6" s="18" t="n">
        <v>5382.14</v>
      </c>
      <c r="I6" s="18" t="n">
        <v>7754.5</v>
      </c>
      <c r="J6" s="18" t="n">
        <v>10791.43</v>
      </c>
      <c r="K6" s="37" t="n">
        <v>10791.43</v>
      </c>
      <c r="L6" s="18" t="n">
        <v>5756.94</v>
      </c>
      <c r="M6" s="18" t="n">
        <v>7876.26</v>
      </c>
      <c r="N6" s="18" t="n">
        <v>3633.18</v>
      </c>
      <c r="O6" s="18" t="n">
        <v>7957.13</v>
      </c>
      <c r="P6" s="37" t="n">
        <v>7957.13</v>
      </c>
      <c r="Q6" s="18" t="n">
        <v>5831.42</v>
      </c>
      <c r="R6" s="18" t="n">
        <v>9730.15</v>
      </c>
      <c r="S6" s="18" t="n">
        <v>4837.41</v>
      </c>
      <c r="T6" s="18" t="n">
        <v>20256.12</v>
      </c>
      <c r="U6" s="37" t="n">
        <v>20256.12</v>
      </c>
      <c r="V6" s="18" t="n">
        <v>16618.2</v>
      </c>
      <c r="W6" s="18" t="n">
        <v>13999.18</v>
      </c>
      <c r="X6" s="18" t="n">
        <v>11646.56</v>
      </c>
      <c r="Y6" s="18" t="n">
        <v>13023.23</v>
      </c>
      <c r="Z6" s="37" t="n">
        <v>13023.23</v>
      </c>
      <c r="AA6" s="18" t="n">
        <v>4292.47</v>
      </c>
      <c r="AB6" s="19" t="n">
        <v>13403.77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10010.19</v>
      </c>
      <c r="F7" s="37" t="n">
        <v>10010.19</v>
      </c>
      <c r="G7" s="18" t="n">
        <v>8514.68</v>
      </c>
      <c r="H7" s="18" t="n">
        <v>7029.23</v>
      </c>
      <c r="I7" s="18" t="n">
        <v>5800</v>
      </c>
      <c r="J7" s="18" t="n">
        <v>5800</v>
      </c>
      <c r="K7" s="37" t="n">
        <v>5800</v>
      </c>
      <c r="L7" s="18" t="n">
        <v>7800</v>
      </c>
      <c r="M7" s="18" t="n">
        <v>7800</v>
      </c>
      <c r="N7" s="18" t="n">
        <v>6300</v>
      </c>
      <c r="O7" s="18" t="n">
        <v>6300</v>
      </c>
      <c r="P7" s="37" t="n">
        <v>6300</v>
      </c>
      <c r="Q7" s="18" t="n">
        <v>5800</v>
      </c>
      <c r="R7" s="18" t="n">
        <v>5800</v>
      </c>
      <c r="S7" s="18" t="n">
        <v>9400</v>
      </c>
      <c r="T7" s="18" t="n">
        <v>2811.4</v>
      </c>
      <c r="U7" s="37" t="n">
        <v>2811.4</v>
      </c>
      <c r="V7" s="18" t="n">
        <v>2812.3</v>
      </c>
      <c r="W7" s="18" t="n">
        <v>2813.2</v>
      </c>
      <c r="X7" s="18" t="n">
        <v>2814.1</v>
      </c>
      <c r="Y7" s="18" t="n">
        <v>2815</v>
      </c>
      <c r="Z7" s="37" t="n">
        <v>2815</v>
      </c>
      <c r="AA7" s="18" t="n">
        <v>2620</v>
      </c>
      <c r="AB7" s="19" t="n">
        <v>2620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10010.19</v>
      </c>
      <c r="F8" s="37" t="n">
        <v>10010.19</v>
      </c>
      <c r="G8" s="18" t="n">
        <v>8514.68</v>
      </c>
      <c r="H8" s="18" t="n">
        <v>7029.23</v>
      </c>
      <c r="I8" s="18" t="n">
        <v>6098.51</v>
      </c>
      <c r="J8" s="18" t="n">
        <v>5800</v>
      </c>
      <c r="K8" s="37" t="n">
        <v>5800</v>
      </c>
      <c r="L8" s="18" t="n">
        <v>7800</v>
      </c>
      <c r="M8" s="18" t="n">
        <v>7800</v>
      </c>
      <c r="N8" s="18" t="n">
        <v>6300</v>
      </c>
      <c r="O8" s="18" t="n">
        <v>6300</v>
      </c>
      <c r="P8" s="37" t="n">
        <v>6300</v>
      </c>
      <c r="Q8" s="18" t="n">
        <v>5800</v>
      </c>
      <c r="R8" s="18" t="n">
        <v>5800</v>
      </c>
      <c r="S8" s="18" t="n">
        <v>9400</v>
      </c>
      <c r="T8" s="18" t="n">
        <v>2811.4</v>
      </c>
      <c r="U8" s="37" t="n">
        <v>2811.4</v>
      </c>
      <c r="V8" s="18" t="n">
        <v>2812.3</v>
      </c>
      <c r="W8" s="18" t="n">
        <v>2813.2</v>
      </c>
      <c r="X8" s="18" t="n">
        <v>2814.1</v>
      </c>
      <c r="Y8" s="18" t="n">
        <v>2815</v>
      </c>
      <c r="Z8" s="37" t="n">
        <v>2815</v>
      </c>
      <c r="AA8" s="18" t="n">
        <v>2620</v>
      </c>
      <c r="AB8" s="19" t="n">
        <v>2620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3804.03</v>
      </c>
      <c r="F9" s="37" t="n">
        <v>3804.03</v>
      </c>
      <c r="G9" s="18" t="n">
        <v>2340.5</v>
      </c>
      <c r="H9" s="18" t="n">
        <v>5992.84</v>
      </c>
      <c r="I9" s="18" t="n">
        <v>5114.07</v>
      </c>
      <c r="J9" s="18" t="n">
        <v>4035.99</v>
      </c>
      <c r="K9" s="37" t="n">
        <v>4035.99</v>
      </c>
      <c r="L9" s="18" t="n">
        <v>3429.74</v>
      </c>
      <c r="M9" s="18" t="n">
        <v>6757.22</v>
      </c>
      <c r="N9" s="18" t="n">
        <v>5315.72</v>
      </c>
      <c r="O9" s="18" t="n">
        <v>3612.89</v>
      </c>
      <c r="P9" s="37" t="n">
        <v>3612.89</v>
      </c>
      <c r="Q9" s="18" t="n">
        <v>8003.3</v>
      </c>
      <c r="R9" s="18" t="n">
        <v>6797.24</v>
      </c>
      <c r="S9" s="18" t="n">
        <v>3556.65</v>
      </c>
      <c r="T9" s="18" t="n">
        <v>7363.24</v>
      </c>
      <c r="U9" s="37" t="n">
        <v>7363.24</v>
      </c>
      <c r="V9" s="18" t="n">
        <v>4715.69</v>
      </c>
      <c r="W9" s="18" t="n">
        <v>2795.19</v>
      </c>
      <c r="X9" s="18" t="n">
        <v>5517.99</v>
      </c>
      <c r="Y9" s="18" t="n">
        <v>5015.35</v>
      </c>
      <c r="Z9" s="37" t="n">
        <v>5015.35</v>
      </c>
      <c r="AA9" s="18" t="n">
        <v>11518.85</v>
      </c>
      <c r="AB9" s="19" t="n">
        <v>6508.74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기타유동금융자산</t>
        </is>
      </c>
      <c r="E10" s="18" t="n">
        <v>2129.58</v>
      </c>
      <c r="F10" s="37" t="n">
        <v>2129.58</v>
      </c>
      <c r="G10" s="18" t="n">
        <v>2867.49</v>
      </c>
      <c r="H10" s="18" t="n">
        <v>639.17</v>
      </c>
      <c r="I10" s="18" t="n">
        <v>481.33</v>
      </c>
      <c r="J10" s="18" t="n">
        <v>182.86</v>
      </c>
      <c r="K10" s="37" t="n">
        <v>182.86</v>
      </c>
      <c r="L10" s="18" t="n">
        <v>1294.86</v>
      </c>
      <c r="M10" s="18" t="n">
        <v>1552.34</v>
      </c>
      <c r="N10" s="18" t="n">
        <v>4964.46</v>
      </c>
      <c r="O10" s="18" t="n">
        <v>4524.61</v>
      </c>
      <c r="P10" s="37" t="n">
        <v>4524.61</v>
      </c>
      <c r="Q10" s="18" t="n">
        <v>4543.42</v>
      </c>
      <c r="R10" s="18" t="n">
        <v>3834.83</v>
      </c>
      <c r="S10" s="18" t="n">
        <v>4425.99</v>
      </c>
      <c r="T10" s="18" t="n">
        <v>3965.01</v>
      </c>
      <c r="U10" s="37" t="n">
        <v>3965.01</v>
      </c>
      <c r="V10" s="18" t="n">
        <v>840.65</v>
      </c>
      <c r="W10" s="18" t="n">
        <v>883.92</v>
      </c>
      <c r="X10" s="18" t="n">
        <v>1179.23</v>
      </c>
      <c r="Y10" s="18" t="n">
        <v>988.64</v>
      </c>
      <c r="Z10" s="37" t="n">
        <v>988.64</v>
      </c>
      <c r="AA10" s="18" t="n">
        <v>418.46</v>
      </c>
      <c r="AB10" s="19" t="n">
        <v>475.28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기타유동자산</t>
        </is>
      </c>
      <c r="E11" s="18" t="n">
        <v>2772.5</v>
      </c>
      <c r="F11" s="37" t="n">
        <v>2772.5</v>
      </c>
      <c r="G11" s="18" t="n">
        <v>3329.47</v>
      </c>
      <c r="H11" s="18" t="n">
        <v>2954.66</v>
      </c>
      <c r="I11" s="18" t="n">
        <v>3801.61</v>
      </c>
      <c r="J11" s="18" t="n">
        <v>2182.62</v>
      </c>
      <c r="K11" s="37" t="n">
        <v>2182.62</v>
      </c>
      <c r="L11" s="18" t="n">
        <v>2076.94</v>
      </c>
      <c r="M11" s="18" t="n">
        <v>2439.42</v>
      </c>
      <c r="N11" s="18" t="n">
        <v>2424.01</v>
      </c>
      <c r="O11" s="18" t="n">
        <v>1620.29</v>
      </c>
      <c r="P11" s="37" t="n">
        <v>1620.29</v>
      </c>
      <c r="Q11" s="18" t="n">
        <v>1428.24</v>
      </c>
      <c r="R11" s="18" t="n">
        <v>1668.7</v>
      </c>
      <c r="S11" s="18" t="n">
        <v>1643.71</v>
      </c>
      <c r="T11" s="18" t="n">
        <v>1564.66</v>
      </c>
      <c r="U11" s="37" t="n">
        <v>1564.66</v>
      </c>
      <c r="V11" s="18" t="n">
        <v>1784.87</v>
      </c>
      <c r="W11" s="18" t="n">
        <v>1311.57</v>
      </c>
      <c r="X11" s="18" t="n">
        <v>1877.02</v>
      </c>
      <c r="Y11" s="18" t="n">
        <v>1026.38</v>
      </c>
      <c r="Z11" s="37" t="n">
        <v>1026.38</v>
      </c>
      <c r="AA11" s="18" t="n">
        <v>5154.53</v>
      </c>
      <c r="AB11" s="19" t="n">
        <v>4130.14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재고자산</t>
        </is>
      </c>
      <c r="E12" s="18" t="n">
        <v>7910.91</v>
      </c>
      <c r="F12" s="37" t="n">
        <v>7910.91</v>
      </c>
      <c r="G12" s="18" t="n">
        <v>13670.64</v>
      </c>
      <c r="H12" s="18" t="n">
        <v>13375.69</v>
      </c>
      <c r="I12" s="18" t="n">
        <v>11736.74</v>
      </c>
      <c r="J12" s="18" t="n">
        <v>14087.97</v>
      </c>
      <c r="K12" s="37" t="n">
        <v>14087.97</v>
      </c>
      <c r="L12" s="18" t="n">
        <v>20148.69</v>
      </c>
      <c r="M12" s="18" t="n">
        <v>16367.91</v>
      </c>
      <c r="N12" s="18" t="n">
        <v>13789.22</v>
      </c>
      <c r="O12" s="18" t="n">
        <v>14902.41</v>
      </c>
      <c r="P12" s="37" t="n">
        <v>14902.41</v>
      </c>
      <c r="Q12" s="18" t="n">
        <v>18379.19</v>
      </c>
      <c r="R12" s="18" t="n">
        <v>20336.22</v>
      </c>
      <c r="S12" s="18" t="n">
        <v>19224.06</v>
      </c>
      <c r="T12" s="18" t="n">
        <v>15474.77</v>
      </c>
      <c r="U12" s="37" t="n">
        <v>15474.77</v>
      </c>
      <c r="V12" s="18" t="n">
        <v>21024.54</v>
      </c>
      <c r="W12" s="18" t="n">
        <v>29088.04</v>
      </c>
      <c r="X12" s="18" t="n">
        <v>17964.81</v>
      </c>
      <c r="Y12" s="18" t="n">
        <v>13550.27</v>
      </c>
      <c r="Z12" s="37" t="n">
        <v>13550.27</v>
      </c>
      <c r="AA12" s="18" t="n">
        <v>22174.05</v>
      </c>
      <c r="AB12" s="19" t="n">
        <v>16911.17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당기법인세자산(선급법인세)</t>
        </is>
      </c>
      <c r="E13" s="18" t="n">
        <v>17.92</v>
      </c>
      <c r="F13" s="37" t="n">
        <v>17.92</v>
      </c>
      <c r="G13" s="18" t="n">
        <v>24.38</v>
      </c>
      <c r="H13" s="18" t="n">
        <v>11.66</v>
      </c>
      <c r="I13" s="18" t="n">
        <v>30.16</v>
      </c>
      <c r="J13" s="18" t="n">
        <v>37.88</v>
      </c>
      <c r="K13" s="37" t="n">
        <v>37.88</v>
      </c>
      <c r="L13" s="18" t="n">
        <v>49.04</v>
      </c>
      <c r="M13" s="18" t="n">
        <v>18.53</v>
      </c>
      <c r="N13" s="18" t="n">
        <v>43.21</v>
      </c>
      <c r="O13" s="18" t="n">
        <v>52.43</v>
      </c>
      <c r="P13" s="37" t="n">
        <v>52.43</v>
      </c>
      <c r="Q13" s="18" t="n">
        <v>122.7</v>
      </c>
      <c r="R13" s="18" t="n">
        <v>86.89</v>
      </c>
      <c r="S13" s="18" t="n">
        <v>104.5</v>
      </c>
      <c r="T13" s="18" t="n">
        <v>133.94</v>
      </c>
      <c r="U13" s="37" t="n">
        <v>133.94</v>
      </c>
      <c r="V13" s="18" t="n">
        <v>212.32</v>
      </c>
      <c r="W13" s="18" t="n">
        <v>88.37</v>
      </c>
      <c r="X13" s="18" t="n">
        <v>102.83</v>
      </c>
      <c r="Y13" s="18" t="n">
        <v>111.33</v>
      </c>
      <c r="Z13" s="37" t="n">
        <v>111.33</v>
      </c>
      <c r="AA13" s="18" t="n">
        <v>121.53</v>
      </c>
      <c r="AB13" s="19" t="n">
        <v>13.16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27330.58</v>
      </c>
      <c r="F14" s="37" t="n">
        <v>27330.58</v>
      </c>
      <c r="G14" s="18" t="n">
        <v>27068.17</v>
      </c>
      <c r="H14" s="18" t="n">
        <v>27627.46</v>
      </c>
      <c r="I14" s="18" t="n">
        <v>27986.3</v>
      </c>
      <c r="J14" s="18" t="n">
        <v>19527.66</v>
      </c>
      <c r="K14" s="37" t="n">
        <v>19527.66</v>
      </c>
      <c r="L14" s="18" t="n">
        <v>20581.94</v>
      </c>
      <c r="M14" s="18" t="n">
        <v>21759.43</v>
      </c>
      <c r="N14" s="18" t="n">
        <v>21969.23</v>
      </c>
      <c r="O14" s="18" t="n">
        <v>20218.18</v>
      </c>
      <c r="P14" s="37" t="n">
        <v>20218.18</v>
      </c>
      <c r="Q14" s="18" t="n">
        <v>20454.12</v>
      </c>
      <c r="R14" s="18" t="n">
        <v>23194.76</v>
      </c>
      <c r="S14" s="18" t="n">
        <v>22394.22</v>
      </c>
      <c r="T14" s="18" t="n">
        <v>19894.71</v>
      </c>
      <c r="U14" s="37" t="n">
        <v>19894.71</v>
      </c>
      <c r="V14" s="18" t="n">
        <v>24494.69</v>
      </c>
      <c r="W14" s="18" t="n">
        <v>28239.63</v>
      </c>
      <c r="X14" s="18" t="n">
        <v>36358.94</v>
      </c>
      <c r="Y14" s="18" t="n">
        <v>51553.56</v>
      </c>
      <c r="Z14" s="37" t="n">
        <v>51553.56</v>
      </c>
      <c r="AA14" s="18" t="n">
        <v>53603.38</v>
      </c>
      <c r="AB14" s="19" t="n">
        <v>49338.43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0.6</v>
      </c>
      <c r="F15" s="37" t="n">
        <v>0.6</v>
      </c>
      <c r="G15" s="18" t="n">
        <v>1.5</v>
      </c>
      <c r="H15" s="18" t="n">
        <v>2.4</v>
      </c>
      <c r="I15" s="18" t="n">
        <v>3.3</v>
      </c>
      <c r="J15" s="18" t="n">
        <v>2353.49</v>
      </c>
      <c r="K15" s="37" t="n">
        <v>2353.49</v>
      </c>
      <c r="L15" s="18" t="n">
        <v>5.1</v>
      </c>
      <c r="M15" s="18" t="n">
        <v>6</v>
      </c>
      <c r="N15" s="18" t="n">
        <v>6.9</v>
      </c>
      <c r="O15" s="18" t="n">
        <v>2955.88</v>
      </c>
      <c r="P15" s="37" t="n">
        <v>2955.88</v>
      </c>
      <c r="Q15" s="18" t="n">
        <v>3185.15</v>
      </c>
      <c r="R15" s="18" t="n">
        <v>2822.91</v>
      </c>
      <c r="S15" s="18" t="n">
        <v>1430.86</v>
      </c>
      <c r="T15" s="18" t="n">
        <v>313.61</v>
      </c>
      <c r="U15" s="37" t="n">
        <v>313.61</v>
      </c>
      <c r="V15" s="18" t="n">
        <v>313.61</v>
      </c>
      <c r="W15" s="18" t="n">
        <v>313.61</v>
      </c>
      <c r="X15" s="18" t="n">
        <v>313.61</v>
      </c>
      <c r="Y15" s="18" t="n">
        <v>313.61</v>
      </c>
      <c r="Z15" s="37" t="n">
        <v>313.61</v>
      </c>
      <c r="AA15" s="18" t="n">
        <v>44.69</v>
      </c>
      <c r="AB15" s="19" t="n">
        <v>44.69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10773.97</v>
      </c>
      <c r="F16" s="37" t="n">
        <v>10773.97</v>
      </c>
      <c r="G16" s="18" t="n">
        <v>10774.87</v>
      </c>
      <c r="H16" s="18" t="n">
        <v>10437.86</v>
      </c>
      <c r="I16" s="18" t="n">
        <v>10438.76</v>
      </c>
      <c r="J16" s="18" t="n">
        <v>4578.25</v>
      </c>
      <c r="K16" s="37" t="n">
        <v>4578.25</v>
      </c>
      <c r="L16" s="18" t="n">
        <v>2229.86</v>
      </c>
      <c r="M16" s="18" t="n">
        <v>2230.76</v>
      </c>
      <c r="N16" s="18" t="n">
        <v>2231.66</v>
      </c>
      <c r="O16" s="18" t="n">
        <v>3186.53</v>
      </c>
      <c r="P16" s="37" t="n">
        <v>3186.53</v>
      </c>
      <c r="Q16" s="18" t="n">
        <v>3415.8</v>
      </c>
      <c r="R16" s="18" t="n">
        <v>3443.56</v>
      </c>
      <c r="S16" s="18" t="n">
        <v>2809.37</v>
      </c>
      <c r="T16" s="18" t="n">
        <v>2392.12</v>
      </c>
      <c r="U16" s="37" t="n">
        <v>2392.12</v>
      </c>
      <c r="V16" s="18" t="n">
        <v>4392.12</v>
      </c>
      <c r="W16" s="18" t="n">
        <v>4392.12</v>
      </c>
      <c r="X16" s="18" t="n">
        <v>5670.92</v>
      </c>
      <c r="Y16" s="18" t="n">
        <v>14052.2</v>
      </c>
      <c r="Z16" s="37" t="n">
        <v>14052.2</v>
      </c>
      <c r="AA16" s="18" t="n">
        <v>15881.28</v>
      </c>
      <c r="AB16" s="19" t="n">
        <v>11515.97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10773.37</v>
      </c>
      <c r="F17" s="37" t="n">
        <v>10773.37</v>
      </c>
      <c r="G17" s="18" t="n">
        <v>10773.37</v>
      </c>
      <c r="H17" s="18" t="n">
        <v>10435.46</v>
      </c>
      <c r="I17" s="18" t="n">
        <v>10435.46</v>
      </c>
      <c r="J17" s="18" t="n">
        <v>2224.76</v>
      </c>
      <c r="K17" s="37" t="n">
        <v>2224.76</v>
      </c>
      <c r="L17" s="18" t="n">
        <v>2224.76</v>
      </c>
      <c r="M17" s="18" t="n">
        <v>2224.76</v>
      </c>
      <c r="N17" s="18" t="n">
        <v>2224.76</v>
      </c>
      <c r="O17" s="18" t="n">
        <v>230.65</v>
      </c>
      <c r="P17" s="37" t="n">
        <v>230.65</v>
      </c>
      <c r="Q17" s="18" t="n">
        <v>230.65</v>
      </c>
      <c r="R17" s="18" t="n">
        <v>620.65</v>
      </c>
      <c r="S17" s="18" t="n">
        <v>1378.51</v>
      </c>
      <c r="T17" s="18" t="n">
        <v>2078.51</v>
      </c>
      <c r="U17" s="37" t="n">
        <v>2078.51</v>
      </c>
      <c r="V17" s="18" t="n">
        <v>4078.51</v>
      </c>
      <c r="W17" s="18" t="n">
        <v>4078.51</v>
      </c>
      <c r="X17" s="18" t="n">
        <v>5357.31</v>
      </c>
      <c r="Y17" s="18" t="n">
        <v>13738.59</v>
      </c>
      <c r="Z17" s="37" t="n">
        <v>13738.59</v>
      </c>
      <c r="AA17" s="18" t="n">
        <v>15836.59</v>
      </c>
      <c r="AB17" s="19" t="n">
        <v>11471.28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14253.67</v>
      </c>
      <c r="F18" s="37" t="n">
        <v>14253.67</v>
      </c>
      <c r="G18" s="18" t="n">
        <v>14074.25</v>
      </c>
      <c r="H18" s="18" t="n">
        <v>13897.7</v>
      </c>
      <c r="I18" s="18" t="n">
        <v>14305.46</v>
      </c>
      <c r="J18" s="18" t="n">
        <v>14171.54</v>
      </c>
      <c r="K18" s="37" t="n">
        <v>14171.54</v>
      </c>
      <c r="L18" s="18" t="n">
        <v>15005.32</v>
      </c>
      <c r="M18" s="18" t="n">
        <v>16260.46</v>
      </c>
      <c r="N18" s="18" t="n">
        <v>16503.26</v>
      </c>
      <c r="O18" s="18" t="n">
        <v>16550.86</v>
      </c>
      <c r="P18" s="37" t="n">
        <v>16550.86</v>
      </c>
      <c r="Q18" s="18" t="n">
        <v>16558.98</v>
      </c>
      <c r="R18" s="18" t="n">
        <v>16356.42</v>
      </c>
      <c r="S18" s="18" t="n">
        <v>16186.32</v>
      </c>
      <c r="T18" s="18" t="n">
        <v>16089.78</v>
      </c>
      <c r="U18" s="37" t="n">
        <v>16089.78</v>
      </c>
      <c r="V18" s="18" t="n">
        <v>19172.55</v>
      </c>
      <c r="W18" s="18" t="n">
        <v>22884.29</v>
      </c>
      <c r="X18" s="18" t="n">
        <v>29735.22</v>
      </c>
      <c r="Y18" s="18" t="n">
        <v>34882.94</v>
      </c>
      <c r="Z18" s="37" t="n">
        <v>34882.94</v>
      </c>
      <c r="AA18" s="18" t="n">
        <v>35086.18</v>
      </c>
      <c r="AB18" s="19" t="n">
        <v>35270.79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사용권자산</t>
        </is>
      </c>
      <c r="E19" s="18" t="n">
        <v>144.74</v>
      </c>
      <c r="F19" s="37" t="n">
        <v>144.74</v>
      </c>
      <c r="G19" s="18" t="n">
        <v>144.74</v>
      </c>
      <c r="H19" s="18" t="n">
        <v>135.15</v>
      </c>
      <c r="I19" s="18" t="n">
        <v>121.52</v>
      </c>
      <c r="J19" s="18" t="n">
        <v>106.52</v>
      </c>
      <c r="K19" s="37" t="n">
        <v>106.52</v>
      </c>
      <c r="L19" s="18" t="n">
        <v>92.88</v>
      </c>
      <c r="M19" s="18" t="n">
        <v>80.59999999999999</v>
      </c>
      <c r="N19" s="18" t="n">
        <v>67.86</v>
      </c>
      <c r="O19" s="18" t="n">
        <v>60.57</v>
      </c>
      <c r="P19" s="37" t="n">
        <v>60.57</v>
      </c>
      <c r="Q19" s="18" t="n">
        <v>60.57</v>
      </c>
      <c r="R19" s="18" t="n">
        <v>92.19</v>
      </c>
      <c r="S19" s="18" t="n">
        <v>97.41</v>
      </c>
      <c r="T19" s="18" t="n">
        <v>85.36</v>
      </c>
      <c r="U19" s="37" t="n">
        <v>85.36</v>
      </c>
      <c r="V19" s="18" t="n">
        <v>72.53</v>
      </c>
      <c r="W19" s="18" t="n">
        <v>194.16</v>
      </c>
      <c r="X19" s="18" t="n">
        <v>180.84</v>
      </c>
      <c r="Y19" s="18" t="n">
        <v>165.27</v>
      </c>
      <c r="Z19" s="37" t="n">
        <v>165.27</v>
      </c>
      <c r="AA19" s="18" t="n">
        <v>180.43</v>
      </c>
      <c r="AB19" s="19" t="n">
        <v>168.89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기타비유동자산</t>
        </is>
      </c>
      <c r="E20" s="18" t="n">
        <v>144.74</v>
      </c>
      <c r="F20" s="37" t="n">
        <v>144.74</v>
      </c>
      <c r="G20" s="18" t="n">
        <v>144.74</v>
      </c>
      <c r="H20" s="18" t="n">
        <v>135.15</v>
      </c>
      <c r="I20" s="18" t="n">
        <v>121.52</v>
      </c>
      <c r="J20" s="18" t="n">
        <v>106.52</v>
      </c>
      <c r="K20" s="37" t="n">
        <v>106.52</v>
      </c>
      <c r="L20" s="18" t="n">
        <v>92.88</v>
      </c>
      <c r="M20" s="18" t="n">
        <v>80.59999999999999</v>
      </c>
      <c r="N20" s="18" t="n">
        <v>67.86</v>
      </c>
      <c r="O20" s="18" t="n">
        <v>60.57</v>
      </c>
      <c r="P20" s="37" t="n">
        <v>60.57</v>
      </c>
      <c r="Q20" s="18" t="n">
        <v>60.57</v>
      </c>
      <c r="R20" s="18" t="n">
        <v>92.19</v>
      </c>
      <c r="S20" s="18" t="n">
        <v>97.41</v>
      </c>
      <c r="T20" s="18" t="n">
        <v>85.36</v>
      </c>
      <c r="U20" s="37" t="n">
        <v>85.36</v>
      </c>
      <c r="V20" s="18" t="n">
        <v>72.53</v>
      </c>
      <c r="W20" s="18" t="n">
        <v>194.16</v>
      </c>
      <c r="X20" s="18" t="n">
        <v>180.84</v>
      </c>
      <c r="Y20" s="18" t="n">
        <v>165.27</v>
      </c>
      <c r="Z20" s="37" t="n">
        <v>165.27</v>
      </c>
      <c r="AA20" s="18" t="n">
        <v>180.43</v>
      </c>
      <c r="AB20" s="19" t="n">
        <v>168.89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무형자산</t>
        </is>
      </c>
      <c r="E21" s="18" t="n">
        <v>273.74</v>
      </c>
      <c r="F21" s="37" t="n">
        <v>273.74</v>
      </c>
      <c r="G21" s="18" t="n">
        <v>250.36</v>
      </c>
      <c r="H21" s="18" t="n">
        <v>255.69</v>
      </c>
      <c r="I21" s="18" t="n">
        <v>230.84</v>
      </c>
      <c r="J21" s="18" t="n">
        <v>206</v>
      </c>
      <c r="K21" s="37" t="n">
        <v>206</v>
      </c>
      <c r="L21" s="18" t="n">
        <v>181.15</v>
      </c>
      <c r="M21" s="18" t="n">
        <v>156.31</v>
      </c>
      <c r="N21" s="18" t="n">
        <v>131.46</v>
      </c>
      <c r="O21" s="18" t="n">
        <v>106.62</v>
      </c>
      <c r="P21" s="37" t="n">
        <v>106.62</v>
      </c>
      <c r="Q21" s="18" t="n">
        <v>105.16</v>
      </c>
      <c r="R21" s="18" t="n">
        <v>103.7</v>
      </c>
      <c r="S21" s="18" t="n">
        <v>102.24</v>
      </c>
      <c r="T21" s="18" t="n">
        <v>100.78</v>
      </c>
      <c r="U21" s="37" t="n">
        <v>100.78</v>
      </c>
      <c r="V21" s="18" t="n">
        <v>99.31999999999999</v>
      </c>
      <c r="W21" s="18" t="n">
        <v>97.86</v>
      </c>
      <c r="X21" s="18" t="n">
        <v>96.40000000000001</v>
      </c>
      <c r="Y21" s="18" t="n">
        <v>94.94</v>
      </c>
      <c r="Z21" s="37" t="n">
        <v>94.94</v>
      </c>
      <c r="AA21" s="18" t="n">
        <v>93.48</v>
      </c>
      <c r="AB21" s="19" t="n">
        <v>92.02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58231.24</v>
      </c>
      <c r="F22" s="37" t="n">
        <v>58231.24</v>
      </c>
      <c r="G22" s="18" t="n">
        <v>67583.17999999999</v>
      </c>
      <c r="H22" s="18" t="n">
        <v>63322.62</v>
      </c>
      <c r="I22" s="18" t="n">
        <v>63112.44</v>
      </c>
      <c r="J22" s="18" t="n">
        <v>56959.47</v>
      </c>
      <c r="K22" s="37" t="n">
        <v>56959.47</v>
      </c>
      <c r="L22" s="18" t="n">
        <v>61481.94</v>
      </c>
      <c r="M22" s="18" t="n">
        <v>64919.85</v>
      </c>
      <c r="N22" s="18" t="n">
        <v>59306.8</v>
      </c>
      <c r="O22" s="18" t="n">
        <v>60047.19</v>
      </c>
      <c r="P22" s="37" t="n">
        <v>60047.19</v>
      </c>
      <c r="Q22" s="18" t="n">
        <v>65071.62</v>
      </c>
      <c r="R22" s="18" t="n">
        <v>71708.00999999999</v>
      </c>
      <c r="S22" s="18" t="n">
        <v>65695.77</v>
      </c>
      <c r="T22" s="18" t="n">
        <v>71463.85000000001</v>
      </c>
      <c r="U22" s="37" t="n">
        <v>71463.85000000001</v>
      </c>
      <c r="V22" s="18" t="n">
        <v>72503.27</v>
      </c>
      <c r="W22" s="18" t="n">
        <v>79219.08</v>
      </c>
      <c r="X22" s="18" t="n">
        <v>77461.48</v>
      </c>
      <c r="Y22" s="18" t="n">
        <v>88083.75999999999</v>
      </c>
      <c r="Z22" s="37" t="n">
        <v>88083.75999999999</v>
      </c>
      <c r="AA22" s="18" t="n">
        <v>99903.25999999999</v>
      </c>
      <c r="AB22" s="19" t="n">
        <v>93402.57000000001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28007.53</v>
      </c>
      <c r="F23" s="37" t="n">
        <v>28007.53</v>
      </c>
      <c r="G23" s="18" t="n">
        <v>37101.91</v>
      </c>
      <c r="H23" s="18" t="n">
        <v>32862.38</v>
      </c>
      <c r="I23" s="18" t="n">
        <v>32257.91</v>
      </c>
      <c r="J23" s="18" t="n">
        <v>57749.8</v>
      </c>
      <c r="K23" s="37" t="n">
        <v>57749.8</v>
      </c>
      <c r="L23" s="18" t="n">
        <v>36851.01</v>
      </c>
      <c r="M23" s="18" t="n">
        <v>35117.66</v>
      </c>
      <c r="N23" s="18" t="n">
        <v>28393.93</v>
      </c>
      <c r="O23" s="18" t="n">
        <v>55214.37</v>
      </c>
      <c r="P23" s="37" t="n">
        <v>55214.37</v>
      </c>
      <c r="Q23" s="18" t="n">
        <v>51294.27</v>
      </c>
      <c r="R23" s="18" t="n">
        <v>52286.02</v>
      </c>
      <c r="S23" s="18" t="n">
        <v>40491.94</v>
      </c>
      <c r="T23" s="18" t="n">
        <v>42132.97</v>
      </c>
      <c r="U23" s="37" t="n">
        <v>42132.97</v>
      </c>
      <c r="V23" s="18" t="n">
        <v>37207.09</v>
      </c>
      <c r="W23" s="18" t="n">
        <v>43292.75</v>
      </c>
      <c r="X23" s="18" t="n">
        <v>26884.07</v>
      </c>
      <c r="Y23" s="18" t="n">
        <v>24871.1</v>
      </c>
      <c r="Z23" s="37" t="n">
        <v>24871.1</v>
      </c>
      <c r="AA23" s="18" t="n">
        <v>37372.45</v>
      </c>
      <c r="AB23" s="19" t="n">
        <v>35595.4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3979.75</v>
      </c>
      <c r="F24" s="37" t="n">
        <v>3979.75</v>
      </c>
      <c r="G24" s="18" t="n">
        <v>8709.889999999999</v>
      </c>
      <c r="H24" s="18" t="n">
        <v>6509.3</v>
      </c>
      <c r="I24" s="18" t="n">
        <v>8462.32</v>
      </c>
      <c r="J24" s="18" t="n">
        <v>9133.549999999999</v>
      </c>
      <c r="K24" s="37" t="n">
        <v>9133.549999999999</v>
      </c>
      <c r="L24" s="18" t="n">
        <v>13830.78</v>
      </c>
      <c r="M24" s="18" t="n">
        <v>10762.18</v>
      </c>
      <c r="N24" s="18" t="n">
        <v>8824.040000000001</v>
      </c>
      <c r="O24" s="18" t="n">
        <v>10647.42</v>
      </c>
      <c r="P24" s="37" t="n">
        <v>10647.42</v>
      </c>
      <c r="Q24" s="18" t="n">
        <v>12006.45</v>
      </c>
      <c r="R24" s="18" t="n">
        <v>7041.46</v>
      </c>
      <c r="S24" s="18" t="n">
        <v>6157.08</v>
      </c>
      <c r="U24" s="9" t="n"/>
      <c r="Z24" s="9" t="n"/>
      <c r="AB24" s="5" t="n"/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계약부채</t>
        </is>
      </c>
      <c r="E25" s="18" t="n">
        <v>5015.57</v>
      </c>
      <c r="F25" s="37" t="n">
        <v>5015.57</v>
      </c>
      <c r="G25" s="18" t="n">
        <v>9879.49</v>
      </c>
      <c r="H25" s="18" t="n">
        <v>8725.85</v>
      </c>
      <c r="I25" s="18" t="n">
        <v>6802.91</v>
      </c>
      <c r="J25" s="18" t="n">
        <v>10331.9</v>
      </c>
      <c r="K25" s="37" t="n">
        <v>10331.9</v>
      </c>
      <c r="L25" s="18" t="n">
        <v>9590.709999999999</v>
      </c>
      <c r="M25" s="18" t="n">
        <v>12260.37</v>
      </c>
      <c r="N25" s="18" t="n">
        <v>5007.16</v>
      </c>
      <c r="O25" s="18" t="n">
        <v>4916.03</v>
      </c>
      <c r="P25" s="37" t="n">
        <v>4916.03</v>
      </c>
      <c r="Q25" s="18" t="n">
        <v>7397.34</v>
      </c>
      <c r="R25" s="18" t="n">
        <v>14126.73</v>
      </c>
      <c r="S25" s="18" t="n">
        <v>6201.22</v>
      </c>
      <c r="T25" s="18" t="n">
        <v>14174.48</v>
      </c>
      <c r="U25" s="37" t="n">
        <v>14174.48</v>
      </c>
      <c r="V25" s="18" t="n">
        <v>14219.11</v>
      </c>
      <c r="W25" s="18" t="n">
        <v>20460.05</v>
      </c>
      <c r="X25" s="18" t="n">
        <v>5307.65</v>
      </c>
      <c r="Y25" s="18" t="n">
        <v>2406.41</v>
      </c>
      <c r="Z25" s="37" t="n">
        <v>2406.41</v>
      </c>
      <c r="AA25" s="18" t="n">
        <v>11200.17</v>
      </c>
      <c r="AB25" s="19" t="n">
        <v>3621.19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단기파생상품부채</t>
        </is>
      </c>
      <c r="E26" s="18" t="n">
        <v>2923.34</v>
      </c>
      <c r="F26" s="37" t="n">
        <v>2923.34</v>
      </c>
      <c r="G26" s="18" t="n">
        <v>2923.34</v>
      </c>
      <c r="H26" s="18" t="n">
        <v>2288.79</v>
      </c>
      <c r="I26" s="18" t="n">
        <v>2434.71</v>
      </c>
      <c r="J26" s="18" t="n">
        <v>15593.14</v>
      </c>
      <c r="K26" s="37" t="n">
        <v>15593.14</v>
      </c>
      <c r="L26" s="18" t="n">
        <v>749.21</v>
      </c>
      <c r="M26" s="18" t="n">
        <v>177.05</v>
      </c>
      <c r="O26" s="18" t="n">
        <v>15027.28</v>
      </c>
      <c r="P26" s="37" t="n">
        <v>15027.28</v>
      </c>
      <c r="Q26" s="18" t="n">
        <v>7288.71</v>
      </c>
      <c r="R26" s="18" t="n">
        <v>10001.96</v>
      </c>
      <c r="S26" s="18" t="n">
        <v>10001.96</v>
      </c>
      <c r="T26" s="18" t="n">
        <v>238.23</v>
      </c>
      <c r="U26" s="37" t="n">
        <v>238.23</v>
      </c>
      <c r="Z26" s="9" t="n"/>
      <c r="AB26" s="5" t="n"/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단기금융부채</t>
        </is>
      </c>
      <c r="E27" s="18" t="n">
        <v>2985.45</v>
      </c>
      <c r="F27" s="37" t="n">
        <v>2985.45</v>
      </c>
      <c r="G27" s="18" t="n">
        <v>2985.45</v>
      </c>
      <c r="H27" s="18" t="n">
        <v>2349.03</v>
      </c>
      <c r="I27" s="18" t="n">
        <v>2493.5</v>
      </c>
      <c r="J27" s="18" t="n">
        <v>15649.18</v>
      </c>
      <c r="K27" s="37" t="n">
        <v>15649.18</v>
      </c>
      <c r="L27" s="18" t="n">
        <v>800.83</v>
      </c>
      <c r="M27" s="18" t="n">
        <v>224.25</v>
      </c>
      <c r="N27" s="18" t="n">
        <v>44.21</v>
      </c>
      <c r="O27" s="18" t="n">
        <v>15074.81</v>
      </c>
      <c r="P27" s="37" t="n">
        <v>15074.81</v>
      </c>
      <c r="Q27" s="18" t="n">
        <v>7336.24</v>
      </c>
      <c r="R27" s="18" t="n">
        <v>10052.31</v>
      </c>
      <c r="S27" s="18" t="n">
        <v>10047.21</v>
      </c>
      <c r="T27" s="18" t="n">
        <v>238.23</v>
      </c>
      <c r="U27" s="37" t="n">
        <v>238.23</v>
      </c>
      <c r="Z27" s="9" t="n"/>
      <c r="AB27" s="5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단기차입금</t>
        </is>
      </c>
      <c r="E28" s="18" t="n">
        <v>10360.48</v>
      </c>
      <c r="F28" s="37" t="n">
        <v>10360.48</v>
      </c>
      <c r="G28" s="18" t="n">
        <v>10089</v>
      </c>
      <c r="H28" s="18" t="n">
        <v>10089</v>
      </c>
      <c r="I28" s="18" t="n">
        <v>9489</v>
      </c>
      <c r="J28" s="18" t="n">
        <v>9989</v>
      </c>
      <c r="K28" s="37" t="n">
        <v>9989</v>
      </c>
      <c r="L28" s="18" t="n">
        <v>10489</v>
      </c>
      <c r="M28" s="18" t="n">
        <v>10989</v>
      </c>
      <c r="N28" s="18" t="n">
        <v>13989</v>
      </c>
      <c r="O28" s="18" t="n">
        <v>13989</v>
      </c>
      <c r="P28" s="37" t="n">
        <v>13989</v>
      </c>
      <c r="Q28" s="18" t="n">
        <v>13989</v>
      </c>
      <c r="R28" s="18" t="n">
        <v>13989</v>
      </c>
      <c r="S28" s="18" t="n">
        <v>13989</v>
      </c>
      <c r="T28" s="18" t="n">
        <v>13989</v>
      </c>
      <c r="U28" s="37" t="n">
        <v>13989</v>
      </c>
      <c r="V28" s="18" t="n">
        <v>13989</v>
      </c>
      <c r="W28" s="18" t="n">
        <v>14389</v>
      </c>
      <c r="X28" s="18" t="n">
        <v>14989</v>
      </c>
      <c r="Y28" s="18" t="n">
        <v>14989</v>
      </c>
      <c r="Z28" s="37" t="n">
        <v>14989</v>
      </c>
      <c r="AA28" s="18" t="n">
        <v>15789</v>
      </c>
      <c r="AB28" s="19" t="n">
        <v>23589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유동성장기부채</t>
        </is>
      </c>
      <c r="E29" s="18" t="n">
        <v>4904.52</v>
      </c>
      <c r="F29" s="37" t="n">
        <v>4904.52</v>
      </c>
      <c r="G29" s="18" t="n">
        <v>4746.66</v>
      </c>
      <c r="H29" s="18" t="n">
        <v>4593.83</v>
      </c>
      <c r="I29" s="18" t="n">
        <v>4472.92</v>
      </c>
      <c r="J29" s="18" t="n">
        <v>2812.11</v>
      </c>
      <c r="K29" s="37" t="n">
        <v>2812.11</v>
      </c>
      <c r="L29" s="18" t="n">
        <v>1640.97</v>
      </c>
      <c r="M29" s="18" t="n">
        <v>532.1799999999999</v>
      </c>
      <c r="N29" s="18" t="n">
        <v>260</v>
      </c>
      <c r="O29" s="18" t="n">
        <v>260</v>
      </c>
      <c r="P29" s="37" t="n">
        <v>260</v>
      </c>
      <c r="Q29" s="18" t="n">
        <v>260</v>
      </c>
      <c r="R29" s="18" t="n">
        <v>260</v>
      </c>
      <c r="S29" s="18" t="n">
        <v>695</v>
      </c>
      <c r="T29" s="18" t="n">
        <v>630</v>
      </c>
      <c r="U29" s="37" t="n">
        <v>630</v>
      </c>
      <c r="V29" s="18" t="n">
        <v>565</v>
      </c>
      <c r="W29" s="18" t="n">
        <v>585</v>
      </c>
      <c r="X29" s="18" t="n">
        <v>670</v>
      </c>
      <c r="Y29" s="18" t="n">
        <v>840</v>
      </c>
      <c r="Z29" s="37" t="n">
        <v>840</v>
      </c>
      <c r="AA29" s="18" t="n">
        <v>840</v>
      </c>
      <c r="AB29" s="19" t="n">
        <v>840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유동리스부채</t>
        </is>
      </c>
      <c r="E30" s="18" t="n">
        <v>62.11</v>
      </c>
      <c r="F30" s="37" t="n">
        <v>62.11</v>
      </c>
      <c r="G30" s="18" t="n">
        <v>62.11</v>
      </c>
      <c r="H30" s="18" t="n">
        <v>60.24</v>
      </c>
      <c r="I30" s="18" t="n">
        <v>58.79</v>
      </c>
      <c r="J30" s="18" t="n">
        <v>56.04</v>
      </c>
      <c r="K30" s="37" t="n">
        <v>56.04</v>
      </c>
      <c r="L30" s="18" t="n">
        <v>51.62</v>
      </c>
      <c r="M30" s="18" t="n">
        <v>47.2</v>
      </c>
      <c r="N30" s="18" t="n">
        <v>44.21</v>
      </c>
      <c r="O30" s="18" t="n">
        <v>47.53</v>
      </c>
      <c r="P30" s="37" t="n">
        <v>47.53</v>
      </c>
      <c r="Q30" s="18" t="n">
        <v>47.53</v>
      </c>
      <c r="R30" s="18" t="n">
        <v>50.35</v>
      </c>
      <c r="S30" s="18" t="n">
        <v>45.25</v>
      </c>
      <c r="U30" s="9" t="n"/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리스부채</t>
        </is>
      </c>
      <c r="E31" s="18" t="n">
        <v>152.89</v>
      </c>
      <c r="F31" s="37" t="n">
        <v>152.89</v>
      </c>
      <c r="G31" s="18" t="n">
        <v>152.89</v>
      </c>
      <c r="H31" s="18" t="n">
        <v>140.65</v>
      </c>
      <c r="I31" s="18" t="n">
        <v>126.49</v>
      </c>
      <c r="J31" s="18" t="n">
        <v>112.21</v>
      </c>
      <c r="K31" s="37" t="n">
        <v>112.21</v>
      </c>
      <c r="L31" s="18" t="n">
        <v>97.76000000000001</v>
      </c>
      <c r="M31" s="18" t="n">
        <v>83.23999999999999</v>
      </c>
      <c r="N31" s="18" t="n">
        <v>70.06</v>
      </c>
      <c r="O31" s="18" t="n">
        <v>63.1</v>
      </c>
      <c r="P31" s="37" t="n">
        <v>63.1</v>
      </c>
      <c r="Q31" s="18" t="n">
        <v>63.1</v>
      </c>
      <c r="R31" s="18" t="n">
        <v>93.19</v>
      </c>
      <c r="S31" s="18" t="n">
        <v>100.18</v>
      </c>
      <c r="U31" s="9" t="n"/>
      <c r="Z31" s="9" t="n"/>
      <c r="AB31" s="5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기타유동부채</t>
        </is>
      </c>
      <c r="E32" s="18" t="n">
        <v>97.59999999999999</v>
      </c>
      <c r="F32" s="37" t="n">
        <v>97.59999999999999</v>
      </c>
      <c r="G32" s="18" t="n">
        <v>109.65</v>
      </c>
      <c r="H32" s="18" t="n">
        <v>79.48</v>
      </c>
      <c r="I32" s="18" t="n">
        <v>82.25</v>
      </c>
      <c r="J32" s="18" t="n">
        <v>46.1</v>
      </c>
      <c r="K32" s="37" t="n">
        <v>46.1</v>
      </c>
      <c r="L32" s="18" t="n">
        <v>134.84</v>
      </c>
      <c r="M32" s="18" t="n">
        <v>47.9</v>
      </c>
      <c r="N32" s="18" t="n">
        <v>48.93</v>
      </c>
      <c r="O32" s="18" t="n">
        <v>50.39</v>
      </c>
      <c r="P32" s="37" t="n">
        <v>50.39</v>
      </c>
      <c r="Q32" s="18" t="n">
        <v>56.19</v>
      </c>
      <c r="R32" s="18" t="n">
        <v>55.43</v>
      </c>
      <c r="S32" s="18" t="n">
        <v>120.91</v>
      </c>
      <c r="T32" s="18" t="n">
        <v>112.84</v>
      </c>
      <c r="U32" s="37" t="n">
        <v>112.84</v>
      </c>
      <c r="V32" s="18" t="n">
        <v>95.63</v>
      </c>
      <c r="W32" s="18" t="n">
        <v>69.31</v>
      </c>
      <c r="X32" s="18" t="n">
        <v>73.81</v>
      </c>
      <c r="Y32" s="18" t="n">
        <v>137.15</v>
      </c>
      <c r="Z32" s="37" t="n">
        <v>137.15</v>
      </c>
      <c r="AA32" s="18" t="n">
        <v>102.74</v>
      </c>
      <c r="AB32" s="19" t="n">
        <v>99.91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비유동부채</t>
        </is>
      </c>
      <c r="E33" s="18" t="n">
        <v>1069.92</v>
      </c>
      <c r="F33" s="37" t="n">
        <v>1069.92</v>
      </c>
      <c r="G33" s="18" t="n">
        <v>1006.06</v>
      </c>
      <c r="H33" s="18" t="n">
        <v>949.51</v>
      </c>
      <c r="I33" s="18" t="n">
        <v>876.54</v>
      </c>
      <c r="J33" s="18" t="n">
        <v>817</v>
      </c>
      <c r="K33" s="37" t="n">
        <v>817</v>
      </c>
      <c r="L33" s="18" t="n">
        <v>1641.98</v>
      </c>
      <c r="M33" s="18" t="n">
        <v>2366.87</v>
      </c>
      <c r="N33" s="18" t="n">
        <v>2343.98</v>
      </c>
      <c r="O33" s="18" t="n">
        <v>2557.19</v>
      </c>
      <c r="P33" s="37" t="n">
        <v>2557.19</v>
      </c>
      <c r="Q33" s="18" t="n">
        <v>2584.54</v>
      </c>
      <c r="R33" s="18" t="n">
        <v>2625.03</v>
      </c>
      <c r="S33" s="18" t="n">
        <v>3724.37</v>
      </c>
      <c r="T33" s="18" t="n">
        <v>4327.92</v>
      </c>
      <c r="U33" s="37" t="n">
        <v>4327.92</v>
      </c>
      <c r="V33" s="18" t="n">
        <v>3818.03</v>
      </c>
      <c r="W33" s="18" t="n">
        <v>3817.99</v>
      </c>
      <c r="X33" s="18" t="n">
        <v>12684.46</v>
      </c>
      <c r="Y33" s="18" t="n">
        <v>14902.48</v>
      </c>
      <c r="Z33" s="37" t="n">
        <v>14902.48</v>
      </c>
      <c r="AA33" s="18" t="n">
        <v>14895.39</v>
      </c>
      <c r="AB33" s="19" t="n">
        <v>14800.39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장기차입금</t>
        </is>
      </c>
      <c r="E34" s="18" t="n">
        <v>650</v>
      </c>
      <c r="F34" s="37" t="n">
        <v>650</v>
      </c>
      <c r="G34" s="18" t="n">
        <v>585</v>
      </c>
      <c r="H34" s="18" t="n">
        <v>520</v>
      </c>
      <c r="I34" s="18" t="n">
        <v>455</v>
      </c>
      <c r="J34" s="18" t="n">
        <v>390</v>
      </c>
      <c r="K34" s="37" t="n">
        <v>390</v>
      </c>
      <c r="L34" s="18" t="n">
        <v>1225</v>
      </c>
      <c r="M34" s="18" t="n">
        <v>1960</v>
      </c>
      <c r="N34" s="18" t="n">
        <v>1895</v>
      </c>
      <c r="O34" s="18" t="n">
        <v>1830</v>
      </c>
      <c r="P34" s="37" t="n">
        <v>1830</v>
      </c>
      <c r="Q34" s="18" t="n">
        <v>1765</v>
      </c>
      <c r="R34" s="18" t="n">
        <v>1700</v>
      </c>
      <c r="S34" s="18" t="n">
        <v>2700</v>
      </c>
      <c r="T34" s="18" t="n">
        <v>2575</v>
      </c>
      <c r="U34" s="37" t="n">
        <v>2575</v>
      </c>
      <c r="V34" s="18" t="n">
        <v>2450</v>
      </c>
      <c r="W34" s="18" t="n">
        <v>2240</v>
      </c>
      <c r="X34" s="18" t="n">
        <v>10990</v>
      </c>
      <c r="Y34" s="18" t="n">
        <v>13735</v>
      </c>
      <c r="Z34" s="37" t="n">
        <v>13735</v>
      </c>
      <c r="AA34" s="18" t="n">
        <v>13610</v>
      </c>
      <c r="AB34" s="19" t="n">
        <v>13400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비유동리스부채</t>
        </is>
      </c>
      <c r="E35" s="18" t="n">
        <v>90.78</v>
      </c>
      <c r="F35" s="37" t="n">
        <v>90.78</v>
      </c>
      <c r="G35" s="18" t="n">
        <v>90.78</v>
      </c>
      <c r="H35" s="18" t="n">
        <v>80.41</v>
      </c>
      <c r="I35" s="18" t="n">
        <v>67.7</v>
      </c>
      <c r="J35" s="18" t="n">
        <v>56.17</v>
      </c>
      <c r="K35" s="37" t="n">
        <v>56.17</v>
      </c>
      <c r="L35" s="18" t="n">
        <v>46.14</v>
      </c>
      <c r="M35" s="18" t="n">
        <v>36.04</v>
      </c>
      <c r="N35" s="18" t="n">
        <v>25.85</v>
      </c>
      <c r="O35" s="18" t="n">
        <v>15.57</v>
      </c>
      <c r="P35" s="37" t="n">
        <v>15.57</v>
      </c>
      <c r="Q35" s="18" t="n">
        <v>15.57</v>
      </c>
      <c r="R35" s="18" t="n">
        <v>42.84</v>
      </c>
      <c r="S35" s="18" t="n">
        <v>54.93</v>
      </c>
      <c r="U35" s="9" t="n"/>
      <c r="Z35" s="9" t="n"/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장기금융부채</t>
        </is>
      </c>
      <c r="E36" s="18" t="n">
        <v>419.92</v>
      </c>
      <c r="F36" s="37" t="n">
        <v>419.92</v>
      </c>
      <c r="G36" s="18" t="n">
        <v>421.06</v>
      </c>
      <c r="H36" s="18" t="n">
        <v>429.51</v>
      </c>
      <c r="I36" s="18" t="n">
        <v>421.54</v>
      </c>
      <c r="J36" s="18" t="n">
        <v>56.17</v>
      </c>
      <c r="K36" s="37" t="n">
        <v>56.17</v>
      </c>
      <c r="L36" s="18" t="n">
        <v>416.98</v>
      </c>
      <c r="M36" s="18" t="n">
        <v>406.88</v>
      </c>
      <c r="N36" s="18" t="n">
        <v>25.85</v>
      </c>
      <c r="O36" s="18" t="n">
        <v>15.57</v>
      </c>
      <c r="P36" s="37" t="n">
        <v>15.57</v>
      </c>
      <c r="Q36" s="18" t="n">
        <v>15.57</v>
      </c>
      <c r="R36" s="18" t="n">
        <v>42.84</v>
      </c>
      <c r="S36" s="18" t="n">
        <v>54.93</v>
      </c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기타비유동금융부채</t>
        </is>
      </c>
      <c r="E37" s="18" t="n">
        <v>329.14</v>
      </c>
      <c r="F37" s="37" t="n">
        <v>329.14</v>
      </c>
      <c r="G37" s="18" t="n">
        <v>330.28</v>
      </c>
      <c r="H37" s="18" t="n">
        <v>349.1</v>
      </c>
      <c r="I37" s="18" t="n">
        <v>353.84</v>
      </c>
      <c r="K37" s="9" t="n"/>
      <c r="L37" s="18" t="n">
        <v>370.84</v>
      </c>
      <c r="M37" s="18" t="n">
        <v>370.84</v>
      </c>
      <c r="P37" s="9" t="n"/>
      <c r="U37" s="9" t="n"/>
      <c r="Z37" s="9" t="n"/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부채총계</t>
        </is>
      </c>
      <c r="E38" s="18" t="n">
        <v>29077.45</v>
      </c>
      <c r="F38" s="37" t="n">
        <v>29077.45</v>
      </c>
      <c r="G38" s="18" t="n">
        <v>38107.97</v>
      </c>
      <c r="H38" s="18" t="n">
        <v>33811.9</v>
      </c>
      <c r="I38" s="18" t="n">
        <v>33134.45</v>
      </c>
      <c r="J38" s="18" t="n">
        <v>58566.8</v>
      </c>
      <c r="K38" s="37" t="n">
        <v>58566.8</v>
      </c>
      <c r="L38" s="18" t="n">
        <v>38492.99</v>
      </c>
      <c r="M38" s="18" t="n">
        <v>37484.54</v>
      </c>
      <c r="N38" s="18" t="n">
        <v>30737.91</v>
      </c>
      <c r="O38" s="18" t="n">
        <v>57771.57</v>
      </c>
      <c r="P38" s="37" t="n">
        <v>57771.57</v>
      </c>
      <c r="Q38" s="18" t="n">
        <v>53878.81</v>
      </c>
      <c r="R38" s="18" t="n">
        <v>54911.05</v>
      </c>
      <c r="S38" s="18" t="n">
        <v>44216.31</v>
      </c>
      <c r="T38" s="18" t="n">
        <v>46460.89</v>
      </c>
      <c r="U38" s="37" t="n">
        <v>46460.89</v>
      </c>
      <c r="V38" s="18" t="n">
        <v>41025.12</v>
      </c>
      <c r="W38" s="18" t="n">
        <v>47110.74</v>
      </c>
      <c r="X38" s="18" t="n">
        <v>39568.54</v>
      </c>
      <c r="Y38" s="18" t="n">
        <v>39773.59</v>
      </c>
      <c r="Z38" s="37" t="n">
        <v>39773.59</v>
      </c>
      <c r="AA38" s="18" t="n">
        <v>52267.84</v>
      </c>
      <c r="AB38" s="19" t="n">
        <v>50395.79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자본금</t>
        </is>
      </c>
      <c r="E39" s="18" t="n">
        <v>13533.85</v>
      </c>
      <c r="F39" s="37" t="n">
        <v>13533.85</v>
      </c>
      <c r="G39" s="18" t="n">
        <v>13533.85</v>
      </c>
      <c r="H39" s="18" t="n">
        <v>13533.85</v>
      </c>
      <c r="I39" s="18" t="n">
        <v>13709.29</v>
      </c>
      <c r="J39" s="18" t="n">
        <v>13709.29</v>
      </c>
      <c r="K39" s="37" t="n">
        <v>13709.29</v>
      </c>
      <c r="L39" s="18" t="n">
        <v>14551.05</v>
      </c>
      <c r="M39" s="18" t="n">
        <v>15259.42</v>
      </c>
      <c r="N39" s="18" t="n">
        <v>15420.41</v>
      </c>
      <c r="O39" s="18" t="n">
        <v>15420.41</v>
      </c>
      <c r="P39" s="37" t="n">
        <v>15420.41</v>
      </c>
      <c r="Q39" s="18" t="n">
        <v>15420.41</v>
      </c>
      <c r="R39" s="18" t="n">
        <v>15420.41</v>
      </c>
      <c r="S39" s="18" t="n">
        <v>15420.41</v>
      </c>
      <c r="T39" s="18" t="n">
        <v>15420.41</v>
      </c>
      <c r="U39" s="37" t="n">
        <v>15420.41</v>
      </c>
      <c r="V39" s="18" t="n">
        <v>15420.41</v>
      </c>
      <c r="W39" s="18" t="n">
        <v>15420.41</v>
      </c>
      <c r="X39" s="18" t="n">
        <v>15420.41</v>
      </c>
      <c r="Y39" s="18" t="n">
        <v>15420.41</v>
      </c>
      <c r="Z39" s="37" t="n">
        <v>15420.41</v>
      </c>
      <c r="AA39" s="18" t="n">
        <v>15420.41</v>
      </c>
      <c r="AB39" s="19" t="n">
        <v>15420.41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자본잉여금</t>
        </is>
      </c>
      <c r="E40" s="18" t="n">
        <v>24957.45</v>
      </c>
      <c r="F40" s="37" t="n">
        <v>24957.45</v>
      </c>
      <c r="G40" s="18" t="n">
        <v>24957.45</v>
      </c>
      <c r="H40" s="18" t="n">
        <v>24957.45</v>
      </c>
      <c r="I40" s="18" t="n">
        <v>25223.52</v>
      </c>
      <c r="J40" s="18" t="n">
        <v>25268.31</v>
      </c>
      <c r="K40" s="37" t="n">
        <v>25268.31</v>
      </c>
      <c r="L40" s="18" t="n">
        <v>26435.55</v>
      </c>
      <c r="M40" s="18" t="n">
        <v>27488.31</v>
      </c>
      <c r="N40" s="18" t="n">
        <v>27786.55</v>
      </c>
      <c r="O40" s="18" t="n">
        <v>28574.59</v>
      </c>
      <c r="P40" s="37" t="n">
        <v>28574.59</v>
      </c>
      <c r="Q40" s="18" t="n">
        <v>28574.59</v>
      </c>
      <c r="R40" s="18" t="n">
        <v>28574.59</v>
      </c>
      <c r="S40" s="18" t="n">
        <v>28574.59</v>
      </c>
      <c r="T40" s="18" t="n">
        <v>28574.59</v>
      </c>
      <c r="U40" s="37" t="n">
        <v>28574.59</v>
      </c>
      <c r="V40" s="18" t="n">
        <v>28574.59</v>
      </c>
      <c r="W40" s="18" t="n">
        <v>28574.59</v>
      </c>
      <c r="X40" s="18" t="n">
        <v>28574.59</v>
      </c>
      <c r="Y40" s="18" t="n">
        <v>28574.59</v>
      </c>
      <c r="Z40" s="37" t="n">
        <v>28574.59</v>
      </c>
      <c r="AA40" s="18" t="n">
        <v>23877.13</v>
      </c>
      <c r="AB40" s="19" t="n">
        <v>23877.13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기타자본</t>
        </is>
      </c>
      <c r="E41" s="18" t="n">
        <v>877.35</v>
      </c>
      <c r="F41" s="37" t="n">
        <v>877.35</v>
      </c>
      <c r="G41" s="18" t="n">
        <v>877.35</v>
      </c>
      <c r="H41" s="18" t="n">
        <v>877.35</v>
      </c>
      <c r="I41" s="18" t="n">
        <v>877.35</v>
      </c>
      <c r="J41" s="18" t="n">
        <v>877.35</v>
      </c>
      <c r="K41" s="37" t="n">
        <v>877.35</v>
      </c>
      <c r="L41" s="18" t="n">
        <v>877.35</v>
      </c>
      <c r="M41" s="18" t="n">
        <v>877.35</v>
      </c>
      <c r="N41" s="18" t="n">
        <v>877.35</v>
      </c>
      <c r="O41" s="18" t="n">
        <v>877.35</v>
      </c>
      <c r="P41" s="37" t="n">
        <v>877.35</v>
      </c>
      <c r="Q41" s="18" t="n">
        <v>877.35</v>
      </c>
      <c r="R41" s="18" t="n">
        <v>877.35</v>
      </c>
      <c r="S41" s="18" t="n">
        <v>877.35</v>
      </c>
      <c r="T41" s="18" t="n">
        <v>877.35</v>
      </c>
      <c r="U41" s="37" t="n">
        <v>877.35</v>
      </c>
      <c r="V41" s="18" t="n">
        <v>877.35</v>
      </c>
      <c r="W41" s="18" t="n">
        <v>877.35</v>
      </c>
      <c r="X41" s="18" t="n">
        <v>877.35</v>
      </c>
      <c r="Y41" s="18" t="n">
        <v>877.35</v>
      </c>
      <c r="Z41" s="37" t="n">
        <v>877.35</v>
      </c>
      <c r="AA41" s="18" t="n">
        <v>-425.19</v>
      </c>
      <c r="AB41" s="19" t="n">
        <v>-425.19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이익잉여금</t>
        </is>
      </c>
      <c r="E42" s="18" t="n">
        <v>-10214.86</v>
      </c>
      <c r="F42" s="37" t="n">
        <v>-10214.86</v>
      </c>
      <c r="G42" s="18" t="n">
        <v>-9893.440000000001</v>
      </c>
      <c r="H42" s="18" t="n">
        <v>-9857.93</v>
      </c>
      <c r="I42" s="18" t="n">
        <v>-9832.17</v>
      </c>
      <c r="J42" s="18" t="n">
        <v>-41462.28</v>
      </c>
      <c r="K42" s="37" t="n">
        <v>-41462.28</v>
      </c>
      <c r="L42" s="18" t="n">
        <v>-18874.99</v>
      </c>
      <c r="M42" s="18" t="n">
        <v>-16189.76</v>
      </c>
      <c r="N42" s="18" t="n">
        <v>-15515.42</v>
      </c>
      <c r="O42" s="18" t="n">
        <v>-42596.74</v>
      </c>
      <c r="P42" s="37" t="n">
        <v>-42596.74</v>
      </c>
      <c r="Q42" s="18" t="n">
        <v>-33679.55</v>
      </c>
      <c r="R42" s="18" t="n">
        <v>-28075.39</v>
      </c>
      <c r="S42" s="18" t="n">
        <v>-23392.89</v>
      </c>
      <c r="T42" s="18" t="n">
        <v>-19869.39</v>
      </c>
      <c r="U42" s="37" t="n">
        <v>-19869.39</v>
      </c>
      <c r="V42" s="18" t="n">
        <v>-15331.96</v>
      </c>
      <c r="W42" s="18" t="n">
        <v>-14685.98</v>
      </c>
      <c r="X42" s="18" t="n">
        <v>-8901.379999999999</v>
      </c>
      <c r="Y42" s="18" t="n">
        <v>1546.2</v>
      </c>
      <c r="Z42" s="37" t="n">
        <v>1546.2</v>
      </c>
      <c r="AA42" s="18" t="n">
        <v>6871.45</v>
      </c>
      <c r="AB42" s="19" t="n">
        <v>2242.81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자본총계</t>
        </is>
      </c>
      <c r="E43" s="18" t="n">
        <v>29153.79</v>
      </c>
      <c r="F43" s="37" t="n">
        <v>29153.79</v>
      </c>
      <c r="G43" s="18" t="n">
        <v>29475.21</v>
      </c>
      <c r="H43" s="18" t="n">
        <v>29510.72</v>
      </c>
      <c r="I43" s="18" t="n">
        <v>29977.98</v>
      </c>
      <c r="J43" s="18" t="n">
        <v>-1607.33</v>
      </c>
      <c r="K43" s="37" t="n">
        <v>-1607.33</v>
      </c>
      <c r="L43" s="18" t="n">
        <v>22988.95</v>
      </c>
      <c r="M43" s="18" t="n">
        <v>27435.31</v>
      </c>
      <c r="N43" s="18" t="n">
        <v>28568.89</v>
      </c>
      <c r="O43" s="18" t="n">
        <v>2275.62</v>
      </c>
      <c r="P43" s="37" t="n">
        <v>2275.62</v>
      </c>
      <c r="Q43" s="18" t="n">
        <v>11192.81</v>
      </c>
      <c r="R43" s="18" t="n">
        <v>16796.97</v>
      </c>
      <c r="S43" s="18" t="n">
        <v>21479.46</v>
      </c>
      <c r="T43" s="18" t="n">
        <v>25002.96</v>
      </c>
      <c r="U43" s="37" t="n">
        <v>25002.96</v>
      </c>
      <c r="V43" s="18" t="n">
        <v>31478.15</v>
      </c>
      <c r="W43" s="18" t="n">
        <v>32108.34</v>
      </c>
      <c r="X43" s="18" t="n">
        <v>37892.94</v>
      </c>
      <c r="Y43" s="18" t="n">
        <v>48310.17</v>
      </c>
      <c r="Z43" s="37" t="n">
        <v>48310.17</v>
      </c>
      <c r="AA43" s="18" t="n">
        <v>47635.42</v>
      </c>
      <c r="AB43" s="19" t="n">
        <v>43006.78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부채와자본총계</t>
        </is>
      </c>
      <c r="E44" s="18" t="n">
        <v>58231.24</v>
      </c>
      <c r="F44" s="37" t="n">
        <v>58231.24</v>
      </c>
      <c r="G44" s="18" t="n">
        <v>67583.17999999999</v>
      </c>
      <c r="H44" s="18" t="n">
        <v>63322.62</v>
      </c>
      <c r="I44" s="18" t="n">
        <v>63112.44</v>
      </c>
      <c r="J44" s="18" t="n">
        <v>56959.47</v>
      </c>
      <c r="K44" s="37" t="n">
        <v>56959.47</v>
      </c>
      <c r="L44" s="18" t="n">
        <v>61481.94</v>
      </c>
      <c r="M44" s="18" t="n">
        <v>64919.85</v>
      </c>
      <c r="N44" s="18" t="n">
        <v>59306.8</v>
      </c>
      <c r="O44" s="18" t="n">
        <v>60047.19</v>
      </c>
      <c r="P44" s="37" t="n">
        <v>60047.19</v>
      </c>
      <c r="Q44" s="18" t="n">
        <v>65071.62</v>
      </c>
      <c r="R44" s="18" t="n">
        <v>71708.00999999999</v>
      </c>
      <c r="S44" s="18" t="n">
        <v>65695.77</v>
      </c>
      <c r="T44" s="18" t="n">
        <v>71463.85000000001</v>
      </c>
      <c r="U44" s="37" t="n">
        <v>71463.85000000001</v>
      </c>
      <c r="V44" s="18" t="n">
        <v>72503.27</v>
      </c>
      <c r="W44" s="18" t="n">
        <v>79219.08</v>
      </c>
      <c r="X44" s="18" t="n">
        <v>77461.48</v>
      </c>
      <c r="Y44" s="18" t="n">
        <v>88083.75999999999</v>
      </c>
      <c r="Z44" s="37" t="n">
        <v>88083.75999999999</v>
      </c>
      <c r="AA44" s="18" t="n">
        <v>99903.25999999999</v>
      </c>
      <c r="AB44" s="19" t="n">
        <v>93402.57000000001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지배주주지분</t>
        </is>
      </c>
      <c r="E45" s="18" t="n">
        <v>29153.79</v>
      </c>
      <c r="F45" s="37" t="n">
        <v>29153.79</v>
      </c>
      <c r="G45" s="18" t="n">
        <v>29475.21</v>
      </c>
      <c r="H45" s="18" t="n">
        <v>29510.72</v>
      </c>
      <c r="I45" s="18" t="n">
        <v>29977.98</v>
      </c>
      <c r="J45" s="18" t="n">
        <v>-1607.33</v>
      </c>
      <c r="K45" s="37" t="n">
        <v>-1607.33</v>
      </c>
      <c r="L45" s="18" t="n">
        <v>22988.95</v>
      </c>
      <c r="M45" s="18" t="n">
        <v>27435.31</v>
      </c>
      <c r="N45" s="18" t="n">
        <v>28568.89</v>
      </c>
      <c r="O45" s="18" t="n">
        <v>2275.62</v>
      </c>
      <c r="P45" s="37" t="n">
        <v>2275.62</v>
      </c>
      <c r="Q45" s="18" t="n">
        <v>11192.81</v>
      </c>
      <c r="R45" s="18" t="n">
        <v>16796.97</v>
      </c>
      <c r="S45" s="18" t="n">
        <v>21479.46</v>
      </c>
      <c r="T45" s="18" t="n">
        <v>25002.96</v>
      </c>
      <c r="U45" s="37" t="n">
        <v>25002.96</v>
      </c>
      <c r="V45" s="18" t="n">
        <v>31478.15</v>
      </c>
      <c r="W45" s="18" t="n">
        <v>32108.34</v>
      </c>
      <c r="X45" s="18" t="n">
        <v>37892.94</v>
      </c>
      <c r="Y45" s="18" t="n">
        <v>48310.17</v>
      </c>
      <c r="Z45" s="37" t="n">
        <v>48310.17</v>
      </c>
      <c r="AA45" s="18" t="n">
        <v>47635.42</v>
      </c>
      <c r="AB45" s="19" t="n">
        <v>43006.78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총차입금</t>
        </is>
      </c>
      <c r="E46" s="18" t="n">
        <v>15915</v>
      </c>
      <c r="F46" s="37" t="n">
        <v>15915</v>
      </c>
      <c r="G46" s="18" t="n">
        <v>15420.66</v>
      </c>
      <c r="H46" s="18" t="n">
        <v>15202.83</v>
      </c>
      <c r="I46" s="18" t="n">
        <v>14416.92</v>
      </c>
      <c r="J46" s="18" t="n">
        <v>13191.11</v>
      </c>
      <c r="K46" s="37" t="n">
        <v>13191.11</v>
      </c>
      <c r="L46" s="18" t="n">
        <v>13354.97</v>
      </c>
      <c r="M46" s="18" t="n">
        <v>13481.18</v>
      </c>
      <c r="N46" s="18" t="n">
        <v>16144</v>
      </c>
      <c r="O46" s="18" t="n">
        <v>16079</v>
      </c>
      <c r="P46" s="37" t="n">
        <v>16079</v>
      </c>
      <c r="Q46" s="18" t="n">
        <v>16014</v>
      </c>
      <c r="R46" s="18" t="n">
        <v>15949</v>
      </c>
      <c r="S46" s="18" t="n">
        <v>17384</v>
      </c>
      <c r="T46" s="18" t="n">
        <v>17194</v>
      </c>
      <c r="U46" s="37" t="n">
        <v>17194</v>
      </c>
      <c r="V46" s="18" t="n">
        <v>17004</v>
      </c>
      <c r="W46" s="18" t="n">
        <v>17214</v>
      </c>
      <c r="X46" s="18" t="n">
        <v>26649</v>
      </c>
      <c r="Y46" s="18" t="n">
        <v>29564</v>
      </c>
      <c r="Z46" s="37" t="n">
        <v>29564</v>
      </c>
      <c r="AA46" s="18" t="n">
        <v>30239</v>
      </c>
      <c r="AB46" s="19" t="n">
        <v>37829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순차입금</t>
        </is>
      </c>
      <c r="E47" s="18" t="n">
        <v>1649.28</v>
      </c>
      <c r="F47" s="37" t="n">
        <v>1649.28</v>
      </c>
      <c r="G47" s="18" t="n">
        <v>-1267.62</v>
      </c>
      <c r="H47" s="18" t="n">
        <v>2791.46</v>
      </c>
      <c r="I47" s="18" t="n">
        <v>563.91</v>
      </c>
      <c r="J47" s="18" t="n">
        <v>-3400.32</v>
      </c>
      <c r="K47" s="37" t="n">
        <v>-3400.32</v>
      </c>
      <c r="L47" s="18" t="n">
        <v>-201.97</v>
      </c>
      <c r="M47" s="18" t="n">
        <v>-2195.08</v>
      </c>
      <c r="N47" s="18" t="n">
        <v>6210.82</v>
      </c>
      <c r="O47" s="18" t="n">
        <v>1821.87</v>
      </c>
      <c r="P47" s="37" t="n">
        <v>1821.87</v>
      </c>
      <c r="Q47" s="18" t="n">
        <v>4382.58</v>
      </c>
      <c r="R47" s="18" t="n">
        <v>418.85</v>
      </c>
      <c r="S47" s="18" t="n">
        <v>3146.59</v>
      </c>
      <c r="T47" s="18" t="n">
        <v>-5873.52</v>
      </c>
      <c r="U47" s="37" t="n">
        <v>-5873.52</v>
      </c>
      <c r="V47" s="18" t="n">
        <v>-2426.5</v>
      </c>
      <c r="W47" s="18" t="n">
        <v>401.62</v>
      </c>
      <c r="X47" s="18" t="n">
        <v>12188.34</v>
      </c>
      <c r="Y47" s="18" t="n">
        <v>13725.77</v>
      </c>
      <c r="Z47" s="37" t="n">
        <v>13725.77</v>
      </c>
      <c r="AA47" s="18" t="n">
        <v>23326.53</v>
      </c>
      <c r="AB47" s="19" t="n">
        <v>21805.23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이자발생자산</t>
        </is>
      </c>
      <c r="E48" s="18" t="n">
        <v>14266.32</v>
      </c>
      <c r="F48" s="37" t="n">
        <v>14266.32</v>
      </c>
      <c r="G48" s="18" t="n">
        <v>16689.78</v>
      </c>
      <c r="H48" s="18" t="n">
        <v>12413.77</v>
      </c>
      <c r="I48" s="18" t="n">
        <v>13856.31</v>
      </c>
      <c r="J48" s="18" t="n">
        <v>18944.92</v>
      </c>
      <c r="K48" s="37" t="n">
        <v>18944.92</v>
      </c>
      <c r="L48" s="18" t="n">
        <v>13562.04</v>
      </c>
      <c r="M48" s="18" t="n">
        <v>15682.26</v>
      </c>
      <c r="N48" s="18" t="n">
        <v>9940.08</v>
      </c>
      <c r="O48" s="18" t="n">
        <v>17213.01</v>
      </c>
      <c r="P48" s="37" t="n">
        <v>17213.01</v>
      </c>
      <c r="Q48" s="18" t="n">
        <v>14816.57</v>
      </c>
      <c r="R48" s="18" t="n">
        <v>18353.06</v>
      </c>
      <c r="S48" s="18" t="n">
        <v>15668.27</v>
      </c>
      <c r="T48" s="18" t="n">
        <v>23381.13</v>
      </c>
      <c r="U48" s="37" t="n">
        <v>23381.13</v>
      </c>
      <c r="V48" s="18" t="n">
        <v>19744.11</v>
      </c>
      <c r="W48" s="18" t="n">
        <v>17125.99</v>
      </c>
      <c r="X48" s="18" t="n">
        <v>14774.27</v>
      </c>
      <c r="Y48" s="18" t="n">
        <v>16151.84</v>
      </c>
      <c r="Z48" s="37" t="n">
        <v>16151.84</v>
      </c>
      <c r="AA48" s="18" t="n">
        <v>6957.16</v>
      </c>
      <c r="AB48" s="19" t="n">
        <v>16068.46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계약자산</t>
        </is>
      </c>
      <c r="F49" s="9" t="n"/>
      <c r="G49" s="18" t="n">
        <v>1594.26</v>
      </c>
      <c r="H49" s="18" t="n">
        <v>309.76</v>
      </c>
      <c r="I49" s="18" t="n">
        <v>109.24</v>
      </c>
      <c r="J49" s="18" t="n">
        <v>313.07</v>
      </c>
      <c r="K49" s="37" t="n">
        <v>313.07</v>
      </c>
      <c r="L49" s="18" t="n">
        <v>343.78</v>
      </c>
      <c r="M49" s="18" t="n">
        <v>348.74</v>
      </c>
      <c r="N49" s="18" t="n">
        <v>867.77</v>
      </c>
      <c r="O49" s="18" t="n">
        <v>859.24</v>
      </c>
      <c r="P49" s="37" t="n">
        <v>859.24</v>
      </c>
      <c r="Q49" s="18" t="n">
        <v>509.24</v>
      </c>
      <c r="R49" s="18" t="n">
        <v>259.24</v>
      </c>
      <c r="S49" s="18" t="n">
        <v>109.24</v>
      </c>
      <c r="U49" s="9" t="n"/>
      <c r="Z49" s="9" t="n"/>
      <c r="AB49" s="19" t="n">
        <v>1.89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유동파생상품자산</t>
        </is>
      </c>
      <c r="F50" s="9" t="n"/>
      <c r="I50" s="18" t="n">
        <v>298.51</v>
      </c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단기금융부채(face)</t>
        </is>
      </c>
      <c r="F51" s="9" t="n"/>
      <c r="J51" s="18" t="n">
        <v>9989</v>
      </c>
      <c r="K51" s="37" t="n">
        <v>9989</v>
      </c>
      <c r="N51" s="18" t="n">
        <v>13989</v>
      </c>
      <c r="O51" s="18" t="n">
        <v>13989</v>
      </c>
      <c r="P51" s="37" t="n">
        <v>13989</v>
      </c>
      <c r="Q51" s="18" t="n">
        <v>13989</v>
      </c>
      <c r="R51" s="18" t="n">
        <v>13989</v>
      </c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단기충당부채</t>
        </is>
      </c>
      <c r="F52" s="9" t="n"/>
      <c r="J52" s="18" t="n">
        <v>56.89</v>
      </c>
      <c r="K52" s="37" t="n">
        <v>56.89</v>
      </c>
      <c r="L52" s="18" t="n">
        <v>40.25</v>
      </c>
      <c r="M52" s="18" t="n">
        <v>39.75</v>
      </c>
      <c r="N52" s="18" t="n">
        <v>39.73</v>
      </c>
      <c r="O52" s="18" t="n">
        <v>39.58</v>
      </c>
      <c r="P52" s="37" t="n">
        <v>39.58</v>
      </c>
      <c r="Q52" s="18" t="n">
        <v>19.71</v>
      </c>
      <c r="R52" s="18" t="n">
        <v>19.71</v>
      </c>
      <c r="S52" s="18" t="n">
        <v>19.71</v>
      </c>
      <c r="T52" s="18" t="n">
        <v>6.37</v>
      </c>
      <c r="U52" s="37" t="n">
        <v>6.37</v>
      </c>
      <c r="V52" s="18" t="n">
        <v>6.37</v>
      </c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기타비유동부채</t>
        </is>
      </c>
      <c r="F53" s="9" t="n"/>
      <c r="J53" s="18" t="n">
        <v>370.84</v>
      </c>
      <c r="K53" s="37" t="n">
        <v>370.84</v>
      </c>
      <c r="N53" s="18" t="n">
        <v>370.84</v>
      </c>
      <c r="O53" s="18" t="n">
        <v>370.84</v>
      </c>
      <c r="P53" s="37" t="n">
        <v>370.84</v>
      </c>
      <c r="Q53" s="18" t="n">
        <v>370.84</v>
      </c>
      <c r="R53" s="18" t="n">
        <v>370.84</v>
      </c>
      <c r="S53" s="18" t="n">
        <v>369.89</v>
      </c>
      <c r="T53" s="18" t="n">
        <v>369.89</v>
      </c>
      <c r="U53" s="37" t="n">
        <v>369.89</v>
      </c>
      <c r="V53" s="18" t="n">
        <v>369.89</v>
      </c>
      <c r="W53" s="18" t="n">
        <v>369.89</v>
      </c>
      <c r="X53" s="18" t="n">
        <v>369.89</v>
      </c>
      <c r="Y53" s="18" t="n">
        <v>441.81</v>
      </c>
      <c r="Z53" s="37" t="n">
        <v>441.81</v>
      </c>
      <c r="AA53" s="18" t="n">
        <v>441.81</v>
      </c>
      <c r="AB53" s="19" t="n">
        <v>441.81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확정급여부채</t>
        </is>
      </c>
      <c r="F54" s="9" t="n"/>
      <c r="K54" s="9" t="n"/>
      <c r="N54" s="18" t="n">
        <v>52.3</v>
      </c>
      <c r="O54" s="18" t="n">
        <v>340.78</v>
      </c>
      <c r="P54" s="37" t="n">
        <v>340.78</v>
      </c>
      <c r="Q54" s="18" t="n">
        <v>433.13</v>
      </c>
      <c r="R54" s="18" t="n">
        <v>511.36</v>
      </c>
      <c r="S54" s="18" t="n">
        <v>599.55</v>
      </c>
      <c r="T54" s="18" t="n">
        <v>1333.81</v>
      </c>
      <c r="U54" s="37" t="n">
        <v>1333.81</v>
      </c>
      <c r="V54" s="18" t="n">
        <v>954.26</v>
      </c>
      <c r="W54" s="18" t="n">
        <v>1068.2</v>
      </c>
      <c r="X54" s="18" t="n">
        <v>1195.76</v>
      </c>
      <c r="Y54" s="18" t="n">
        <v>608.12</v>
      </c>
      <c r="Z54" s="37" t="n">
        <v>608.12</v>
      </c>
      <c r="AA54" s="18" t="n">
        <v>717.63</v>
      </c>
      <c r="AB54" s="19" t="n">
        <v>845.98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이연법인세자산</t>
        </is>
      </c>
      <c r="F55" s="9" t="n"/>
      <c r="K55" s="9" t="n"/>
      <c r="P55" s="9" t="n"/>
      <c r="R55" s="18" t="n">
        <v>2885.28</v>
      </c>
      <c r="S55" s="18" t="n">
        <v>2885.28</v>
      </c>
      <c r="T55" s="18" t="n">
        <v>1000.53</v>
      </c>
      <c r="U55" s="37" t="n">
        <v>1000.53</v>
      </c>
      <c r="V55" s="18" t="n">
        <v>522.13</v>
      </c>
      <c r="W55" s="18" t="n">
        <v>437.13</v>
      </c>
      <c r="X55" s="18" t="n">
        <v>437.13</v>
      </c>
      <c r="Y55" s="18" t="n">
        <v>2113.66</v>
      </c>
      <c r="Z55" s="37" t="n">
        <v>2113.66</v>
      </c>
      <c r="AA55" s="18" t="n">
        <v>2113.66</v>
      </c>
      <c r="AB55" s="19" t="n">
        <v>2039.51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기타포괄이익누계액</t>
        </is>
      </c>
      <c r="F56" s="9" t="n"/>
      <c r="K56" s="9" t="n"/>
      <c r="P56" s="9" t="n"/>
      <c r="U56" s="9" t="n"/>
      <c r="V56" s="18" t="n">
        <v>1937.75</v>
      </c>
      <c r="W56" s="18" t="n">
        <v>1921.96</v>
      </c>
      <c r="X56" s="18" t="n">
        <v>1921.96</v>
      </c>
      <c r="Y56" s="18" t="n">
        <v>1891.61</v>
      </c>
      <c r="Z56" s="37" t="n">
        <v>1891.61</v>
      </c>
      <c r="AA56" s="18" t="n">
        <v>1891.61</v>
      </c>
      <c r="AB56" s="19" t="n">
        <v>1891.61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매출액(수익)</t>
        </is>
      </c>
      <c r="E57" s="18" t="n">
        <v>14731.06</v>
      </c>
      <c r="F57" s="9" t="n"/>
      <c r="G57" s="18" t="n">
        <v>8991.379999999999</v>
      </c>
      <c r="H57" s="18" t="n">
        <v>16875.34</v>
      </c>
      <c r="I57" s="18" t="n">
        <v>12892.84</v>
      </c>
      <c r="J57" s="18" t="n">
        <v>13156.22</v>
      </c>
      <c r="K57" s="37" t="n">
        <v>51915.78</v>
      </c>
      <c r="L57" s="18" t="n">
        <v>10803.46</v>
      </c>
      <c r="M57" s="18" t="n">
        <v>23381.95</v>
      </c>
      <c r="N57" s="18" t="n">
        <v>16719.4</v>
      </c>
      <c r="O57" s="18" t="n">
        <v>12781</v>
      </c>
      <c r="P57" s="37" t="n">
        <v>63685.81</v>
      </c>
      <c r="Q57" s="18" t="n">
        <v>12643.83</v>
      </c>
      <c r="R57" s="18" t="n">
        <v>13354.01</v>
      </c>
      <c r="S57" s="18" t="n">
        <v>16294.34</v>
      </c>
      <c r="T57" s="18" t="n">
        <v>14537.28</v>
      </c>
      <c r="U57" s="37" t="n">
        <v>56829.46</v>
      </c>
      <c r="V57" s="18" t="n">
        <v>12216.15</v>
      </c>
      <c r="W57" s="18" t="n">
        <v>11015.44</v>
      </c>
      <c r="X57" s="18" t="n">
        <v>29862.65</v>
      </c>
      <c r="Y57" s="18" t="n">
        <v>17367.69</v>
      </c>
      <c r="Z57" s="37" t="n">
        <v>70461.92999999999</v>
      </c>
      <c r="AA57" s="18" t="n">
        <v>7422.1</v>
      </c>
      <c r="AB57" s="19" t="n">
        <v>22264.74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매출원가</t>
        </is>
      </c>
      <c r="E58" s="18" t="n">
        <v>12991.7</v>
      </c>
      <c r="F58" s="9" t="n"/>
      <c r="G58" s="18" t="n">
        <v>7756.68</v>
      </c>
      <c r="H58" s="18" t="n">
        <v>15167.43</v>
      </c>
      <c r="I58" s="18" t="n">
        <v>11084.27</v>
      </c>
      <c r="J58" s="18" t="n">
        <v>11156.22</v>
      </c>
      <c r="K58" s="37" t="n">
        <v>45164.6</v>
      </c>
      <c r="L58" s="18" t="n">
        <v>9776.950000000001</v>
      </c>
      <c r="M58" s="18" t="n">
        <v>19108.79</v>
      </c>
      <c r="N58" s="18" t="n">
        <v>13586.44</v>
      </c>
      <c r="O58" s="18" t="n">
        <v>10173.44</v>
      </c>
      <c r="P58" s="37" t="n">
        <v>52645.62</v>
      </c>
      <c r="Q58" s="18" t="n">
        <v>9764.15</v>
      </c>
      <c r="R58" s="18" t="n">
        <v>9210.389999999999</v>
      </c>
      <c r="S58" s="18" t="n">
        <v>13435.52</v>
      </c>
      <c r="T58" s="18" t="n">
        <v>13549.29</v>
      </c>
      <c r="U58" s="37" t="n">
        <v>45959.35</v>
      </c>
      <c r="V58" s="18" t="n">
        <v>8956.860000000001</v>
      </c>
      <c r="W58" s="18" t="n">
        <v>8246.200000000001</v>
      </c>
      <c r="X58" s="18" t="n">
        <v>21989.74</v>
      </c>
      <c r="Y58" s="18" t="n">
        <v>15350.49</v>
      </c>
      <c r="Z58" s="37" t="n">
        <v>54543.29</v>
      </c>
      <c r="AA58" s="18" t="n">
        <v>5845.95</v>
      </c>
      <c r="AB58" s="19" t="n">
        <v>18962.87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판관비</t>
        </is>
      </c>
      <c r="E59" s="18" t="n">
        <v>812.15</v>
      </c>
      <c r="F59" s="9" t="n"/>
      <c r="G59" s="18" t="n">
        <v>765.8099999999999</v>
      </c>
      <c r="H59" s="18" t="n">
        <v>1690.53</v>
      </c>
      <c r="I59" s="18" t="n">
        <v>1823.58</v>
      </c>
      <c r="J59" s="18" t="n">
        <v>2093.36</v>
      </c>
      <c r="K59" s="37" t="n">
        <v>6373.28</v>
      </c>
      <c r="L59" s="18" t="n">
        <v>1460.5</v>
      </c>
      <c r="M59" s="18" t="n">
        <v>1788.61</v>
      </c>
      <c r="N59" s="18" t="n">
        <v>1920.49</v>
      </c>
      <c r="O59" s="18" t="n">
        <v>1390.63</v>
      </c>
      <c r="P59" s="37" t="n">
        <v>6560.23</v>
      </c>
      <c r="Q59" s="18" t="n">
        <v>1625.2</v>
      </c>
      <c r="R59" s="18" t="n">
        <v>1889.39</v>
      </c>
      <c r="S59" s="18" t="n">
        <v>1570.65</v>
      </c>
      <c r="T59" s="18" t="n">
        <v>2150.26</v>
      </c>
      <c r="U59" s="37" t="n">
        <v>7235.5</v>
      </c>
      <c r="V59" s="18" t="n">
        <v>2456.58</v>
      </c>
      <c r="W59" s="18" t="n">
        <v>1993.19</v>
      </c>
      <c r="X59" s="18" t="n">
        <v>1667.94</v>
      </c>
      <c r="Y59" s="18" t="n">
        <v>2225.94</v>
      </c>
      <c r="Z59" s="37" t="n">
        <v>8343.65</v>
      </c>
      <c r="AA59" s="18" t="n">
        <v>2075.75</v>
      </c>
      <c r="AB59" s="19" t="n">
        <v>1780.32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영업이익</t>
        </is>
      </c>
      <c r="E60" s="18" t="n">
        <v>927.21</v>
      </c>
      <c r="F60" s="9" t="n"/>
      <c r="G60" s="18" t="n">
        <v>468.89</v>
      </c>
      <c r="H60" s="18" t="n">
        <v>17.38</v>
      </c>
      <c r="I60" s="18" t="n">
        <v>-15.02</v>
      </c>
      <c r="J60" s="18" t="n">
        <v>-93.34999999999999</v>
      </c>
      <c r="K60" s="37" t="n">
        <v>377.9</v>
      </c>
      <c r="L60" s="18" t="n">
        <v>-433.99</v>
      </c>
      <c r="M60" s="18" t="n">
        <v>2484.55</v>
      </c>
      <c r="N60" s="18" t="n">
        <v>1212.46</v>
      </c>
      <c r="O60" s="18" t="n">
        <v>1216.93</v>
      </c>
      <c r="P60" s="37" t="n">
        <v>4479.95</v>
      </c>
      <c r="Q60" s="18" t="n">
        <v>1254.49</v>
      </c>
      <c r="R60" s="18" t="n">
        <v>2254.23</v>
      </c>
      <c r="S60" s="18" t="n">
        <v>1288.17</v>
      </c>
      <c r="T60" s="18" t="n">
        <v>-1162.27</v>
      </c>
      <c r="U60" s="37" t="n">
        <v>3634.62</v>
      </c>
      <c r="V60" s="18" t="n">
        <v>802.71</v>
      </c>
      <c r="W60" s="18" t="n">
        <v>776.05</v>
      </c>
      <c r="X60" s="18" t="n">
        <v>6204.97</v>
      </c>
      <c r="Y60" s="18" t="n">
        <v>-208.75</v>
      </c>
      <c r="Z60" s="37" t="n">
        <v>7574.98</v>
      </c>
      <c r="AA60" s="18" t="n">
        <v>-499.6</v>
      </c>
      <c r="AB60" s="19" t="n">
        <v>1521.55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기타영업외수익</t>
        </is>
      </c>
      <c r="E61" s="18" t="n">
        <v>4.8</v>
      </c>
      <c r="F61" s="9" t="n"/>
      <c r="G61" s="18" t="n">
        <v>2.51</v>
      </c>
      <c r="H61" s="18" t="n">
        <v>2</v>
      </c>
      <c r="I61" s="18" t="n">
        <v>23.08</v>
      </c>
      <c r="J61" s="18" t="n">
        <v>63.86</v>
      </c>
      <c r="K61" s="37" t="n">
        <v>91.45</v>
      </c>
      <c r="L61" s="18" t="n">
        <v>36.91</v>
      </c>
      <c r="M61" s="18" t="n">
        <v>12.85</v>
      </c>
      <c r="N61" s="18" t="n">
        <v>13.98</v>
      </c>
      <c r="O61" s="18" t="n">
        <v>19.21</v>
      </c>
      <c r="P61" s="37" t="n">
        <v>82.95</v>
      </c>
      <c r="Q61" s="18" t="n">
        <v>73.33</v>
      </c>
      <c r="R61" s="18" t="n">
        <v>1.26</v>
      </c>
      <c r="S61" s="18" t="n">
        <v>58.28</v>
      </c>
      <c r="T61" s="18" t="n">
        <v>90.23</v>
      </c>
      <c r="U61" s="37" t="n">
        <v>223.1</v>
      </c>
      <c r="V61" s="18" t="n">
        <v>22.46</v>
      </c>
      <c r="W61" s="18" t="n">
        <v>0.57</v>
      </c>
      <c r="X61" s="18" t="n">
        <v>7.48</v>
      </c>
      <c r="Y61" s="18" t="n">
        <v>8434.09</v>
      </c>
      <c r="Z61" s="37" t="n">
        <v>8464.6</v>
      </c>
      <c r="AA61" s="18" t="n">
        <v>18.01</v>
      </c>
      <c r="AB61" s="19" t="n">
        <v>20.14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기타영업외비용</t>
        </is>
      </c>
      <c r="E62" s="18" t="n">
        <v>3425.26</v>
      </c>
      <c r="F62" s="9" t="n"/>
      <c r="G62" s="18" t="n">
        <v>24.74</v>
      </c>
      <c r="H62" s="18" t="n">
        <v>561.38</v>
      </c>
      <c r="I62" s="18" t="n">
        <v>35.23</v>
      </c>
      <c r="J62" s="18" t="n">
        <v>8223.200000000001</v>
      </c>
      <c r="K62" s="37" t="n">
        <v>8844.549999999999</v>
      </c>
      <c r="L62" s="18" t="n">
        <v>229.86</v>
      </c>
      <c r="M62" s="18" t="n">
        <v>3.73</v>
      </c>
      <c r="N62" s="18" t="n">
        <v>506.88</v>
      </c>
      <c r="O62" s="18" t="n">
        <v>2081.94</v>
      </c>
      <c r="P62" s="37" t="n">
        <v>2822.41</v>
      </c>
      <c r="Q62" s="18" t="n">
        <v>168.34</v>
      </c>
      <c r="R62" s="18" t="n">
        <v>177.03</v>
      </c>
      <c r="S62" s="18" t="n">
        <v>-118.66</v>
      </c>
      <c r="T62" s="18" t="n">
        <v>375.56</v>
      </c>
      <c r="U62" s="37" t="n">
        <v>602.27</v>
      </c>
      <c r="V62" s="18" t="n">
        <v>150.28</v>
      </c>
      <c r="W62" s="18" t="n">
        <v>-40.58</v>
      </c>
      <c r="X62" s="18" t="n">
        <v>389.95</v>
      </c>
      <c r="Y62" s="18" t="n">
        <v>-73.91</v>
      </c>
      <c r="Z62" s="37" t="n">
        <v>425.74</v>
      </c>
      <c r="AA62" s="18" t="n">
        <v>59.53</v>
      </c>
      <c r="AB62" s="19" t="n">
        <v>5861.13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금융수익</t>
        </is>
      </c>
      <c r="E63" s="18" t="n">
        <v>214.85</v>
      </c>
      <c r="F63" s="9" t="n"/>
      <c r="G63" s="18" t="n">
        <v>265.79</v>
      </c>
      <c r="H63" s="18" t="n">
        <v>985.2</v>
      </c>
      <c r="I63" s="18" t="n">
        <v>741.01</v>
      </c>
      <c r="J63" s="18" t="n">
        <v>4957.36</v>
      </c>
      <c r="K63" s="37" t="n">
        <v>6949.36</v>
      </c>
      <c r="L63" s="18" t="n">
        <v>473.18</v>
      </c>
      <c r="M63" s="18" t="n">
        <v>540.13</v>
      </c>
      <c r="N63" s="18" t="n">
        <v>269.09</v>
      </c>
      <c r="O63" s="18" t="n">
        <v>286.75</v>
      </c>
      <c r="P63" s="37" t="n">
        <v>1569.15</v>
      </c>
      <c r="Q63" s="18" t="n">
        <v>358.41</v>
      </c>
      <c r="R63" s="18" t="n">
        <v>3855.65</v>
      </c>
      <c r="S63" s="18" t="n">
        <v>3480.42</v>
      </c>
      <c r="T63" s="18" t="n">
        <v>15425.03</v>
      </c>
      <c r="U63" s="37" t="n">
        <v>23119.51</v>
      </c>
      <c r="V63" s="18" t="n">
        <v>4157.78</v>
      </c>
      <c r="W63" s="18" t="n">
        <v>319.73</v>
      </c>
      <c r="X63" s="18" t="n">
        <v>222.12</v>
      </c>
      <c r="Y63" s="18" t="n">
        <v>219.27</v>
      </c>
      <c r="Z63" s="37" t="n">
        <v>4918.9</v>
      </c>
      <c r="AA63" s="18" t="n">
        <v>496.57</v>
      </c>
      <c r="AB63" s="19" t="n">
        <v>254.36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금융비용</t>
        </is>
      </c>
      <c r="E64" s="18" t="n">
        <v>1065.18</v>
      </c>
      <c r="F64" s="9" t="n"/>
      <c r="G64" s="18" t="n">
        <v>391.03</v>
      </c>
      <c r="H64" s="18" t="n">
        <v>407.69</v>
      </c>
      <c r="I64" s="18" t="n">
        <v>688.08</v>
      </c>
      <c r="J64" s="18" t="n">
        <v>9183.77</v>
      </c>
      <c r="K64" s="37" t="n">
        <v>10670.57</v>
      </c>
      <c r="L64" s="18" t="n">
        <v>701.26</v>
      </c>
      <c r="M64" s="18" t="n">
        <v>348.57</v>
      </c>
      <c r="N64" s="18" t="n">
        <v>314.31</v>
      </c>
      <c r="O64" s="18" t="n">
        <v>2830.7</v>
      </c>
      <c r="P64" s="37" t="n">
        <v>4194.84</v>
      </c>
      <c r="Q64" s="18" t="n">
        <v>339.27</v>
      </c>
      <c r="R64" s="18" t="n">
        <v>3215.24</v>
      </c>
      <c r="S64" s="18" t="n">
        <v>263.03</v>
      </c>
      <c r="T64" s="18" t="n">
        <v>141.74</v>
      </c>
      <c r="U64" s="37" t="n">
        <v>3959.28</v>
      </c>
      <c r="V64" s="18" t="n">
        <v>295.24</v>
      </c>
      <c r="W64" s="18" t="n">
        <v>421.74</v>
      </c>
      <c r="X64" s="18" t="n">
        <v>260.01</v>
      </c>
      <c r="Y64" s="18" t="n">
        <v>479.94</v>
      </c>
      <c r="Z64" s="37" t="n">
        <v>1456.93</v>
      </c>
      <c r="AA64" s="18" t="n">
        <v>630.2</v>
      </c>
      <c r="AB64" s="19" t="n">
        <v>489.42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법인세비용차감전계속사업이익</t>
        </is>
      </c>
      <c r="E65" s="18" t="n">
        <v>-3343.57</v>
      </c>
      <c r="F65" s="9" t="n"/>
      <c r="G65" s="18" t="n">
        <v>321.42</v>
      </c>
      <c r="H65" s="18" t="n">
        <v>35.51</v>
      </c>
      <c r="I65" s="18" t="n">
        <v>25.76</v>
      </c>
      <c r="J65" s="18" t="n">
        <v>-12479.1</v>
      </c>
      <c r="K65" s="37" t="n">
        <v>-12096.41</v>
      </c>
      <c r="L65" s="18" t="n">
        <v>-855.02</v>
      </c>
      <c r="M65" s="18" t="n">
        <v>2685.23</v>
      </c>
      <c r="N65" s="18" t="n">
        <v>674.34</v>
      </c>
      <c r="O65" s="18" t="n">
        <v>-3389.76</v>
      </c>
      <c r="P65" s="37" t="n">
        <v>-885.21</v>
      </c>
      <c r="Q65" s="18" t="n">
        <v>1178.62</v>
      </c>
      <c r="R65" s="18" t="n">
        <v>2718.87</v>
      </c>
      <c r="S65" s="18" t="n">
        <v>4682.49</v>
      </c>
      <c r="T65" s="18" t="n">
        <v>13835.67</v>
      </c>
      <c r="U65" s="37" t="n">
        <v>22415.65</v>
      </c>
      <c r="Z65" s="9" t="n"/>
      <c r="AB65" s="19" t="n">
        <v>-4554.49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당기순이익</t>
        </is>
      </c>
      <c r="E66" s="18" t="n">
        <v>-3343.57</v>
      </c>
      <c r="F66" s="9" t="n"/>
      <c r="G66" s="18" t="n">
        <v>321.42</v>
      </c>
      <c r="H66" s="18" t="n">
        <v>35.51</v>
      </c>
      <c r="I66" s="18" t="n">
        <v>25.76</v>
      </c>
      <c r="J66" s="18" t="n">
        <v>-12479.1</v>
      </c>
      <c r="K66" s="37" t="n">
        <v>-12096.41</v>
      </c>
      <c r="L66" s="18" t="n">
        <v>-855.02</v>
      </c>
      <c r="M66" s="18" t="n">
        <v>2685.23</v>
      </c>
      <c r="N66" s="18" t="n">
        <v>674.34</v>
      </c>
      <c r="O66" s="18" t="n">
        <v>-3389.76</v>
      </c>
      <c r="P66" s="37" t="n">
        <v>-885.21</v>
      </c>
      <c r="Q66" s="18" t="n">
        <v>1178.62</v>
      </c>
      <c r="R66" s="18" t="n">
        <v>5604.16</v>
      </c>
      <c r="S66" s="18" t="n">
        <v>4682.49</v>
      </c>
      <c r="T66" s="18" t="n">
        <v>11806.95</v>
      </c>
      <c r="U66" s="37" t="n">
        <v>23272.22</v>
      </c>
      <c r="V66" s="18" t="n">
        <v>4537.43</v>
      </c>
      <c r="W66" s="18" t="n">
        <v>645.98</v>
      </c>
      <c r="X66" s="18" t="n">
        <v>5784.6</v>
      </c>
      <c r="Y66" s="18" t="n">
        <v>9881.690000000001</v>
      </c>
      <c r="Z66" s="37" t="n">
        <v>20849.7</v>
      </c>
      <c r="AA66" s="18" t="n">
        <v>-674.75</v>
      </c>
      <c r="AB66" s="19" t="n">
        <v>-4628.64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총포괄손익</t>
        </is>
      </c>
      <c r="E67" s="18" t="n">
        <v>-3324.83</v>
      </c>
      <c r="F67" s="9" t="n"/>
      <c r="G67" s="18" t="n">
        <v>321.42</v>
      </c>
      <c r="H67" s="18" t="n">
        <v>35.51</v>
      </c>
      <c r="I67" s="18" t="n">
        <v>25.76</v>
      </c>
      <c r="J67" s="18" t="n">
        <v>-12539.5</v>
      </c>
      <c r="K67" s="37" t="n">
        <v>-12156.81</v>
      </c>
      <c r="L67" s="18" t="n">
        <v>-855.02</v>
      </c>
      <c r="M67" s="18" t="n">
        <v>2685.23</v>
      </c>
      <c r="N67" s="18" t="n">
        <v>674.34</v>
      </c>
      <c r="O67" s="18" t="n">
        <v>-3639</v>
      </c>
      <c r="P67" s="37" t="n">
        <v>-1134.45</v>
      </c>
      <c r="Q67" s="18" t="n">
        <v>1178.62</v>
      </c>
      <c r="R67" s="18" t="n">
        <v>5604.16</v>
      </c>
      <c r="S67" s="18" t="n">
        <v>4682.49</v>
      </c>
      <c r="T67" s="18" t="n">
        <v>11262.07</v>
      </c>
      <c r="U67" s="37" t="n">
        <v>22727.34</v>
      </c>
      <c r="V67" s="18" t="n">
        <v>6475.18</v>
      </c>
      <c r="W67" s="18" t="n">
        <v>630.1900000000001</v>
      </c>
      <c r="X67" s="18" t="n">
        <v>5784.6</v>
      </c>
      <c r="Y67" s="18" t="n">
        <v>10417.23</v>
      </c>
      <c r="Z67" s="37" t="n">
        <v>23307.2</v>
      </c>
      <c r="AA67" s="18" t="n">
        <v>-674.75</v>
      </c>
      <c r="AB67" s="19" t="n">
        <v>-4628.64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매출총이익</t>
        </is>
      </c>
      <c r="E68" s="18" t="n">
        <v>1739.36</v>
      </c>
      <c r="F68" s="9" t="n"/>
      <c r="G68" s="18" t="n">
        <v>1234.7</v>
      </c>
      <c r="H68" s="18" t="n">
        <v>1707.91</v>
      </c>
      <c r="I68" s="18" t="n">
        <v>1808.57</v>
      </c>
      <c r="J68" s="18" t="n">
        <v>2000</v>
      </c>
      <c r="K68" s="37" t="n">
        <v>6751.18</v>
      </c>
      <c r="L68" s="18" t="n">
        <v>1026.51</v>
      </c>
      <c r="M68" s="18" t="n">
        <v>4273.16</v>
      </c>
      <c r="N68" s="18" t="n">
        <v>3132.96</v>
      </c>
      <c r="O68" s="18" t="n">
        <v>2607.56</v>
      </c>
      <c r="P68" s="37" t="n">
        <v>11040.19</v>
      </c>
      <c r="Q68" s="18" t="n">
        <v>2879.68</v>
      </c>
      <c r="R68" s="18" t="n">
        <v>4143.62</v>
      </c>
      <c r="S68" s="18" t="n">
        <v>2858.82</v>
      </c>
      <c r="T68" s="18" t="n">
        <v>988</v>
      </c>
      <c r="U68" s="37" t="n">
        <v>10870.12</v>
      </c>
      <c r="V68" s="18" t="n">
        <v>3259.3</v>
      </c>
      <c r="W68" s="18" t="n">
        <v>2769.24</v>
      </c>
      <c r="X68" s="18" t="n">
        <v>7872.9</v>
      </c>
      <c r="Y68" s="18" t="n">
        <v>2017.2</v>
      </c>
      <c r="Z68" s="37" t="n">
        <v>15918.64</v>
      </c>
      <c r="AA68" s="18" t="n">
        <v>1576.15</v>
      </c>
      <c r="AB68" s="19" t="n">
        <v>3301.87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금융손익</t>
        </is>
      </c>
      <c r="E69" s="18" t="n">
        <v>-850.33</v>
      </c>
      <c r="F69" s="9" t="n"/>
      <c r="G69" s="18" t="n">
        <v>-125.24</v>
      </c>
      <c r="H69" s="18" t="n">
        <v>577.51</v>
      </c>
      <c r="I69" s="18" t="n">
        <v>52.93</v>
      </c>
      <c r="J69" s="18" t="n">
        <v>-4226.41</v>
      </c>
      <c r="K69" s="37" t="n">
        <v>-3721.21</v>
      </c>
      <c r="L69" s="18" t="n">
        <v>-228.08</v>
      </c>
      <c r="M69" s="18" t="n">
        <v>191.56</v>
      </c>
      <c r="N69" s="18" t="n">
        <v>-45.22</v>
      </c>
      <c r="O69" s="18" t="n">
        <v>-2543.95</v>
      </c>
      <c r="P69" s="37" t="n">
        <v>-2625.69</v>
      </c>
      <c r="Q69" s="18" t="n">
        <v>19.14</v>
      </c>
      <c r="R69" s="18" t="n">
        <v>640.41</v>
      </c>
      <c r="S69" s="18" t="n">
        <v>3217.39</v>
      </c>
      <c r="T69" s="18" t="n">
        <v>15283.29</v>
      </c>
      <c r="U69" s="37" t="n">
        <v>19160.23</v>
      </c>
      <c r="V69" s="18" t="n">
        <v>3862.54</v>
      </c>
      <c r="W69" s="18" t="n">
        <v>-102.01</v>
      </c>
      <c r="X69" s="18" t="n">
        <v>-37.89</v>
      </c>
      <c r="Y69" s="18" t="n">
        <v>-260.67</v>
      </c>
      <c r="Z69" s="37" t="n">
        <v>3461.97</v>
      </c>
      <c r="AA69" s="18" t="n">
        <v>-133.63</v>
      </c>
      <c r="AB69" s="19" t="n">
        <v>-235.06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기타영업외손익</t>
        </is>
      </c>
      <c r="E70" s="18" t="n">
        <v>-3420.46</v>
      </c>
      <c r="F70" s="9" t="n"/>
      <c r="G70" s="18" t="n">
        <v>-22.23</v>
      </c>
      <c r="H70" s="18" t="n">
        <v>-559.38</v>
      </c>
      <c r="I70" s="18" t="n">
        <v>-12.15</v>
      </c>
      <c r="J70" s="18" t="n">
        <v>-8159.34</v>
      </c>
      <c r="K70" s="37" t="n">
        <v>-8753.1</v>
      </c>
      <c r="L70" s="18" t="n">
        <v>-192.95</v>
      </c>
      <c r="M70" s="18" t="n">
        <v>9.119999999999999</v>
      </c>
      <c r="N70" s="18" t="n">
        <v>-492.9</v>
      </c>
      <c r="O70" s="18" t="n">
        <v>-2062.73</v>
      </c>
      <c r="P70" s="37" t="n">
        <v>-2739.46</v>
      </c>
      <c r="Q70" s="18" t="n">
        <v>-95.01000000000001</v>
      </c>
      <c r="R70" s="18" t="n">
        <v>-175.77</v>
      </c>
      <c r="S70" s="18" t="n">
        <v>176.94</v>
      </c>
      <c r="T70" s="18" t="n">
        <v>-285.33</v>
      </c>
      <c r="U70" s="37" t="n">
        <v>-379.17</v>
      </c>
      <c r="V70" s="18" t="n">
        <v>-127.82</v>
      </c>
      <c r="W70" s="18" t="n">
        <v>41.15</v>
      </c>
      <c r="X70" s="18" t="n">
        <v>-382.47</v>
      </c>
      <c r="Y70" s="18" t="n">
        <v>8508</v>
      </c>
      <c r="Z70" s="37" t="n">
        <v>8038.86</v>
      </c>
      <c r="AA70" s="18" t="n">
        <v>-41.52</v>
      </c>
      <c r="AB70" s="19" t="n">
        <v>-5840.99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(지배주주지분)당기순이익</t>
        </is>
      </c>
      <c r="E71" s="18" t="n">
        <v>-3343.57</v>
      </c>
      <c r="F71" s="9" t="n"/>
      <c r="G71" s="18" t="n">
        <v>321.42</v>
      </c>
      <c r="H71" s="18" t="n">
        <v>35.51</v>
      </c>
      <c r="I71" s="18" t="n">
        <v>25.76</v>
      </c>
      <c r="J71" s="18" t="n">
        <v>-12479.1</v>
      </c>
      <c r="K71" s="37" t="n">
        <v>-12096.41</v>
      </c>
      <c r="L71" s="18" t="n">
        <v>-855.02</v>
      </c>
      <c r="M71" s="18" t="n">
        <v>2685.23</v>
      </c>
      <c r="N71" s="18" t="n">
        <v>674.34</v>
      </c>
      <c r="O71" s="18" t="n">
        <v>-3389.76</v>
      </c>
      <c r="P71" s="37" t="n">
        <v>-885.21</v>
      </c>
      <c r="Q71" s="18" t="n">
        <v>1178.62</v>
      </c>
      <c r="R71" s="18" t="n">
        <v>5604.16</v>
      </c>
      <c r="S71" s="18" t="n">
        <v>4682.49</v>
      </c>
      <c r="T71" s="18" t="n">
        <v>11806.95</v>
      </c>
      <c r="U71" s="37" t="n">
        <v>23272.22</v>
      </c>
      <c r="V71" s="18" t="n">
        <v>4537.43</v>
      </c>
      <c r="W71" s="18" t="n">
        <v>645.98</v>
      </c>
      <c r="X71" s="18" t="n">
        <v>5784.6</v>
      </c>
      <c r="Y71" s="18" t="n">
        <v>9881.690000000001</v>
      </c>
      <c r="Z71" s="37" t="n">
        <v>20849.7</v>
      </c>
      <c r="AA71" s="18" t="n">
        <v>-674.75</v>
      </c>
      <c r="AB71" s="19" t="n">
        <v>-4628.64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계속사업이익</t>
        </is>
      </c>
      <c r="E72" s="18" t="n">
        <v>-3343.57</v>
      </c>
      <c r="F72" s="9" t="n"/>
      <c r="G72" s="18" t="n">
        <v>321.42</v>
      </c>
      <c r="H72" s="18" t="n">
        <v>35.51</v>
      </c>
      <c r="I72" s="18" t="n">
        <v>25.76</v>
      </c>
      <c r="J72" s="18" t="n">
        <v>-12479.1</v>
      </c>
      <c r="K72" s="37" t="n">
        <v>-12096.41</v>
      </c>
      <c r="L72" s="18" t="n">
        <v>-855.02</v>
      </c>
      <c r="M72" s="18" t="n">
        <v>2685.23</v>
      </c>
      <c r="N72" s="18" t="n">
        <v>674.34</v>
      </c>
      <c r="O72" s="18" t="n">
        <v>-3389.76</v>
      </c>
      <c r="P72" s="37" t="n">
        <v>-885.21</v>
      </c>
      <c r="Q72" s="18" t="n">
        <v>1178.62</v>
      </c>
      <c r="R72" s="18" t="n">
        <v>5604.16</v>
      </c>
      <c r="S72" s="18" t="n">
        <v>4682.49</v>
      </c>
      <c r="T72" s="18" t="n">
        <v>11806.95</v>
      </c>
      <c r="U72" s="37" t="n">
        <v>23272.22</v>
      </c>
      <c r="V72" s="18" t="n">
        <v>4537.43</v>
      </c>
      <c r="W72" s="18" t="n">
        <v>645.98</v>
      </c>
      <c r="X72" s="18" t="n">
        <v>5784.6</v>
      </c>
      <c r="Y72" s="18" t="n">
        <v>9881.690000000001</v>
      </c>
      <c r="Z72" s="37" t="n">
        <v>20849.7</v>
      </c>
      <c r="AA72" s="18" t="n">
        <v>-674.75</v>
      </c>
      <c r="AB72" s="19" t="n">
        <v>-4628.64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법인세비용</t>
        </is>
      </c>
      <c r="F73" s="9" t="n"/>
      <c r="K73" s="9" t="n"/>
      <c r="P73" s="9" t="n"/>
      <c r="R73" s="18" t="n">
        <v>-2885.28</v>
      </c>
      <c r="T73" s="18" t="n">
        <v>2028.72</v>
      </c>
      <c r="U73" s="9" t="n"/>
      <c r="W73" s="18" t="n">
        <v>69.20999999999999</v>
      </c>
      <c r="Y73" s="18" t="n">
        <v>-1843.12</v>
      </c>
      <c r="Z73" s="9" t="n"/>
      <c r="AB73" s="19" t="n">
        <v>74.15000000000001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영업활동으로인한현금흐름</t>
        </is>
      </c>
      <c r="E74" s="18" t="n">
        <v>1332.96</v>
      </c>
      <c r="F74" s="9" t="n"/>
      <c r="G74" s="18" t="n">
        <v>2885.41</v>
      </c>
      <c r="H74" s="18" t="n">
        <v>-4766.47</v>
      </c>
      <c r="I74" s="18" t="n">
        <v>2414.24</v>
      </c>
      <c r="J74" s="18" t="n">
        <v>4871.69</v>
      </c>
      <c r="K74" s="37" t="n">
        <v>5404.87</v>
      </c>
      <c r="L74" s="18" t="n">
        <v>-2847.26</v>
      </c>
      <c r="M74" s="18" t="n">
        <v>2652.61</v>
      </c>
      <c r="N74" s="18" t="n">
        <v>-4813.63</v>
      </c>
      <c r="O74" s="18" t="n">
        <v>4751.94</v>
      </c>
      <c r="P74" s="37" t="n">
        <v>-256.34</v>
      </c>
      <c r="Q74" s="18" t="n">
        <v>-2350.29</v>
      </c>
      <c r="R74" s="18" t="n">
        <v>3417.36</v>
      </c>
      <c r="S74" s="18" t="n">
        <v>-2170.62</v>
      </c>
      <c r="T74" s="18" t="n">
        <v>7760.72</v>
      </c>
      <c r="U74" s="37" t="n">
        <v>6657.17</v>
      </c>
      <c r="V74" s="18" t="n">
        <v>-4043.05</v>
      </c>
      <c r="W74" s="18" t="n">
        <v>1310.27</v>
      </c>
      <c r="X74" s="18" t="n">
        <v>-3293.99</v>
      </c>
      <c r="Y74" s="18" t="n">
        <v>4198.48</v>
      </c>
      <c r="Z74" s="37" t="n">
        <v>-1828.29</v>
      </c>
      <c r="AA74" s="18" t="n">
        <v>-7189.65</v>
      </c>
      <c r="AB74" s="19" t="n">
        <v>1972.84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법인세납부(CF)</t>
        </is>
      </c>
      <c r="E75" s="18" t="n">
        <v>-2.12</v>
      </c>
      <c r="F75" s="9" t="n"/>
      <c r="G75" s="18" t="n">
        <v>-6.46</v>
      </c>
      <c r="H75" s="18" t="n">
        <v>12.72</v>
      </c>
      <c r="I75" s="18" t="n">
        <v>-18.5</v>
      </c>
      <c r="J75" s="18" t="n">
        <v>-7.72</v>
      </c>
      <c r="K75" s="37" t="n">
        <v>-19.96</v>
      </c>
      <c r="L75" s="18" t="n">
        <v>-11.17</v>
      </c>
      <c r="M75" s="18" t="n">
        <v>30.52</v>
      </c>
      <c r="N75" s="18" t="n">
        <v>-24.68</v>
      </c>
      <c r="O75" s="18" t="n">
        <v>-9.220000000000001</v>
      </c>
      <c r="P75" s="37" t="n">
        <v>-14.55</v>
      </c>
      <c r="Q75" s="18" t="n">
        <v>-70.26000000000001</v>
      </c>
      <c r="R75" s="18" t="n">
        <v>35.81</v>
      </c>
      <c r="S75" s="18" t="n">
        <v>-17.62</v>
      </c>
      <c r="T75" s="18" t="n">
        <v>-29.43</v>
      </c>
      <c r="U75" s="37" t="n">
        <v>-81.5</v>
      </c>
      <c r="V75" s="18" t="n">
        <v>-78.39</v>
      </c>
      <c r="W75" s="18" t="n">
        <v>123.96</v>
      </c>
      <c r="X75" s="18" t="n">
        <v>-14.46</v>
      </c>
      <c r="Y75" s="18" t="n">
        <v>-8.51</v>
      </c>
      <c r="Z75" s="37" t="n">
        <v>22.6</v>
      </c>
      <c r="AA75" s="18" t="n">
        <v>-10.19</v>
      </c>
      <c r="AB75" s="19" t="n">
        <v>108.36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투자활동으로인한현금흐름</t>
        </is>
      </c>
      <c r="E76" s="18" t="n">
        <v>-245.84</v>
      </c>
      <c r="F76" s="9" t="n"/>
      <c r="G76" s="18" t="n">
        <v>1410.17</v>
      </c>
      <c r="H76" s="18" t="n">
        <v>2324.15</v>
      </c>
      <c r="I76" s="18" t="n">
        <v>573.28</v>
      </c>
      <c r="J76" s="18" t="n">
        <v>-75.05</v>
      </c>
      <c r="K76" s="37" t="n">
        <v>4232.55</v>
      </c>
      <c r="L76" s="18" t="n">
        <v>-3538.48</v>
      </c>
      <c r="M76" s="18" t="n">
        <v>-1712.65</v>
      </c>
      <c r="N76" s="18" t="n">
        <v>-2346.78</v>
      </c>
      <c r="O76" s="18" t="n">
        <v>-325.78</v>
      </c>
      <c r="P76" s="37" t="n">
        <v>-7923.69</v>
      </c>
      <c r="Q76" s="18" t="n">
        <v>294.16</v>
      </c>
      <c r="R76" s="18" t="n">
        <v>546.38</v>
      </c>
      <c r="S76" s="18" t="n">
        <v>-4102.66</v>
      </c>
      <c r="T76" s="18" t="n">
        <v>7852.39</v>
      </c>
      <c r="U76" s="37" t="n">
        <v>4590.27</v>
      </c>
      <c r="V76" s="18" t="n">
        <v>531.35</v>
      </c>
      <c r="W76" s="18" t="n">
        <v>-4011.73</v>
      </c>
      <c r="X76" s="18" t="n">
        <v>-8474.559999999999</v>
      </c>
      <c r="Y76" s="18" t="n">
        <v>-5643.37</v>
      </c>
      <c r="Z76" s="37" t="n">
        <v>-17598.31</v>
      </c>
      <c r="AA76" s="18" t="n">
        <v>-2214.1</v>
      </c>
      <c r="AB76" s="19" t="n">
        <v>-462.12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유형자산의증가</t>
        </is>
      </c>
      <c r="E77" s="18" t="n">
        <v>238.62</v>
      </c>
      <c r="F77" s="9" t="n"/>
      <c r="G77" s="18" t="n">
        <v>121.83</v>
      </c>
      <c r="H77" s="18" t="n">
        <v>190.26</v>
      </c>
      <c r="I77" s="18" t="n">
        <v>678.53</v>
      </c>
      <c r="J77" s="18" t="n">
        <v>156.85</v>
      </c>
      <c r="K77" s="37" t="n">
        <v>1147.47</v>
      </c>
      <c r="L77" s="18" t="n">
        <v>1037.58</v>
      </c>
      <c r="M77" s="18" t="n">
        <v>1411.75</v>
      </c>
      <c r="N77" s="18" t="n">
        <v>719.26</v>
      </c>
      <c r="O77" s="18" t="n">
        <v>302.21</v>
      </c>
      <c r="P77" s="37" t="n">
        <v>3470.8</v>
      </c>
      <c r="Q77" s="18" t="n">
        <v>283.03</v>
      </c>
      <c r="R77" s="18" t="n">
        <v>52.72</v>
      </c>
      <c r="S77" s="18" t="n">
        <v>78.90000000000001</v>
      </c>
      <c r="T77" s="18" t="n">
        <v>153.86</v>
      </c>
      <c r="U77" s="37" t="n">
        <v>568.51</v>
      </c>
      <c r="V77" s="18" t="n">
        <v>923.24</v>
      </c>
      <c r="W77" s="18" t="n">
        <v>3975.49</v>
      </c>
      <c r="X77" s="18" t="n">
        <v>7168.9</v>
      </c>
      <c r="Y77" s="18" t="n">
        <v>5404.84</v>
      </c>
      <c r="Z77" s="37" t="n">
        <v>17472.47</v>
      </c>
      <c r="AA77" s="18" t="n">
        <v>1040.53</v>
      </c>
      <c r="AB77" s="19" t="n">
        <v>500.06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CAPEX</t>
        </is>
      </c>
      <c r="E78" s="18" t="n">
        <v>238.62</v>
      </c>
      <c r="F78" s="9" t="n"/>
      <c r="G78" s="18" t="n">
        <v>121.83</v>
      </c>
      <c r="H78" s="18" t="n">
        <v>219.46</v>
      </c>
      <c r="I78" s="18" t="n">
        <v>678.53</v>
      </c>
      <c r="J78" s="18" t="n">
        <v>156.85</v>
      </c>
      <c r="K78" s="37" t="n">
        <v>1176.67</v>
      </c>
      <c r="L78" s="18" t="n">
        <v>1037.58</v>
      </c>
      <c r="M78" s="18" t="n">
        <v>1411.75</v>
      </c>
      <c r="N78" s="18" t="n">
        <v>719.26</v>
      </c>
      <c r="O78" s="18" t="n">
        <v>302.21</v>
      </c>
      <c r="P78" s="37" t="n">
        <v>3470.8</v>
      </c>
      <c r="Q78" s="18" t="n">
        <v>283.03</v>
      </c>
      <c r="R78" s="18" t="n">
        <v>52.72</v>
      </c>
      <c r="S78" s="18" t="n">
        <v>78.90000000000001</v>
      </c>
      <c r="T78" s="18" t="n">
        <v>153.86</v>
      </c>
      <c r="U78" s="37" t="n">
        <v>568.51</v>
      </c>
      <c r="V78" s="18" t="n">
        <v>923.24</v>
      </c>
      <c r="W78" s="18" t="n">
        <v>3975.49</v>
      </c>
      <c r="X78" s="18" t="n">
        <v>7168.9</v>
      </c>
      <c r="Y78" s="18" t="n">
        <v>5404.84</v>
      </c>
      <c r="Z78" s="37" t="n">
        <v>17472.47</v>
      </c>
      <c r="AA78" s="18" t="n">
        <v>1040.53</v>
      </c>
      <c r="AB78" s="19" t="n">
        <v>500.06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재무활동으로인한현금흐름</t>
        </is>
      </c>
      <c r="E79" s="18" t="n">
        <v>-398.92</v>
      </c>
      <c r="F79" s="9" t="n"/>
      <c r="G79" s="18" t="n">
        <v>-387.74</v>
      </c>
      <c r="H79" s="18" t="n">
        <v>-398.31</v>
      </c>
      <c r="I79" s="18" t="n">
        <v>-698.34</v>
      </c>
      <c r="J79" s="18" t="n">
        <v>-1430.72</v>
      </c>
      <c r="K79" s="37" t="n">
        <v>-2915.11</v>
      </c>
      <c r="L79" s="18" t="n">
        <v>1319.64</v>
      </c>
      <c r="M79" s="18" t="n">
        <v>1219.66</v>
      </c>
      <c r="N79" s="18" t="n">
        <v>2921.14</v>
      </c>
      <c r="O79" s="18" t="n">
        <v>-78.52</v>
      </c>
      <c r="P79" s="37" t="n">
        <v>5381.92</v>
      </c>
      <c r="Q79" s="18" t="n">
        <v>-65</v>
      </c>
      <c r="R79" s="18" t="n">
        <v>-94.23</v>
      </c>
      <c r="S79" s="18" t="n">
        <v>1421.72</v>
      </c>
      <c r="T79" s="18" t="n">
        <v>-203.65</v>
      </c>
      <c r="U79" s="37" t="n">
        <v>1058.84</v>
      </c>
      <c r="V79" s="18" t="n">
        <v>-204.63</v>
      </c>
      <c r="W79" s="18" t="n">
        <v>195.13</v>
      </c>
      <c r="X79" s="18" t="n">
        <v>9420.01</v>
      </c>
      <c r="Y79" s="18" t="n">
        <v>2899.98</v>
      </c>
      <c r="Z79" s="37" t="n">
        <v>12310.49</v>
      </c>
      <c r="AA79" s="18" t="n">
        <v>659.6900000000001</v>
      </c>
      <c r="AB79" s="19" t="n">
        <v>7574.56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단기차입금의감소</t>
        </is>
      </c>
      <c r="E80" s="18" t="n">
        <v>0</v>
      </c>
      <c r="F80" s="9" t="n"/>
      <c r="J80" s="18" t="n">
        <v>0</v>
      </c>
      <c r="K80" s="9" t="n"/>
      <c r="P80" s="9" t="n"/>
      <c r="U80" s="9" t="n"/>
      <c r="Z80" s="9" t="n"/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유동성장기부채의감소</t>
        </is>
      </c>
      <c r="E81" s="18" t="n">
        <v>388.88</v>
      </c>
      <c r="F81" s="9" t="n"/>
      <c r="G81" s="18" t="n">
        <v>388.88</v>
      </c>
      <c r="H81" s="18" t="n">
        <v>388.88</v>
      </c>
      <c r="I81" s="18" t="n">
        <v>65</v>
      </c>
      <c r="J81" s="18" t="n">
        <v>65</v>
      </c>
      <c r="K81" s="37" t="n">
        <v>907.76</v>
      </c>
      <c r="L81" s="18" t="n">
        <v>65</v>
      </c>
      <c r="M81" s="18" t="n">
        <v>65</v>
      </c>
      <c r="N81" s="18" t="n">
        <v>65</v>
      </c>
      <c r="O81" s="18" t="n">
        <v>65</v>
      </c>
      <c r="P81" s="37" t="n">
        <v>260</v>
      </c>
      <c r="Q81" s="18" t="n">
        <v>65</v>
      </c>
      <c r="R81" s="18" t="n">
        <v>65</v>
      </c>
      <c r="S81" s="18" t="n">
        <v>65</v>
      </c>
      <c r="T81" s="18" t="n">
        <v>190</v>
      </c>
      <c r="U81" s="37" t="n">
        <v>385</v>
      </c>
      <c r="V81" s="18" t="n">
        <v>190</v>
      </c>
      <c r="W81" s="18" t="n">
        <v>190</v>
      </c>
      <c r="X81" s="18" t="n">
        <v>125</v>
      </c>
      <c r="Y81" s="18" t="n">
        <v>125</v>
      </c>
      <c r="Z81" s="37" t="n">
        <v>630</v>
      </c>
      <c r="AA81" s="18" t="n">
        <v>125</v>
      </c>
      <c r="AB81" s="19" t="n">
        <v>210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리스부채의상환</t>
        </is>
      </c>
      <c r="E82" s="18" t="n">
        <v>20.8</v>
      </c>
      <c r="F82" s="9" t="n"/>
      <c r="I82" s="18" t="n">
        <v>38.08</v>
      </c>
      <c r="J82" s="18" t="n">
        <v>2.72</v>
      </c>
      <c r="K82" s="9" t="n"/>
      <c r="L82" s="18" t="n">
        <v>15.36</v>
      </c>
      <c r="M82" s="18" t="n">
        <v>15.34</v>
      </c>
      <c r="N82" s="18" t="n">
        <v>13.86</v>
      </c>
      <c r="O82" s="18" t="n">
        <v>13.52</v>
      </c>
      <c r="P82" s="37" t="n">
        <v>58.08</v>
      </c>
      <c r="S82" s="18" t="n">
        <v>12.33</v>
      </c>
      <c r="T82" s="18" t="n">
        <v>14.6</v>
      </c>
      <c r="U82" s="9" t="n"/>
      <c r="V82" s="18" t="n">
        <v>14.63</v>
      </c>
      <c r="W82" s="18" t="n">
        <v>14.87</v>
      </c>
      <c r="X82" s="18" t="n">
        <v>14.99</v>
      </c>
      <c r="Y82" s="18" t="n">
        <v>15.02</v>
      </c>
      <c r="Z82" s="37" t="n">
        <v>59.51</v>
      </c>
      <c r="AA82" s="18" t="n">
        <v>15.31</v>
      </c>
      <c r="AB82" s="19" t="n">
        <v>15.44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현금및현금성자산의증감</t>
        </is>
      </c>
      <c r="E83" s="18" t="n">
        <v>688.1900000000001</v>
      </c>
      <c r="F83" s="9" t="n"/>
      <c r="G83" s="18" t="n">
        <v>3907.83</v>
      </c>
      <c r="H83" s="18" t="n">
        <v>-2840.63</v>
      </c>
      <c r="I83" s="18" t="n">
        <v>2289.19</v>
      </c>
      <c r="J83" s="18" t="n">
        <v>3365.92</v>
      </c>
      <c r="K83" s="37" t="n">
        <v>6722.31</v>
      </c>
      <c r="L83" s="18" t="n">
        <v>-5066.11</v>
      </c>
      <c r="M83" s="18" t="n">
        <v>2159.63</v>
      </c>
      <c r="N83" s="18" t="n">
        <v>-4239.26</v>
      </c>
      <c r="O83" s="18" t="n">
        <v>4347.63</v>
      </c>
      <c r="P83" s="37" t="n">
        <v>-2798.11</v>
      </c>
      <c r="Q83" s="18" t="n">
        <v>-2121.13</v>
      </c>
      <c r="R83" s="18" t="n">
        <v>3869.52</v>
      </c>
      <c r="S83" s="18" t="n">
        <v>-4851.57</v>
      </c>
      <c r="T83" s="18" t="n">
        <v>15409.46</v>
      </c>
      <c r="U83" s="37" t="n">
        <v>12306.28</v>
      </c>
      <c r="V83" s="18" t="n">
        <v>-3716.33</v>
      </c>
      <c r="W83" s="18" t="n">
        <v>-2506.34</v>
      </c>
      <c r="X83" s="18" t="n">
        <v>-2348.53</v>
      </c>
      <c r="Y83" s="18" t="n">
        <v>1455.09</v>
      </c>
      <c r="Z83" s="37" t="n">
        <v>-7116.11</v>
      </c>
      <c r="AA83" s="18" t="n">
        <v>-8744.059999999999</v>
      </c>
      <c r="AB83" s="19" t="n">
        <v>9085.280000000001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기말현금및현금성자산</t>
        </is>
      </c>
      <c r="E84" s="18" t="n">
        <v>665.92</v>
      </c>
      <c r="F84" s="9" t="n"/>
      <c r="G84" s="18" t="n">
        <v>8173.6</v>
      </c>
      <c r="H84" s="18" t="n">
        <v>-2791.46</v>
      </c>
      <c r="I84" s="18" t="n">
        <v>2372.36</v>
      </c>
      <c r="J84" s="18" t="n">
        <v>3036.93</v>
      </c>
      <c r="K84" s="37" t="n">
        <v>10791.43</v>
      </c>
      <c r="L84" s="18" t="n">
        <v>5756.94</v>
      </c>
      <c r="M84" s="18" t="n">
        <v>2119.32</v>
      </c>
      <c r="N84" s="18" t="n">
        <v>-4243.08</v>
      </c>
      <c r="O84" s="18" t="n">
        <v>4323.95</v>
      </c>
      <c r="P84" s="37" t="n">
        <v>7957.13</v>
      </c>
      <c r="Q84" s="18" t="n">
        <v>5831.42</v>
      </c>
      <c r="R84" s="18" t="n">
        <v>3898.73</v>
      </c>
      <c r="S84" s="18" t="n">
        <v>-4892.74</v>
      </c>
      <c r="T84" s="18" t="n">
        <v>15418.71</v>
      </c>
      <c r="U84" s="37" t="n">
        <v>20256.12</v>
      </c>
      <c r="V84" s="18" t="n">
        <v>16618.2</v>
      </c>
      <c r="W84" s="18" t="n">
        <v>-2619.02</v>
      </c>
      <c r="X84" s="18" t="n">
        <v>-2352.62</v>
      </c>
      <c r="Y84" s="18" t="n">
        <v>1376.67</v>
      </c>
      <c r="Z84" s="37" t="n">
        <v>13023.23</v>
      </c>
      <c r="AA84" s="18" t="n">
        <v>4292.47</v>
      </c>
      <c r="AB84" s="19" t="n">
        <v>9111.299999999999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유형자산의감소</t>
        </is>
      </c>
      <c r="F85" s="9" t="n"/>
      <c r="G85" s="18" t="n">
        <v>1.05</v>
      </c>
      <c r="H85" s="18" t="n">
        <v>0</v>
      </c>
      <c r="I85" s="18" t="n">
        <v>0</v>
      </c>
      <c r="J85" s="18" t="n">
        <v>0</v>
      </c>
      <c r="K85" s="37" t="n">
        <v>1.05</v>
      </c>
      <c r="P85" s="9" t="n"/>
      <c r="U85" s="9" t="n"/>
      <c r="V85" s="18" t="n">
        <v>1.5</v>
      </c>
      <c r="W85" s="18" t="n">
        <v>0</v>
      </c>
      <c r="X85" s="18" t="n">
        <v>0</v>
      </c>
      <c r="Y85" s="18" t="n">
        <v>0</v>
      </c>
      <c r="Z85" s="37" t="n">
        <v>1.5</v>
      </c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무형자산의증가</t>
        </is>
      </c>
      <c r="F86" s="9" t="n"/>
      <c r="I86" s="18" t="n">
        <v>0</v>
      </c>
      <c r="J86" s="18" t="n">
        <v>0</v>
      </c>
      <c r="K86" s="9" t="n"/>
      <c r="P86" s="9" t="n"/>
      <c r="U86" s="9" t="n"/>
      <c r="Z86" s="9" t="n"/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단기차입금의증가</t>
        </is>
      </c>
      <c r="F87" s="9" t="n"/>
      <c r="K87" s="9" t="n"/>
      <c r="L87" s="18" t="n">
        <v>500</v>
      </c>
      <c r="M87" s="18" t="n">
        <v>500</v>
      </c>
      <c r="N87" s="18" t="n">
        <v>3000</v>
      </c>
      <c r="O87" s="18" t="n">
        <v>0</v>
      </c>
      <c r="P87" s="37" t="n">
        <v>4000</v>
      </c>
      <c r="U87" s="9" t="n"/>
      <c r="X87" s="18" t="n">
        <v>600</v>
      </c>
      <c r="Y87" s="18" t="n">
        <v>0</v>
      </c>
      <c r="Z87" s="9" t="n"/>
      <c r="AA87" s="18" t="n">
        <v>800</v>
      </c>
      <c r="AB87" s="19" t="n">
        <v>7800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장기차입금의증가</t>
        </is>
      </c>
      <c r="F88" s="9" t="n"/>
      <c r="K88" s="9" t="n"/>
      <c r="L88" s="18" t="n">
        <v>900</v>
      </c>
      <c r="M88" s="18" t="n">
        <v>800</v>
      </c>
      <c r="N88" s="18" t="n">
        <v>0</v>
      </c>
      <c r="O88" s="18" t="n">
        <v>0</v>
      </c>
      <c r="P88" s="37" t="n">
        <v>1700</v>
      </c>
      <c r="T88" s="18" t="n">
        <v>0</v>
      </c>
      <c r="U88" s="9" t="n"/>
      <c r="Y88" s="18" t="n">
        <v>3040</v>
      </c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이자수취(CF)</t>
        </is>
      </c>
      <c r="F89" s="9" t="n"/>
      <c r="K89" s="9" t="n"/>
      <c r="O89" s="18" t="n">
        <v>182.78</v>
      </c>
      <c r="P89" s="9" t="n"/>
      <c r="Q89" s="18" t="n">
        <v>274.57</v>
      </c>
      <c r="R89" s="18" t="n">
        <v>120.02</v>
      </c>
      <c r="S89" s="18" t="n">
        <v>63.48</v>
      </c>
      <c r="T89" s="18" t="n">
        <v>197.01</v>
      </c>
      <c r="U89" s="37" t="n">
        <v>655.08</v>
      </c>
      <c r="V89" s="18" t="n">
        <v>293.66</v>
      </c>
      <c r="W89" s="18" t="n">
        <v>65.09</v>
      </c>
      <c r="X89" s="18" t="n">
        <v>93.91</v>
      </c>
      <c r="Y89" s="18" t="n">
        <v>65.79000000000001</v>
      </c>
      <c r="Z89" s="37" t="n">
        <v>518.45</v>
      </c>
      <c r="AA89" s="18" t="n">
        <v>61.16</v>
      </c>
      <c r="AB89" s="19" t="n">
        <v>19.43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이자지급(CF)</t>
        </is>
      </c>
      <c r="F90" s="9" t="n"/>
      <c r="K90" s="9" t="n"/>
      <c r="P90" s="9" t="n"/>
      <c r="U90" s="9" t="n"/>
      <c r="V90" s="18" t="n">
        <v>-202.75</v>
      </c>
      <c r="W90" s="18" t="n">
        <v>-205.35</v>
      </c>
      <c r="X90" s="18" t="n">
        <v>-194.72</v>
      </c>
      <c r="Y90" s="18" t="n">
        <v>-254.23</v>
      </c>
      <c r="Z90" s="37" t="n">
        <v>-857.05</v>
      </c>
      <c r="AA90" s="18" t="n">
        <v>-284.63</v>
      </c>
      <c r="AB90" s="19" t="n">
        <v>-292.95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SUM(Q7:T7)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IFERROR((AB28*변수!$D$54-AB26*변수!$D$55)/4,"")</f>
        <v/>
      </c>
      <c r="AD12" s="20">
        <f>IFERROR((AC28*변수!$D$54-AC26*변수!$D$55)/4,"")</f>
        <v/>
      </c>
      <c r="AE12" s="38">
        <f>SUM(AA12:AD12)</f>
        <v/>
      </c>
      <c r="AF12" s="20">
        <f>IFERROR((AD28*변수!$D$54-AD26*변수!$D$55)/4,"")</f>
        <v/>
      </c>
      <c r="AG12" s="20">
        <f>IFERROR((AF28*변수!$D$54-AF26*변수!$D$55)/4,"")</f>
        <v/>
      </c>
      <c r="AH12" s="20">
        <f>IFERROR((AG28*변수!$D$54-AG26*변수!$D$55)/4,"")</f>
        <v/>
      </c>
      <c r="AI12" s="20">
        <f>IFERROR((AH28*변수!$D$54-AH26*변수!$D$55)/4,"")</f>
        <v/>
      </c>
      <c r="AJ12" s="38">
        <f>SUM(AF12:AI12)</f>
        <v/>
      </c>
      <c r="AK12" s="20">
        <f>IFERROR((AI28*변수!$D$54-AI26*변수!$D$55)/4,"")</f>
        <v/>
      </c>
      <c r="AL12" s="20">
        <f>IFERROR((AK28*변수!$D$54-AK26*변수!$D$55)/4,"")</f>
        <v/>
      </c>
      <c r="AM12" s="20">
        <f>IFERROR((AL28*변수!$D$54-AL26*변수!$D$55)/4,"")</f>
        <v/>
      </c>
      <c r="AN12" s="20">
        <f>IFERROR((AM28*변수!$D$54-AM26*변수!$D$55)/4,"")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 t="n"/>
      <c r="H14" s="18" t="n"/>
      <c r="I14" s="18" t="n"/>
      <c r="J14" s="18">
        <f>IFERROR((VLOOKUP("파생상품이익",BS연결,MATCH(J$1,BS연결H,0),0)-VLOOKUP("파생상품손실",BS연결,MATCH(J$1,BS연결H,0),0))/100,"")</f>
        <v/>
      </c>
      <c r="K14" s="37">
        <f>SUM(G14:J14)</f>
        <v/>
      </c>
      <c r="L14" s="18" t="n"/>
      <c r="M14" s="18" t="n"/>
      <c r="N14" s="18" t="n"/>
      <c r="O14" s="18" t="n"/>
      <c r="P14" s="37">
        <f>SUM(L14:O14)</f>
        <v/>
      </c>
      <c r="Q14" s="18" t="n"/>
      <c r="R14" s="18" t="n"/>
      <c r="S14" s="18" t="n"/>
      <c r="T14" s="18" t="n"/>
      <c r="U14" s="37">
        <f>SUM(Q14:T14)</f>
        <v/>
      </c>
      <c r="V14" s="18" t="n"/>
      <c r="W14" s="18" t="n"/>
      <c r="X14" s="18" t="n"/>
      <c r="Y14" s="18" t="n"/>
      <c r="Z14" s="37">
        <f>SUM(V14:Y14)</f>
        <v/>
      </c>
      <c r="AA14" s="18" t="n"/>
      <c r="AB14" s="19" t="n"/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 t="n"/>
      <c r="I15" s="18" t="n"/>
      <c r="J15" s="18">
        <f>IFERROR(J11-J12-J13-J14,"")</f>
        <v/>
      </c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 t="n"/>
      <c r="W15" s="18" t="n"/>
      <c r="X15" s="18" t="n"/>
      <c r="Y15" s="18" t="n"/>
      <c r="Z15" s="37">
        <f>SUM(V15:Y15)</f>
        <v/>
      </c>
      <c r="AA15" s="18" t="n"/>
      <c r="AB15" s="19" t="n"/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SUM(G16:J16)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 t="n"/>
      <c r="F17" s="37" t="n"/>
      <c r="G17" s="18" t="n"/>
      <c r="H17" s="18" t="n"/>
      <c r="I17" s="18" t="n"/>
      <c r="J17" s="18" t="n"/>
      <c r="K17" s="37">
        <f>SUM(G17:J17)</f>
        <v/>
      </c>
      <c r="L17" s="18" t="n"/>
      <c r="M17" s="18" t="n"/>
      <c r="N17" s="18" t="n"/>
      <c r="O17" s="18" t="n"/>
      <c r="P17" s="37">
        <f>SUM(L17:O17)</f>
        <v/>
      </c>
      <c r="Q17" s="18" t="n"/>
      <c r="R17" s="18" t="n"/>
      <c r="S17" s="18" t="n"/>
      <c r="T17" s="18" t="n"/>
      <c r="U17" s="37">
        <f>SUM(Q17:T17)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변수!AC28</f>
        <v/>
      </c>
      <c r="AD17" s="20">
        <f>변수!AD28</f>
        <v/>
      </c>
      <c r="AE17" s="38">
        <f>SUM(AA17:AD17)</f>
        <v/>
      </c>
      <c r="AF17" s="20">
        <f>변수!AF28</f>
        <v/>
      </c>
      <c r="AG17" s="20">
        <f>변수!AG28</f>
        <v/>
      </c>
      <c r="AH17" s="20">
        <f>변수!AH28</f>
        <v/>
      </c>
      <c r="AI17" s="20">
        <f>변수!AI28</f>
        <v/>
      </c>
      <c r="AJ17" s="38">
        <f>SUM(AF17:AI17)</f>
        <v/>
      </c>
      <c r="AK17" s="20">
        <f>변수!AK28</f>
        <v/>
      </c>
      <c r="AL17" s="20">
        <f>변수!AL28</f>
        <v/>
      </c>
      <c r="AM17" s="20">
        <f>변수!AM28</f>
        <v/>
      </c>
      <c r="AN17" s="20">
        <f>변수!AN28</f>
        <v/>
      </c>
      <c r="AO17" s="38">
        <f>SUM(AK17:AN17)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 t="n"/>
      <c r="W18" s="18" t="n"/>
      <c r="X18" s="18" t="n"/>
      <c r="Y18" s="18" t="n"/>
      <c r="Z18" s="37">
        <f>SUM(V18:Y18)</f>
        <v/>
      </c>
      <c r="AA18" s="18" t="n"/>
      <c r="AB18" s="19">
        <f>IFERROR(VLOOKUP($D18,BS연결,MATCH(AB$1,BS연결H,0),0)/100,"")</f>
        <v/>
      </c>
      <c r="AC18" s="20">
        <f>IFERROR(AC9+AC11+AC16+AC17,"")</f>
        <v/>
      </c>
      <c r="AD18" s="20">
        <f>IFERROR(AD9+AD11+AD16+AD17,"")</f>
        <v/>
      </c>
      <c r="AE18" s="38">
        <f>SUM(AA18:AD18)</f>
        <v/>
      </c>
      <c r="AF18" s="20">
        <f>IFERROR(AF9+AF11+AF16+AF17,"")</f>
        <v/>
      </c>
      <c r="AG18" s="20">
        <f>IFERROR(AG9+AG11+AG16+AG17,"")</f>
        <v/>
      </c>
      <c r="AH18" s="20">
        <f>IFERROR(AH9+AH11+AH16+AH17,"")</f>
        <v/>
      </c>
      <c r="AI18" s="20">
        <f>IFERROR(AI9+AI11+AI16+AI17,"")</f>
        <v/>
      </c>
      <c r="AJ18" s="38">
        <f>SUM(AF18:AI18)</f>
        <v/>
      </c>
      <c r="AK18" s="20">
        <f>IFERROR(AK9+AK11+AK16+AK17,"")</f>
        <v/>
      </c>
      <c r="AL18" s="20">
        <f>IFERROR(AL9+AL11+AL16+AL17,"")</f>
        <v/>
      </c>
      <c r="AM18" s="20">
        <f>IFERROR(AM9+AM11+AM16+AM17,"")</f>
        <v/>
      </c>
      <c r="AN18" s="20">
        <f>IFERROR(AN9+AN11+AN16+AN17,"")</f>
        <v/>
      </c>
      <c r="AO18" s="38">
        <f>SUM(AK18:AN18)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 t="n"/>
      <c r="F19" s="37" t="n"/>
      <c r="G19" s="18" t="n"/>
      <c r="H19" s="18" t="n"/>
      <c r="I19" s="18" t="n"/>
      <c r="J19" s="18" t="n"/>
      <c r="K19" s="37">
        <f>SUM(G19:J19)</f>
        <v/>
      </c>
      <c r="L19" s="18" t="n"/>
      <c r="M19" s="18" t="n"/>
      <c r="N19" s="18" t="n"/>
      <c r="O19" s="18" t="n"/>
      <c r="P19" s="37">
        <f>SUM(L19:O19)</f>
        <v/>
      </c>
      <c r="Q19" s="18" t="n"/>
      <c r="R19" s="18">
        <f>IFERROR(VLOOKUP($D19,BS연결,MATCH(R$1,BS연결H,0),0)/100,"")</f>
        <v/>
      </c>
      <c r="S19" s="18" t="n"/>
      <c r="T19" s="18">
        <f>IFERROR(VLOOKUP($D19,BS연결,MATCH(T$1,BS연결H,0),0)/100,"")</f>
        <v/>
      </c>
      <c r="U19" s="37">
        <f>SUM(Q19:T19)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IFERROR(AC18*변수!AC29,"")</f>
        <v/>
      </c>
      <c r="AD19" s="20">
        <f>IFERROR(AD18*변수!AD29,"")</f>
        <v/>
      </c>
      <c r="AE19" s="38">
        <f>SUM(AA19:AD19)</f>
        <v/>
      </c>
      <c r="AF19" s="20">
        <f>IFERROR(AF18*변수!AF29,"")</f>
        <v/>
      </c>
      <c r="AG19" s="20">
        <f>IFERROR(AG18*변수!AG29,"")</f>
        <v/>
      </c>
      <c r="AH19" s="20">
        <f>IFERROR(AH18*변수!AH29,"")</f>
        <v/>
      </c>
      <c r="AI19" s="20">
        <f>IFERROR(AI18*변수!AI29,"")</f>
        <v/>
      </c>
      <c r="AJ19" s="38">
        <f>SUM(AF19:AI19)</f>
        <v/>
      </c>
      <c r="AK19" s="20">
        <f>IFERROR(AK18*변수!AK29,"")</f>
        <v/>
      </c>
      <c r="AL19" s="20">
        <f>IFERROR(AL18*변수!AL29,"")</f>
        <v/>
      </c>
      <c r="AM19" s="20">
        <f>IFERROR(AM18*변수!AM29,"")</f>
        <v/>
      </c>
      <c r="AN19" s="20">
        <f>IFERROR(AN18*변수!AN29,"")</f>
        <v/>
      </c>
      <c r="AO19" s="38">
        <f>SUM(AK19:AN19)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IFERROR(AC18-AC19,"")</f>
        <v/>
      </c>
      <c r="AD20" s="20">
        <f>IFERROR(AD18-AD19,"")</f>
        <v/>
      </c>
      <c r="AE20" s="38">
        <f>SUM(AA20:AD20)</f>
        <v/>
      </c>
      <c r="AF20" s="20">
        <f>IFERROR(AF18-AF19,"")</f>
        <v/>
      </c>
      <c r="AG20" s="20">
        <f>IFERROR(AG18-AG19,"")</f>
        <v/>
      </c>
      <c r="AH20" s="20">
        <f>IFERROR(AH18-AH19,"")</f>
        <v/>
      </c>
      <c r="AI20" s="20">
        <f>IFERROR(AI18-AI19,"")</f>
        <v/>
      </c>
      <c r="AJ20" s="38">
        <f>SUM(AF20:AI20)</f>
        <v/>
      </c>
      <c r="AK20" s="20">
        <f>IFERROR(AK18-AK19,"")</f>
        <v/>
      </c>
      <c r="AL20" s="20">
        <f>IFERROR(AL18-AL19,"")</f>
        <v/>
      </c>
      <c r="AM20" s="20">
        <f>IFERROR(AM18-AM19,"")</f>
        <v/>
      </c>
      <c r="AN20" s="20">
        <f>IFERROR(AN18-AN19,"")</f>
        <v/>
      </c>
      <c r="AO20" s="38">
        <f>SUM(AK20:AN20)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IFERROR(VLOOKUP($D21,BS연결,MATCH(E$1,BS연결H,0),0)/100,"")</f>
        <v/>
      </c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IFERROR(AC20*변수!AC30,"")</f>
        <v/>
      </c>
      <c r="AD21" s="20">
        <f>IFERROR(AD20*변수!AD30,"")</f>
        <v/>
      </c>
      <c r="AE21" s="38">
        <f>SUM(AA21:AD21)</f>
        <v/>
      </c>
      <c r="AF21" s="20">
        <f>IFERROR(AF20*변수!AF30,"")</f>
        <v/>
      </c>
      <c r="AG21" s="20">
        <f>IFERROR(AG20*변수!AG30,"")</f>
        <v/>
      </c>
      <c r="AH21" s="20">
        <f>IFERROR(AH20*변수!AH30,"")</f>
        <v/>
      </c>
      <c r="AI21" s="20">
        <f>IFERROR(AI20*변수!AI30,"")</f>
        <v/>
      </c>
      <c r="AJ21" s="38">
        <f>SUM(AF21:AI21)</f>
        <v/>
      </c>
      <c r="AK21" s="20">
        <f>IFERROR(AK20*변수!AK30,"")</f>
        <v/>
      </c>
      <c r="AL21" s="20">
        <f>IFERROR(AL20*변수!AL30,"")</f>
        <v/>
      </c>
      <c r="AM21" s="20">
        <f>IFERROR(AM20*변수!AM30,"")</f>
        <v/>
      </c>
      <c r="AN21" s="20">
        <f>IFERROR(AN20*변수!AN30,"")</f>
        <v/>
      </c>
      <c r="AO21" s="38">
        <f>SUM(AK21:AN21)</f>
        <v/>
      </c>
    </row>
    <row r="22">
      <c r="A22" s="12" t="inlineStr">
        <is>
          <t>자산총계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자산총계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IFERROR(AC23+AC24,"")</f>
        <v/>
      </c>
      <c r="AD22" s="20">
        <f>IFERROR(AD23+AD24,"")</f>
        <v/>
      </c>
      <c r="AE22" s="38">
        <f>AD22</f>
        <v/>
      </c>
      <c r="AF22" s="20">
        <f>IFERROR(AF23+AF24,"")</f>
        <v/>
      </c>
      <c r="AG22" s="20">
        <f>IFERROR(AG23+AG24,"")</f>
        <v/>
      </c>
      <c r="AH22" s="20">
        <f>IFERROR(AH23+AH24,"")</f>
        <v/>
      </c>
      <c r="AI22" s="20">
        <f>IFERROR(AI23+AI24,"")</f>
        <v/>
      </c>
      <c r="AJ22" s="38">
        <f>AI22</f>
        <v/>
      </c>
      <c r="AK22" s="20">
        <f>IFERROR(AK23+AK24,"")</f>
        <v/>
      </c>
      <c r="AL22" s="20">
        <f>IFERROR(AL23+AL24,"")</f>
        <v/>
      </c>
      <c r="AM22" s="20">
        <f>IFERROR(AM23+AM24,"")</f>
        <v/>
      </c>
      <c r="AN22" s="20">
        <f>IFERROR(AN23+AN24,"")</f>
        <v/>
      </c>
      <c r="AO22" s="38">
        <f>AN22</f>
        <v/>
      </c>
    </row>
    <row r="23">
      <c r="A23" s="12" t="inlineStr">
        <is>
          <t>부채총계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부채총계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자본총계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자본총계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IFERROR(AB24+AC20-변수!AC32,"")</f>
        <v/>
      </c>
      <c r="AD24" s="20">
        <f>IFERROR(AC24+AD20-변수!AD32,"")</f>
        <v/>
      </c>
      <c r="AE24" s="38">
        <f>AD24</f>
        <v/>
      </c>
      <c r="AF24" s="20">
        <f>IFERROR(AD24+AF20-변수!AF32,"")</f>
        <v/>
      </c>
      <c r="AG24" s="20">
        <f>IFERROR(AF24+AG20-변수!AG32,"")</f>
        <v/>
      </c>
      <c r="AH24" s="20">
        <f>IFERROR(AG24+AH20-변수!AH32,"")</f>
        <v/>
      </c>
      <c r="AI24" s="20">
        <f>IFERROR(AH24+AI20-변수!AI32,"")</f>
        <v/>
      </c>
      <c r="AJ24" s="38">
        <f>AI24</f>
        <v/>
      </c>
      <c r="AK24" s="20">
        <f>IFERROR(AI24+AK20-변수!AK32,"")</f>
        <v/>
      </c>
      <c r="AL24" s="20">
        <f>IFERROR(AK24+AL20-변수!AL32,"")</f>
        <v/>
      </c>
      <c r="AM24" s="20">
        <f>IFERROR(AL24+AM20-변수!AM32,"")</f>
        <v/>
      </c>
      <c r="AN24" s="20">
        <f>IFERROR(AM24+AN20-변수!AN32,"")</f>
        <v/>
      </c>
      <c r="AO24" s="38">
        <f>AN24</f>
        <v/>
      </c>
    </row>
    <row r="25">
      <c r="A25" s="12" t="inlineStr">
        <is>
          <t>지배주주지분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지배주주지분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IFERROR(AB25+AC21-변수!AC33,"")</f>
        <v/>
      </c>
      <c r="AD25" s="20">
        <f>IFERROR(AC25+AD21-변수!AD33,"")</f>
        <v/>
      </c>
      <c r="AE25" s="38">
        <f>AD25</f>
        <v/>
      </c>
      <c r="AF25" s="20">
        <f>IFERROR(AD25+AF21-변수!AF33,"")</f>
        <v/>
      </c>
      <c r="AG25" s="20">
        <f>IFERROR(AF25+AG21-변수!AG33,"")</f>
        <v/>
      </c>
      <c r="AH25" s="20">
        <f>IFERROR(AG25+AH21-변수!AH33,"")</f>
        <v/>
      </c>
      <c r="AI25" s="20">
        <f>IFERROR(AH25+AI21-변수!AI33,"")</f>
        <v/>
      </c>
      <c r="AJ25" s="38">
        <f>AI25</f>
        <v/>
      </c>
      <c r="AK25" s="20">
        <f>IFERROR(AI25+AK21-변수!AK33,"")</f>
        <v/>
      </c>
      <c r="AL25" s="20">
        <f>IFERROR(AK25+AL21-변수!AL33,"")</f>
        <v/>
      </c>
      <c r="AM25" s="20">
        <f>IFERROR(AL25+AM21-변수!AM33,"")</f>
        <v/>
      </c>
      <c r="AN25" s="20">
        <f>IFERROR(AM25+AN21-변수!AN33,"")</f>
        <v/>
      </c>
      <c r="AO25" s="38">
        <f>AN25</f>
        <v/>
      </c>
    </row>
    <row r="26">
      <c r="A26" s="12" t="inlineStr">
        <is>
          <t>총차입금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총차입금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  <c r="AK26" s="20">
        <f>IFERROR(AI26*(1+변수!AK34),"")</f>
        <v/>
      </c>
      <c r="AL26" s="20">
        <f>IFERROR(AK26*(1+변수!AL34),"")</f>
        <v/>
      </c>
      <c r="AM26" s="20">
        <f>IFERROR(AL26*(1+변수!AM34),"")</f>
        <v/>
      </c>
      <c r="AN26" s="20">
        <f>IFERROR(AM26*(1+변수!AN34),"")</f>
        <v/>
      </c>
      <c r="AO26" s="38">
        <f>AN26</f>
        <v/>
      </c>
    </row>
    <row r="27">
      <c r="A27" s="12" t="inlineStr">
        <is>
          <t>순차입금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순차입금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이자발생자산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이자발생자산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IFERROR(AB28*(1+변수!AC36),"")</f>
        <v/>
      </c>
      <c r="AD28" s="20">
        <f>IFERROR(AC28*(1+변수!AD36),"")</f>
        <v/>
      </c>
      <c r="AE28" s="38">
        <f>AD28</f>
        <v/>
      </c>
      <c r="AF28" s="20">
        <f>IFERROR(AD28*(1+변수!AF36),"")</f>
        <v/>
      </c>
      <c r="AG28" s="20">
        <f>IFERROR(AF28*(1+변수!AG36),"")</f>
        <v/>
      </c>
      <c r="AH28" s="20">
        <f>IFERROR(AG28*(1+변수!AH36),"")</f>
        <v/>
      </c>
      <c r="AI28" s="20">
        <f>IFERROR(AH28*(1+변수!AI36),"")</f>
        <v/>
      </c>
      <c r="AJ28" s="38">
        <f>AI28</f>
        <v/>
      </c>
      <c r="AK28" s="20">
        <f>IFERROR(AI28*(1+변수!AK36),"")</f>
        <v/>
      </c>
      <c r="AL28" s="20">
        <f>IFERROR(AK28*(1+변수!AL36),"")</f>
        <v/>
      </c>
      <c r="AM28" s="20">
        <f>IFERROR(AL28*(1+변수!AM36),"")</f>
        <v/>
      </c>
      <c r="AN28" s="20">
        <f>IFERROR(AM28*(1+변수!AN36),"")</f>
        <v/>
      </c>
      <c r="AO28" s="38">
        <f>AN28</f>
        <v/>
      </c>
    </row>
    <row r="29">
      <c r="A29" s="12" t="inlineStr">
        <is>
          <t>현금및현금성자산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현금및현금성자산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 t="n"/>
      <c r="AD29" s="20" t="n"/>
      <c r="AE29" s="38">
        <f>AD29</f>
        <v/>
      </c>
      <c r="AF29" s="20" t="n"/>
      <c r="AG29" s="20" t="n"/>
      <c r="AH29" s="20" t="n"/>
      <c r="AI29" s="20" t="n"/>
      <c r="AJ29" s="38">
        <f>AI29</f>
        <v/>
      </c>
      <c r="AK29" s="20" t="n"/>
      <c r="AL29" s="20" t="n"/>
      <c r="AM29" s="20" t="n"/>
      <c r="AN29" s="20" t="n"/>
      <c r="AO29" s="38">
        <f>AN29</f>
        <v/>
      </c>
    </row>
    <row r="30">
      <c r="A30" s="12" t="inlineStr">
        <is>
          <t>CAPEX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CAPEX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>
        <f>IFERROR(X30*(1+변수!AC38),"")</f>
        <v/>
      </c>
      <c r="AD30" s="20">
        <f>IFERROR(Y30*(1+변수!AD38),"")</f>
        <v/>
      </c>
      <c r="AE30" s="38">
        <f>SUM(AA30:AD30)</f>
        <v/>
      </c>
      <c r="AF30" s="20">
        <f>IFERROR(AA30*(1+변수!AF38),"")</f>
        <v/>
      </c>
      <c r="AG30" s="20">
        <f>IFERROR(AB30*(1+변수!AG38),"")</f>
        <v/>
      </c>
      <c r="AH30" s="20">
        <f>IFERROR(AC30*(1+변수!AH38),"")</f>
        <v/>
      </c>
      <c r="AI30" s="20">
        <f>IFERROR(AD30*(1+변수!AI38),"")</f>
        <v/>
      </c>
      <c r="AJ30" s="38">
        <f>SUM(AF30:AI30)</f>
        <v/>
      </c>
      <c r="AK30" s="20">
        <f>IFERROR(AF30*(1+변수!AK38),"")</f>
        <v/>
      </c>
      <c r="AL30" s="20">
        <f>IFERROR(AG30*(1+변수!AL38),"")</f>
        <v/>
      </c>
      <c r="AM30" s="20">
        <f>IFERROR(AH30*(1+변수!AM38),"")</f>
        <v/>
      </c>
      <c r="AN30" s="20">
        <f>IFERROR(AI30*(1+변수!AN38),"")</f>
        <v/>
      </c>
      <c r="AO30" s="38">
        <f>SUM(AK30:AN30)</f>
        <v/>
      </c>
    </row>
    <row r="31">
      <c r="A31" s="12" t="inlineStr">
        <is>
          <t>영업활동현금흐름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영업활동으로인한현금흐름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 t="n"/>
      <c r="AD31" s="20" t="n"/>
      <c r="AE31" s="38">
        <f>SUM(AA31:AD31)</f>
        <v/>
      </c>
      <c r="AF31" s="20" t="n"/>
      <c r="AG31" s="20" t="n"/>
      <c r="AH31" s="20" t="n"/>
      <c r="AI31" s="20" t="n"/>
      <c r="AJ31" s="38">
        <f>SUM(AF31:AI31)</f>
        <v/>
      </c>
      <c r="AK31" s="20" t="n"/>
      <c r="AL31" s="20" t="n"/>
      <c r="AM31" s="20" t="n"/>
      <c r="AN31" s="20" t="n"/>
      <c r="AO31" s="38">
        <f>SUM(AK31:AN31)</f>
        <v/>
      </c>
    </row>
    <row r="32">
      <c r="A32" s="12" t="inlineStr">
        <is>
          <t>주식수</t>
        </is>
      </c>
      <c r="B32" t="inlineStr">
        <is>
          <t>주당</t>
        </is>
      </c>
      <c r="C32" t="inlineStr">
        <is>
          <t>백만주</t>
        </is>
      </c>
      <c r="D32" t="inlineStr">
        <is>
          <t>유통주식수</t>
        </is>
      </c>
      <c r="E32" s="27" t="n">
        <v>26.895</v>
      </c>
      <c r="F32" s="28">
        <f>E32</f>
        <v/>
      </c>
      <c r="G32" s="27" t="n">
        <v>26.895</v>
      </c>
      <c r="H32" s="27" t="n">
        <v>26.895</v>
      </c>
      <c r="I32" s="27" t="n">
        <v>27.246</v>
      </c>
      <c r="J32" s="27" t="n">
        <v>27.246</v>
      </c>
      <c r="K32" s="28">
        <f>J32</f>
        <v/>
      </c>
      <c r="L32" s="27" t="n">
        <v>28.93</v>
      </c>
      <c r="M32" s="27" t="n">
        <v>30.346</v>
      </c>
      <c r="N32" s="27" t="n">
        <v>30.668</v>
      </c>
      <c r="O32" s="27" t="n">
        <v>30.668</v>
      </c>
      <c r="P32" s="28">
        <f>O32</f>
        <v/>
      </c>
      <c r="Q32" s="27" t="n">
        <v>30.668</v>
      </c>
      <c r="R32" s="27" t="n">
        <v>30.668</v>
      </c>
      <c r="S32" s="27" t="n">
        <v>30.668</v>
      </c>
      <c r="T32" s="27" t="n">
        <v>30.668</v>
      </c>
      <c r="U32" s="28">
        <f>T32</f>
        <v/>
      </c>
      <c r="V32" s="27" t="n">
        <v>30.668</v>
      </c>
      <c r="W32" s="27" t="n">
        <v>30.668</v>
      </c>
      <c r="X32" s="27" t="n">
        <v>30.668</v>
      </c>
      <c r="Y32" s="27" t="n">
        <v>30.668</v>
      </c>
      <c r="Z32" s="28">
        <f>Y32</f>
        <v/>
      </c>
      <c r="AA32" s="27" t="n">
        <v>30.668</v>
      </c>
      <c r="AB32" s="29" t="n">
        <v>30.668</v>
      </c>
      <c r="AC32" s="33">
        <f>IFERROR(AB32*(1+변수!AC40),"")</f>
        <v/>
      </c>
      <c r="AD32" s="33">
        <f>IFERROR(AC32*(1+변수!AD40),"")</f>
        <v/>
      </c>
      <c r="AE32" s="31">
        <f>AD32</f>
        <v/>
      </c>
      <c r="AF32" s="33">
        <f>IFERROR(AD32*(1+변수!AF40),"")</f>
        <v/>
      </c>
      <c r="AG32" s="33">
        <f>IFERROR(AF32*(1+변수!AG40),"")</f>
        <v/>
      </c>
      <c r="AH32" s="33">
        <f>IFERROR(AG32*(1+변수!AH40),"")</f>
        <v/>
      </c>
      <c r="AI32" s="33">
        <f>IFERROR(AH32*(1+변수!AI40),"")</f>
        <v/>
      </c>
      <c r="AJ32" s="31">
        <f>AI32</f>
        <v/>
      </c>
      <c r="AK32" s="33">
        <f>IFERROR(AI32*(1+변수!AK40),"")</f>
        <v/>
      </c>
      <c r="AL32" s="33">
        <f>IFERROR(AK32*(1+변수!AL40),"")</f>
        <v/>
      </c>
      <c r="AM32" s="33">
        <f>IFERROR(AL32*(1+변수!AM40),"")</f>
        <v/>
      </c>
      <c r="AN32" s="33">
        <f>IFERROR(AM32*(1+변수!AN40),"")</f>
        <v/>
      </c>
      <c r="AO32" s="31">
        <f>AN32</f>
        <v/>
      </c>
    </row>
    <row r="33">
      <c r="A33" s="12" t="inlineStr">
        <is>
          <t>EPS</t>
        </is>
      </c>
      <c r="B33" t="inlineStr">
        <is>
          <t>주당</t>
        </is>
      </c>
      <c r="C33" t="inlineStr">
        <is>
          <t>원</t>
        </is>
      </c>
      <c r="D33" t="inlineStr">
        <is>
          <t>EPS</t>
        </is>
      </c>
      <c r="E33" s="18">
        <f>IFERROR(E21*100/E32,"")</f>
        <v/>
      </c>
      <c r="F33" s="37" t="n"/>
      <c r="G33" s="18">
        <f>IFERROR(G21*100/G32,"")</f>
        <v/>
      </c>
      <c r="H33" s="18">
        <f>IFERROR(H21*100/H32,"")</f>
        <v/>
      </c>
      <c r="I33" s="18">
        <f>IFERROR(I21*100/I32,"")</f>
        <v/>
      </c>
      <c r="J33" s="18">
        <f>IFERROR(J21*100/J32,"")</f>
        <v/>
      </c>
      <c r="K33" s="37">
        <f>SUM(G33:J33)</f>
        <v/>
      </c>
      <c r="L33" s="18">
        <f>IFERROR(L21*100/L32,"")</f>
        <v/>
      </c>
      <c r="M33" s="18">
        <f>IFERROR(M21*100/M32,"")</f>
        <v/>
      </c>
      <c r="N33" s="18">
        <f>IFERROR(N21*100/N32,"")</f>
        <v/>
      </c>
      <c r="O33" s="18">
        <f>IFERROR(O21*100/O32,"")</f>
        <v/>
      </c>
      <c r="P33" s="37">
        <f>SUM(L33:O33)</f>
        <v/>
      </c>
      <c r="Q33" s="18">
        <f>IFERROR(Q21*100/Q32,"")</f>
        <v/>
      </c>
      <c r="R33" s="18">
        <f>IFERROR(R21*100/R32,"")</f>
        <v/>
      </c>
      <c r="S33" s="18">
        <f>IFERROR(S21*100/S32,"")</f>
        <v/>
      </c>
      <c r="T33" s="18">
        <f>IFERROR(T21*100/T32,"")</f>
        <v/>
      </c>
      <c r="U33" s="37">
        <f>SUM(Q33:T33)</f>
        <v/>
      </c>
      <c r="V33" s="18">
        <f>IFERROR(V21*100/V32,"")</f>
        <v/>
      </c>
      <c r="W33" s="18">
        <f>IFERROR(W21*100/W32,"")</f>
        <v/>
      </c>
      <c r="X33" s="18">
        <f>IFERROR(X21*100/X32,"")</f>
        <v/>
      </c>
      <c r="Y33" s="18">
        <f>IFERROR(Y21*100/Y32,"")</f>
        <v/>
      </c>
      <c r="Z33" s="37">
        <f>SUM(V33:Y33)</f>
        <v/>
      </c>
      <c r="AA33" s="18">
        <f>IFERROR(AA21*100/AA32,"")</f>
        <v/>
      </c>
      <c r="AB33" s="19">
        <f>IFERROR(AB21*100/AB32,"")</f>
        <v/>
      </c>
      <c r="AC33" s="20">
        <f>IFERROR(AC21*100/AC32,"")</f>
        <v/>
      </c>
      <c r="AD33" s="20">
        <f>IFERROR(AD21*100/AD32,"")</f>
        <v/>
      </c>
      <c r="AE33" s="38">
        <f>SUM(AA33:AD33)</f>
        <v/>
      </c>
      <c r="AF33" s="20">
        <f>IFERROR(AF21*100/AF32,"")</f>
        <v/>
      </c>
      <c r="AG33" s="20">
        <f>IFERROR(AG21*100/AG32,"")</f>
        <v/>
      </c>
      <c r="AH33" s="20">
        <f>IFERROR(AH21*100/AH32,"")</f>
        <v/>
      </c>
      <c r="AI33" s="20">
        <f>IFERROR(AI21*100/AI32,"")</f>
        <v/>
      </c>
      <c r="AJ33" s="38">
        <f>SUM(AF33:AI33)</f>
        <v/>
      </c>
      <c r="AK33" s="20">
        <f>IFERROR(AK21*100/AK32,"")</f>
        <v/>
      </c>
      <c r="AL33" s="20">
        <f>IFERROR(AL21*100/AL32,"")</f>
        <v/>
      </c>
      <c r="AM33" s="20">
        <f>IFERROR(AM21*100/AM32,"")</f>
        <v/>
      </c>
      <c r="AN33" s="20">
        <f>IFERROR(AN21*100/AN32,"")</f>
        <v/>
      </c>
      <c r="AO33" s="38">
        <f>SUM(AK33:AN33)</f>
        <v/>
      </c>
    </row>
    <row r="34">
      <c r="A34" s="12" t="inlineStr">
        <is>
          <t>조정EPS</t>
        </is>
      </c>
      <c r="B34" t="inlineStr">
        <is>
          <t>주당</t>
        </is>
      </c>
      <c r="C34" t="inlineStr">
        <is>
          <t>원</t>
        </is>
      </c>
      <c r="D34" t="inlineStr">
        <is>
          <t>조정 EPS(일회성 의심 분기의 초과 비영업손익 세후 차감 — 모델 추정)</t>
        </is>
      </c>
      <c r="E34" s="18">
        <f>IFERROR(E33,"")</f>
        <v/>
      </c>
      <c r="F34" s="37" t="n"/>
      <c r="G34" s="18">
        <f>IFERROR(G33,"")</f>
        <v/>
      </c>
      <c r="H34" s="18">
        <f>IFERROR(H33,"")</f>
        <v/>
      </c>
      <c r="I34" s="18">
        <f>IFERROR(I33,"")</f>
        <v/>
      </c>
      <c r="J34" s="18">
        <f>IFERROR(J33,"")</f>
        <v/>
      </c>
      <c r="K34" s="37">
        <f>SUM(G34:J34)</f>
        <v/>
      </c>
      <c r="L34" s="18">
        <f>IFERROR(L33,"")</f>
        <v/>
      </c>
      <c r="M34" s="18">
        <f>IFERROR(M33,"")</f>
        <v/>
      </c>
      <c r="N34" s="18">
        <f>IFERROR(N33,"")</f>
        <v/>
      </c>
      <c r="O34" s="18">
        <f>IFERROR(O33,"")</f>
        <v/>
      </c>
      <c r="P34" s="37">
        <f>SUM(L34:O34)</f>
        <v/>
      </c>
      <c r="Q34" s="18">
        <f>IFERROR(Q33,"")</f>
        <v/>
      </c>
      <c r="R34" s="18">
        <f>IFERROR(R33,"")</f>
        <v/>
      </c>
      <c r="S34" s="18">
        <f>IFERROR(S33,"")</f>
        <v/>
      </c>
      <c r="T34" s="20">
        <f>IFERROR((T21-(210.03)*(0.9776))*100/T32,"")</f>
        <v/>
      </c>
      <c r="U34" s="37">
        <f>SUM(Q34:T34)</f>
        <v/>
      </c>
      <c r="V34" s="18">
        <f>IFERROR(V33,"")</f>
        <v/>
      </c>
      <c r="W34" s="18">
        <f>IFERROR(W33,"")</f>
        <v/>
      </c>
      <c r="X34" s="18">
        <f>IFERROR(X33,"")</f>
        <v/>
      </c>
      <c r="Y34" s="18">
        <f>IFERROR(Y33,"")</f>
        <v/>
      </c>
      <c r="Z34" s="37">
        <f>SUM(V34:Y34)</f>
        <v/>
      </c>
      <c r="AA34" s="18">
        <f>IFERROR(AA33,"")</f>
        <v/>
      </c>
      <c r="AB34" s="19">
        <f>IFERROR(AB33,"")</f>
        <v/>
      </c>
      <c r="AC34" s="20">
        <f>IFERROR(AC33,"")</f>
        <v/>
      </c>
      <c r="AD34" s="20">
        <f>IFERROR(AD33,"")</f>
        <v/>
      </c>
      <c r="AE34" s="38">
        <f>SUM(AA34:AD34)</f>
        <v/>
      </c>
      <c r="AF34" s="20">
        <f>IFERROR(AF33,"")</f>
        <v/>
      </c>
      <c r="AG34" s="20">
        <f>IFERROR(AG33,"")</f>
        <v/>
      </c>
      <c r="AH34" s="20">
        <f>IFERROR(AH33,"")</f>
        <v/>
      </c>
      <c r="AI34" s="20">
        <f>IFERROR(AI33,"")</f>
        <v/>
      </c>
      <c r="AJ34" s="38">
        <f>SUM(AF34:AI34)</f>
        <v/>
      </c>
      <c r="AK34" s="20">
        <f>IFERROR(AK33,"")</f>
        <v/>
      </c>
      <c r="AL34" s="20">
        <f>IFERROR(AL33,"")</f>
        <v/>
      </c>
      <c r="AM34" s="20">
        <f>IFERROR(AM33,"")</f>
        <v/>
      </c>
      <c r="AN34" s="20">
        <f>IFERROR(AN33,"")</f>
        <v/>
      </c>
      <c r="AO34" s="38">
        <f>SUM(AK34:AN34)</f>
        <v/>
      </c>
    </row>
    <row r="35">
      <c r="A35" s="12" t="inlineStr">
        <is>
          <t>BPS</t>
        </is>
      </c>
      <c r="B35" t="inlineStr">
        <is>
          <t>주당</t>
        </is>
      </c>
      <c r="C35" t="inlineStr">
        <is>
          <t>원</t>
        </is>
      </c>
      <c r="D35" t="inlineStr">
        <is>
          <t>BPS</t>
        </is>
      </c>
      <c r="E35" s="18">
        <f>IFERROR(E25*100/E32,"")</f>
        <v/>
      </c>
      <c r="F35" s="37">
        <f>E35</f>
        <v/>
      </c>
      <c r="G35" s="18">
        <f>IFERROR(G25*100/G32,"")</f>
        <v/>
      </c>
      <c r="H35" s="18">
        <f>IFERROR(H25*100/H32,"")</f>
        <v/>
      </c>
      <c r="I35" s="18">
        <f>IFERROR(I25*100/I32,"")</f>
        <v/>
      </c>
      <c r="J35" s="18">
        <f>IFERROR(J25*100/J32,"")</f>
        <v/>
      </c>
      <c r="K35" s="37">
        <f>J35</f>
        <v/>
      </c>
      <c r="L35" s="18">
        <f>IFERROR(L25*100/L32,"")</f>
        <v/>
      </c>
      <c r="M35" s="18">
        <f>IFERROR(M25*100/M32,"")</f>
        <v/>
      </c>
      <c r="N35" s="18">
        <f>IFERROR(N25*100/N32,"")</f>
        <v/>
      </c>
      <c r="O35" s="18">
        <f>IFERROR(O25*100/O32,"")</f>
        <v/>
      </c>
      <c r="P35" s="37">
        <f>O35</f>
        <v/>
      </c>
      <c r="Q35" s="18">
        <f>IFERROR(Q25*100/Q32,"")</f>
        <v/>
      </c>
      <c r="R35" s="18">
        <f>IFERROR(R25*100/R32,"")</f>
        <v/>
      </c>
      <c r="S35" s="18">
        <f>IFERROR(S25*100/S32,"")</f>
        <v/>
      </c>
      <c r="T35" s="18">
        <f>IFERROR(T25*100/T32,"")</f>
        <v/>
      </c>
      <c r="U35" s="37">
        <f>T35</f>
        <v/>
      </c>
      <c r="V35" s="18">
        <f>IFERROR(V25*100/V32,"")</f>
        <v/>
      </c>
      <c r="W35" s="18">
        <f>IFERROR(W25*100/W32,"")</f>
        <v/>
      </c>
      <c r="X35" s="18">
        <f>IFERROR(X25*100/X32,"")</f>
        <v/>
      </c>
      <c r="Y35" s="18">
        <f>IFERROR(Y25*100/Y32,"")</f>
        <v/>
      </c>
      <c r="Z35" s="37">
        <f>Y35</f>
        <v/>
      </c>
      <c r="AA35" s="18">
        <f>IFERROR(AA25*100/AA32,"")</f>
        <v/>
      </c>
      <c r="AB35" s="19">
        <f>IFERROR(AB25*100/AB32,"")</f>
        <v/>
      </c>
      <c r="AC35" s="20">
        <f>IFERROR(AC25*100/AC32,"")</f>
        <v/>
      </c>
      <c r="AD35" s="20">
        <f>IFERROR(AD25*100/AD32,"")</f>
        <v/>
      </c>
      <c r="AE35" s="38">
        <f>AD35</f>
        <v/>
      </c>
      <c r="AF35" s="20">
        <f>IFERROR(AF25*100/AF32,"")</f>
        <v/>
      </c>
      <c r="AG35" s="20">
        <f>IFERROR(AG25*100/AG32,"")</f>
        <v/>
      </c>
      <c r="AH35" s="20">
        <f>IFERROR(AH25*100/AH32,"")</f>
        <v/>
      </c>
      <c r="AI35" s="20">
        <f>IFERROR(AI25*100/AI32,"")</f>
        <v/>
      </c>
      <c r="AJ35" s="38">
        <f>AI35</f>
        <v/>
      </c>
      <c r="AK35" s="20">
        <f>IFERROR(AK25*100/AK32,"")</f>
        <v/>
      </c>
      <c r="AL35" s="20">
        <f>IFERROR(AL25*100/AL32,"")</f>
        <v/>
      </c>
      <c r="AM35" s="20">
        <f>IFERROR(AM25*100/AM32,"")</f>
        <v/>
      </c>
      <c r="AN35" s="20">
        <f>IFERROR(AN25*100/AN32,"")</f>
        <v/>
      </c>
      <c r="AO35" s="38">
        <f>AN35</f>
        <v/>
      </c>
    </row>
    <row r="36">
      <c r="A36" s="12" t="inlineStr">
        <is>
          <t>DPS</t>
        </is>
      </c>
      <c r="B36" t="inlineStr">
        <is>
          <t>주당</t>
        </is>
      </c>
      <c r="C36" t="inlineStr">
        <is>
          <t>원</t>
        </is>
      </c>
      <c r="D36" t="inlineStr">
        <is>
          <t>DPS(보통주)</t>
        </is>
      </c>
      <c r="E36" s="18" t="n">
        <v>0</v>
      </c>
      <c r="F36" s="37" t="n">
        <v>0</v>
      </c>
      <c r="G36" s="18" t="n"/>
      <c r="H36" s="18" t="n"/>
      <c r="I36" s="18" t="n"/>
      <c r="J36" s="18" t="n">
        <v>0</v>
      </c>
      <c r="K36" s="37">
        <f>SUM(G36:J36)</f>
        <v/>
      </c>
      <c r="L36" s="18" t="n"/>
      <c r="M36" s="18" t="n"/>
      <c r="N36" s="18" t="n"/>
      <c r="O36" s="18" t="n">
        <v>0</v>
      </c>
      <c r="P36" s="37">
        <f>SUM(L36:O36)</f>
        <v/>
      </c>
      <c r="Q36" s="18" t="n"/>
      <c r="R36" s="18" t="n"/>
      <c r="S36" s="18" t="n"/>
      <c r="T36" s="18" t="n">
        <v>0</v>
      </c>
      <c r="U36" s="37">
        <f>SUM(Q36:T36)</f>
        <v/>
      </c>
      <c r="V36" s="18" t="n"/>
      <c r="W36" s="18" t="n"/>
      <c r="X36" s="18" t="n"/>
      <c r="Y36" s="18" t="n">
        <v>0</v>
      </c>
      <c r="Z36" s="37">
        <f>SUM(V36:Y36)</f>
        <v/>
      </c>
      <c r="AA36" s="18" t="n"/>
      <c r="AB36" s="19" t="n"/>
      <c r="AC36" s="20" t="n"/>
      <c r="AD36" s="20">
        <f>변수!AD41</f>
        <v/>
      </c>
      <c r="AE36" s="38">
        <f>SUM(AA36:AD36)</f>
        <v/>
      </c>
      <c r="AF36" s="20" t="n"/>
      <c r="AG36" s="20" t="n"/>
      <c r="AH36" s="20" t="n"/>
      <c r="AI36" s="20">
        <f>변수!AI41</f>
        <v/>
      </c>
      <c r="AJ36" s="38">
        <f>SUM(AF36:AI36)</f>
        <v/>
      </c>
      <c r="AK36" s="20" t="n"/>
      <c r="AL36" s="20" t="n"/>
      <c r="AM36" s="20" t="n"/>
      <c r="AN36" s="20">
        <f>변수!AN41</f>
        <v/>
      </c>
      <c r="AO36" s="38">
        <f>SUM(AK36:AN36)</f>
        <v/>
      </c>
    </row>
    <row r="37">
      <c r="A37" s="12" t="inlineStr">
        <is>
          <t>PER</t>
        </is>
      </c>
      <c r="B37" t="inlineStr">
        <is>
          <t>주당</t>
        </is>
      </c>
      <c r="C37" t="inlineStr">
        <is>
          <t>배</t>
        </is>
      </c>
      <c r="D37" t="inlineStr">
        <is>
          <t>PER</t>
        </is>
      </c>
      <c r="E37" s="13" t="n"/>
      <c r="F37" s="14">
        <f>E37</f>
        <v/>
      </c>
      <c r="G37" s="13" t="n"/>
      <c r="H37" s="13" t="n"/>
      <c r="I37" s="13" t="n"/>
      <c r="J37" s="13" t="n"/>
      <c r="K37" s="14">
        <f>J37</f>
        <v/>
      </c>
      <c r="L37" s="13" t="n"/>
      <c r="M37" s="13" t="n"/>
      <c r="N37" s="13" t="n"/>
      <c r="O37" s="13" t="n"/>
      <c r="P37" s="14">
        <f>O37</f>
        <v/>
      </c>
      <c r="Q37" s="13" t="n"/>
      <c r="R37" s="13">
        <f>IFERROR(변수!R18/(N33+O33+Q33+R33),"")</f>
        <v/>
      </c>
      <c r="S37" s="13" t="n"/>
      <c r="T37" s="13" t="n"/>
      <c r="U37" s="14">
        <f>T37</f>
        <v/>
      </c>
      <c r="V37" s="13" t="n"/>
      <c r="W37" s="13">
        <f>IFERROR(변수!W18/(S33+T33+V33+W33),"")</f>
        <v/>
      </c>
      <c r="X37" s="13">
        <f>IFERROR(변수!X18/(T33+V33+W33+X33),"")</f>
        <v/>
      </c>
      <c r="Y37" s="13">
        <f>IFERROR(변수!Y18/(V33+W33+X33+Y33),"")</f>
        <v/>
      </c>
      <c r="Z37" s="14">
        <f>Y37</f>
        <v/>
      </c>
      <c r="AA37" s="13">
        <f>IFERROR(변수!AA18/(W33+X33+Y33+AA33),"")</f>
        <v/>
      </c>
      <c r="AB37" s="15" t="n"/>
      <c r="AC37" s="39" t="n"/>
      <c r="AD37" s="39" t="n"/>
      <c r="AE37" s="40">
        <f>AD37</f>
        <v/>
      </c>
      <c r="AF37" s="39" t="n"/>
      <c r="AG37" s="39" t="n"/>
      <c r="AH37" s="39" t="n"/>
      <c r="AI37" s="39" t="n"/>
      <c r="AJ37" s="40">
        <f>AI37</f>
        <v/>
      </c>
      <c r="AK37" s="39" t="n"/>
      <c r="AL37" s="39" t="n"/>
      <c r="AM37" s="39" t="n"/>
      <c r="AN37" s="39" t="n"/>
      <c r="AO37" s="40">
        <f>AN37</f>
        <v/>
      </c>
    </row>
    <row r="38">
      <c r="A38" s="12" t="inlineStr">
        <is>
          <t>PBR</t>
        </is>
      </c>
      <c r="B38" t="inlineStr">
        <is>
          <t>주당</t>
        </is>
      </c>
      <c r="C38" t="inlineStr">
        <is>
          <t>배</t>
        </is>
      </c>
      <c r="D38" t="inlineStr">
        <is>
          <t>PBR</t>
        </is>
      </c>
      <c r="E38" s="13">
        <f>IFERROR(변수!E18/E35,"")</f>
        <v/>
      </c>
      <c r="F38" s="14">
        <f>E38</f>
        <v/>
      </c>
      <c r="G38" s="13">
        <f>IFERROR(변수!G18/G35,"")</f>
        <v/>
      </c>
      <c r="H38" s="13">
        <f>IFERROR(변수!H18/H35,"")</f>
        <v/>
      </c>
      <c r="I38" s="13">
        <f>IFERROR(변수!I18/I35,"")</f>
        <v/>
      </c>
      <c r="J38" s="13">
        <f>IFERROR(변수!J18/J35,"")</f>
        <v/>
      </c>
      <c r="K38" s="14">
        <f>J38</f>
        <v/>
      </c>
      <c r="L38" s="13">
        <f>IFERROR(변수!L18/L35,"")</f>
        <v/>
      </c>
      <c r="M38" s="13">
        <f>IFERROR(변수!M18/M35,"")</f>
        <v/>
      </c>
      <c r="N38" s="13">
        <f>IFERROR(변수!N18/N35,"")</f>
        <v/>
      </c>
      <c r="O38" s="13">
        <f>IFERROR(변수!O18/O35,"")</f>
        <v/>
      </c>
      <c r="P38" s="14">
        <f>O38</f>
        <v/>
      </c>
      <c r="Q38" s="13">
        <f>IFERROR(변수!Q18/Q35,"")</f>
        <v/>
      </c>
      <c r="R38" s="13">
        <f>IFERROR(변수!R18/R35,"")</f>
        <v/>
      </c>
      <c r="S38" s="13" t="n"/>
      <c r="T38" s="13" t="n"/>
      <c r="U38" s="14">
        <f>T38</f>
        <v/>
      </c>
      <c r="V38" s="13" t="n"/>
      <c r="W38" s="13">
        <f>IFERROR(변수!W18/W35,"")</f>
        <v/>
      </c>
      <c r="X38" s="13">
        <f>IFERROR(변수!X18/X35,"")</f>
        <v/>
      </c>
      <c r="Y38" s="13">
        <f>IFERROR(변수!Y18/Y35,"")</f>
        <v/>
      </c>
      <c r="Z38" s="14">
        <f>Y38</f>
        <v/>
      </c>
      <c r="AA38" s="13">
        <f>IFERROR(변수!AA18/AA35,"")</f>
        <v/>
      </c>
      <c r="AB38" s="15">
        <f>IFERROR(변수!AB18/AB35,"")</f>
        <v/>
      </c>
      <c r="AC38" s="39">
        <f>IFERROR(변수!$D$44/AC35,"")</f>
        <v/>
      </c>
      <c r="AD38" s="39">
        <f>IFERROR(변수!$D$44/AD35,"")</f>
        <v/>
      </c>
      <c r="AE38" s="40">
        <f>AD38</f>
        <v/>
      </c>
      <c r="AF38" s="39">
        <f>IFERROR(변수!$D$44/AF35,"")</f>
        <v/>
      </c>
      <c r="AG38" s="39">
        <f>IFERROR(변수!$D$44/AG35,"")</f>
        <v/>
      </c>
      <c r="AH38" s="39">
        <f>IFERROR(변수!$D$44/AH35,"")</f>
        <v/>
      </c>
      <c r="AI38" s="39">
        <f>IFERROR(변수!$D$44/AI35,"")</f>
        <v/>
      </c>
      <c r="AJ38" s="40">
        <f>AI38</f>
        <v/>
      </c>
      <c r="AK38" s="39">
        <f>IFERROR(변수!$D$44/AK35,"")</f>
        <v/>
      </c>
      <c r="AL38" s="39">
        <f>IFERROR(변수!$D$44/AL35,"")</f>
        <v/>
      </c>
      <c r="AM38" s="39">
        <f>IFERROR(변수!$D$44/AM35,"")</f>
        <v/>
      </c>
      <c r="AN38" s="39">
        <f>IFERROR(변수!$D$44/AN35,"")</f>
        <v/>
      </c>
      <c r="AO38" s="40">
        <f>AN38</f>
        <v/>
      </c>
    </row>
    <row r="39">
      <c r="A39" s="12" t="inlineStr">
        <is>
          <t>매출전사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매출 전사(부문 미분리)</t>
        </is>
      </c>
      <c r="E39" s="18" t="n">
        <v>180.06</v>
      </c>
      <c r="F39" s="37" t="n"/>
      <c r="G39" s="18" t="n">
        <v>109.98</v>
      </c>
      <c r="H39" s="18" t="n">
        <v>205.03</v>
      </c>
      <c r="I39" s="18" t="n">
        <v>222.93</v>
      </c>
      <c r="J39" s="18" t="n">
        <v>128.85</v>
      </c>
      <c r="K39" s="37">
        <f>SUM(G39:J39)</f>
        <v/>
      </c>
      <c r="L39" s="18" t="n">
        <v>176.42</v>
      </c>
      <c r="M39" s="18" t="n">
        <v>264.81</v>
      </c>
      <c r="N39" s="18" t="n">
        <v>232.63</v>
      </c>
      <c r="O39" s="18" t="n">
        <v>206.9</v>
      </c>
      <c r="P39" s="37">
        <f>SUM(L39:O39)</f>
        <v/>
      </c>
      <c r="Q39" s="18" t="n">
        <v>187.57</v>
      </c>
      <c r="R39" s="18" t="n">
        <v>229.49</v>
      </c>
      <c r="S39" s="18" t="n">
        <v>258.44</v>
      </c>
      <c r="T39" s="18" t="n">
        <v>210.51</v>
      </c>
      <c r="U39" s="37">
        <f>SUM(Q39:T39)</f>
        <v/>
      </c>
      <c r="V39" s="18" t="n">
        <v>136.62</v>
      </c>
      <c r="W39" s="18" t="n">
        <v>157.66</v>
      </c>
      <c r="X39" s="18" t="n">
        <v>344.65</v>
      </c>
      <c r="Y39" s="18" t="n">
        <v>217.83</v>
      </c>
      <c r="Z39" s="37">
        <f>SUM(V39:Y39)</f>
        <v/>
      </c>
      <c r="AA39" s="18" t="n">
        <v>110.35</v>
      </c>
      <c r="AB39" s="19" t="n">
        <v>259.5</v>
      </c>
      <c r="AC39" s="20">
        <f>IFERROR(AC5,"")</f>
        <v/>
      </c>
      <c r="AD39" s="20">
        <f>IFERROR(AD5,"")</f>
        <v/>
      </c>
      <c r="AE39" s="38">
        <f>SUM(AA39:AD39)</f>
        <v/>
      </c>
      <c r="AF39" s="20">
        <f>IFERROR(AF5,"")</f>
        <v/>
      </c>
      <c r="AG39" s="20">
        <f>IFERROR(AG5,"")</f>
        <v/>
      </c>
      <c r="AH39" s="20">
        <f>IFERROR(AH5,"")</f>
        <v/>
      </c>
      <c r="AI39" s="20">
        <f>IFERROR(AI5,"")</f>
        <v/>
      </c>
      <c r="AJ39" s="38">
        <f>SUM(AF39:AI39)</f>
        <v/>
      </c>
      <c r="AK39" s="20">
        <f>IFERROR(AK5,"")</f>
        <v/>
      </c>
      <c r="AL39" s="20">
        <f>IFERROR(AL5,"")</f>
        <v/>
      </c>
      <c r="AM39" s="20">
        <f>IFERROR(AM5,"")</f>
        <v/>
      </c>
      <c r="AN39" s="20">
        <f>IFERROR(AN5,"")</f>
        <v/>
      </c>
      <c r="AO39" s="38">
        <f>SUM(AK39:AN39)</f>
        <v/>
      </c>
    </row>
    <row r="40">
      <c r="A40" s="12" t="inlineStr">
        <is>
          <t>OP전사</t>
        </is>
      </c>
      <c r="B40" t="inlineStr">
        <is>
          <t>사업부</t>
        </is>
      </c>
      <c r="C40" t="inlineStr">
        <is>
          <t>억원</t>
        </is>
      </c>
      <c r="D40" t="inlineStr">
        <is>
          <t>OP 전사(부문 미분리)</t>
        </is>
      </c>
      <c r="E40" s="18" t="n">
        <v>4.02</v>
      </c>
      <c r="F40" s="37" t="n"/>
      <c r="G40" s="18" t="n">
        <v>3.88</v>
      </c>
      <c r="H40" s="18" t="n">
        <v>-7.36</v>
      </c>
      <c r="I40" s="18" t="n">
        <v>-10.63</v>
      </c>
      <c r="J40" s="18" t="n">
        <v>-21.14</v>
      </c>
      <c r="K40" s="37">
        <f>SUM(G40:J40)</f>
        <v/>
      </c>
      <c r="L40" s="18" t="n">
        <v>-20.25</v>
      </c>
      <c r="M40" s="18" t="n">
        <v>19.39</v>
      </c>
      <c r="N40" s="18" t="n">
        <v>5.77</v>
      </c>
      <c r="O40" s="18" t="n">
        <v>11.32</v>
      </c>
      <c r="P40" s="37">
        <f>SUM(L40:O40)</f>
        <v/>
      </c>
      <c r="Q40" s="18" t="n">
        <v>8.66</v>
      </c>
      <c r="R40" s="18" t="n">
        <v>23.66</v>
      </c>
      <c r="S40" s="18" t="n">
        <v>5.2</v>
      </c>
      <c r="T40" s="18" t="n">
        <v>-20.94</v>
      </c>
      <c r="U40" s="37">
        <f>SUM(Q40:T40)</f>
        <v/>
      </c>
      <c r="V40" s="18" t="n">
        <v>-2.64</v>
      </c>
      <c r="W40" s="18" t="n">
        <v>0.15</v>
      </c>
      <c r="X40" s="18" t="n">
        <v>55.18</v>
      </c>
      <c r="Y40" s="18" t="n">
        <v>2.58</v>
      </c>
      <c r="Z40" s="37">
        <f>SUM(V40:Y40)</f>
        <v/>
      </c>
      <c r="AA40" s="18" t="n">
        <v>-8.890000000000001</v>
      </c>
      <c r="AB40" s="19" t="n">
        <v>5.83</v>
      </c>
      <c r="AC40" s="20">
        <f>IFERROR(AC9,"")</f>
        <v/>
      </c>
      <c r="AD40" s="20">
        <f>IFERROR(AD9,"")</f>
        <v/>
      </c>
      <c r="AE40" s="38">
        <f>SUM(AA40:AD40)</f>
        <v/>
      </c>
      <c r="AF40" s="20">
        <f>IFERROR(AF9,"")</f>
        <v/>
      </c>
      <c r="AG40" s="20">
        <f>IFERROR(AG9,"")</f>
        <v/>
      </c>
      <c r="AH40" s="20">
        <f>IFERROR(AH9,"")</f>
        <v/>
      </c>
      <c r="AI40" s="20">
        <f>IFERROR(AI9,"")</f>
        <v/>
      </c>
      <c r="AJ40" s="38">
        <f>SUM(AF40:AI40)</f>
        <v/>
      </c>
      <c r="AK40" s="20">
        <f>IFERROR(AK9,"")</f>
        <v/>
      </c>
      <c r="AL40" s="20">
        <f>IFERROR(AL9,"")</f>
        <v/>
      </c>
      <c r="AM40" s="20">
        <f>IFERROR(AM9,"")</f>
        <v/>
      </c>
      <c r="AN40" s="20">
        <f>IFERROR(AN9,"")</f>
        <v/>
      </c>
      <c r="AO40" s="38">
        <f>SUM(AK40:AN40)</f>
        <v/>
      </c>
    </row>
    <row r="41">
      <c r="B41" s="2" t="inlineStr">
        <is>
          <t>비율(참고)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NPM</t>
        </is>
      </c>
      <c r="C42" t="inlineStr">
        <is>
          <t>%</t>
        </is>
      </c>
      <c r="D42" t="inlineStr">
        <is>
          <t>지배주주순이익 / 매출액</t>
        </is>
      </c>
      <c r="E42" s="21">
        <f>IFERROR(E21/E5,"")</f>
        <v/>
      </c>
      <c r="F42" s="22">
        <f>IFERROR(F21/F5,"")</f>
        <v/>
      </c>
      <c r="G42" s="21">
        <f>IFERROR(G21/G5,"")</f>
        <v/>
      </c>
      <c r="H42" s="21">
        <f>IFERROR(H21/H5,"")</f>
        <v/>
      </c>
      <c r="I42" s="21">
        <f>IFERROR(I21/I5,"")</f>
        <v/>
      </c>
      <c r="J42" s="21">
        <f>IFERROR(J21/J5,"")</f>
        <v/>
      </c>
      <c r="K42" s="22">
        <f>IFERROR(K21/K5,"")</f>
        <v/>
      </c>
      <c r="L42" s="21">
        <f>IFERROR(L21/L5,"")</f>
        <v/>
      </c>
      <c r="M42" s="21">
        <f>IFERROR(M21/M5,"")</f>
        <v/>
      </c>
      <c r="N42" s="21">
        <f>IFERROR(N21/N5,"")</f>
        <v/>
      </c>
      <c r="O42" s="21">
        <f>IFERROR(O21/O5,"")</f>
        <v/>
      </c>
      <c r="P42" s="22">
        <f>IFERROR(P21/P5,"")</f>
        <v/>
      </c>
      <c r="Q42" s="21">
        <f>IFERROR(Q21/Q5,"")</f>
        <v/>
      </c>
      <c r="R42" s="21">
        <f>IFERROR(R21/R5,"")</f>
        <v/>
      </c>
      <c r="S42" s="21">
        <f>IFERROR(S21/S5,"")</f>
        <v/>
      </c>
      <c r="T42" s="21">
        <f>IFERROR(T21/T5,"")</f>
        <v/>
      </c>
      <c r="U42" s="22">
        <f>IFERROR(U21/U5,"")</f>
        <v/>
      </c>
      <c r="V42" s="21">
        <f>IFERROR(V21/V5,"")</f>
        <v/>
      </c>
      <c r="W42" s="21">
        <f>IFERROR(W21/W5,"")</f>
        <v/>
      </c>
      <c r="X42" s="21">
        <f>IFERROR(X21/X5,"")</f>
        <v/>
      </c>
      <c r="Y42" s="21">
        <f>IFERROR(Y21/Y5,"")</f>
        <v/>
      </c>
      <c r="Z42" s="22">
        <f>IFERROR(Z21/Z5,"")</f>
        <v/>
      </c>
      <c r="AA42" s="21">
        <f>IFERROR(AA21/AA5,"")</f>
        <v/>
      </c>
      <c r="AB42" s="23">
        <f>IFERROR(AB21/AB5,"")</f>
        <v/>
      </c>
      <c r="AC42" s="32">
        <f>IFERROR(AC21/AC5,"")</f>
        <v/>
      </c>
      <c r="AD42" s="32">
        <f>IFERROR(AD21/AD5,"")</f>
        <v/>
      </c>
      <c r="AE42" s="25">
        <f>IFERROR(AE21/AE5,"")</f>
        <v/>
      </c>
      <c r="AF42" s="32">
        <f>IFERROR(AF21/AF5,"")</f>
        <v/>
      </c>
      <c r="AG42" s="32">
        <f>IFERROR(AG21/AG5,"")</f>
        <v/>
      </c>
      <c r="AH42" s="32">
        <f>IFERROR(AH21/AH5,"")</f>
        <v/>
      </c>
      <c r="AI42" s="32">
        <f>IFERROR(AI21/AI5,"")</f>
        <v/>
      </c>
      <c r="AJ42" s="25">
        <f>IFERROR(AJ21/AJ5,"")</f>
        <v/>
      </c>
      <c r="AK42" s="32">
        <f>IFERROR(AK21/AK5,"")</f>
        <v/>
      </c>
      <c r="AL42" s="32">
        <f>IFERROR(AL21/AL5,"")</f>
        <v/>
      </c>
      <c r="AM42" s="32">
        <f>IFERROR(AM21/AM5,"")</f>
        <v/>
      </c>
      <c r="AN42" s="32">
        <f>IFERROR(AN21/AN5,"")</f>
        <v/>
      </c>
      <c r="AO42" s="25">
        <f>IFERROR(AO21/AO5,"")</f>
        <v/>
      </c>
    </row>
    <row r="43">
      <c r="A43" s="12" t="inlineStr">
        <is>
          <t>매출원가율</t>
        </is>
      </c>
      <c r="C43" t="inlineStr">
        <is>
          <t>%</t>
        </is>
      </c>
      <c r="D43" t="inlineStr">
        <is>
          <t>매출원가 / 매출액</t>
        </is>
      </c>
      <c r="E43" s="21">
        <f>IFERROR(E6/E5,"")</f>
        <v/>
      </c>
      <c r="F43" s="22">
        <f>IFERROR(F6/F5,"")</f>
        <v/>
      </c>
      <c r="G43" s="21">
        <f>IFERROR(G6/G5,"")</f>
        <v/>
      </c>
      <c r="H43" s="21">
        <f>IFERROR(H6/H5,"")</f>
        <v/>
      </c>
      <c r="I43" s="21">
        <f>IFERROR(I6/I5,"")</f>
        <v/>
      </c>
      <c r="J43" s="21">
        <f>IFERROR(J6/J5,"")</f>
        <v/>
      </c>
      <c r="K43" s="22">
        <f>IFERROR(K6/K5,"")</f>
        <v/>
      </c>
      <c r="L43" s="21">
        <f>IFERROR(L6/L5,"")</f>
        <v/>
      </c>
      <c r="M43" s="21">
        <f>IFERROR(M6/M5,"")</f>
        <v/>
      </c>
      <c r="N43" s="21">
        <f>IFERROR(N6/N5,"")</f>
        <v/>
      </c>
      <c r="O43" s="21">
        <f>IFERROR(O6/O5,"")</f>
        <v/>
      </c>
      <c r="P43" s="22">
        <f>IFERROR(P6/P5,"")</f>
        <v/>
      </c>
      <c r="Q43" s="21">
        <f>IFERROR(Q6/Q5,"")</f>
        <v/>
      </c>
      <c r="R43" s="21">
        <f>IFERROR(R6/R5,"")</f>
        <v/>
      </c>
      <c r="S43" s="21">
        <f>IFERROR(S6/S5,"")</f>
        <v/>
      </c>
      <c r="T43" s="21">
        <f>IFERROR(T6/T5,"")</f>
        <v/>
      </c>
      <c r="U43" s="22">
        <f>IFERROR(U6/U5,"")</f>
        <v/>
      </c>
      <c r="V43" s="21">
        <f>IFERROR(V6/V5,"")</f>
        <v/>
      </c>
      <c r="W43" s="21">
        <f>IFERROR(W6/W5,"")</f>
        <v/>
      </c>
      <c r="X43" s="21">
        <f>IFERROR(X6/X5,"")</f>
        <v/>
      </c>
      <c r="Y43" s="21">
        <f>IFERROR(Y6/Y5,"")</f>
        <v/>
      </c>
      <c r="Z43" s="22">
        <f>IFERROR(Z6/Z5,"")</f>
        <v/>
      </c>
      <c r="AA43" s="21">
        <f>IFERROR(AA6/AA5,"")</f>
        <v/>
      </c>
      <c r="AB43" s="23">
        <f>IFERROR(AB6/AB5,"")</f>
        <v/>
      </c>
      <c r="AC43" s="32">
        <f>IFERROR(AC6/AC5,"")</f>
        <v/>
      </c>
      <c r="AD43" s="32">
        <f>IFERROR(AD6/AD5,"")</f>
        <v/>
      </c>
      <c r="AE43" s="25">
        <f>IFERROR(AE6/AE5,"")</f>
        <v/>
      </c>
      <c r="AF43" s="32">
        <f>IFERROR(AF6/AF5,"")</f>
        <v/>
      </c>
      <c r="AG43" s="32">
        <f>IFERROR(AG6/AG5,"")</f>
        <v/>
      </c>
      <c r="AH43" s="32">
        <f>IFERROR(AH6/AH5,"")</f>
        <v/>
      </c>
      <c r="AI43" s="32">
        <f>IFERROR(AI6/AI5,"")</f>
        <v/>
      </c>
      <c r="AJ43" s="25">
        <f>IFERROR(AJ6/AJ5,"")</f>
        <v/>
      </c>
      <c r="AK43" s="32">
        <f>IFERROR(AK6/AK5,"")</f>
        <v/>
      </c>
      <c r="AL43" s="32">
        <f>IFERROR(AL6/AL5,"")</f>
        <v/>
      </c>
      <c r="AM43" s="32">
        <f>IFERROR(AM6/AM5,"")</f>
        <v/>
      </c>
      <c r="AN43" s="32">
        <f>IFERROR(AN6/AN5,"")</f>
        <v/>
      </c>
      <c r="AO43" s="25">
        <f>IFERROR(AO6/AO5,"")</f>
        <v/>
      </c>
    </row>
    <row r="44">
      <c r="A44" s="12" t="inlineStr">
        <is>
          <t>판관비율</t>
        </is>
      </c>
      <c r="C44" t="inlineStr">
        <is>
          <t>%</t>
        </is>
      </c>
      <c r="D44" t="inlineStr">
        <is>
          <t>판관비 / 매출액</t>
        </is>
      </c>
      <c r="E44" s="21">
        <f>IFERROR(E8/E5,"")</f>
        <v/>
      </c>
      <c r="F44" s="22">
        <f>IFERROR(F8/F5,"")</f>
        <v/>
      </c>
      <c r="G44" s="21">
        <f>IFERROR(G8/G5,"")</f>
        <v/>
      </c>
      <c r="H44" s="21">
        <f>IFERROR(H8/H5,"")</f>
        <v/>
      </c>
      <c r="I44" s="21">
        <f>IFERROR(I8/I5,"")</f>
        <v/>
      </c>
      <c r="J44" s="21">
        <f>IFERROR(J8/J5,"")</f>
        <v/>
      </c>
      <c r="K44" s="22">
        <f>IFERROR(K8/K5,"")</f>
        <v/>
      </c>
      <c r="L44" s="21">
        <f>IFERROR(L8/L5,"")</f>
        <v/>
      </c>
      <c r="M44" s="21">
        <f>IFERROR(M8/M5,"")</f>
        <v/>
      </c>
      <c r="N44" s="21">
        <f>IFERROR(N8/N5,"")</f>
        <v/>
      </c>
      <c r="O44" s="21">
        <f>IFERROR(O8/O5,"")</f>
        <v/>
      </c>
      <c r="P44" s="22">
        <f>IFERROR(P8/P5,"")</f>
        <v/>
      </c>
      <c r="Q44" s="21">
        <f>IFERROR(Q8/Q5,"")</f>
        <v/>
      </c>
      <c r="R44" s="21">
        <f>IFERROR(R8/R5,"")</f>
        <v/>
      </c>
      <c r="S44" s="21">
        <f>IFERROR(S8/S5,"")</f>
        <v/>
      </c>
      <c r="T44" s="21">
        <f>IFERROR(T8/T5,"")</f>
        <v/>
      </c>
      <c r="U44" s="22">
        <f>IFERROR(U8/U5,"")</f>
        <v/>
      </c>
      <c r="V44" s="21">
        <f>IFERROR(V8/V5,"")</f>
        <v/>
      </c>
      <c r="W44" s="21">
        <f>IFERROR(W8/W5,"")</f>
        <v/>
      </c>
      <c r="X44" s="21">
        <f>IFERROR(X8/X5,"")</f>
        <v/>
      </c>
      <c r="Y44" s="21">
        <f>IFERROR(Y8/Y5,"")</f>
        <v/>
      </c>
      <c r="Z44" s="22">
        <f>IFERROR(Z8/Z5,"")</f>
        <v/>
      </c>
      <c r="AA44" s="21">
        <f>IFERROR(AA8/AA5,"")</f>
        <v/>
      </c>
      <c r="AB44" s="23">
        <f>IFERROR(AB8/AB5,"")</f>
        <v/>
      </c>
      <c r="AC44" s="32">
        <f>IFERROR(AC8/AC5,"")</f>
        <v/>
      </c>
      <c r="AD44" s="32">
        <f>IFERROR(AD8/AD5,"")</f>
        <v/>
      </c>
      <c r="AE44" s="25">
        <f>IFERROR(AE8/AE5,"")</f>
        <v/>
      </c>
      <c r="AF44" s="32">
        <f>IFERROR(AF8/AF5,"")</f>
        <v/>
      </c>
      <c r="AG44" s="32">
        <f>IFERROR(AG8/AG5,"")</f>
        <v/>
      </c>
      <c r="AH44" s="32">
        <f>IFERROR(AH8/AH5,"")</f>
        <v/>
      </c>
      <c r="AI44" s="32">
        <f>IFERROR(AI8/AI5,"")</f>
        <v/>
      </c>
      <c r="AJ44" s="25">
        <f>IFERROR(AJ8/AJ5,"")</f>
        <v/>
      </c>
      <c r="AK44" s="32">
        <f>IFERROR(AK8/AK5,"")</f>
        <v/>
      </c>
      <c r="AL44" s="32">
        <f>IFERROR(AL8/AL5,"")</f>
        <v/>
      </c>
      <c r="AM44" s="32">
        <f>IFERROR(AM8/AM5,"")</f>
        <v/>
      </c>
      <c r="AN44" s="32">
        <f>IFERROR(AN8/AN5,"")</f>
        <v/>
      </c>
      <c r="AO44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변수!D44</f>
        <v/>
      </c>
      <c r="W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27">
        <f>IFERROR(VLOOKUP($A32,subQ,MATCH(I$1,SUBQH,0),0),"")</f>
        <v/>
      </c>
      <c r="J32" s="27">
        <f>IFERROR(VLOOKUP($A32,subQ,MATCH(J$1,SUBQH,0),0),"")</f>
        <v/>
      </c>
      <c r="K32" s="27">
        <f>IFERROR(VLOOKUP($A32,subQ,MATCH(K$1,SUBQH,0),0),"")</f>
        <v/>
      </c>
      <c r="L32" s="27">
        <f>IFERROR(VLOOKUP($A32,subQ,MATCH(L$1,SUBQH,0),0),"")</f>
        <v/>
      </c>
      <c r="M32" s="27">
        <f>IFERROR(VLOOKUP($A32,subQ,MATCH(M$1,SUBQH,0),0),"")</f>
        <v/>
      </c>
      <c r="N32" s="27">
        <f>IFERROR(VLOOKUP($A32,subQ,MATCH(N$1,SUBQH,0),0),"")</f>
        <v/>
      </c>
      <c r="O32" s="27">
        <f>IFERROR(VLOOKUP($A32,subQ,MATCH(O$1,SUBQH,0),0),"")</f>
        <v/>
      </c>
      <c r="P32" s="27">
        <f>IFERROR(VLOOKUP($A32,subQ,MATCH(P$1,SUBQH,0),0),"")</f>
        <v/>
      </c>
      <c r="Q32" s="27">
        <f>IFERROR(VLOOKUP($A32,subQ,MATCH(Q$1,SUBQH,0),0),"")</f>
        <v/>
      </c>
      <c r="R32" s="27">
        <f>IFERROR(VLOOKUP($A32,subQ,MATCH(R$1,SUBQH,0),0),"")</f>
        <v/>
      </c>
      <c r="S32" s="27">
        <f>IFERROR(VLOOKUP($A32,subQ,MATCH(S$1,SUBQH,0),0),"")</f>
        <v/>
      </c>
      <c r="T32" s="27">
        <f>IFERROR(VLOOKUP($A32,subQ,MATCH(T$1,SUBQH,0),0),"")</f>
        <v/>
      </c>
      <c r="U32" s="27">
        <f>IFERROR(VLOOKUP($A32,subQ,MATCH(U$1,SUBQH,0),0),"")</f>
        <v/>
      </c>
      <c r="V32" s="27">
        <f>IFERROR(VLOOKUP($A32,subQ,MATCH(V$1,SUBQH,0),0),"")</f>
        <v/>
      </c>
      <c r="W32" s="47">
        <f>IFERROR(VLOOKUP($A32,subQ,MATCH(W$1,SUBQH,0),0),"")</f>
        <v/>
      </c>
      <c r="X32" s="33">
        <f>IFERROR(VLOOKUP($A32,subQ,MATCH(X$1,SUBQH,0),0),"")</f>
        <v/>
      </c>
      <c r="Y32" s="33">
        <f>IFERROR(VLOOKUP($A32,subQ,MATCH(Y$1,SUBQH,0),0),"")</f>
        <v/>
      </c>
      <c r="Z32" s="33">
        <f>IFERROR(VLOOKUP($A32,subQ,MATCH(Z$1,SUBQH,0),0),"")</f>
        <v/>
      </c>
      <c r="AA32" s="33">
        <f>IFERROR(VLOOKUP($A32,subQ,MATCH(AA$1,SUBQH,0),0),"")</f>
        <v/>
      </c>
      <c r="AB32" s="33">
        <f>IFERROR(VLOOKUP($A32,subQ,MATCH(AB$1,SUBQH,0),0),"")</f>
        <v/>
      </c>
      <c r="AC32" s="33">
        <f>IFERROR(VLOOKUP($A32,subQ,MATCH(AC$1,SUBQH,0),0),"")</f>
        <v/>
      </c>
      <c r="AD32" s="33">
        <f>IFERROR(VLOOKUP($A32,subQ,MATCH(AD$1,SUBQH,0),0),"")</f>
        <v/>
      </c>
      <c r="AE32" s="33">
        <f>IFERROR(VLOOKUP($A32,subQ,MATCH(AE$1,SUBQH,0),0),"")</f>
        <v/>
      </c>
      <c r="AF32" s="33">
        <f>IFERROR(VLOOKUP($A32,subQ,MATCH(AF$1,SUBQH,0),0),"")</f>
        <v/>
      </c>
      <c r="AG32" s="33">
        <f>IFERROR(VLOOKUP($A32,subQ,MATCH(AG$1,SUBQH,0),0),"")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조정EPS</t>
        </is>
      </c>
      <c r="D34" t="inlineStr">
        <is>
          <t>조정 EPS(일회성 의심 분기의 초과 비영업손익 세후 차감 — 모델 추정)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48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13">
        <f>IFERROR(VLOOKUP($A38,subQ,MATCH(I$1,SUBQH,0),0),"")</f>
        <v/>
      </c>
      <c r="J38" s="13">
        <f>IFERROR(VLOOKUP($A38,subQ,MATCH(J$1,SUBQH,0),0),"")</f>
        <v/>
      </c>
      <c r="K38" s="13">
        <f>IFERROR(VLOOKUP($A38,subQ,MATCH(K$1,SUBQH,0),0),"")</f>
        <v/>
      </c>
      <c r="L38" s="13">
        <f>IFERROR(VLOOKUP($A38,subQ,MATCH(L$1,SUBQH,0),0),"")</f>
        <v/>
      </c>
      <c r="M38" s="13">
        <f>IFERROR(VLOOKUP($A38,subQ,MATCH(M$1,SUBQH,0),0),"")</f>
        <v/>
      </c>
      <c r="N38" s="13">
        <f>IFERROR(VLOOKUP($A38,subQ,MATCH(N$1,SUBQH,0),0),"")</f>
        <v/>
      </c>
      <c r="O38" s="13">
        <f>IFERROR(VLOOKUP($A38,subQ,MATCH(O$1,SUBQH,0),0),"")</f>
        <v/>
      </c>
      <c r="P38" s="13">
        <f>IFERROR(VLOOKUP($A38,subQ,MATCH(P$1,SUBQH,0),0),"")</f>
        <v/>
      </c>
      <c r="Q38" s="13">
        <f>IFERROR(VLOOKUP($A38,subQ,MATCH(Q$1,SUBQH,0),0),"")</f>
        <v/>
      </c>
      <c r="R38" s="13">
        <f>IFERROR(VLOOKUP($A38,subQ,MATCH(R$1,SUBQH,0),0),"")</f>
        <v/>
      </c>
      <c r="S38" s="13">
        <f>IFERROR(VLOOKUP($A38,subQ,MATCH(S$1,SUBQH,0),0),"")</f>
        <v/>
      </c>
      <c r="T38" s="13">
        <f>IFERROR(VLOOKUP($A38,subQ,MATCH(T$1,SUBQH,0),0),"")</f>
        <v/>
      </c>
      <c r="U38" s="13">
        <f>IFERROR(VLOOKUP($A38,subQ,MATCH(U$1,SUBQH,0),0),"")</f>
        <v/>
      </c>
      <c r="V38" s="13">
        <f>IFERROR(VLOOKUP($A38,subQ,MATCH(V$1,SUBQH,0),0),"")</f>
        <v/>
      </c>
      <c r="W38" s="48">
        <f>IFERROR(VLOOKUP($A38,subQ,MATCH(W$1,SUBQH,0),0),"")</f>
        <v/>
      </c>
      <c r="X38" s="39">
        <f>IFERROR(VLOOKUP($A38,subQ,MATCH(X$1,SUBQH,0),0),"")</f>
        <v/>
      </c>
      <c r="Y38" s="39">
        <f>IFERROR(VLOOKUP($A38,subQ,MATCH(Y$1,SUBQH,0),0),"")</f>
        <v/>
      </c>
      <c r="Z38" s="39">
        <f>IFERROR(VLOOKUP($A38,subQ,MATCH(Z$1,SUBQH,0),0),"")</f>
        <v/>
      </c>
      <c r="AA38" s="39">
        <f>IFERROR(VLOOKUP($A38,subQ,MATCH(AA$1,SUBQH,0),0),"")</f>
        <v/>
      </c>
      <c r="AB38" s="39">
        <f>IFERROR(VLOOKUP($A38,subQ,MATCH(AB$1,SUBQH,0),0),"")</f>
        <v/>
      </c>
      <c r="AC38" s="39">
        <f>IFERROR(VLOOKUP($A38,subQ,MATCH(AC$1,SUBQH,0),0),"")</f>
        <v/>
      </c>
      <c r="AD38" s="39">
        <f>IFERROR(VLOOKUP($A38,subQ,MATCH(AD$1,SUBQH,0),0),"")</f>
        <v/>
      </c>
      <c r="AE38" s="39">
        <f>IFERROR(VLOOKUP($A38,subQ,MATCH(AE$1,SUBQH,0),0),"")</f>
        <v/>
      </c>
      <c r="AF38" s="39">
        <f>IFERROR(VLOOKUP($A38,subQ,MATCH(AF$1,SUBQH,0),0),"")</f>
        <v/>
      </c>
      <c r="AG38" s="39">
        <f>IFERROR(VLOOKUP($A38,subQ,MATCH(AG$1,SUBQH,0),0),"")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5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5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21">
        <f>IFERROR(VLOOKUP($A41,subQ,MATCH(I$1,SUBQH,0),0),"")</f>
        <v/>
      </c>
      <c r="J41" s="21">
        <f>IFERROR(VLOOKUP($A41,subQ,MATCH(J$1,SUBQH,0),0),"")</f>
        <v/>
      </c>
      <c r="K41" s="21">
        <f>IFERROR(VLOOKUP($A41,subQ,MATCH(K$1,SUBQH,0),0),"")</f>
        <v/>
      </c>
      <c r="L41" s="21">
        <f>IFERROR(VLOOKUP($A41,subQ,MATCH(L$1,SUBQH,0),0),"")</f>
        <v/>
      </c>
      <c r="M41" s="21">
        <f>IFERROR(VLOOKUP($A41,subQ,MATCH(M$1,SUBQH,0),0),"")</f>
        <v/>
      </c>
      <c r="N41" s="21">
        <f>IFERROR(VLOOKUP($A41,subQ,MATCH(N$1,SUBQH,0),0),"")</f>
        <v/>
      </c>
      <c r="O41" s="21">
        <f>IFERROR(VLOOKUP($A41,subQ,MATCH(O$1,SUBQH,0),0),"")</f>
        <v/>
      </c>
      <c r="P41" s="21">
        <f>IFERROR(VLOOKUP($A41,subQ,MATCH(P$1,SUBQH,0),0),"")</f>
        <v/>
      </c>
      <c r="Q41" s="21">
        <f>IFERROR(VLOOKUP($A41,subQ,MATCH(Q$1,SUBQH,0),0),"")</f>
        <v/>
      </c>
      <c r="R41" s="21">
        <f>IFERROR(VLOOKUP($A41,subQ,MATCH(R$1,SUBQH,0),0),"")</f>
        <v/>
      </c>
      <c r="S41" s="21">
        <f>IFERROR(VLOOKUP($A41,subQ,MATCH(S$1,SUBQH,0),0),"")</f>
        <v/>
      </c>
      <c r="T41" s="21">
        <f>IFERROR(VLOOKUP($A41,subQ,MATCH(T$1,SUBQH,0),0),"")</f>
        <v/>
      </c>
      <c r="U41" s="21">
        <f>IFERROR(VLOOKUP($A41,subQ,MATCH(U$1,SUBQH,0),0),"")</f>
        <v/>
      </c>
      <c r="V41" s="21">
        <f>IFERROR(VLOOKUP($A41,subQ,MATCH(V$1,SUBQH,0),0),"")</f>
        <v/>
      </c>
      <c r="W41" s="46">
        <f>IFERROR(VLOOKUP($A41,subQ,MATCH(W$1,SUBQH,0),0),"")</f>
        <v/>
      </c>
      <c r="X41" s="32">
        <f>IFERROR(VLOOKUP($A41,subQ,MATCH(X$1,SUBQH,0),0),"")</f>
        <v/>
      </c>
      <c r="Y41" s="32">
        <f>IFERROR(VLOOKUP($A41,subQ,MATCH(Y$1,SUBQH,0),0),"")</f>
        <v/>
      </c>
      <c r="Z41" s="32">
        <f>IFERROR(VLOOKUP($A41,subQ,MATCH(Z$1,SUBQH,0),0),"")</f>
        <v/>
      </c>
      <c r="AA41" s="32">
        <f>IFERROR(VLOOKUP($A41,subQ,MATCH(AA$1,SUBQH,0),0),"")</f>
        <v/>
      </c>
      <c r="AB41" s="32">
        <f>IFERROR(VLOOKUP($A41,subQ,MATCH(AB$1,SUBQH,0),0),"")</f>
        <v/>
      </c>
      <c r="AC41" s="32">
        <f>IFERROR(VLOOKUP($A41,subQ,MATCH(AC$1,SUBQH,0),0),"")</f>
        <v/>
      </c>
      <c r="AD41" s="32">
        <f>IFERROR(VLOOKUP($A41,subQ,MATCH(AD$1,SUBQH,0),0),"")</f>
        <v/>
      </c>
      <c r="AE41" s="32">
        <f>IFERROR(VLOOKUP($A41,subQ,MATCH(AE$1,SUBQH,0),0),"")</f>
        <v/>
      </c>
      <c r="AF41" s="32">
        <f>IFERROR(VLOOKUP($A41,subQ,MATCH(AF$1,SUBQH,0),0),"")</f>
        <v/>
      </c>
      <c r="AG41" s="32">
        <f>IFERROR(VLOOKUP($A41,subQ,MATCH(AG$1,SUBQH,0),0),"")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I42" s="21">
        <f>IFERROR(I5/E5-1,"")</f>
        <v/>
      </c>
      <c r="J42" s="21">
        <f>IFERROR(J5/F5-1,"")</f>
        <v/>
      </c>
      <c r="K42" s="21">
        <f>IFERROR(K5/G5-1,"")</f>
        <v/>
      </c>
      <c r="L42" s="21">
        <f>IFERROR(L5/H5-1,"")</f>
        <v/>
      </c>
      <c r="M42" s="21">
        <f>IFERROR(M5/I5-1,"")</f>
        <v/>
      </c>
      <c r="N42" s="21">
        <f>IFERROR(N5/J5-1,"")</f>
        <v/>
      </c>
      <c r="O42" s="21">
        <f>IFERROR(O5/K5-1,"")</f>
        <v/>
      </c>
      <c r="P42" s="21">
        <f>IFERROR(P5/L5-1,"")</f>
        <v/>
      </c>
      <c r="Q42" s="21">
        <f>IFERROR(Q5/M5-1,"")</f>
        <v/>
      </c>
      <c r="R42" s="21">
        <f>IFERROR(R5/N5-1,"")</f>
        <v/>
      </c>
      <c r="S42" s="21">
        <f>IFERROR(S5/O5-1,"")</f>
        <v/>
      </c>
      <c r="T42" s="21">
        <f>IFERROR(T5/P5-1,"")</f>
        <v/>
      </c>
      <c r="U42" s="21">
        <f>IFERROR(U5/Q5-1,"")</f>
        <v/>
      </c>
      <c r="V42" s="21">
        <f>IFERROR(V5/R5-1,"")</f>
        <v/>
      </c>
      <c r="W42" s="46">
        <f>IFERROR(W5/S5-1,"")</f>
        <v/>
      </c>
      <c r="X42" s="32">
        <f>IFERROR(X5/T5-1,"")</f>
        <v/>
      </c>
      <c r="Y42" s="32">
        <f>IFERROR(Y5/U5-1,"")</f>
        <v/>
      </c>
      <c r="Z42" s="32">
        <f>IFERROR(Z5/V5-1,"")</f>
        <v/>
      </c>
      <c r="AA42" s="32">
        <f>IFERROR(AA5/W5-1,"")</f>
        <v/>
      </c>
      <c r="AB42" s="32">
        <f>IFERROR(AB5/X5-1,"")</f>
        <v/>
      </c>
      <c r="AC42" s="32">
        <f>IFERROR(AC5/Y5-1,"")</f>
        <v/>
      </c>
      <c r="AD42" s="32">
        <f>IFERROR(AD5/Z5-1,"")</f>
        <v/>
      </c>
      <c r="AE42" s="32">
        <f>IFERROR(AE5/AA5-1,"")</f>
        <v/>
      </c>
      <c r="AF42" s="32">
        <f>IFERROR(AF5/AB5-1,"")</f>
        <v/>
      </c>
      <c r="AG42" s="32">
        <f>IFERROR(AG5/AC5-1,"")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I43" s="21">
        <f>IFERROR(I9/E9-1,"")</f>
        <v/>
      </c>
      <c r="J43" s="21">
        <f>IFERROR(J9/F9-1,"")</f>
        <v/>
      </c>
      <c r="K43" s="21">
        <f>IFERROR(K9/G9-1,"")</f>
        <v/>
      </c>
      <c r="L43" s="21">
        <f>IFERROR(L9/H9-1,"")</f>
        <v/>
      </c>
      <c r="M43" s="21">
        <f>IFERROR(M9/I9-1,"")</f>
        <v/>
      </c>
      <c r="N43" s="21">
        <f>IFERROR(N9/J9-1,"")</f>
        <v/>
      </c>
      <c r="O43" s="21">
        <f>IFERROR(O9/K9-1,"")</f>
        <v/>
      </c>
      <c r="P43" s="21">
        <f>IFERROR(P9/L9-1,"")</f>
        <v/>
      </c>
      <c r="Q43" s="21">
        <f>IFERROR(Q9/M9-1,"")</f>
        <v/>
      </c>
      <c r="R43" s="21">
        <f>IFERROR(R9/N9-1,"")</f>
        <v/>
      </c>
      <c r="S43" s="21">
        <f>IFERROR(S9/O9-1,"")</f>
        <v/>
      </c>
      <c r="T43" s="21">
        <f>IFERROR(T9/P9-1,"")</f>
        <v/>
      </c>
      <c r="U43" s="21">
        <f>IFERROR(U9/Q9-1,"")</f>
        <v/>
      </c>
      <c r="V43" s="21">
        <f>IFERROR(V9/R9-1,"")</f>
        <v/>
      </c>
      <c r="W43" s="46">
        <f>IFERROR(W9/S9-1,"")</f>
        <v/>
      </c>
      <c r="X43" s="32">
        <f>IFERROR(X9/T9-1,"")</f>
        <v/>
      </c>
      <c r="Y43" s="32">
        <f>IFERROR(Y9/U9-1,"")</f>
        <v/>
      </c>
      <c r="Z43" s="32">
        <f>IFERROR(Z9/V9-1,"")</f>
        <v/>
      </c>
      <c r="AA43" s="32">
        <f>IFERROR(AA9/W9-1,"")</f>
        <v/>
      </c>
      <c r="AB43" s="32">
        <f>IFERROR(AB9/X9-1,"")</f>
        <v/>
      </c>
      <c r="AC43" s="32">
        <f>IFERROR(AC9/Y9-1,"")</f>
        <v/>
      </c>
      <c r="AD43" s="32">
        <f>IFERROR(AD9/Z9-1,"")</f>
        <v/>
      </c>
      <c r="AE43" s="32">
        <f>IFERROR(AE9/AA9-1,"")</f>
        <v/>
      </c>
      <c r="AF43" s="32">
        <f>IFERROR(AF9/AB9-1,"")</f>
        <v/>
      </c>
      <c r="AG43" s="32">
        <f>IFERROR(AG9/AC9-1,"")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I44" s="21">
        <f>IFERROR(I21/E21-1,"")</f>
        <v/>
      </c>
      <c r="J44" s="21">
        <f>IFERROR(J21/F21-1,"")</f>
        <v/>
      </c>
      <c r="K44" s="21">
        <f>IFERROR(K21/G21-1,"")</f>
        <v/>
      </c>
      <c r="L44" s="21">
        <f>IFERROR(L21/H21-1,"")</f>
        <v/>
      </c>
      <c r="M44" s="21">
        <f>IFERROR(M21/I21-1,"")</f>
        <v/>
      </c>
      <c r="N44" s="21">
        <f>IFERROR(N21/J21-1,"")</f>
        <v/>
      </c>
      <c r="O44" s="21">
        <f>IFERROR(O21/K21-1,"")</f>
        <v/>
      </c>
      <c r="P44" s="21">
        <f>IFERROR(P21/L21-1,"")</f>
        <v/>
      </c>
      <c r="Q44" s="21">
        <f>IFERROR(Q21/M21-1,"")</f>
        <v/>
      </c>
      <c r="R44" s="21">
        <f>IFERROR(R21/N21-1,"")</f>
        <v/>
      </c>
      <c r="S44" s="21">
        <f>IFERROR(S21/O21-1,"")</f>
        <v/>
      </c>
      <c r="T44" s="21">
        <f>IFERROR(T21/P21-1,"")</f>
        <v/>
      </c>
      <c r="U44" s="21">
        <f>IFERROR(U21/Q21-1,"")</f>
        <v/>
      </c>
      <c r="V44" s="21">
        <f>IFERROR(V21/R21-1,"")</f>
        <v/>
      </c>
      <c r="W44" s="46">
        <f>IFERROR(W21/S21-1,"")</f>
        <v/>
      </c>
      <c r="X44" s="32">
        <f>IFERROR(X21/T21-1,"")</f>
        <v/>
      </c>
      <c r="Y44" s="32">
        <f>IFERROR(Y21/U21-1,"")</f>
        <v/>
      </c>
      <c r="Z44" s="32">
        <f>IFERROR(Z21/V21-1,"")</f>
        <v/>
      </c>
      <c r="AA44" s="32">
        <f>IFERROR(AA21/W21-1,"")</f>
        <v/>
      </c>
      <c r="AB44" s="32">
        <f>IFERROR(AB21/X21-1,"")</f>
        <v/>
      </c>
      <c r="AC44" s="32">
        <f>IFERROR(AC21/Y21-1,"")</f>
        <v/>
      </c>
      <c r="AD44" s="32">
        <f>IFERROR(AD21/Z21-1,"")</f>
        <v/>
      </c>
      <c r="AE44" s="32">
        <f>IFERROR(AE21/AA21-1,"")</f>
        <v/>
      </c>
      <c r="AF44" s="32">
        <f>IFERROR(AF21/AB21-1,"")</f>
        <v/>
      </c>
      <c r="AG44" s="32">
        <f>IFERROR(AG21/AC21-1,"")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변수!D44</f>
        <v/>
      </c>
      <c r="I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47">
        <f>IFERROR(VLOOKUP($A32,subQ,MATCH(I$1,SUBQH,0),0),"")</f>
        <v/>
      </c>
      <c r="J32" s="33">
        <f>IFERROR(VLOOKUP($A32,subQ,MATCH(J$1,SUBQH,0),0),"")</f>
        <v/>
      </c>
      <c r="K32" s="33">
        <f>IFERROR(VLOOKUP($A32,subQ,MATCH(K$1,SUBQH,0),0),"")</f>
        <v/>
      </c>
      <c r="L32" s="33">
        <f>IFERROR(VLOOKUP($A32,subQ,MATCH(L$1,SUBQH,0),0),"")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조정EPS</t>
        </is>
      </c>
      <c r="D34" t="inlineStr">
        <is>
          <t>조정 EPS(일회성 의심 분기의 초과 비영업손익 세후 차감 — 모델 추정)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48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48">
        <f>IFERROR(VLOOKUP($A38,subQ,MATCH(I$1,SUBQH,0),0),"")</f>
        <v/>
      </c>
      <c r="J38" s="39">
        <f>IFERROR(VLOOKUP($A38,subQ,MATCH(J$1,SUBQH,0),0),"")</f>
        <v/>
      </c>
      <c r="K38" s="39">
        <f>IFERROR(VLOOKUP($A38,subQ,MATCH(K$1,SUBQH,0),0),"")</f>
        <v/>
      </c>
      <c r="L38" s="39">
        <f>IFERROR(VLOOKUP($A38,subQ,MATCH(L$1,SUBQH,0),0),"")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5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5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46">
        <f>IFERROR(VLOOKUP($A41,subQ,MATCH(I$1,SUBQH,0),0),"")</f>
        <v/>
      </c>
      <c r="J41" s="32">
        <f>IFERROR(VLOOKUP($A41,subQ,MATCH(J$1,SUBQH,0),0),"")</f>
        <v/>
      </c>
      <c r="K41" s="32">
        <f>IFERROR(VLOOKUP($A41,subQ,MATCH(K$1,SUBQH,0),0),"")</f>
        <v/>
      </c>
      <c r="L41" s="32">
        <f>IFERROR(VLOOKUP($A41,subQ,MATCH(L$1,SUBQH,0),0),"")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F42" s="21">
        <f>IFERROR(F5/E5-1,"")</f>
        <v/>
      </c>
      <c r="G42" s="21">
        <f>IFERROR(G5/F5-1,"")</f>
        <v/>
      </c>
      <c r="H42" s="21">
        <f>IFERROR(H5/G5-1,"")</f>
        <v/>
      </c>
      <c r="I42" s="46">
        <f>IFERROR(I5/H5-1,"")</f>
        <v/>
      </c>
      <c r="J42" s="32">
        <f>IFERROR(J5/I5-1,"")</f>
        <v/>
      </c>
      <c r="K42" s="32">
        <f>IFERROR(K5/J5-1,"")</f>
        <v/>
      </c>
      <c r="L42" s="32">
        <f>IFERROR(L5/K5-1,"")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F43" s="21">
        <f>IFERROR(F9/E9-1,"")</f>
        <v/>
      </c>
      <c r="G43" s="21">
        <f>IFERROR(G9/F9-1,"")</f>
        <v/>
      </c>
      <c r="H43" s="21">
        <f>IFERROR(H9/G9-1,"")</f>
        <v/>
      </c>
      <c r="I43" s="46">
        <f>IFERROR(I9/H9-1,"")</f>
        <v/>
      </c>
      <c r="J43" s="32">
        <f>IFERROR(J9/I9-1,"")</f>
        <v/>
      </c>
      <c r="K43" s="32">
        <f>IFERROR(K9/J9-1,"")</f>
        <v/>
      </c>
      <c r="L43" s="32">
        <f>IFERROR(L9/K9-1,"")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F44" s="21">
        <f>IFERROR(F21/E21-1,"")</f>
        <v/>
      </c>
      <c r="G44" s="21">
        <f>IFERROR(G21/F21-1,"")</f>
        <v/>
      </c>
      <c r="H44" s="21">
        <f>IFERROR(H21/G21-1,"")</f>
        <v/>
      </c>
      <c r="I44" s="46">
        <f>IFERROR(I21/H21-1,"")</f>
        <v/>
      </c>
      <c r="J44" s="32">
        <f>IFERROR(J21/I21-1,"")</f>
        <v/>
      </c>
      <c r="K44" s="32">
        <f>IFERROR(K21/J21-1,"")</f>
        <v/>
      </c>
      <c r="L44" s="32">
        <f>IFERROR(L21/K21-1,"")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변수!D44</f>
        <v/>
      </c>
    </row>
    <row r="2">
      <c r="B2" s="1" t="inlineStr">
        <is>
          <t>기준일</t>
        </is>
      </c>
      <c r="C2">
        <f>변수!D45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IFERROR(E7*변수!D50+F7*(1-변수!D50),"")</f>
        <v/>
      </c>
    </row>
    <row r="15">
      <c r="C15" t="inlineStr">
        <is>
          <t>적정가치 @PER_lo</t>
        </is>
      </c>
      <c r="D15" s="27">
        <f>변수!D47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변수!D48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변수!D49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변수!D46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-66.2</v>
      </c>
    </row>
    <row r="30">
      <c r="C30" s="2" t="inlineStr">
        <is>
          <t>bps_latest</t>
        </is>
      </c>
      <c r="D30" t="n">
        <v>1341.2</v>
      </c>
    </row>
    <row r="31">
      <c r="C31" s="2" t="inlineStr">
        <is>
          <t>per_now</t>
        </is>
      </c>
    </row>
    <row r="32">
      <c r="C32" s="2" t="inlineStr">
        <is>
          <t>pbr_now</t>
        </is>
      </c>
      <c r="D32" t="n">
        <v>2</v>
      </c>
    </row>
    <row r="33">
      <c r="C33" s="2" t="inlineStr">
        <is>
          <t>roe_fwd</t>
        </is>
      </c>
      <c r="D33" t="n">
        <v>-0.0494</v>
      </c>
    </row>
    <row r="34">
      <c r="C34" s="2" t="inlineStr">
        <is>
          <t>fair_pbr</t>
        </is>
      </c>
    </row>
    <row r="35">
      <c r="C35" s="2" t="inlineStr">
        <is>
          <t>fair_value_pbr</t>
        </is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변수!D57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2026-10-14T00:00:00Z</dcterms:created>
  <dcterms:modified xsi:type="dcterms:W3CDTF">2026-10-14T00:00:00Z</dcterms:modified>
</cp:coreProperties>
</file>