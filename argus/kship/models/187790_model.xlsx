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T34" authorId="0" shapeId="0">
      <text>
        <t>조정EPS 산식(모델 추정, 일회성 여부·세효과 주석 미확인): 지배NI − 초과 비영업손익 228억 × (1 − 세율 7.8% [분기 유효세율(법인세 16억 ÷ 세전 206억)]) × 지배 비중 0.9776 [그 분기 지배NI/NI] = -19억 ÷ 유통주식수 · 초과 = 비영업손익 227억 − 12분기 기준선 -0억 · 보고 EPS 607원(EPS 행 불변) · 상수 210.03·0.9776 는 모델 one_offs_detected 값(세전·법인세 셀을 바꿔도 재계산되지 않음)</t>
      </text>
    </comment>
    <comment ref="AC34" authorId="0" shapeId="0">
      <text>
        <t>추정: = EPS(추정 구간은 일회성 미가정)
[identity]</t>
      </text>
    </comment>
    <comment ref="AD34" authorId="0" shapeId="0">
      <text>
        <t>추정: = EPS(추정 구간은 일회성 미가정)
[identity]</t>
      </text>
    </comment>
    <comment ref="AF34" authorId="0" shapeId="0">
      <text>
        <t>추정: = EPS(추정 구간은 일회성 미가정)
[identity]</t>
      </text>
    </comment>
    <comment ref="AG34" authorId="0" shapeId="0">
      <text>
        <t>추정: = EPS(추정 구간은 일회성 미가정)
[identity]</t>
      </text>
    </comment>
    <comment ref="AH34" authorId="0" shapeId="0">
      <text>
        <t>추정: = EPS(추정 구간은 일회성 미가정)
[identity]</t>
      </text>
    </comment>
    <comment ref="AI34" authorId="0" shapeId="0">
      <text>
        <t>추정: = EPS(추정 구간은 일회성 미가정)
[identity]</t>
      </text>
    </comment>
    <comment ref="AK34" authorId="0" shapeId="0">
      <text>
        <t>추정: = EPS(추정 구간은 일회성 미가정)
[identity]</t>
      </text>
    </comment>
    <comment ref="AL34" authorId="0" shapeId="0">
      <text>
        <t>추정: = EPS(추정 구간은 일회성 미가정)
[identity]</t>
      </text>
    </comment>
    <comment ref="AM34" authorId="0" shapeId="0">
      <text>
        <t>추정: = EPS(추정 구간은 일회성 미가정)
[identity]</t>
      </text>
    </comment>
    <comment ref="AN34" authorId="0" shapeId="0">
      <text>
        <t>추정: = EPS(추정 구간은 일회성 미가정)
[identity]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2024Q4 보고 607→조정 -63원)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9">
      <c r="A29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3085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3300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3193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3085</v>
      </c>
      <c r="E44" s="2" t="inlineStr">
        <is>
          <t>원 — 네이버 정규장 종가(aik 확정종가 대조 · aik 3,135원)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5</v>
      </c>
      <c r="E47" s="2" t="inlineStr">
        <is>
          <t>PER 밴드 하단(배) — hist_quarterly(분기 평균가 ÷ TTM EPS, 5분기, 25/50/75 백분위) · 캡 5~30배 적용(원값 1.9/17.9/23.2)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17.9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23.2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0.1267225613080717</v>
      </c>
      <c r="E52" s="2" t="inlineStr">
        <is>
          <t>연결 — 판관비 = 매출액 × 판관비율(역산, 재현 오차 ≤ 0.05억 · 모델 assumptions 0.1267)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0.01695606925782039</v>
      </c>
      <c r="E54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0.03522318503544594</v>
      </c>
      <c r="E55" s="2" t="inlineStr">
        <is>
          <t>연결 — 같은 수식의 부채 쪽(총차입금 행이 없으면 0)(역산, 재현 오차 ≤ 0.05억 · 모델 assumptions 0.0353)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15749.41</v>
      </c>
      <c r="K47" s="37" t="n">
        <v>15749.41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-1258.14</v>
      </c>
      <c r="K48" s="37" t="n">
        <v>-1258.14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K50" s="9" t="n"/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>
        <f>IFERROR(E33,"")</f>
        <v/>
      </c>
      <c r="F34" s="37" t="n"/>
      <c r="G34" s="18">
        <f>IFERROR(G33,"")</f>
        <v/>
      </c>
      <c r="H34" s="18">
        <f>IFERROR(H33,"")</f>
        <v/>
      </c>
      <c r="I34" s="18">
        <f>IFERROR(I33,"")</f>
        <v/>
      </c>
      <c r="J34" s="18">
        <f>IFERROR(J33,"")</f>
        <v/>
      </c>
      <c r="K34" s="37">
        <f>SUM(G34:J34)</f>
        <v/>
      </c>
      <c r="L34" s="18">
        <f>IFERROR(L33,"")</f>
        <v/>
      </c>
      <c r="M34" s="18">
        <f>IFERROR(M33,"")</f>
        <v/>
      </c>
      <c r="N34" s="18">
        <f>IFERROR(N33,"")</f>
        <v/>
      </c>
      <c r="O34" s="18">
        <f>IFERROR(O33,"")</f>
        <v/>
      </c>
      <c r="P34" s="37">
        <f>SUM(L34:O34)</f>
        <v/>
      </c>
      <c r="Q34" s="18">
        <f>IFERROR(Q33,"")</f>
        <v/>
      </c>
      <c r="R34" s="18">
        <f>IFERROR(R33,"")</f>
        <v/>
      </c>
      <c r="S34" s="18">
        <f>IFERROR(S33,"")</f>
        <v/>
      </c>
      <c r="T34" s="20">
        <f>IFERROR((T21-(210.03)*(0.9776))*100/T32,"")</f>
        <v/>
      </c>
      <c r="U34" s="37">
        <f>SUM(Q34:T34)</f>
        <v/>
      </c>
      <c r="V34" s="18">
        <f>IFERROR(V33,"")</f>
        <v/>
      </c>
      <c r="W34" s="18">
        <f>IFERROR(W33,"")</f>
        <v/>
      </c>
      <c r="X34" s="18">
        <f>IFERROR(X33,"")</f>
        <v/>
      </c>
      <c r="Y34" s="18">
        <f>IFERROR(Y33,"")</f>
        <v/>
      </c>
      <c r="Z34" s="37">
        <f>SUM(V34:Y34)</f>
        <v/>
      </c>
      <c r="AA34" s="18">
        <f>IFERROR(AA33,"")</f>
        <v/>
      </c>
      <c r="AB34" s="19">
        <f>IFERROR(AB33,"")</f>
        <v/>
      </c>
      <c r="AC34" s="20">
        <f>IFERROR(AC33,"")</f>
        <v/>
      </c>
      <c r="AD34" s="20">
        <f>IFERROR(AD33,"")</f>
        <v/>
      </c>
      <c r="AE34" s="38">
        <f>SUM(AA34:AD34)</f>
        <v/>
      </c>
      <c r="AF34" s="20">
        <f>IFERROR(AF33,"")</f>
        <v/>
      </c>
      <c r="AG34" s="20">
        <f>IFERROR(AG33,"")</f>
        <v/>
      </c>
      <c r="AH34" s="20">
        <f>IFERROR(AH33,"")</f>
        <v/>
      </c>
      <c r="AI34" s="20">
        <f>IFERROR(AI33,"")</f>
        <v/>
      </c>
      <c r="AJ34" s="38">
        <f>SUM(AF34:AI34)</f>
        <v/>
      </c>
      <c r="AK34" s="20">
        <f>IFERROR(AK33,"")</f>
        <v/>
      </c>
      <c r="AL34" s="20">
        <f>IFERROR(AL33,"")</f>
        <v/>
      </c>
      <c r="AM34" s="20">
        <f>IFERROR(AM33,"")</f>
        <v/>
      </c>
      <c r="AN34" s="20">
        <f>IFERROR(AN33,"")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2.3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