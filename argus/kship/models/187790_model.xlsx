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모델값 역산(implied): v / 매출액
매출액 × 판관비율 12.67%(최근 4분기 중위)</t>
      </text>
    </comment>
    <comment ref="AD22" authorId="0" shapeId="0">
      <text>
        <t>모델값 역산(implied): v / 매출액
매출액 × 판관비율 12.67%(최근 4분기 중위)</t>
      </text>
    </comment>
    <comment ref="AF22" authorId="0" shapeId="0">
      <text>
        <t>모델값 역산(implied): v / 매출액
매출액 × 판관비율 12.67%(최근 4분기 중위)</t>
      </text>
    </comment>
    <comment ref="AG22" authorId="0" shapeId="0">
      <text>
        <t>모델값 역산(implied): v / 매출액
매출액 × 판관비율 12.67%(최근 4분기 중위)</t>
      </text>
    </comment>
    <comment ref="AH22" authorId="0" shapeId="0">
      <text>
        <t>모델값 역산(implied): v / 매출액
매출액 × 판관비율 12.67%(최근 4분기 중위)</t>
      </text>
    </comment>
    <comment ref="AI22" authorId="0" shapeId="0">
      <text>
        <t>모델값 역산(implied): v / 매출액
매출액 × 판관비율 12.67%(최근 4분기 중위)</t>
      </text>
    </comment>
    <comment ref="AK22" authorId="0" shapeId="0">
      <text>
        <t>모델값 역산(implied): v / 매출액
매출액 × 판관비율 12.67%(최근 4분기 중위)</t>
      </text>
    </comment>
    <comment ref="AL22" authorId="0" shapeId="0">
      <text>
        <t>모델값 역산(implied): v / 매출액
매출액 × 판관비율 12.67%(최근 4분기 중위)</t>
      </text>
    </comment>
    <comment ref="AM22" authorId="0" shapeId="0">
      <text>
        <t>모델값 역산(implied): v / 매출액
매출액 × 판관비율 12.67%(최근 4분기 중위)</t>
      </text>
    </comment>
    <comment ref="AN22" authorId="0" shapeId="0">
      <text>
        <t>모델값 역산(implied): v / 매출액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이자손익 = 이자발생자산 168억 × 1.81% − 총차입금 408억 × 4.02% (연율, CF 실측) ÷ 4; 환·평가손익 0 가정</t>
      </text>
    </comment>
    <comment ref="AD25" authorId="0" shapeId="0">
      <text>
        <t>모델값 역산(implied): 모델 v 그대로
이자손익 = 이자발생자산 164억 × 1.81% − 총차입금 408억 × 4.02% (연율, CF 실측) ÷ 4; 환·평가손익 0 가정</t>
      </text>
    </comment>
    <comment ref="AF25" authorId="0" shapeId="0">
      <text>
        <t>모델값 역산(implied): 모델 v 그대로
이자손익 = 이자발생자산 158억 × 1.81% − 총차입금 408억 × 4.02% (연율, CF 실측) ÷ 4; 환·평가손익 0 가정</t>
      </text>
    </comment>
    <comment ref="AG25" authorId="0" shapeId="0">
      <text>
        <t>모델값 역산(implied): 모델 v 그대로
이자손익 = 이자발생자산 152억 × 1.81% − 총차입금 408억 × 4.02% (연율, CF 실측) ÷ 4; 환·평가손익 0 가정</t>
      </text>
    </comment>
    <comment ref="AH25" authorId="0" shapeId="0">
      <text>
        <t>모델값 역산(implied): 모델 v 그대로
이자손익 = 이자발생자산 146억 × 1.81% − 총차입금 408억 × 4.02% (연율, CF 실측) ÷ 4; 환·평가손익 0 가정</t>
      </text>
    </comment>
    <comment ref="AI25" authorId="0" shapeId="0">
      <text>
        <t>모델값 역산(implied): 모델 v 그대로
이자손익 = 이자발생자산 142억 × 1.81% − 총차입금 408억 × 4.02% (연율, CF 실측) ÷ 4; 환·평가손익 0 가정</t>
      </text>
    </comment>
    <comment ref="AK25" authorId="0" shapeId="0">
      <text>
        <t>모델값 역산(implied): 모델 v 그대로
이자손익 = 이자발생자산 136억 × 1.81% − 총차입금 408억 × 4.02% (연율, CF 실측) ÷ 4; 환·평가손익 0 가정</t>
      </text>
    </comment>
    <comment ref="AL25" authorId="0" shapeId="0">
      <text>
        <t>모델값 역산(implied): 모델 v 그대로
이자손익 = 이자발생자산 130억 × 1.81% − 총차입금 408억 × 4.02% (연율, CF 실측) ÷ 4; 환·평가손익 0 가정</t>
      </text>
    </comment>
    <comment ref="AM25" authorId="0" shapeId="0">
      <text>
        <t>모델값 역산(implied): 모델 v 그대로
이자손익 = 이자발생자산 125억 × 1.81% − 총차입금 408억 × 4.02% (연율, CF 실측) ÷ 4; 환·평가손익 0 가정</t>
      </text>
    </comment>
    <comment ref="AN25" authorId="0" shapeId="0">
      <text>
        <t>모델값 역산(implied): 모델 v 그대로
이자손익 = 이자발생자산 120억 × 1.81% − 총차입금 408억 × 4.02%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-19.7% → 5~27% 클립)</t>
      </text>
    </comment>
    <comment ref="AD28" authorId="0" shapeId="0">
      <text>
        <t>모델값 역산(implied): v / 세전이익
max(세전, 0) × 세율 5.0%(최근 12분기 유효세율 -19.7% → 5~27% 클립)</t>
      </text>
    </comment>
    <comment ref="AF28" authorId="0" shapeId="0">
      <text>
        <t>모델값 역산(implied): v / 세전이익
max(세전, 0) × 세율 5.0%(최근 12분기 유효세율 -19.7% → 5~27% 클립)</t>
      </text>
    </comment>
    <comment ref="AG28" authorId="0" shapeId="0">
      <text>
        <t>모델값 역산(implied): v / 세전이익
max(세전, 0) × 세율 5.0%(최근 12분기 유효세율 -19.7% → 5~27% 클립)</t>
      </text>
    </comment>
    <comment ref="AH28" authorId="0" shapeId="0">
      <text>
        <t>모델값 역산(implied): v / 세전이익
max(세전, 0) × 세율 5.0%(최근 12분기 유효세율 -19.7% → 5~27% 클립)</t>
      </text>
    </comment>
    <comment ref="AI28" authorId="0" shapeId="0">
      <text>
        <t>모델값 역산(implied): v / 세전이익
max(세전, 0) × 세율 5.0%(최근 12분기 유효세율 -19.7% → 5~27% 클립)</t>
      </text>
    </comment>
    <comment ref="AK28" authorId="0" shapeId="0">
      <text>
        <t>모델값 역산(implied): v / 세전이익
max(세전, 0) × 세율 5.0%(최근 12분기 유효세율 -19.7% → 5~27% 클립)</t>
      </text>
    </comment>
    <comment ref="AL28" authorId="0" shapeId="0">
      <text>
        <t>모델값 역산(implied): v / 세전이익
max(세전, 0) × 세율 5.0%(최근 12분기 유효세율 -19.7% → 5~27% 클립)</t>
      </text>
    </comment>
    <comment ref="AM28" authorId="0" shapeId="0">
      <text>
        <t>모델값 역산(implied): v / 세전이익
max(세전, 0) × 세율 5.0%(최근 12분기 유효세율 -19.7% → 5~27% 클립)</t>
      </text>
    </comment>
    <comment ref="AN28" authorId="0" shapeId="0">
      <text>
        <t>모델값 역산(implied): v / 세전이익
max(세전, 0) × 세율 5.0%(최근 12분기 유효세율 -19.7%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이자손익 = 이자발생자산 168억 × 1.81% − 총차입금 408억 × 4.02% (연율, CF 실측) ÷ 4; 환·평가손익 0 가정
[abs]</t>
      </text>
    </comment>
    <comment ref="AD11" authorId="0" shapeId="0">
      <text>
        <t>추정: 이자손익 = 이자발생자산 164억 × 1.81% − 총차입금 408억 × 4.02% (연율, CF 실측) ÷ 4; 환·평가손익 0 가정
[abs]</t>
      </text>
    </comment>
    <comment ref="AF11" authorId="0" shapeId="0">
      <text>
        <t>추정: 이자손익 = 이자발생자산 158억 × 1.81% − 총차입금 408억 × 4.02% (연율, CF 실측) ÷ 4; 환·평가손익 0 가정
[abs]</t>
      </text>
    </comment>
    <comment ref="AG11" authorId="0" shapeId="0">
      <text>
        <t>추정: 이자손익 = 이자발생자산 152억 × 1.81% − 총차입금 408억 × 4.02% (연율, CF 실측) ÷ 4; 환·평가손익 0 가정
[abs]</t>
      </text>
    </comment>
    <comment ref="AH11" authorId="0" shapeId="0">
      <text>
        <t>추정: 이자손익 = 이자발생자산 146억 × 1.81% − 총차입금 408억 × 4.02% (연율, CF 실측) ÷ 4; 환·평가손익 0 가정
[abs]</t>
      </text>
    </comment>
    <comment ref="AI11" authorId="0" shapeId="0">
      <text>
        <t>추정: 이자손익 = 이자발생자산 142억 × 1.81% − 총차입금 408억 × 4.02% (연율, CF 실측) ÷ 4; 환·평가손익 0 가정
[abs]</t>
      </text>
    </comment>
    <comment ref="AK11" authorId="0" shapeId="0">
      <text>
        <t>추정: 이자손익 = 이자발생자산 136억 × 1.81% − 총차입금 408억 × 4.02% (연율, CF 실측) ÷ 4; 환·평가손익 0 가정
[abs]</t>
      </text>
    </comment>
    <comment ref="AL11" authorId="0" shapeId="0">
      <text>
        <t>추정: 이자손익 = 이자발생자산 130억 × 1.81% − 총차입금 408억 × 4.02% (연율, CF 실측) ÷ 4; 환·평가손익 0 가정
[abs]</t>
      </text>
    </comment>
    <comment ref="AM11" authorId="0" shapeId="0">
      <text>
        <t>추정: 이자손익 = 이자발생자산 125억 × 1.81% − 총차입금 408억 × 4.02% (연율, CF 실측) ÷ 4; 환·평가손익 0 가정
[abs]</t>
      </text>
    </comment>
    <comment ref="AN11" authorId="0" shapeId="0">
      <text>
        <t>추정: 이자손익 = 이자발생자산 120억 × 1.81% − 총차입금 408억 × 4.02%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-19.7% → 5~27% 클립)
[ratio]</t>
      </text>
    </comment>
    <comment ref="AD15" authorId="0" shapeId="0">
      <text>
        <t>추정: max(세전, 0) × 세율 5.0%(최근 12분기 유효세율 -19.7% → 5~27% 클립)
[ratio]</t>
      </text>
    </comment>
    <comment ref="AF15" authorId="0" shapeId="0">
      <text>
        <t>추정: max(세전, 0) × 세율 5.0%(최근 12분기 유효세율 -19.7% → 5~27% 클립)
[ratio]</t>
      </text>
    </comment>
    <comment ref="AG15" authorId="0" shapeId="0">
      <text>
        <t>추정: max(세전, 0) × 세율 5.0%(최근 12분기 유효세율 -19.7% → 5~27% 클립)
[ratio]</t>
      </text>
    </comment>
    <comment ref="AH15" authorId="0" shapeId="0">
      <text>
        <t>추정: max(세전, 0) × 세율 5.0%(최근 12분기 유효세율 -19.7% → 5~27% 클립)
[ratio]</t>
      </text>
    </comment>
    <comment ref="AI15" authorId="0" shapeId="0">
      <text>
        <t>추정: max(세전, 0) × 세율 5.0%(최근 12분기 유효세율 -19.7% → 5~27% 클립)
[ratio]</t>
      </text>
    </comment>
    <comment ref="AK15" authorId="0" shapeId="0">
      <text>
        <t>추정: max(세전, 0) × 세율 5.0%(최근 12분기 유효세율 -19.7% → 5~27% 클립)
[ratio]</t>
      </text>
    </comment>
    <comment ref="AL15" authorId="0" shapeId="0">
      <text>
        <t>추정: max(세전, 0) × 세율 5.0%(최근 12분기 유효세율 -19.7% → 5~27% 클립)
[ratio]</t>
      </text>
    </comment>
    <comment ref="AM15" authorId="0" shapeId="0">
      <text>
        <t>추정: max(세전, 0) × 세율 5.0%(최근 12분기 유효세율 -19.7% → 5~27% 클립)
[ratio]</t>
      </text>
    </comment>
    <comment ref="AN15" authorId="0" shapeId="0">
      <text>
        <t>추정: max(세전, 0) × 세율 5.0%(최근 12분기 유효세율 -19.7%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assets/models/187790.json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4억) → 지배NI 186억·EPS·FY2024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1773</v>
      </c>
      <c r="H15" s="18" t="n">
        <v>1213</v>
      </c>
      <c r="I15" s="18" t="n">
        <v>1120</v>
      </c>
      <c r="J15" s="18" t="n">
        <v>1131</v>
      </c>
      <c r="K15" s="9" t="n"/>
      <c r="L15" s="18" t="n">
        <v>1297</v>
      </c>
      <c r="M15" s="18" t="n">
        <v>1487</v>
      </c>
      <c r="N15" s="18" t="n">
        <v>1443</v>
      </c>
      <c r="O15" s="18" t="n">
        <v>1493</v>
      </c>
      <c r="P15" s="9" t="n"/>
      <c r="Q15" s="18" t="n">
        <v>1298</v>
      </c>
      <c r="R15" s="18" t="n">
        <v>1125</v>
      </c>
      <c r="S15" s="18" t="n">
        <v>1125</v>
      </c>
      <c r="T15" s="18" t="n">
        <v>1125</v>
      </c>
      <c r="U15" s="9" t="n"/>
      <c r="V15" s="18" t="n">
        <v>1125</v>
      </c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2717</v>
      </c>
      <c r="F16" s="9" t="n"/>
      <c r="G16" s="18" t="n">
        <v>2080</v>
      </c>
      <c r="H16" s="18" t="n">
        <v>1888</v>
      </c>
      <c r="I16" s="18" t="n">
        <v>1696</v>
      </c>
      <c r="J16" s="18" t="n">
        <v>1531</v>
      </c>
      <c r="K16" s="9" t="n"/>
      <c r="L16" s="18" t="n">
        <v>1926</v>
      </c>
      <c r="M16" s="18" t="n">
        <v>1857</v>
      </c>
      <c r="N16" s="18" t="n">
        <v>2151</v>
      </c>
      <c r="O16" s="18" t="n">
        <v>1812</v>
      </c>
      <c r="P16" s="9" t="n"/>
      <c r="Q16" s="18" t="n">
        <v>1519</v>
      </c>
      <c r="R16" s="18" t="n">
        <v>1320</v>
      </c>
      <c r="S16" s="18" t="n">
        <v>1125</v>
      </c>
      <c r="T16" s="18" t="n">
        <v>1125</v>
      </c>
      <c r="U16" s="9" t="n"/>
      <c r="V16" s="18" t="n">
        <v>1125</v>
      </c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1663</v>
      </c>
      <c r="F17" s="9" t="n"/>
      <c r="G17" s="18" t="n">
        <v>1581</v>
      </c>
      <c r="H17" s="18" t="n">
        <v>1076</v>
      </c>
      <c r="I17" s="18" t="n">
        <v>1076</v>
      </c>
      <c r="J17" s="18" t="n">
        <v>1034</v>
      </c>
      <c r="K17" s="9" t="n"/>
      <c r="L17" s="18" t="n">
        <v>1120</v>
      </c>
      <c r="M17" s="18" t="n">
        <v>1246</v>
      </c>
      <c r="N17" s="18" t="n">
        <v>1295</v>
      </c>
      <c r="O17" s="18" t="n">
        <v>1241</v>
      </c>
      <c r="P17" s="9" t="n"/>
      <c r="Q17" s="18" t="n">
        <v>1187</v>
      </c>
      <c r="R17" s="18" t="n">
        <v>1038</v>
      </c>
      <c r="S17" s="18" t="n">
        <v>1125</v>
      </c>
      <c r="T17" s="18" t="n">
        <v>1125</v>
      </c>
      <c r="U17" s="9" t="n"/>
      <c r="V17" s="18" t="n">
        <v>1125</v>
      </c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2094.3</v>
      </c>
      <c r="F18" s="9" t="n"/>
      <c r="G18" s="18" t="n">
        <v>1827.1</v>
      </c>
      <c r="H18" s="18" t="n">
        <v>1501.6</v>
      </c>
      <c r="I18" s="18" t="n">
        <v>1283.7</v>
      </c>
      <c r="J18" s="18" t="n">
        <v>1241</v>
      </c>
      <c r="K18" s="9" t="n"/>
      <c r="L18" s="18" t="n">
        <v>1350.9</v>
      </c>
      <c r="M18" s="18" t="n">
        <v>1419.2</v>
      </c>
      <c r="N18" s="18" t="n">
        <v>1514</v>
      </c>
      <c r="O18" s="18" t="n">
        <v>1417.5</v>
      </c>
      <c r="P18" s="9" t="n"/>
      <c r="Q18" s="18" t="n">
        <v>1432.4</v>
      </c>
      <c r="R18" s="18" t="n">
        <v>1138.1</v>
      </c>
      <c r="S18" s="18" t="n">
        <v>1125</v>
      </c>
      <c r="T18" s="18" t="n">
        <v>1125</v>
      </c>
      <c r="U18" s="9" t="n"/>
      <c r="V18" s="18" t="n">
        <v>1125</v>
      </c>
      <c r="W18" s="18" t="n">
        <v>1104.9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</v>
      </c>
      <c r="AD21" s="24" t="n">
        <v>0.221584</v>
      </c>
      <c r="AE21" s="25" t="n"/>
      <c r="AF21" s="24" t="n">
        <v>0.221607</v>
      </c>
      <c r="AG21" s="24" t="n">
        <v>0.221599</v>
      </c>
      <c r="AH21" s="24" t="n">
        <v>0.110776</v>
      </c>
      <c r="AI21" s="24" t="n">
        <v>0.110785</v>
      </c>
      <c r="AJ21" s="25" t="n"/>
      <c r="AK21" s="24" t="n">
        <v>0.110748</v>
      </c>
      <c r="AL21" s="24" t="n">
        <v>0.110785</v>
      </c>
      <c r="AM21" s="24" t="n">
        <v>0.055402</v>
      </c>
      <c r="AN21" s="24" t="n">
        <v>0.055416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0.126713</v>
      </c>
      <c r="AD22" s="24" t="n">
        <v>0.126719</v>
      </c>
      <c r="AE22" s="25">
        <f>IFERROR(subQ!AE8/subQ!AE5,"")</f>
        <v/>
      </c>
      <c r="AF22" s="24" t="n">
        <v>0.126697</v>
      </c>
      <c r="AG22" s="24" t="n">
        <v>0.126715</v>
      </c>
      <c r="AH22" s="24" t="n">
        <v>0.126735</v>
      </c>
      <c r="AI22" s="24" t="n">
        <v>0.126734</v>
      </c>
      <c r="AJ22" s="25">
        <f>IFERROR(subQ!AJ8/subQ!AJ5,"")</f>
        <v/>
      </c>
      <c r="AK22" s="24" t="n">
        <v>0.126753</v>
      </c>
      <c r="AL22" s="24" t="n">
        <v>0.126715</v>
      </c>
      <c r="AM22" s="24" t="n">
        <v>0.126727</v>
      </c>
      <c r="AN22" s="24" t="n">
        <v>0.126715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</v>
      </c>
      <c r="AD23" s="24" t="n">
        <v>0.006389</v>
      </c>
      <c r="AE23" s="25">
        <f>IFERROR(subQ!AE9/subQ!AE5,"")</f>
        <v/>
      </c>
      <c r="AF23" s="24" t="n">
        <v>0.006379</v>
      </c>
      <c r="AG23" s="24" t="n">
        <v>0.006372</v>
      </c>
      <c r="AH23" s="24" t="n">
        <v>0.006372</v>
      </c>
      <c r="AI23" s="24" t="n">
        <v>0.00636</v>
      </c>
      <c r="AJ23" s="25">
        <f>IFERROR(subQ!AJ9/subQ!AJ5,"")</f>
        <v/>
      </c>
      <c r="AK23" s="24" t="n">
        <v>0.006344</v>
      </c>
      <c r="AL23" s="24" t="n">
        <v>0.006361</v>
      </c>
      <c r="AM23" s="24" t="n">
        <v>0.006382</v>
      </c>
      <c r="AN23" s="24" t="n">
        <v>0.006379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-0.960025</v>
      </c>
      <c r="AD24" s="24" t="n">
        <v>-0.457627</v>
      </c>
      <c r="AE24" s="25" t="n"/>
      <c r="AF24" s="24" t="n">
        <v>-1.079404</v>
      </c>
      <c r="AG24" s="24" t="n">
        <v>-0.714286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-3.34</v>
      </c>
      <c r="AD25" s="29" t="n">
        <v>-3.36</v>
      </c>
      <c r="AE25" s="30">
        <f>subQ!AE11</f>
        <v/>
      </c>
      <c r="AF25" s="29" t="n">
        <v>-3.38</v>
      </c>
      <c r="AG25" s="29" t="n">
        <v>-3.41</v>
      </c>
      <c r="AH25" s="29" t="n">
        <v>-3.44</v>
      </c>
      <c r="AI25" s="29" t="n">
        <v>-3.46</v>
      </c>
      <c r="AJ25" s="30">
        <f>subQ!AJ11</f>
        <v/>
      </c>
      <c r="AK25" s="29" t="n">
        <v>-3.48</v>
      </c>
      <c r="AL25" s="29" t="n">
        <v>-3.51</v>
      </c>
      <c r="AM25" s="29" t="n">
        <v>-3.54</v>
      </c>
      <c r="AN25" s="29" t="n">
        <v>-3.56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-3.98</v>
      </c>
      <c r="AD27" s="29" t="n">
        <v>-3.98</v>
      </c>
      <c r="AE27" s="30">
        <f>subQ!AE13</f>
        <v/>
      </c>
      <c r="AF27" s="29" t="n">
        <v>-3.98</v>
      </c>
      <c r="AG27" s="29" t="n">
        <v>-3.98</v>
      </c>
      <c r="AH27" s="29" t="n">
        <v>-3.98</v>
      </c>
      <c r="AI27" s="29" t="n">
        <v>-3.98</v>
      </c>
      <c r="AJ27" s="30">
        <f>subQ!AJ13</f>
        <v/>
      </c>
      <c r="AK27" s="29" t="n">
        <v>-3.98</v>
      </c>
      <c r="AL27" s="29" t="n">
        <v>-3.98</v>
      </c>
      <c r="AM27" s="29" t="n">
        <v>-3.98</v>
      </c>
      <c r="AN27" s="29" t="n">
        <v>-3.98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-0.0047</v>
      </c>
      <c r="AD31" s="29" t="n">
        <v>0</v>
      </c>
      <c r="AE31" s="30" t="n"/>
      <c r="AF31" s="29" t="n">
        <v>0</v>
      </c>
      <c r="AG31" s="29" t="n">
        <v>-0.01</v>
      </c>
      <c r="AH31" s="29" t="n">
        <v>0</v>
      </c>
      <c r="AI31" s="29" t="n">
        <v>0</v>
      </c>
      <c r="AJ31" s="30" t="n"/>
      <c r="AK31" s="29" t="n">
        <v>0</v>
      </c>
      <c r="AL31" s="29" t="n">
        <v>0.01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0.0013</v>
      </c>
      <c r="AD32" s="29" t="n">
        <v>-0.01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1e-05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0.019357</v>
      </c>
      <c r="AD34" s="24" t="n">
        <v>0.023078</v>
      </c>
      <c r="AE34" s="25" t="n"/>
      <c r="AF34" s="24" t="n">
        <v>0.026037</v>
      </c>
      <c r="AG34" s="24" t="n">
        <v>0.020971</v>
      </c>
      <c r="AH34" s="24" t="n">
        <v>0.016952</v>
      </c>
      <c r="AI34" s="24" t="n">
        <v>0.020874</v>
      </c>
      <c r="AJ34" s="25" t="n"/>
      <c r="AK34" s="24" t="n">
        <v>0.023941</v>
      </c>
      <c r="AL34" s="24" t="n">
        <v>0.018856</v>
      </c>
      <c r="AM34" s="24" t="n">
        <v>0.015405</v>
      </c>
      <c r="AN34" s="24" t="n">
        <v>0.019302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-0.027501</v>
      </c>
      <c r="AD35" s="24" t="n">
        <v>-0.034481</v>
      </c>
      <c r="AE35" s="25" t="n"/>
      <c r="AF35" s="24" t="n">
        <v>-0.041148</v>
      </c>
      <c r="AG35" s="24" t="n">
        <v>-0.035399</v>
      </c>
      <c r="AH35" s="24" t="n">
        <v>-0.030411</v>
      </c>
      <c r="AI35" s="24" t="n">
        <v>-0.039118</v>
      </c>
      <c r="AJ35" s="25" t="n"/>
      <c r="AK35" s="24" t="n">
        <v>-0.047825</v>
      </c>
      <c r="AL35" s="24" t="n">
        <v>-0.040444</v>
      </c>
      <c r="AM35" s="24" t="n">
        <v>-0.035083</v>
      </c>
      <c r="AN35" s="24" t="n">
        <v>-0.046177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0.85124</v>
      </c>
      <c r="AD42" s="24" t="n">
        <v>0.118227</v>
      </c>
      <c r="AE42" s="25" t="n"/>
      <c r="AF42" s="24" t="n">
        <v>-0.208904</v>
      </c>
      <c r="AG42" s="24" t="n">
        <v>-0.37766</v>
      </c>
      <c r="AH42" s="24" t="n">
        <v>0.058036</v>
      </c>
      <c r="AI42" s="24" t="n">
        <v>0.057269</v>
      </c>
      <c r="AJ42" s="25" t="n"/>
      <c r="AK42" s="24" t="n">
        <v>0.056277</v>
      </c>
      <c r="AL42" s="24" t="n">
        <v>0.059829</v>
      </c>
      <c r="AM42" s="24" t="n">
        <v>0.059072</v>
      </c>
      <c r="AN42" s="24" t="n">
        <v>0.0625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0.006365</v>
      </c>
      <c r="AD44" s="24" t="n">
        <v>0.006389</v>
      </c>
      <c r="AE44" s="25">
        <f>IFERROR(subQ!AE35/subQ!AE34,"")</f>
        <v/>
      </c>
      <c r="AF44" s="24" t="n">
        <v>0.006379</v>
      </c>
      <c r="AG44" s="24" t="n">
        <v>0.006372</v>
      </c>
      <c r="AH44" s="24" t="n">
        <v>0.006372</v>
      </c>
      <c r="AI44" s="24" t="n">
        <v>0.00636</v>
      </c>
      <c r="AJ44" s="25">
        <f>IFERROR(subQ!AJ35/subQ!AJ34,"")</f>
        <v/>
      </c>
      <c r="AK44" s="24" t="n">
        <v>0.006344</v>
      </c>
      <c r="AL44" s="24" t="n">
        <v>0.006361</v>
      </c>
      <c r="AM44" s="24" t="n">
        <v>0.006382</v>
      </c>
      <c r="AN44" s="24" t="n">
        <v>0.006379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2970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4.0배가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0.1267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4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4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4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4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4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4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4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4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4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4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4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4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4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4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4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4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4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4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4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4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4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4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4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4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4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4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4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4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4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4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4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4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4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4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4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4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4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4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4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4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4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4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4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4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4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4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4" t="n">
        <v>103.15</v>
      </c>
      <c r="G17" s="18" t="n">
        <v>21.44</v>
      </c>
      <c r="K17" s="9" t="n"/>
      <c r="P17" s="9" t="n"/>
      <c r="T17" s="18" t="n">
        <v>3152.44</v>
      </c>
      <c r="U17" s="34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4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4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4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4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4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4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4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4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4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4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4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4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4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4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4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4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4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4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4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4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4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4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4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4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4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4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4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4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4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4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4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4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4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4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4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4" t="n">
        <v>15593.14</v>
      </c>
      <c r="L25" s="18" t="n">
        <v>749.21</v>
      </c>
      <c r="M25" s="18" t="n">
        <v>177.05</v>
      </c>
      <c r="O25" s="18" t="n">
        <v>15027.28</v>
      </c>
      <c r="P25" s="34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4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4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4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4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4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4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4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4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4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4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4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4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4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4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4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4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4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4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4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4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4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4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4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4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4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4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4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4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4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4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4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4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4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4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4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4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4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4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4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4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4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4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4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4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4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4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4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4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4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4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4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4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4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4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4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4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4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4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4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4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4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4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4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4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4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4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4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4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4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4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4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4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4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4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4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4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4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4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4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4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4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4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18876.53</v>
      </c>
      <c r="F47" s="34" t="n">
        <v>18876.53</v>
      </c>
      <c r="G47" s="18" t="n">
        <v>18441.98</v>
      </c>
      <c r="H47" s="18" t="n">
        <v>17971.17</v>
      </c>
      <c r="I47" s="18" t="n">
        <v>17272.06</v>
      </c>
      <c r="J47" s="18" t="n">
        <v>15749.41</v>
      </c>
      <c r="K47" s="34" t="n">
        <v>15749.41</v>
      </c>
      <c r="L47" s="18" t="n">
        <v>16021.7</v>
      </c>
      <c r="M47" s="18" t="n">
        <v>15997.77</v>
      </c>
      <c r="N47" s="18" t="n">
        <v>18705.35</v>
      </c>
      <c r="O47" s="18" t="n">
        <v>18556.51</v>
      </c>
      <c r="P47" s="34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4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4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4158.16</v>
      </c>
      <c r="F48" s="34" t="n">
        <v>4158.16</v>
      </c>
      <c r="G48" s="18" t="n">
        <v>1564.65</v>
      </c>
      <c r="H48" s="18" t="n">
        <v>5290.71</v>
      </c>
      <c r="I48" s="18" t="n">
        <v>2992.85</v>
      </c>
      <c r="J48" s="18" t="n">
        <v>-1258.14</v>
      </c>
      <c r="K48" s="34" t="n">
        <v>-1258.14</v>
      </c>
      <c r="L48" s="18" t="n">
        <v>1741.84</v>
      </c>
      <c r="M48" s="18" t="n">
        <v>-908.41</v>
      </c>
      <c r="N48" s="18" t="n">
        <v>7838.04</v>
      </c>
      <c r="O48" s="18" t="n">
        <v>4135.13</v>
      </c>
      <c r="P48" s="34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4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4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4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4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4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4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4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계약자산</t>
        </is>
      </c>
      <c r="F50" s="9" t="n"/>
      <c r="G50" s="18" t="n">
        <v>1594.26</v>
      </c>
      <c r="H50" s="18" t="n">
        <v>309.76</v>
      </c>
      <c r="I50" s="18" t="n">
        <v>109.24</v>
      </c>
      <c r="J50" s="18" t="n">
        <v>313.07</v>
      </c>
      <c r="K50" s="34" t="n">
        <v>313.07</v>
      </c>
      <c r="L50" s="18" t="n">
        <v>343.78</v>
      </c>
      <c r="M50" s="18" t="n">
        <v>348.74</v>
      </c>
      <c r="N50" s="18" t="n">
        <v>867.77</v>
      </c>
      <c r="O50" s="18" t="n">
        <v>859.24</v>
      </c>
      <c r="P50" s="34" t="n">
        <v>859.24</v>
      </c>
      <c r="Q50" s="18" t="n">
        <v>509.24</v>
      </c>
      <c r="R50" s="18" t="n">
        <v>259.24</v>
      </c>
      <c r="S50" s="18" t="n">
        <v>109.24</v>
      </c>
      <c r="U50" s="9" t="n"/>
      <c r="Z50" s="9" t="n"/>
      <c r="AB50" s="19" t="n">
        <v>1.89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유동파생상품자산</t>
        </is>
      </c>
      <c r="F51" s="9" t="n"/>
      <c r="I51" s="18" t="n">
        <v>298.51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12547.3</v>
      </c>
      <c r="K52" s="34" t="n">
        <v>12547.3</v>
      </c>
      <c r="N52" s="18" t="n">
        <v>16550.35</v>
      </c>
      <c r="O52" s="18" t="n">
        <v>16466.51</v>
      </c>
      <c r="P52" s="34" t="n">
        <v>16466.51</v>
      </c>
      <c r="Q52" s="18" t="n">
        <v>18109.59</v>
      </c>
      <c r="R52" s="18" t="n">
        <v>16597.89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단기충당부채</t>
        </is>
      </c>
      <c r="F53" s="9" t="n"/>
      <c r="J53" s="18" t="n">
        <v>56.89</v>
      </c>
      <c r="K53" s="34" t="n">
        <v>56.89</v>
      </c>
      <c r="L53" s="18" t="n">
        <v>40.25</v>
      </c>
      <c r="M53" s="18" t="n">
        <v>39.75</v>
      </c>
      <c r="N53" s="18" t="n">
        <v>39.73</v>
      </c>
      <c r="O53" s="18" t="n">
        <v>39.58</v>
      </c>
      <c r="P53" s="34" t="n">
        <v>39.58</v>
      </c>
      <c r="Q53" s="18" t="n">
        <v>19.71</v>
      </c>
      <c r="R53" s="18" t="n">
        <v>19.71</v>
      </c>
      <c r="S53" s="18" t="n">
        <v>19.71</v>
      </c>
      <c r="T53" s="18" t="n">
        <v>6.37</v>
      </c>
      <c r="U53" s="34" t="n">
        <v>6.37</v>
      </c>
      <c r="V53" s="18" t="n">
        <v>6.37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J54" s="18" t="n">
        <v>370.84</v>
      </c>
      <c r="K54" s="34" t="n">
        <v>370.84</v>
      </c>
      <c r="N54" s="18" t="n">
        <v>370.84</v>
      </c>
      <c r="O54" s="18" t="n">
        <v>370.84</v>
      </c>
      <c r="P54" s="34" t="n">
        <v>370.84</v>
      </c>
      <c r="Q54" s="18" t="n">
        <v>370.84</v>
      </c>
      <c r="R54" s="18" t="n">
        <v>370.84</v>
      </c>
      <c r="S54" s="18" t="n">
        <v>369.89</v>
      </c>
      <c r="T54" s="18" t="n">
        <v>369.89</v>
      </c>
      <c r="U54" s="34" t="n">
        <v>369.89</v>
      </c>
      <c r="V54" s="18" t="n">
        <v>369.89</v>
      </c>
      <c r="W54" s="18" t="n">
        <v>369.89</v>
      </c>
      <c r="X54" s="18" t="n">
        <v>369.89</v>
      </c>
      <c r="Y54" s="18" t="n">
        <v>441.81</v>
      </c>
      <c r="Z54" s="34" t="n">
        <v>441.81</v>
      </c>
      <c r="AA54" s="18" t="n">
        <v>441.81</v>
      </c>
      <c r="AB54" s="19" t="n">
        <v>441.81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N55" s="18" t="n">
        <v>52.3</v>
      </c>
      <c r="O55" s="18" t="n">
        <v>340.78</v>
      </c>
      <c r="P55" s="34" t="n">
        <v>340.78</v>
      </c>
      <c r="Q55" s="18" t="n">
        <v>433.13</v>
      </c>
      <c r="R55" s="18" t="n">
        <v>511.36</v>
      </c>
      <c r="S55" s="18" t="n">
        <v>599.55</v>
      </c>
      <c r="T55" s="18" t="n">
        <v>1333.81</v>
      </c>
      <c r="U55" s="34" t="n">
        <v>1333.81</v>
      </c>
      <c r="V55" s="18" t="n">
        <v>954.26</v>
      </c>
      <c r="W55" s="18" t="n">
        <v>1068.2</v>
      </c>
      <c r="X55" s="18" t="n">
        <v>1195.76</v>
      </c>
      <c r="Y55" s="18" t="n">
        <v>608.12</v>
      </c>
      <c r="Z55" s="34" t="n">
        <v>608.12</v>
      </c>
      <c r="AA55" s="18" t="n">
        <v>717.63</v>
      </c>
      <c r="AB55" s="19" t="n">
        <v>845.98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이연법인세자산</t>
        </is>
      </c>
      <c r="F56" s="9" t="n"/>
      <c r="K56" s="9" t="n"/>
      <c r="P56" s="9" t="n"/>
      <c r="R56" s="18" t="n">
        <v>2885.28</v>
      </c>
      <c r="S56" s="18" t="n">
        <v>2885.28</v>
      </c>
      <c r="T56" s="18" t="n">
        <v>1447.56</v>
      </c>
      <c r="U56" s="34" t="n">
        <v>1447.56</v>
      </c>
      <c r="V56" s="18" t="n">
        <v>1014.51</v>
      </c>
      <c r="W56" s="18" t="n">
        <v>898.96</v>
      </c>
      <c r="X56" s="18" t="n">
        <v>899.52</v>
      </c>
      <c r="Y56" s="18" t="n">
        <v>2603.36</v>
      </c>
      <c r="Z56" s="34" t="n">
        <v>2603.36</v>
      </c>
      <c r="AA56" s="18" t="n">
        <v>2652.47</v>
      </c>
      <c r="AB56" s="19" t="n">
        <v>2830.3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3.39</v>
      </c>
      <c r="Z57" s="34" t="n">
        <v>3.39</v>
      </c>
      <c r="AA57" s="18" t="n">
        <v>23.74</v>
      </c>
      <c r="AB57" s="19" t="n">
        <v>33.96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18006.47</v>
      </c>
      <c r="F58" s="9" t="n"/>
      <c r="G58" s="18" t="n">
        <v>10997.85</v>
      </c>
      <c r="H58" s="18" t="n">
        <v>20502.96</v>
      </c>
      <c r="I58" s="18" t="n">
        <v>22292.65</v>
      </c>
      <c r="J58" s="18" t="n">
        <v>12885.4</v>
      </c>
      <c r="K58" s="34" t="n">
        <v>66678.86</v>
      </c>
      <c r="L58" s="18" t="n">
        <v>17642.43</v>
      </c>
      <c r="M58" s="18" t="n">
        <v>26481.14</v>
      </c>
      <c r="N58" s="18" t="n">
        <v>23263.3</v>
      </c>
      <c r="O58" s="18" t="n">
        <v>20689.57</v>
      </c>
      <c r="P58" s="34" t="n">
        <v>88076.44</v>
      </c>
      <c r="Q58" s="18" t="n">
        <v>18757.1</v>
      </c>
      <c r="R58" s="18" t="n">
        <v>22949.24</v>
      </c>
      <c r="S58" s="18" t="n">
        <v>25843.64</v>
      </c>
      <c r="T58" s="18" t="n">
        <v>21050.55</v>
      </c>
      <c r="U58" s="34" t="n">
        <v>88600.53</v>
      </c>
      <c r="V58" s="18" t="n">
        <v>13661.87</v>
      </c>
      <c r="W58" s="18" t="n">
        <v>15765.96</v>
      </c>
      <c r="X58" s="18" t="n">
        <v>34465.31</v>
      </c>
      <c r="Y58" s="18" t="n">
        <v>21783.2</v>
      </c>
      <c r="Z58" s="34" t="n">
        <v>85676.34</v>
      </c>
      <c r="AA58" s="18" t="n">
        <v>11035.46</v>
      </c>
      <c r="AB58" s="19" t="n">
        <v>25950.41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15910.13</v>
      </c>
      <c r="F59" s="9" t="n"/>
      <c r="G59" s="18" t="n">
        <v>8997.92</v>
      </c>
      <c r="H59" s="18" t="n">
        <v>18790.25</v>
      </c>
      <c r="I59" s="18" t="n">
        <v>20572.95</v>
      </c>
      <c r="J59" s="18" t="n">
        <v>11875.82</v>
      </c>
      <c r="K59" s="34" t="n">
        <v>60236.94</v>
      </c>
      <c r="L59" s="18" t="n">
        <v>17512.74</v>
      </c>
      <c r="M59" s="18" t="n">
        <v>22090.94</v>
      </c>
      <c r="N59" s="18" t="n">
        <v>20092.9</v>
      </c>
      <c r="O59" s="18" t="n">
        <v>17311.88</v>
      </c>
      <c r="P59" s="34" t="n">
        <v>77008.46000000001</v>
      </c>
      <c r="Q59" s="18" t="n">
        <v>15565.71</v>
      </c>
      <c r="R59" s="18" t="n">
        <v>18267.13</v>
      </c>
      <c r="S59" s="18" t="n">
        <v>23119.3</v>
      </c>
      <c r="T59" s="18" t="n">
        <v>19919.07</v>
      </c>
      <c r="U59" s="34" t="n">
        <v>76871.21000000001</v>
      </c>
      <c r="V59" s="18" t="n">
        <v>10386.57</v>
      </c>
      <c r="W59" s="18" t="n">
        <v>12806.14</v>
      </c>
      <c r="X59" s="18" t="n">
        <v>26660.2</v>
      </c>
      <c r="Y59" s="18" t="n">
        <v>18456.28</v>
      </c>
      <c r="Z59" s="34" t="n">
        <v>68309.19</v>
      </c>
      <c r="AA59" s="18" t="n">
        <v>9022.9</v>
      </c>
      <c r="AB59" s="19" t="n">
        <v>22447.46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1694.73</v>
      </c>
      <c r="F60" s="9" t="n"/>
      <c r="G60" s="18" t="n">
        <v>1611.69</v>
      </c>
      <c r="H60" s="18" t="n">
        <v>2448.3</v>
      </c>
      <c r="I60" s="18" t="n">
        <v>2783.1</v>
      </c>
      <c r="J60" s="18" t="n">
        <v>3123.31</v>
      </c>
      <c r="K60" s="34" t="n">
        <v>9966.4</v>
      </c>
      <c r="L60" s="18" t="n">
        <v>2154.72</v>
      </c>
      <c r="M60" s="18" t="n">
        <v>2451.48</v>
      </c>
      <c r="N60" s="18" t="n">
        <v>2592.9</v>
      </c>
      <c r="O60" s="18" t="n">
        <v>2246.09</v>
      </c>
      <c r="P60" s="34" t="n">
        <v>9445.190000000001</v>
      </c>
      <c r="Q60" s="18" t="n">
        <v>2325.84</v>
      </c>
      <c r="R60" s="18" t="n">
        <v>2316.19</v>
      </c>
      <c r="S60" s="18" t="n">
        <v>2204.52</v>
      </c>
      <c r="T60" s="18" t="n">
        <v>3225.17</v>
      </c>
      <c r="U60" s="34" t="n">
        <v>10071.72</v>
      </c>
      <c r="V60" s="18" t="n">
        <v>3538.91</v>
      </c>
      <c r="W60" s="18" t="n">
        <v>2945.21</v>
      </c>
      <c r="X60" s="18" t="n">
        <v>2287.23</v>
      </c>
      <c r="Y60" s="18" t="n">
        <v>3069.42</v>
      </c>
      <c r="Z60" s="34" t="n">
        <v>11840.77</v>
      </c>
      <c r="AA60" s="18" t="n">
        <v>2901.66</v>
      </c>
      <c r="AB60" s="19" t="n">
        <v>2920.43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401.62</v>
      </c>
      <c r="F61" s="9" t="n"/>
      <c r="G61" s="18" t="n">
        <v>388.24</v>
      </c>
      <c r="H61" s="18" t="n">
        <v>-735.58</v>
      </c>
      <c r="I61" s="18" t="n">
        <v>-1063.4</v>
      </c>
      <c r="J61" s="18" t="n">
        <v>-2113.73</v>
      </c>
      <c r="K61" s="34" t="n">
        <v>-3524.47</v>
      </c>
      <c r="L61" s="18" t="n">
        <v>-2025.03</v>
      </c>
      <c r="M61" s="18" t="n">
        <v>1938.72</v>
      </c>
      <c r="N61" s="18" t="n">
        <v>577.49</v>
      </c>
      <c r="O61" s="18" t="n">
        <v>1131.6</v>
      </c>
      <c r="P61" s="34" t="n">
        <v>1622.78</v>
      </c>
      <c r="Q61" s="18" t="n">
        <v>865.55</v>
      </c>
      <c r="R61" s="18" t="n">
        <v>2365.92</v>
      </c>
      <c r="S61" s="18" t="n">
        <v>519.8200000000001</v>
      </c>
      <c r="T61" s="18" t="n">
        <v>-2093.69</v>
      </c>
      <c r="U61" s="34" t="n">
        <v>1657.6</v>
      </c>
      <c r="V61" s="18" t="n">
        <v>-263.61</v>
      </c>
      <c r="W61" s="18" t="n">
        <v>14.61</v>
      </c>
      <c r="X61" s="18" t="n">
        <v>5517.88</v>
      </c>
      <c r="Y61" s="18" t="n">
        <v>257.5</v>
      </c>
      <c r="Z61" s="34" t="n">
        <v>5526.38</v>
      </c>
      <c r="AA61" s="18" t="n">
        <v>-889.09</v>
      </c>
      <c r="AB61" s="19" t="n">
        <v>582.53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18.82</v>
      </c>
      <c r="F62" s="9" t="n"/>
      <c r="G62" s="18" t="n">
        <v>10.4</v>
      </c>
      <c r="H62" s="18" t="n">
        <v>22.88</v>
      </c>
      <c r="I62" s="18" t="n">
        <v>74.41</v>
      </c>
      <c r="J62" s="18" t="n">
        <v>44.16</v>
      </c>
      <c r="K62" s="34" t="n">
        <v>151.85</v>
      </c>
      <c r="L62" s="18" t="n">
        <v>47.74</v>
      </c>
      <c r="M62" s="18" t="n">
        <v>15.57</v>
      </c>
      <c r="N62" s="18" t="n">
        <v>24.92</v>
      </c>
      <c r="O62" s="18" t="n">
        <v>108.73</v>
      </c>
      <c r="P62" s="34" t="n">
        <v>196.96</v>
      </c>
      <c r="Q62" s="18" t="n">
        <v>84.09999999999999</v>
      </c>
      <c r="R62" s="18" t="n">
        <v>103.94</v>
      </c>
      <c r="S62" s="18" t="n">
        <v>178.68</v>
      </c>
      <c r="T62" s="18" t="n">
        <v>22028.5</v>
      </c>
      <c r="U62" s="34" t="n">
        <v>22395.22</v>
      </c>
      <c r="V62" s="18" t="n">
        <v>36.03</v>
      </c>
      <c r="W62" s="18" t="n">
        <v>1261.27</v>
      </c>
      <c r="X62" s="18" t="n">
        <v>22.98</v>
      </c>
      <c r="Y62" s="18" t="n">
        <v>1637.86</v>
      </c>
      <c r="Z62" s="34" t="n">
        <v>2958.14</v>
      </c>
      <c r="AA62" s="18" t="n">
        <v>78.81</v>
      </c>
      <c r="AB62" s="19" t="n">
        <v>174.53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2108.3</v>
      </c>
      <c r="F63" s="9" t="n"/>
      <c r="G63" s="18" t="n">
        <v>24.95</v>
      </c>
      <c r="H63" s="18" t="n">
        <v>82.41</v>
      </c>
      <c r="I63" s="18" t="n">
        <v>43.5</v>
      </c>
      <c r="J63" s="18" t="n">
        <v>8102.7</v>
      </c>
      <c r="K63" s="34" t="n">
        <v>8253.559999999999</v>
      </c>
      <c r="L63" s="18" t="n">
        <v>79.13</v>
      </c>
      <c r="M63" s="18" t="n">
        <v>60.9</v>
      </c>
      <c r="N63" s="18" t="n">
        <v>422.71</v>
      </c>
      <c r="O63" s="18" t="n">
        <v>102.31</v>
      </c>
      <c r="P63" s="34" t="n">
        <v>665.05</v>
      </c>
      <c r="Q63" s="18" t="n">
        <v>58.27</v>
      </c>
      <c r="R63" s="18" t="n">
        <v>60.96</v>
      </c>
      <c r="S63" s="18" t="n">
        <v>-33.05</v>
      </c>
      <c r="T63" s="18" t="n">
        <v>239.6</v>
      </c>
      <c r="U63" s="34" t="n">
        <v>325.78</v>
      </c>
      <c r="V63" s="18" t="n">
        <v>103.03</v>
      </c>
      <c r="W63" s="18" t="n">
        <v>114.87</v>
      </c>
      <c r="X63" s="18" t="n">
        <v>310.3</v>
      </c>
      <c r="Y63" s="18" t="n">
        <v>5620.47</v>
      </c>
      <c r="Z63" s="34" t="n">
        <v>6148.67</v>
      </c>
      <c r="AA63" s="18" t="n">
        <v>34.36</v>
      </c>
      <c r="AB63" s="19" t="n">
        <v>97.38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218.96</v>
      </c>
      <c r="F64" s="9" t="n"/>
      <c r="G64" s="18" t="n">
        <v>236.34</v>
      </c>
      <c r="H64" s="18" t="n">
        <v>965.75</v>
      </c>
      <c r="I64" s="18" t="n">
        <v>659.6900000000001</v>
      </c>
      <c r="J64" s="18" t="n">
        <v>5029.45</v>
      </c>
      <c r="K64" s="34" t="n">
        <v>6891.23</v>
      </c>
      <c r="L64" s="18" t="n">
        <v>438.92</v>
      </c>
      <c r="M64" s="18" t="n">
        <v>537.73</v>
      </c>
      <c r="N64" s="18" t="n">
        <v>249.61</v>
      </c>
      <c r="O64" s="18" t="n">
        <v>261.4</v>
      </c>
      <c r="P64" s="34" t="n">
        <v>1487.66</v>
      </c>
      <c r="Q64" s="18" t="n">
        <v>339.68</v>
      </c>
      <c r="R64" s="18" t="n">
        <v>3836.25</v>
      </c>
      <c r="S64" s="18" t="n">
        <v>3470.18</v>
      </c>
      <c r="T64" s="18" t="n">
        <v>15451.16</v>
      </c>
      <c r="U64" s="34" t="n">
        <v>23097.27</v>
      </c>
      <c r="V64" s="18" t="n">
        <v>4154.68</v>
      </c>
      <c r="W64" s="18" t="n">
        <v>218.63</v>
      </c>
      <c r="X64" s="18" t="n">
        <v>288.69</v>
      </c>
      <c r="Y64" s="18" t="n">
        <v>256.57</v>
      </c>
      <c r="Z64" s="34" t="n">
        <v>4918.57</v>
      </c>
      <c r="AA64" s="18" t="n">
        <v>499.13</v>
      </c>
      <c r="AB64" s="19" t="n">
        <v>677.71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1177.99</v>
      </c>
      <c r="F65" s="9" t="n"/>
      <c r="G65" s="18" t="n">
        <v>456.24</v>
      </c>
      <c r="H65" s="18" t="n">
        <v>447.86</v>
      </c>
      <c r="I65" s="18" t="n">
        <v>653.99</v>
      </c>
      <c r="J65" s="18" t="n">
        <v>9335.440000000001</v>
      </c>
      <c r="K65" s="34" t="n">
        <v>10893.53</v>
      </c>
      <c r="L65" s="18" t="n">
        <v>766.59</v>
      </c>
      <c r="M65" s="18" t="n">
        <v>402.48</v>
      </c>
      <c r="N65" s="18" t="n">
        <v>371.28</v>
      </c>
      <c r="O65" s="18" t="n">
        <v>2880.55</v>
      </c>
      <c r="P65" s="34" t="n">
        <v>4420.9</v>
      </c>
      <c r="Q65" s="18" t="n">
        <v>403.83</v>
      </c>
      <c r="R65" s="18" t="n">
        <v>3264.31</v>
      </c>
      <c r="S65" s="18" t="n">
        <v>333.56</v>
      </c>
      <c r="T65" s="18" t="n">
        <v>-1544.61</v>
      </c>
      <c r="U65" s="34" t="n">
        <v>2457.09</v>
      </c>
      <c r="V65" s="18" t="n">
        <v>324.73</v>
      </c>
      <c r="W65" s="18" t="n">
        <v>463.35</v>
      </c>
      <c r="X65" s="18" t="n">
        <v>286.77</v>
      </c>
      <c r="Y65" s="18" t="n">
        <v>453.6</v>
      </c>
      <c r="Z65" s="34" t="n">
        <v>1528.45</v>
      </c>
      <c r="AA65" s="18" t="n">
        <v>345.29</v>
      </c>
      <c r="AB65" s="19" t="n">
        <v>703.28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-4885.73</v>
      </c>
      <c r="F66" s="9" t="n"/>
      <c r="G66" s="18" t="n">
        <v>72.08</v>
      </c>
      <c r="H66" s="18" t="n">
        <v>-298.67</v>
      </c>
      <c r="I66" s="18" t="n">
        <v>-1026.78</v>
      </c>
      <c r="J66" s="18" t="n">
        <v>-14478.25</v>
      </c>
      <c r="K66" s="34" t="n">
        <v>-15731.62</v>
      </c>
      <c r="L66" s="18" t="n">
        <v>-2384.1</v>
      </c>
      <c r="M66" s="18" t="n">
        <v>2028.63</v>
      </c>
      <c r="N66" s="18" t="n">
        <v>58.04</v>
      </c>
      <c r="O66" s="18" t="n">
        <v>-5581.14</v>
      </c>
      <c r="P66" s="34" t="n">
        <v>-5878.57</v>
      </c>
      <c r="Q66" s="18" t="n">
        <v>827.23</v>
      </c>
      <c r="R66" s="18" t="n">
        <v>3190.84</v>
      </c>
      <c r="S66" s="18" t="n">
        <v>3868.18</v>
      </c>
      <c r="T66" s="18" t="n">
        <v>20646.06</v>
      </c>
      <c r="U66" s="34" t="n">
        <v>28532.31</v>
      </c>
      <c r="Z66" s="9" t="n"/>
      <c r="AB66" s="19" t="n">
        <v>261.95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4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4" t="n">
        <v>-5878.57</v>
      </c>
      <c r="Q67" s="18" t="n">
        <v>827.23</v>
      </c>
      <c r="R67" s="18" t="n">
        <v>6076.12</v>
      </c>
      <c r="S67" s="18" t="n">
        <v>3868.18</v>
      </c>
      <c r="T67" s="18" t="n">
        <v>19037.56</v>
      </c>
      <c r="U67" s="34" t="n">
        <v>29809.09</v>
      </c>
      <c r="V67" s="18" t="n">
        <v>3378.7</v>
      </c>
      <c r="W67" s="18" t="n">
        <v>1247.4</v>
      </c>
      <c r="X67" s="18" t="n">
        <v>5154.15</v>
      </c>
      <c r="Y67" s="18" t="n">
        <v>-4927.96</v>
      </c>
      <c r="Z67" s="34" t="n">
        <v>4852.29</v>
      </c>
      <c r="AA67" s="18" t="n">
        <v>-1119.51</v>
      </c>
      <c r="AB67" s="19" t="n">
        <v>383.36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4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4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4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4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2096.34</v>
      </c>
      <c r="F69" s="9" t="n"/>
      <c r="G69" s="18" t="n">
        <v>1999.93</v>
      </c>
      <c r="H69" s="18" t="n">
        <v>1712.71</v>
      </c>
      <c r="I69" s="18" t="n">
        <v>1719.7</v>
      </c>
      <c r="J69" s="18" t="n">
        <v>1009.58</v>
      </c>
      <c r="K69" s="34" t="n">
        <v>6441.92</v>
      </c>
      <c r="L69" s="18" t="n">
        <v>129.69</v>
      </c>
      <c r="M69" s="18" t="n">
        <v>4390.2</v>
      </c>
      <c r="N69" s="18" t="n">
        <v>3170.4</v>
      </c>
      <c r="O69" s="18" t="n">
        <v>3377.69</v>
      </c>
      <c r="P69" s="34" t="n">
        <v>11067.98</v>
      </c>
      <c r="Q69" s="18" t="n">
        <v>3191.39</v>
      </c>
      <c r="R69" s="18" t="n">
        <v>4682.11</v>
      </c>
      <c r="S69" s="18" t="n">
        <v>2724.34</v>
      </c>
      <c r="T69" s="18" t="n">
        <v>1131.49</v>
      </c>
      <c r="U69" s="34" t="n">
        <v>11729.33</v>
      </c>
      <c r="V69" s="18" t="n">
        <v>3275.3</v>
      </c>
      <c r="W69" s="18" t="n">
        <v>2959.83</v>
      </c>
      <c r="X69" s="18" t="n">
        <v>7805.11</v>
      </c>
      <c r="Y69" s="18" t="n">
        <v>3326.92</v>
      </c>
      <c r="Z69" s="34" t="n">
        <v>17367.16</v>
      </c>
      <c r="AA69" s="18" t="n">
        <v>2012.56</v>
      </c>
      <c r="AB69" s="19" t="n">
        <v>3502.95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-959.03</v>
      </c>
      <c r="F70" s="9" t="n"/>
      <c r="G70" s="18" t="n">
        <v>-219.9</v>
      </c>
      <c r="H70" s="18" t="n">
        <v>517.89</v>
      </c>
      <c r="I70" s="18" t="n">
        <v>5.7</v>
      </c>
      <c r="J70" s="18" t="n">
        <v>-4305.99</v>
      </c>
      <c r="K70" s="34" t="n">
        <v>-4002.3</v>
      </c>
      <c r="L70" s="18" t="n">
        <v>-327.67</v>
      </c>
      <c r="M70" s="18" t="n">
        <v>135.25</v>
      </c>
      <c r="N70" s="18" t="n">
        <v>-121.67</v>
      </c>
      <c r="O70" s="18" t="n">
        <v>-2619.15</v>
      </c>
      <c r="P70" s="34" t="n">
        <v>-2933.24</v>
      </c>
      <c r="Q70" s="18" t="n">
        <v>-64.15000000000001</v>
      </c>
      <c r="R70" s="18" t="n">
        <v>571.9400000000001</v>
      </c>
      <c r="S70" s="18" t="n">
        <v>3136.62</v>
      </c>
      <c r="T70" s="18" t="n">
        <v>16995.77</v>
      </c>
      <c r="U70" s="34" t="n">
        <v>20640.18</v>
      </c>
      <c r="V70" s="18" t="n">
        <v>3829.95</v>
      </c>
      <c r="W70" s="18" t="n">
        <v>-244.72</v>
      </c>
      <c r="X70" s="18" t="n">
        <v>1.92</v>
      </c>
      <c r="Y70" s="18" t="n">
        <v>-197.03</v>
      </c>
      <c r="Z70" s="34" t="n">
        <v>3390.12</v>
      </c>
      <c r="AA70" s="18" t="n">
        <v>153.84</v>
      </c>
      <c r="AB70" s="19" t="n">
        <v>-25.57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-2089.48</v>
      </c>
      <c r="F71" s="9" t="n"/>
      <c r="G71" s="18" t="n">
        <v>-14.55</v>
      </c>
      <c r="H71" s="18" t="n">
        <v>-59.53</v>
      </c>
      <c r="I71" s="18" t="n">
        <v>30.91</v>
      </c>
      <c r="J71" s="18" t="n">
        <v>-8058.54</v>
      </c>
      <c r="K71" s="34" t="n">
        <v>-8101.71</v>
      </c>
      <c r="L71" s="18" t="n">
        <v>-31.39</v>
      </c>
      <c r="M71" s="18" t="n">
        <v>-45.33</v>
      </c>
      <c r="N71" s="18" t="n">
        <v>-397.79</v>
      </c>
      <c r="O71" s="18" t="n">
        <v>6.42</v>
      </c>
      <c r="P71" s="34" t="n">
        <v>-468.09</v>
      </c>
      <c r="Q71" s="18" t="n">
        <v>25.83</v>
      </c>
      <c r="R71" s="18" t="n">
        <v>42.98</v>
      </c>
      <c r="S71" s="18" t="n">
        <v>211.73</v>
      </c>
      <c r="T71" s="18" t="n">
        <v>21788.9</v>
      </c>
      <c r="U71" s="34" t="n">
        <v>22069.44</v>
      </c>
      <c r="V71" s="18" t="n">
        <v>-67</v>
      </c>
      <c r="W71" s="18" t="n">
        <v>1146.4</v>
      </c>
      <c r="X71" s="18" t="n">
        <v>-287.32</v>
      </c>
      <c r="Y71" s="18" t="n">
        <v>-3982.61</v>
      </c>
      <c r="Z71" s="34" t="n">
        <v>-3190.53</v>
      </c>
      <c r="AA71" s="18" t="n">
        <v>44.45</v>
      </c>
      <c r="AB71" s="19" t="n">
        <v>77.15000000000001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-4885.73</v>
      </c>
      <c r="F72" s="9" t="n"/>
      <c r="G72" s="18" t="n">
        <v>72.08</v>
      </c>
      <c r="H72" s="18" t="n">
        <v>-194.81</v>
      </c>
      <c r="I72" s="18" t="n">
        <v>-842.78</v>
      </c>
      <c r="J72" s="18" t="n">
        <v>-14860.99</v>
      </c>
      <c r="K72" s="34" t="n">
        <v>-15826.5</v>
      </c>
      <c r="L72" s="18" t="n">
        <v>-2127.23</v>
      </c>
      <c r="M72" s="18" t="n">
        <v>2233.13</v>
      </c>
      <c r="N72" s="18" t="n">
        <v>58.04</v>
      </c>
      <c r="O72" s="18" t="n">
        <v>-5581.14</v>
      </c>
      <c r="P72" s="34" t="n">
        <v>-5417.2</v>
      </c>
      <c r="Q72" s="18" t="n">
        <v>930.25</v>
      </c>
      <c r="R72" s="18" t="n">
        <v>6228.44</v>
      </c>
      <c r="S72" s="18" t="n">
        <v>4040.06</v>
      </c>
      <c r="T72" s="18" t="n">
        <v>18610.35</v>
      </c>
      <c r="U72" s="34" t="n">
        <v>29809.1</v>
      </c>
      <c r="V72" s="18" t="n">
        <v>3378.7</v>
      </c>
      <c r="W72" s="18" t="n">
        <v>1247.4</v>
      </c>
      <c r="X72" s="18" t="n">
        <v>5154.15</v>
      </c>
      <c r="Y72" s="18" t="n">
        <v>-4927.96</v>
      </c>
      <c r="Z72" s="34" t="n">
        <v>4852.29</v>
      </c>
      <c r="AA72" s="18" t="n">
        <v>-1119.51</v>
      </c>
      <c r="AB72" s="19" t="n">
        <v>507.1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F73" s="9" t="n"/>
      <c r="G73" s="18" t="n">
        <v>287.62</v>
      </c>
      <c r="H73" s="18" t="n">
        <v>15.8</v>
      </c>
      <c r="I73" s="18" t="n">
        <v>-172.35</v>
      </c>
      <c r="J73" s="18" t="n">
        <v>-15068.23</v>
      </c>
      <c r="K73" s="34" t="n">
        <v>-14937.16</v>
      </c>
      <c r="L73" s="18" t="n">
        <v>-2351.72</v>
      </c>
      <c r="M73" s="18" t="n">
        <v>2271.12</v>
      </c>
      <c r="N73" s="18" t="n">
        <v>356.4</v>
      </c>
      <c r="O73" s="18" t="n">
        <v>-5960.4</v>
      </c>
      <c r="P73" s="34" t="n">
        <v>-5684.6</v>
      </c>
      <c r="Q73" s="18" t="n">
        <v>838.37</v>
      </c>
      <c r="R73" s="18" t="n">
        <v>6185.18</v>
      </c>
      <c r="S73" s="18" t="n">
        <v>4243.59</v>
      </c>
      <c r="T73" s="18" t="n">
        <v>18846.1</v>
      </c>
      <c r="U73" s="34" t="n">
        <v>30113.24</v>
      </c>
      <c r="V73" s="18" t="n">
        <v>5285</v>
      </c>
      <c r="W73" s="18" t="n">
        <v>2544.03</v>
      </c>
      <c r="X73" s="18" t="n">
        <v>6384.04</v>
      </c>
      <c r="Y73" s="18" t="n">
        <v>-4179.54</v>
      </c>
      <c r="Z73" s="34" t="n">
        <v>10033.53</v>
      </c>
      <c r="AA73" s="18" t="n">
        <v>-1894.83</v>
      </c>
      <c r="AB73" s="19" t="n">
        <v>533.89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F74" s="9" t="n"/>
      <c r="H74" s="18" t="n">
        <v>-103.86</v>
      </c>
      <c r="I74" s="18" t="n">
        <v>-184</v>
      </c>
      <c r="K74" s="9" t="n"/>
      <c r="L74" s="18" t="n">
        <v>-256.87</v>
      </c>
      <c r="M74" s="18" t="n">
        <v>-204.5</v>
      </c>
      <c r="P74" s="9" t="n"/>
      <c r="Q74" s="18" t="n">
        <v>-103.01</v>
      </c>
      <c r="R74" s="18" t="n">
        <v>-152.32</v>
      </c>
      <c r="S74" s="18" t="n">
        <v>-171.88</v>
      </c>
      <c r="U74" s="9" t="n"/>
      <c r="Z74" s="9" t="n"/>
      <c r="AB74" s="19" t="n">
        <v>-123.74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K75" s="9" t="n"/>
      <c r="P75" s="9" t="n"/>
      <c r="R75" s="18" t="n">
        <v>-2885.28</v>
      </c>
      <c r="T75" s="18" t="n">
        <v>1608.49</v>
      </c>
      <c r="U75" s="9" t="n"/>
      <c r="V75" s="18" t="n">
        <v>-43.92</v>
      </c>
      <c r="W75" s="18" t="n">
        <v>69.79000000000001</v>
      </c>
      <c r="X75" s="18" t="n">
        <v>18.26</v>
      </c>
      <c r="Y75" s="18" t="n">
        <v>-1848.5</v>
      </c>
      <c r="Z75" s="34" t="n">
        <v>-1804.37</v>
      </c>
      <c r="AA75" s="18" t="n">
        <v>4.21</v>
      </c>
      <c r="AB75" s="19" t="n">
        <v>-121.41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F76" s="9" t="n"/>
      <c r="K76" s="9" t="n"/>
      <c r="P76" s="9" t="n"/>
      <c r="U76" s="9" t="n"/>
      <c r="V76" s="18" t="n">
        <v>-164.57</v>
      </c>
      <c r="W76" s="18" t="n">
        <v>400.88</v>
      </c>
      <c r="X76" s="18" t="n">
        <v>-60.06</v>
      </c>
      <c r="Y76" s="18" t="n">
        <v>-2854.34</v>
      </c>
      <c r="Z76" s="34" t="n">
        <v>-2678.09</v>
      </c>
      <c r="AA76" s="18" t="n">
        <v>-424.49</v>
      </c>
      <c r="AB76" s="19" t="n">
        <v>-372.15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F77" s="9" t="n"/>
      <c r="K77" s="9" t="n"/>
      <c r="P77" s="9" t="n"/>
      <c r="U77" s="9" t="n"/>
      <c r="V77" s="18" t="n">
        <v>-164.57</v>
      </c>
      <c r="W77" s="18" t="n">
        <v>400.88</v>
      </c>
      <c r="X77" s="18" t="n">
        <v>-60.06</v>
      </c>
      <c r="Y77" s="18" t="n">
        <v>-2854.34</v>
      </c>
      <c r="Z77" s="34" t="n">
        <v>-2678.09</v>
      </c>
      <c r="AA77" s="18" t="n">
        <v>-424.49</v>
      </c>
      <c r="AB77" s="19" t="n">
        <v>-372.15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810.53</v>
      </c>
      <c r="F78" s="9" t="n"/>
      <c r="G78" s="18" t="n">
        <v>3154.82</v>
      </c>
      <c r="H78" s="18" t="n">
        <v>-4431.43</v>
      </c>
      <c r="I78" s="18" t="n">
        <v>3693.42</v>
      </c>
      <c r="J78" s="18" t="n">
        <v>3473.02</v>
      </c>
      <c r="K78" s="34" t="n">
        <v>5889.83</v>
      </c>
      <c r="L78" s="18" t="n">
        <v>-3184.9</v>
      </c>
      <c r="M78" s="18" t="n">
        <v>4526.1</v>
      </c>
      <c r="N78" s="18" t="n">
        <v>-5155.29</v>
      </c>
      <c r="O78" s="18" t="n">
        <v>4031.33</v>
      </c>
      <c r="P78" s="34" t="n">
        <v>217.24</v>
      </c>
      <c r="Q78" s="18" t="n">
        <v>-3872.3</v>
      </c>
      <c r="R78" s="18" t="n">
        <v>5427.95</v>
      </c>
      <c r="S78" s="18" t="n">
        <v>-2287.41</v>
      </c>
      <c r="T78" s="18" t="n">
        <v>8842.360000000001</v>
      </c>
      <c r="U78" s="34" t="n">
        <v>8110.6</v>
      </c>
      <c r="V78" s="18" t="n">
        <v>-3499.89</v>
      </c>
      <c r="W78" s="18" t="n">
        <v>151.74</v>
      </c>
      <c r="X78" s="18" t="n">
        <v>-2243.19</v>
      </c>
      <c r="Y78" s="18" t="n">
        <v>5725.73</v>
      </c>
      <c r="Z78" s="34" t="n">
        <v>134.39</v>
      </c>
      <c r="AA78" s="18" t="n">
        <v>-10365.18</v>
      </c>
      <c r="AB78" s="19" t="n">
        <v>3300.29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-3.78</v>
      </c>
      <c r="F79" s="9" t="n"/>
      <c r="G79" s="18" t="n">
        <v>-6.46</v>
      </c>
      <c r="H79" s="18" t="n">
        <v>14.39</v>
      </c>
      <c r="I79" s="18" t="n">
        <v>-18.55</v>
      </c>
      <c r="J79" s="18" t="n">
        <v>-11.58</v>
      </c>
      <c r="K79" s="34" t="n">
        <v>-22.2</v>
      </c>
      <c r="L79" s="18" t="n">
        <v>-11.17</v>
      </c>
      <c r="M79" s="18" t="n">
        <v>34.43</v>
      </c>
      <c r="N79" s="18" t="n">
        <v>-24.68</v>
      </c>
      <c r="O79" s="18" t="n">
        <v>-9.23</v>
      </c>
      <c r="P79" s="34" t="n">
        <v>-10.65</v>
      </c>
      <c r="Q79" s="18" t="n">
        <v>-70.26000000000001</v>
      </c>
      <c r="R79" s="18" t="n">
        <v>35.81</v>
      </c>
      <c r="S79" s="18" t="n">
        <v>-17.81</v>
      </c>
      <c r="T79" s="18" t="n">
        <v>-29.24</v>
      </c>
      <c r="U79" s="34" t="n">
        <v>-81.5</v>
      </c>
      <c r="V79" s="18" t="n">
        <v>-78.39</v>
      </c>
      <c r="W79" s="18" t="n">
        <v>123.96</v>
      </c>
      <c r="X79" s="18" t="n">
        <v>-14.52</v>
      </c>
      <c r="Y79" s="18" t="n">
        <v>-8.44</v>
      </c>
      <c r="Z79" s="34" t="n">
        <v>22.61</v>
      </c>
      <c r="AA79" s="18" t="n">
        <v>-10.25</v>
      </c>
      <c r="AB79" s="19" t="n">
        <v>92.31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-717.84</v>
      </c>
      <c r="F80" s="9" t="n"/>
      <c r="G80" s="18" t="n">
        <v>1158.55</v>
      </c>
      <c r="H80" s="18" t="n">
        <v>2214.34</v>
      </c>
      <c r="I80" s="18" t="n">
        <v>243.79</v>
      </c>
      <c r="J80" s="18" t="n">
        <v>-119.73</v>
      </c>
      <c r="K80" s="34" t="n">
        <v>3496.95</v>
      </c>
      <c r="L80" s="18" t="n">
        <v>-3539.52</v>
      </c>
      <c r="M80" s="18" t="n">
        <v>-1739.39</v>
      </c>
      <c r="N80" s="18" t="n">
        <v>-2358.91</v>
      </c>
      <c r="O80" s="18" t="n">
        <v>-488.16</v>
      </c>
      <c r="P80" s="34" t="n">
        <v>-8125.98</v>
      </c>
      <c r="Q80" s="18" t="n">
        <v>278.45</v>
      </c>
      <c r="R80" s="18" t="n">
        <v>465.46</v>
      </c>
      <c r="S80" s="18" t="n">
        <v>-3349.36</v>
      </c>
      <c r="T80" s="18" t="n">
        <v>7803.17</v>
      </c>
      <c r="U80" s="34" t="n">
        <v>5197.72</v>
      </c>
      <c r="V80" s="18" t="n">
        <v>525.03</v>
      </c>
      <c r="W80" s="18" t="n">
        <v>-4125.64</v>
      </c>
      <c r="X80" s="18" t="n">
        <v>-10623.36</v>
      </c>
      <c r="Y80" s="18" t="n">
        <v>-4445.63</v>
      </c>
      <c r="Z80" s="34" t="n">
        <v>-18669.6</v>
      </c>
      <c r="AA80" s="18" t="n">
        <v>-198.46</v>
      </c>
      <c r="AB80" s="19" t="n">
        <v>-463.92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540.61</v>
      </c>
      <c r="F81" s="9" t="n"/>
      <c r="G81" s="18" t="n">
        <v>373.44</v>
      </c>
      <c r="H81" s="18" t="n">
        <v>300.08</v>
      </c>
      <c r="I81" s="18" t="n">
        <v>1008.02</v>
      </c>
      <c r="J81" s="18" t="n">
        <v>203.22</v>
      </c>
      <c r="K81" s="34" t="n">
        <v>1884.76</v>
      </c>
      <c r="L81" s="18" t="n">
        <v>1038.62</v>
      </c>
      <c r="M81" s="18" t="n">
        <v>1438.49</v>
      </c>
      <c r="N81" s="18" t="n">
        <v>731.39</v>
      </c>
      <c r="O81" s="18" t="n">
        <v>464.6</v>
      </c>
      <c r="P81" s="34" t="n">
        <v>3673.1</v>
      </c>
      <c r="Q81" s="18" t="n">
        <v>298.74</v>
      </c>
      <c r="R81" s="18" t="n">
        <v>133.64</v>
      </c>
      <c r="S81" s="18" t="n">
        <v>83.45999999999999</v>
      </c>
      <c r="T81" s="18" t="n">
        <v>201.66</v>
      </c>
      <c r="U81" s="34" t="n">
        <v>717.5</v>
      </c>
      <c r="V81" s="18" t="n">
        <v>927.16</v>
      </c>
      <c r="W81" s="18" t="n">
        <v>4089.43</v>
      </c>
      <c r="X81" s="18" t="n">
        <v>9317.719999999999</v>
      </c>
      <c r="Y81" s="18" t="n">
        <v>5485.88</v>
      </c>
      <c r="Z81" s="34" t="n">
        <v>19820.19</v>
      </c>
      <c r="AA81" s="18" t="n">
        <v>1069.01</v>
      </c>
      <c r="AB81" s="19" t="n">
        <v>500.68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540.61</v>
      </c>
      <c r="F82" s="9" t="n"/>
      <c r="G82" s="18" t="n">
        <v>373.44</v>
      </c>
      <c r="H82" s="18" t="n">
        <v>329.28</v>
      </c>
      <c r="I82" s="18" t="n">
        <v>1008.02</v>
      </c>
      <c r="J82" s="18" t="n">
        <v>203.22</v>
      </c>
      <c r="K82" s="34" t="n">
        <v>1913.96</v>
      </c>
      <c r="L82" s="18" t="n">
        <v>1038.62</v>
      </c>
      <c r="M82" s="18" t="n">
        <v>1438.49</v>
      </c>
      <c r="N82" s="18" t="n">
        <v>731.39</v>
      </c>
      <c r="O82" s="18" t="n">
        <v>464.6</v>
      </c>
      <c r="P82" s="34" t="n">
        <v>3673.1</v>
      </c>
      <c r="Q82" s="18" t="n">
        <v>298.74</v>
      </c>
      <c r="R82" s="18" t="n">
        <v>133.64</v>
      </c>
      <c r="S82" s="18" t="n">
        <v>83.45999999999999</v>
      </c>
      <c r="T82" s="18" t="n">
        <v>201.66</v>
      </c>
      <c r="U82" s="34" t="n">
        <v>717.5</v>
      </c>
      <c r="V82" s="18" t="n">
        <v>927.16</v>
      </c>
      <c r="W82" s="18" t="n">
        <v>4089.43</v>
      </c>
      <c r="X82" s="18" t="n">
        <v>9317.719999999999</v>
      </c>
      <c r="Y82" s="18" t="n">
        <v>5485.88</v>
      </c>
      <c r="Z82" s="34" t="n">
        <v>19820.19</v>
      </c>
      <c r="AA82" s="18" t="n">
        <v>1120.35</v>
      </c>
      <c r="AB82" s="19" t="n">
        <v>501.81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-516.09</v>
      </c>
      <c r="F83" s="9" t="n"/>
      <c r="G83" s="18" t="n">
        <v>-387.74</v>
      </c>
      <c r="H83" s="18" t="n">
        <v>-758.35</v>
      </c>
      <c r="I83" s="18" t="n">
        <v>-723.85</v>
      </c>
      <c r="J83" s="18" t="n">
        <v>-1513.76</v>
      </c>
      <c r="K83" s="34" t="n">
        <v>-3383.7</v>
      </c>
      <c r="L83" s="18" t="n">
        <v>1279.51</v>
      </c>
      <c r="M83" s="18" t="n">
        <v>1153.31</v>
      </c>
      <c r="N83" s="18" t="n">
        <v>2894.21</v>
      </c>
      <c r="O83" s="18" t="n">
        <v>-238.85</v>
      </c>
      <c r="P83" s="34" t="n">
        <v>5088.18</v>
      </c>
      <c r="Q83" s="18" t="n">
        <v>190.35</v>
      </c>
      <c r="R83" s="18" t="n">
        <v>-1750.97</v>
      </c>
      <c r="S83" s="18" t="n">
        <v>1355.98</v>
      </c>
      <c r="T83" s="18" t="n">
        <v>-351.54</v>
      </c>
      <c r="U83" s="34" t="n">
        <v>-556.1799999999999</v>
      </c>
      <c r="V83" s="18" t="n">
        <v>-247.34</v>
      </c>
      <c r="W83" s="18" t="n">
        <v>115.84</v>
      </c>
      <c r="X83" s="18" t="n">
        <v>10644.52</v>
      </c>
      <c r="Y83" s="18" t="n">
        <v>1505.63</v>
      </c>
      <c r="Z83" s="34" t="n">
        <v>12018.65</v>
      </c>
      <c r="AA83" s="18" t="n">
        <v>543.22</v>
      </c>
      <c r="AB83" s="19" t="n">
        <v>7614.73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80.90000000000001</v>
      </c>
      <c r="F84" s="9" t="n"/>
      <c r="I84" s="18" t="n">
        <v>602.88</v>
      </c>
      <c r="J84" s="18" t="n">
        <v>37.89</v>
      </c>
      <c r="K84" s="9" t="n"/>
      <c r="N84" s="18" t="n">
        <v>-0.4</v>
      </c>
      <c r="O84" s="18" t="n">
        <v>36.73</v>
      </c>
      <c r="P84" s="9" t="n"/>
      <c r="Q84" s="18" t="n">
        <v>498.31</v>
      </c>
      <c r="R84" s="18" t="n">
        <v>827.47</v>
      </c>
      <c r="S84" s="18" t="n">
        <v>5.97</v>
      </c>
      <c r="T84" s="18" t="n">
        <v>106.17</v>
      </c>
      <c r="U84" s="34" t="n">
        <v>1437.92</v>
      </c>
      <c r="X84" s="18" t="n">
        <v>-0.22</v>
      </c>
      <c r="Y84" s="18" t="n">
        <v>0.46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388.88</v>
      </c>
      <c r="F85" s="9" t="n"/>
      <c r="G85" s="18" t="n">
        <v>388.88</v>
      </c>
      <c r="H85" s="18" t="n">
        <v>388.88</v>
      </c>
      <c r="I85" s="18" t="n">
        <v>65</v>
      </c>
      <c r="J85" s="18" t="n">
        <v>65</v>
      </c>
      <c r="K85" s="34" t="n">
        <v>907.76</v>
      </c>
      <c r="L85" s="18" t="n">
        <v>65</v>
      </c>
      <c r="M85" s="18" t="n">
        <v>65</v>
      </c>
      <c r="N85" s="18" t="n">
        <v>65</v>
      </c>
      <c r="O85" s="18" t="n">
        <v>65</v>
      </c>
      <c r="P85" s="34" t="n">
        <v>260</v>
      </c>
      <c r="Q85" s="18" t="n">
        <v>65</v>
      </c>
      <c r="R85" s="18" t="n">
        <v>65</v>
      </c>
      <c r="S85" s="18" t="n">
        <v>65</v>
      </c>
      <c r="T85" s="18" t="n">
        <v>190</v>
      </c>
      <c r="U85" s="34" t="n">
        <v>385</v>
      </c>
      <c r="V85" s="18" t="n">
        <v>190</v>
      </c>
      <c r="W85" s="18" t="n">
        <v>190</v>
      </c>
      <c r="X85" s="18" t="n">
        <v>125</v>
      </c>
      <c r="Y85" s="18" t="n">
        <v>125</v>
      </c>
      <c r="Z85" s="34" t="n">
        <v>630</v>
      </c>
      <c r="AA85" s="18" t="n">
        <v>125</v>
      </c>
      <c r="AB85" s="19" t="n">
        <v>210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57.07</v>
      </c>
      <c r="F86" s="9" t="n"/>
      <c r="I86" s="18" t="n">
        <v>60.72</v>
      </c>
      <c r="J86" s="18" t="n">
        <v>47.87</v>
      </c>
      <c r="K86" s="9" t="n"/>
      <c r="L86" s="18" t="n">
        <v>55.49</v>
      </c>
      <c r="M86" s="18" t="n">
        <v>44.33</v>
      </c>
      <c r="N86" s="18" t="n">
        <v>41.19</v>
      </c>
      <c r="O86" s="18" t="n">
        <v>137.13</v>
      </c>
      <c r="P86" s="34" t="n">
        <v>278.14</v>
      </c>
      <c r="S86" s="18" t="n">
        <v>72.11</v>
      </c>
      <c r="T86" s="18" t="n">
        <v>56.31</v>
      </c>
      <c r="U86" s="9" t="n"/>
      <c r="V86" s="18" t="n">
        <v>57.34</v>
      </c>
      <c r="W86" s="18" t="n">
        <v>54.84</v>
      </c>
      <c r="X86" s="18" t="n">
        <v>73.90000000000001</v>
      </c>
      <c r="Y86" s="18" t="n">
        <v>125.71</v>
      </c>
      <c r="Z86" s="34" t="n">
        <v>311.79</v>
      </c>
      <c r="AA86" s="18" t="n">
        <v>131.78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-423.4</v>
      </c>
      <c r="F87" s="9" t="n"/>
      <c r="G87" s="18" t="n">
        <v>3925.63</v>
      </c>
      <c r="H87" s="18" t="n">
        <v>-2975.44</v>
      </c>
      <c r="I87" s="18" t="n">
        <v>3213.36</v>
      </c>
      <c r="J87" s="18" t="n">
        <v>1839.54</v>
      </c>
      <c r="K87" s="34" t="n">
        <v>6003.09</v>
      </c>
      <c r="L87" s="18" t="n">
        <v>-5444.91</v>
      </c>
      <c r="M87" s="18" t="n">
        <v>3940.02</v>
      </c>
      <c r="N87" s="18" t="n">
        <v>-4620</v>
      </c>
      <c r="O87" s="18" t="n">
        <v>3304.32</v>
      </c>
      <c r="P87" s="34" t="n">
        <v>-2820.57</v>
      </c>
      <c r="Q87" s="18" t="n">
        <v>-3403.51</v>
      </c>
      <c r="R87" s="18" t="n">
        <v>4142.46</v>
      </c>
      <c r="S87" s="18" t="n">
        <v>-4280.8</v>
      </c>
      <c r="T87" s="18" t="n">
        <v>16293.98</v>
      </c>
      <c r="U87" s="34" t="n">
        <v>12752.13</v>
      </c>
      <c r="V87" s="18" t="n">
        <v>-3222.2</v>
      </c>
      <c r="W87" s="18" t="n">
        <v>-3858.07</v>
      </c>
      <c r="X87" s="18" t="n">
        <v>-2222.02</v>
      </c>
      <c r="Y87" s="18" t="n">
        <v>2785.73</v>
      </c>
      <c r="Z87" s="34" t="n">
        <v>-6516.56</v>
      </c>
      <c r="AA87" s="18" t="n">
        <v>-10020.43</v>
      </c>
      <c r="AB87" s="19" t="n">
        <v>10451.1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-174.43</v>
      </c>
      <c r="F88" s="9" t="n"/>
      <c r="G88" s="18" t="n">
        <v>8362.65</v>
      </c>
      <c r="H88" s="18" t="n">
        <v>-2711.42</v>
      </c>
      <c r="I88" s="18" t="n">
        <v>2529.47</v>
      </c>
      <c r="J88" s="18" t="n">
        <v>3026.85</v>
      </c>
      <c r="K88" s="34" t="n">
        <v>11207.55</v>
      </c>
      <c r="L88" s="18" t="n">
        <v>6479.86</v>
      </c>
      <c r="M88" s="18" t="n">
        <v>2626.32</v>
      </c>
      <c r="N88" s="18" t="n">
        <v>-4538.87</v>
      </c>
      <c r="O88" s="18" t="n">
        <v>3554.07</v>
      </c>
      <c r="P88" s="34" t="n">
        <v>8121.38</v>
      </c>
      <c r="Q88" s="18" t="n">
        <v>6239.84</v>
      </c>
      <c r="R88" s="18" t="n">
        <v>3840.55</v>
      </c>
      <c r="S88" s="18" t="n">
        <v>-4811.08</v>
      </c>
      <c r="T88" s="18" t="n">
        <v>15489.1</v>
      </c>
      <c r="U88" s="34" t="n">
        <v>20758.41</v>
      </c>
      <c r="V88" s="18" t="n">
        <v>17012.76</v>
      </c>
      <c r="W88" s="18" t="n">
        <v>-2636.76</v>
      </c>
      <c r="X88" s="18" t="n">
        <v>-1720.13</v>
      </c>
      <c r="Y88" s="18" t="n">
        <v>883.3</v>
      </c>
      <c r="Z88" s="34" t="n">
        <v>13539.17</v>
      </c>
      <c r="AA88" s="18" t="n">
        <v>4731.35</v>
      </c>
      <c r="AB88" s="19" t="n">
        <v>9453.34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1.05</v>
      </c>
      <c r="H89" s="18" t="n">
        <v>0</v>
      </c>
      <c r="I89" s="18" t="n">
        <v>0</v>
      </c>
      <c r="J89" s="18" t="n">
        <v>1.69</v>
      </c>
      <c r="K89" s="34" t="n">
        <v>2.74</v>
      </c>
      <c r="P89" s="9" t="n"/>
      <c r="U89" s="9" t="n"/>
      <c r="V89" s="18" t="n">
        <v>1.5</v>
      </c>
      <c r="W89" s="18" t="n">
        <v>0</v>
      </c>
      <c r="X89" s="18" t="n">
        <v>0</v>
      </c>
      <c r="Y89" s="18" t="n">
        <v>0</v>
      </c>
      <c r="Z89" s="34" t="n">
        <v>1.5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I90" s="18" t="n">
        <v>0</v>
      </c>
      <c r="J90" s="18" t="n">
        <v>0</v>
      </c>
      <c r="K90" s="9" t="n"/>
      <c r="P90" s="9" t="n"/>
      <c r="U90" s="9" t="n"/>
      <c r="Z90" s="9" t="n"/>
      <c r="AA90" s="18" t="n">
        <v>51.34</v>
      </c>
      <c r="AB90" s="19" t="n">
        <v>1.13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L91" s="18" t="n">
        <v>500</v>
      </c>
      <c r="M91" s="18" t="n">
        <v>500</v>
      </c>
      <c r="N91" s="18" t="n">
        <v>3000</v>
      </c>
      <c r="O91" s="18" t="n">
        <v>0</v>
      </c>
      <c r="P91" s="34" t="n">
        <v>4000</v>
      </c>
      <c r="Q91" s="18" t="n">
        <v>753.66</v>
      </c>
      <c r="U91" s="9" t="n"/>
      <c r="X91" s="18" t="n">
        <v>600</v>
      </c>
      <c r="Y91" s="18" t="n">
        <v>0</v>
      </c>
      <c r="Z91" s="9" t="n"/>
      <c r="AA91" s="18" t="n">
        <v>800</v>
      </c>
      <c r="AB91" s="19" t="n">
        <v>7800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L92" s="18" t="n">
        <v>900</v>
      </c>
      <c r="M92" s="18" t="n">
        <v>800</v>
      </c>
      <c r="N92" s="18" t="n">
        <v>0</v>
      </c>
      <c r="O92" s="18" t="n">
        <v>0</v>
      </c>
      <c r="P92" s="34" t="n">
        <v>1700</v>
      </c>
      <c r="T92" s="18" t="n">
        <v>0</v>
      </c>
      <c r="U92" s="9" t="n"/>
      <c r="Y92" s="18" t="n">
        <v>3040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208.36</v>
      </c>
      <c r="P93" s="9" t="n"/>
      <c r="Q93" s="18" t="n">
        <v>293.83</v>
      </c>
      <c r="R93" s="18" t="n">
        <v>139.92</v>
      </c>
      <c r="S93" s="18" t="n">
        <v>73.44</v>
      </c>
      <c r="T93" s="18" t="n">
        <v>203.18</v>
      </c>
      <c r="U93" s="34" t="n">
        <v>710.37</v>
      </c>
      <c r="V93" s="18" t="n">
        <v>297.65</v>
      </c>
      <c r="W93" s="18" t="n">
        <v>68.69</v>
      </c>
      <c r="X93" s="18" t="n">
        <v>97.98</v>
      </c>
      <c r="Y93" s="18" t="n">
        <v>69.48</v>
      </c>
      <c r="Z93" s="34" t="n">
        <v>533.8</v>
      </c>
      <c r="AA93" s="18" t="n">
        <v>66.56999999999999</v>
      </c>
      <c r="AB93" s="19" t="n">
        <v>23.09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K94" s="9" t="n"/>
      <c r="P94" s="9" t="n"/>
      <c r="U94" s="9" t="n"/>
      <c r="V94" s="18" t="n">
        <v>-263.65</v>
      </c>
      <c r="W94" s="18" t="n">
        <v>-270.96</v>
      </c>
      <c r="X94" s="18" t="n">
        <v>-268.23</v>
      </c>
      <c r="Y94" s="18" t="n">
        <v>-369.71</v>
      </c>
      <c r="Z94" s="34" t="n">
        <v>-1172.55</v>
      </c>
      <c r="AA94" s="18" t="n">
        <v>-577.8</v>
      </c>
      <c r="AB94" s="19" t="n">
        <v>-145.18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4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4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4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4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4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4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4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4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4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4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4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4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4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4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4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4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4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4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4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4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4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4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4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4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4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4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4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4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4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4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4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4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4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4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4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4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4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4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4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4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4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4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4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4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4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4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4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4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4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4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4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4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4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4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4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4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4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4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4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4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4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4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4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4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4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4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4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4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4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4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4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4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4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4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4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4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4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4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4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4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4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4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4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4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4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4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4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4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4" t="n">
        <v>15593.14</v>
      </c>
      <c r="L26" s="18" t="n">
        <v>749.21</v>
      </c>
      <c r="M26" s="18" t="n">
        <v>177.05</v>
      </c>
      <c r="O26" s="18" t="n">
        <v>15027.28</v>
      </c>
      <c r="P26" s="34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4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4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4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4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4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4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4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4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4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4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4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4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4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4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4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4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4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4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4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4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4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4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4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4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4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4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4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4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4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4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4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4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4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4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4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4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4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4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4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4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4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4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4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4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4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4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4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4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4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4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4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4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4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4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4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4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4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4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4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4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4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4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4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4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4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4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4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4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4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4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4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4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4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4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4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4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4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4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4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4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4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4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4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4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4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4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4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4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4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4" t="n">
        <v>9989</v>
      </c>
      <c r="N51" s="18" t="n">
        <v>13989</v>
      </c>
      <c r="O51" s="18" t="n">
        <v>13989</v>
      </c>
      <c r="P51" s="34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4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4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4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4" t="n">
        <v>370.84</v>
      </c>
      <c r="N53" s="18" t="n">
        <v>370.84</v>
      </c>
      <c r="O53" s="18" t="n">
        <v>370.84</v>
      </c>
      <c r="P53" s="34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4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4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4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4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4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4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4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4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4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4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4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4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4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4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4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4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4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4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4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4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4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4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4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4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4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4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4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4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4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4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4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4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4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4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4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4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4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4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4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4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4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4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4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4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4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4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4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4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4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4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4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4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4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4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4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4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4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4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4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4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4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4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4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4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4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4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4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4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4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4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4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4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4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4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4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4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4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4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4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4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4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4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4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4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4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4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4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4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4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4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4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4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4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4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4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4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4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4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4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4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4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4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4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4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4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4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4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4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4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4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4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4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4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4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4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4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0.0223</v>
      </c>
      <c r="F10" s="34" t="n"/>
      <c r="G10" s="18" t="n">
        <v>0.0353</v>
      </c>
      <c r="H10" s="18" t="n">
        <v>-0.0359</v>
      </c>
      <c r="I10" s="18" t="n">
        <v>-0.0477</v>
      </c>
      <c r="J10" s="18" t="n">
        <v>-0.164</v>
      </c>
      <c r="K10" s="34">
        <f>SUM(G10:J10)</f>
        <v/>
      </c>
      <c r="L10" s="18" t="n">
        <v>-0.1148</v>
      </c>
      <c r="M10" s="18" t="n">
        <v>0.0732</v>
      </c>
      <c r="N10" s="18" t="n">
        <v>0.0248</v>
      </c>
      <c r="O10" s="18" t="n">
        <v>0.0547</v>
      </c>
      <c r="P10" s="34">
        <f>SUM(L10:O10)</f>
        <v/>
      </c>
      <c r="Q10" s="18" t="n">
        <v>0.0461</v>
      </c>
      <c r="R10" s="18" t="n">
        <v>0.1031</v>
      </c>
      <c r="S10" s="18" t="n">
        <v>0.0201</v>
      </c>
      <c r="T10" s="18" t="n">
        <v>-0.09950000000000001</v>
      </c>
      <c r="U10" s="34">
        <f>SUM(Q10:T10)</f>
        <v/>
      </c>
      <c r="V10" s="18" t="n">
        <v>-0.0193</v>
      </c>
      <c r="W10" s="18" t="n">
        <v>0.0009</v>
      </c>
      <c r="X10" s="18" t="n">
        <v>0.1601</v>
      </c>
      <c r="Y10" s="18" t="n">
        <v>0.0118</v>
      </c>
      <c r="Z10" s="34">
        <f>SUM(V10:Y10)</f>
        <v/>
      </c>
      <c r="AA10" s="18" t="n">
        <v>-0.0806</v>
      </c>
      <c r="AB10" s="19" t="n">
        <v>0.0224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>
        <f>IFERROR(VLOOKUP($D15,BS연결,MATCH(R$1,BS연결H,0),0)/100,"")</f>
        <v/>
      </c>
      <c r="S15" s="18" t="n"/>
      <c r="T15" s="18">
        <f>IFERROR(VLOOKUP($D15,BS연결,MATCH(T$1,BS연결H,0),0)/100,"")</f>
        <v/>
      </c>
      <c r="U15" s="34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8.109999999999999</v>
      </c>
      <c r="F27" s="34" t="n"/>
      <c r="G27" s="18" t="n">
        <v>31.55</v>
      </c>
      <c r="H27" s="18" t="n">
        <v>-44.31</v>
      </c>
      <c r="I27" s="18" t="n">
        <v>36.93</v>
      </c>
      <c r="J27" s="18" t="n">
        <v>34.73</v>
      </c>
      <c r="K27" s="34">
        <f>SUM(G27:J27)</f>
        <v/>
      </c>
      <c r="L27" s="18" t="n">
        <v>-31.85</v>
      </c>
      <c r="M27" s="18" t="n">
        <v>45.26</v>
      </c>
      <c r="N27" s="18" t="n">
        <v>-51.55</v>
      </c>
      <c r="O27" s="18" t="n">
        <v>40.31</v>
      </c>
      <c r="P27" s="34">
        <f>SUM(L27:O27)</f>
        <v/>
      </c>
      <c r="Q27" s="18" t="n">
        <v>-38.72</v>
      </c>
      <c r="R27" s="18" t="n">
        <v>54.28</v>
      </c>
      <c r="S27" s="18" t="n">
        <v>-22.87</v>
      </c>
      <c r="T27" s="18" t="n">
        <v>88.42</v>
      </c>
      <c r="U27" s="34">
        <f>SUM(Q27:T27)</f>
        <v/>
      </c>
      <c r="V27" s="18" t="n">
        <v>-35</v>
      </c>
      <c r="W27" s="18" t="n">
        <v>1.52</v>
      </c>
      <c r="X27" s="18" t="n">
        <v>-22.43</v>
      </c>
      <c r="Y27" s="18" t="n">
        <v>57.26</v>
      </c>
      <c r="Z27" s="34">
        <f>SUM(V27:Y27)</f>
        <v/>
      </c>
      <c r="AA27" s="18" t="n">
        <v>-103.65</v>
      </c>
      <c r="AB27" s="19" t="n">
        <v>33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26.895</v>
      </c>
      <c r="F28" s="27">
        <f>E28</f>
        <v/>
      </c>
      <c r="G28" s="26" t="n">
        <v>26.895</v>
      </c>
      <c r="H28" s="26" t="n">
        <v>26.895</v>
      </c>
      <c r="I28" s="26" t="n">
        <v>27.246</v>
      </c>
      <c r="J28" s="26" t="n">
        <v>27.246</v>
      </c>
      <c r="K28" s="27">
        <f>J28</f>
        <v/>
      </c>
      <c r="L28" s="26" t="n">
        <v>28.93</v>
      </c>
      <c r="M28" s="26" t="n">
        <v>30.346</v>
      </c>
      <c r="N28" s="26" t="n">
        <v>30.668</v>
      </c>
      <c r="O28" s="26" t="n">
        <v>30.668</v>
      </c>
      <c r="P28" s="27">
        <f>O28</f>
        <v/>
      </c>
      <c r="Q28" s="26" t="n">
        <v>30.668</v>
      </c>
      <c r="R28" s="26" t="n">
        <v>30.668</v>
      </c>
      <c r="S28" s="26" t="n">
        <v>30.668</v>
      </c>
      <c r="T28" s="26" t="n">
        <v>30.668</v>
      </c>
      <c r="U28" s="27">
        <f>T28</f>
        <v/>
      </c>
      <c r="V28" s="26" t="n">
        <v>30.668</v>
      </c>
      <c r="W28" s="26" t="n">
        <v>30.668</v>
      </c>
      <c r="X28" s="26" t="n">
        <v>30.668</v>
      </c>
      <c r="Y28" s="26" t="n">
        <v>30.668</v>
      </c>
      <c r="Z28" s="27">
        <f>Y28</f>
        <v/>
      </c>
      <c r="AA28" s="26" t="n">
        <v>30.668</v>
      </c>
      <c r="AB28" s="28" t="n">
        <v>30.668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>
        <v>21.35</v>
      </c>
      <c r="S32" s="18" t="n">
        <v>6.14</v>
      </c>
      <c r="T32" s="18" t="n">
        <v>1.16</v>
      </c>
      <c r="U32" s="34">
        <f>SUM(Q32:T32)</f>
        <v/>
      </c>
      <c r="V32" s="18" t="n">
        <v>1.07</v>
      </c>
      <c r="W32" s="18" t="n">
        <v>1.24</v>
      </c>
      <c r="X32" s="18" t="n">
        <v>1.92</v>
      </c>
      <c r="Y32" s="18" t="n">
        <v>17.85</v>
      </c>
      <c r="Z32" s="34">
        <f>SUM(V32:Y32)</f>
        <v/>
      </c>
      <c r="AA32" s="18" t="n">
        <v>331.58</v>
      </c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1.79</v>
      </c>
      <c r="F33" s="34" t="n">
        <v>1.59</v>
      </c>
      <c r="G33" s="18" t="n">
        <v>1.55</v>
      </c>
      <c r="H33" s="18" t="n">
        <v>1.27</v>
      </c>
      <c r="I33" s="18" t="n">
        <v>1.09</v>
      </c>
      <c r="J33" s="18" t="n">
        <v>53.96</v>
      </c>
      <c r="K33" s="34">
        <f>SUM(G33:J33)</f>
        <v/>
      </c>
      <c r="L33" s="18" t="n">
        <v>1.63</v>
      </c>
      <c r="M33" s="18" t="n">
        <v>1.53</v>
      </c>
      <c r="N33" s="18" t="n">
        <v>1.6</v>
      </c>
      <c r="O33" s="18" t="n">
        <v>82.89</v>
      </c>
      <c r="P33" s="34">
        <f>SUM(L33:O33)</f>
        <v/>
      </c>
      <c r="Q33" s="18" t="n">
        <v>4.77</v>
      </c>
      <c r="R33" s="18" t="n">
        <v>2.25</v>
      </c>
      <c r="S33" s="18" t="n">
        <v>1.73</v>
      </c>
      <c r="T33" s="18" t="n">
        <v>1.1</v>
      </c>
      <c r="U33" s="34">
        <f>SUM(Q33:T33)</f>
        <v/>
      </c>
      <c r="V33" s="18" t="n">
        <v>0.9399999999999999</v>
      </c>
      <c r="W33" s="18" t="n">
        <v>0.86</v>
      </c>
      <c r="X33" s="18" t="n">
        <v>1.21</v>
      </c>
      <c r="Y33" s="18" t="n">
        <v>2.03</v>
      </c>
      <c r="Z33" s="34">
        <f>SUM(V33:Y33)</f>
        <v/>
      </c>
      <c r="AA33" s="18" t="n">
        <v>2.92</v>
      </c>
      <c r="AB33" s="19" t="n">
        <v>3.76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180.06</v>
      </c>
      <c r="F34" s="34" t="n"/>
      <c r="G34" s="18" t="n">
        <v>109.98</v>
      </c>
      <c r="H34" s="18" t="n">
        <v>205.03</v>
      </c>
      <c r="I34" s="18" t="n">
        <v>222.93</v>
      </c>
      <c r="J34" s="18" t="n">
        <v>128.85</v>
      </c>
      <c r="K34" s="34">
        <f>SUM(G34:J34)</f>
        <v/>
      </c>
      <c r="L34" s="18" t="n">
        <v>176.42</v>
      </c>
      <c r="M34" s="18" t="n">
        <v>264.81</v>
      </c>
      <c r="N34" s="18" t="n">
        <v>232.63</v>
      </c>
      <c r="O34" s="18" t="n">
        <v>206.9</v>
      </c>
      <c r="P34" s="34">
        <f>SUM(L34:O34)</f>
        <v/>
      </c>
      <c r="Q34" s="18" t="n">
        <v>187.57</v>
      </c>
      <c r="R34" s="18" t="n">
        <v>229.49</v>
      </c>
      <c r="S34" s="18" t="n">
        <v>258.44</v>
      </c>
      <c r="T34" s="18" t="n">
        <v>210.51</v>
      </c>
      <c r="U34" s="34">
        <f>SUM(Q34:T34)</f>
        <v/>
      </c>
      <c r="V34" s="18" t="n">
        <v>136.62</v>
      </c>
      <c r="W34" s="18" t="n">
        <v>157.66</v>
      </c>
      <c r="X34" s="18" t="n">
        <v>344.65</v>
      </c>
      <c r="Y34" s="18" t="n">
        <v>217.83</v>
      </c>
      <c r="Z34" s="34">
        <f>SUM(V34:Y34)</f>
        <v/>
      </c>
      <c r="AA34" s="18" t="n">
        <v>110.35</v>
      </c>
      <c r="AB34" s="19" t="n">
        <v>259.5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4.02</v>
      </c>
      <c r="F35" s="34" t="n"/>
      <c r="G35" s="18" t="n">
        <v>3.88</v>
      </c>
      <c r="H35" s="18" t="n">
        <v>-7.36</v>
      </c>
      <c r="I35" s="18" t="n">
        <v>-10.63</v>
      </c>
      <c r="J35" s="18" t="n">
        <v>-21.14</v>
      </c>
      <c r="K35" s="34">
        <f>SUM(G35:J35)</f>
        <v/>
      </c>
      <c r="L35" s="18" t="n">
        <v>-20.25</v>
      </c>
      <c r="M35" s="18" t="n">
        <v>19.39</v>
      </c>
      <c r="N35" s="18" t="n">
        <v>5.77</v>
      </c>
      <c r="O35" s="18" t="n">
        <v>11.32</v>
      </c>
      <c r="P35" s="34">
        <f>SUM(L35:O35)</f>
        <v/>
      </c>
      <c r="Q35" s="18" t="n">
        <v>8.66</v>
      </c>
      <c r="R35" s="18" t="n">
        <v>23.66</v>
      </c>
      <c r="S35" s="18" t="n">
        <v>5.2</v>
      </c>
      <c r="T35" s="18" t="n">
        <v>-20.94</v>
      </c>
      <c r="U35" s="34">
        <f>SUM(Q35:T35)</f>
        <v/>
      </c>
      <c r="V35" s="18" t="n">
        <v>-2.64</v>
      </c>
      <c r="W35" s="18" t="n">
        <v>0.15</v>
      </c>
      <c r="X35" s="18" t="n">
        <v>55.18</v>
      </c>
      <c r="Y35" s="18" t="n">
        <v>2.58</v>
      </c>
      <c r="Z35" s="34">
        <f>SUM(V35:Y35)</f>
        <v/>
      </c>
      <c r="AA35" s="18" t="n">
        <v>-8.890000000000001</v>
      </c>
      <c r="AB35" s="19" t="n">
        <v>5.83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-72.2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2.21</v>
      </c>
    </row>
    <row r="33">
      <c r="C33" s="2" t="inlineStr">
        <is>
          <t>roe_fwd</t>
        </is>
      </c>
      <c r="D33" t="n">
        <v>-0.0538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