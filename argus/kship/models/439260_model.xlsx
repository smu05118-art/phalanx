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SLS" sheetId="6" state="visible" r:id="rId6"/>
    <sheet name="시나리오" sheetId="7" state="visible" r:id="rId7"/>
    <sheet name="분기" sheetId="8" state="visible" r:id="rId8"/>
    <sheet name="연간예상" sheetId="9" state="visible" r:id="rId9"/>
    <sheet name="TP" sheetId="10" state="visible" r:id="rId10"/>
    <sheet name="외화" sheetId="11" state="visible" r:id="rId11"/>
  </sheets>
  <definedNames>
    <definedName name="변수H">변수!$C$1:$W$1</definedName>
    <definedName name="환율">변수!$C$6:$W$13</definedName>
    <definedName name="BS연결H">BS연결!$C$1:$W$1</definedName>
    <definedName name="BS연결">BS연결!$C$5:$W$96</definedName>
    <definedName name="BS별도H">BS별도!$C$1:$W$1</definedName>
    <definedName name="BS별도">BS별도!$C$5:$W$84</definedName>
    <definedName name="SUBQH">subQ!$A$1:$W$1</definedName>
    <definedName name="subQ">subQ!$A$5:$W$47</definedName>
    <definedName name="SLS_H">SLS!$A$1:$AA$1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0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6" borderId="0" pivotButton="0" quotePrefix="0" xfId="0"/>
    <xf numFmtId="164" fontId="1" fillId="5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4" fontId="0" fillId="3" borderId="0" pivotButton="0" quotePrefix="0" xfId="0"/>
    <xf numFmtId="164" fontId="0" fillId="5" borderId="0" pivotButton="0" quotePrefix="0" xfId="0"/>
    <xf numFmtId="165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3" fontId="0" fillId="5" borderId="1" pivotButton="0" quotePrefix="0" xfId="0"/>
    <xf numFmtId="166" fontId="0" fillId="0" borderId="0" pivotButton="0" quotePrefix="0" xfId="0"/>
    <xf numFmtId="3" fontId="0" fillId="6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kship</author>
  </authors>
  <commentList>
    <comment ref="K6" authorId="0" shapeId="0">
      <text>
        <t>모델 assumptions.fx — 가정 — 마지막 ECB 관측치를 2028Q4 까지 평평하게 둔다. 선도환율·컨센서스 아님.</t>
      </text>
    </comment>
    <comment ref="L6" authorId="0" shapeId="0">
      <text>
        <t>모델 assumptions.fx — 가정 — 마지막 ECB 관측치를 2028Q4 까지 평평하게 둔다. 선도환율·컨센서스 아님.</t>
      </text>
    </comment>
    <comment ref="N6" authorId="0" shapeId="0">
      <text>
        <t>모델 assumptions.fx — 가정 — 마지막 ECB 관측치를 2028Q4 까지 평평하게 둔다. 선도환율·컨센서스 아님.</t>
      </text>
    </comment>
    <comment ref="O6" authorId="0" shapeId="0">
      <text>
        <t>모델 assumptions.fx — 가정 — 마지막 ECB 관측치를 2028Q4 까지 평평하게 둔다. 선도환율·컨센서스 아님.</t>
      </text>
    </comment>
    <comment ref="P6" authorId="0" shapeId="0">
      <text>
        <t>모델 assumptions.fx — 가정 — 마지막 ECB 관측치를 2028Q4 까지 평평하게 둔다. 선도환율·컨센서스 아님.</t>
      </text>
    </comment>
    <comment ref="Q6" authorId="0" shapeId="0">
      <text>
        <t>모델 assumptions.fx — 가정 — 마지막 ECB 관측치를 2028Q4 까지 평평하게 둔다. 선도환율·컨센서스 아님.</t>
      </text>
    </comment>
    <comment ref="S6" authorId="0" shapeId="0">
      <text>
        <t>모델 assumptions.fx — 가정 — 마지막 ECB 관측치를 2028Q4 까지 평평하게 둔다. 선도환율·컨센서스 아님.</t>
      </text>
    </comment>
    <comment ref="T6" authorId="0" shapeId="0">
      <text>
        <t>모델 assumptions.fx — 가정 — 마지막 ECB 관측치를 2028Q4 까지 평평하게 둔다. 선도환율·컨센서스 아님.</t>
      </text>
    </comment>
    <comment ref="U6" authorId="0" shapeId="0">
      <text>
        <t>모델 assumptions.fx — 가정 — 마지막 ECB 관측치를 2028Q4 까지 평평하게 둔다. 선도환율·컨센서스 아님.</t>
      </text>
    </comment>
    <comment ref="V6" authorId="0" shapeId="0">
      <text>
        <t>모델 assumptions.fx — 가정 — 마지막 ECB 관측치를 2028Q4 까지 평평하게 둔다. 선도환율·컨센서스 아님.</t>
      </text>
    </comment>
    <comment ref="K7" authorId="0" shapeId="0">
      <text>
        <t>모델 assumptions.fx — 가정 — 마지막 ECB 관측치를 2028Q4 까지 평평하게 둔다. 선도환율·컨센서스 아님.</t>
      </text>
    </comment>
    <comment ref="L7" authorId="0" shapeId="0">
      <text>
        <t>모델 assumptions.fx — 가정 — 마지막 ECB 관측치를 2028Q4 까지 평평하게 둔다. 선도환율·컨센서스 아님.</t>
      </text>
    </comment>
    <comment ref="N7" authorId="0" shapeId="0">
      <text>
        <t>모델 assumptions.fx — 가정 — 마지막 ECB 관측치를 2028Q4 까지 평평하게 둔다. 선도환율·컨센서스 아님.</t>
      </text>
    </comment>
    <comment ref="O7" authorId="0" shapeId="0">
      <text>
        <t>모델 assumptions.fx — 가정 — 마지막 ECB 관측치를 2028Q4 까지 평평하게 둔다. 선도환율·컨센서스 아님.</t>
      </text>
    </comment>
    <comment ref="P7" authorId="0" shapeId="0">
      <text>
        <t>모델 assumptions.fx — 가정 — 마지막 ECB 관측치를 2028Q4 까지 평평하게 둔다. 선도환율·컨센서스 아님.</t>
      </text>
    </comment>
    <comment ref="Q7" authorId="0" shapeId="0">
      <text>
        <t>모델 assumptions.fx — 가정 — 마지막 ECB 관측치를 2028Q4 까지 평평하게 둔다. 선도환율·컨센서스 아님.</t>
      </text>
    </comment>
    <comment ref="S7" authorId="0" shapeId="0">
      <text>
        <t>모델 assumptions.fx — 가정 — 마지막 ECB 관측치를 2028Q4 까지 평평하게 둔다. 선도환율·컨센서스 아님.</t>
      </text>
    </comment>
    <comment ref="T7" authorId="0" shapeId="0">
      <text>
        <t>모델 assumptions.fx — 가정 — 마지막 ECB 관측치를 2028Q4 까지 평평하게 둔다. 선도환율·컨센서스 아님.</t>
      </text>
    </comment>
    <comment ref="U7" authorId="0" shapeId="0">
      <text>
        <t>모델 assumptions.fx — 가정 — 마지막 ECB 관측치를 2028Q4 까지 평평하게 둔다. 선도환율·컨센서스 아님.</t>
      </text>
    </comment>
    <comment ref="V7" authorId="0" shapeId="0">
      <text>
        <t>모델 assumptions.fx — 가정 — 마지막 ECB 관측치를 2028Q4 까지 평평하게 둔다. 선도환율·컨센서스 아님.</t>
      </text>
    </comment>
    <comment ref="L8" authorId="0" shapeId="0">
      <text>
        <t>fx.json quarters(partial — 분기 진행 중 실측 평균)</t>
      </text>
    </comment>
    <comment ref="N8" authorId="0" shapeId="0">
      <text>
        <t>fx.json forward(flat_last_end) — 가정</t>
      </text>
    </comment>
    <comment ref="O8" authorId="0" shapeId="0">
      <text>
        <t>fx.json forward(flat_last_end) — 가정</t>
      </text>
    </comment>
    <comment ref="P8" authorId="0" shapeId="0">
      <text>
        <t>fx.json forward(flat_last_end) — 가정</t>
      </text>
    </comment>
    <comment ref="Q8" authorId="0" shapeId="0">
      <text>
        <t>fx.json forward(flat_last_end) — 가정</t>
      </text>
    </comment>
    <comment ref="S8" authorId="0" shapeId="0">
      <text>
        <t>fx.json forward(flat_last_end) — 가정</t>
      </text>
    </comment>
    <comment ref="T8" authorId="0" shapeId="0">
      <text>
        <t>fx.json forward(flat_last_end) — 가정</t>
      </text>
    </comment>
    <comment ref="U8" authorId="0" shapeId="0">
      <text>
        <t>fx.json forward(flat_last_end) — 가정</t>
      </text>
    </comment>
    <comment ref="V8" authorId="0" shapeId="0">
      <text>
        <t>fx.json forward(flat_last_end) — 가정</t>
      </text>
    </comment>
    <comment ref="L9" authorId="0" shapeId="0">
      <text>
        <t>fx.json quarters(partial — 분기 진행 중 실측 평균)</t>
      </text>
    </comment>
    <comment ref="N9" authorId="0" shapeId="0">
      <text>
        <t>fx.json forward(flat_last_end) — 가정</t>
      </text>
    </comment>
    <comment ref="O9" authorId="0" shapeId="0">
      <text>
        <t>fx.json forward(flat_last_end) — 가정</t>
      </text>
    </comment>
    <comment ref="P9" authorId="0" shapeId="0">
      <text>
        <t>fx.json forward(flat_last_end) — 가정</t>
      </text>
    </comment>
    <comment ref="Q9" authorId="0" shapeId="0">
      <text>
        <t>fx.json forward(flat_last_end) — 가정</t>
      </text>
    </comment>
    <comment ref="S9" authorId="0" shapeId="0">
      <text>
        <t>fx.json forward(flat_last_end) — 가정</t>
      </text>
    </comment>
    <comment ref="T9" authorId="0" shapeId="0">
      <text>
        <t>fx.json forward(flat_last_end) — 가정</t>
      </text>
    </comment>
    <comment ref="U9" authorId="0" shapeId="0">
      <text>
        <t>fx.json forward(flat_last_end) — 가정</t>
      </text>
    </comment>
    <comment ref="V9" authorId="0" shapeId="0">
      <text>
        <t>fx.json forward(flat_last_end) — 가정</t>
      </text>
    </comment>
    <comment ref="L10" authorId="0" shapeId="0">
      <text>
        <t>fx.json quarters(partial — 분기 진행 중 실측 평균)</t>
      </text>
    </comment>
    <comment ref="N10" authorId="0" shapeId="0">
      <text>
        <t>fx.json forward(flat_last_end) — 가정</t>
      </text>
    </comment>
    <comment ref="O10" authorId="0" shapeId="0">
      <text>
        <t>fx.json forward(flat_last_end) — 가정</t>
      </text>
    </comment>
    <comment ref="P10" authorId="0" shapeId="0">
      <text>
        <t>fx.json forward(flat_last_end) — 가정</t>
      </text>
    </comment>
    <comment ref="Q10" authorId="0" shapeId="0">
      <text>
        <t>fx.json forward(flat_last_end) — 가정</t>
      </text>
    </comment>
    <comment ref="S10" authorId="0" shapeId="0">
      <text>
        <t>fx.json forward(flat_last_end) — 가정</t>
      </text>
    </comment>
    <comment ref="T10" authorId="0" shapeId="0">
      <text>
        <t>fx.json forward(flat_last_end) — 가정</t>
      </text>
    </comment>
    <comment ref="U10" authorId="0" shapeId="0">
      <text>
        <t>fx.json forward(flat_last_end) — 가정</t>
      </text>
    </comment>
    <comment ref="V10" authorId="0" shapeId="0">
      <text>
        <t>fx.json forward(flat_last_end) — 가정</t>
      </text>
    </comment>
    <comment ref="L11" authorId="0" shapeId="0">
      <text>
        <t>fx.json quarters(partial — 분기 진행 중 실측 평균)</t>
      </text>
    </comment>
    <comment ref="N11" authorId="0" shapeId="0">
      <text>
        <t>fx.json forward(flat_last_end) — 가정</t>
      </text>
    </comment>
    <comment ref="O11" authorId="0" shapeId="0">
      <text>
        <t>fx.json forward(flat_last_end) — 가정</t>
      </text>
    </comment>
    <comment ref="P11" authorId="0" shapeId="0">
      <text>
        <t>fx.json forward(flat_last_end) — 가정</t>
      </text>
    </comment>
    <comment ref="Q11" authorId="0" shapeId="0">
      <text>
        <t>fx.json forward(flat_last_end) — 가정</t>
      </text>
    </comment>
    <comment ref="S11" authorId="0" shapeId="0">
      <text>
        <t>fx.json forward(flat_last_end) — 가정</t>
      </text>
    </comment>
    <comment ref="T11" authorId="0" shapeId="0">
      <text>
        <t>fx.json forward(flat_last_end) — 가정</t>
      </text>
    </comment>
    <comment ref="U11" authorId="0" shapeId="0">
      <text>
        <t>fx.json forward(flat_last_end) — 가정</t>
      </text>
    </comment>
    <comment ref="V11" authorId="0" shapeId="0">
      <text>
        <t>fx.json forward(flat_last_end) — 가정</t>
      </text>
    </comment>
    <comment ref="L12" authorId="0" shapeId="0">
      <text>
        <t>fx.json quarters(partial — 분기 진행 중 실측 평균)</t>
      </text>
    </comment>
    <comment ref="N12" authorId="0" shapeId="0">
      <text>
        <t>fx.json forward(flat_last_end) — 가정</t>
      </text>
    </comment>
    <comment ref="O12" authorId="0" shapeId="0">
      <text>
        <t>fx.json forward(flat_last_end) — 가정</t>
      </text>
    </comment>
    <comment ref="P12" authorId="0" shapeId="0">
      <text>
        <t>fx.json forward(flat_last_end) — 가정</t>
      </text>
    </comment>
    <comment ref="Q12" authorId="0" shapeId="0">
      <text>
        <t>fx.json forward(flat_last_end) — 가정</t>
      </text>
    </comment>
    <comment ref="S12" authorId="0" shapeId="0">
      <text>
        <t>fx.json forward(flat_last_end) — 가정</t>
      </text>
    </comment>
    <comment ref="T12" authorId="0" shapeId="0">
      <text>
        <t>fx.json forward(flat_last_end) — 가정</t>
      </text>
    </comment>
    <comment ref="U12" authorId="0" shapeId="0">
      <text>
        <t>fx.json forward(flat_last_end) — 가정</t>
      </text>
    </comment>
    <comment ref="V12" authorId="0" shapeId="0">
      <text>
        <t>fx.json forward(flat_last_end) — 가정</t>
      </text>
    </comment>
    <comment ref="L13" authorId="0" shapeId="0">
      <text>
        <t>fx.json quarters(partial — 분기 진행 중 실측 평균)</t>
      </text>
    </comment>
    <comment ref="N13" authorId="0" shapeId="0">
      <text>
        <t>fx.json forward(flat_last_end) — 가정</t>
      </text>
    </comment>
    <comment ref="O13" authorId="0" shapeId="0">
      <text>
        <t>fx.json forward(flat_last_end) — 가정</t>
      </text>
    </comment>
    <comment ref="P13" authorId="0" shapeId="0">
      <text>
        <t>fx.json forward(flat_last_end) — 가정</t>
      </text>
    </comment>
    <comment ref="Q13" authorId="0" shapeId="0">
      <text>
        <t>fx.json forward(flat_last_end) — 가정</t>
      </text>
    </comment>
    <comment ref="S13" authorId="0" shapeId="0">
      <text>
        <t>fx.json forward(flat_last_end) — 가정</t>
      </text>
    </comment>
    <comment ref="T13" authorId="0" shapeId="0">
      <text>
        <t>fx.json forward(flat_last_end) — 가정</t>
      </text>
    </comment>
    <comment ref="U13" authorId="0" shapeId="0">
      <text>
        <t>fx.json forward(flat_last_end) — 가정</t>
      </text>
    </comment>
    <comment ref="V13" authorId="0" shapeId="0">
      <text>
        <t>fx.json forward(flat_last_end) — 가정</t>
      </text>
    </comment>
    <comment ref="L15" authorId="0" shapeId="0">
      <text>
        <t>분기 진행 중(partial) — aikstockdata/토스 일봉</t>
      </text>
    </comment>
    <comment ref="L16" authorId="0" shapeId="0">
      <text>
        <t>분기 진행 중(partial) — aikstockdata/토스 일봉</t>
      </text>
    </comment>
    <comment ref="L17" authorId="0" shapeId="0">
      <text>
        <t>분기 진행 중(partial) — aikstockdata/토스 일봉</t>
      </text>
    </comment>
    <comment ref="L18" authorId="0" shapeId="0">
      <text>
        <t>분기 진행 중(partial) — aikstockdata/토스 일봉</t>
      </text>
    </comment>
    <comment ref="K21" authorId="0" shapeId="0">
      <text>
        <t>3절 스칼라 '판관비율' 참조 — 숫자로 덮어쓰면 이 분기만 바뀐다
매출액 × 판관비율 2.44%(최근 4분기 중위)</t>
      </text>
    </comment>
    <comment ref="L21" authorId="0" shapeId="0">
      <text>
        <t>3절 스칼라 '판관비율' 참조 — 숫자로 덮어쓰면 이 분기만 바뀐다
매출액 × 판관비율 2.44%(최근 4분기 중위)</t>
      </text>
    </comment>
    <comment ref="N21" authorId="0" shapeId="0">
      <text>
        <t>3절 스칼라 '판관비율' 참조 — 숫자로 덮어쓰면 이 분기만 바뀐다
매출액 × 판관비율 2.44%(최근 4분기 중위)</t>
      </text>
    </comment>
    <comment ref="O21" authorId="0" shapeId="0">
      <text>
        <t>3절 스칼라 '판관비율' 참조 — 숫자로 덮어쓰면 이 분기만 바뀐다
매출액 × 판관비율 2.44%(최근 4분기 중위)</t>
      </text>
    </comment>
    <comment ref="P21" authorId="0" shapeId="0">
      <text>
        <t>3절 스칼라 '판관비율' 참조 — 숫자로 덮어쓰면 이 분기만 바뀐다
매출액 × 판관비율 2.44%(최근 4분기 중위)</t>
      </text>
    </comment>
    <comment ref="Q21" authorId="0" shapeId="0">
      <text>
        <t>3절 스칼라 '판관비율' 참조 — 숫자로 덮어쓰면 이 분기만 바뀐다
매출액 × 판관비율 2.44%(최근 4분기 중위)</t>
      </text>
    </comment>
    <comment ref="S21" authorId="0" shapeId="0">
      <text>
        <t>3절 스칼라 '판관비율' 참조 — 숫자로 덮어쓰면 이 분기만 바뀐다
매출액 × 판관비율 2.44%(최근 4분기 중위)</t>
      </text>
    </comment>
    <comment ref="T21" authorId="0" shapeId="0">
      <text>
        <t>3절 스칼라 '판관비율' 참조 — 숫자로 덮어쓰면 이 분기만 바뀐다
매출액 × 판관비율 2.44%(최근 4분기 중위)</t>
      </text>
    </comment>
    <comment ref="U21" authorId="0" shapeId="0">
      <text>
        <t>3절 스칼라 '판관비율' 참조 — 숫자로 덮어쓰면 이 분기만 바뀐다
매출액 × 판관비율 2.44%(최근 4분기 중위)</t>
      </text>
    </comment>
    <comment ref="V21" authorId="0" shapeId="0">
      <text>
        <t>3절 스칼라 '판관비율' 참조 — 숫자로 덮어쓰면 이 분기만 바뀐다
매출액 × 판관비율 2.44%(최근 4분기 중위)</t>
      </text>
    </comment>
    <comment ref="K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L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N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O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P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Q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S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T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U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V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K23" authorId="0" shapeId="0">
      <text>
        <t>모델값 역산(implied): 모델 v 그대로
파생상품 평가·거래손익 0 가정</t>
      </text>
    </comment>
    <comment ref="L23" authorId="0" shapeId="0">
      <text>
        <t>모델값 역산(implied): 모델 v 그대로
파생상품 평가·거래손익 0 가정</t>
      </text>
    </comment>
    <comment ref="N23" authorId="0" shapeId="0">
      <text>
        <t>모델값 역산(implied): 모델 v 그대로
파생상품 평가·거래손익 0 가정</t>
      </text>
    </comment>
    <comment ref="O23" authorId="0" shapeId="0">
      <text>
        <t>모델값 역산(implied): 모델 v 그대로
파생상품 평가·거래손익 0 가정</t>
      </text>
    </comment>
    <comment ref="P23" authorId="0" shapeId="0">
      <text>
        <t>모델값 역산(implied): 모델 v 그대로
파생상품 평가·거래손익 0 가정</t>
      </text>
    </comment>
    <comment ref="Q23" authorId="0" shapeId="0">
      <text>
        <t>모델값 역산(implied): 모델 v 그대로
파생상품 평가·거래손익 0 가정</t>
      </text>
    </comment>
    <comment ref="S23" authorId="0" shapeId="0">
      <text>
        <t>모델값 역산(implied): 모델 v 그대로
파생상품 평가·거래손익 0 가정</t>
      </text>
    </comment>
    <comment ref="T23" authorId="0" shapeId="0">
      <text>
        <t>모델값 역산(implied): 모델 v 그대로
파생상품 평가·거래손익 0 가정</t>
      </text>
    </comment>
    <comment ref="U23" authorId="0" shapeId="0">
      <text>
        <t>모델값 역산(implied): 모델 v 그대로
파생상품 평가·거래손익 0 가정</t>
      </text>
    </comment>
    <comment ref="V23" authorId="0" shapeId="0">
      <text>
        <t>모델값 역산(implied): 모델 v 그대로
파생상품 평가·거래손익 0 가정</t>
      </text>
    </comment>
    <comment ref="K24" authorId="0" shapeId="0">
      <text>
        <t>모델값 역산(implied): 모델 v 그대로
잔차 실측 3분기 &lt; 4 → 0</t>
      </text>
    </comment>
    <comment ref="L24" authorId="0" shapeId="0">
      <text>
        <t>모델값 역산(implied): 모델 v 그대로
잔차 실측 3분기 &lt; 4 → 0</t>
      </text>
    </comment>
    <comment ref="N24" authorId="0" shapeId="0">
      <text>
        <t>모델값 역산(implied): 모델 v 그대로
잔차 실측 3분기 &lt; 4 → 0</t>
      </text>
    </comment>
    <comment ref="O24" authorId="0" shapeId="0">
      <text>
        <t>모델값 역산(implied): 모델 v 그대로
잔차 실측 3분기 &lt; 4 → 0</t>
      </text>
    </comment>
    <comment ref="P24" authorId="0" shapeId="0">
      <text>
        <t>모델값 역산(implied): 모델 v 그대로
잔차 실측 3분기 &lt; 4 → 0</t>
      </text>
    </comment>
    <comment ref="Q24" authorId="0" shapeId="0">
      <text>
        <t>모델값 역산(implied): 모델 v 그대로
잔차 실측 3분기 &lt; 4 → 0</t>
      </text>
    </comment>
    <comment ref="S24" authorId="0" shapeId="0">
      <text>
        <t>모델값 역산(implied): 모델 v 그대로
잔차 실측 3분기 &lt; 4 → 0</t>
      </text>
    </comment>
    <comment ref="T24" authorId="0" shapeId="0">
      <text>
        <t>모델값 역산(implied): 모델 v 그대로
잔차 실측 3분기 &lt; 4 → 0</t>
      </text>
    </comment>
    <comment ref="U24" authorId="0" shapeId="0">
      <text>
        <t>모델값 역산(implied): 모델 v 그대로
잔차 실측 3분기 &lt; 4 → 0</t>
      </text>
    </comment>
    <comment ref="V24" authorId="0" shapeId="0">
      <text>
        <t>모델값 역산(implied): 모델 v 그대로
잔차 실측 3분기 &lt; 4 → 0</t>
      </text>
    </comment>
    <comment ref="K25" authorId="0" shapeId="0">
      <text>
        <t>모델값 역산(implied): 모델 v 그대로
일회성 미가정 → 0</t>
      </text>
    </comment>
    <comment ref="L25" authorId="0" shapeId="0">
      <text>
        <t>모델값 역산(implied): 모델 v 그대로
일회성 미가정 → 0</t>
      </text>
    </comment>
    <comment ref="N25" authorId="0" shapeId="0">
      <text>
        <t>모델값 역산(implied): 모델 v 그대로
일회성 미가정 → 0</t>
      </text>
    </comment>
    <comment ref="O25" authorId="0" shapeId="0">
      <text>
        <t>모델값 역산(implied): 모델 v 그대로
일회성 미가정 → 0</t>
      </text>
    </comment>
    <comment ref="P25" authorId="0" shapeId="0">
      <text>
        <t>모델값 역산(implied): 모델 v 그대로
일회성 미가정 → 0</t>
      </text>
    </comment>
    <comment ref="Q25" authorId="0" shapeId="0">
      <text>
        <t>모델값 역산(implied): 모델 v 그대로
일회성 미가정 → 0</t>
      </text>
    </comment>
    <comment ref="S25" authorId="0" shapeId="0">
      <text>
        <t>모델값 역산(implied): 모델 v 그대로
일회성 미가정 → 0</t>
      </text>
    </comment>
    <comment ref="T25" authorId="0" shapeId="0">
      <text>
        <t>모델값 역산(implied): 모델 v 그대로
일회성 미가정 → 0</t>
      </text>
    </comment>
    <comment ref="U25" authorId="0" shapeId="0">
      <text>
        <t>모델값 역산(implied): 모델 v 그대로
일회성 미가정 → 0</t>
      </text>
    </comment>
    <comment ref="V25" authorId="0" shapeId="0">
      <text>
        <t>모델값 역산(implied): 모델 v 그대로
일회성 미가정 → 0</t>
      </text>
    </comment>
    <comment ref="K26" authorId="0" shapeId="0">
      <text>
        <t>3절 스칼라 '세율' 참조 — 숫자로 덮어쓰면 이 분기만 바뀐다
max(세전, 0) × 세율 22.8%(최근 5분기 유효세율 22.8%(5~27% 안 — 그대로))</t>
      </text>
    </comment>
    <comment ref="L26" authorId="0" shapeId="0">
      <text>
        <t>3절 스칼라 '세율' 참조 — 숫자로 덮어쓰면 이 분기만 바뀐다
max(세전, 0) × 세율 22.8%(최근 5분기 유효세율 22.8%(5~27% 안 — 그대로))</t>
      </text>
    </comment>
    <comment ref="N26" authorId="0" shapeId="0">
      <text>
        <t>3절 스칼라 '세율' 참조 — 숫자로 덮어쓰면 이 분기만 바뀐다
max(세전, 0) × 세율 22.8%(최근 5분기 유효세율 22.8%(5~27% 안 — 그대로))</t>
      </text>
    </comment>
    <comment ref="O26" authorId="0" shapeId="0">
      <text>
        <t>3절 스칼라 '세율' 참조 — 숫자로 덮어쓰면 이 분기만 바뀐다
max(세전, 0) × 세율 22.8%(최근 5분기 유효세율 22.8%(5~27% 안 — 그대로))</t>
      </text>
    </comment>
    <comment ref="P26" authorId="0" shapeId="0">
      <text>
        <t>3절 스칼라 '세율' 참조 — 숫자로 덮어쓰면 이 분기만 바뀐다
max(세전, 0) × 세율 22.8%(최근 5분기 유효세율 22.8%(5~27% 안 — 그대로))</t>
      </text>
    </comment>
    <comment ref="Q26" authorId="0" shapeId="0">
      <text>
        <t>3절 스칼라 '세율' 참조 — 숫자로 덮어쓰면 이 분기만 바뀐다
max(세전, 0) × 세율 22.8%(최근 5분기 유효세율 22.8%(5~27% 안 — 그대로))</t>
      </text>
    </comment>
    <comment ref="S26" authorId="0" shapeId="0">
      <text>
        <t>3절 스칼라 '세율' 참조 — 숫자로 덮어쓰면 이 분기만 바뀐다
max(세전, 0) × 세율 22.8%(최근 5분기 유효세율 22.8%(5~27% 안 — 그대로))</t>
      </text>
    </comment>
    <comment ref="T26" authorId="0" shapeId="0">
      <text>
        <t>3절 스칼라 '세율' 참조 — 숫자로 덮어쓰면 이 분기만 바뀐다
max(세전, 0) × 세율 22.8%(최근 5분기 유효세율 22.8%(5~27% 안 — 그대로))</t>
      </text>
    </comment>
    <comment ref="U26" authorId="0" shapeId="0">
      <text>
        <t>3절 스칼라 '세율' 참조 — 숫자로 덮어쓰면 이 분기만 바뀐다
max(세전, 0) × 세율 22.8%(최근 5분기 유효세율 22.8%(5~27% 안 — 그대로))</t>
      </text>
    </comment>
    <comment ref="V26" authorId="0" shapeId="0">
      <text>
        <t>3절 스칼라 '세율' 참조 — 숫자로 덮어쓰면 이 분기만 바뀐다
max(세전, 0) × 세율 22.8%(최근 5분기 유효세율 22.8%(5~27% 안 — 그대로))</t>
      </text>
    </comment>
    <comment ref="K27" authorId="0" shapeId="0">
      <text>
        <t>3절 스칼라 '지배주주비중' 참조 — 숫자로 덮어쓰면 이 분기만 바뀐다
당기순이익 × (1 − 비지배 비중 0.0%, 최근 8분기 실측)</t>
      </text>
    </comment>
    <comment ref="L27" authorId="0" shapeId="0">
      <text>
        <t>3절 스칼라 '지배주주비중' 참조 — 숫자로 덮어쓰면 이 분기만 바뀐다
당기순이익 × (1 − 비지배 비중 0.0%, 최근 8분기 실측)</t>
      </text>
    </comment>
    <comment ref="N27" authorId="0" shapeId="0">
      <text>
        <t>3절 스칼라 '지배주주비중' 참조 — 숫자로 덮어쓰면 이 분기만 바뀐다
당기순이익 × (1 − 비지배 비중 0.0%, 최근 8분기 실측)</t>
      </text>
    </comment>
    <comment ref="O27" authorId="0" shapeId="0">
      <text>
        <t>3절 스칼라 '지배주주비중' 참조 — 숫자로 덮어쓰면 이 분기만 바뀐다
당기순이익 × (1 − 비지배 비중 0.0%, 최근 8분기 실측)</t>
      </text>
    </comment>
    <comment ref="P27" authorId="0" shapeId="0">
      <text>
        <t>3절 스칼라 '지배주주비중' 참조 — 숫자로 덮어쓰면 이 분기만 바뀐다
당기순이익 × (1 − 비지배 비중 0.0%, 최근 8분기 실측)</t>
      </text>
    </comment>
    <comment ref="Q27" authorId="0" shapeId="0">
      <text>
        <t>3절 스칼라 '지배주주비중' 참조 — 숫자로 덮어쓰면 이 분기만 바뀐다
당기순이익 × (1 − 비지배 비중 0.0%, 최근 8분기 실측)</t>
      </text>
    </comment>
    <comment ref="S27" authorId="0" shapeId="0">
      <text>
        <t>3절 스칼라 '지배주주비중' 참조 — 숫자로 덮어쓰면 이 분기만 바뀐다
당기순이익 × (1 − 비지배 비중 0.0%, 최근 8분기 실측)</t>
      </text>
    </comment>
    <comment ref="T27" authorId="0" shapeId="0">
      <text>
        <t>3절 스칼라 '지배주주비중' 참조 — 숫자로 덮어쓰면 이 분기만 바뀐다
당기순이익 × (1 − 비지배 비중 0.0%, 최근 8분기 실측)</t>
      </text>
    </comment>
    <comment ref="U27" authorId="0" shapeId="0">
      <text>
        <t>3절 스칼라 '지배주주비중' 참조 — 숫자로 덮어쓰면 이 분기만 바뀐다
당기순이익 × (1 − 비지배 비중 0.0%, 최근 8분기 실측)</t>
      </text>
    </comment>
    <comment ref="V27" authorId="0" shapeId="0">
      <text>
        <t>3절 스칼라 '지배주주비중' 참조 — 숫자로 덮어쓰면 이 분기만 바뀐다
당기순이익 × (1 − 비지배 비중 0.0%, 최근 8분기 실측)</t>
      </text>
    </comment>
    <comment ref="K28" authorId="0" shapeId="0">
      <text>
        <t>모델값 역산(implied): v / 전분기 − 1
마지막 실적 유지(가정)</t>
      </text>
    </comment>
    <comment ref="L28" authorId="0" shapeId="0">
      <text>
        <t>모델값 역산(implied): v / 전분기 − 1
마지막 실적 유지(가정)</t>
      </text>
    </comment>
    <comment ref="N28" authorId="0" shapeId="0">
      <text>
        <t>모델값 역산(implied): v / 전분기 − 1
마지막 실적 유지(가정)</t>
      </text>
    </comment>
    <comment ref="O28" authorId="0" shapeId="0">
      <text>
        <t>모델값 역산(implied): v / 전분기 − 1
마지막 실적 유지(가정)</t>
      </text>
    </comment>
    <comment ref="P28" authorId="0" shapeId="0">
      <text>
        <t>모델값 역산(implied): v / 전분기 − 1
마지막 실적 유지(가정)</t>
      </text>
    </comment>
    <comment ref="Q28" authorId="0" shapeId="0">
      <text>
        <t>모델값 역산(implied): v / 전분기 − 1
마지막 실적 유지(가정)</t>
      </text>
    </comment>
    <comment ref="S28" authorId="0" shapeId="0">
      <text>
        <t>모델값 역산(implied): v / 전분기 − 1
마지막 실적 유지(가정)</t>
      </text>
    </comment>
    <comment ref="T28" authorId="0" shapeId="0">
      <text>
        <t>모델값 역산(implied): v / 전분기 − 1
마지막 실적 유지(가정)</t>
      </text>
    </comment>
    <comment ref="U28" authorId="0" shapeId="0">
      <text>
        <t>모델값 역산(implied): v / 전분기 − 1
마지막 실적 유지(가정)</t>
      </text>
    </comment>
    <comment ref="V28" authorId="0" shapeId="0">
      <text>
        <t>모델값 역산(implied): v / 전분기 − 1
마지막 실적 유지(가정)</t>
      </text>
    </comment>
    <comment ref="K29" authorId="0" shapeId="0">
      <text>
        <t>모델값 역산(implied): 전분기(시트값) + 당기순이익(시트 수식값) − v
전분기 + 당기순이익 − 배당(Q2 지급 가정)</t>
      </text>
    </comment>
    <comment ref="L29" authorId="0" shapeId="0">
      <text>
        <t>모델값 역산(implied): 전분기(시트값) + 당기순이익(시트 수식값) − v
전분기 + 당기순이익 − 배당(Q2 지급 가정)</t>
      </text>
    </comment>
    <comment ref="N29" authorId="0" shapeId="0">
      <text>
        <t>모델값 역산(implied): 전분기(시트값) + 당기순이익(시트 수식값) − v
전분기 + 당기순이익 − 배당(Q2 지급 가정)</t>
      </text>
    </comment>
    <comment ref="O29" authorId="0" shapeId="0">
      <text>
        <t>모델값 역산(implied): 전분기(시트값) + 당기순이익(시트 수식값) − v
전분기 + 당기순이익 − 배당(Q2 지급 가정)</t>
      </text>
    </comment>
    <comment ref="P29" authorId="0" shapeId="0">
      <text>
        <t>모델값 역산(implied): 전분기(시트값) + 당기순이익(시트 수식값) − v
전분기 + 당기순이익 − 배당(Q2 지급 가정)</t>
      </text>
    </comment>
    <comment ref="Q29" authorId="0" shapeId="0">
      <text>
        <t>모델값 역산(implied): 전분기(시트값) + 당기순이익(시트 수식값) − v
전분기 + 당기순이익 − 배당(Q2 지급 가정)</t>
      </text>
    </comment>
    <comment ref="S29" authorId="0" shapeId="0">
      <text>
        <t>모델값 역산(implied): 전분기(시트값) + 당기순이익(시트 수식값) − v
전분기 + 당기순이익 − 배당(Q2 지급 가정)</t>
      </text>
    </comment>
    <comment ref="T29" authorId="0" shapeId="0">
      <text>
        <t>모델값 역산(implied): 전분기(시트값) + 당기순이익(시트 수식값) − v
전분기 + 당기순이익 − 배당(Q2 지급 가정)</t>
      </text>
    </comment>
    <comment ref="U29" authorId="0" shapeId="0">
      <text>
        <t>모델값 역산(implied): 전분기(시트값) + 당기순이익(시트 수식값) − v
전분기 + 당기순이익 − 배당(Q2 지급 가정)</t>
      </text>
    </comment>
    <comment ref="V29" authorId="0" shapeId="0">
      <text>
        <t>모델값 역산(implied): 전분기(시트값) + 당기순이익(시트 수식값) − v
전분기 + 당기순이익 − 배당(Q2 지급 가정)</t>
      </text>
    </comment>
    <comment ref="K30" authorId="0" shapeId="0">
      <text>
        <t>모델값 역산(implied): 전분기(시트값) + 지배주주순이익(시트 수식값) − v
전분기 + 지배주주순이익 − 배당</t>
      </text>
    </comment>
    <comment ref="L30" authorId="0" shapeId="0">
      <text>
        <t>모델값 역산(implied): 전분기(시트값) + 지배주주순이익(시트 수식값) − v
전분기 + 지배주주순이익 − 배당</t>
      </text>
    </comment>
    <comment ref="N30" authorId="0" shapeId="0">
      <text>
        <t>모델값 역산(implied): 전분기(시트값) + 지배주주순이익(시트 수식값) − v
전분기 + 지배주주순이익 − 배당</t>
      </text>
    </comment>
    <comment ref="O30" authorId="0" shapeId="0">
      <text>
        <t>모델값 역산(implied): 전분기(시트값) + 지배주주순이익(시트 수식값) − v
전분기 + 지배주주순이익 − 배당</t>
      </text>
    </comment>
    <comment ref="P30" authorId="0" shapeId="0">
      <text>
        <t>모델값 역산(implied): 전분기(시트값) + 지배주주순이익(시트 수식값) − v
전분기 + 지배주주순이익 − 배당</t>
      </text>
    </comment>
    <comment ref="Q30" authorId="0" shapeId="0">
      <text>
        <t>모델값 역산(implied): 전분기(시트값) + 지배주주순이익(시트 수식값) − v
전분기 + 지배주주순이익 − 배당</t>
      </text>
    </comment>
    <comment ref="S30" authorId="0" shapeId="0">
      <text>
        <t>모델값 역산(implied): 전분기(시트값) + 지배주주순이익(시트 수식값) − v
전분기 + 지배주주순이익 − 배당</t>
      </text>
    </comment>
    <comment ref="T30" authorId="0" shapeId="0">
      <text>
        <t>모델값 역산(implied): 전분기(시트값) + 지배주주순이익(시트 수식값) − v
전분기 + 지배주주순이익 − 배당</t>
      </text>
    </comment>
    <comment ref="U30" authorId="0" shapeId="0">
      <text>
        <t>모델값 역산(implied): 전분기(시트값) + 지배주주순이익(시트 수식값) − v
전분기 + 지배주주순이익 − 배당</t>
      </text>
    </comment>
    <comment ref="V30" authorId="0" shapeId="0">
      <text>
        <t>모델값 역산(implied): 전분기(시트값) + 지배주주순이익(시트 수식값) − v
전분기 + 지배주주순이익 − 배당</t>
      </text>
    </comment>
    <comment ref="K33" authorId="0" shapeId="0">
      <text>
        <t>모델값 역산(implied): v / 전분기 − 1
전분기 + FCF 근사 — 순차입금 롤과 같은 가정</t>
      </text>
    </comment>
    <comment ref="L33" authorId="0" shapeId="0">
      <text>
        <t>모델값 역산(implied): v / 전분기 − 1
전분기 + FCF 근사 — 순차입금 롤과 같은 가정</t>
      </text>
    </comment>
    <comment ref="N33" authorId="0" shapeId="0">
      <text>
        <t>모델값 역산(implied): v / 전분기 − 1
전분기 + FCF 근사 — 순차입금 롤과 같은 가정</t>
      </text>
    </comment>
    <comment ref="O33" authorId="0" shapeId="0">
      <text>
        <t>모델값 역산(implied): v / 전분기 − 1
전분기 + FCF 근사 — 순차입금 롤과 같은 가정</t>
      </text>
    </comment>
    <comment ref="P33" authorId="0" shapeId="0">
      <text>
        <t>모델값 역산(implied): v / 전분기 − 1
전분기 + FCF 근사 — 순차입금 롤과 같은 가정</t>
      </text>
    </comment>
    <comment ref="Q33" authorId="0" shapeId="0">
      <text>
        <t>모델값 역산(implied): v / 전분기 − 1
전분기 + FCF 근사 — 순차입금 롤과 같은 가정</t>
      </text>
    </comment>
    <comment ref="S33" authorId="0" shapeId="0">
      <text>
        <t>모델값 역산(implied): v / 전분기 − 1
전분기 + FCF 근사 — 순차입금 롤과 같은 가정</t>
      </text>
    </comment>
    <comment ref="T33" authorId="0" shapeId="0">
      <text>
        <t>모델값 역산(implied): v / 전분기 − 1
전분기 + FCF 근사 — 순차입금 롤과 같은 가정</t>
      </text>
    </comment>
    <comment ref="U33" authorId="0" shapeId="0">
      <text>
        <t>모델값 역산(implied): v / 전분기 − 1
전분기 + FCF 근사 — 순차입금 롤과 같은 가정</t>
      </text>
    </comment>
    <comment ref="V33" authorId="0" shapeId="0">
      <text>
        <t>모델값 역산(implied): v / 전분기 − 1
전분기 + FCF 근사 — 순차입금 롤과 같은 가정</t>
      </text>
    </comment>
    <comment ref="K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L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N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O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P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Q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S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T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U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V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K37" authorId="0" shapeId="0">
      <text>
        <t>모델값 역산(implied): v / 전분기 − 1
유통주식수 유지 — fin.shares.common_outstanding(2026Q2)</t>
      </text>
    </comment>
    <comment ref="L37" authorId="0" shapeId="0">
      <text>
        <t>모델값 역산(implied): v / 전분기 − 1
유통주식수 유지 — fin.shares.common_outstanding(2026Q2)</t>
      </text>
    </comment>
    <comment ref="N37" authorId="0" shapeId="0">
      <text>
        <t>모델값 역산(implied): v / 전분기 − 1
유통주식수 유지 — fin.shares.common_outstanding(2026Q2)</t>
      </text>
    </comment>
    <comment ref="O37" authorId="0" shapeId="0">
      <text>
        <t>모델값 역산(implied): v / 전분기 − 1
유통주식수 유지 — fin.shares.common_outstanding(2026Q2)</t>
      </text>
    </comment>
    <comment ref="P37" authorId="0" shapeId="0">
      <text>
        <t>모델값 역산(implied): v / 전분기 − 1
유통주식수 유지 — fin.shares.common_outstanding(2026Q2)</t>
      </text>
    </comment>
    <comment ref="Q37" authorId="0" shapeId="0">
      <text>
        <t>모델값 역산(implied): v / 전분기 − 1
유통주식수 유지 — fin.shares.common_outstanding(2026Q2)</t>
      </text>
    </comment>
    <comment ref="S37" authorId="0" shapeId="0">
      <text>
        <t>모델값 역산(implied): v / 전분기 − 1
유통주식수 유지 — fin.shares.common_outstanding(2026Q2)</t>
      </text>
    </comment>
    <comment ref="T37" authorId="0" shapeId="0">
      <text>
        <t>모델값 역산(implied): v / 전분기 − 1
유통주식수 유지 — fin.shares.common_outstanding(2026Q2)</t>
      </text>
    </comment>
    <comment ref="U37" authorId="0" shapeId="0">
      <text>
        <t>모델값 역산(implied): v / 전분기 − 1
유통주식수 유지 — fin.shares.common_outstanding(2026Q2)</t>
      </text>
    </comment>
    <comment ref="V37" authorId="0" shapeId="0">
      <text>
        <t>모델값 역산(implied): v / 전분기 − 1
유통주식수 유지 — fin.shares.common_outstanding(2026Q2)</t>
      </text>
    </comment>
    <comment ref="L38" authorId="0" shapeId="0">
      <text>
        <t>모델값 역산(implied): 모델 v 그대로
직전 결산 DPS 250원 유지</t>
      </text>
    </comment>
    <comment ref="Q38" authorId="0" shapeId="0">
      <text>
        <t>모델값 역산(implied): 모델 v 그대로
직전 결산 DPS 250원 유지</t>
      </text>
    </comment>
    <comment ref="V38" authorId="0" shapeId="0">
      <text>
        <t>모델값 역산(implied): 모델 v 그대로
직전 결산 DPS 250원 유지</t>
      </text>
    </comment>
    <comment ref="K39" authorId="0" shapeId="0">
      <text>
        <t>역산: 모델 매출조선 − SLS 재구성 원화/100 − 매출조선신규 (모델 runoff_per_q 1539.96; 계약 스케줄 소수 3자리 반올림 차 포함)
SLS 해양 원화 2775억(sls.by_quarter.marine_hedged_krw_m(헤지 70% 적용; origin 2026Q2 이후 체결 1건 SLS 유지 — 패널 신규수주와 체결 분기별 상계(net_panel))) + 원장 밖 잔고 소진 0억(최근 4분기 '부문매출−SLS' 중위 1540억/분기, 잔여 0억) + 신규수주 매출 0억(forecast_panel.json.gz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3,882억 − 공시 2,713억 = 1,169억)) · origin 이후 공시 수주 SLS 149억 유지(패널 신규수주 체결 분기별 상계, net_panel)</t>
      </text>
    </comment>
    <comment ref="L39" authorId="0" shapeId="0">
      <text>
        <t>역산: 모델 매출조선 − SLS 재구성 원화/100 − 매출조선신규 (모델 runoff_per_q 1539.96; 계약 스케줄 소수 3자리 반올림 차 포함)
SLS 해양 원화 2781억(sls.by_quarter.marine_hedged_krw_m(헤지 70% 적용; origin 2026Q2 이후 체결 1건 SLS 유지 — 패널 신규수주와 체결 분기별 상계(net_panel))) + 원장 밖 잔고 소진 0억(최근 4분기 '부문매출−SLS' 중위 1540억/분기, 잔여 0억) + 신규수주 매출 25억(forecast_panel.json.gz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3,882억 − 공시 2,713억 = 1,169억)) · origin 이후 공시 수주 SLS 195억 유지(패널 신규수주 체결 분기별 상계, net_panel)</t>
      </text>
    </comment>
    <comment ref="N39" authorId="0" shapeId="0">
      <text>
        <t>역산: 모델 매출조선 − SLS 재구성 원화/100 − 매출조선신규 (모델 runoff_per_q 1539.96; 계약 스케줄 소수 3자리 반올림 차 포함)
SLS 해양 원화 2719억(sls.by_quarter.marine_hedged_krw_m(헤지 70% 적용; origin 2026Q2 이후 체결 1건 SLS 유지 — 패널 신규수주와 체결 분기별 상계(net_panel))) + 원장 밖 잔고 소진 0억(최근 4분기 '부문매출−SLS' 중위 1540억/분기, 잔여 0억) + 신규수주 매출 149억(forecast_panel.json.gz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3,882억 − 공시 2,713억 = 1,169억)) · origin 이후 공시 수주 SLS 191억 유지(패널 신규수주 체결 분기별 상계, net_panel)</t>
      </text>
    </comment>
    <comment ref="O39" authorId="0" shapeId="0">
      <text>
        <t>역산: 모델 매출조선 − SLS 재구성 원화/100 − 매출조선신규 (모델 runoff_per_q 1539.96; 계약 스케줄 소수 3자리 반올림 차 포함)
SLS 해양 원화 2749억(sls.by_quarter.marine_hedged_krw_m(헤지 70% 적용; origin 2026Q2 이후 체결 1건 SLS 유지 — 패널 신규수주와 체결 분기별 상계(net_panel))) + 원장 밖 잔고 소진 0억(최근 4분기 '부문매출−SLS' 중위 1540억/분기, 잔여 0억) + 신규수주 매출 408억(forecast_panel.json.gz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3,882억 − 공시 2,713억 = 1,169억)) · origin 이후 공시 수주 SLS 193억 유지(패널 신규수주 체결 분기별 상계, net_panel)</t>
      </text>
    </comment>
    <comment ref="P39" authorId="0" shapeId="0">
      <text>
        <t>역산: 모델 매출조선 − SLS 재구성 원화/100 − 매출조선신규 (모델 runoff_per_q 1539.96; 계약 스케줄 소수 3자리 반올림 차 포함)
SLS 해양 원화 2630억(sls.by_quarter.marine_hedged_krw_m(헤지 70% 적용; origin 2026Q2 이후 체결 1건 SLS 유지 — 패널 신규수주와 체결 분기별 상계(net_panel))) + 원장 밖 잔고 소진 0억(최근 4분기 '부문매출−SLS' 중위 1540억/분기, 잔여 0억) + 신규수주 매출 772억(forecast_panel.json.gz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3,882억 − 공시 2,713억 = 1,169억)) · origin 이후 공시 수주 SLS 195억 유지(패널 신규수주 체결 분기별 상계, net_panel)</t>
      </text>
    </comment>
    <comment ref="Q39" authorId="0" shapeId="0">
      <text>
        <t>역산: 모델 매출조선 − SLS 재구성 원화/100 − 매출조선신규 (모델 runoff_per_q 1539.96; 계약 스케줄 소수 3자리 반올림 차 포함)
SLS 해양 원화 2296억(sls.by_quarter.marine_hedged_krw_m(헤지 70% 적용; origin 2026Q2 이후 체결 1건 SLS 유지 — 패널 신규수주와 체결 분기별 상계(net_panel))) + 원장 밖 잔고 소진 0억(최근 4분기 '부문매출−SLS' 중위 1540억/분기, 잔여 0억) + 신규수주 매출 1210억(forecast_panel.json.gz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3,882억 − 공시 2,713억 = 1,169억)) · origin 이후 공시 수주 SLS 195억 유지(패널 신규수주 체결 분기별 상계, net_panel)</t>
      </text>
    </comment>
    <comment ref="S39" authorId="0" shapeId="0">
      <text>
        <t>역산: 모델 매출조선 − SLS 재구성 원화/100 − 매출조선신규 (모델 runoff_per_q 1539.96; 계약 스케줄 소수 3자리 반올림 차 포함)
SLS 해양 원화 2104억(sls.by_quarter.marine_hedged_krw_m(헤지 70% 적용; origin 2026Q2 이후 체결 1건 SLS 유지 — 패널 신규수주와 체결 분기별 상계(net_panel))) + 원장 밖 잔고 소진 0억(최근 4분기 '부문매출−SLS' 중위 1540억/분기, 잔여 0억) + 신규수주 매출 1693억(forecast_panel.json.gz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3,882억 − 공시 2,713억 = 1,169억)) · origin 이후 공시 수주 SLS 193억 유지(패널 신규수주 체결 분기별 상계, net_panel)</t>
      </text>
    </comment>
    <comment ref="T39" authorId="0" shapeId="0">
      <text>
        <t>역산: 모델 매출조선 − SLS 재구성 원화/100 − 매출조선신규 (모델 runoff_per_q 1539.96; 계약 스케줄 소수 3자리 반올림 차 포함)
SLS 해양 원화 2104억(sls.by_quarter.marine_hedged_krw_m(헤지 70% 적용; origin 2026Q2 이후 체결 1건 SLS 유지 — 패널 신규수주와 체결 분기별 상계(net_panel))) + 원장 밖 잔고 소진 0억(최근 4분기 '부문매출−SLS' 중위 1540억/분기, 잔여 0억) + 신규수주 매출 2191억(forecast_panel.json.gz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3,882억 − 공시 2,713억 = 1,169억)) · origin 이후 공시 수주 SLS 193억 유지(패널 신규수주 체결 분기별 상계, net_panel)</t>
      </text>
    </comment>
    <comment ref="U39" authorId="0" shapeId="0">
      <text>
        <t>역산: 모델 매출조선 − SLS 재구성 원화/100 − 매출조선신규 (모델 runoff_per_q 1539.96; 계약 스케줄 소수 3자리 반올림 차 포함)
SLS 해양 원화 1870억(sls.by_quarter.marine_hedged_krw_m(헤지 70% 적용; origin 2026Q2 이후 체결 1건 SLS 유지 — 패널 신규수주와 체결 분기별 상계(net_panel))) + 원장 밖 잔고 소진 0억(최근 4분기 '부문매출−SLS' 중위 1540억/분기, 잔여 0억) + 신규수주 매출 2673억(forecast_panel.json.gz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3,882억 − 공시 2,713억 = 1,169억)) · origin 이후 공시 수주 SLS 195억 유지(패널 신규수주 체결 분기별 상계, net_panel)</t>
      </text>
    </comment>
    <comment ref="V39" authorId="0" shapeId="0">
      <text>
        <t>역산: 모델 매출조선 − SLS 재구성 원화/100 − 매출조선신규 (모델 runoff_per_q 1539.96; 계약 스케줄 소수 3자리 반올림 차 포함)
SLS 해양 원화 1473억(sls.by_quarter.marine_hedged_krw_m(헤지 70% 적용; origin 2026Q2 이후 체결 1건 SLS 유지 — 패널 신규수주와 체결 분기별 상계(net_panel))) + 원장 밖 잔고 소진 0억(최근 4분기 '부문매출−SLS' 중위 1540억/분기, 잔여 0억) + 신규수주 매출 3111억(forecast_panel.json.gz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3,882억 − 공시 2,713억 = 1,169억)) · origin 이후 공시 수주 SLS 195억 유지(패널 신규수주 체결 분기별 상계, net_panel)</t>
      </text>
    </comment>
    <comment ref="K40" authorId="0" shapeId="0">
      <text>
        <t>모델값 역산(implied): 모델 v 그대로
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3,882억 − 공시 2,713억 = 1,169억) — 매출조선에 포함(합산 금지)</t>
      </text>
    </comment>
    <comment ref="L40" authorId="0" shapeId="0">
      <text>
        <t>모델값 역산(implied): 모델 v 그대로
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3,882억 − 공시 2,713억 = 1,169억) — 매출조선에 포함(합산 금지)</t>
      </text>
    </comment>
    <comment ref="N40" authorId="0" shapeId="0">
      <text>
        <t>모델값 역산(implied): 모델 v 그대로
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3,882억 − 공시 2,713억 = 1,169억) — 매출조선에 포함(합산 금지)</t>
      </text>
    </comment>
    <comment ref="O40" authorId="0" shapeId="0">
      <text>
        <t>모델값 역산(implied): 모델 v 그대로
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3,882억 − 공시 2,713억 = 1,169억) — 매출조선에 포함(합산 금지)</t>
      </text>
    </comment>
    <comment ref="P40" authorId="0" shapeId="0">
      <text>
        <t>모델값 역산(implied): 모델 v 그대로
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3,882억 − 공시 2,713억 = 1,169억) — 매출조선에 포함(합산 금지)</t>
      </text>
    </comment>
    <comment ref="Q40" authorId="0" shapeId="0">
      <text>
        <t>모델값 역산(implied): 모델 v 그대로
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3,882억 − 공시 2,713억 = 1,169억) — 매출조선에 포함(합산 금지)</t>
      </text>
    </comment>
    <comment ref="S40" authorId="0" shapeId="0">
      <text>
        <t>모델값 역산(implied): 모델 v 그대로
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3,882억 − 공시 2,713억 = 1,169억) — 매출조선에 포함(합산 금지)</t>
      </text>
    </comment>
    <comment ref="T40" authorId="0" shapeId="0">
      <text>
        <t>모델값 역산(implied): 모델 v 그대로
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3,882억 − 공시 2,713억 = 1,169억) — 매출조선에 포함(합산 금지)</t>
      </text>
    </comment>
    <comment ref="U40" authorId="0" shapeId="0">
      <text>
        <t>모델값 역산(implied): 모델 v 그대로
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3,882억 − 공시 2,713억 = 1,169억) — 매출조선에 포함(합산 금지)</t>
      </text>
    </comment>
    <comment ref="V40" authorId="0" shapeId="0">
      <text>
        <t>모델값 역산(implied): 모델 v 그대로
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3,882억 − 공시 2,713억 = 1,169억) — 매출조선에 포함(합산 금지)</t>
      </text>
    </comment>
    <comment ref="K41" authorId="0" shapeId="0">
      <text>
        <t>모델값 역산(implied): v / 매출조선
매출조선 × 타겟 OPM(부문 OP 미공시 → 회사 OPM 적용; 신규수주분 포함)</t>
      </text>
    </comment>
    <comment ref="L41" authorId="0" shapeId="0">
      <text>
        <t>모델값 역산(implied): v / 매출조선
매출조선 × 타겟 OPM(부문 OP 미공시 → 회사 OPM 적용; 신규수주분 포함)</t>
      </text>
    </comment>
    <comment ref="N41" authorId="0" shapeId="0">
      <text>
        <t>모델값 역산(implied): v / 매출조선
매출조선 × 타겟 OPM(부문 OP 미공시 → 회사 OPM 적용; 신규수주분 포함)</t>
      </text>
    </comment>
    <comment ref="O41" authorId="0" shapeId="0">
      <text>
        <t>모델값 역산(implied): v / 매출조선
매출조선 × 타겟 OPM(부문 OP 미공시 → 회사 OPM 적용; 신규수주분 포함)</t>
      </text>
    </comment>
    <comment ref="P41" authorId="0" shapeId="0">
      <text>
        <t>모델값 역산(implied): v / 매출조선
매출조선 × 타겟 OPM(부문 OP 미공시 → 회사 OPM 적용; 신규수주분 포함)</t>
      </text>
    </comment>
    <comment ref="Q41" authorId="0" shapeId="0">
      <text>
        <t>모델값 역산(implied): v / 매출조선
매출조선 × 타겟 OPM(부문 OP 미공시 → 회사 OPM 적용; 신규수주분 포함)</t>
      </text>
    </comment>
    <comment ref="S41" authorId="0" shapeId="0">
      <text>
        <t>모델값 역산(implied): v / 매출조선
매출조선 × 타겟 OPM(부문 OP 미공시 → 회사 OPM 적용; 신규수주분 포함)</t>
      </text>
    </comment>
    <comment ref="T41" authorId="0" shapeId="0">
      <text>
        <t>모델값 역산(implied): v / 매출조선
매출조선 × 타겟 OPM(부문 OP 미공시 → 회사 OPM 적용; 신규수주분 포함)</t>
      </text>
    </comment>
    <comment ref="U41" authorId="0" shapeId="0">
      <text>
        <t>모델값 역산(implied): v / 매출조선
매출조선 × 타겟 OPM(부문 OP 미공시 → 회사 OPM 적용; 신규수주분 포함)</t>
      </text>
    </comment>
    <comment ref="V41" authorId="0" shapeId="0">
      <text>
        <t>모델값 역산(implied): v / 매출조선
매출조선 × 타겟 OPM(부문 OP 미공시 → 회사 OPM 적용; 신규수주분 포함)</t>
      </text>
    </comment>
    <comment ref="K42" authorId="0" shapeId="0">
      <text>
        <t>모델값 역산(implied): v / 전년동기 − 1
기타 부문(연결 − 조선 부문) 최근 4분기 중위 22억 유지</t>
      </text>
    </comment>
    <comment ref="L42" authorId="0" shapeId="0">
      <text>
        <t>모델값 역산(implied): v / 전년동기 − 1
기타 부문(연결 − 조선 부문) 최근 4분기 중위 22억 유지</t>
      </text>
    </comment>
    <comment ref="N42" authorId="0" shapeId="0">
      <text>
        <t>모델값 역산(implied): v / 전년동기 − 1
기타 부문(연결 − 조선 부문) 최근 4분기 중위 22억 유지</t>
      </text>
    </comment>
    <comment ref="O42" authorId="0" shapeId="0">
      <text>
        <t>모델값 역산(implied): v / 전년동기 − 1
기타 부문(연결 − 조선 부문) 최근 4분기 중위 22억 유지</t>
      </text>
    </comment>
    <comment ref="P42" authorId="0" shapeId="0">
      <text>
        <t>모델값 역산(implied): v / 전년동기 − 1
기타 부문(연결 − 조선 부문) 최근 4분기 중위 22억 유지</t>
      </text>
    </comment>
    <comment ref="Q42" authorId="0" shapeId="0">
      <text>
        <t>모델값 역산(implied): v / 전년동기 − 1
기타 부문(연결 − 조선 부문) 최근 4분기 중위 22억 유지</t>
      </text>
    </comment>
    <comment ref="S42" authorId="0" shapeId="0">
      <text>
        <t>모델값 역산(implied): v / 전년동기 − 1
기타 부문(연결 − 조선 부문) 최근 4분기 중위 22억 유지</t>
      </text>
    </comment>
    <comment ref="T42" authorId="0" shapeId="0">
      <text>
        <t>모델값 역산(implied): v / 전년동기 − 1
기타 부문(연결 − 조선 부문) 최근 4분기 중위 22억 유지</t>
      </text>
    </comment>
    <comment ref="U42" authorId="0" shapeId="0">
      <text>
        <t>모델값 역산(implied): v / 전년동기 − 1
기타 부문(연결 − 조선 부문) 최근 4분기 중위 22억 유지</t>
      </text>
    </comment>
    <comment ref="V42" authorId="0" shapeId="0">
      <text>
        <t>모델값 역산(implied): v / 전년동기 − 1
기타 부문(연결 − 조선 부문) 최근 4분기 중위 22억 유지</t>
      </text>
    </comment>
    <comment ref="K43" authorId="0" shapeId="0">
      <text>
        <t>모델값 역산(implied): v / 매출기타
매출기타 × 회사 OPM(부문 OP 미공시)</t>
      </text>
    </comment>
    <comment ref="L43" authorId="0" shapeId="0">
      <text>
        <t>모델값 역산(implied): v / 매출기타
매출기타 × 회사 OPM(부문 OP 미공시)</t>
      </text>
    </comment>
    <comment ref="N43" authorId="0" shapeId="0">
      <text>
        <t>모델값 역산(implied): v / 매출기타
매출기타 × 회사 OPM(부문 OP 미공시)</t>
      </text>
    </comment>
    <comment ref="O43" authorId="0" shapeId="0">
      <text>
        <t>모델값 역산(implied): v / 매출기타
매출기타 × 회사 OPM(부문 OP 미공시)</t>
      </text>
    </comment>
    <comment ref="P43" authorId="0" shapeId="0">
      <text>
        <t>모델값 역산(implied): v / 매출기타
매출기타 × 회사 OPM(부문 OP 미공시)</t>
      </text>
    </comment>
    <comment ref="Q43" authorId="0" shapeId="0">
      <text>
        <t>모델값 역산(implied): v / 매출기타
매출기타 × 회사 OPM(부문 OP 미공시)</t>
      </text>
    </comment>
    <comment ref="S43" authorId="0" shapeId="0">
      <text>
        <t>모델값 역산(implied): v / 매출기타
매출기타 × 회사 OPM(부문 OP 미공시)</t>
      </text>
    </comment>
    <comment ref="T43" authorId="0" shapeId="0">
      <text>
        <t>모델값 역산(implied): v / 매출기타
매출기타 × 회사 OPM(부문 OP 미공시)</t>
      </text>
    </comment>
    <comment ref="U43" authorId="0" shapeId="0">
      <text>
        <t>모델값 역산(implied): v / 매출기타
매출기타 × 회사 OPM(부문 OP 미공시)</t>
      </text>
    </comment>
    <comment ref="V43" authorId="0" shapeId="0">
      <text>
        <t>모델값 역산(implied): v / 매출기타
매출기타 × 회사 OPM(부문 OP 미공시)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K5" authorId="0" shapeId="0">
      <text>
        <t>추정: 매출조선 + 매출기타
[identity]</t>
      </text>
    </comment>
    <comment ref="L5" authorId="0" shapeId="0">
      <text>
        <t>추정: 매출조선 + 매출기타
[identity]</t>
      </text>
    </comment>
    <comment ref="N5" authorId="0" shapeId="0">
      <text>
        <t>추정: 매출조선 + 매출기타
[identity]</t>
      </text>
    </comment>
    <comment ref="O5" authorId="0" shapeId="0">
      <text>
        <t>추정: 매출조선 + 매출기타
[identity]</t>
      </text>
    </comment>
    <comment ref="P5" authorId="0" shapeId="0">
      <text>
        <t>추정: 매출조선 + 매출기타
[identity]</t>
      </text>
    </comment>
    <comment ref="Q5" authorId="0" shapeId="0">
      <text>
        <t>추정: 매출조선 + 매출기타
[identity]</t>
      </text>
    </comment>
    <comment ref="S5" authorId="0" shapeId="0">
      <text>
        <t>추정: 매출조선 + 매출기타
[identity]</t>
      </text>
    </comment>
    <comment ref="T5" authorId="0" shapeId="0">
      <text>
        <t>추정: 매출조선 + 매출기타
[identity]</t>
      </text>
    </comment>
    <comment ref="U5" authorId="0" shapeId="0">
      <text>
        <t>추정: 매출조선 + 매출기타
[identity]</t>
      </text>
    </comment>
    <comment ref="V5" authorId="0" shapeId="0">
      <text>
        <t>추정: 매출조선 + 매출기타
[identity]</t>
      </text>
    </comment>
    <comment ref="K6" authorId="0" shapeId="0">
      <text>
        <t>추정: 매출액 − 매출총이익(항등식)
[identity]</t>
      </text>
    </comment>
    <comment ref="L6" authorId="0" shapeId="0">
      <text>
        <t>추정: 매출액 − 매출총이익(항등식)
[identity]</t>
      </text>
    </comment>
    <comment ref="N6" authorId="0" shapeId="0">
      <text>
        <t>추정: 매출액 − 매출총이익(항등식)
[identity]</t>
      </text>
    </comment>
    <comment ref="O6" authorId="0" shapeId="0">
      <text>
        <t>추정: 매출액 − 매출총이익(항등식)
[identity]</t>
      </text>
    </comment>
    <comment ref="P6" authorId="0" shapeId="0">
      <text>
        <t>추정: 매출액 − 매출총이익(항등식)
[identity]</t>
      </text>
    </comment>
    <comment ref="Q6" authorId="0" shapeId="0">
      <text>
        <t>추정: 매출액 − 매출총이익(항등식)
[identity]</t>
      </text>
    </comment>
    <comment ref="S6" authorId="0" shapeId="0">
      <text>
        <t>추정: 매출액 − 매출총이익(항등식)
[identity]</t>
      </text>
    </comment>
    <comment ref="T6" authorId="0" shapeId="0">
      <text>
        <t>추정: 매출액 − 매출총이익(항등식)
[identity]</t>
      </text>
    </comment>
    <comment ref="U6" authorId="0" shapeId="0">
      <text>
        <t>추정: 매출액 − 매출총이익(항등식)
[identity]</t>
      </text>
    </comment>
    <comment ref="V6" authorId="0" shapeId="0">
      <text>
        <t>추정: 매출액 − 매출총이익(항등식)
[identity]</t>
      </text>
    </comment>
    <comment ref="K7" authorId="0" shapeId="0">
      <text>
        <t>추정: 영업이익 + 판관비 − 기타영업손익(항등식)
[identity]</t>
      </text>
    </comment>
    <comment ref="L7" authorId="0" shapeId="0">
      <text>
        <t>추정: 영업이익 + 판관비 − 기타영업손익(항등식)
[identity]</t>
      </text>
    </comment>
    <comment ref="N7" authorId="0" shapeId="0">
      <text>
        <t>추정: 영업이익 + 판관비 − 기타영업손익(항등식)
[identity]</t>
      </text>
    </comment>
    <comment ref="O7" authorId="0" shapeId="0">
      <text>
        <t>추정: 영업이익 + 판관비 − 기타영업손익(항등식)
[identity]</t>
      </text>
    </comment>
    <comment ref="P7" authorId="0" shapeId="0">
      <text>
        <t>추정: 영업이익 + 판관비 − 기타영업손익(항등식)
[identity]</t>
      </text>
    </comment>
    <comment ref="Q7" authorId="0" shapeId="0">
      <text>
        <t>추정: 영업이익 + 판관비 − 기타영업손익(항등식)
[identity]</t>
      </text>
    </comment>
    <comment ref="S7" authorId="0" shapeId="0">
      <text>
        <t>추정: 영업이익 + 판관비 − 기타영업손익(항등식)
[identity]</t>
      </text>
    </comment>
    <comment ref="T7" authorId="0" shapeId="0">
      <text>
        <t>추정: 영업이익 + 판관비 − 기타영업손익(항등식)
[identity]</t>
      </text>
    </comment>
    <comment ref="U7" authorId="0" shapeId="0">
      <text>
        <t>추정: 영업이익 + 판관비 − 기타영업손익(항등식)
[identity]</t>
      </text>
    </comment>
    <comment ref="V7" authorId="0" shapeId="0">
      <text>
        <t>추정: 영업이익 + 판관비 − 기타영업손익(항등식)
[identity]</t>
      </text>
    </comment>
    <comment ref="K8" authorId="0" shapeId="0">
      <text>
        <t>추정: 매출액 × 판관비율 2.44%(최근 4분기 중위)
[ratio]</t>
      </text>
    </comment>
    <comment ref="L8" authorId="0" shapeId="0">
      <text>
        <t>추정: 매출액 × 판관비율 2.44%(최근 4분기 중위)
[ratio]</t>
      </text>
    </comment>
    <comment ref="N8" authorId="0" shapeId="0">
      <text>
        <t>추정: 매출액 × 판관비율 2.44%(최근 4분기 중위)
[ratio]</t>
      </text>
    </comment>
    <comment ref="O8" authorId="0" shapeId="0">
      <text>
        <t>추정: 매출액 × 판관비율 2.44%(최근 4분기 중위)
[ratio]</t>
      </text>
    </comment>
    <comment ref="P8" authorId="0" shapeId="0">
      <text>
        <t>추정: 매출액 × 판관비율 2.44%(최근 4분기 중위)
[ratio]</t>
      </text>
    </comment>
    <comment ref="Q8" authorId="0" shapeId="0">
      <text>
        <t>추정: 매출액 × 판관비율 2.44%(최근 4분기 중위)
[ratio]</t>
      </text>
    </comment>
    <comment ref="S8" authorId="0" shapeId="0">
      <text>
        <t>추정: 매출액 × 판관비율 2.44%(최근 4분기 중위)
[ratio]</t>
      </text>
    </comment>
    <comment ref="T8" authorId="0" shapeId="0">
      <text>
        <t>추정: 매출액 × 판관비율 2.44%(최근 4분기 중위)
[ratio]</t>
      </text>
    </comment>
    <comment ref="U8" authorId="0" shapeId="0">
      <text>
        <t>추정: 매출액 × 판관비율 2.44%(최근 4분기 중위)
[ratio]</t>
      </text>
    </comment>
    <comment ref="V8" authorId="0" shapeId="0">
      <text>
        <t>추정: 매출액 × 판관비율 2.44%(최근 4분기 중위)
[ratio]</t>
      </text>
    </comment>
    <comment ref="K9" authorId="0" shapeId="0">
      <text>
        <t>추정: 매출액 × OPM(SLS 코호트 타겟 10.8%(코호트 모드 reference_anchor; 등급 비중 100% × 코호트 10.8% + 등급없음 0% × 최근 4분기 실측 OPM 중위 26.8%) + 회사 캘리브레이션 +16.0%p(최근 4분기 실측−타겟 중위) — 신규수주 매출에도 같은 타겟 — 코호트 경로 없음 → 실측 중위 고정(원 타겟 전 분기 10.8% 상수(코호트 모드 reference_anchor); 경로 변화는 등급 없는 비중의 실측 중위 26.8% 채움에서만, 추정 구간 타겟 10.80%→10.80%))
[identity]</t>
      </text>
    </comment>
    <comment ref="L9" authorId="0" shapeId="0">
      <text>
        <t>추정: 매출액 × OPM(SLS 코호트 타겟 10.8%(코호트 모드 reference_anchor; 등급 비중 100% × 코호트 10.8% + 등급없음 0% × 최근 4분기 실측 OPM 중위 26.8%) + 회사 캘리브레이션 +16.0%p(최근 4분기 실측−타겟 중위) — 신규수주 매출에도 같은 타겟 — 코호트 경로 없음 → 실측 중위 고정(원 타겟 전 분기 10.8% 상수(코호트 모드 reference_anchor); 경로 변화는 등급 없는 비중의 실측 중위 26.8% 채움에서만, 추정 구간 타겟 10.80%→10.80%))
[identity]</t>
      </text>
    </comment>
    <comment ref="N9" authorId="0" shapeId="0">
      <text>
        <t>추정: 매출액 × OPM(SLS 코호트 타겟 10.8%(코호트 모드 reference_anchor; 등급 비중 100% × 코호트 10.8% + 등급없음 0% × 최근 4분기 실측 OPM 중위 26.8%) + 회사 캘리브레이션 +16.0%p(최근 4분기 실측−타겟 중위) — 신규수주 매출에도 같은 타겟 — 코호트 경로 없음 → 실측 중위 고정(원 타겟 전 분기 10.8% 상수(코호트 모드 reference_anchor); 경로 변화는 등급 없는 비중의 실측 중위 26.8% 채움에서만, 추정 구간 타겟 10.80%→10.80%))
[identity]</t>
      </text>
    </comment>
    <comment ref="O9" authorId="0" shapeId="0">
      <text>
        <t>추정: 매출액 × OPM(SLS 코호트 타겟 10.8%(코호트 모드 reference_anchor; 등급 비중 100% × 코호트 10.8% + 등급없음 0% × 최근 4분기 실측 OPM 중위 26.8%) + 회사 캘리브레이션 +16.0%p(최근 4분기 실측−타겟 중위) — 신규수주 매출에도 같은 타겟 — 코호트 경로 없음 → 실측 중위 고정(원 타겟 전 분기 10.8% 상수(코호트 모드 reference_anchor); 경로 변화는 등급 없는 비중의 실측 중위 26.8% 채움에서만, 추정 구간 타겟 10.80%→10.80%))
[identity]</t>
      </text>
    </comment>
    <comment ref="P9" authorId="0" shapeId="0">
      <text>
        <t>추정: 매출액 × OPM(SLS 코호트 타겟 10.8%(코호트 모드 reference_anchor; 등급 비중 100% × 코호트 10.8% + 등급없음 0% × 최근 4분기 실측 OPM 중위 26.8%) + 회사 캘리브레이션 +16.0%p(최근 4분기 실측−타겟 중위) — 신규수주 매출에도 같은 타겟 — 코호트 경로 없음 → 실측 중위 고정(원 타겟 전 분기 10.8% 상수(코호트 모드 reference_anchor); 경로 변화는 등급 없는 비중의 실측 중위 26.8% 채움에서만, 추정 구간 타겟 10.80%→10.80%))
[identity]</t>
      </text>
    </comment>
    <comment ref="Q9" authorId="0" shapeId="0">
      <text>
        <t>추정: 매출액 × OPM(SLS 코호트 타겟 10.8%(코호트 모드 reference_anchor; 등급 비중 100% × 코호트 10.8% + 등급없음 0% × 최근 4분기 실측 OPM 중위 26.8%) + 회사 캘리브레이션 +16.0%p(최근 4분기 실측−타겟 중위) — 신규수주 매출에도 같은 타겟 — 코호트 경로 없음 → 실측 중위 고정(원 타겟 전 분기 10.8% 상수(코호트 모드 reference_anchor); 경로 변화는 등급 없는 비중의 실측 중위 26.8% 채움에서만, 추정 구간 타겟 10.80%→10.80%))
[identity]</t>
      </text>
    </comment>
    <comment ref="S9" authorId="0" shapeId="0">
      <text>
        <t>추정: 매출액 × OPM(SLS 코호트 타겟 10.8%(코호트 모드 reference_anchor; 등급 비중 100% × 코호트 10.8% + 등급없음 0% × 최근 4분기 실측 OPM 중위 26.8%) + 회사 캘리브레이션 +16.0%p(최근 4분기 실측−타겟 중위) — 신규수주 매출에도 같은 타겟 — 코호트 경로 없음 → 실측 중위 고정(원 타겟 전 분기 10.8% 상수(코호트 모드 reference_anchor); 경로 변화는 등급 없는 비중의 실측 중위 26.8% 채움에서만, 추정 구간 타겟 10.80%→10.80%))
[identity]</t>
      </text>
    </comment>
    <comment ref="T9" authorId="0" shapeId="0">
      <text>
        <t>추정: 매출액 × OPM(SLS 코호트 타겟 10.8%(코호트 모드 reference_anchor; 등급 비중 100% × 코호트 10.8% + 등급없음 0% × 최근 4분기 실측 OPM 중위 26.8%) + 회사 캘리브레이션 +16.0%p(최근 4분기 실측−타겟 중위) — 신규수주 매출에도 같은 타겟 — 코호트 경로 없음 → 실측 중위 고정(원 타겟 전 분기 10.8% 상수(코호트 모드 reference_anchor); 경로 변화는 등급 없는 비중의 실측 중위 26.8% 채움에서만, 추정 구간 타겟 10.80%→10.80%))
[identity]</t>
      </text>
    </comment>
    <comment ref="U9" authorId="0" shapeId="0">
      <text>
        <t>추정: 매출액 × OPM(SLS 코호트 타겟 10.8%(코호트 모드 reference_anchor; 등급 비중 100% × 코호트 10.8% + 등급없음 0% × 최근 4분기 실측 OPM 중위 26.8%) + 회사 캘리브레이션 +16.0%p(최근 4분기 실측−타겟 중위) — 신규수주 매출에도 같은 타겟 — 코호트 경로 없음 → 실측 중위 고정(원 타겟 전 분기 10.8% 상수(코호트 모드 reference_anchor); 경로 변화는 등급 없는 비중의 실측 중위 26.8% 채움에서만, 추정 구간 타겟 10.80%→10.80%))
[identity]</t>
      </text>
    </comment>
    <comment ref="V9" authorId="0" shapeId="0">
      <text>
        <t>추정: 매출액 × OPM(SLS 코호트 타겟 10.8%(코호트 모드 reference_anchor; 등급 비중 100% × 코호트 10.8% + 등급없음 0% × 최근 4분기 실측 OPM 중위 26.8%) + 회사 캘리브레이션 +16.0%p(최근 4분기 실측−타겟 중위) — 신규수주 매출에도 같은 타겟 — 코호트 경로 없음 → 실측 중위 고정(원 타겟 전 분기 10.8% 상수(코호트 모드 reference_anchor); 경로 변화는 등급 없는 비중의 실측 중위 26.8% 채움에서만, 추정 구간 타겟 10.80%→10.80%))
[identity]</t>
      </text>
    </comment>
    <comment ref="K10" authorId="0" shapeId="0">
      <text>
        <t>추정: SLS 코호트 타겟 10.8%(코호트 모드 reference_anchor; 등급 비중 100% × 코호트 10.8% + 등급없음 0% × 최근 4분기 실측 OPM 중위 26.8%) + 회사 캘리브레이션 +16.0%p(최근 4분기 실측−타겟 중위) — 신규수주 매출에도 같은 타겟 — 코호트 경로 없음 → 실측 중위 고정(원 타겟 전 분기 10.8% 상수(코호트 모드 reference_anchor); 경로 변화는 등급 없는 비중의 실측 중위 26.8% 채움에서만, 추정 구간 타겟 10.80%→10.80%)
[divide]</t>
      </text>
    </comment>
    <comment ref="L10" authorId="0" shapeId="0">
      <text>
        <t>추정: SLS 코호트 타겟 10.8%(코호트 모드 reference_anchor; 등급 비중 100% × 코호트 10.8% + 등급없음 0% × 최근 4분기 실측 OPM 중위 26.8%) + 회사 캘리브레이션 +16.0%p(최근 4분기 실측−타겟 중위) — 신규수주 매출에도 같은 타겟 — 코호트 경로 없음 → 실측 중위 고정(원 타겟 전 분기 10.8% 상수(코호트 모드 reference_anchor); 경로 변화는 등급 없는 비중의 실측 중위 26.8% 채움에서만, 추정 구간 타겟 10.80%→10.80%)
[divide]</t>
      </text>
    </comment>
    <comment ref="N10" authorId="0" shapeId="0">
      <text>
        <t>추정: SLS 코호트 타겟 10.8%(코호트 모드 reference_anchor; 등급 비중 100% × 코호트 10.8% + 등급없음 0% × 최근 4분기 실측 OPM 중위 26.8%) + 회사 캘리브레이션 +16.0%p(최근 4분기 실측−타겟 중위) — 신규수주 매출에도 같은 타겟 — 코호트 경로 없음 → 실측 중위 고정(원 타겟 전 분기 10.8% 상수(코호트 모드 reference_anchor); 경로 변화는 등급 없는 비중의 실측 중위 26.8% 채움에서만, 추정 구간 타겟 10.80%→10.80%)
[divide]</t>
      </text>
    </comment>
    <comment ref="O10" authorId="0" shapeId="0">
      <text>
        <t>추정: SLS 코호트 타겟 10.8%(코호트 모드 reference_anchor; 등급 비중 100% × 코호트 10.8% + 등급없음 0% × 최근 4분기 실측 OPM 중위 26.8%) + 회사 캘리브레이션 +16.0%p(최근 4분기 실측−타겟 중위) — 신규수주 매출에도 같은 타겟 — 코호트 경로 없음 → 실측 중위 고정(원 타겟 전 분기 10.8% 상수(코호트 모드 reference_anchor); 경로 변화는 등급 없는 비중의 실측 중위 26.8% 채움에서만, 추정 구간 타겟 10.80%→10.80%)
[divide]</t>
      </text>
    </comment>
    <comment ref="P10" authorId="0" shapeId="0">
      <text>
        <t>추정: SLS 코호트 타겟 10.8%(코호트 모드 reference_anchor; 등급 비중 100% × 코호트 10.8% + 등급없음 0% × 최근 4분기 실측 OPM 중위 26.8%) + 회사 캘리브레이션 +16.0%p(최근 4분기 실측−타겟 중위) — 신규수주 매출에도 같은 타겟 — 코호트 경로 없음 → 실측 중위 고정(원 타겟 전 분기 10.8% 상수(코호트 모드 reference_anchor); 경로 변화는 등급 없는 비중의 실측 중위 26.8% 채움에서만, 추정 구간 타겟 10.80%→10.80%)
[divide]</t>
      </text>
    </comment>
    <comment ref="Q10" authorId="0" shapeId="0">
      <text>
        <t>추정: SLS 코호트 타겟 10.8%(코호트 모드 reference_anchor; 등급 비중 100% × 코호트 10.8% + 등급없음 0% × 최근 4분기 실측 OPM 중위 26.8%) + 회사 캘리브레이션 +16.0%p(최근 4분기 실측−타겟 중위) — 신규수주 매출에도 같은 타겟 — 코호트 경로 없음 → 실측 중위 고정(원 타겟 전 분기 10.8% 상수(코호트 모드 reference_anchor); 경로 변화는 등급 없는 비중의 실측 중위 26.8% 채움에서만, 추정 구간 타겟 10.80%→10.80%)
[divide]</t>
      </text>
    </comment>
    <comment ref="S10" authorId="0" shapeId="0">
      <text>
        <t>추정: SLS 코호트 타겟 10.8%(코호트 모드 reference_anchor; 등급 비중 100% × 코호트 10.8% + 등급없음 0% × 최근 4분기 실측 OPM 중위 26.8%) + 회사 캘리브레이션 +16.0%p(최근 4분기 실측−타겟 중위) — 신규수주 매출에도 같은 타겟 — 코호트 경로 없음 → 실측 중위 고정(원 타겟 전 분기 10.8% 상수(코호트 모드 reference_anchor); 경로 변화는 등급 없는 비중의 실측 중위 26.8% 채움에서만, 추정 구간 타겟 10.80%→10.80%)
[divide]</t>
      </text>
    </comment>
    <comment ref="T10" authorId="0" shapeId="0">
      <text>
        <t>추정: SLS 코호트 타겟 10.8%(코호트 모드 reference_anchor; 등급 비중 100% × 코호트 10.8% + 등급없음 0% × 최근 4분기 실측 OPM 중위 26.8%) + 회사 캘리브레이션 +16.0%p(최근 4분기 실측−타겟 중위) — 신규수주 매출에도 같은 타겟 — 코호트 경로 없음 → 실측 중위 고정(원 타겟 전 분기 10.8% 상수(코호트 모드 reference_anchor); 경로 변화는 등급 없는 비중의 실측 중위 26.8% 채움에서만, 추정 구간 타겟 10.80%→10.80%)
[divide]</t>
      </text>
    </comment>
    <comment ref="U10" authorId="0" shapeId="0">
      <text>
        <t>추정: SLS 코호트 타겟 10.8%(코호트 모드 reference_anchor; 등급 비중 100% × 코호트 10.8% + 등급없음 0% × 최근 4분기 실측 OPM 중위 26.8%) + 회사 캘리브레이션 +16.0%p(최근 4분기 실측−타겟 중위) — 신규수주 매출에도 같은 타겟 — 코호트 경로 없음 → 실측 중위 고정(원 타겟 전 분기 10.8% 상수(코호트 모드 reference_anchor); 경로 변화는 등급 없는 비중의 실측 중위 26.8% 채움에서만, 추정 구간 타겟 10.80%→10.80%)
[divide]</t>
      </text>
    </comment>
    <comment ref="V10" authorId="0" shapeId="0">
      <text>
        <t>추정: SLS 코호트 타겟 10.8%(코호트 모드 reference_anchor; 등급 비중 100% × 코호트 10.8% + 등급없음 0% × 최근 4분기 실측 OPM 중위 26.8%) + 회사 캘리브레이션 +16.0%p(최근 4분기 실측−타겟 중위) — 신규수주 매출에도 같은 타겟 — 코호트 경로 없음 → 실측 중위 고정(원 타겟 전 분기 10.8% 상수(코호트 모드 reference_anchor); 경로 변화는 등급 없는 비중의 실측 중위 26.8% 채움에서만, 추정 구간 타겟 10.80%→10.80%)
[divide]</t>
      </text>
    </comment>
    <comment ref="K11" authorId="0" shapeId="0">
      <text>
        <t>추정: 이자손익 + 외환손익 0 + 파생상품손익 0 + 기타금융손익 +0.00억(잔차 실측 3분기 &lt; 4 → 0) (항등식); 이자손익 = 이자발생자산 5802억 × 2.21%(주석 이자수익 ÷ 평균 이자발생자산(2025Q3~2026Q2)) − 총차입금 0억 × 0.00%(없음) (연율) ÷ 4; 환율 효과는 환관련손익 행 별도
[identity]</t>
      </text>
    </comment>
    <comment ref="L11" authorId="0" shapeId="0">
      <text>
        <t>추정: 이자손익 + 외환손익 0 + 파생상품손익 0 + 기타금융손익 +0.00억(잔차 실측 3분기 &lt; 4 → 0) (항등식); 이자손익 = 이자발생자산 6410억 × 2.21%(주석 이자수익 ÷ 평균 이자발생자산(2025Q3~2026Q2)) − 총차입금 0억 × 0.00%(없음) (연율) ÷ 4; 환율 효과는 환관련손익 행 별도
[identity]</t>
      </text>
    </comment>
    <comment ref="N11" authorId="0" shapeId="0">
      <text>
        <t>추정: 이자손익 + 외환손익 0 + 파생상품손익 0 + 기타금융손익 +0.00억(잔차 실측 3분기 &lt; 4 → 0) (항등식); 이자손익 = 이자발생자산 7023억 × 2.21%(주석 이자수익 ÷ 평균 이자발생자산(2025Q3~2026Q2)) − 총차입금 0억 × 0.00%(없음) (연율) ÷ 4; 환율 효과는 환관련손익 행 별도
[identity]</t>
      </text>
    </comment>
    <comment ref="O11" authorId="0" shapeId="0">
      <text>
        <t>추정: 이자손익 + 외환손익 0 + 파생상품손익 0 + 기타금융손익 +0.00억(잔차 실측 3분기 &lt; 4 → 0) (항등식); 이자손익 = 이자발생자산 7652억 × 2.21%(주석 이자수익 ÷ 평균 이자발생자산(2025Q3~2026Q2)) − 총차입금 0억 × 0.00%(없음) (연율) ÷ 4; 환율 효과는 환관련손익 행 별도
[identity]</t>
      </text>
    </comment>
    <comment ref="P11" authorId="0" shapeId="0">
      <text>
        <t>추정: 이자손익 + 외환손익 0 + 파생상품손익 0 + 기타금융손익 +0.00억(잔차 실측 3분기 &lt; 4 → 0) (항등식); 이자손익 = 이자발생자산 8249억 × 2.21%(주석 이자수익 ÷ 평균 이자발생자산(2025Q3~2026Q2)) − 총차입금 0억 × 0.00%(없음) (연율) ÷ 4; 환율 효과는 환관련손익 행 별도
[identity]</t>
      </text>
    </comment>
    <comment ref="Q11" authorId="0" shapeId="0">
      <text>
        <t>추정: 이자손익 + 외환손익 0 + 파생상품손익 0 + 기타금융손익 +0.00억(잔차 실측 3분기 &lt; 4 → 0) (항등식); 이자손익 = 이자발생자산 8994억 × 2.21%(주석 이자수익 ÷ 평균 이자발생자산(2025Q3~2026Q2)) − 총차입금 0억 × 0.00%(없음) (연율) ÷ 4; 환율 효과는 환관련손익 행 별도
[identity]</t>
      </text>
    </comment>
    <comment ref="S11" authorId="0" shapeId="0">
      <text>
        <t>추정: 이자손익 + 외환손익 0 + 파생상품손익 0 + 기타금융손익 +0.00억(잔차 실측 3분기 &lt; 4 → 0) (항등식); 이자손익 = 이자발생자산 9763억 × 2.21%(주석 이자수익 ÷ 평균 이자발생자산(2025Q3~2026Q2)) − 총차입금 0억 × 0.00%(없음) (연율) ÷ 4; 환율 효과는 환관련손익 행 별도
[identity]</t>
      </text>
    </comment>
    <comment ref="T11" authorId="0" shapeId="0">
      <text>
        <t>추정: 이자손익 + 외환손익 0 + 파생상품손익 0 + 기타금융손익 +0.00억(잔차 실측 3분기 &lt; 4 → 0) (항등식); 이자손익 = 이자발생자산 10597억 × 2.21%(주석 이자수익 ÷ 평균 이자발생자산(2025Q3~2026Q2)) − 총차입금 0억 × 0.00%(없음) (연율) ÷ 4; 환율 효과는 환관련손익 행 별도
[identity]</t>
      </text>
    </comment>
    <comment ref="U11" authorId="0" shapeId="0">
      <text>
        <t>추정: 이자손익 + 외환손익 0 + 파생상품손익 0 + 기타금융손익 +0.00억(잔차 실측 3분기 &lt; 4 → 0) (항등식); 이자손익 = 이자발생자산 11442억 × 2.21%(주석 이자수익 ÷ 평균 이자발생자산(2025Q3~2026Q2)) − 총차입금 0억 × 0.00%(없음) (연율) ÷ 4; 환율 효과는 환관련손익 행 별도
[identity]</t>
      </text>
    </comment>
    <comment ref="V11" authorId="0" shapeId="0">
      <text>
        <t>추정: 이자손익 + 외환손익 0 + 파생상품손익 0 + 기타금융손익 +0.00억(잔차 실측 3분기 &lt; 4 → 0) (항등식); 이자손익 = 이자발생자산 12437억 × 2.21%(주석 이자수익 ÷ 평균 이자발생자산(2025Q3~2026Q2)) − 총차입금 0억 × 0.00%(없음) (연율) ÷ 4; 환율 효과는 환관련손익 행 별도
[identity]</t>
      </text>
    </comment>
    <comment ref="K12" authorId="0" shapeId="0">
      <text>
        <t>추정: 이자발생자산 5802억 × 2.21%(주석 이자수익 ÷ 평균 이자발생자산(2025Q3~2026Q2)) − 총차입금 0억 × 0.00%(없음) (연율) ÷ 4
[interest]</t>
      </text>
    </comment>
    <comment ref="L12" authorId="0" shapeId="0">
      <text>
        <t>추정: 이자발생자산 6410억 × 2.21%(주석 이자수익 ÷ 평균 이자발생자산(2025Q3~2026Q2)) − 총차입금 0억 × 0.00%(없음) (연율) ÷ 4
[interest]</t>
      </text>
    </comment>
    <comment ref="N12" authorId="0" shapeId="0">
      <text>
        <t>추정: 이자발생자산 7023억 × 2.21%(주석 이자수익 ÷ 평균 이자발생자산(2025Q3~2026Q2)) − 총차입금 0억 × 0.00%(없음) (연율) ÷ 4
[interest]</t>
      </text>
    </comment>
    <comment ref="O12" authorId="0" shapeId="0">
      <text>
        <t>추정: 이자발생자산 7652억 × 2.21%(주석 이자수익 ÷ 평균 이자발생자산(2025Q3~2026Q2)) − 총차입금 0억 × 0.00%(없음) (연율) ÷ 4
[interest]</t>
      </text>
    </comment>
    <comment ref="P12" authorId="0" shapeId="0">
      <text>
        <t>추정: 이자발생자산 8249억 × 2.21%(주석 이자수익 ÷ 평균 이자발생자산(2025Q3~2026Q2)) − 총차입금 0억 × 0.00%(없음) (연율) ÷ 4
[interest]</t>
      </text>
    </comment>
    <comment ref="Q12" authorId="0" shapeId="0">
      <text>
        <t>추정: 이자발생자산 8994억 × 2.21%(주석 이자수익 ÷ 평균 이자발생자산(2025Q3~2026Q2)) − 총차입금 0억 × 0.00%(없음) (연율) ÷ 4
[interest]</t>
      </text>
    </comment>
    <comment ref="S12" authorId="0" shapeId="0">
      <text>
        <t>추정: 이자발생자산 9763억 × 2.21%(주석 이자수익 ÷ 평균 이자발생자산(2025Q3~2026Q2)) − 총차입금 0억 × 0.00%(없음) (연율) ÷ 4
[interest]</t>
      </text>
    </comment>
    <comment ref="T12" authorId="0" shapeId="0">
      <text>
        <t>추정: 이자발생자산 10597억 × 2.21%(주석 이자수익 ÷ 평균 이자발생자산(2025Q3~2026Q2)) − 총차입금 0억 × 0.00%(없음) (연율) ÷ 4
[interest]</t>
      </text>
    </comment>
    <comment ref="U12" authorId="0" shapeId="0">
      <text>
        <t>추정: 이자발생자산 11442억 × 2.21%(주석 이자수익 ÷ 평균 이자발생자산(2025Q3~2026Q2)) − 총차입금 0억 × 0.00%(없음) (연율) ÷ 4
[interest]</t>
      </text>
    </comment>
    <comment ref="V12" authorId="0" shapeId="0">
      <text>
        <t>추정: 이자발생자산 12437억 × 2.21%(주석 이자수익 ÷ 평균 이자발생자산(2025Q3~2026Q2)) − 총차입금 0억 × 0.00%(없음) (연율) ÷ 4
[interest]</t>
      </text>
    </comment>
    <comment ref="E13" authorId="0" shapeId="0">
      <text>
        <t>BS 계정 합·차: +외환차익 -외환차손 +외화환산이익 -외화환산손실</t>
      </text>
    </comment>
    <comment ref="F13" authorId="0" shapeId="0">
      <text>
        <t>BS 계정 합·차: +외환차익 -외환차손 +외화환산이익 -외화환산손실</t>
      </text>
    </comment>
    <comment ref="G13" authorId="0" shapeId="0">
      <text>
        <t>BS 계정 합·차: +외환차익 -외환차손 +외화환산이익 -외화환산손실</t>
      </text>
    </comment>
    <comment ref="K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L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N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O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P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Q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S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T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U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V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E14" authorId="0" shapeId="0">
      <text>
        <t>BS 계정 합·차: +파생상품이익 -파생상품손실</t>
      </text>
    </comment>
    <comment ref="F14" authorId="0" shapeId="0">
      <text>
        <t>BS 계정 합·차: +파생상품이익 -파생상품손실</t>
      </text>
    </comment>
    <comment ref="G14" authorId="0" shapeId="0">
      <text>
        <t>BS 계정 합·차: +파생상품이익 -파생상품손실</t>
      </text>
    </comment>
    <comment ref="I14" authorId="0" shapeId="0">
      <text>
        <t>BS 계정 합·차: +파생상품이익 -파생상품손실</t>
      </text>
    </comment>
    <comment ref="J14" authorId="0" shapeId="0">
      <text>
        <t>BS 계정 합·차: +파생상품이익 -파생상품손실</t>
      </text>
    </comment>
    <comment ref="K14" authorId="0" shapeId="0">
      <text>
        <t>추정: 파생상품 평가·거래손익 0 가정
[abs]</t>
      </text>
    </comment>
    <comment ref="L14" authorId="0" shapeId="0">
      <text>
        <t>추정: 파생상품 평가·거래손익 0 가정
[abs]</t>
      </text>
    </comment>
    <comment ref="N14" authorId="0" shapeId="0">
      <text>
        <t>추정: 파생상품 평가·거래손익 0 가정
[abs]</t>
      </text>
    </comment>
    <comment ref="O14" authorId="0" shapeId="0">
      <text>
        <t>추정: 파생상품 평가·거래손익 0 가정
[abs]</t>
      </text>
    </comment>
    <comment ref="P14" authorId="0" shapeId="0">
      <text>
        <t>추정: 파생상품 평가·거래손익 0 가정
[abs]</t>
      </text>
    </comment>
    <comment ref="Q14" authorId="0" shapeId="0">
      <text>
        <t>추정: 파생상품 평가·거래손익 0 가정
[abs]</t>
      </text>
    </comment>
    <comment ref="S14" authorId="0" shapeId="0">
      <text>
        <t>추정: 파생상품 평가·거래손익 0 가정
[abs]</t>
      </text>
    </comment>
    <comment ref="T14" authorId="0" shapeId="0">
      <text>
        <t>추정: 파생상품 평가·거래손익 0 가정
[abs]</t>
      </text>
    </comment>
    <comment ref="U14" authorId="0" shapeId="0">
      <text>
        <t>추정: 파생상품 평가·거래손익 0 가정
[abs]</t>
      </text>
    </comment>
    <comment ref="V14" authorId="0" shapeId="0">
      <text>
        <t>추정: 파생상품 평가·거래손익 0 가정
[abs]</t>
      </text>
    </comment>
    <comment ref="K15" authorId="0" shapeId="0">
      <text>
        <t>추정: 잔차 실측 3분기 &lt; 4 → 0
[abs]</t>
      </text>
    </comment>
    <comment ref="L15" authorId="0" shapeId="0">
      <text>
        <t>추정: 잔차 실측 3분기 &lt; 4 → 0
[abs]</t>
      </text>
    </comment>
    <comment ref="N15" authorId="0" shapeId="0">
      <text>
        <t>추정: 잔차 실측 3분기 &lt; 4 → 0
[abs]</t>
      </text>
    </comment>
    <comment ref="O15" authorId="0" shapeId="0">
      <text>
        <t>추정: 잔차 실측 3분기 &lt; 4 → 0
[abs]</t>
      </text>
    </comment>
    <comment ref="P15" authorId="0" shapeId="0">
      <text>
        <t>추정: 잔차 실측 3분기 &lt; 4 → 0
[abs]</t>
      </text>
    </comment>
    <comment ref="Q15" authorId="0" shapeId="0">
      <text>
        <t>추정: 잔차 실측 3분기 &lt; 4 → 0
[abs]</t>
      </text>
    </comment>
    <comment ref="S15" authorId="0" shapeId="0">
      <text>
        <t>추정: 잔차 실측 3분기 &lt; 4 → 0
[abs]</t>
      </text>
    </comment>
    <comment ref="T15" authorId="0" shapeId="0">
      <text>
        <t>추정: 잔차 실측 3분기 &lt; 4 → 0
[abs]</t>
      </text>
    </comment>
    <comment ref="U15" authorId="0" shapeId="0">
      <text>
        <t>추정: 잔차 실측 3분기 &lt; 4 → 0
[abs]</t>
      </text>
    </comment>
    <comment ref="V15" authorId="0" shapeId="0">
      <text>
        <t>추정: 잔차 실측 3분기 &lt; 4 → 0
[abs]</t>
      </text>
    </comment>
    <comment ref="K16" authorId="0" shapeId="0">
      <text>
        <t>추정: 일회성 미가정 → 0
[abs]</t>
      </text>
    </comment>
    <comment ref="L16" authorId="0" shapeId="0">
      <text>
        <t>추정: 일회성 미가정 → 0
[abs]</t>
      </text>
    </comment>
    <comment ref="N16" authorId="0" shapeId="0">
      <text>
        <t>추정: 일회성 미가정 → 0
[abs]</t>
      </text>
    </comment>
    <comment ref="O16" authorId="0" shapeId="0">
      <text>
        <t>추정: 일회성 미가정 → 0
[abs]</t>
      </text>
    </comment>
    <comment ref="P16" authorId="0" shapeId="0">
      <text>
        <t>추정: 일회성 미가정 → 0
[abs]</t>
      </text>
    </comment>
    <comment ref="Q16" authorId="0" shapeId="0">
      <text>
        <t>추정: 일회성 미가정 → 0
[abs]</t>
      </text>
    </comment>
    <comment ref="S16" authorId="0" shapeId="0">
      <text>
        <t>추정: 일회성 미가정 → 0
[abs]</t>
      </text>
    </comment>
    <comment ref="T16" authorId="0" shapeId="0">
      <text>
        <t>추정: 일회성 미가정 → 0
[abs]</t>
      </text>
    </comment>
    <comment ref="U16" authorId="0" shapeId="0">
      <text>
        <t>추정: 일회성 미가정 → 0
[abs]</t>
      </text>
    </comment>
    <comment ref="V16" authorId="0" shapeId="0">
      <text>
        <t>추정: 일회성 미가정 → 0
[abs]</t>
      </text>
    </comment>
    <comment ref="K17" authorId="0" shapeId="0">
      <text>
        <t>추정: 외화 순노출 -2백만$ × Δ기말 원/달러(가정 — 마지막 ECB 관측치를 2028Q4 까지 평평하게 둔다. 선도환율·컨센서스 아님.) — 실적 외환손익(금융손익 안)과 별개, 추정 외환손익은 0
[fxpnl]</t>
      </text>
    </comment>
    <comment ref="L17" authorId="0" shapeId="0">
      <text>
        <t>추정: 외화 순노출 -2백만$ × Δ기말 원/달러(가정 — 마지막 ECB 관측치를 2028Q4 까지 평평하게 둔다. 선도환율·컨센서스 아님.) — 실적 외환손익(금융손익 안)과 별개, 추정 외환손익은 0
[fxpnl]</t>
      </text>
    </comment>
    <comment ref="N17" authorId="0" shapeId="0">
      <text>
        <t>추정: 외화 순노출 -2백만$ × Δ기말 원/달러(가정 — 마지막 ECB 관측치를 2028Q4 까지 평평하게 둔다. 선도환율·컨센서스 아님.) — 실적 외환손익(금융손익 안)과 별개, 추정 외환손익은 0
[fxpnl]</t>
      </text>
    </comment>
    <comment ref="O17" authorId="0" shapeId="0">
      <text>
        <t>추정: 외화 순노출 -2백만$ × Δ기말 원/달러(가정 — 마지막 ECB 관측치를 2028Q4 까지 평평하게 둔다. 선도환율·컨센서스 아님.) — 실적 외환손익(금융손익 안)과 별개, 추정 외환손익은 0
[fxpnl]</t>
      </text>
    </comment>
    <comment ref="P17" authorId="0" shapeId="0">
      <text>
        <t>추정: 외화 순노출 -2백만$ × Δ기말 원/달러(가정 — 마지막 ECB 관측치를 2028Q4 까지 평평하게 둔다. 선도환율·컨센서스 아님.) — 실적 외환손익(금융손익 안)과 별개, 추정 외환손익은 0
[fxpnl]</t>
      </text>
    </comment>
    <comment ref="Q17" authorId="0" shapeId="0">
      <text>
        <t>추정: 외화 순노출 -2백만$ × Δ기말 원/달러(가정 — 마지막 ECB 관측치를 2028Q4 까지 평평하게 둔다. 선도환율·컨센서스 아님.) — 실적 외환손익(금융손익 안)과 별개, 추정 외환손익은 0
[fxpnl]</t>
      </text>
    </comment>
    <comment ref="S17" authorId="0" shapeId="0">
      <text>
        <t>추정: 외화 순노출 -2백만$ × Δ기말 원/달러(가정 — 마지막 ECB 관측치를 2028Q4 까지 평평하게 둔다. 선도환율·컨센서스 아님.) — 실적 외환손익(금융손익 안)과 별개, 추정 외환손익은 0
[fxpnl]</t>
      </text>
    </comment>
    <comment ref="T17" authorId="0" shapeId="0">
      <text>
        <t>추정: 외화 순노출 -2백만$ × Δ기말 원/달러(가정 — 마지막 ECB 관측치를 2028Q4 까지 평평하게 둔다. 선도환율·컨센서스 아님.) — 실적 외환손익(금융손익 안)과 별개, 추정 외환손익은 0
[fxpnl]</t>
      </text>
    </comment>
    <comment ref="U17" authorId="0" shapeId="0">
      <text>
        <t>추정: 외화 순노출 -2백만$ × Δ기말 원/달러(가정 — 마지막 ECB 관측치를 2028Q4 까지 평평하게 둔다. 선도환율·컨센서스 아님.) — 실적 외환손익(금융손익 안)과 별개, 추정 외환손익은 0
[fxpnl]</t>
      </text>
    </comment>
    <comment ref="V17" authorId="0" shapeId="0">
      <text>
        <t>추정: 외화 순노출 -2백만$ × Δ기말 원/달러(가정 — 마지막 ECB 관측치를 2028Q4 까지 평평하게 둔다. 선도환율·컨센서스 아님.) — 실적 외환손익(금융손익 안)과 별개, 추정 외환손익은 0
[fxpnl]</t>
      </text>
    </comment>
    <comment ref="K18" authorId="0" shapeId="0">
      <text>
        <t>추정: 영업이익 + 금융손익 + 기타영업외 + 지분법 + 환관련(항등식)
[identity]</t>
      </text>
    </comment>
    <comment ref="L18" authorId="0" shapeId="0">
      <text>
        <t>추정: 영업이익 + 금융손익 + 기타영업외 + 지분법 + 환관련(항등식)
[identity]</t>
      </text>
    </comment>
    <comment ref="N18" authorId="0" shapeId="0">
      <text>
        <t>추정: 영업이익 + 금융손익 + 기타영업외 + 지분법 + 환관련(항등식)
[identity]</t>
      </text>
    </comment>
    <comment ref="O18" authorId="0" shapeId="0">
      <text>
        <t>추정: 영업이익 + 금융손익 + 기타영업외 + 지분법 + 환관련(항등식)
[identity]</t>
      </text>
    </comment>
    <comment ref="P18" authorId="0" shapeId="0">
      <text>
        <t>추정: 영업이익 + 금융손익 + 기타영업외 + 지분법 + 환관련(항등식)
[identity]</t>
      </text>
    </comment>
    <comment ref="Q18" authorId="0" shapeId="0">
      <text>
        <t>추정: 영업이익 + 금융손익 + 기타영업외 + 지분법 + 환관련(항등식)
[identity]</t>
      </text>
    </comment>
    <comment ref="S18" authorId="0" shapeId="0">
      <text>
        <t>추정: 영업이익 + 금융손익 + 기타영업외 + 지분법 + 환관련(항등식)
[identity]</t>
      </text>
    </comment>
    <comment ref="T18" authorId="0" shapeId="0">
      <text>
        <t>추정: 영업이익 + 금융손익 + 기타영업외 + 지분법 + 환관련(항등식)
[identity]</t>
      </text>
    </comment>
    <comment ref="U18" authorId="0" shapeId="0">
      <text>
        <t>추정: 영업이익 + 금융손익 + 기타영업외 + 지분법 + 환관련(항등식)
[identity]</t>
      </text>
    </comment>
    <comment ref="V18" authorId="0" shapeId="0">
      <text>
        <t>추정: 영업이익 + 금융손익 + 기타영업외 + 지분법 + 환관련(항등식)
[identity]</t>
      </text>
    </comment>
    <comment ref="K19" authorId="0" shapeId="0">
      <text>
        <t>추정: max(세전, 0) × 세율 22.8%(최근 5분기 유효세율 22.8%(5~27% 안 — 그대로))
[tax]</t>
      </text>
    </comment>
    <comment ref="L19" authorId="0" shapeId="0">
      <text>
        <t>추정: max(세전, 0) × 세율 22.8%(최근 5분기 유효세율 22.8%(5~27% 안 — 그대로))
[tax]</t>
      </text>
    </comment>
    <comment ref="N19" authorId="0" shapeId="0">
      <text>
        <t>추정: max(세전, 0) × 세율 22.8%(최근 5분기 유효세율 22.8%(5~27% 안 — 그대로))
[tax]</t>
      </text>
    </comment>
    <comment ref="O19" authorId="0" shapeId="0">
      <text>
        <t>추정: max(세전, 0) × 세율 22.8%(최근 5분기 유효세율 22.8%(5~27% 안 — 그대로))
[tax]</t>
      </text>
    </comment>
    <comment ref="P19" authorId="0" shapeId="0">
      <text>
        <t>추정: max(세전, 0) × 세율 22.8%(최근 5분기 유효세율 22.8%(5~27% 안 — 그대로))
[tax]</t>
      </text>
    </comment>
    <comment ref="Q19" authorId="0" shapeId="0">
      <text>
        <t>추정: max(세전, 0) × 세율 22.8%(최근 5분기 유효세율 22.8%(5~27% 안 — 그대로))
[tax]</t>
      </text>
    </comment>
    <comment ref="S19" authorId="0" shapeId="0">
      <text>
        <t>추정: max(세전, 0) × 세율 22.8%(최근 5분기 유효세율 22.8%(5~27% 안 — 그대로))
[tax]</t>
      </text>
    </comment>
    <comment ref="T19" authorId="0" shapeId="0">
      <text>
        <t>추정: max(세전, 0) × 세율 22.8%(최근 5분기 유효세율 22.8%(5~27% 안 — 그대로))
[tax]</t>
      </text>
    </comment>
    <comment ref="U19" authorId="0" shapeId="0">
      <text>
        <t>추정: max(세전, 0) × 세율 22.8%(최근 5분기 유효세율 22.8%(5~27% 안 — 그대로))
[tax]</t>
      </text>
    </comment>
    <comment ref="V19" authorId="0" shapeId="0">
      <text>
        <t>추정: max(세전, 0) × 세율 22.8%(최근 5분기 유효세율 22.8%(5~27% 안 — 그대로))
[tax]</t>
      </text>
    </comment>
    <comment ref="K20" authorId="0" shapeId="0">
      <text>
        <t>추정: 세전이익 − 법인세비용(항등식)
[identity]</t>
      </text>
    </comment>
    <comment ref="L20" authorId="0" shapeId="0">
      <text>
        <t>추정: 세전이익 − 법인세비용(항등식)
[identity]</t>
      </text>
    </comment>
    <comment ref="N20" authorId="0" shapeId="0">
      <text>
        <t>추정: 세전이익 − 법인세비용(항등식)
[identity]</t>
      </text>
    </comment>
    <comment ref="O20" authorId="0" shapeId="0">
      <text>
        <t>추정: 세전이익 − 법인세비용(항등식)
[identity]</t>
      </text>
    </comment>
    <comment ref="P20" authorId="0" shapeId="0">
      <text>
        <t>추정: 세전이익 − 법인세비용(항등식)
[identity]</t>
      </text>
    </comment>
    <comment ref="Q20" authorId="0" shapeId="0">
      <text>
        <t>추정: 세전이익 − 법인세비용(항등식)
[identity]</t>
      </text>
    </comment>
    <comment ref="S20" authorId="0" shapeId="0">
      <text>
        <t>추정: 세전이익 − 법인세비용(항등식)
[identity]</t>
      </text>
    </comment>
    <comment ref="T20" authorId="0" shapeId="0">
      <text>
        <t>추정: 세전이익 − 법인세비용(항등식)
[identity]</t>
      </text>
    </comment>
    <comment ref="U20" authorId="0" shapeId="0">
      <text>
        <t>추정: 세전이익 − 법인세비용(항등식)
[identity]</t>
      </text>
    </comment>
    <comment ref="V20" authorId="0" shapeId="0">
      <text>
        <t>추정: 세전이익 − 법인세비용(항등식)
[identity]</t>
      </text>
    </comment>
    <comment ref="K21" authorId="0" shapeId="0">
      <text>
        <t>추정: 당기순이익 × (1 − 비지배 비중 0.0%, 최근 8분기 실측)
[ratio]</t>
      </text>
    </comment>
    <comment ref="L21" authorId="0" shapeId="0">
      <text>
        <t>추정: 당기순이익 × (1 − 비지배 비중 0.0%, 최근 8분기 실측)
[ratio]</t>
      </text>
    </comment>
    <comment ref="N21" authorId="0" shapeId="0">
      <text>
        <t>추정: 당기순이익 × (1 − 비지배 비중 0.0%, 최근 8분기 실측)
[ratio]</t>
      </text>
    </comment>
    <comment ref="O21" authorId="0" shapeId="0">
      <text>
        <t>추정: 당기순이익 × (1 − 비지배 비중 0.0%, 최근 8분기 실측)
[ratio]</t>
      </text>
    </comment>
    <comment ref="P21" authorId="0" shapeId="0">
      <text>
        <t>추정: 당기순이익 × (1 − 비지배 비중 0.0%, 최근 8분기 실측)
[ratio]</t>
      </text>
    </comment>
    <comment ref="Q21" authorId="0" shapeId="0">
      <text>
        <t>추정: 당기순이익 × (1 − 비지배 비중 0.0%, 최근 8분기 실측)
[ratio]</t>
      </text>
    </comment>
    <comment ref="S21" authorId="0" shapeId="0">
      <text>
        <t>추정: 당기순이익 × (1 − 비지배 비중 0.0%, 최근 8분기 실측)
[ratio]</t>
      </text>
    </comment>
    <comment ref="T21" authorId="0" shapeId="0">
      <text>
        <t>추정: 당기순이익 × (1 − 비지배 비중 0.0%, 최근 8분기 실측)
[ratio]</t>
      </text>
    </comment>
    <comment ref="U21" authorId="0" shapeId="0">
      <text>
        <t>추정: 당기순이익 × (1 − 비지배 비중 0.0%, 최근 8분기 실측)
[ratio]</t>
      </text>
    </comment>
    <comment ref="V21" authorId="0" shapeId="0">
      <text>
        <t>추정: 당기순이익 × (1 − 비지배 비중 0.0%, 최근 8분기 실측)
[ratio]</t>
      </text>
    </comment>
    <comment ref="K22" authorId="0" shapeId="0">
      <text>
        <t>추정: 부채총계 + 자본총계(항등식)
[identity]</t>
      </text>
    </comment>
    <comment ref="L22" authorId="0" shapeId="0">
      <text>
        <t>추정: 부채총계 + 자본총계(항등식)
[identity]</t>
      </text>
    </comment>
    <comment ref="N22" authorId="0" shapeId="0">
      <text>
        <t>추정: 부채총계 + 자본총계(항등식)
[identity]</t>
      </text>
    </comment>
    <comment ref="O22" authorId="0" shapeId="0">
      <text>
        <t>추정: 부채총계 + 자본총계(항등식)
[identity]</t>
      </text>
    </comment>
    <comment ref="P22" authorId="0" shapeId="0">
      <text>
        <t>추정: 부채총계 + 자본총계(항등식)
[identity]</t>
      </text>
    </comment>
    <comment ref="Q22" authorId="0" shapeId="0">
      <text>
        <t>추정: 부채총계 + 자본총계(항등식)
[identity]</t>
      </text>
    </comment>
    <comment ref="S22" authorId="0" shapeId="0">
      <text>
        <t>추정: 부채총계 + 자본총계(항등식)
[identity]</t>
      </text>
    </comment>
    <comment ref="T22" authorId="0" shapeId="0">
      <text>
        <t>추정: 부채총계 + 자본총계(항등식)
[identity]</t>
      </text>
    </comment>
    <comment ref="U22" authorId="0" shapeId="0">
      <text>
        <t>추정: 부채총계 + 자본총계(항등식)
[identity]</t>
      </text>
    </comment>
    <comment ref="V22" authorId="0" shapeId="0">
      <text>
        <t>추정: 부채총계 + 자본총계(항등식)
[identity]</t>
      </text>
    </comment>
    <comment ref="K23" authorId="0" shapeId="0">
      <text>
        <t>추정: 마지막 실적 유지(가정)
[qoq]</t>
      </text>
    </comment>
    <comment ref="L23" authorId="0" shapeId="0">
      <text>
        <t>추정: 마지막 실적 유지(가정)
[qoq]</t>
      </text>
    </comment>
    <comment ref="N23" authorId="0" shapeId="0">
      <text>
        <t>추정: 마지막 실적 유지(가정)
[qoq]</t>
      </text>
    </comment>
    <comment ref="O23" authorId="0" shapeId="0">
      <text>
        <t>추정: 마지막 실적 유지(가정)
[qoq]</t>
      </text>
    </comment>
    <comment ref="P23" authorId="0" shapeId="0">
      <text>
        <t>추정: 마지막 실적 유지(가정)
[qoq]</t>
      </text>
    </comment>
    <comment ref="Q23" authorId="0" shapeId="0">
      <text>
        <t>추정: 마지막 실적 유지(가정)
[qoq]</t>
      </text>
    </comment>
    <comment ref="S23" authorId="0" shapeId="0">
      <text>
        <t>추정: 마지막 실적 유지(가정)
[qoq]</t>
      </text>
    </comment>
    <comment ref="T23" authorId="0" shapeId="0">
      <text>
        <t>추정: 마지막 실적 유지(가정)
[qoq]</t>
      </text>
    </comment>
    <comment ref="U23" authorId="0" shapeId="0">
      <text>
        <t>추정: 마지막 실적 유지(가정)
[qoq]</t>
      </text>
    </comment>
    <comment ref="V23" authorId="0" shapeId="0">
      <text>
        <t>추정: 마지막 실적 유지(가정)
[qoq]</t>
      </text>
    </comment>
    <comment ref="K24" authorId="0" shapeId="0">
      <text>
        <t>추정: 전분기 + 당기순이익 − 배당(Q2 지급 가정)
[roll]</t>
      </text>
    </comment>
    <comment ref="L24" authorId="0" shapeId="0">
      <text>
        <t>추정: 전분기 + 당기순이익 − 배당(Q2 지급 가정)
[roll]</t>
      </text>
    </comment>
    <comment ref="N24" authorId="0" shapeId="0">
      <text>
        <t>추정: 전분기 + 당기순이익 − 배당(Q2 지급 가정)
[roll]</t>
      </text>
    </comment>
    <comment ref="O24" authorId="0" shapeId="0">
      <text>
        <t>추정: 전분기 + 당기순이익 − 배당(Q2 지급 가정)
[roll]</t>
      </text>
    </comment>
    <comment ref="P24" authorId="0" shapeId="0">
      <text>
        <t>추정: 전분기 + 당기순이익 − 배당(Q2 지급 가정)
[roll]</t>
      </text>
    </comment>
    <comment ref="Q24" authorId="0" shapeId="0">
      <text>
        <t>추정: 전분기 + 당기순이익 − 배당(Q2 지급 가정)
[roll]</t>
      </text>
    </comment>
    <comment ref="S24" authorId="0" shapeId="0">
      <text>
        <t>추정: 전분기 + 당기순이익 − 배당(Q2 지급 가정)
[roll]</t>
      </text>
    </comment>
    <comment ref="T24" authorId="0" shapeId="0">
      <text>
        <t>추정: 전분기 + 당기순이익 − 배당(Q2 지급 가정)
[roll]</t>
      </text>
    </comment>
    <comment ref="U24" authorId="0" shapeId="0">
      <text>
        <t>추정: 전분기 + 당기순이익 − 배당(Q2 지급 가정)
[roll]</t>
      </text>
    </comment>
    <comment ref="V24" authorId="0" shapeId="0">
      <text>
        <t>추정: 전분기 + 당기순이익 − 배당(Q2 지급 가정)
[roll]</t>
      </text>
    </comment>
    <comment ref="K25" authorId="0" shapeId="0">
      <text>
        <t>추정: 전분기 + 지배주주순이익 − 배당
[roll]</t>
      </text>
    </comment>
    <comment ref="L25" authorId="0" shapeId="0">
      <text>
        <t>추정: 전분기 + 지배주주순이익 − 배당
[roll]</t>
      </text>
    </comment>
    <comment ref="N25" authorId="0" shapeId="0">
      <text>
        <t>추정: 전분기 + 지배주주순이익 − 배당
[roll]</t>
      </text>
    </comment>
    <comment ref="O25" authorId="0" shapeId="0">
      <text>
        <t>추정: 전분기 + 지배주주순이익 − 배당
[roll]</t>
      </text>
    </comment>
    <comment ref="P25" authorId="0" shapeId="0">
      <text>
        <t>추정: 전분기 + 지배주주순이익 − 배당
[roll]</t>
      </text>
    </comment>
    <comment ref="Q25" authorId="0" shapeId="0">
      <text>
        <t>추정: 전분기 + 지배주주순이익 − 배당
[roll]</t>
      </text>
    </comment>
    <comment ref="S25" authorId="0" shapeId="0">
      <text>
        <t>추정: 전분기 + 지배주주순이익 − 배당
[roll]</t>
      </text>
    </comment>
    <comment ref="T25" authorId="0" shapeId="0">
      <text>
        <t>추정: 전분기 + 지배주주순이익 − 배당
[roll]</t>
      </text>
    </comment>
    <comment ref="U25" authorId="0" shapeId="0">
      <text>
        <t>추정: 전분기 + 지배주주순이익 − 배당
[roll]</t>
      </text>
    </comment>
    <comment ref="V25" authorId="0" shapeId="0">
      <text>
        <t>추정: 전분기 + 지배주주순이익 − 배당
[roll]</t>
      </text>
    </comment>
    <comment ref="K28" authorId="0" shapeId="0">
      <text>
        <t>추정: 전분기 + FCF 근사 — 순차입금 롤과 같은 가정
[qoq]</t>
      </text>
    </comment>
    <comment ref="L28" authorId="0" shapeId="0">
      <text>
        <t>추정: 전분기 + FCF 근사 — 순차입금 롤과 같은 가정
[qoq]</t>
      </text>
    </comment>
    <comment ref="N28" authorId="0" shapeId="0">
      <text>
        <t>추정: 전분기 + FCF 근사 — 순차입금 롤과 같은 가정
[qoq]</t>
      </text>
    </comment>
    <comment ref="O28" authorId="0" shapeId="0">
      <text>
        <t>추정: 전분기 + FCF 근사 — 순차입금 롤과 같은 가정
[qoq]</t>
      </text>
    </comment>
    <comment ref="P28" authorId="0" shapeId="0">
      <text>
        <t>추정: 전분기 + FCF 근사 — 순차입금 롤과 같은 가정
[qoq]</t>
      </text>
    </comment>
    <comment ref="Q28" authorId="0" shapeId="0">
      <text>
        <t>추정: 전분기 + FCF 근사 — 순차입금 롤과 같은 가정
[qoq]</t>
      </text>
    </comment>
    <comment ref="S28" authorId="0" shapeId="0">
      <text>
        <t>추정: 전분기 + FCF 근사 — 순차입금 롤과 같은 가정
[qoq]</t>
      </text>
    </comment>
    <comment ref="T28" authorId="0" shapeId="0">
      <text>
        <t>추정: 전분기 + FCF 근사 — 순차입금 롤과 같은 가정
[qoq]</t>
      </text>
    </comment>
    <comment ref="U28" authorId="0" shapeId="0">
      <text>
        <t>추정: 전분기 + FCF 근사 — 순차입금 롤과 같은 가정
[qoq]</t>
      </text>
    </comment>
    <comment ref="V28" authorId="0" shapeId="0">
      <text>
        <t>추정: 전분기 + FCF 근사 — 순차입금 롤과 같은 가정
[qoq]</t>
      </text>
    </comment>
    <comment ref="K30" authorId="0" shapeId="0">
      <text>
        <t>추정: 최근 4분기(2025Q3~2026Q2) CAPEX 중위 유지 — 순차입금 롤에 미반영(감가상각비 없음 → CAPEX≈감가 가정)
[yoy]</t>
      </text>
    </comment>
    <comment ref="L30" authorId="0" shapeId="0">
      <text>
        <t>추정: 최근 4분기(2025Q3~2026Q2) CAPEX 중위 유지 — 순차입금 롤에 미반영(감가상각비 없음 → CAPEX≈감가 가정)
[yoy]</t>
      </text>
    </comment>
    <comment ref="N30" authorId="0" shapeId="0">
      <text>
        <t>추정: 최근 4분기(2025Q3~2026Q2) CAPEX 중위 유지 — 순차입금 롤에 미반영(감가상각비 없음 → CAPEX≈감가 가정)
[yoy]</t>
      </text>
    </comment>
    <comment ref="O30" authorId="0" shapeId="0">
      <text>
        <t>추정: 최근 4분기(2025Q3~2026Q2) CAPEX 중위 유지 — 순차입금 롤에 미반영(감가상각비 없음 → CAPEX≈감가 가정)
[yoy]</t>
      </text>
    </comment>
    <comment ref="P30" authorId="0" shapeId="0">
      <text>
        <t>추정: 최근 4분기(2025Q3~2026Q2) CAPEX 중위 유지 — 순차입금 롤에 미반영(감가상각비 없음 → CAPEX≈감가 가정)
[yoy]</t>
      </text>
    </comment>
    <comment ref="Q30" authorId="0" shapeId="0">
      <text>
        <t>추정: 최근 4분기(2025Q3~2026Q2) CAPEX 중위 유지 — 순차입금 롤에 미반영(감가상각비 없음 → CAPEX≈감가 가정)
[yoy]</t>
      </text>
    </comment>
    <comment ref="S30" authorId="0" shapeId="0">
      <text>
        <t>추정: 최근 4분기(2025Q3~2026Q2) CAPEX 중위 유지 — 순차입금 롤에 미반영(감가상각비 없음 → CAPEX≈감가 가정)
[yoy]</t>
      </text>
    </comment>
    <comment ref="T30" authorId="0" shapeId="0">
      <text>
        <t>추정: 최근 4분기(2025Q3~2026Q2) CAPEX 중위 유지 — 순차입금 롤에 미반영(감가상각비 없음 → CAPEX≈감가 가정)
[yoy]</t>
      </text>
    </comment>
    <comment ref="U30" authorId="0" shapeId="0">
      <text>
        <t>추정: 최근 4분기(2025Q3~2026Q2) CAPEX 중위 유지 — 순차입금 롤에 미반영(감가상각비 없음 → CAPEX≈감가 가정)
[yoy]</t>
      </text>
    </comment>
    <comment ref="V30" authorId="0" shapeId="0">
      <text>
        <t>추정: 최근 4분기(2025Q3~2026Q2) CAPEX 중위 유지 — 순차입금 롤에 미반영(감가상각비 없음 → CAPEX≈감가 가정)
[yoy]</t>
      </text>
    </comment>
    <comment ref="E32" authorId="0" shapeId="0">
      <text>
        <t>실측(계정 매핑 없음(파생·부문·시세 행) — 모델값 직접) — fin.shares.common_outstanding</t>
      </text>
    </comment>
    <comment ref="F32" authorId="0" shapeId="0">
      <text>
        <t>실측(계정 매핑 없음(파생·부문·시세 행) — 모델값 직접) — fin.shares.common_outstanding</t>
      </text>
    </comment>
    <comment ref="G32" authorId="0" shapeId="0">
      <text>
        <t>실측(계정 매핑 없음(파생·부문·시세 행) — 모델값 직접) — fin.shares.common_outstanding</t>
      </text>
    </comment>
    <comment ref="I32" authorId="0" shapeId="0">
      <text>
        <t>실측(계정 매핑 없음(파생·부문·시세 행) — 모델값 직접) — fin.shares.common_outstanding</t>
      </text>
    </comment>
    <comment ref="J32" authorId="0" shapeId="0">
      <text>
        <t>실측(계정 매핑 없음(파생·부문·시세 행) — 모델값 직접) — fin.shares.common_outstanding</t>
      </text>
    </comment>
    <comment ref="K32" authorId="0" shapeId="0">
      <text>
        <t>추정: 유통주식수 유지 — fin.shares.common_outstanding(2026Q2)
[qoq]</t>
      </text>
    </comment>
    <comment ref="L32" authorId="0" shapeId="0">
      <text>
        <t>추정: 유통주식수 유지 — fin.shares.common_outstanding(2026Q2)
[qoq]</t>
      </text>
    </comment>
    <comment ref="N32" authorId="0" shapeId="0">
      <text>
        <t>추정: 유통주식수 유지 — fin.shares.common_outstanding(2026Q2)
[qoq]</t>
      </text>
    </comment>
    <comment ref="O32" authorId="0" shapeId="0">
      <text>
        <t>추정: 유통주식수 유지 — fin.shares.common_outstanding(2026Q2)
[qoq]</t>
      </text>
    </comment>
    <comment ref="P32" authorId="0" shapeId="0">
      <text>
        <t>추정: 유통주식수 유지 — fin.shares.common_outstanding(2026Q2)
[qoq]</t>
      </text>
    </comment>
    <comment ref="Q32" authorId="0" shapeId="0">
      <text>
        <t>추정: 유통주식수 유지 — fin.shares.common_outstanding(2026Q2)
[qoq]</t>
      </text>
    </comment>
    <comment ref="S32" authorId="0" shapeId="0">
      <text>
        <t>추정: 유통주식수 유지 — fin.shares.common_outstanding(2026Q2)
[qoq]</t>
      </text>
    </comment>
    <comment ref="T32" authorId="0" shapeId="0">
      <text>
        <t>추정: 유통주식수 유지 — fin.shares.common_outstanding(2026Q2)
[qoq]</t>
      </text>
    </comment>
    <comment ref="U32" authorId="0" shapeId="0">
      <text>
        <t>추정: 유통주식수 유지 — fin.shares.common_outstanding(2026Q2)
[qoq]</t>
      </text>
    </comment>
    <comment ref="V32" authorId="0" shapeId="0">
      <text>
        <t>추정: 유통주식수 유지 — fin.shares.common_outstanding(2026Q2)
[qoq]</t>
      </text>
    </comment>
    <comment ref="K33" authorId="0" shapeId="0">
      <text>
        <t>추정: 지배주주순이익 ÷ 유통주식수
[per_share]</t>
      </text>
    </comment>
    <comment ref="L33" authorId="0" shapeId="0">
      <text>
        <t>추정: 지배주주순이익 ÷ 유통주식수
[per_share]</t>
      </text>
    </comment>
    <comment ref="N33" authorId="0" shapeId="0">
      <text>
        <t>추정: 지배주주순이익 ÷ 유통주식수
[per_share]</t>
      </text>
    </comment>
    <comment ref="O33" authorId="0" shapeId="0">
      <text>
        <t>추정: 지배주주순이익 ÷ 유통주식수
[per_share]</t>
      </text>
    </comment>
    <comment ref="P33" authorId="0" shapeId="0">
      <text>
        <t>추정: 지배주주순이익 ÷ 유통주식수
[per_share]</t>
      </text>
    </comment>
    <comment ref="Q33" authorId="0" shapeId="0">
      <text>
        <t>추정: 지배주주순이익 ÷ 유통주식수
[per_share]</t>
      </text>
    </comment>
    <comment ref="S33" authorId="0" shapeId="0">
      <text>
        <t>추정: 지배주주순이익 ÷ 유통주식수
[per_share]</t>
      </text>
    </comment>
    <comment ref="T33" authorId="0" shapeId="0">
      <text>
        <t>추정: 지배주주순이익 ÷ 유통주식수
[per_share]</t>
      </text>
    </comment>
    <comment ref="U33" authorId="0" shapeId="0">
      <text>
        <t>추정: 지배주주순이익 ÷ 유통주식수
[per_share]</t>
      </text>
    </comment>
    <comment ref="V33" authorId="0" shapeId="0">
      <text>
        <t>추정: 지배주주순이익 ÷ 유통주식수
[per_share]</t>
      </text>
    </comment>
    <comment ref="K34" authorId="0" shapeId="0">
      <text>
        <t>추정: 지배주주지분 ÷ 유통주식수
[per_share]</t>
      </text>
    </comment>
    <comment ref="L34" authorId="0" shapeId="0">
      <text>
        <t>추정: 지배주주지분 ÷ 유통주식수
[per_share]</t>
      </text>
    </comment>
    <comment ref="N34" authorId="0" shapeId="0">
      <text>
        <t>추정: 지배주주지분 ÷ 유통주식수
[per_share]</t>
      </text>
    </comment>
    <comment ref="O34" authorId="0" shapeId="0">
      <text>
        <t>추정: 지배주주지분 ÷ 유통주식수
[per_share]</t>
      </text>
    </comment>
    <comment ref="P34" authorId="0" shapeId="0">
      <text>
        <t>추정: 지배주주지분 ÷ 유통주식수
[per_share]</t>
      </text>
    </comment>
    <comment ref="Q34" authorId="0" shapeId="0">
      <text>
        <t>추정: 지배주주지분 ÷ 유통주식수
[per_share]</t>
      </text>
    </comment>
    <comment ref="S34" authorId="0" shapeId="0">
      <text>
        <t>추정: 지배주주지분 ÷ 유통주식수
[per_share]</t>
      </text>
    </comment>
    <comment ref="T34" authorId="0" shapeId="0">
      <text>
        <t>추정: 지배주주지분 ÷ 유통주식수
[per_share]</t>
      </text>
    </comment>
    <comment ref="U34" authorId="0" shapeId="0">
      <text>
        <t>추정: 지배주주지분 ÷ 유통주식수
[per_share]</t>
      </text>
    </comment>
    <comment ref="V34" authorId="0" shapeId="0">
      <text>
        <t>추정: 지배주주지분 ÷ 유통주식수
[per_share]</t>
      </text>
    </comment>
    <comment ref="G35" authorId="0" shapeId="0">
      <text>
        <t>실측(계정 매핑 없음(파생·부문·시세 행) — 모델값 직접) — fin.dividend.dps_common(연간, Q4 에 표기)</t>
      </text>
    </comment>
    <comment ref="H35" authorId="0" shapeId="0">
      <text>
        <t>연간(actual) — 분기 미완 연도, 모델 a 값 직접</t>
      </text>
    </comment>
    <comment ref="L35" authorId="0" shapeId="0">
      <text>
        <t>추정: 직전 결산 DPS 250원 유지
[abs]</t>
      </text>
    </comment>
    <comment ref="Q35" authorId="0" shapeId="0">
      <text>
        <t>추정: 직전 결산 DPS 250원 유지
[abs]</t>
      </text>
    </comment>
    <comment ref="V35" authorId="0" shapeId="0">
      <text>
        <t>추정: 직전 결산 DPS 250원 유지
[abs]</t>
      </text>
    </comment>
    <comment ref="K36" authorId="0" shapeId="0">
      <text>
        <t>추정: 현재 종가 ÷ TTM EPS(추정 포함)
[valuation]</t>
      </text>
    </comment>
    <comment ref="L36" authorId="0" shapeId="0">
      <text>
        <t>추정: 현재 종가 ÷ TTM EPS(추정 포함)
[valuation]</t>
      </text>
    </comment>
    <comment ref="N36" authorId="0" shapeId="0">
      <text>
        <t>추정: 현재 종가 ÷ TTM EPS(추정 포함)
[valuation]</t>
      </text>
    </comment>
    <comment ref="O36" authorId="0" shapeId="0">
      <text>
        <t>추정: 현재 종가 ÷ TTM EPS(추정 포함)
[valuation]</t>
      </text>
    </comment>
    <comment ref="P36" authorId="0" shapeId="0">
      <text>
        <t>추정: 현재 종가 ÷ TTM EPS(추정 포함)
[valuation]</t>
      </text>
    </comment>
    <comment ref="Q36" authorId="0" shapeId="0">
      <text>
        <t>추정: 현재 종가 ÷ TTM EPS(추정 포함)
[valuation]</t>
      </text>
    </comment>
    <comment ref="S36" authorId="0" shapeId="0">
      <text>
        <t>추정: 현재 종가 ÷ TTM EPS(추정 포함)
[valuation]</t>
      </text>
    </comment>
    <comment ref="T36" authorId="0" shapeId="0">
      <text>
        <t>추정: 현재 종가 ÷ TTM EPS(추정 포함)
[valuation]</t>
      </text>
    </comment>
    <comment ref="U36" authorId="0" shapeId="0">
      <text>
        <t>추정: 현재 종가 ÷ TTM EPS(추정 포함)
[valuation]</t>
      </text>
    </comment>
    <comment ref="V36" authorId="0" shapeId="0">
      <text>
        <t>추정: 현재 종가 ÷ TTM EPS(추정 포함)
[valuation]</t>
      </text>
    </comment>
    <comment ref="K37" authorId="0" shapeId="0">
      <text>
        <t>추정: 현재 종가 ÷ BPS(추정 포함)
[valuation]</t>
      </text>
    </comment>
    <comment ref="L37" authorId="0" shapeId="0">
      <text>
        <t>추정: 현재 종가 ÷ BPS(추정 포함)
[valuation]</t>
      </text>
    </comment>
    <comment ref="N37" authorId="0" shapeId="0">
      <text>
        <t>추정: 현재 종가 ÷ BPS(추정 포함)
[valuation]</t>
      </text>
    </comment>
    <comment ref="O37" authorId="0" shapeId="0">
      <text>
        <t>추정: 현재 종가 ÷ BPS(추정 포함)
[valuation]</t>
      </text>
    </comment>
    <comment ref="P37" authorId="0" shapeId="0">
      <text>
        <t>추정: 현재 종가 ÷ BPS(추정 포함)
[valuation]</t>
      </text>
    </comment>
    <comment ref="Q37" authorId="0" shapeId="0">
      <text>
        <t>추정: 현재 종가 ÷ BPS(추정 포함)
[valuation]</t>
      </text>
    </comment>
    <comment ref="S37" authorId="0" shapeId="0">
      <text>
        <t>추정: 현재 종가 ÷ BPS(추정 포함)
[valuation]</t>
      </text>
    </comment>
    <comment ref="T37" authorId="0" shapeId="0">
      <text>
        <t>추정: 현재 종가 ÷ BPS(추정 포함)
[valuation]</t>
      </text>
    </comment>
    <comment ref="U37" authorId="0" shapeId="0">
      <text>
        <t>추정: 현재 종가 ÷ BPS(추정 포함)
[valuation]</t>
      </text>
    </comment>
    <comment ref="V37" authorId="0" shapeId="0">
      <text>
        <t>추정: 현재 종가 ÷ BPS(추정 포함)
[valuation]</t>
      </text>
    </comment>
    <comment ref="F38" authorId="0" shapeId="0">
      <text>
        <t>실측(계정 매핑 없음(파생·부문·시세 행) — 모델값 직접) — sls.reconcile.reported_segment_rev_m ← yards_cache 부문표(3개월분)</t>
      </text>
    </comment>
    <comment ref="G38" authorId="0" shapeId="0">
      <text>
        <t>실측(계정 매핑 없음(파생·부문·시세 행) — 모델값 직접) — sls.reconcile.reported_segment_rev_m ← yards_cache 부문표(3개월분)</t>
      </text>
    </comment>
    <comment ref="I38" authorId="0" shapeId="0">
      <text>
        <t>실측(계정 매핑 없음(파생·부문·시세 행) — 모델값 직접) — sls.reconcile.reported_segment_rev_m ← yards_cache 부문표(3개월분)</t>
      </text>
    </comment>
    <comment ref="J38" authorId="0" shapeId="0">
      <text>
        <t>실측(계정 매핑 없음(파생·부문·시세 행) — 모델값 직접) — sls.reconcile.reported_segment_rev_m ← yards_cache 부문표(3개월분)</t>
      </text>
    </comment>
    <comment ref="K38" authorId="0" shapeId="0">
      <text>
        <t>추정: SLS 해양 원화 2775억(sls.by_quarter.marine_hedged_krw_m(헤지 70% 적용; origin 2026Q2 이후 체결 1건 SLS 유지 — 패널 신규수주와 체결 분기별 상계(net_panel))) + 원장 밖 잔고 소진 0억(최근 4분기 '부문매출−SLS' 중위 1540억/분기, 잔여 0억) + 신규수주 매출 0억(forecast_panel.json.gz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3,882억 − 공시 2,713억 = 1,169억)) · origin 이후 공시 수주 SLS 149억 유지(패널 신규수주 체결 분기별 상계, net_panel)
[sls_link]</t>
      </text>
    </comment>
    <comment ref="L38" authorId="0" shapeId="0">
      <text>
        <t>추정: SLS 해양 원화 2781억(sls.by_quarter.marine_hedged_krw_m(헤지 70% 적용; origin 2026Q2 이후 체결 1건 SLS 유지 — 패널 신규수주와 체결 분기별 상계(net_panel))) + 원장 밖 잔고 소진 0억(최근 4분기 '부문매출−SLS' 중위 1540억/분기, 잔여 0억) + 신규수주 매출 25억(forecast_panel.json.gz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3,882억 − 공시 2,713억 = 1,169억)) · origin 이후 공시 수주 SLS 195억 유지(패널 신규수주 체결 분기별 상계, net_panel)
[sls_link]</t>
      </text>
    </comment>
    <comment ref="N38" authorId="0" shapeId="0">
      <text>
        <t>추정: SLS 해양 원화 2719억(sls.by_quarter.marine_hedged_krw_m(헤지 70% 적용; origin 2026Q2 이후 체결 1건 SLS 유지 — 패널 신규수주와 체결 분기별 상계(net_panel))) + 원장 밖 잔고 소진 0억(최근 4분기 '부문매출−SLS' 중위 1540억/분기, 잔여 0억) + 신규수주 매출 149억(forecast_panel.json.gz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3,882억 − 공시 2,713억 = 1,169억)) · origin 이후 공시 수주 SLS 191억 유지(패널 신규수주 체결 분기별 상계, net_panel)
[sls_link]</t>
      </text>
    </comment>
    <comment ref="O38" authorId="0" shapeId="0">
      <text>
        <t>추정: SLS 해양 원화 2749억(sls.by_quarter.marine_hedged_krw_m(헤지 70% 적용; origin 2026Q2 이후 체결 1건 SLS 유지 — 패널 신규수주와 체결 분기별 상계(net_panel))) + 원장 밖 잔고 소진 0억(최근 4분기 '부문매출−SLS' 중위 1540억/분기, 잔여 0억) + 신규수주 매출 408억(forecast_panel.json.gz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3,882억 − 공시 2,713억 = 1,169억)) · origin 이후 공시 수주 SLS 193억 유지(패널 신규수주 체결 분기별 상계, net_panel)
[sls_link]</t>
      </text>
    </comment>
    <comment ref="P38" authorId="0" shapeId="0">
      <text>
        <t>추정: SLS 해양 원화 2630억(sls.by_quarter.marine_hedged_krw_m(헤지 70% 적용; origin 2026Q2 이후 체결 1건 SLS 유지 — 패널 신규수주와 체결 분기별 상계(net_panel))) + 원장 밖 잔고 소진 0억(최근 4분기 '부문매출−SLS' 중위 1540억/분기, 잔여 0억) + 신규수주 매출 772억(forecast_panel.json.gz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3,882억 − 공시 2,713억 = 1,169억)) · origin 이후 공시 수주 SLS 195억 유지(패널 신규수주 체결 분기별 상계, net_panel)
[sls_link]</t>
      </text>
    </comment>
    <comment ref="Q38" authorId="0" shapeId="0">
      <text>
        <t>추정: SLS 해양 원화 2296억(sls.by_quarter.marine_hedged_krw_m(헤지 70% 적용; origin 2026Q2 이후 체결 1건 SLS 유지 — 패널 신규수주와 체결 분기별 상계(net_panel))) + 원장 밖 잔고 소진 0억(최근 4분기 '부문매출−SLS' 중위 1540억/분기, 잔여 0억) + 신규수주 매출 1210억(forecast_panel.json.gz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3,882억 − 공시 2,713억 = 1,169억)) · origin 이후 공시 수주 SLS 195억 유지(패널 신규수주 체결 분기별 상계, net_panel)
[sls_link]</t>
      </text>
    </comment>
    <comment ref="S38" authorId="0" shapeId="0">
      <text>
        <t>추정: SLS 해양 원화 2104억(sls.by_quarter.marine_hedged_krw_m(헤지 70% 적용; origin 2026Q2 이후 체결 1건 SLS 유지 — 패널 신규수주와 체결 분기별 상계(net_panel))) + 원장 밖 잔고 소진 0억(최근 4분기 '부문매출−SLS' 중위 1540억/분기, 잔여 0억) + 신규수주 매출 1693억(forecast_panel.json.gz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3,882억 − 공시 2,713억 = 1,169억)) · origin 이후 공시 수주 SLS 193억 유지(패널 신규수주 체결 분기별 상계, net_panel)
[sls_link]</t>
      </text>
    </comment>
    <comment ref="T38" authorId="0" shapeId="0">
      <text>
        <t>추정: SLS 해양 원화 2104억(sls.by_quarter.marine_hedged_krw_m(헤지 70% 적용; origin 2026Q2 이후 체결 1건 SLS 유지 — 패널 신규수주와 체결 분기별 상계(net_panel))) + 원장 밖 잔고 소진 0억(최근 4분기 '부문매출−SLS' 중위 1540억/분기, 잔여 0억) + 신규수주 매출 2191억(forecast_panel.json.gz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3,882억 − 공시 2,713억 = 1,169억)) · origin 이후 공시 수주 SLS 193억 유지(패널 신규수주 체결 분기별 상계, net_panel)
[sls_link]</t>
      </text>
    </comment>
    <comment ref="U38" authorId="0" shapeId="0">
      <text>
        <t>추정: SLS 해양 원화 1870억(sls.by_quarter.marine_hedged_krw_m(헤지 70% 적용; origin 2026Q2 이후 체결 1건 SLS 유지 — 패널 신규수주와 체결 분기별 상계(net_panel))) + 원장 밖 잔고 소진 0억(최근 4분기 '부문매출−SLS' 중위 1540억/분기, 잔여 0억) + 신규수주 매출 2673억(forecast_panel.json.gz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3,882억 − 공시 2,713억 = 1,169억)) · origin 이후 공시 수주 SLS 195억 유지(패널 신규수주 체결 분기별 상계, net_panel)
[sls_link]</t>
      </text>
    </comment>
    <comment ref="V38" authorId="0" shapeId="0">
      <text>
        <t>추정: SLS 해양 원화 1473억(sls.by_quarter.marine_hedged_krw_m(헤지 70% 적용; origin 2026Q2 이후 체결 1건 SLS 유지 — 패널 신규수주와 체결 분기별 상계(net_panel))) + 원장 밖 잔고 소진 0억(최근 4분기 '부문매출−SLS' 중위 1540억/분기, 잔여 0억) + 신규수주 매출 3111억(forecast_panel.json.gz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3,882억 − 공시 2,713억 = 1,169억)) · origin 이후 공시 수주 SLS 195억 유지(패널 신규수주 체결 분기별 상계, net_panel)
[sls_link]</t>
      </text>
    </comment>
    <comment ref="I39" authorId="0" shapeId="0">
      <text>
        <t>추정(실적 구간 갭필): 정의상 0 — origin 2026Q2 이전 실적 분기, origin 이후 신규수주 매출(fin 값 아님)</t>
      </text>
    </comment>
    <comment ref="J39" authorId="0" shapeId="0">
      <text>
        <t>추정(실적 구간 갭필): 정의상 0 — origin 2026Q2 이전 실적 분기, origin 이후 신규수주 매출(fin 값 아님)</t>
      </text>
    </comment>
    <comment ref="K39" authorId="0" shapeId="0">
      <text>
        <t>추정: 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3,882억 − 공시 2,713억 = 1,169억) — 매출조선에 포함(합산 금지)
[abs]</t>
      </text>
    </comment>
    <comment ref="L39" authorId="0" shapeId="0">
      <text>
        <t>추정: 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3,882억 − 공시 2,713억 = 1,169억) — 매출조선에 포함(합산 금지)
[abs]</t>
      </text>
    </comment>
    <comment ref="N39" authorId="0" shapeId="0">
      <text>
        <t>추정: 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3,882억 − 공시 2,713억 = 1,169억) — 매출조선에 포함(합산 금지)
[abs]</t>
      </text>
    </comment>
    <comment ref="O39" authorId="0" shapeId="0">
      <text>
        <t>추정: 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3,882억 − 공시 2,713억 = 1,169억) — 매출조선에 포함(합산 금지)
[abs]</t>
      </text>
    </comment>
    <comment ref="P39" authorId="0" shapeId="0">
      <text>
        <t>추정: 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3,882억 − 공시 2,713억 = 1,169억) — 매출조선에 포함(합산 금지)
[abs]</t>
      </text>
    </comment>
    <comment ref="Q39" authorId="0" shapeId="0">
      <text>
        <t>추정: 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3,882억 − 공시 2,713억 = 1,169억) — 매출조선에 포함(합산 금지)
[abs]</t>
      </text>
    </comment>
    <comment ref="S39" authorId="0" shapeId="0">
      <text>
        <t>추정: 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3,882억 − 공시 2,713억 = 1,169억) — 매출조선에 포함(합산 금지)
[abs]</t>
      </text>
    </comment>
    <comment ref="T39" authorId="0" shapeId="0">
      <text>
        <t>추정: 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3,882억 − 공시 2,713억 = 1,169억) — 매출조선에 포함(합산 금지)
[abs]</t>
      </text>
    </comment>
    <comment ref="U39" authorId="0" shapeId="0">
      <text>
        <t>추정: 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3,882억 − 공시 2,713억 = 1,169억) — 매출조선에 포함(합산 금지)
[abs]</t>
      </text>
    </comment>
    <comment ref="V39" authorId="0" shapeId="0">
      <text>
        <t>추정: 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3,882억 − 공시 2,713억 = 1,169억) — 매출조선에 포함(합산 금지)
[abs]</t>
      </text>
    </comment>
    <comment ref="K40" authorId="0" shapeId="0">
      <text>
        <t>추정: 매출조선 × 타겟 OPM(부문 OP 미공시 → 회사 OPM 적용; 신규수주분 포함)
[ratio]</t>
      </text>
    </comment>
    <comment ref="L40" authorId="0" shapeId="0">
      <text>
        <t>추정: 매출조선 × 타겟 OPM(부문 OP 미공시 → 회사 OPM 적용; 신규수주분 포함)
[ratio]</t>
      </text>
    </comment>
    <comment ref="N40" authorId="0" shapeId="0">
      <text>
        <t>추정: 매출조선 × 타겟 OPM(부문 OP 미공시 → 회사 OPM 적용; 신규수주분 포함)
[ratio]</t>
      </text>
    </comment>
    <comment ref="O40" authorId="0" shapeId="0">
      <text>
        <t>추정: 매출조선 × 타겟 OPM(부문 OP 미공시 → 회사 OPM 적용; 신규수주분 포함)
[ratio]</t>
      </text>
    </comment>
    <comment ref="P40" authorId="0" shapeId="0">
      <text>
        <t>추정: 매출조선 × 타겟 OPM(부문 OP 미공시 → 회사 OPM 적용; 신규수주분 포함)
[ratio]</t>
      </text>
    </comment>
    <comment ref="Q40" authorId="0" shapeId="0">
      <text>
        <t>추정: 매출조선 × 타겟 OPM(부문 OP 미공시 → 회사 OPM 적용; 신규수주분 포함)
[ratio]</t>
      </text>
    </comment>
    <comment ref="S40" authorId="0" shapeId="0">
      <text>
        <t>추정: 매출조선 × 타겟 OPM(부문 OP 미공시 → 회사 OPM 적용; 신규수주분 포함)
[ratio]</t>
      </text>
    </comment>
    <comment ref="T40" authorId="0" shapeId="0">
      <text>
        <t>추정: 매출조선 × 타겟 OPM(부문 OP 미공시 → 회사 OPM 적용; 신규수주분 포함)
[ratio]</t>
      </text>
    </comment>
    <comment ref="U40" authorId="0" shapeId="0">
      <text>
        <t>추정: 매출조선 × 타겟 OPM(부문 OP 미공시 → 회사 OPM 적용; 신규수주분 포함)
[ratio]</t>
      </text>
    </comment>
    <comment ref="V40" authorId="0" shapeId="0">
      <text>
        <t>추정: 매출조선 × 타겟 OPM(부문 OP 미공시 → 회사 OPM 적용; 신규수주분 포함)
[ratio]</t>
      </text>
    </comment>
    <comment ref="I41" authorId="0" shapeId="0">
      <text>
        <t>추정(실적 구간 갭필): 정의상 0 — origin 2026Q2 이전 실적 분기(fin 값 아님)</t>
      </text>
    </comment>
    <comment ref="J41" authorId="0" shapeId="0">
      <text>
        <t>추정(실적 구간 갭필): 정의상 0 — origin 2026Q2 이전 실적 분기(fin 값 아님)</t>
      </text>
    </comment>
    <comment ref="K41" authorId="0" shapeId="0">
      <text>
        <t>추정: 매출조선신규 × 타겟 OPM(신규분에도 같은 타겟) — OP조선에 포함
[ratio_parent]</t>
      </text>
    </comment>
    <comment ref="L41" authorId="0" shapeId="0">
      <text>
        <t>추정: 매출조선신규 × 타겟 OPM(신규분에도 같은 타겟) — OP조선에 포함
[ratio_parent]</t>
      </text>
    </comment>
    <comment ref="N41" authorId="0" shapeId="0">
      <text>
        <t>추정: 매출조선신규 × 타겟 OPM(신규분에도 같은 타겟) — OP조선에 포함
[ratio_parent]</t>
      </text>
    </comment>
    <comment ref="O41" authorId="0" shapeId="0">
      <text>
        <t>추정: 매출조선신규 × 타겟 OPM(신규분에도 같은 타겟) — OP조선에 포함
[ratio_parent]</t>
      </text>
    </comment>
    <comment ref="P41" authorId="0" shapeId="0">
      <text>
        <t>추정: 매출조선신규 × 타겟 OPM(신규분에도 같은 타겟) — OP조선에 포함
[ratio_parent]</t>
      </text>
    </comment>
    <comment ref="Q41" authorId="0" shapeId="0">
      <text>
        <t>추정: 매출조선신규 × 타겟 OPM(신규분에도 같은 타겟) — OP조선에 포함
[ratio_parent]</t>
      </text>
    </comment>
    <comment ref="S41" authorId="0" shapeId="0">
      <text>
        <t>추정: 매출조선신규 × 타겟 OPM(신규분에도 같은 타겟) — OP조선에 포함
[ratio_parent]</t>
      </text>
    </comment>
    <comment ref="T41" authorId="0" shapeId="0">
      <text>
        <t>추정: 매출조선신규 × 타겟 OPM(신규분에도 같은 타겟) — OP조선에 포함
[ratio_parent]</t>
      </text>
    </comment>
    <comment ref="U41" authorId="0" shapeId="0">
      <text>
        <t>추정: 매출조선신규 × 타겟 OPM(신규분에도 같은 타겟) — OP조선에 포함
[ratio_parent]</t>
      </text>
    </comment>
    <comment ref="V41" authorId="0" shapeId="0">
      <text>
        <t>추정: 매출조선신규 × 타겟 OPM(신규분에도 같은 타겟) — OP조선에 포함
[ratio_parent]</t>
      </text>
    </comment>
    <comment ref="F42" authorId="0" shapeId="0">
      <text>
        <t>실측(계정 매핑 없음(파생·부문·시세 행) — 모델값 직접) — 연결 매출 − 조선 부문(파생)</t>
      </text>
    </comment>
    <comment ref="G42" authorId="0" shapeId="0">
      <text>
        <t>실측(계정 매핑 없음(파생·부문·시세 행) — 모델값 직접) — 연결 매출 − 조선 부문(파생)</t>
      </text>
    </comment>
    <comment ref="I42" authorId="0" shapeId="0">
      <text>
        <t>실측(계정 매핑 없음(파생·부문·시세 행) — 모델값 직접) — 연결 매출 − 조선 부문(파생)</t>
      </text>
    </comment>
    <comment ref="J42" authorId="0" shapeId="0">
      <text>
        <t>실측(계정 매핑 없음(파생·부문·시세 행) — 모델값 직접) — 연결 매출 − 조선 부문(파생)</t>
      </text>
    </comment>
    <comment ref="K42" authorId="0" shapeId="0">
      <text>
        <t>추정: 기타 부문(연결 − 조선 부문) 최근 4분기 중위 22억 유지
[yoy]</t>
      </text>
    </comment>
    <comment ref="L42" authorId="0" shapeId="0">
      <text>
        <t>추정: 기타 부문(연결 − 조선 부문) 최근 4분기 중위 22억 유지
[yoy]</t>
      </text>
    </comment>
    <comment ref="N42" authorId="0" shapeId="0">
      <text>
        <t>추정: 기타 부문(연결 − 조선 부문) 최근 4분기 중위 22억 유지
[yoy]</t>
      </text>
    </comment>
    <comment ref="O42" authorId="0" shapeId="0">
      <text>
        <t>추정: 기타 부문(연결 − 조선 부문) 최근 4분기 중위 22억 유지
[yoy]</t>
      </text>
    </comment>
    <comment ref="P42" authorId="0" shapeId="0">
      <text>
        <t>추정: 기타 부문(연결 − 조선 부문) 최근 4분기 중위 22억 유지
[yoy]</t>
      </text>
    </comment>
    <comment ref="Q42" authorId="0" shapeId="0">
      <text>
        <t>추정: 기타 부문(연결 − 조선 부문) 최근 4분기 중위 22억 유지
[yoy]</t>
      </text>
    </comment>
    <comment ref="S42" authorId="0" shapeId="0">
      <text>
        <t>추정: 기타 부문(연결 − 조선 부문) 최근 4분기 중위 22억 유지
[yoy]</t>
      </text>
    </comment>
    <comment ref="T42" authorId="0" shapeId="0">
      <text>
        <t>추정: 기타 부문(연결 − 조선 부문) 최근 4분기 중위 22억 유지
[yoy]</t>
      </text>
    </comment>
    <comment ref="U42" authorId="0" shapeId="0">
      <text>
        <t>추정: 기타 부문(연결 − 조선 부문) 최근 4분기 중위 22억 유지
[yoy]</t>
      </text>
    </comment>
    <comment ref="V42" authorId="0" shapeId="0">
      <text>
        <t>추정: 기타 부문(연결 − 조선 부문) 최근 4분기 중위 22억 유지
[yoy]</t>
      </text>
    </comment>
    <comment ref="K43" authorId="0" shapeId="0">
      <text>
        <t>추정: 매출기타 × 회사 OPM(부문 OP 미공시)
[ratio]</t>
      </text>
    </comment>
    <comment ref="L43" authorId="0" shapeId="0">
      <text>
        <t>추정: 매출기타 × 회사 OPM(부문 OP 미공시)
[ratio]</t>
      </text>
    </comment>
    <comment ref="N43" authorId="0" shapeId="0">
      <text>
        <t>추정: 매출기타 × 회사 OPM(부문 OP 미공시)
[ratio]</t>
      </text>
    </comment>
    <comment ref="O43" authorId="0" shapeId="0">
      <text>
        <t>추정: 매출기타 × 회사 OPM(부문 OP 미공시)
[ratio]</t>
      </text>
    </comment>
    <comment ref="P43" authorId="0" shapeId="0">
      <text>
        <t>추정: 매출기타 × 회사 OPM(부문 OP 미공시)
[ratio]</t>
      </text>
    </comment>
    <comment ref="Q43" authorId="0" shapeId="0">
      <text>
        <t>추정: 매출기타 × 회사 OPM(부문 OP 미공시)
[ratio]</t>
      </text>
    </comment>
    <comment ref="S43" authorId="0" shapeId="0">
      <text>
        <t>추정: 매출기타 × 회사 OPM(부문 OP 미공시)
[ratio]</t>
      </text>
    </comment>
    <comment ref="T43" authorId="0" shapeId="0">
      <text>
        <t>추정: 매출기타 × 회사 OPM(부문 OP 미공시)
[ratio]</t>
      </text>
    </comment>
    <comment ref="U43" authorId="0" shapeId="0">
      <text>
        <t>추정: 매출기타 × 회사 OPM(부문 OP 미공시)
[ratio]</t>
      </text>
    </comment>
    <comment ref="V43" authorId="0" shapeId="0">
      <text>
        <t>추정: 매출기타 × 회사 OPM(부문 OP 미공시)
[ratio]</t>
      </text>
    </comment>
  </commentList>
</comments>
</file>

<file path=xl/comments/comment3.xml><?xml version="1.0" encoding="utf-8"?>
<comments xmlns="http://schemas.openxmlformats.org/spreadsheetml/2006/main">
  <authors>
    <author>kship</author>
  </authors>
  <commentList>
    <comment ref="AC27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C28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C29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C30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C31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C32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C33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C34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C35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C36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C37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C38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C39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C40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C41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C42" authorId="0" shapeId="0">
      <text>
        <t>모델 포함 규칙: 해양(type≠OTHER) · origin 분기말까지 체결분(이후 체결은 패널 신규수주에 포함으로 봄). 0 으로 바꾸면 그 계약을 매출에서 뺀다</t>
      </text>
    </comment>
  </commentList>
</comments>
</file>

<file path=xl/comments/comment4.xml><?xml version="1.0" encoding="utf-8"?>
<comments xmlns="http://schemas.openxmlformats.org/spreadsheetml/2006/main">
  <authors>
    <author>kship</author>
  </authors>
  <commentList>
    <comment ref="E12" authorId="0" shapeId="0">
      <text>
        <t>forecast_panel existing_only new_order_revenue(억원) — forecast_panel.json.gz scenarios.{conservative,base,optimistic}.quarterly[].new_order_revenue (KRW_million → 억원 ÷100) — 공시 수주 체결 분기별 상계 후(net_panel)</t>
      </text>
    </comment>
    <comment ref="F12" authorId="0" shapeId="0">
      <text>
        <t>forecast_panel existing_only new_order_revenue(억원) — forecast_panel.json.gz scenarios.{conservative,base,optimistic}.quarterly[].new_order_revenue (KRW_million → 억원 ÷100) — 공시 수주 체결 분기별 상계 후(net_panel)</t>
      </text>
    </comment>
    <comment ref="H12" authorId="0" shapeId="0">
      <text>
        <t>forecast_panel existing_only new_order_revenue(억원) — forecast_panel.json.gz scenarios.{conservative,base,optimistic}.quarterly[].new_order_revenue (KRW_million → 억원 ÷100) — 공시 수주 체결 분기별 상계 후(net_panel)</t>
      </text>
    </comment>
    <comment ref="I12" authorId="0" shapeId="0">
      <text>
        <t>forecast_panel existing_only new_order_revenue(억원) — forecast_panel.json.gz scenarios.{conservative,base,optimistic}.quarterly[].new_order_revenue (KRW_million → 억원 ÷100) — 공시 수주 체결 분기별 상계 후(net_panel)</t>
      </text>
    </comment>
    <comment ref="J12" authorId="0" shapeId="0">
      <text>
        <t>forecast_panel existing_only new_order_revenue(억원) — forecast_panel.json.gz scenarios.{conservative,base,optimistic}.quarterly[].new_order_revenue (KRW_million → 억원 ÷100) — 공시 수주 체결 분기별 상계 후(net_panel)</t>
      </text>
    </comment>
    <comment ref="K12" authorId="0" shapeId="0">
      <text>
        <t>forecast_panel existing_only new_order_revenue(억원) — forecast_panel.json.gz scenarios.{conservative,base,optimistic}.quarterly[].new_order_revenue (KRW_million → 억원 ÷100) — 공시 수주 체결 분기별 상계 후(net_panel)</t>
      </text>
    </comment>
    <comment ref="M12" authorId="0" shapeId="0">
      <text>
        <t>forecast_panel existing_only new_order_revenue(억원) — forecast_panel.json.gz scenarios.{conservative,base,optimistic}.quarterly[].new_order_revenue (KRW_million → 억원 ÷100) — 공시 수주 체결 분기별 상계 후(net_panel)</t>
      </text>
    </comment>
    <comment ref="N12" authorId="0" shapeId="0">
      <text>
        <t>forecast_panel existing_only new_order_revenue(억원) — forecast_panel.json.gz scenarios.{conservative,base,optimistic}.quarterly[].new_order_revenue (KRW_million → 억원 ÷100) — 공시 수주 체결 분기별 상계 후(net_panel)</t>
      </text>
    </comment>
    <comment ref="O12" authorId="0" shapeId="0">
      <text>
        <t>forecast_panel existing_only new_order_revenue(억원) — forecast_panel.json.gz scenarios.{conservative,base,optimistic}.quarterly[].new_order_revenue (KRW_million → 억원 ÷100) — 공시 수주 체결 분기별 상계 후(net_panel)</t>
      </text>
    </comment>
    <comment ref="P12" authorId="0" shapeId="0">
      <text>
        <t>forecast_panel existing_only new_order_revenue(억원) — forecast_panel.json.gz scenarios.{conservative,base,optimistic}.quarterly[].new_order_revenue (KRW_million → 억원 ÷100) — 공시 수주 체결 분기별 상계 후(net_panel)</t>
      </text>
    </comment>
    <comment ref="E18" authorId="0" shapeId="0">
      <text>
        <t>forecast_panel conservative new_order_revenue(억원) — forecast_panel.json.gz scenarios.{conservative,base,optimistic}.quarterly[].new_order_revenue (KRW_million → 억원 ÷100) — 공시 수주 체결 분기별 상계 후(net_panel)</t>
      </text>
    </comment>
    <comment ref="F18" authorId="0" shapeId="0">
      <text>
        <t>forecast_panel conservative new_order_revenue(억원) — forecast_panel.json.gz scenarios.{conservative,base,optimistic}.quarterly[].new_order_revenue (KRW_million → 억원 ÷100) — 공시 수주 체결 분기별 상계 후(net_panel)</t>
      </text>
    </comment>
    <comment ref="H18" authorId="0" shapeId="0">
      <text>
        <t>forecast_panel conservative new_order_revenue(억원) — forecast_panel.json.gz scenarios.{conservative,base,optimistic}.quarterly[].new_order_revenue (KRW_million → 억원 ÷100) — 공시 수주 체결 분기별 상계 후(net_panel)</t>
      </text>
    </comment>
    <comment ref="I18" authorId="0" shapeId="0">
      <text>
        <t>forecast_panel conservative new_order_revenue(억원) — forecast_panel.json.gz scenarios.{conservative,base,optimistic}.quarterly[].new_order_revenue (KRW_million → 억원 ÷100) — 공시 수주 체결 분기별 상계 후(net_panel)</t>
      </text>
    </comment>
    <comment ref="J18" authorId="0" shapeId="0">
      <text>
        <t>forecast_panel conservative new_order_revenue(억원) — forecast_panel.json.gz scenarios.{conservative,base,optimistic}.quarterly[].new_order_revenue (KRW_million → 억원 ÷100) — 공시 수주 체결 분기별 상계 후(net_panel)</t>
      </text>
    </comment>
    <comment ref="K18" authorId="0" shapeId="0">
      <text>
        <t>forecast_panel conservative new_order_revenue(억원) — forecast_panel.json.gz scenarios.{conservative,base,optimistic}.quarterly[].new_order_revenue (KRW_million → 억원 ÷100) — 공시 수주 체결 분기별 상계 후(net_panel)</t>
      </text>
    </comment>
    <comment ref="M18" authorId="0" shapeId="0">
      <text>
        <t>forecast_panel conservative new_order_revenue(억원) — forecast_panel.json.gz scenarios.{conservative,base,optimistic}.quarterly[].new_order_revenue (KRW_million → 억원 ÷100) — 공시 수주 체결 분기별 상계 후(net_panel)</t>
      </text>
    </comment>
    <comment ref="N18" authorId="0" shapeId="0">
      <text>
        <t>forecast_panel conservative new_order_revenue(억원) — forecast_panel.json.gz scenarios.{conservative,base,optimistic}.quarterly[].new_order_revenue (KRW_million → 억원 ÷100) — 공시 수주 체결 분기별 상계 후(net_panel)</t>
      </text>
    </comment>
    <comment ref="O18" authorId="0" shapeId="0">
      <text>
        <t>forecast_panel conservative new_order_revenue(억원) — forecast_panel.json.gz scenarios.{conservative,base,optimistic}.quarterly[].new_order_revenue (KRW_million → 억원 ÷100) — 공시 수주 체결 분기별 상계 후(net_panel)</t>
      </text>
    </comment>
    <comment ref="P18" authorId="0" shapeId="0">
      <text>
        <t>forecast_panel conservative new_order_revenue(억원) — forecast_panel.json.gz scenarios.{conservative,base,optimistic}.quarterly[].new_order_revenue (KRW_million → 억원 ÷100) — 공시 수주 체결 분기별 상계 후(net_panel)</t>
      </text>
    </comment>
    <comment ref="E24" authorId="0" shapeId="0">
      <text>
        <t>forecast_panel optimistic new_order_revenue(억원) — forecast_panel.json.gz scenarios.{conservative,base,optimistic}.quarterly[].new_order_revenue (KRW_million → 억원 ÷100) — 공시 수주 체결 분기별 상계 후(net_panel)</t>
      </text>
    </comment>
    <comment ref="F24" authorId="0" shapeId="0">
      <text>
        <t>forecast_panel optimistic new_order_revenue(억원) — forecast_panel.json.gz scenarios.{conservative,base,optimistic}.quarterly[].new_order_revenue (KRW_million → 억원 ÷100) — 공시 수주 체결 분기별 상계 후(net_panel)</t>
      </text>
    </comment>
    <comment ref="H24" authorId="0" shapeId="0">
      <text>
        <t>forecast_panel optimistic new_order_revenue(억원) — forecast_panel.json.gz scenarios.{conservative,base,optimistic}.quarterly[].new_order_revenue (KRW_million → 억원 ÷100) — 공시 수주 체결 분기별 상계 후(net_panel)</t>
      </text>
    </comment>
    <comment ref="I24" authorId="0" shapeId="0">
      <text>
        <t>forecast_panel optimistic new_order_revenue(억원) — forecast_panel.json.gz scenarios.{conservative,base,optimistic}.quarterly[].new_order_revenue (KRW_million → 억원 ÷100) — 공시 수주 체결 분기별 상계 후(net_panel)</t>
      </text>
    </comment>
    <comment ref="J24" authorId="0" shapeId="0">
      <text>
        <t>forecast_panel optimistic new_order_revenue(억원) — forecast_panel.json.gz scenarios.{conservative,base,optimistic}.quarterly[].new_order_revenue (KRW_million → 억원 ÷100) — 공시 수주 체결 분기별 상계 후(net_panel)</t>
      </text>
    </comment>
    <comment ref="K24" authorId="0" shapeId="0">
      <text>
        <t>forecast_panel optimistic new_order_revenue(억원) — forecast_panel.json.gz scenarios.{conservative,base,optimistic}.quarterly[].new_order_revenue (KRW_million → 억원 ÷100) — 공시 수주 체결 분기별 상계 후(net_panel)</t>
      </text>
    </comment>
    <comment ref="M24" authorId="0" shapeId="0">
      <text>
        <t>forecast_panel optimistic new_order_revenue(억원) — forecast_panel.json.gz scenarios.{conservative,base,optimistic}.quarterly[].new_order_revenue (KRW_million → 억원 ÷100) — 공시 수주 체결 분기별 상계 후(net_panel)</t>
      </text>
    </comment>
    <comment ref="N24" authorId="0" shapeId="0">
      <text>
        <t>forecast_panel optimistic new_order_revenue(억원) — forecast_panel.json.gz scenarios.{conservative,base,optimistic}.quarterly[].new_order_revenue (KRW_million → 억원 ÷100) — 공시 수주 체결 분기별 상계 후(net_panel)</t>
      </text>
    </comment>
    <comment ref="O24" authorId="0" shapeId="0">
      <text>
        <t>forecast_panel optimistic new_order_revenue(억원) — forecast_panel.json.gz scenarios.{conservative,base,optimistic}.quarterly[].new_order_revenue (KRW_million → 억원 ÷100) — 공시 수주 체결 분기별 상계 후(net_panel)</t>
      </text>
    </comment>
    <comment ref="P24" authorId="0" shapeId="0">
      <text>
        <t>forecast_panel optimistic new_order_revenue(억원) — forecast_panel.json.gz scenarios.{conservative,base,optimistic}.quarterly[].new_order_revenue (KRW_million → 억원 ÷100) — 공시 수주 체결 분기별 상계 후(net_panel)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대한조선(439260) 실적 모델 — ARGUS 한국조선</t>
        </is>
      </c>
    </row>
    <row r="2">
      <c r="A2" t="inlineStr">
        <is>
          <t>기준 분기 2026Q2 · 마지막 실적 2026Q2 · 생성 2026-10-14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22.76% — 법인세 = MAX(세전,0) × 세율, 추정 전 분기 연결(Σ법인세/Σmax(세전,0) 역산, 재현 오차 ≤ 0.05억). 모델 가정 22.76% · 근거: 최근 5분기 유효세율 22.8%(5~27% 안 — 그대로)</t>
        </is>
      </c>
    </row>
    <row r="23">
      <c r="A23" t="inlineStr">
        <is>
          <t>· 판관비율 2.44%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2.21% / 부채 0.00% — 이자손익 = (전분기 이자발생자산 × 자산이자율 − 전분기 총차입금 × 부채이자율)/4, 최소자승 역산(모델 assumptions [0.0221, None] 는 4자리 반올림이라 그대로 쓰면 ±1억 어긋남) · 출처: {"asset": "주석 이자수익 ÷ 평균 이자발생자산(2025Q3~2026Q2)", "debt": null}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= 외화 순노출 -2.29백만$ × Δ기말/100 (연결)</t>
        </is>
      </c>
    </row>
    <row r="27">
      <c r="A27" t="inlineStr">
        <is>
          <t>· 선표(SLS) — 헤지비율 70.0%(estimate) · 헤지환율 계약별 수주시점 환율 · 코호트 모드 reference_anchor · 잔고 캡 적용 × 0.8593 · subQ 매출조선 = SLS 합계/100 + 원장 밖 잔고 소진(변수 drv:매출조선, 역산) + 매출조선신규 — 계약 16건 중 포함 15건(marine_hedged_krw_m_signed_by_origin), 재구성 최대차 3.0 백만원</t>
        </is>
      </c>
    </row>
    <row r="28">
      <c r="A28" t="inlineStr">
        <is>
          <t>· 신규수주 — forecast_panel base 시나리오를 매출조선신규 행에 포함(calibrated=False, status partial — 공시 계약은 체결 분기별로 패널 신규수주와 상계(SLS 일정 유지)). 보수/낙관/기존만 은 시나리오 시트에만(합산 안 함)</t>
        </is>
      </c>
    </row>
    <row r="29">
      <c r="A29" t="inlineStr">
        <is>
          <t>· 연결된 가정: 세율, 판관비율, 지배주주비중, 이자율, 환관련손익, 선표 · 연결 안 된 가정(모델값·분기별 역산 그대로): 없음</t>
        </is>
      </c>
    </row>
    <row r="30">
      <c r="A30" t="inlineStr">
        <is>
          <t>· 밸류에이션 — PER 밴드 10.0/15.0/20.0배(sector_default(레퍼런스 TP_PE PB 예시 10/15/20배; 과거 양(+)EPS 분기 2개 &lt; 4)) · COE 9.0% · 12M fwd EPS 가중 0.5(가정). 모델 산출값 구간이며 추천이 아니다</t>
        </is>
      </c>
    </row>
    <row r="31">
      <c r="A31" t="inlineStr"/>
    </row>
    <row r="32">
      <c r="A32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3">
      <c r="A33" t="inlineStr">
        <is>
          <t>재현: cd argus/kship/tools &amp;&amp; python3 kship_model_xlsx.py --model assets/models/439260.json --verify   (모델 json 부터: kship_model.py --build --all --xlsx · xlsx 58사 일괄: kship_model_xlsx.py --all --verify)</t>
        </is>
      </c>
    </row>
    <row r="34">
      <c r="A34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5">
      <c r="A35" t="inlineStr">
        <is>
          <t>한계: 모델 quality.warnings — 원장 잔여가 공시 잔고를 넘음(커버리지 &gt; 1) → 원장 밖 소진분 0 (sls warnings 참고) / OPM 경로: 코호트 경로 없음 → 실측 중위 고정(원 타겟 전 분기 10.8% 상수(코호트 모드 reference_anchor); 경로 변화는 등급 없는 비중의 실측 중위 26.8% 채움에서만, 추정 구간 타겟 10.80%→10.80%) / 추정 매출조선 = 2026Q2 기준 잔고 소진분 + forecast_panel base new_order_revenue 신규수주 매출(미보정 book-value proxy, status partial; FY합 12,233억) — 보수/낙관은 scenarios 블록(합산 안 함) / origin 이후 공시 수주 1건 2,713억은 SLS 일정으로 전부 유지, 패널 신규수주에서 체결 분기별 상계(2026Q3 패널 3,882억 − 공시 2,713억 = 1,169억) — 패널 base 신규 매출 −2,366억(2026 57억 · 2027 1,021억 · 2028 1,288억) · 패널 new_order_revenue 정의 불확실 — order_basis=positive_part_of_empirical_net_replenishment; includes_unseparated_FX_cancellations(경험적 순보충 분위의 통계 흐름, 공시 계약을 개별 반영하지 않음) · new_order_arrival=quarter_end; first_recognition_next_quarter · progress_curve=R1_smoothstep_unfitted; contract_period_not_actual_build_stage; 패널 기존잔고는 origin 이후 공시 1건을 제외(industry_axes.schedule_exclusions.not_known_at_origin); 2026Q3 공시 수주 2,713억 vs 패널 base 신규수주 3,882억(70%). 공시 수주의 인식 시점·진행률(선형, 체결 분기부터)은 패널 가정과 다르다(calibrated=false) — FY 유지 SLS(공시) vs 패널 base 신규 매출(상계 후): 2026 344억 vs 25억 · 2027 775억 vs 2,540억 · 2028 777억 vs 9,669억 / SLS 선표 잔고 캡 적용 — 원장 잔여가 공시 잔고를 넘어 R3 가 줄인 값(sls.backlog_cap_applied) / 감가상각비가 face·CF 에 없음(주석 미파싱) → EBITDA·EV/EBITDA 미산출 / 금융손익 실적→추정 단절: 최근 4분기 실적 -291/-223/-457/-254(중위 -272억) → 추정 2026Q3 +32억(차 +304억, +112%) — 추정은 이자손익 + 기타금융 중위, 외환·파생 평가손익 0 가정(환율 효과는 환관련손익 행). 값은 바꾸지 않음 — 지배NI·EPS 해석 시 참고</t>
        </is>
      </c>
    </row>
    <row r="36">
      <c r="A36" t="inlineStr">
        <is>
          <t>백테스트: {"freeze": "2025Q2", "horizon": 4, "revenue_wape_pct": 11.4, "op_wape_pct": 26.4, "n": 4, "note": "단일 회사 4분기 — 통계 아님", "driver_at_freeze": "trend_seasonal", "selection_oos_at_freeze": null,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2960.48, "rev_act": 2739.73, "op_pred": 624.67, "op_act": 664.89}, {"q": "2025Q4", "rev_pred": 2960.48, "rev_act": 3504.05, "op_pred": 624.67, "op_act": 953.29}, {"q": "2026Q1", "rev_pred": 2960.48, "rev_act": 3082.71, "op_pred": 624.67, "op_act": 826.39}, {"q": "2026Q2", "rev_pred": 2960.48, "rev_act": 3544.35, "op_pred": 624.67, "op_act": 952.49}]}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C1" s="2" t="inlineStr">
        <is>
          <t>이름: 변수H</t>
        </is>
      </c>
      <c r="E1" s="3" t="inlineStr">
        <is>
          <t>2Q25</t>
        </is>
      </c>
      <c r="F1" s="3" t="inlineStr">
        <is>
          <t>3Q25</t>
        </is>
      </c>
      <c r="G1" s="3" t="inlineStr">
        <is>
          <t>4Q25</t>
        </is>
      </c>
      <c r="H1" s="3" t="n">
        <v>2025</v>
      </c>
      <c r="I1" s="3" t="inlineStr">
        <is>
          <t>1Q26</t>
        </is>
      </c>
      <c r="J1" s="4" t="inlineStr">
        <is>
          <t>2Q26</t>
        </is>
      </c>
      <c r="K1" s="3" t="inlineStr">
        <is>
          <t>3Q26</t>
        </is>
      </c>
      <c r="L1" s="3" t="inlineStr">
        <is>
          <t>4Q26</t>
        </is>
      </c>
      <c r="M1" s="3" t="n">
        <v>2026</v>
      </c>
      <c r="N1" s="3" t="inlineStr">
        <is>
          <t>1Q27</t>
        </is>
      </c>
      <c r="O1" s="3" t="inlineStr">
        <is>
          <t>2Q27</t>
        </is>
      </c>
      <c r="P1" s="3" t="inlineStr">
        <is>
          <t>3Q27</t>
        </is>
      </c>
      <c r="Q1" s="3" t="inlineStr">
        <is>
          <t>4Q27</t>
        </is>
      </c>
      <c r="R1" s="3" t="n">
        <v>2027</v>
      </c>
      <c r="S1" s="3" t="inlineStr">
        <is>
          <t>1Q28</t>
        </is>
      </c>
      <c r="T1" s="3" t="inlineStr">
        <is>
          <t>2Q28</t>
        </is>
      </c>
      <c r="U1" s="3" t="inlineStr">
        <is>
          <t>3Q28</t>
        </is>
      </c>
      <c r="V1" s="3" t="inlineStr">
        <is>
          <t>4Q28</t>
        </is>
      </c>
      <c r="W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J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6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</row>
    <row r="4">
      <c r="E4" s="7" t="inlineStr">
        <is>
          <t>2025.06</t>
        </is>
      </c>
      <c r="F4" s="7" t="inlineStr">
        <is>
          <t>2025.09</t>
        </is>
      </c>
      <c r="G4" s="7" t="inlineStr">
        <is>
          <t>2025.12</t>
        </is>
      </c>
      <c r="H4" s="7" t="inlineStr">
        <is>
          <t>2025.12A</t>
        </is>
      </c>
      <c r="I4" s="7" t="inlineStr">
        <is>
          <t>2026.03</t>
        </is>
      </c>
      <c r="J4" s="8" t="inlineStr">
        <is>
          <t>2026.06</t>
        </is>
      </c>
      <c r="K4" s="7" t="inlineStr">
        <is>
          <t>2026.09</t>
        </is>
      </c>
      <c r="L4" s="7" t="inlineStr">
        <is>
          <t>2026.12</t>
        </is>
      </c>
      <c r="M4" s="7" t="inlineStr">
        <is>
          <t>2026.12A</t>
        </is>
      </c>
      <c r="N4" s="7" t="inlineStr">
        <is>
          <t>2027.03</t>
        </is>
      </c>
      <c r="O4" s="7" t="inlineStr">
        <is>
          <t>2027.06</t>
        </is>
      </c>
      <c r="P4" s="7" t="inlineStr">
        <is>
          <t>2027.09</t>
        </is>
      </c>
      <c r="Q4" s="7" t="inlineStr">
        <is>
          <t>2027.12</t>
        </is>
      </c>
      <c r="R4" s="7" t="inlineStr">
        <is>
          <t>2027.12A</t>
        </is>
      </c>
      <c r="S4" s="7" t="inlineStr">
        <is>
          <t>2028.03</t>
        </is>
      </c>
      <c r="T4" s="7" t="inlineStr">
        <is>
          <t>2028.06</t>
        </is>
      </c>
      <c r="U4" s="7" t="inlineStr">
        <is>
          <t>2028.09</t>
        </is>
      </c>
      <c r="V4" s="7" t="inlineStr">
        <is>
          <t>2028.12</t>
        </is>
      </c>
      <c r="W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H5" s="9" t="n"/>
      <c r="J5" s="5" t="n"/>
      <c r="K5" s="10" t="n"/>
      <c r="L5" s="10" t="n"/>
      <c r="M5" s="11" t="n"/>
      <c r="N5" s="10" t="n"/>
      <c r="O5" s="10" t="n"/>
      <c r="P5" s="10" t="n"/>
      <c r="Q5" s="10" t="n"/>
      <c r="R5" s="11" t="n"/>
      <c r="S5" s="10" t="n"/>
      <c r="T5" s="10" t="n"/>
      <c r="U5" s="10" t="n"/>
      <c r="V5" s="10" t="n"/>
      <c r="W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1398.52</v>
      </c>
      <c r="F6" s="13" t="n">
        <v>1386.95</v>
      </c>
      <c r="G6" s="13" t="n">
        <v>1449.19</v>
      </c>
      <c r="H6" s="14" t="n">
        <v>1421.52</v>
      </c>
      <c r="I6" s="13" t="n">
        <v>1466.12</v>
      </c>
      <c r="J6" s="15" t="n">
        <v>1501.75</v>
      </c>
      <c r="K6" s="16" t="n">
        <v>1418.75</v>
      </c>
      <c r="L6" s="16" t="n">
        <v>1343.39</v>
      </c>
      <c r="M6" s="17" t="n">
        <v>1456.01</v>
      </c>
      <c r="N6" s="16" t="n">
        <v>1341.45</v>
      </c>
      <c r="O6" s="16" t="n">
        <v>1341.45</v>
      </c>
      <c r="P6" s="16" t="n">
        <v>1341.45</v>
      </c>
      <c r="Q6" s="16" t="n">
        <v>1341.45</v>
      </c>
      <c r="R6" s="11" t="n"/>
      <c r="S6" s="16" t="n">
        <v>1341.45</v>
      </c>
      <c r="T6" s="16" t="n">
        <v>1341.45</v>
      </c>
      <c r="U6" s="16" t="n">
        <v>1341.45</v>
      </c>
      <c r="V6" s="16" t="n">
        <v>1341.45</v>
      </c>
      <c r="W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1355.13</v>
      </c>
      <c r="F7" s="13" t="n">
        <v>1403.67</v>
      </c>
      <c r="G7" s="13" t="n">
        <v>1444.2</v>
      </c>
      <c r="H7" s="14" t="n">
        <v>1444.2</v>
      </c>
      <c r="I7" s="13" t="n">
        <v>1524.8</v>
      </c>
      <c r="J7" s="15" t="n">
        <v>1550.89</v>
      </c>
      <c r="K7" s="16" t="n">
        <v>1355.4</v>
      </c>
      <c r="L7" s="16" t="n">
        <v>1341.45</v>
      </c>
      <c r="M7" s="17" t="n">
        <v>1341.45</v>
      </c>
      <c r="N7" s="16" t="n">
        <v>1341.45</v>
      </c>
      <c r="O7" s="16" t="n">
        <v>1341.45</v>
      </c>
      <c r="P7" s="16" t="n">
        <v>1341.45</v>
      </c>
      <c r="Q7" s="16" t="n">
        <v>1341.45</v>
      </c>
      <c r="R7" s="11" t="n"/>
      <c r="S7" s="16" t="n">
        <v>1341.45</v>
      </c>
      <c r="T7" s="16" t="n">
        <v>1341.45</v>
      </c>
      <c r="U7" s="16" t="n">
        <v>1341.45</v>
      </c>
      <c r="V7" s="16" t="n">
        <v>1341.45</v>
      </c>
      <c r="W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967.92</v>
      </c>
      <c r="F8" s="13" t="n">
        <v>940.3200000000001</v>
      </c>
      <c r="G8" s="13" t="n">
        <v>940.77</v>
      </c>
      <c r="H8" s="14" t="n">
        <v>950.17</v>
      </c>
      <c r="I8" s="13" t="n">
        <v>934.39</v>
      </c>
      <c r="J8" s="15" t="n">
        <v>942.16</v>
      </c>
      <c r="K8" s="16" t="n">
        <v>890.41</v>
      </c>
      <c r="L8" s="16" t="n">
        <v>849.39</v>
      </c>
      <c r="M8" s="17" t="n">
        <v>918.46</v>
      </c>
      <c r="N8" s="16" t="n">
        <v>848.37</v>
      </c>
      <c r="O8" s="16" t="n">
        <v>848.37</v>
      </c>
      <c r="P8" s="16" t="n">
        <v>848.37</v>
      </c>
      <c r="Q8" s="16" t="n">
        <v>848.37</v>
      </c>
      <c r="R8" s="11" t="n"/>
      <c r="S8" s="16" t="n">
        <v>848.37</v>
      </c>
      <c r="T8" s="16" t="n">
        <v>848.37</v>
      </c>
      <c r="U8" s="16" t="n">
        <v>848.37</v>
      </c>
      <c r="V8" s="16" t="n">
        <v>848.37</v>
      </c>
      <c r="W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938.85</v>
      </c>
      <c r="F9" s="13" t="n">
        <v>948.49</v>
      </c>
      <c r="G9" s="13" t="n">
        <v>921.8099999999999</v>
      </c>
      <c r="H9" s="14" t="n">
        <v>921.8099999999999</v>
      </c>
      <c r="I9" s="13" t="n">
        <v>955.99</v>
      </c>
      <c r="J9" s="15" t="n">
        <v>954.75</v>
      </c>
      <c r="K9" s="16" t="n">
        <v>863.3099999999999</v>
      </c>
      <c r="L9" s="16" t="n">
        <v>848.37</v>
      </c>
      <c r="M9" s="17" t="n">
        <v>848.37</v>
      </c>
      <c r="N9" s="16" t="n">
        <v>848.37</v>
      </c>
      <c r="O9" s="16" t="n">
        <v>848.37</v>
      </c>
      <c r="P9" s="16" t="n">
        <v>848.37</v>
      </c>
      <c r="Q9" s="16" t="n">
        <v>848.37</v>
      </c>
      <c r="R9" s="11" t="n"/>
      <c r="S9" s="16" t="n">
        <v>848.37</v>
      </c>
      <c r="T9" s="16" t="n">
        <v>848.37</v>
      </c>
      <c r="U9" s="16" t="n">
        <v>848.37</v>
      </c>
      <c r="V9" s="16" t="n">
        <v>848.37</v>
      </c>
      <c r="W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1585.13</v>
      </c>
      <c r="F10" s="13" t="n">
        <v>1620.04</v>
      </c>
      <c r="G10" s="13" t="n">
        <v>1686.02</v>
      </c>
      <c r="H10" s="14" t="n">
        <v>1605.45</v>
      </c>
      <c r="I10" s="13" t="n">
        <v>1715.47</v>
      </c>
      <c r="J10" s="15" t="n">
        <v>1746.09</v>
      </c>
      <c r="K10" s="16" t="n">
        <v>1631.97</v>
      </c>
      <c r="L10" s="16" t="n">
        <v>1506.62</v>
      </c>
      <c r="M10" s="17" t="n">
        <v>1688.01</v>
      </c>
      <c r="N10" s="16" t="n">
        <v>1500.82</v>
      </c>
      <c r="O10" s="16" t="n">
        <v>1500.82</v>
      </c>
      <c r="P10" s="16" t="n">
        <v>1500.82</v>
      </c>
      <c r="Q10" s="16" t="n">
        <v>1500.82</v>
      </c>
      <c r="R10" s="11" t="n"/>
      <c r="S10" s="16" t="n">
        <v>1500.82</v>
      </c>
      <c r="T10" s="16" t="n">
        <v>1500.82</v>
      </c>
      <c r="U10" s="16" t="n">
        <v>1500.82</v>
      </c>
      <c r="V10" s="16" t="n">
        <v>1500.82</v>
      </c>
      <c r="W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1588.22</v>
      </c>
      <c r="F11" s="13" t="n">
        <v>1648.04</v>
      </c>
      <c r="G11" s="13" t="n">
        <v>1696.94</v>
      </c>
      <c r="H11" s="14" t="n">
        <v>1696.94</v>
      </c>
      <c r="I11" s="13" t="n">
        <v>1753.21</v>
      </c>
      <c r="J11" s="15" t="n">
        <v>1767.09</v>
      </c>
      <c r="K11" s="16" t="n">
        <v>1539.06</v>
      </c>
      <c r="L11" s="16" t="n">
        <v>1500.82</v>
      </c>
      <c r="M11" s="17" t="n">
        <v>1500.82</v>
      </c>
      <c r="N11" s="16" t="n">
        <v>1500.82</v>
      </c>
      <c r="O11" s="16" t="n">
        <v>1500.82</v>
      </c>
      <c r="P11" s="16" t="n">
        <v>1500.82</v>
      </c>
      <c r="Q11" s="16" t="n">
        <v>1500.82</v>
      </c>
      <c r="R11" s="11" t="n"/>
      <c r="S11" s="16" t="n">
        <v>1500.82</v>
      </c>
      <c r="T11" s="16" t="n">
        <v>1500.82</v>
      </c>
      <c r="U11" s="16" t="n">
        <v>1500.82</v>
      </c>
      <c r="V11" s="16" t="n">
        <v>1500.82</v>
      </c>
      <c r="W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193.41</v>
      </c>
      <c r="F12" s="13" t="n">
        <v>193.79</v>
      </c>
      <c r="G12" s="13" t="n">
        <v>204.38</v>
      </c>
      <c r="H12" s="14" t="n">
        <v>197.8</v>
      </c>
      <c r="I12" s="13" t="n">
        <v>211.75</v>
      </c>
      <c r="J12" s="15" t="n">
        <v>220.8</v>
      </c>
      <c r="K12" s="16" t="n">
        <v>210.43</v>
      </c>
      <c r="L12" s="16" t="n">
        <v>200.49</v>
      </c>
      <c r="M12" s="17" t="n">
        <v>213.61</v>
      </c>
      <c r="N12" s="16" t="n">
        <v>200.4</v>
      </c>
      <c r="O12" s="16" t="n">
        <v>200.4</v>
      </c>
      <c r="P12" s="16" t="n">
        <v>200.4</v>
      </c>
      <c r="Q12" s="16" t="n">
        <v>200.4</v>
      </c>
      <c r="R12" s="11" t="n"/>
      <c r="S12" s="16" t="n">
        <v>200.4</v>
      </c>
      <c r="T12" s="16" t="n">
        <v>200.4</v>
      </c>
      <c r="U12" s="16" t="n">
        <v>200.4</v>
      </c>
      <c r="V12" s="16" t="n">
        <v>200.4</v>
      </c>
      <c r="W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189.14</v>
      </c>
      <c r="F13" s="13" t="n">
        <v>197.16</v>
      </c>
      <c r="G13" s="13" t="n">
        <v>206.28</v>
      </c>
      <c r="H13" s="14" t="n">
        <v>206.28</v>
      </c>
      <c r="I13" s="13" t="n">
        <v>220.97</v>
      </c>
      <c r="J13" s="15" t="n">
        <v>228.56</v>
      </c>
      <c r="K13" s="16" t="n">
        <v>202.16</v>
      </c>
      <c r="L13" s="16" t="n">
        <v>200.4</v>
      </c>
      <c r="M13" s="17" t="n">
        <v>200.4</v>
      </c>
      <c r="N13" s="16" t="n">
        <v>200.4</v>
      </c>
      <c r="O13" s="16" t="n">
        <v>200.4</v>
      </c>
      <c r="P13" s="16" t="n">
        <v>200.4</v>
      </c>
      <c r="Q13" s="16" t="n">
        <v>200.4</v>
      </c>
      <c r="R13" s="11" t="n"/>
      <c r="S13" s="16" t="n">
        <v>200.4</v>
      </c>
      <c r="T13" s="16" t="n">
        <v>200.4</v>
      </c>
      <c r="U13" s="16" t="n">
        <v>200.4</v>
      </c>
      <c r="V13" s="16" t="n">
        <v>200.4</v>
      </c>
      <c r="W13" s="11" t="n"/>
    </row>
    <row r="14">
      <c r="B14" s="1" t="inlineStr">
        <is>
          <t>1b. 종가</t>
        </is>
      </c>
      <c r="H14" s="9" t="n"/>
      <c r="J14" s="5" t="n"/>
      <c r="K14" s="10" t="n"/>
      <c r="L14" s="10" t="n"/>
      <c r="M14" s="11" t="n"/>
      <c r="N14" s="10" t="n"/>
      <c r="O14" s="10" t="n"/>
      <c r="P14" s="10" t="n"/>
      <c r="Q14" s="10" t="n"/>
      <c r="R14" s="11" t="n"/>
      <c r="S14" s="10" t="n"/>
      <c r="T14" s="10" t="n"/>
      <c r="U14" s="10" t="n"/>
      <c r="V14" s="10" t="n"/>
      <c r="W14" s="11" t="n"/>
    </row>
    <row r="15">
      <c r="A15" s="12" t="inlineStr">
        <is>
          <t>price_close_end</t>
        </is>
      </c>
      <c r="C15" t="inlineStr">
        <is>
          <t>종가(기말)</t>
        </is>
      </c>
      <c r="F15" s="18" t="n">
        <v>80900</v>
      </c>
      <c r="G15" s="18" t="n">
        <v>67000</v>
      </c>
      <c r="H15" s="9" t="n"/>
      <c r="I15" s="18" t="n">
        <v>85700</v>
      </c>
      <c r="J15" s="19" t="n">
        <v>52000</v>
      </c>
      <c r="K15" s="20" t="n">
        <v>45700</v>
      </c>
      <c r="L15" s="20" t="n">
        <v>41900</v>
      </c>
      <c r="M15" s="11" t="n"/>
      <c r="N15" s="10" t="n"/>
      <c r="O15" s="10" t="n"/>
      <c r="P15" s="10" t="n"/>
      <c r="Q15" s="10" t="n"/>
      <c r="R15" s="11" t="n"/>
      <c r="S15" s="10" t="n"/>
      <c r="T15" s="10" t="n"/>
      <c r="U15" s="10" t="n"/>
      <c r="V15" s="10" t="n"/>
      <c r="W15" s="11" t="n"/>
    </row>
    <row r="16">
      <c r="A16" s="12" t="inlineStr">
        <is>
          <t>price_high</t>
        </is>
      </c>
      <c r="C16" t="inlineStr">
        <is>
          <t>종가(최고)</t>
        </is>
      </c>
      <c r="F16" s="18" t="n">
        <v>116000</v>
      </c>
      <c r="G16" s="18" t="n">
        <v>82500</v>
      </c>
      <c r="H16" s="9" t="n"/>
      <c r="I16" s="18" t="n">
        <v>109700</v>
      </c>
      <c r="J16" s="19" t="n">
        <v>97600</v>
      </c>
      <c r="K16" s="20" t="n">
        <v>57500</v>
      </c>
      <c r="L16" s="20" t="n">
        <v>48350</v>
      </c>
      <c r="M16" s="11" t="n"/>
      <c r="N16" s="10" t="n"/>
      <c r="O16" s="10" t="n"/>
      <c r="P16" s="10" t="n"/>
      <c r="Q16" s="10" t="n"/>
      <c r="R16" s="11" t="n"/>
      <c r="S16" s="10" t="n"/>
      <c r="T16" s="10" t="n"/>
      <c r="U16" s="10" t="n"/>
      <c r="V16" s="10" t="n"/>
      <c r="W16" s="11" t="n"/>
    </row>
    <row r="17">
      <c r="A17" s="12" t="inlineStr">
        <is>
          <t>price_low</t>
        </is>
      </c>
      <c r="C17" t="inlineStr">
        <is>
          <t>종가(최저)</t>
        </is>
      </c>
      <c r="F17" s="18" t="n">
        <v>77500</v>
      </c>
      <c r="G17" s="18" t="n">
        <v>57300</v>
      </c>
      <c r="H17" s="9" t="n"/>
      <c r="I17" s="18" t="n">
        <v>64400</v>
      </c>
      <c r="J17" s="19" t="n">
        <v>48800</v>
      </c>
      <c r="K17" s="20" t="n">
        <v>42100</v>
      </c>
      <c r="L17" s="20" t="n">
        <v>39950</v>
      </c>
      <c r="M17" s="11" t="n"/>
      <c r="N17" s="10" t="n"/>
      <c r="O17" s="10" t="n"/>
      <c r="P17" s="10" t="n"/>
      <c r="Q17" s="10" t="n"/>
      <c r="R17" s="11" t="n"/>
      <c r="S17" s="10" t="n"/>
      <c r="T17" s="10" t="n"/>
      <c r="U17" s="10" t="n"/>
      <c r="V17" s="10" t="n"/>
      <c r="W17" s="11" t="n"/>
    </row>
    <row r="18">
      <c r="A18" s="12" t="inlineStr">
        <is>
          <t>price_avg</t>
        </is>
      </c>
      <c r="C18" t="inlineStr">
        <is>
          <t>종가(평균)</t>
        </is>
      </c>
      <c r="F18" s="18" t="n">
        <v>86250</v>
      </c>
      <c r="G18" s="18" t="n">
        <v>71403.39999999999</v>
      </c>
      <c r="H18" s="9" t="n"/>
      <c r="I18" s="18" t="n">
        <v>81345.8</v>
      </c>
      <c r="J18" s="19" t="n">
        <v>74616.39999999999</v>
      </c>
      <c r="K18" s="20" t="n">
        <v>48174.2</v>
      </c>
      <c r="L18" s="20" t="n">
        <v>44643.8</v>
      </c>
      <c r="M18" s="11" t="n"/>
      <c r="N18" s="10" t="n"/>
      <c r="O18" s="10" t="n"/>
      <c r="P18" s="10" t="n"/>
      <c r="Q18" s="10" t="n"/>
      <c r="R18" s="11" t="n"/>
      <c r="S18" s="10" t="n"/>
      <c r="T18" s="10" t="n"/>
      <c r="U18" s="10" t="n"/>
      <c r="V18" s="10" t="n"/>
      <c r="W18" s="11" t="n"/>
    </row>
    <row r="19">
      <c r="H19" s="9" t="n"/>
      <c r="J19" s="5" t="n"/>
      <c r="K19" s="10" t="n"/>
      <c r="L19" s="10" t="n"/>
      <c r="M19" s="11" t="n"/>
      <c r="N19" s="10" t="n"/>
      <c r="O19" s="10" t="n"/>
      <c r="P19" s="10" t="n"/>
      <c r="Q19" s="10" t="n"/>
      <c r="R19" s="11" t="n"/>
      <c r="S19" s="10" t="n"/>
      <c r="T19" s="10" t="n"/>
      <c r="U19" s="10" t="n"/>
      <c r="V19" s="10" t="n"/>
      <c r="W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H20" s="9" t="n"/>
      <c r="J20" s="5" t="n"/>
      <c r="K20" s="10" t="n"/>
      <c r="L20" s="10" t="n"/>
      <c r="M20" s="11" t="n"/>
      <c r="N20" s="10" t="n"/>
      <c r="O20" s="10" t="n"/>
      <c r="P20" s="10" t="n"/>
      <c r="Q20" s="10" t="n"/>
      <c r="R20" s="11" t="n"/>
      <c r="S20" s="10" t="n"/>
      <c r="T20" s="10" t="n"/>
      <c r="U20" s="10" t="n"/>
      <c r="V20" s="10" t="n"/>
      <c r="W20" s="11" t="n"/>
    </row>
    <row r="21">
      <c r="A21" s="12" t="inlineStr">
        <is>
          <t>drv:판관비</t>
        </is>
      </c>
      <c r="B21" s="2" t="inlineStr">
        <is>
          <t>ratio</t>
        </is>
      </c>
      <c r="C21" t="inlineStr">
        <is>
          <t>판관비율(/매출)</t>
        </is>
      </c>
      <c r="E21" s="21">
        <f>IFERROR(subQ!E8/subQ!E5,"")</f>
        <v/>
      </c>
      <c r="F21" s="21">
        <f>IFERROR(subQ!F8/subQ!F5,"")</f>
        <v/>
      </c>
      <c r="G21" s="21">
        <f>IFERROR(subQ!G8/subQ!G5,"")</f>
        <v/>
      </c>
      <c r="H21" s="22">
        <f>IFERROR(subQ!H8/subQ!H5,"")</f>
        <v/>
      </c>
      <c r="I21" s="21">
        <f>IFERROR(subQ!I8/subQ!I5,"")</f>
        <v/>
      </c>
      <c r="J21" s="23">
        <f>IFERROR(subQ!J8/subQ!J5,"")</f>
        <v/>
      </c>
      <c r="K21" s="24">
        <f>$D$54</f>
        <v/>
      </c>
      <c r="L21" s="24">
        <f>$D$54</f>
        <v/>
      </c>
      <c r="M21" s="25">
        <f>IFERROR(subQ!M8/subQ!M5,"")</f>
        <v/>
      </c>
      <c r="N21" s="24">
        <f>$D$54</f>
        <v/>
      </c>
      <c r="O21" s="24">
        <f>$D$54</f>
        <v/>
      </c>
      <c r="P21" s="24">
        <f>$D$54</f>
        <v/>
      </c>
      <c r="Q21" s="24">
        <f>$D$54</f>
        <v/>
      </c>
      <c r="R21" s="25">
        <f>IFERROR(subQ!R8/subQ!R5,"")</f>
        <v/>
      </c>
      <c r="S21" s="24">
        <f>$D$54</f>
        <v/>
      </c>
      <c r="T21" s="24">
        <f>$D$54</f>
        <v/>
      </c>
      <c r="U21" s="24">
        <f>$D$54</f>
        <v/>
      </c>
      <c r="V21" s="24">
        <f>$D$54</f>
        <v/>
      </c>
      <c r="W21" s="25">
        <f>IFERROR(subQ!W8/subQ!W5,"")</f>
        <v/>
      </c>
    </row>
    <row r="22">
      <c r="A22" s="12" t="inlineStr">
        <is>
          <t>drv:외환손익</t>
        </is>
      </c>
      <c r="B22" s="2" t="inlineStr">
        <is>
          <t>abs</t>
        </is>
      </c>
      <c r="C22" t="inlineStr">
        <is>
          <t>외환손익 (가정, 억원)</t>
        </is>
      </c>
      <c r="E22" s="26">
        <f>subQ!E13</f>
        <v/>
      </c>
      <c r="F22" s="26">
        <f>subQ!F13</f>
        <v/>
      </c>
      <c r="G22" s="26">
        <f>subQ!G13</f>
        <v/>
      </c>
      <c r="H22" s="27">
        <f>subQ!H13</f>
        <v/>
      </c>
      <c r="I22" s="26">
        <f>subQ!I13</f>
        <v/>
      </c>
      <c r="J22" s="28">
        <f>subQ!J13</f>
        <v/>
      </c>
      <c r="K22" s="29" t="n">
        <v>0</v>
      </c>
      <c r="L22" s="29" t="n">
        <v>0</v>
      </c>
      <c r="M22" s="30">
        <f>subQ!M13</f>
        <v/>
      </c>
      <c r="N22" s="29" t="n">
        <v>0</v>
      </c>
      <c r="O22" s="29" t="n">
        <v>0</v>
      </c>
      <c r="P22" s="29" t="n">
        <v>0</v>
      </c>
      <c r="Q22" s="29" t="n">
        <v>0</v>
      </c>
      <c r="R22" s="30">
        <f>subQ!R13</f>
        <v/>
      </c>
      <c r="S22" s="29" t="n">
        <v>0</v>
      </c>
      <c r="T22" s="29" t="n">
        <v>0</v>
      </c>
      <c r="U22" s="29" t="n">
        <v>0</v>
      </c>
      <c r="V22" s="29" t="n">
        <v>0</v>
      </c>
      <c r="W22" s="30">
        <f>subQ!W13</f>
        <v/>
      </c>
    </row>
    <row r="23">
      <c r="A23" s="12" t="inlineStr">
        <is>
          <t>drv:파생상품손익</t>
        </is>
      </c>
      <c r="B23" s="2" t="inlineStr">
        <is>
          <t>abs</t>
        </is>
      </c>
      <c r="C23" t="inlineStr">
        <is>
          <t>파생상품손익 (가정, 억원)</t>
        </is>
      </c>
      <c r="E23" s="26">
        <f>subQ!E14</f>
        <v/>
      </c>
      <c r="F23" s="26">
        <f>subQ!F14</f>
        <v/>
      </c>
      <c r="G23" s="26">
        <f>subQ!G14</f>
        <v/>
      </c>
      <c r="H23" s="27">
        <f>subQ!H14</f>
        <v/>
      </c>
      <c r="I23" s="26">
        <f>subQ!I14</f>
        <v/>
      </c>
      <c r="J23" s="28">
        <f>subQ!J14</f>
        <v/>
      </c>
      <c r="K23" s="29" t="n">
        <v>0</v>
      </c>
      <c r="L23" s="29" t="n">
        <v>0</v>
      </c>
      <c r="M23" s="30">
        <f>subQ!M14</f>
        <v/>
      </c>
      <c r="N23" s="29" t="n">
        <v>0</v>
      </c>
      <c r="O23" s="29" t="n">
        <v>0</v>
      </c>
      <c r="P23" s="29" t="n">
        <v>0</v>
      </c>
      <c r="Q23" s="29" t="n">
        <v>0</v>
      </c>
      <c r="R23" s="30">
        <f>subQ!R14</f>
        <v/>
      </c>
      <c r="S23" s="29" t="n">
        <v>0</v>
      </c>
      <c r="T23" s="29" t="n">
        <v>0</v>
      </c>
      <c r="U23" s="29" t="n">
        <v>0</v>
      </c>
      <c r="V23" s="29" t="n">
        <v>0</v>
      </c>
      <c r="W23" s="30">
        <f>subQ!W14</f>
        <v/>
      </c>
    </row>
    <row r="24">
      <c r="A24" s="12" t="inlineStr">
        <is>
          <t>drv:기타금융손익</t>
        </is>
      </c>
      <c r="B24" s="2" t="inlineStr">
        <is>
          <t>abs</t>
        </is>
      </c>
      <c r="C24" t="inlineStr">
        <is>
          <t>기타금융손익 (가정, 억원)</t>
        </is>
      </c>
      <c r="E24" s="26">
        <f>subQ!E15</f>
        <v/>
      </c>
      <c r="F24" s="26">
        <f>subQ!F15</f>
        <v/>
      </c>
      <c r="G24" s="26">
        <f>subQ!G15</f>
        <v/>
      </c>
      <c r="H24" s="27">
        <f>subQ!H15</f>
        <v/>
      </c>
      <c r="I24" s="26">
        <f>subQ!I15</f>
        <v/>
      </c>
      <c r="J24" s="28">
        <f>subQ!J15</f>
        <v/>
      </c>
      <c r="K24" s="29" t="n">
        <v>0</v>
      </c>
      <c r="L24" s="29" t="n">
        <v>0</v>
      </c>
      <c r="M24" s="30">
        <f>subQ!M15</f>
        <v/>
      </c>
      <c r="N24" s="29" t="n">
        <v>0</v>
      </c>
      <c r="O24" s="29" t="n">
        <v>0</v>
      </c>
      <c r="P24" s="29" t="n">
        <v>0</v>
      </c>
      <c r="Q24" s="29" t="n">
        <v>0</v>
      </c>
      <c r="R24" s="30">
        <f>subQ!R15</f>
        <v/>
      </c>
      <c r="S24" s="29" t="n">
        <v>0</v>
      </c>
      <c r="T24" s="29" t="n">
        <v>0</v>
      </c>
      <c r="U24" s="29" t="n">
        <v>0</v>
      </c>
      <c r="V24" s="29" t="n">
        <v>0</v>
      </c>
      <c r="W24" s="30">
        <f>subQ!W15</f>
        <v/>
      </c>
    </row>
    <row r="25">
      <c r="A25" s="12" t="inlineStr">
        <is>
          <t>drv:기타영업외손익</t>
        </is>
      </c>
      <c r="B25" s="2" t="inlineStr">
        <is>
          <t>abs</t>
        </is>
      </c>
      <c r="C25" t="inlineStr">
        <is>
          <t>기타영업외손익 (가정, 억원)</t>
        </is>
      </c>
      <c r="E25" s="26">
        <f>subQ!E16</f>
        <v/>
      </c>
      <c r="F25" s="26">
        <f>subQ!F16</f>
        <v/>
      </c>
      <c r="G25" s="26">
        <f>subQ!G16</f>
        <v/>
      </c>
      <c r="H25" s="27">
        <f>subQ!H16</f>
        <v/>
      </c>
      <c r="I25" s="26">
        <f>subQ!I16</f>
        <v/>
      </c>
      <c r="J25" s="28">
        <f>subQ!J16</f>
        <v/>
      </c>
      <c r="K25" s="29" t="n">
        <v>0</v>
      </c>
      <c r="L25" s="29" t="n">
        <v>0</v>
      </c>
      <c r="M25" s="30">
        <f>subQ!M16</f>
        <v/>
      </c>
      <c r="N25" s="29" t="n">
        <v>0</v>
      </c>
      <c r="O25" s="29" t="n">
        <v>0</v>
      </c>
      <c r="P25" s="29" t="n">
        <v>0</v>
      </c>
      <c r="Q25" s="29" t="n">
        <v>0</v>
      </c>
      <c r="R25" s="30">
        <f>subQ!R16</f>
        <v/>
      </c>
      <c r="S25" s="29" t="n">
        <v>0</v>
      </c>
      <c r="T25" s="29" t="n">
        <v>0</v>
      </c>
      <c r="U25" s="29" t="n">
        <v>0</v>
      </c>
      <c r="V25" s="29" t="n">
        <v>0</v>
      </c>
      <c r="W25" s="30">
        <f>subQ!W16</f>
        <v/>
      </c>
    </row>
    <row r="26">
      <c r="A26" s="12" t="inlineStr">
        <is>
          <t>drv:법인세비용</t>
        </is>
      </c>
      <c r="B26" s="2" t="inlineStr">
        <is>
          <t>tax</t>
        </is>
      </c>
      <c r="C26" t="inlineStr">
        <is>
          <t>법인세율(/세전) — 법인세 = MAX(세전,0) × 세율</t>
        </is>
      </c>
      <c r="E26" s="21">
        <f>IFERROR(subQ!E19/subQ!E18,"")</f>
        <v/>
      </c>
      <c r="F26" s="21">
        <f>IFERROR(subQ!F19/subQ!F18,"")</f>
        <v/>
      </c>
      <c r="G26" s="21">
        <f>IFERROR(subQ!G19/subQ!G18,"")</f>
        <v/>
      </c>
      <c r="H26" s="22">
        <f>IFERROR(subQ!H19/subQ!H18,"")</f>
        <v/>
      </c>
      <c r="I26" s="21">
        <f>IFERROR(subQ!I19/subQ!I18,"")</f>
        <v/>
      </c>
      <c r="J26" s="23">
        <f>IFERROR(subQ!J19/subQ!J18,"")</f>
        <v/>
      </c>
      <c r="K26" s="24">
        <f>$D$53</f>
        <v/>
      </c>
      <c r="L26" s="24">
        <f>$D$53</f>
        <v/>
      </c>
      <c r="M26" s="25">
        <f>IFERROR(subQ!M19/subQ!M18,"")</f>
        <v/>
      </c>
      <c r="N26" s="24">
        <f>$D$53</f>
        <v/>
      </c>
      <c r="O26" s="24">
        <f>$D$53</f>
        <v/>
      </c>
      <c r="P26" s="24">
        <f>$D$53</f>
        <v/>
      </c>
      <c r="Q26" s="24">
        <f>$D$53</f>
        <v/>
      </c>
      <c r="R26" s="25">
        <f>IFERROR(subQ!R19/subQ!R18,"")</f>
        <v/>
      </c>
      <c r="S26" s="24">
        <f>$D$53</f>
        <v/>
      </c>
      <c r="T26" s="24">
        <f>$D$53</f>
        <v/>
      </c>
      <c r="U26" s="24">
        <f>$D$53</f>
        <v/>
      </c>
      <c r="V26" s="24">
        <f>$D$53</f>
        <v/>
      </c>
      <c r="W26" s="25">
        <f>IFERROR(subQ!W19/subQ!W18,"")</f>
        <v/>
      </c>
    </row>
    <row r="27">
      <c r="A27" s="12" t="inlineStr">
        <is>
          <t>drv:지배주주순이익</t>
        </is>
      </c>
      <c r="B27" s="2" t="inlineStr">
        <is>
          <t>ratio</t>
        </is>
      </c>
      <c r="C27" t="inlineStr">
        <is>
          <t>지배주주 비중(/당기순이익)</t>
        </is>
      </c>
      <c r="E27" s="21">
        <f>IFERROR(subQ!E21/subQ!E20,"")</f>
        <v/>
      </c>
      <c r="F27" s="21">
        <f>IFERROR(subQ!F21/subQ!F20,"")</f>
        <v/>
      </c>
      <c r="G27" s="21">
        <f>IFERROR(subQ!G21/subQ!G20,"")</f>
        <v/>
      </c>
      <c r="H27" s="22">
        <f>IFERROR(subQ!H21/subQ!H20,"")</f>
        <v/>
      </c>
      <c r="I27" s="21">
        <f>IFERROR(subQ!I21/subQ!I20,"")</f>
        <v/>
      </c>
      <c r="J27" s="23">
        <f>IFERROR(subQ!J21/subQ!J20,"")</f>
        <v/>
      </c>
      <c r="K27" s="24">
        <f>$D$55</f>
        <v/>
      </c>
      <c r="L27" s="24">
        <f>$D$55</f>
        <v/>
      </c>
      <c r="M27" s="25">
        <f>IFERROR(subQ!M21/subQ!M20,"")</f>
        <v/>
      </c>
      <c r="N27" s="24">
        <f>$D$55</f>
        <v/>
      </c>
      <c r="O27" s="24">
        <f>$D$55</f>
        <v/>
      </c>
      <c r="P27" s="24">
        <f>$D$55</f>
        <v/>
      </c>
      <c r="Q27" s="24">
        <f>$D$55</f>
        <v/>
      </c>
      <c r="R27" s="25">
        <f>IFERROR(subQ!R21/subQ!R20,"")</f>
        <v/>
      </c>
      <c r="S27" s="24">
        <f>$D$55</f>
        <v/>
      </c>
      <c r="T27" s="24">
        <f>$D$55</f>
        <v/>
      </c>
      <c r="U27" s="24">
        <f>$D$55</f>
        <v/>
      </c>
      <c r="V27" s="24">
        <f>$D$55</f>
        <v/>
      </c>
      <c r="W27" s="25">
        <f>IFERROR(subQ!W21/subQ!W20,"")</f>
        <v/>
      </c>
    </row>
    <row r="28">
      <c r="A28" s="12" t="inlineStr">
        <is>
          <t>drv:부채총계</t>
        </is>
      </c>
      <c r="B28" s="2" t="inlineStr">
        <is>
          <t>qoq</t>
        </is>
      </c>
      <c r="C28" t="inlineStr">
        <is>
          <t>부채총계 QoQ</t>
        </is>
      </c>
      <c r="E28" s="21" t="n"/>
      <c r="F28" s="21">
        <f>IFERROR(subQ!F23/subQ!E23-1,"")</f>
        <v/>
      </c>
      <c r="G28" s="21">
        <f>IFERROR(subQ!G23/subQ!F23-1,"")</f>
        <v/>
      </c>
      <c r="H28" s="22" t="n"/>
      <c r="I28" s="21">
        <f>IFERROR(subQ!I23/subQ!G23-1,"")</f>
        <v/>
      </c>
      <c r="J28" s="23">
        <f>IFERROR(subQ!J23/subQ!I23-1,"")</f>
        <v/>
      </c>
      <c r="K28" s="31" t="n">
        <v>7.8e-07</v>
      </c>
      <c r="L28" s="31" t="n">
        <v>0</v>
      </c>
      <c r="M28" s="25" t="n"/>
      <c r="N28" s="31" t="n">
        <v>0</v>
      </c>
      <c r="O28" s="31" t="n">
        <v>0</v>
      </c>
      <c r="P28" s="31" t="n">
        <v>0</v>
      </c>
      <c r="Q28" s="31" t="n">
        <v>0</v>
      </c>
      <c r="R28" s="25" t="n"/>
      <c r="S28" s="31" t="n">
        <v>0</v>
      </c>
      <c r="T28" s="31" t="n">
        <v>0</v>
      </c>
      <c r="U28" s="31" t="n">
        <v>0</v>
      </c>
      <c r="V28" s="31" t="n">
        <v>0</v>
      </c>
      <c r="W28" s="25" t="n"/>
    </row>
    <row r="29">
      <c r="A29" s="12" t="inlineStr">
        <is>
          <t>drv:자본총계</t>
        </is>
      </c>
      <c r="B29" s="2" t="inlineStr">
        <is>
          <t>roll</t>
        </is>
      </c>
      <c r="C29" t="inlineStr">
        <is>
          <t>자본총계 기타변동(배당 등, 억원)</t>
        </is>
      </c>
      <c r="E29" s="26" t="n"/>
      <c r="F29" s="26">
        <f>IFERROR(subQ!E24+subQ!F20-subQ!F24,"")</f>
        <v/>
      </c>
      <c r="G29" s="26">
        <f>IFERROR(subQ!F24+subQ!G20-subQ!G24,"")</f>
        <v/>
      </c>
      <c r="H29" s="27" t="n"/>
      <c r="I29" s="26">
        <f>IFERROR(subQ!G24+subQ!I20-subQ!I24,"")</f>
        <v/>
      </c>
      <c r="J29" s="28">
        <f>IFERROR(subQ!I24+subQ!J20-subQ!J24,"")</f>
        <v/>
      </c>
      <c r="K29" s="29" t="n">
        <v>-0.005789965</v>
      </c>
      <c r="L29" s="29" t="n">
        <v>0.001223934</v>
      </c>
      <c r="M29" s="30" t="n"/>
      <c r="N29" s="29" t="n">
        <v>-0.002919616</v>
      </c>
      <c r="O29" s="29" t="n">
        <v>95.225180491</v>
      </c>
      <c r="P29" s="29" t="n">
        <v>0.000648981</v>
      </c>
      <c r="Q29" s="29" t="n">
        <v>-0.005272189</v>
      </c>
      <c r="R29" s="30" t="n"/>
      <c r="S29" s="29" t="n">
        <v>0.000109623</v>
      </c>
      <c r="T29" s="29" t="n">
        <v>95.22729636</v>
      </c>
      <c r="U29" s="29" t="n">
        <v>0.000554141</v>
      </c>
      <c r="V29" s="29" t="n">
        <v>-0.002287123</v>
      </c>
      <c r="W29" s="30" t="n"/>
    </row>
    <row r="30">
      <c r="A30" s="12" t="inlineStr">
        <is>
          <t>drv:지배주주지분</t>
        </is>
      </c>
      <c r="B30" s="2" t="inlineStr">
        <is>
          <t>roll</t>
        </is>
      </c>
      <c r="C30" t="inlineStr">
        <is>
          <t>지배주주지분 기타변동(배당 등, 억원)</t>
        </is>
      </c>
      <c r="E30" s="26" t="n"/>
      <c r="F30" s="26">
        <f>IFERROR(subQ!E25+subQ!F21-subQ!F25,"")</f>
        <v/>
      </c>
      <c r="G30" s="26">
        <f>IFERROR(subQ!F25+subQ!G21-subQ!G25,"")</f>
        <v/>
      </c>
      <c r="H30" s="27" t="n"/>
      <c r="I30" s="26">
        <f>IFERROR(subQ!G25+subQ!I21-subQ!I25,"")</f>
        <v/>
      </c>
      <c r="J30" s="28">
        <f>IFERROR(subQ!I25+subQ!J21-subQ!J25,"")</f>
        <v/>
      </c>
      <c r="K30" s="29" t="n">
        <v>-0.005789965</v>
      </c>
      <c r="L30" s="29" t="n">
        <v>0.001223934</v>
      </c>
      <c r="M30" s="30" t="n"/>
      <c r="N30" s="29" t="n">
        <v>-0.002919616</v>
      </c>
      <c r="O30" s="29" t="n">
        <v>95.225180491</v>
      </c>
      <c r="P30" s="29" t="n">
        <v>0.000648981</v>
      </c>
      <c r="Q30" s="29" t="n">
        <v>-0.005272189</v>
      </c>
      <c r="R30" s="30" t="n"/>
      <c r="S30" s="29" t="n">
        <v>0.000109623</v>
      </c>
      <c r="T30" s="29" t="n">
        <v>95.22729636</v>
      </c>
      <c r="U30" s="29" t="n">
        <v>0.000554141</v>
      </c>
      <c r="V30" s="29" t="n">
        <v>-0.002287123</v>
      </c>
      <c r="W30" s="30" t="n"/>
    </row>
    <row r="31">
      <c r="A31" s="12" t="inlineStr">
        <is>
          <t>drv:총차입금</t>
        </is>
      </c>
      <c r="B31" s="2" t="inlineStr">
        <is>
          <t>qoq</t>
        </is>
      </c>
      <c r="C31" t="inlineStr">
        <is>
          <t>총차입금 QoQ</t>
        </is>
      </c>
      <c r="E31" s="21" t="n"/>
      <c r="F31" s="21">
        <f>IFERROR(subQ!F26/subQ!E26-1,"")</f>
        <v/>
      </c>
      <c r="G31" s="21">
        <f>IFERROR(subQ!G26/subQ!F26-1,"")</f>
        <v/>
      </c>
      <c r="H31" s="22" t="n"/>
      <c r="I31" s="21">
        <f>IFERROR(subQ!I26/subQ!G26-1,"")</f>
        <v/>
      </c>
      <c r="J31" s="23">
        <f>IFERROR(subQ!J26/subQ!I26-1,"")</f>
        <v/>
      </c>
      <c r="K31" s="32" t="n"/>
      <c r="L31" s="32" t="n"/>
      <c r="M31" s="25" t="n"/>
      <c r="N31" s="32" t="n"/>
      <c r="O31" s="32" t="n"/>
      <c r="P31" s="32" t="n"/>
      <c r="Q31" s="32" t="n"/>
      <c r="R31" s="25" t="n"/>
      <c r="S31" s="32" t="n"/>
      <c r="T31" s="32" t="n"/>
      <c r="U31" s="32" t="n"/>
      <c r="V31" s="32" t="n"/>
      <c r="W31" s="25" t="n"/>
    </row>
    <row r="32">
      <c r="A32" s="12" t="inlineStr">
        <is>
          <t>drv:순차입금</t>
        </is>
      </c>
      <c r="B32" s="2" t="inlineStr">
        <is>
          <t>qoq</t>
        </is>
      </c>
      <c r="C32" t="inlineStr">
        <is>
          <t>순차입금 QoQ</t>
        </is>
      </c>
      <c r="E32" s="21" t="n"/>
      <c r="F32" s="21">
        <f>IFERROR(subQ!F27/subQ!E27-1,"")</f>
        <v/>
      </c>
      <c r="G32" s="21">
        <f>IFERROR(subQ!G27/subQ!F27-1,"")</f>
        <v/>
      </c>
      <c r="H32" s="22" t="n"/>
      <c r="I32" s="21">
        <f>IFERROR(subQ!I27/subQ!G27-1,"")</f>
        <v/>
      </c>
      <c r="J32" s="23">
        <f>IFERROR(subQ!J27/subQ!I27-1,"")</f>
        <v/>
      </c>
      <c r="K32" s="32" t="n"/>
      <c r="L32" s="32" t="n"/>
      <c r="M32" s="25" t="n"/>
      <c r="N32" s="32" t="n"/>
      <c r="O32" s="32" t="n"/>
      <c r="P32" s="32" t="n"/>
      <c r="Q32" s="32" t="n"/>
      <c r="R32" s="25" t="n"/>
      <c r="S32" s="32" t="n"/>
      <c r="T32" s="32" t="n"/>
      <c r="U32" s="32" t="n"/>
      <c r="V32" s="32" t="n"/>
      <c r="W32" s="25" t="n"/>
    </row>
    <row r="33">
      <c r="A33" s="12" t="inlineStr">
        <is>
          <t>drv:이자발생자산</t>
        </is>
      </c>
      <c r="B33" s="2" t="inlineStr">
        <is>
          <t>qoq</t>
        </is>
      </c>
      <c r="C33" t="inlineStr">
        <is>
          <t>이자발생자산 QoQ</t>
        </is>
      </c>
      <c r="E33" s="21" t="n"/>
      <c r="F33" s="21">
        <f>IFERROR(subQ!F28/subQ!E28-1,"")</f>
        <v/>
      </c>
      <c r="G33" s="21">
        <f>IFERROR(subQ!G28/subQ!F28-1,"")</f>
        <v/>
      </c>
      <c r="H33" s="22" t="n"/>
      <c r="I33" s="21">
        <f>IFERROR(subQ!I28/subQ!G28-1,"")</f>
        <v/>
      </c>
      <c r="J33" s="23">
        <f>IFERROR(subQ!J28/subQ!I28-1,"")</f>
        <v/>
      </c>
      <c r="K33" s="31" t="n">
        <v>0.104807132</v>
      </c>
      <c r="L33" s="31" t="n">
        <v>0.095726125</v>
      </c>
      <c r="M33" s="25" t="n"/>
      <c r="N33" s="31" t="n">
        <v>0.089567306</v>
      </c>
      <c r="O33" s="31" t="n">
        <v>0.077948214</v>
      </c>
      <c r="P33" s="31" t="n">
        <v>0.090301064</v>
      </c>
      <c r="Q33" s="31" t="n">
        <v>0.08557964999999999</v>
      </c>
      <c r="R33" s="25" t="n"/>
      <c r="S33" s="31" t="n">
        <v>0.085357585</v>
      </c>
      <c r="T33" s="31" t="n">
        <v>0.079730858</v>
      </c>
      <c r="U33" s="31" t="n">
        <v>0.086985744</v>
      </c>
      <c r="V33" s="31" t="n">
        <v>0.081033033</v>
      </c>
      <c r="W33" s="25" t="n"/>
    </row>
    <row r="34">
      <c r="A34" s="12" t="inlineStr">
        <is>
          <t>drv:현금및현금성자산</t>
        </is>
      </c>
      <c r="B34" s="2" t="inlineStr">
        <is>
          <t>qoq</t>
        </is>
      </c>
      <c r="C34" t="inlineStr">
        <is>
          <t>현금및현금성자산 QoQ</t>
        </is>
      </c>
      <c r="E34" s="21" t="n"/>
      <c r="F34" s="21">
        <f>IFERROR(subQ!F29/subQ!E29-1,"")</f>
        <v/>
      </c>
      <c r="G34" s="21">
        <f>IFERROR(subQ!G29/subQ!F29-1,"")</f>
        <v/>
      </c>
      <c r="H34" s="22" t="n"/>
      <c r="I34" s="21">
        <f>IFERROR(subQ!I29/subQ!G29-1,"")</f>
        <v/>
      </c>
      <c r="J34" s="23">
        <f>IFERROR(subQ!J29/subQ!I29-1,"")</f>
        <v/>
      </c>
      <c r="K34" s="32" t="n"/>
      <c r="L34" s="32" t="n"/>
      <c r="M34" s="25" t="n"/>
      <c r="N34" s="32" t="n"/>
      <c r="O34" s="32" t="n"/>
      <c r="P34" s="32" t="n"/>
      <c r="Q34" s="32" t="n"/>
      <c r="R34" s="25" t="n"/>
      <c r="S34" s="32" t="n"/>
      <c r="T34" s="32" t="n"/>
      <c r="U34" s="32" t="n"/>
      <c r="V34" s="32" t="n"/>
      <c r="W34" s="25" t="n"/>
    </row>
    <row r="35">
      <c r="A35" s="12" t="inlineStr">
        <is>
          <t>drv:CAPEX</t>
        </is>
      </c>
      <c r="B35" s="2" t="inlineStr">
        <is>
          <t>yoy</t>
        </is>
      </c>
      <c r="C35" t="inlineStr">
        <is>
          <t>CAPEX YoY</t>
        </is>
      </c>
      <c r="E35" s="21" t="n"/>
      <c r="F35" s="21" t="n"/>
      <c r="G35" s="21" t="n"/>
      <c r="H35" s="22" t="n"/>
      <c r="I35" s="21" t="n"/>
      <c r="J35" s="23">
        <f>IFERROR(subQ!J30/subQ!E30-1,"")</f>
        <v/>
      </c>
      <c r="K35" s="31" t="n">
        <v>-0.202206747</v>
      </c>
      <c r="L35" s="31" t="n">
        <v>0.359516616</v>
      </c>
      <c r="M35" s="25" t="n"/>
      <c r="N35" s="31" t="n">
        <v>0.340133109</v>
      </c>
      <c r="O35" s="31" t="n">
        <v>-0.6104591110000001</v>
      </c>
      <c r="P35" s="31" t="n">
        <v>0</v>
      </c>
      <c r="Q35" s="31" t="n">
        <v>0</v>
      </c>
      <c r="R35" s="25" t="n"/>
      <c r="S35" s="31" t="n">
        <v>0</v>
      </c>
      <c r="T35" s="31" t="n">
        <v>0</v>
      </c>
      <c r="U35" s="31" t="n">
        <v>0</v>
      </c>
      <c r="V35" s="31" t="n">
        <v>0</v>
      </c>
      <c r="W35" s="25" t="n"/>
    </row>
    <row r="36">
      <c r="A36" s="12" t="inlineStr">
        <is>
          <t>drv:영업활동현금흐름</t>
        </is>
      </c>
      <c r="B36" s="2" t="inlineStr">
        <is>
          <t>yoy</t>
        </is>
      </c>
      <c r="C36" t="inlineStr">
        <is>
          <t>영업활동현금흐름 YoY</t>
        </is>
      </c>
      <c r="E36" s="21" t="n"/>
      <c r="F36" s="21" t="n"/>
      <c r="G36" s="21" t="n"/>
      <c r="H36" s="22" t="n"/>
      <c r="I36" s="21" t="n"/>
      <c r="J36" s="23">
        <f>IFERROR(subQ!J31/subQ!E31-1,"")</f>
        <v/>
      </c>
      <c r="K36" s="32" t="n"/>
      <c r="L36" s="32" t="n"/>
      <c r="M36" s="25" t="n"/>
      <c r="N36" s="32" t="n"/>
      <c r="O36" s="32" t="n"/>
      <c r="P36" s="32" t="n"/>
      <c r="Q36" s="32" t="n"/>
      <c r="R36" s="25" t="n"/>
      <c r="S36" s="32" t="n"/>
      <c r="T36" s="32" t="n"/>
      <c r="U36" s="32" t="n"/>
      <c r="V36" s="32" t="n"/>
      <c r="W36" s="25" t="n"/>
    </row>
    <row r="37">
      <c r="A37" s="12" t="inlineStr">
        <is>
          <t>drv:주식수</t>
        </is>
      </c>
      <c r="B37" s="2" t="inlineStr">
        <is>
          <t>qoq</t>
        </is>
      </c>
      <c r="C37" t="inlineStr">
        <is>
          <t>주식수 QoQ</t>
        </is>
      </c>
      <c r="E37" s="21" t="n"/>
      <c r="F37" s="21">
        <f>IFERROR(subQ!F32/subQ!E32-1,"")</f>
        <v/>
      </c>
      <c r="G37" s="21">
        <f>IFERROR(subQ!G32/subQ!F32-1,"")</f>
        <v/>
      </c>
      <c r="H37" s="22" t="n"/>
      <c r="I37" s="21">
        <f>IFERROR(subQ!I32/subQ!G32-1,"")</f>
        <v/>
      </c>
      <c r="J37" s="23">
        <f>IFERROR(subQ!J32/subQ!I32-1,"")</f>
        <v/>
      </c>
      <c r="K37" s="31" t="n">
        <v>0</v>
      </c>
      <c r="L37" s="31" t="n">
        <v>0</v>
      </c>
      <c r="M37" s="25" t="n"/>
      <c r="N37" s="31" t="n">
        <v>0</v>
      </c>
      <c r="O37" s="31" t="n">
        <v>0</v>
      </c>
      <c r="P37" s="31" t="n">
        <v>0</v>
      </c>
      <c r="Q37" s="31" t="n">
        <v>0</v>
      </c>
      <c r="R37" s="25" t="n"/>
      <c r="S37" s="31" t="n">
        <v>0</v>
      </c>
      <c r="T37" s="31" t="n">
        <v>0</v>
      </c>
      <c r="U37" s="31" t="n">
        <v>0</v>
      </c>
      <c r="V37" s="31" t="n">
        <v>0</v>
      </c>
      <c r="W37" s="25" t="n"/>
    </row>
    <row r="38">
      <c r="A38" s="12" t="inlineStr">
        <is>
          <t>drv:DPS</t>
        </is>
      </c>
      <c r="B38" s="2" t="inlineStr">
        <is>
          <t>abs</t>
        </is>
      </c>
      <c r="C38" t="inlineStr">
        <is>
          <t>DPS (가정, 원)</t>
        </is>
      </c>
      <c r="E38" s="26">
        <f>subQ!E35</f>
        <v/>
      </c>
      <c r="F38" s="26">
        <f>subQ!F35</f>
        <v/>
      </c>
      <c r="G38" s="26">
        <f>subQ!G35</f>
        <v/>
      </c>
      <c r="H38" s="27">
        <f>subQ!H35</f>
        <v/>
      </c>
      <c r="I38" s="26">
        <f>subQ!I35</f>
        <v/>
      </c>
      <c r="J38" s="28">
        <f>subQ!J35</f>
        <v/>
      </c>
      <c r="K38" s="33" t="n"/>
      <c r="L38" s="29" t="n">
        <v>250</v>
      </c>
      <c r="M38" s="30">
        <f>subQ!M35</f>
        <v/>
      </c>
      <c r="N38" s="33" t="n"/>
      <c r="O38" s="33" t="n"/>
      <c r="P38" s="33" t="n"/>
      <c r="Q38" s="29" t="n">
        <v>250</v>
      </c>
      <c r="R38" s="30">
        <f>subQ!R35</f>
        <v/>
      </c>
      <c r="S38" s="33" t="n"/>
      <c r="T38" s="33" t="n"/>
      <c r="U38" s="33" t="n"/>
      <c r="V38" s="29" t="n">
        <v>250</v>
      </c>
      <c r="W38" s="30">
        <f>subQ!W35</f>
        <v/>
      </c>
    </row>
    <row r="39">
      <c r="A39" s="12" t="inlineStr">
        <is>
          <t>drv:매출조선</t>
        </is>
      </c>
      <c r="B39" s="2" t="inlineStr">
        <is>
          <t>sls_link</t>
        </is>
      </c>
      <c r="C39" t="inlineStr">
        <is>
          <t>원장 밖 잔고 소진(억원) — 매출조선 = SLS 원화/100 + 이 행 + 매출조선신규</t>
        </is>
      </c>
      <c r="E39" s="26" t="n"/>
      <c r="F39" s="26">
        <f>IFERROR(subQ!F38-SLS!E62/100,"")</f>
        <v/>
      </c>
      <c r="G39" s="26">
        <f>IFERROR(subQ!G38-SLS!F62/100,"")</f>
        <v/>
      </c>
      <c r="H39" s="27" t="n"/>
      <c r="I39" s="26">
        <f>IFERROR(subQ!I38-SLS!G62/100,"")</f>
        <v/>
      </c>
      <c r="J39" s="28">
        <f>IFERROR(subQ!J38-SLS!H62/100,"")</f>
        <v/>
      </c>
      <c r="K39" s="29" t="n">
        <v>148.90116</v>
      </c>
      <c r="L39" s="29" t="n">
        <v>195.376633</v>
      </c>
      <c r="M39" s="30" t="n"/>
      <c r="N39" s="29" t="n">
        <v>191.066234</v>
      </c>
      <c r="O39" s="29" t="n">
        <v>193.2195</v>
      </c>
      <c r="P39" s="29" t="n">
        <v>195.318483</v>
      </c>
      <c r="Q39" s="29" t="n">
        <v>195.299253</v>
      </c>
      <c r="R39" s="30" t="n"/>
      <c r="S39" s="29" t="n">
        <v>193.209287</v>
      </c>
      <c r="T39" s="29" t="n">
        <v>193.197112</v>
      </c>
      <c r="U39" s="29" t="n">
        <v>195.287005</v>
      </c>
      <c r="V39" s="29" t="n">
        <v>195.288662</v>
      </c>
      <c r="W39" s="30" t="n"/>
    </row>
    <row r="40">
      <c r="A40" s="12" t="inlineStr">
        <is>
          <t>drv:매출조선신규</t>
        </is>
      </c>
      <c r="B40" s="2" t="inlineStr">
        <is>
          <t>abs</t>
        </is>
      </c>
      <c r="C40" t="inlineStr">
        <is>
          <t>매출조선신규 (forecast_panel base · 공시 상계 신규수주 매출, 억원 — 가정)</t>
        </is>
      </c>
      <c r="E40" s="26">
        <f>subQ!E39</f>
        <v/>
      </c>
      <c r="F40" s="26">
        <f>subQ!F39</f>
        <v/>
      </c>
      <c r="G40" s="26">
        <f>subQ!G39</f>
        <v/>
      </c>
      <c r="H40" s="27">
        <f>subQ!H39</f>
        <v/>
      </c>
      <c r="I40" s="26">
        <f>subQ!I39</f>
        <v/>
      </c>
      <c r="J40" s="28">
        <f>subQ!J39</f>
        <v/>
      </c>
      <c r="K40" s="29" t="n">
        <v>0</v>
      </c>
      <c r="L40" s="29" t="n">
        <v>24.58</v>
      </c>
      <c r="M40" s="30">
        <f>subQ!M39</f>
        <v/>
      </c>
      <c r="N40" s="29" t="n">
        <v>149.36</v>
      </c>
      <c r="O40" s="29" t="n">
        <v>408.45</v>
      </c>
      <c r="P40" s="29" t="n">
        <v>772.01</v>
      </c>
      <c r="Q40" s="29" t="n">
        <v>1210.15</v>
      </c>
      <c r="R40" s="30">
        <f>subQ!R39</f>
        <v/>
      </c>
      <c r="S40" s="29" t="n">
        <v>1693.02</v>
      </c>
      <c r="T40" s="29" t="n">
        <v>2190.75</v>
      </c>
      <c r="U40" s="29" t="n">
        <v>2673.48</v>
      </c>
      <c r="V40" s="29" t="n">
        <v>3111.34</v>
      </c>
      <c r="W40" s="30">
        <f>subQ!W39</f>
        <v/>
      </c>
    </row>
    <row r="41">
      <c r="A41" s="12" t="inlineStr">
        <is>
          <t>drv:OP조선</t>
        </is>
      </c>
      <c r="B41" s="2" t="inlineStr">
        <is>
          <t>ratio</t>
        </is>
      </c>
      <c r="C41" t="inlineStr">
        <is>
          <t>OP조선 마진(/매출조선)</t>
        </is>
      </c>
      <c r="E41" s="21">
        <f>IFERROR(subQ!E40/subQ!E38,"")</f>
        <v/>
      </c>
      <c r="F41" s="21">
        <f>IFERROR(subQ!F40/subQ!F38,"")</f>
        <v/>
      </c>
      <c r="G41" s="21">
        <f>IFERROR(subQ!G40/subQ!G38,"")</f>
        <v/>
      </c>
      <c r="H41" s="22">
        <f>IFERROR(subQ!H40/subQ!H38,"")</f>
        <v/>
      </c>
      <c r="I41" s="21">
        <f>IFERROR(subQ!I40/subQ!I38,"")</f>
        <v/>
      </c>
      <c r="J41" s="23">
        <f>IFERROR(subQ!J40/subQ!J38,"")</f>
        <v/>
      </c>
      <c r="K41" s="31" t="n">
        <v>0.268401653</v>
      </c>
      <c r="L41" s="31" t="n">
        <v>0.268402327</v>
      </c>
      <c r="M41" s="25">
        <f>IFERROR(subQ!M40/subQ!M38,"")</f>
        <v/>
      </c>
      <c r="N41" s="31" t="n">
        <v>0.268403822</v>
      </c>
      <c r="O41" s="31" t="n">
        <v>0.268403218</v>
      </c>
      <c r="P41" s="31" t="n">
        <v>0.2684036</v>
      </c>
      <c r="Q41" s="31" t="n">
        <v>0.268401553</v>
      </c>
      <c r="R41" s="25">
        <f>IFERROR(subQ!R40/subQ!R38,"")</f>
        <v/>
      </c>
      <c r="S41" s="31" t="n">
        <v>0.268404116</v>
      </c>
      <c r="T41" s="31" t="n">
        <v>0.268403469</v>
      </c>
      <c r="U41" s="31" t="n">
        <v>0.268402775</v>
      </c>
      <c r="V41" s="31" t="n">
        <v>0.268403038</v>
      </c>
      <c r="W41" s="25">
        <f>IFERROR(subQ!W40/subQ!W38,"")</f>
        <v/>
      </c>
    </row>
    <row r="42">
      <c r="A42" s="12" t="inlineStr">
        <is>
          <t>drv:매출기타</t>
        </is>
      </c>
      <c r="B42" s="2" t="inlineStr">
        <is>
          <t>yoy</t>
        </is>
      </c>
      <c r="C42" t="inlineStr">
        <is>
          <t>매출기타 YoY</t>
        </is>
      </c>
      <c r="E42" s="21" t="n"/>
      <c r="F42" s="21" t="n"/>
      <c r="G42" s="21" t="n"/>
      <c r="H42" s="22" t="n"/>
      <c r="I42" s="21" t="n"/>
      <c r="J42" s="23">
        <f>IFERROR(subQ!J42/subQ!E42-1,"")</f>
        <v/>
      </c>
      <c r="K42" s="31" t="n">
        <v>0.1124871</v>
      </c>
      <c r="L42" s="31" t="n">
        <v>-0.044326241</v>
      </c>
      <c r="M42" s="25" t="n"/>
      <c r="N42" s="31" t="n">
        <v>0.049148418</v>
      </c>
      <c r="O42" s="31" t="n">
        <v>-0.289152654</v>
      </c>
      <c r="P42" s="31" t="n">
        <v>0</v>
      </c>
      <c r="Q42" s="31" t="n">
        <v>0</v>
      </c>
      <c r="R42" s="25" t="n"/>
      <c r="S42" s="31" t="n">
        <v>0</v>
      </c>
      <c r="T42" s="31" t="n">
        <v>0</v>
      </c>
      <c r="U42" s="31" t="n">
        <v>0</v>
      </c>
      <c r="V42" s="31" t="n">
        <v>0</v>
      </c>
      <c r="W42" s="25" t="n"/>
    </row>
    <row r="43">
      <c r="A43" s="12" t="inlineStr">
        <is>
          <t>drv:OP기타</t>
        </is>
      </c>
      <c r="B43" s="2" t="inlineStr">
        <is>
          <t>ratio</t>
        </is>
      </c>
      <c r="C43" t="inlineStr">
        <is>
          <t>OP기타 마진(/매출기타)</t>
        </is>
      </c>
      <c r="E43" s="21">
        <f>IFERROR(subQ!E43/subQ!E42,"")</f>
        <v/>
      </c>
      <c r="F43" s="21">
        <f>IFERROR(subQ!F43/subQ!F42,"")</f>
        <v/>
      </c>
      <c r="G43" s="21">
        <f>IFERROR(subQ!G43/subQ!G42,"")</f>
        <v/>
      </c>
      <c r="H43" s="22">
        <f>IFERROR(subQ!H43/subQ!H42,"")</f>
        <v/>
      </c>
      <c r="I43" s="21">
        <f>IFERROR(subQ!I43/subQ!I42,"")</f>
        <v/>
      </c>
      <c r="J43" s="23">
        <f>IFERROR(subQ!J43/subQ!J42,"")</f>
        <v/>
      </c>
      <c r="K43" s="31" t="n">
        <v>0.268552876</v>
      </c>
      <c r="L43" s="31" t="n">
        <v>0.268552876</v>
      </c>
      <c r="M43" s="25">
        <f>IFERROR(subQ!M43/subQ!M42,"")</f>
        <v/>
      </c>
      <c r="N43" s="31" t="n">
        <v>0.268552876</v>
      </c>
      <c r="O43" s="31" t="n">
        <v>0.268552876</v>
      </c>
      <c r="P43" s="31" t="n">
        <v>0.268552876</v>
      </c>
      <c r="Q43" s="31" t="n">
        <v>0.268552876</v>
      </c>
      <c r="R43" s="25">
        <f>IFERROR(subQ!R43/subQ!R42,"")</f>
        <v/>
      </c>
      <c r="S43" s="31" t="n">
        <v>0.268552876</v>
      </c>
      <c r="T43" s="31" t="n">
        <v>0.268552876</v>
      </c>
      <c r="U43" s="31" t="n">
        <v>0.268552876</v>
      </c>
      <c r="V43" s="31" t="n">
        <v>0.268552876</v>
      </c>
      <c r="W43" s="25">
        <f>IFERROR(subQ!W43/subQ!W42,"")</f>
        <v/>
      </c>
    </row>
    <row r="44">
      <c r="H44" s="9" t="n"/>
      <c r="J44" s="5" t="n"/>
      <c r="K44" s="10" t="n"/>
      <c r="L44" s="10" t="n"/>
      <c r="M44" s="11" t="n"/>
      <c r="N44" s="10" t="n"/>
      <c r="O44" s="10" t="n"/>
      <c r="P44" s="10" t="n"/>
      <c r="Q44" s="10" t="n"/>
      <c r="R44" s="11" t="n"/>
      <c r="S44" s="10" t="n"/>
      <c r="T44" s="10" t="n"/>
      <c r="U44" s="10" t="n"/>
      <c r="V44" s="10" t="n"/>
      <c r="W44" s="11" t="n"/>
    </row>
    <row r="45">
      <c r="B45" s="1" t="inlineStr">
        <is>
          <t>3. 밸류에이션·스칼라</t>
        </is>
      </c>
      <c r="C45" s="2" t="inlineStr">
        <is>
          <t>노란 셀 = 가정. '연결' 표시는 추정 전 분기 수식이 이 셀을 참조한다는 뜻</t>
        </is>
      </c>
      <c r="H45" s="9" t="n"/>
      <c r="J45" s="5" t="n"/>
      <c r="K45" s="10" t="n"/>
      <c r="L45" s="10" t="n"/>
      <c r="M45" s="11" t="n"/>
      <c r="N45" s="10" t="n"/>
      <c r="O45" s="10" t="n"/>
      <c r="P45" s="10" t="n"/>
      <c r="Q45" s="10" t="n"/>
      <c r="R45" s="11" t="n"/>
      <c r="S45" s="10" t="n"/>
      <c r="T45" s="10" t="n"/>
      <c r="U45" s="10" t="n"/>
      <c r="V45" s="10" t="n"/>
      <c r="W45" s="11" t="n"/>
    </row>
    <row r="46">
      <c r="A46" s="12" t="inlineStr">
        <is>
          <t>sc:종가</t>
        </is>
      </c>
      <c r="C46" t="inlineStr">
        <is>
          <t>종가</t>
        </is>
      </c>
      <c r="D46" s="34" t="n">
        <v>41900</v>
      </c>
      <c r="E46" s="2" t="inlineStr">
        <is>
          <t>원 — 네이버 정규장 종가(aik 확정종가 대조 · aik 41,950원)</t>
        </is>
      </c>
      <c r="H46" s="9" t="n"/>
      <c r="J46" s="5" t="n"/>
      <c r="K46" s="10" t="n"/>
      <c r="L46" s="10" t="n"/>
      <c r="M46" s="11" t="n"/>
      <c r="N46" s="10" t="n"/>
      <c r="O46" s="10" t="n"/>
      <c r="P46" s="10" t="n"/>
      <c r="Q46" s="10" t="n"/>
      <c r="R46" s="11" t="n"/>
      <c r="S46" s="10" t="n"/>
      <c r="T46" s="10" t="n"/>
      <c r="U46" s="10" t="n"/>
      <c r="V46" s="10" t="n"/>
      <c r="W46" s="11" t="n"/>
    </row>
    <row r="47">
      <c r="A47" s="12" t="inlineStr">
        <is>
          <t>sc:기준일</t>
        </is>
      </c>
      <c r="C47" t="inlineStr">
        <is>
          <t>기준일</t>
        </is>
      </c>
      <c r="D47" s="35" t="inlineStr">
        <is>
          <t>20261014</t>
        </is>
      </c>
      <c r="E47" s="2" t="inlineStr">
        <is>
          <t>종가 기준일</t>
        </is>
      </c>
      <c r="H47" s="9" t="n"/>
      <c r="J47" s="5" t="n"/>
      <c r="K47" s="10" t="n"/>
      <c r="L47" s="10" t="n"/>
      <c r="M47" s="11" t="n"/>
      <c r="N47" s="10" t="n"/>
      <c r="O47" s="10" t="n"/>
      <c r="P47" s="10" t="n"/>
      <c r="Q47" s="10" t="n"/>
      <c r="R47" s="11" t="n"/>
      <c r="S47" s="10" t="n"/>
      <c r="T47" s="10" t="n"/>
      <c r="U47" s="10" t="n"/>
      <c r="V47" s="10" t="n"/>
      <c r="W47" s="11" t="n"/>
    </row>
    <row r="48">
      <c r="A48" s="12" t="inlineStr">
        <is>
          <t>sc:COE</t>
        </is>
      </c>
      <c r="C48" t="inlineStr">
        <is>
          <t>COE</t>
        </is>
      </c>
      <c r="D48" s="31" t="n">
        <v>0.09</v>
      </c>
      <c r="E48" s="2" t="inlineStr">
        <is>
          <t>자기자본비용(가정) — TP 적정 PBR = ROE/COE</t>
        </is>
      </c>
      <c r="H48" s="9" t="n"/>
      <c r="J48" s="5" t="n"/>
      <c r="K48" s="10" t="n"/>
      <c r="L48" s="10" t="n"/>
      <c r="M48" s="11" t="n"/>
      <c r="N48" s="10" t="n"/>
      <c r="O48" s="10" t="n"/>
      <c r="P48" s="10" t="n"/>
      <c r="Q48" s="10" t="n"/>
      <c r="R48" s="11" t="n"/>
      <c r="S48" s="10" t="n"/>
      <c r="T48" s="10" t="n"/>
      <c r="U48" s="10" t="n"/>
      <c r="V48" s="10" t="n"/>
      <c r="W48" s="11" t="n"/>
    </row>
    <row r="49">
      <c r="A49" s="12" t="inlineStr">
        <is>
          <t>sc:PER_lo</t>
        </is>
      </c>
      <c r="C49" t="inlineStr">
        <is>
          <t>PER_lo</t>
        </is>
      </c>
      <c r="D49" s="29" t="n">
        <v>10</v>
      </c>
      <c r="E49" s="2" t="inlineStr">
        <is>
          <t>PER 밴드 하단(배) — sector_default(레퍼런스 TP_PE PB 예시 10/15/20배; 과거 양(+)EPS 분기 2개 &lt; 4)</t>
        </is>
      </c>
      <c r="H49" s="9" t="n"/>
      <c r="J49" s="5" t="n"/>
      <c r="K49" s="10" t="n"/>
      <c r="L49" s="10" t="n"/>
      <c r="M49" s="11" t="n"/>
      <c r="N49" s="10" t="n"/>
      <c r="O49" s="10" t="n"/>
      <c r="P49" s="10" t="n"/>
      <c r="Q49" s="10" t="n"/>
      <c r="R49" s="11" t="n"/>
      <c r="S49" s="10" t="n"/>
      <c r="T49" s="10" t="n"/>
      <c r="U49" s="10" t="n"/>
      <c r="V49" s="10" t="n"/>
      <c r="W49" s="11" t="n"/>
    </row>
    <row r="50">
      <c r="A50" s="12" t="inlineStr">
        <is>
          <t>sc:PER_mid</t>
        </is>
      </c>
      <c r="C50" t="inlineStr">
        <is>
          <t>PER_mid</t>
        </is>
      </c>
      <c r="D50" s="29" t="n">
        <v>15</v>
      </c>
      <c r="E50" s="2" t="inlineStr">
        <is>
          <t>PER 밴드 중단(배)</t>
        </is>
      </c>
      <c r="H50" s="9" t="n"/>
      <c r="J50" s="5" t="n"/>
      <c r="K50" s="10" t="n"/>
      <c r="L50" s="10" t="n"/>
      <c r="M50" s="11" t="n"/>
      <c r="N50" s="10" t="n"/>
      <c r="O50" s="10" t="n"/>
      <c r="P50" s="10" t="n"/>
      <c r="Q50" s="10" t="n"/>
      <c r="R50" s="11" t="n"/>
      <c r="S50" s="10" t="n"/>
      <c r="T50" s="10" t="n"/>
      <c r="U50" s="10" t="n"/>
      <c r="V50" s="10" t="n"/>
      <c r="W50" s="11" t="n"/>
    </row>
    <row r="51">
      <c r="A51" s="12" t="inlineStr">
        <is>
          <t>sc:PER_hi</t>
        </is>
      </c>
      <c r="C51" t="inlineStr">
        <is>
          <t>PER_hi</t>
        </is>
      </c>
      <c r="D51" s="29" t="n">
        <v>20</v>
      </c>
      <c r="E51" s="2" t="inlineStr">
        <is>
          <t>PER 밴드 상단(배)</t>
        </is>
      </c>
      <c r="H51" s="9" t="n"/>
      <c r="J51" s="5" t="n"/>
      <c r="K51" s="10" t="n"/>
      <c r="L51" s="10" t="n"/>
      <c r="M51" s="11" t="n"/>
      <c r="N51" s="10" t="n"/>
      <c r="O51" s="10" t="n"/>
      <c r="P51" s="10" t="n"/>
      <c r="Q51" s="10" t="n"/>
      <c r="R51" s="11" t="n"/>
      <c r="S51" s="10" t="n"/>
      <c r="T51" s="10" t="n"/>
      <c r="U51" s="10" t="n"/>
      <c r="V51" s="10" t="n"/>
      <c r="W51" s="11" t="n"/>
    </row>
    <row r="52">
      <c r="A52" s="12" t="inlineStr">
        <is>
          <t>sc:EPS_Y1가중</t>
        </is>
      </c>
      <c r="C52" t="inlineStr">
        <is>
          <t>EPS_Y1가중</t>
        </is>
      </c>
      <c r="D52" s="31" t="n">
        <v>0.5</v>
      </c>
      <c r="E52" s="2" t="inlineStr">
        <is>
          <t>12M fwd EPS = FY(last_actual연도)E × w + FY+1E × (1−w) — 기준 분기 2Q 이면 0.5(가정)</t>
        </is>
      </c>
      <c r="H52" s="9" t="n"/>
      <c r="J52" s="5" t="n"/>
      <c r="K52" s="10" t="n"/>
      <c r="L52" s="10" t="n"/>
      <c r="M52" s="11" t="n"/>
      <c r="N52" s="10" t="n"/>
      <c r="O52" s="10" t="n"/>
      <c r="P52" s="10" t="n"/>
      <c r="Q52" s="10" t="n"/>
      <c r="R52" s="11" t="n"/>
      <c r="S52" s="10" t="n"/>
      <c r="T52" s="10" t="n"/>
      <c r="U52" s="10" t="n"/>
      <c r="V52" s="10" t="n"/>
      <c r="W52" s="11" t="n"/>
    </row>
    <row r="53">
      <c r="A53" s="12" t="inlineStr">
        <is>
          <t>sc:세율</t>
        </is>
      </c>
      <c r="C53" t="inlineStr">
        <is>
          <t>세율</t>
        </is>
      </c>
      <c r="D53" s="36" t="n">
        <v>0.2275952512424075</v>
      </c>
      <c r="E53" s="2" t="inlineStr">
        <is>
          <t>연결 — 법인세 = MAX(세전,0) × 세율(역산, 재현 오차 ≤ 0.05억 · 모델 assumptions 0.2276) · 최근 5분기 유효세율 22.8%(5~27% 안 — 그대로)</t>
        </is>
      </c>
      <c r="H53" s="9" t="n"/>
      <c r="J53" s="5" t="n"/>
      <c r="K53" s="10" t="n"/>
      <c r="L53" s="10" t="n"/>
      <c r="M53" s="11" t="n"/>
      <c r="N53" s="10" t="n"/>
      <c r="O53" s="10" t="n"/>
      <c r="P53" s="10" t="n"/>
      <c r="Q53" s="10" t="n"/>
      <c r="R53" s="11" t="n"/>
      <c r="S53" s="10" t="n"/>
      <c r="T53" s="10" t="n"/>
      <c r="U53" s="10" t="n"/>
      <c r="V53" s="10" t="n"/>
      <c r="W53" s="11" t="n"/>
    </row>
    <row r="54">
      <c r="A54" s="12" t="inlineStr">
        <is>
          <t>sc:판관비율</t>
        </is>
      </c>
      <c r="C54" t="inlineStr">
        <is>
          <t>판관비율</t>
        </is>
      </c>
      <c r="D54" s="36" t="n">
        <v>0.02443671713340683</v>
      </c>
      <c r="E54" s="2" t="inlineStr">
        <is>
          <t>연결 — 판관비 = 매출액 × 판관비율(역산, 재현 오차 ≤ 0.05억 · 모델 assumptions 0.0244)</t>
        </is>
      </c>
      <c r="H54" s="9" t="n"/>
      <c r="J54" s="5" t="n"/>
      <c r="K54" s="10" t="n"/>
      <c r="L54" s="10" t="n"/>
      <c r="M54" s="11" t="n"/>
      <c r="N54" s="10" t="n"/>
      <c r="O54" s="10" t="n"/>
      <c r="P54" s="10" t="n"/>
      <c r="Q54" s="10" t="n"/>
      <c r="R54" s="11" t="n"/>
      <c r="S54" s="10" t="n"/>
      <c r="T54" s="10" t="n"/>
      <c r="U54" s="10" t="n"/>
      <c r="V54" s="10" t="n"/>
      <c r="W54" s="11" t="n"/>
    </row>
    <row r="55">
      <c r="A55" s="12" t="inlineStr">
        <is>
          <t>sc:지배주주비중</t>
        </is>
      </c>
      <c r="C55" t="inlineStr">
        <is>
          <t>지배주주비중</t>
        </is>
      </c>
      <c r="D55" s="36" t="n">
        <v>1</v>
      </c>
      <c r="E55" s="2" t="inlineStr">
        <is>
          <t>연결 — 지배주주순이익 = 당기순이익 × 비중(역산, 재현 오차 ≤ 0.05억)</t>
        </is>
      </c>
      <c r="H55" s="9" t="n"/>
      <c r="J55" s="5" t="n"/>
      <c r="K55" s="10" t="n"/>
      <c r="L55" s="10" t="n"/>
      <c r="M55" s="11" t="n"/>
      <c r="N55" s="10" t="n"/>
      <c r="O55" s="10" t="n"/>
      <c r="P55" s="10" t="n"/>
      <c r="Q55" s="10" t="n"/>
      <c r="R55" s="11" t="n"/>
      <c r="S55" s="10" t="n"/>
      <c r="T55" s="10" t="n"/>
      <c r="U55" s="10" t="n"/>
      <c r="V55" s="10" t="n"/>
      <c r="W55" s="11" t="n"/>
    </row>
    <row r="56">
      <c r="A56" s="12" t="inlineStr">
        <is>
          <t>sc:이자율_자산</t>
        </is>
      </c>
      <c r="C56" t="inlineStr">
        <is>
          <t>이자율_자산</t>
        </is>
      </c>
      <c r="D56" s="36" t="n">
        <v>0.02207016273858089</v>
      </c>
      <c r="E56" s="2" t="inlineStr">
        <is>
          <t>연결 — 이자손익 = (전분기 이자발생자산 × 자산이자율 − 전분기 총차입금 × 부채이자율)/4(역산, 재현 오차 ≤ 0.05억 · 모델 assumptions 0.0221)</t>
        </is>
      </c>
      <c r="H56" s="9" t="n"/>
      <c r="J56" s="5" t="n"/>
      <c r="K56" s="10" t="n"/>
      <c r="L56" s="10" t="n"/>
      <c r="M56" s="11" t="n"/>
      <c r="N56" s="10" t="n"/>
      <c r="O56" s="10" t="n"/>
      <c r="P56" s="10" t="n"/>
      <c r="Q56" s="10" t="n"/>
      <c r="R56" s="11" t="n"/>
      <c r="S56" s="10" t="n"/>
      <c r="T56" s="10" t="n"/>
      <c r="U56" s="10" t="n"/>
      <c r="V56" s="10" t="n"/>
      <c r="W56" s="11" t="n"/>
    </row>
    <row r="57">
      <c r="A57" s="12" t="inlineStr">
        <is>
          <t>sc:이자율_부채</t>
        </is>
      </c>
      <c r="C57" t="inlineStr">
        <is>
          <t>이자율_부채</t>
        </is>
      </c>
      <c r="D57" s="36" t="n">
        <v>0</v>
      </c>
      <c r="E57" s="2" t="inlineStr">
        <is>
          <t>연결 — 같은 수식의 부채 쪽(총차입금 행이 없으면 0)(역산, 재현 오차 ≤ 0.05억)</t>
        </is>
      </c>
      <c r="H57" s="9" t="n"/>
      <c r="J57" s="5" t="n"/>
      <c r="K57" s="10" t="n"/>
      <c r="L57" s="10" t="n"/>
      <c r="M57" s="11" t="n"/>
      <c r="N57" s="10" t="n"/>
      <c r="O57" s="10" t="n"/>
      <c r="P57" s="10" t="n"/>
      <c r="Q57" s="10" t="n"/>
      <c r="R57" s="11" t="n"/>
      <c r="S57" s="10" t="n"/>
      <c r="T57" s="10" t="n"/>
      <c r="U57" s="10" t="n"/>
      <c r="V57" s="10" t="n"/>
      <c r="W57" s="11" t="n"/>
    </row>
    <row r="58">
      <c r="A58" s="12" t="inlineStr">
        <is>
          <t>sc:배당성향</t>
        </is>
      </c>
      <c r="C58" t="inlineStr">
        <is>
          <t>배당성향</t>
        </is>
      </c>
      <c r="D58" s="31" t="n">
        <v>0.0506</v>
      </c>
      <c r="E58" s="2" t="inlineStr">
        <is>
          <t>배당성향(참고 — 모델은 직전 DPS 유지·Q2 지급 가정)</t>
        </is>
      </c>
      <c r="H58" s="9" t="n"/>
      <c r="J58" s="5" t="n"/>
      <c r="K58" s="10" t="n"/>
      <c r="L58" s="10" t="n"/>
      <c r="M58" s="11" t="n"/>
      <c r="N58" s="10" t="n"/>
      <c r="O58" s="10" t="n"/>
      <c r="P58" s="10" t="n"/>
      <c r="Q58" s="10" t="n"/>
      <c r="R58" s="11" t="n"/>
      <c r="S58" s="10" t="n"/>
      <c r="T58" s="10" t="n"/>
      <c r="U58" s="10" t="n"/>
      <c r="V58" s="10" t="n"/>
      <c r="W58" s="11" t="n"/>
    </row>
    <row r="59">
      <c r="A59" s="12" t="inlineStr">
        <is>
          <t>sc:외화순노출_백만$</t>
        </is>
      </c>
      <c r="C59" t="inlineStr">
        <is>
          <t>외화순노출_백만$</t>
        </is>
      </c>
      <c r="D59" s="29" t="n">
        <v>-2.29</v>
      </c>
      <c r="E59" s="2" t="inlineStr">
        <is>
          <t>외화 순노출 × Δ기말환율 (외화 시트 방식) — 연결: subQ 환관련손익 = 노출 × Δ원/달러(기말)/100</t>
        </is>
      </c>
      <c r="H59" s="9" t="n"/>
      <c r="J59" s="5" t="n"/>
      <c r="K59" s="10" t="n"/>
      <c r="L59" s="10" t="n"/>
      <c r="M59" s="11" t="n"/>
      <c r="N59" s="10" t="n"/>
      <c r="O59" s="10" t="n"/>
      <c r="P59" s="10" t="n"/>
      <c r="Q59" s="10" t="n"/>
      <c r="R59" s="11" t="n"/>
      <c r="S59" s="10" t="n"/>
      <c r="T59" s="10" t="n"/>
      <c r="U59" s="10" t="n"/>
      <c r="V59" s="10" t="n"/>
      <c r="W59" s="11" t="n"/>
    </row>
    <row r="60">
      <c r="A60" s="12" t="inlineStr">
        <is>
          <t>sc:헤지비율</t>
        </is>
      </c>
      <c r="C60" t="inlineStr">
        <is>
          <t>헤지비율</t>
        </is>
      </c>
      <c r="D60" s="31" t="n">
        <v>0.7</v>
      </c>
      <c r="E60" s="2" t="inlineStr">
        <is>
          <t>SLS 원화 = Σ 스케줄 × (헤지비율 × 헤지환율 + (1−헤지비율) × 건조시점 환율[원/달러(평균)]) — estimate · 통화선도 공시 없음 → HEDGE 70% 가정(레퍼런스 SLS 시트 HEDGE 행은 미포 65%·삼성重 100% — 그 사이에 둔 설정값). hedge_rate 는 계약별 수주시점 환율로 대체</t>
        </is>
      </c>
      <c r="H60" s="9" t="n"/>
      <c r="J60" s="5" t="n"/>
      <c r="K60" s="10" t="n"/>
      <c r="L60" s="10" t="n"/>
      <c r="M60" s="11" t="n"/>
      <c r="N60" s="10" t="n"/>
      <c r="O60" s="10" t="n"/>
      <c r="P60" s="10" t="n"/>
      <c r="Q60" s="10" t="n"/>
      <c r="R60" s="11" t="n"/>
      <c r="S60" s="10" t="n"/>
      <c r="T60" s="10" t="n"/>
      <c r="U60" s="10" t="n"/>
      <c r="V60" s="10" t="n"/>
      <c r="W60" s="11" t="n"/>
    </row>
    <row r="61">
      <c r="A61" s="12" t="inlineStr">
        <is>
          <t>sc:헤지환율_약정</t>
        </is>
      </c>
      <c r="C61" t="inlineStr">
        <is>
          <t>헤지환율_약정</t>
        </is>
      </c>
      <c r="D61" s="16" t="n"/>
      <c r="E61" s="2" t="inlineStr">
        <is>
          <t>정기보고서 평균 약정환율(measured) — 비어 있으면 계약별 수주시점 환율(fx_at_sign)을 쓴다</t>
        </is>
      </c>
      <c r="H61" s="9" t="n"/>
      <c r="J61" s="5" t="n"/>
      <c r="K61" s="10" t="n"/>
      <c r="L61" s="10" t="n"/>
      <c r="M61" s="11" t="n"/>
      <c r="N61" s="10" t="n"/>
      <c r="O61" s="10" t="n"/>
      <c r="P61" s="10" t="n"/>
      <c r="Q61" s="10" t="n"/>
      <c r="R61" s="11" t="n"/>
      <c r="S61" s="10" t="n"/>
      <c r="T61" s="10" t="n"/>
      <c r="U61" s="10" t="n"/>
      <c r="V61" s="10" t="n"/>
      <c r="W61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2Q25</t>
        </is>
      </c>
      <c r="F1" s="3" t="inlineStr">
        <is>
          <t>3Q25</t>
        </is>
      </c>
      <c r="G1" s="3" t="inlineStr">
        <is>
          <t>4Q25</t>
        </is>
      </c>
      <c r="H1" s="3" t="n">
        <v>2025</v>
      </c>
      <c r="I1" s="3" t="inlineStr">
        <is>
          <t>1Q26</t>
        </is>
      </c>
      <c r="J1" s="4" t="inlineStr">
        <is>
          <t>2Q26</t>
        </is>
      </c>
      <c r="K1" s="3" t="inlineStr">
        <is>
          <t>3Q26</t>
        </is>
      </c>
      <c r="L1" s="3" t="inlineStr">
        <is>
          <t>4Q26</t>
        </is>
      </c>
      <c r="M1" s="3" t="n">
        <v>2026</v>
      </c>
      <c r="N1" s="3" t="inlineStr">
        <is>
          <t>1Q27</t>
        </is>
      </c>
      <c r="O1" s="3" t="inlineStr">
        <is>
          <t>2Q27</t>
        </is>
      </c>
      <c r="P1" s="3" t="inlineStr">
        <is>
          <t>3Q27</t>
        </is>
      </c>
      <c r="Q1" s="3" t="inlineStr">
        <is>
          <t>4Q27</t>
        </is>
      </c>
      <c r="R1" s="3" t="n">
        <v>2027</v>
      </c>
      <c r="S1" s="3" t="inlineStr">
        <is>
          <t>1Q28</t>
        </is>
      </c>
      <c r="T1" s="3" t="inlineStr">
        <is>
          <t>2Q28</t>
        </is>
      </c>
      <c r="U1" s="3" t="inlineStr">
        <is>
          <t>3Q28</t>
        </is>
      </c>
      <c r="V1" s="3" t="inlineStr">
        <is>
          <t>4Q28</t>
        </is>
      </c>
      <c r="W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J2" s="5" t="n"/>
    </row>
    <row r="3">
      <c r="B3" t="inlineStr">
        <is>
          <t>대한조선(연)</t>
        </is>
      </c>
      <c r="C3" s="2" t="inlineStr">
        <is>
          <t>UPDATE: 26-10-14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6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2025.06</t>
        </is>
      </c>
      <c r="F4" s="7" t="inlineStr">
        <is>
          <t>2025.09</t>
        </is>
      </c>
      <c r="G4" s="7" t="inlineStr">
        <is>
          <t>2025.12</t>
        </is>
      </c>
      <c r="H4" s="7" t="inlineStr">
        <is>
          <t>2025.12A</t>
        </is>
      </c>
      <c r="I4" s="7" t="inlineStr">
        <is>
          <t>2026.03</t>
        </is>
      </c>
      <c r="J4" s="8" t="inlineStr">
        <is>
          <t>2026.06</t>
        </is>
      </c>
      <c r="K4" s="7" t="inlineStr">
        <is>
          <t>2026.09</t>
        </is>
      </c>
      <c r="L4" s="7" t="inlineStr">
        <is>
          <t>2026.12</t>
        </is>
      </c>
      <c r="M4" s="7" t="inlineStr">
        <is>
          <t>2026.12A</t>
        </is>
      </c>
      <c r="N4" s="7" t="inlineStr">
        <is>
          <t>2027.03</t>
        </is>
      </c>
      <c r="O4" s="7" t="inlineStr">
        <is>
          <t>2027.06</t>
        </is>
      </c>
      <c r="P4" s="7" t="inlineStr">
        <is>
          <t>2027.09</t>
        </is>
      </c>
      <c r="Q4" s="7" t="inlineStr">
        <is>
          <t>2027.12</t>
        </is>
      </c>
      <c r="R4" s="7" t="inlineStr">
        <is>
          <t>2027.12A</t>
        </is>
      </c>
      <c r="S4" s="7" t="inlineStr">
        <is>
          <t>2028.03</t>
        </is>
      </c>
      <c r="T4" s="7" t="inlineStr">
        <is>
          <t>2028.06</t>
        </is>
      </c>
      <c r="U4" s="7" t="inlineStr">
        <is>
          <t>2028.09</t>
        </is>
      </c>
      <c r="V4" s="7" t="inlineStr">
        <is>
          <t>2028.12</t>
        </is>
      </c>
      <c r="W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827551.8100000001</v>
      </c>
      <c r="F5" s="18" t="n">
        <v>1049562.46</v>
      </c>
      <c r="G5" s="18" t="n">
        <v>1123261.92</v>
      </c>
      <c r="H5" s="37" t="n">
        <v>1123261.92</v>
      </c>
      <c r="I5" s="18" t="n">
        <v>1218967.09</v>
      </c>
      <c r="J5" s="19" t="n">
        <v>1197597.33</v>
      </c>
      <c r="K5" s="10" t="n"/>
      <c r="L5" s="10" t="n"/>
      <c r="M5" s="11" t="n"/>
      <c r="N5" s="10" t="n"/>
      <c r="O5" s="10" t="n"/>
      <c r="P5" s="10" t="n"/>
      <c r="Q5" s="10" t="n"/>
      <c r="R5" s="11" t="n"/>
      <c r="S5" s="10" t="n"/>
      <c r="T5" s="10" t="n"/>
      <c r="U5" s="10" t="n"/>
      <c r="V5" s="10" t="n"/>
      <c r="W5" s="11" t="n"/>
    </row>
    <row r="6">
      <c r="A6" t="n">
        <v>1</v>
      </c>
      <c r="C6" t="inlineStr">
        <is>
          <t>현금및현금성자산</t>
        </is>
      </c>
      <c r="E6" s="18" t="n">
        <v>376409.64</v>
      </c>
      <c r="F6" s="18" t="n">
        <v>296925.16</v>
      </c>
      <c r="G6" s="18" t="n">
        <v>215303.78</v>
      </c>
      <c r="H6" s="37" t="n">
        <v>215303.78</v>
      </c>
      <c r="I6" s="18" t="n">
        <v>290133.13</v>
      </c>
      <c r="J6" s="19" t="n">
        <v>325886.41</v>
      </c>
      <c r="K6" s="10" t="n"/>
      <c r="L6" s="10" t="n"/>
      <c r="M6" s="11" t="n"/>
      <c r="N6" s="10" t="n"/>
      <c r="O6" s="10" t="n"/>
      <c r="P6" s="10" t="n"/>
      <c r="Q6" s="10" t="n"/>
      <c r="R6" s="11" t="n"/>
      <c r="S6" s="10" t="n"/>
      <c r="T6" s="10" t="n"/>
      <c r="U6" s="10" t="n"/>
      <c r="V6" s="10" t="n"/>
      <c r="W6" s="11" t="n"/>
    </row>
    <row r="7">
      <c r="A7" t="n">
        <v>1</v>
      </c>
      <c r="C7" t="inlineStr">
        <is>
          <t>단기금융상품</t>
        </is>
      </c>
      <c r="E7" s="18" t="n">
        <v>1488.5</v>
      </c>
      <c r="G7" s="18" t="n">
        <v>12899.49</v>
      </c>
      <c r="H7" s="37" t="n">
        <v>12899.49</v>
      </c>
      <c r="I7" s="18" t="n">
        <v>72277.50999999999</v>
      </c>
      <c r="J7" s="19" t="n">
        <v>108767.29</v>
      </c>
      <c r="K7" s="10" t="n"/>
      <c r="L7" s="10" t="n"/>
      <c r="M7" s="11" t="n"/>
      <c r="N7" s="10" t="n"/>
      <c r="O7" s="10" t="n"/>
      <c r="P7" s="10" t="n"/>
      <c r="Q7" s="10" t="n"/>
      <c r="R7" s="11" t="n"/>
      <c r="S7" s="10" t="n"/>
      <c r="T7" s="10" t="n"/>
      <c r="U7" s="10" t="n"/>
      <c r="V7" s="10" t="n"/>
      <c r="W7" s="11" t="n"/>
    </row>
    <row r="8">
      <c r="A8" t="n">
        <v>1</v>
      </c>
      <c r="C8" t="inlineStr">
        <is>
          <t>단기금융자산</t>
        </is>
      </c>
      <c r="E8" s="18" t="n">
        <v>1488.5</v>
      </c>
      <c r="G8" s="18" t="n">
        <v>12899.49</v>
      </c>
      <c r="H8" s="37" t="n">
        <v>12899.49</v>
      </c>
      <c r="I8" s="18" t="n">
        <v>72277.50999999999</v>
      </c>
      <c r="J8" s="19" t="n">
        <v>108767.29</v>
      </c>
      <c r="K8" s="10" t="n"/>
      <c r="L8" s="10" t="n"/>
      <c r="M8" s="11" t="n"/>
      <c r="N8" s="10" t="n"/>
      <c r="O8" s="10" t="n"/>
      <c r="P8" s="10" t="n"/>
      <c r="Q8" s="10" t="n"/>
      <c r="R8" s="11" t="n"/>
      <c r="S8" s="10" t="n"/>
      <c r="T8" s="10" t="n"/>
      <c r="U8" s="10" t="n"/>
      <c r="V8" s="10" t="n"/>
      <c r="W8" s="11" t="n"/>
    </row>
    <row r="9">
      <c r="A9" t="n">
        <v>1</v>
      </c>
      <c r="C9" t="inlineStr">
        <is>
          <t>매출채권및기타채권</t>
        </is>
      </c>
      <c r="E9" s="18" t="n">
        <v>77272.88</v>
      </c>
      <c r="F9" s="18" t="n">
        <v>85223.92</v>
      </c>
      <c r="G9" s="18" t="n">
        <v>102458.4</v>
      </c>
      <c r="H9" s="37" t="n">
        <v>102458.4</v>
      </c>
      <c r="I9" s="18" t="n">
        <v>93121.98</v>
      </c>
      <c r="J9" s="19" t="n">
        <v>101413.78</v>
      </c>
      <c r="K9" s="10" t="n"/>
      <c r="L9" s="10" t="n"/>
      <c r="M9" s="11" t="n"/>
      <c r="N9" s="10" t="n"/>
      <c r="O9" s="10" t="n"/>
      <c r="P9" s="10" t="n"/>
      <c r="Q9" s="10" t="n"/>
      <c r="R9" s="11" t="n"/>
      <c r="S9" s="10" t="n"/>
      <c r="T9" s="10" t="n"/>
      <c r="U9" s="10" t="n"/>
      <c r="V9" s="10" t="n"/>
      <c r="W9" s="11" t="n"/>
    </row>
    <row r="10">
      <c r="A10" t="n">
        <v>1</v>
      </c>
      <c r="C10" t="inlineStr">
        <is>
          <t>계약자산</t>
        </is>
      </c>
      <c r="E10" s="18" t="n">
        <v>265910.36</v>
      </c>
      <c r="F10" s="18" t="n">
        <v>265726.2</v>
      </c>
      <c r="G10" s="18" t="n">
        <v>376052.97</v>
      </c>
      <c r="H10" s="37" t="n">
        <v>376052.97</v>
      </c>
      <c r="I10" s="18" t="n">
        <v>355960.68</v>
      </c>
      <c r="J10" s="19" t="n">
        <v>311813.71</v>
      </c>
      <c r="K10" s="10" t="n"/>
      <c r="L10" s="10" t="n"/>
      <c r="M10" s="11" t="n"/>
      <c r="N10" s="10" t="n"/>
      <c r="O10" s="10" t="n"/>
      <c r="P10" s="10" t="n"/>
      <c r="Q10" s="10" t="n"/>
      <c r="R10" s="11" t="n"/>
      <c r="S10" s="10" t="n"/>
      <c r="T10" s="10" t="n"/>
      <c r="U10" s="10" t="n"/>
      <c r="V10" s="10" t="n"/>
      <c r="W10" s="11" t="n"/>
    </row>
    <row r="11">
      <c r="A11" t="n">
        <v>1</v>
      </c>
      <c r="C11" t="inlineStr">
        <is>
          <t>재고자산</t>
        </is>
      </c>
      <c r="E11" s="18" t="n">
        <v>23812.21</v>
      </c>
      <c r="F11" s="18" t="n">
        <v>34357.59</v>
      </c>
      <c r="G11" s="18" t="n">
        <v>35906.45</v>
      </c>
      <c r="H11" s="37" t="n">
        <v>35906.45</v>
      </c>
      <c r="I11" s="18" t="n">
        <v>54649.14</v>
      </c>
      <c r="J11" s="19" t="n">
        <v>36216.55</v>
      </c>
      <c r="K11" s="10" t="n"/>
      <c r="L11" s="10" t="n"/>
      <c r="M11" s="11" t="n"/>
      <c r="N11" s="10" t="n"/>
      <c r="O11" s="10" t="n"/>
      <c r="P11" s="10" t="n"/>
      <c r="Q11" s="10" t="n"/>
      <c r="R11" s="11" t="n"/>
      <c r="S11" s="10" t="n"/>
      <c r="T11" s="10" t="n"/>
      <c r="U11" s="10" t="n"/>
      <c r="V11" s="10" t="n"/>
      <c r="W11" s="11" t="n"/>
    </row>
    <row r="12">
      <c r="A12" t="n">
        <v>1</v>
      </c>
      <c r="C12" t="inlineStr">
        <is>
          <t>기타유동자산</t>
        </is>
      </c>
      <c r="E12" s="18" t="n">
        <v>73659.28</v>
      </c>
      <c r="F12" s="18" t="n">
        <v>73463.28</v>
      </c>
      <c r="G12" s="18" t="n">
        <v>72357.36</v>
      </c>
      <c r="H12" s="37" t="n">
        <v>72357.36</v>
      </c>
      <c r="I12" s="18" t="n">
        <v>70491.14999999999</v>
      </c>
      <c r="J12" s="19" t="n">
        <v>74134.28</v>
      </c>
      <c r="K12" s="10" t="n"/>
      <c r="L12" s="10" t="n"/>
      <c r="M12" s="11" t="n"/>
      <c r="N12" s="10" t="n"/>
      <c r="O12" s="10" t="n"/>
      <c r="P12" s="10" t="n"/>
      <c r="Q12" s="10" t="n"/>
      <c r="R12" s="11" t="n"/>
      <c r="S12" s="10" t="n"/>
      <c r="T12" s="10" t="n"/>
      <c r="U12" s="10" t="n"/>
      <c r="V12" s="10" t="n"/>
      <c r="W12" s="11" t="n"/>
    </row>
    <row r="13">
      <c r="A13" t="n">
        <v>1</v>
      </c>
      <c r="C13" t="inlineStr">
        <is>
          <t>당기법인세자산(선급법인세)</t>
        </is>
      </c>
      <c r="E13" s="18" t="n">
        <v>634.6900000000001</v>
      </c>
      <c r="F13" s="18" t="n">
        <v>2923.65</v>
      </c>
      <c r="G13" s="18" t="n">
        <v>0.02</v>
      </c>
      <c r="H13" s="37" t="n">
        <v>0.02</v>
      </c>
      <c r="I13" s="18" t="n">
        <v>0</v>
      </c>
      <c r="J13" s="5" t="n"/>
      <c r="K13" s="10" t="n"/>
      <c r="L13" s="10" t="n"/>
      <c r="M13" s="11" t="n"/>
      <c r="N13" s="10" t="n"/>
      <c r="O13" s="10" t="n"/>
      <c r="P13" s="10" t="n"/>
      <c r="Q13" s="10" t="n"/>
      <c r="R13" s="11" t="n"/>
      <c r="S13" s="10" t="n"/>
      <c r="T13" s="10" t="n"/>
      <c r="U13" s="10" t="n"/>
      <c r="V13" s="10" t="n"/>
      <c r="W13" s="11" t="n"/>
    </row>
    <row r="14">
      <c r="A14" t="n">
        <v>1</v>
      </c>
      <c r="C14" t="inlineStr">
        <is>
          <t>비유동자산</t>
        </is>
      </c>
      <c r="E14" s="18" t="n">
        <v>385560.42</v>
      </c>
      <c r="F14" s="18" t="n">
        <v>379621.13</v>
      </c>
      <c r="G14" s="18" t="n">
        <v>414791.45</v>
      </c>
      <c r="H14" s="37" t="n">
        <v>414791.45</v>
      </c>
      <c r="I14" s="18" t="n">
        <v>424772.01</v>
      </c>
      <c r="J14" s="19" t="n">
        <v>565065.39</v>
      </c>
      <c r="K14" s="10" t="n"/>
      <c r="L14" s="10" t="n"/>
      <c r="M14" s="11" t="n"/>
      <c r="N14" s="10" t="n"/>
      <c r="O14" s="10" t="n"/>
      <c r="P14" s="10" t="n"/>
      <c r="Q14" s="10" t="n"/>
      <c r="R14" s="11" t="n"/>
      <c r="S14" s="10" t="n"/>
      <c r="T14" s="10" t="n"/>
      <c r="U14" s="10" t="n"/>
      <c r="V14" s="10" t="n"/>
      <c r="W14" s="11" t="n"/>
    </row>
    <row r="15">
      <c r="A15" t="n">
        <v>1</v>
      </c>
      <c r="C15" t="inlineStr">
        <is>
          <t>투자부동산</t>
        </is>
      </c>
      <c r="E15" s="18" t="n">
        <v>913.14</v>
      </c>
      <c r="F15" s="18" t="n">
        <v>901.38</v>
      </c>
      <c r="G15" s="18" t="n">
        <v>889.62</v>
      </c>
      <c r="H15" s="37" t="n">
        <v>889.62</v>
      </c>
      <c r="I15" s="18" t="n">
        <v>877.86</v>
      </c>
      <c r="J15" s="19" t="n">
        <v>866.11</v>
      </c>
      <c r="K15" s="10" t="n"/>
      <c r="L15" s="10" t="n"/>
      <c r="M15" s="11" t="n"/>
      <c r="N15" s="10" t="n"/>
      <c r="O15" s="10" t="n"/>
      <c r="P15" s="10" t="n"/>
      <c r="Q15" s="10" t="n"/>
      <c r="R15" s="11" t="n"/>
      <c r="S15" s="10" t="n"/>
      <c r="T15" s="10" t="n"/>
      <c r="U15" s="10" t="n"/>
      <c r="V15" s="10" t="n"/>
      <c r="W15" s="11" t="n"/>
    </row>
    <row r="16">
      <c r="A16" t="n">
        <v>1</v>
      </c>
      <c r="C16" t="inlineStr">
        <is>
          <t>유형자산</t>
        </is>
      </c>
      <c r="E16" s="18" t="n">
        <v>353138.77</v>
      </c>
      <c r="F16" s="18" t="n">
        <v>353958.01</v>
      </c>
      <c r="G16" s="18" t="n">
        <v>353759.76</v>
      </c>
      <c r="H16" s="37" t="n">
        <v>353759.76</v>
      </c>
      <c r="I16" s="18" t="n">
        <v>349024.77</v>
      </c>
      <c r="J16" s="19" t="n">
        <v>354783.81</v>
      </c>
      <c r="K16" s="10" t="n"/>
      <c r="L16" s="10" t="n"/>
      <c r="M16" s="11" t="n"/>
      <c r="N16" s="10" t="n"/>
      <c r="O16" s="10" t="n"/>
      <c r="P16" s="10" t="n"/>
      <c r="Q16" s="10" t="n"/>
      <c r="R16" s="11" t="n"/>
      <c r="S16" s="10" t="n"/>
      <c r="T16" s="10" t="n"/>
      <c r="U16" s="10" t="n"/>
      <c r="V16" s="10" t="n"/>
      <c r="W16" s="11" t="n"/>
    </row>
    <row r="17">
      <c r="A17" t="n">
        <v>1</v>
      </c>
      <c r="C17" t="inlineStr">
        <is>
          <t>무형자산</t>
        </is>
      </c>
      <c r="E17" s="18" t="n">
        <v>1361.16</v>
      </c>
      <c r="F17" s="18" t="n">
        <v>1332.41</v>
      </c>
      <c r="G17" s="18" t="n">
        <v>1462.83</v>
      </c>
      <c r="H17" s="37" t="n">
        <v>1462.83</v>
      </c>
      <c r="I17" s="18" t="n">
        <v>5710.78</v>
      </c>
      <c r="J17" s="19" t="n">
        <v>5468.79</v>
      </c>
      <c r="K17" s="10" t="n"/>
      <c r="L17" s="10" t="n"/>
      <c r="M17" s="11" t="n"/>
      <c r="N17" s="10" t="n"/>
      <c r="O17" s="10" t="n"/>
      <c r="P17" s="10" t="n"/>
      <c r="Q17" s="10" t="n"/>
      <c r="R17" s="11" t="n"/>
      <c r="S17" s="10" t="n"/>
      <c r="T17" s="10" t="n"/>
      <c r="U17" s="10" t="n"/>
      <c r="V17" s="10" t="n"/>
      <c r="W17" s="11" t="n"/>
    </row>
    <row r="18">
      <c r="A18" t="n">
        <v>1</v>
      </c>
      <c r="C18" t="inlineStr">
        <is>
          <t>사용권자산</t>
        </is>
      </c>
      <c r="E18" s="18" t="n">
        <v>457.83</v>
      </c>
      <c r="F18" s="18" t="n">
        <v>400.84</v>
      </c>
      <c r="G18" s="18" t="n">
        <v>333.21</v>
      </c>
      <c r="H18" s="37" t="n">
        <v>333.21</v>
      </c>
      <c r="I18" s="18" t="n">
        <v>279.77</v>
      </c>
      <c r="J18" s="19" t="n">
        <v>246.64</v>
      </c>
      <c r="K18" s="10" t="n"/>
      <c r="L18" s="10" t="n"/>
      <c r="M18" s="11" t="n"/>
      <c r="N18" s="10" t="n"/>
      <c r="O18" s="10" t="n"/>
      <c r="P18" s="10" t="n"/>
      <c r="Q18" s="10" t="n"/>
      <c r="R18" s="11" t="n"/>
      <c r="S18" s="10" t="n"/>
      <c r="T18" s="10" t="n"/>
      <c r="U18" s="10" t="n"/>
      <c r="V18" s="10" t="n"/>
      <c r="W18" s="11" t="n"/>
    </row>
    <row r="19">
      <c r="A19" t="n">
        <v>1</v>
      </c>
      <c r="C19" t="inlineStr">
        <is>
          <t>기타비유동자산</t>
        </is>
      </c>
      <c r="E19" s="18" t="n">
        <v>457.83</v>
      </c>
      <c r="F19" s="18" t="n">
        <v>400.84</v>
      </c>
      <c r="G19" s="18" t="n">
        <v>13017.91</v>
      </c>
      <c r="H19" s="37" t="n">
        <v>13017.91</v>
      </c>
      <c r="I19" s="18" t="n">
        <v>13516.28</v>
      </c>
      <c r="J19" s="19" t="n">
        <v>26437.34</v>
      </c>
      <c r="K19" s="10" t="n"/>
      <c r="L19" s="10" t="n"/>
      <c r="M19" s="11" t="n"/>
      <c r="N19" s="10" t="n"/>
      <c r="O19" s="10" t="n"/>
      <c r="P19" s="10" t="n"/>
      <c r="Q19" s="10" t="n"/>
      <c r="R19" s="11" t="n"/>
      <c r="S19" s="10" t="n"/>
      <c r="T19" s="10" t="n"/>
      <c r="U19" s="10" t="n"/>
      <c r="V19" s="10" t="n"/>
      <c r="W19" s="11" t="n"/>
    </row>
    <row r="20">
      <c r="A20" t="n">
        <v>1</v>
      </c>
      <c r="C20" t="inlineStr">
        <is>
          <t>장기매출채권및기타채권</t>
        </is>
      </c>
      <c r="E20" s="18" t="n">
        <v>7702.32</v>
      </c>
      <c r="F20" s="18" t="n">
        <v>7672.17</v>
      </c>
      <c r="G20" s="18" t="n">
        <v>7376.09</v>
      </c>
      <c r="H20" s="37" t="n">
        <v>7376.09</v>
      </c>
      <c r="I20" s="18" t="n">
        <v>7377.29</v>
      </c>
      <c r="J20" s="19" t="n">
        <v>8006.54</v>
      </c>
      <c r="K20" s="10" t="n"/>
      <c r="L20" s="10" t="n"/>
      <c r="M20" s="11" t="n"/>
      <c r="N20" s="10" t="n"/>
      <c r="O20" s="10" t="n"/>
      <c r="P20" s="10" t="n"/>
      <c r="Q20" s="10" t="n"/>
      <c r="R20" s="11" t="n"/>
      <c r="S20" s="10" t="n"/>
      <c r="T20" s="10" t="n"/>
      <c r="U20" s="10" t="n"/>
      <c r="V20" s="10" t="n"/>
      <c r="W20" s="11" t="n"/>
    </row>
    <row r="21">
      <c r="A21" t="n">
        <v>1</v>
      </c>
      <c r="C21" t="inlineStr">
        <is>
          <t>이연법인세자산</t>
        </is>
      </c>
      <c r="E21" s="18" t="n">
        <v>13160.88</v>
      </c>
      <c r="H21" s="9" t="n"/>
      <c r="J21" s="5" t="n"/>
      <c r="K21" s="10" t="n"/>
      <c r="L21" s="10" t="n"/>
      <c r="M21" s="11" t="n"/>
      <c r="N21" s="10" t="n"/>
      <c r="O21" s="10" t="n"/>
      <c r="P21" s="10" t="n"/>
      <c r="Q21" s="10" t="n"/>
      <c r="R21" s="11" t="n"/>
      <c r="S21" s="10" t="n"/>
      <c r="T21" s="10" t="n"/>
      <c r="U21" s="10" t="n"/>
      <c r="V21" s="10" t="n"/>
      <c r="W21" s="11" t="n"/>
    </row>
    <row r="22">
      <c r="A22" t="n">
        <v>1</v>
      </c>
      <c r="C22" t="inlineStr">
        <is>
          <t>자산총계</t>
        </is>
      </c>
      <c r="E22" s="18" t="n">
        <v>1213112.23</v>
      </c>
      <c r="F22" s="18" t="n">
        <v>1429183.58</v>
      </c>
      <c r="G22" s="18" t="n">
        <v>1538053.38</v>
      </c>
      <c r="H22" s="37" t="n">
        <v>1538053.38</v>
      </c>
      <c r="I22" s="18" t="n">
        <v>1643739.1</v>
      </c>
      <c r="J22" s="19" t="n">
        <v>1762662.72</v>
      </c>
      <c r="K22" s="10" t="n"/>
      <c r="L22" s="10" t="n"/>
      <c r="M22" s="11" t="n"/>
      <c r="N22" s="10" t="n"/>
      <c r="O22" s="10" t="n"/>
      <c r="P22" s="10" t="n"/>
      <c r="Q22" s="10" t="n"/>
      <c r="R22" s="11" t="n"/>
      <c r="S22" s="10" t="n"/>
      <c r="T22" s="10" t="n"/>
      <c r="U22" s="10" t="n"/>
      <c r="V22" s="10" t="n"/>
      <c r="W22" s="11" t="n"/>
    </row>
    <row r="23">
      <c r="A23" t="n">
        <v>1</v>
      </c>
      <c r="C23" t="inlineStr">
        <is>
          <t>유동부채</t>
        </is>
      </c>
      <c r="E23" s="18" t="n">
        <v>630345.17</v>
      </c>
      <c r="F23" s="18" t="n">
        <v>376126.54</v>
      </c>
      <c r="G23" s="18" t="n">
        <v>410566.45</v>
      </c>
      <c r="H23" s="37" t="n">
        <v>410566.45</v>
      </c>
      <c r="I23" s="18" t="n">
        <v>462209.34</v>
      </c>
      <c r="J23" s="19" t="n">
        <v>512495.74</v>
      </c>
      <c r="K23" s="10" t="n"/>
      <c r="L23" s="10" t="n"/>
      <c r="M23" s="11" t="n"/>
      <c r="N23" s="10" t="n"/>
      <c r="O23" s="10" t="n"/>
      <c r="P23" s="10" t="n"/>
      <c r="Q23" s="10" t="n"/>
      <c r="R23" s="11" t="n"/>
      <c r="S23" s="10" t="n"/>
      <c r="T23" s="10" t="n"/>
      <c r="U23" s="10" t="n"/>
      <c r="V23" s="10" t="n"/>
      <c r="W23" s="11" t="n"/>
    </row>
    <row r="24">
      <c r="A24" t="n">
        <v>1</v>
      </c>
      <c r="C24" t="inlineStr">
        <is>
          <t>매입채무및기타채무</t>
        </is>
      </c>
      <c r="E24" s="18" t="n">
        <v>103892.27</v>
      </c>
      <c r="F24" s="18" t="n">
        <v>94836.7</v>
      </c>
      <c r="G24" s="18" t="n">
        <v>127630.93</v>
      </c>
      <c r="H24" s="37" t="n">
        <v>127630.93</v>
      </c>
      <c r="I24" s="18" t="n">
        <v>132017.33</v>
      </c>
      <c r="J24" s="19" t="n">
        <v>130803.16</v>
      </c>
      <c r="K24" s="10" t="n"/>
      <c r="L24" s="10" t="n"/>
      <c r="M24" s="11" t="n"/>
      <c r="N24" s="10" t="n"/>
      <c r="O24" s="10" t="n"/>
      <c r="P24" s="10" t="n"/>
      <c r="Q24" s="10" t="n"/>
      <c r="R24" s="11" t="n"/>
      <c r="S24" s="10" t="n"/>
      <c r="T24" s="10" t="n"/>
      <c r="U24" s="10" t="n"/>
      <c r="V24" s="10" t="n"/>
      <c r="W24" s="11" t="n"/>
    </row>
    <row r="25">
      <c r="A25" t="n">
        <v>1</v>
      </c>
      <c r="C25" t="inlineStr">
        <is>
          <t>단기차입금</t>
        </is>
      </c>
      <c r="E25" s="18" t="n">
        <v>187365.85</v>
      </c>
      <c r="F25" s="18" t="n">
        <v>23739.99</v>
      </c>
      <c r="H25" s="9" t="n"/>
      <c r="J25" s="5" t="n"/>
      <c r="K25" s="10" t="n"/>
      <c r="L25" s="10" t="n"/>
      <c r="M25" s="11" t="n"/>
      <c r="N25" s="10" t="n"/>
      <c r="O25" s="10" t="n"/>
      <c r="P25" s="10" t="n"/>
      <c r="Q25" s="10" t="n"/>
      <c r="R25" s="11" t="n"/>
      <c r="S25" s="10" t="n"/>
      <c r="T25" s="10" t="n"/>
      <c r="U25" s="10" t="n"/>
      <c r="V25" s="10" t="n"/>
      <c r="W25" s="11" t="n"/>
    </row>
    <row r="26">
      <c r="A26" t="n">
        <v>1</v>
      </c>
      <c r="C26" t="inlineStr">
        <is>
          <t>단기사채</t>
        </is>
      </c>
      <c r="E26" s="18" t="n">
        <v>20989.41</v>
      </c>
      <c r="H26" s="9" t="n"/>
      <c r="J26" s="5" t="n"/>
      <c r="K26" s="10" t="n"/>
      <c r="L26" s="10" t="n"/>
      <c r="M26" s="11" t="n"/>
      <c r="N26" s="10" t="n"/>
      <c r="O26" s="10" t="n"/>
      <c r="P26" s="10" t="n"/>
      <c r="Q26" s="10" t="n"/>
      <c r="R26" s="11" t="n"/>
      <c r="S26" s="10" t="n"/>
      <c r="T26" s="10" t="n"/>
      <c r="U26" s="10" t="n"/>
      <c r="V26" s="10" t="n"/>
      <c r="W26" s="11" t="n"/>
    </row>
    <row r="27">
      <c r="A27" t="n">
        <v>1</v>
      </c>
      <c r="C27" t="inlineStr">
        <is>
          <t>유동성장기부채</t>
        </is>
      </c>
      <c r="E27" s="18" t="n">
        <v>20000</v>
      </c>
      <c r="H27" s="9" t="n"/>
      <c r="J27" s="5" t="n"/>
      <c r="K27" s="10" t="n"/>
      <c r="L27" s="10" t="n"/>
      <c r="M27" s="11" t="n"/>
      <c r="N27" s="10" t="n"/>
      <c r="O27" s="10" t="n"/>
      <c r="P27" s="10" t="n"/>
      <c r="Q27" s="10" t="n"/>
      <c r="R27" s="11" t="n"/>
      <c r="S27" s="10" t="n"/>
      <c r="T27" s="10" t="n"/>
      <c r="U27" s="10" t="n"/>
      <c r="V27" s="10" t="n"/>
      <c r="W27" s="11" t="n"/>
    </row>
    <row r="28">
      <c r="A28" t="n">
        <v>1</v>
      </c>
      <c r="C28" t="inlineStr">
        <is>
          <t>계약부채</t>
        </is>
      </c>
      <c r="E28" s="18" t="n">
        <v>280517.02</v>
      </c>
      <c r="F28" s="18" t="n">
        <v>230107.11</v>
      </c>
      <c r="G28" s="18" t="n">
        <v>215414.72</v>
      </c>
      <c r="H28" s="37" t="n">
        <v>215414.72</v>
      </c>
      <c r="I28" s="18" t="n">
        <v>210986.68</v>
      </c>
      <c r="J28" s="19" t="n">
        <v>261230.99</v>
      </c>
      <c r="K28" s="10" t="n"/>
      <c r="L28" s="10" t="n"/>
      <c r="M28" s="11" t="n"/>
      <c r="N28" s="10" t="n"/>
      <c r="O28" s="10" t="n"/>
      <c r="P28" s="10" t="n"/>
      <c r="Q28" s="10" t="n"/>
      <c r="R28" s="11" t="n"/>
      <c r="S28" s="10" t="n"/>
      <c r="T28" s="10" t="n"/>
      <c r="U28" s="10" t="n"/>
      <c r="V28" s="10" t="n"/>
      <c r="W28" s="11" t="n"/>
    </row>
    <row r="29">
      <c r="A29" t="n">
        <v>1</v>
      </c>
      <c r="C29" t="inlineStr">
        <is>
          <t>단기충당부채</t>
        </is>
      </c>
      <c r="E29" s="18" t="n">
        <v>2975.68</v>
      </c>
      <c r="F29" s="18" t="n">
        <v>2272.59</v>
      </c>
      <c r="G29" s="18" t="n">
        <v>2168.34</v>
      </c>
      <c r="H29" s="37" t="n">
        <v>2168.34</v>
      </c>
      <c r="I29" s="18" t="n">
        <v>2318.93</v>
      </c>
      <c r="J29" s="19" t="n">
        <v>2385.39</v>
      </c>
      <c r="K29" s="10" t="n"/>
      <c r="L29" s="10" t="n"/>
      <c r="M29" s="11" t="n"/>
      <c r="N29" s="10" t="n"/>
      <c r="O29" s="10" t="n"/>
      <c r="P29" s="10" t="n"/>
      <c r="Q29" s="10" t="n"/>
      <c r="R29" s="11" t="n"/>
      <c r="S29" s="10" t="n"/>
      <c r="T29" s="10" t="n"/>
      <c r="U29" s="10" t="n"/>
      <c r="V29" s="10" t="n"/>
      <c r="W29" s="11" t="n"/>
    </row>
    <row r="30">
      <c r="A30" t="n">
        <v>1</v>
      </c>
      <c r="C30" t="inlineStr">
        <is>
          <t>당기법인세부채(미지급법인세)</t>
        </is>
      </c>
      <c r="E30" s="18" t="n">
        <v>0</v>
      </c>
      <c r="G30" s="18" t="n">
        <v>21598.7</v>
      </c>
      <c r="H30" s="37" t="n">
        <v>21598.7</v>
      </c>
      <c r="I30" s="18" t="n">
        <v>32589.33</v>
      </c>
      <c r="J30" s="19" t="n">
        <v>41733.34</v>
      </c>
      <c r="K30" s="10" t="n"/>
      <c r="L30" s="10" t="n"/>
      <c r="M30" s="11" t="n"/>
      <c r="N30" s="10" t="n"/>
      <c r="O30" s="10" t="n"/>
      <c r="P30" s="10" t="n"/>
      <c r="Q30" s="10" t="n"/>
      <c r="R30" s="11" t="n"/>
      <c r="S30" s="10" t="n"/>
      <c r="T30" s="10" t="n"/>
      <c r="U30" s="10" t="n"/>
      <c r="V30" s="10" t="n"/>
      <c r="W30" s="11" t="n"/>
    </row>
    <row r="31">
      <c r="A31" t="n">
        <v>1</v>
      </c>
      <c r="C31" t="inlineStr">
        <is>
          <t>기타유동부채</t>
        </is>
      </c>
      <c r="E31" s="18" t="n">
        <v>817.0599999999999</v>
      </c>
      <c r="F31" s="18" t="n">
        <v>647.97</v>
      </c>
      <c r="G31" s="18" t="n">
        <v>608.78</v>
      </c>
      <c r="H31" s="37" t="n">
        <v>608.78</v>
      </c>
      <c r="I31" s="18" t="n">
        <v>10300.6</v>
      </c>
      <c r="J31" s="19" t="n">
        <v>595.0599999999999</v>
      </c>
      <c r="K31" s="10" t="n"/>
      <c r="L31" s="10" t="n"/>
      <c r="M31" s="11" t="n"/>
      <c r="N31" s="10" t="n"/>
      <c r="O31" s="10" t="n"/>
      <c r="P31" s="10" t="n"/>
      <c r="Q31" s="10" t="n"/>
      <c r="R31" s="11" t="n"/>
      <c r="S31" s="10" t="n"/>
      <c r="T31" s="10" t="n"/>
      <c r="U31" s="10" t="n"/>
      <c r="V31" s="10" t="n"/>
      <c r="W31" s="11" t="n"/>
    </row>
    <row r="32">
      <c r="A32" t="n">
        <v>1</v>
      </c>
      <c r="C32" t="inlineStr">
        <is>
          <t>비유동부채</t>
        </is>
      </c>
      <c r="E32" s="18" t="n">
        <v>25089.73</v>
      </c>
      <c r="F32" s="18" t="n">
        <v>34667.36</v>
      </c>
      <c r="G32" s="18" t="n">
        <v>35102.86</v>
      </c>
      <c r="H32" s="37" t="n">
        <v>35102.86</v>
      </c>
      <c r="I32" s="18" t="n">
        <v>47243.89</v>
      </c>
      <c r="J32" s="19" t="n">
        <v>51304.83</v>
      </c>
      <c r="K32" s="10" t="n"/>
      <c r="L32" s="10" t="n"/>
      <c r="M32" s="11" t="n"/>
      <c r="N32" s="10" t="n"/>
      <c r="O32" s="10" t="n"/>
      <c r="P32" s="10" t="n"/>
      <c r="Q32" s="10" t="n"/>
      <c r="R32" s="11" t="n"/>
      <c r="S32" s="10" t="n"/>
      <c r="T32" s="10" t="n"/>
      <c r="U32" s="10" t="n"/>
      <c r="V32" s="10" t="n"/>
      <c r="W32" s="11" t="n"/>
    </row>
    <row r="33">
      <c r="A33" t="n">
        <v>1</v>
      </c>
      <c r="C33" t="inlineStr">
        <is>
          <t>장기매입채무및기타채무</t>
        </is>
      </c>
      <c r="E33" s="18" t="n">
        <v>3743.58</v>
      </c>
      <c r="F33" s="18" t="n">
        <v>4096.32</v>
      </c>
      <c r="G33" s="18" t="n">
        <v>4579.13</v>
      </c>
      <c r="H33" s="37" t="n">
        <v>4579.13</v>
      </c>
      <c r="I33" s="18" t="n">
        <v>4935.5</v>
      </c>
      <c r="J33" s="19" t="n">
        <v>5045.69</v>
      </c>
      <c r="K33" s="10" t="n"/>
      <c r="L33" s="10" t="n"/>
      <c r="M33" s="11" t="n"/>
      <c r="N33" s="10" t="n"/>
      <c r="O33" s="10" t="n"/>
      <c r="P33" s="10" t="n"/>
      <c r="Q33" s="10" t="n"/>
      <c r="R33" s="11" t="n"/>
      <c r="S33" s="10" t="n"/>
      <c r="T33" s="10" t="n"/>
      <c r="U33" s="10" t="n"/>
      <c r="V33" s="10" t="n"/>
      <c r="W33" s="11" t="n"/>
    </row>
    <row r="34">
      <c r="A34" t="n">
        <v>1</v>
      </c>
      <c r="C34" t="inlineStr">
        <is>
          <t>확정급여부채</t>
        </is>
      </c>
      <c r="E34" s="18" t="n">
        <v>12052.14</v>
      </c>
      <c r="F34" s="18" t="n">
        <v>12869.68</v>
      </c>
      <c r="G34" s="18" t="n">
        <v>8501.950000000001</v>
      </c>
      <c r="H34" s="37" t="n">
        <v>8501.950000000001</v>
      </c>
      <c r="I34" s="18" t="n">
        <v>9480.969999999999</v>
      </c>
      <c r="J34" s="19" t="n">
        <v>7937.2</v>
      </c>
      <c r="K34" s="10" t="n"/>
      <c r="L34" s="10" t="n"/>
      <c r="M34" s="11" t="n"/>
      <c r="N34" s="10" t="n"/>
      <c r="O34" s="10" t="n"/>
      <c r="P34" s="10" t="n"/>
      <c r="Q34" s="10" t="n"/>
      <c r="R34" s="11" t="n"/>
      <c r="S34" s="10" t="n"/>
      <c r="T34" s="10" t="n"/>
      <c r="U34" s="10" t="n"/>
      <c r="V34" s="10" t="n"/>
      <c r="W34" s="11" t="n"/>
    </row>
    <row r="35">
      <c r="A35" t="n">
        <v>1</v>
      </c>
      <c r="C35" t="inlineStr">
        <is>
          <t>장기충당부채</t>
        </is>
      </c>
      <c r="E35" s="18" t="n">
        <v>271.02</v>
      </c>
      <c r="F35" s="18" t="n">
        <v>301.78</v>
      </c>
      <c r="G35" s="18" t="n">
        <v>363.1</v>
      </c>
      <c r="H35" s="37" t="n">
        <v>363.1</v>
      </c>
      <c r="I35" s="18" t="n">
        <v>355.88</v>
      </c>
      <c r="J35" s="19" t="n">
        <v>351.76</v>
      </c>
      <c r="K35" s="10" t="n"/>
      <c r="L35" s="10" t="n"/>
      <c r="M35" s="11" t="n"/>
      <c r="N35" s="10" t="n"/>
      <c r="O35" s="10" t="n"/>
      <c r="P35" s="10" t="n"/>
      <c r="Q35" s="10" t="n"/>
      <c r="R35" s="11" t="n"/>
      <c r="S35" s="10" t="n"/>
      <c r="T35" s="10" t="n"/>
      <c r="U35" s="10" t="n"/>
      <c r="V35" s="10" t="n"/>
      <c r="W35" s="11" t="n"/>
    </row>
    <row r="36">
      <c r="A36" t="n">
        <v>1</v>
      </c>
      <c r="C36" t="inlineStr">
        <is>
          <t>부채총계</t>
        </is>
      </c>
      <c r="E36" s="18" t="n">
        <v>655434.9</v>
      </c>
      <c r="F36" s="18" t="n">
        <v>410793.91</v>
      </c>
      <c r="G36" s="18" t="n">
        <v>445669.31</v>
      </c>
      <c r="H36" s="37" t="n">
        <v>445669.31</v>
      </c>
      <c r="I36" s="18" t="n">
        <v>509453.23</v>
      </c>
      <c r="J36" s="19" t="n">
        <v>563800.5600000001</v>
      </c>
      <c r="K36" s="10" t="n"/>
      <c r="L36" s="10" t="n"/>
      <c r="M36" s="11" t="n"/>
      <c r="N36" s="10" t="n"/>
      <c r="O36" s="10" t="n"/>
      <c r="P36" s="10" t="n"/>
      <c r="Q36" s="10" t="n"/>
      <c r="R36" s="11" t="n"/>
      <c r="S36" s="10" t="n"/>
      <c r="T36" s="10" t="n"/>
      <c r="U36" s="10" t="n"/>
      <c r="V36" s="10" t="n"/>
      <c r="W36" s="11" t="n"/>
    </row>
    <row r="37">
      <c r="A37" t="n">
        <v>1</v>
      </c>
      <c r="C37" t="inlineStr">
        <is>
          <t>지배주주지분</t>
        </is>
      </c>
      <c r="E37" s="18" t="n">
        <v>557677.33</v>
      </c>
      <c r="F37" s="18" t="n">
        <v>1018389.68</v>
      </c>
      <c r="G37" s="18" t="n">
        <v>1092384.07</v>
      </c>
      <c r="H37" s="37" t="n">
        <v>1092384.07</v>
      </c>
      <c r="I37" s="18" t="n">
        <v>1134285.87</v>
      </c>
      <c r="J37" s="19" t="n">
        <v>1198862.16</v>
      </c>
      <c r="K37" s="10" t="n"/>
      <c r="L37" s="10" t="n"/>
      <c r="M37" s="11" t="n"/>
      <c r="N37" s="10" t="n"/>
      <c r="O37" s="10" t="n"/>
      <c r="P37" s="10" t="n"/>
      <c r="Q37" s="10" t="n"/>
      <c r="R37" s="11" t="n"/>
      <c r="S37" s="10" t="n"/>
      <c r="T37" s="10" t="n"/>
      <c r="U37" s="10" t="n"/>
      <c r="V37" s="10" t="n"/>
      <c r="W37" s="11" t="n"/>
    </row>
    <row r="38">
      <c r="A38" t="n">
        <v>1</v>
      </c>
      <c r="C38" t="inlineStr">
        <is>
          <t>자본금</t>
        </is>
      </c>
      <c r="E38" s="18" t="n">
        <v>152631.56</v>
      </c>
      <c r="F38" s="18" t="n">
        <v>192631.56</v>
      </c>
      <c r="G38" s="18" t="n">
        <v>192631.56</v>
      </c>
      <c r="H38" s="37" t="n">
        <v>192631.56</v>
      </c>
      <c r="I38" s="18" t="n">
        <v>192631.56</v>
      </c>
      <c r="J38" s="19" t="n">
        <v>192631.56</v>
      </c>
      <c r="K38" s="10" t="n"/>
      <c r="L38" s="10" t="n"/>
      <c r="M38" s="11" t="n"/>
      <c r="N38" s="10" t="n"/>
      <c r="O38" s="10" t="n"/>
      <c r="P38" s="10" t="n"/>
      <c r="Q38" s="10" t="n"/>
      <c r="R38" s="11" t="n"/>
      <c r="S38" s="10" t="n"/>
      <c r="T38" s="10" t="n"/>
      <c r="U38" s="10" t="n"/>
      <c r="V38" s="10" t="n"/>
      <c r="W38" s="11" t="n"/>
    </row>
    <row r="39">
      <c r="A39" t="n">
        <v>1</v>
      </c>
      <c r="C39" t="inlineStr">
        <is>
          <t>자본잉여금</t>
        </is>
      </c>
      <c r="E39" s="18" t="n">
        <v>47947.23</v>
      </c>
      <c r="F39" s="18" t="n">
        <v>402861.42</v>
      </c>
      <c r="G39" s="18" t="n">
        <v>398917.63</v>
      </c>
      <c r="H39" s="37" t="n">
        <v>398917.63</v>
      </c>
      <c r="I39" s="18" t="n">
        <v>398917.63</v>
      </c>
      <c r="J39" s="19" t="n">
        <v>398917.63</v>
      </c>
      <c r="K39" s="10" t="n"/>
      <c r="L39" s="10" t="n"/>
      <c r="M39" s="11" t="n"/>
      <c r="N39" s="10" t="n"/>
      <c r="O39" s="10" t="n"/>
      <c r="P39" s="10" t="n"/>
      <c r="Q39" s="10" t="n"/>
      <c r="R39" s="11" t="n"/>
      <c r="S39" s="10" t="n"/>
      <c r="T39" s="10" t="n"/>
      <c r="U39" s="10" t="n"/>
      <c r="V39" s="10" t="n"/>
      <c r="W39" s="11" t="n"/>
    </row>
    <row r="40">
      <c r="A40" t="n">
        <v>1</v>
      </c>
      <c r="C40" t="inlineStr">
        <is>
          <t>기타포괄이익누계액</t>
        </is>
      </c>
      <c r="E40" s="18" t="n">
        <v>40823.25</v>
      </c>
      <c r="F40" s="18" t="n">
        <v>40804.12</v>
      </c>
      <c r="G40" s="18" t="n">
        <v>40029.25</v>
      </c>
      <c r="H40" s="37" t="n">
        <v>40029.25</v>
      </c>
      <c r="I40" s="18" t="n">
        <v>40051.07</v>
      </c>
      <c r="J40" s="19" t="n">
        <v>40020.6</v>
      </c>
      <c r="K40" s="10" t="n"/>
      <c r="L40" s="10" t="n"/>
      <c r="M40" s="11" t="n"/>
      <c r="N40" s="10" t="n"/>
      <c r="O40" s="10" t="n"/>
      <c r="P40" s="10" t="n"/>
      <c r="Q40" s="10" t="n"/>
      <c r="R40" s="11" t="n"/>
      <c r="S40" s="10" t="n"/>
      <c r="T40" s="10" t="n"/>
      <c r="U40" s="10" t="n"/>
      <c r="V40" s="10" t="n"/>
      <c r="W40" s="11" t="n"/>
    </row>
    <row r="41">
      <c r="A41" t="n">
        <v>1</v>
      </c>
      <c r="C41" t="inlineStr">
        <is>
          <t>이익잉여금</t>
        </is>
      </c>
      <c r="E41" s="18" t="n">
        <v>316275.29</v>
      </c>
      <c r="F41" s="18" t="n">
        <v>382092.58</v>
      </c>
      <c r="G41" s="18" t="n">
        <v>460805.63</v>
      </c>
      <c r="H41" s="37" t="n">
        <v>460805.63</v>
      </c>
      <c r="I41" s="18" t="n">
        <v>528568.63</v>
      </c>
      <c r="J41" s="19" t="n">
        <v>567292.37</v>
      </c>
      <c r="K41" s="10" t="n"/>
      <c r="L41" s="10" t="n"/>
      <c r="M41" s="11" t="n"/>
      <c r="N41" s="10" t="n"/>
      <c r="O41" s="10" t="n"/>
      <c r="P41" s="10" t="n"/>
      <c r="Q41" s="10" t="n"/>
      <c r="R41" s="11" t="n"/>
      <c r="S41" s="10" t="n"/>
      <c r="T41" s="10" t="n"/>
      <c r="U41" s="10" t="n"/>
      <c r="V41" s="10" t="n"/>
      <c r="W41" s="11" t="n"/>
    </row>
    <row r="42">
      <c r="A42" t="n">
        <v>1</v>
      </c>
      <c r="C42" t="inlineStr">
        <is>
          <t>자본총계</t>
        </is>
      </c>
      <c r="E42" s="18" t="n">
        <v>557677.33</v>
      </c>
      <c r="F42" s="18" t="n">
        <v>1018389.68</v>
      </c>
      <c r="G42" s="18" t="n">
        <v>1092384.07</v>
      </c>
      <c r="H42" s="37" t="n">
        <v>1092384.07</v>
      </c>
      <c r="I42" s="18" t="n">
        <v>1134285.87</v>
      </c>
      <c r="J42" s="19" t="n">
        <v>1198862.16</v>
      </c>
      <c r="K42" s="10" t="n"/>
      <c r="L42" s="10" t="n"/>
      <c r="M42" s="11" t="n"/>
      <c r="N42" s="10" t="n"/>
      <c r="O42" s="10" t="n"/>
      <c r="P42" s="10" t="n"/>
      <c r="Q42" s="10" t="n"/>
      <c r="R42" s="11" t="n"/>
      <c r="S42" s="10" t="n"/>
      <c r="T42" s="10" t="n"/>
      <c r="U42" s="10" t="n"/>
      <c r="V42" s="10" t="n"/>
      <c r="W42" s="11" t="n"/>
    </row>
    <row r="43">
      <c r="A43" t="n">
        <v>1</v>
      </c>
      <c r="C43" t="inlineStr">
        <is>
          <t>부채와자본총계</t>
        </is>
      </c>
      <c r="E43" s="18" t="n">
        <v>1213112.23</v>
      </c>
      <c r="F43" s="18" t="n">
        <v>1429183.58</v>
      </c>
      <c r="G43" s="18" t="n">
        <v>1538053.38</v>
      </c>
      <c r="H43" s="37" t="n">
        <v>1538053.38</v>
      </c>
      <c r="I43" s="18" t="n">
        <v>1643739.1</v>
      </c>
      <c r="J43" s="19" t="n">
        <v>1762662.72</v>
      </c>
      <c r="K43" s="10" t="n"/>
      <c r="L43" s="10" t="n"/>
      <c r="M43" s="11" t="n"/>
      <c r="N43" s="10" t="n"/>
      <c r="O43" s="10" t="n"/>
      <c r="P43" s="10" t="n"/>
      <c r="Q43" s="10" t="n"/>
      <c r="R43" s="11" t="n"/>
      <c r="S43" s="10" t="n"/>
      <c r="T43" s="10" t="n"/>
      <c r="U43" s="10" t="n"/>
      <c r="V43" s="10" t="n"/>
      <c r="W43" s="11" t="n"/>
    </row>
    <row r="44">
      <c r="A44" t="n">
        <v>1</v>
      </c>
      <c r="C44" t="inlineStr">
        <is>
          <t>총차입금</t>
        </is>
      </c>
      <c r="E44" s="18" t="n">
        <v>228355.26</v>
      </c>
      <c r="F44" s="18" t="n">
        <v>23739.99</v>
      </c>
      <c r="H44" s="9" t="n"/>
      <c r="J44" s="5" t="n"/>
      <c r="K44" s="10" t="n"/>
      <c r="L44" s="10" t="n"/>
      <c r="M44" s="11" t="n"/>
      <c r="N44" s="10" t="n"/>
      <c r="O44" s="10" t="n"/>
      <c r="P44" s="10" t="n"/>
      <c r="Q44" s="10" t="n"/>
      <c r="R44" s="11" t="n"/>
      <c r="S44" s="10" t="n"/>
      <c r="T44" s="10" t="n"/>
      <c r="U44" s="10" t="n"/>
      <c r="V44" s="10" t="n"/>
      <c r="W44" s="11" t="n"/>
    </row>
    <row r="45">
      <c r="A45" t="n">
        <v>1</v>
      </c>
      <c r="C45" t="inlineStr">
        <is>
          <t>순차입금</t>
        </is>
      </c>
      <c r="E45" s="18" t="n">
        <v>-149542.88</v>
      </c>
      <c r="F45" s="18" t="n">
        <v>-273185.17</v>
      </c>
      <c r="H45" s="9" t="n"/>
      <c r="J45" s="5" t="n"/>
      <c r="K45" s="10" t="n"/>
      <c r="L45" s="10" t="n"/>
      <c r="M45" s="11" t="n"/>
      <c r="N45" s="10" t="n"/>
      <c r="O45" s="10" t="n"/>
      <c r="P45" s="10" t="n"/>
      <c r="Q45" s="10" t="n"/>
      <c r="R45" s="11" t="n"/>
      <c r="S45" s="10" t="n"/>
      <c r="T45" s="10" t="n"/>
      <c r="U45" s="10" t="n"/>
      <c r="V45" s="10" t="n"/>
      <c r="W45" s="11" t="n"/>
    </row>
    <row r="46">
      <c r="A46" t="n">
        <v>1</v>
      </c>
      <c r="C46" t="inlineStr">
        <is>
          <t>이자발생자산</t>
        </is>
      </c>
      <c r="E46" s="18" t="n">
        <v>377898.14</v>
      </c>
      <c r="F46" s="18" t="n">
        <v>296925.16</v>
      </c>
      <c r="G46" s="18" t="n">
        <v>252829.02</v>
      </c>
      <c r="H46" s="37" t="n">
        <v>252829.02</v>
      </c>
      <c r="I46" s="18" t="n">
        <v>391996.26</v>
      </c>
      <c r="J46" s="19" t="n">
        <v>580159.1800000001</v>
      </c>
      <c r="K46" s="10" t="n"/>
      <c r="L46" s="10" t="n"/>
      <c r="M46" s="11" t="n"/>
      <c r="N46" s="10" t="n"/>
      <c r="O46" s="10" t="n"/>
      <c r="P46" s="10" t="n"/>
      <c r="Q46" s="10" t="n"/>
      <c r="R46" s="11" t="n"/>
      <c r="S46" s="10" t="n"/>
      <c r="T46" s="10" t="n"/>
      <c r="U46" s="10" t="n"/>
      <c r="V46" s="10" t="n"/>
      <c r="W46" s="11" t="n"/>
    </row>
    <row r="47">
      <c r="A47" t="n">
        <v>1</v>
      </c>
      <c r="C47" t="inlineStr">
        <is>
          <t>단기투자자산(공정가치)</t>
        </is>
      </c>
      <c r="F47" s="18" t="n">
        <v>273171.3</v>
      </c>
      <c r="G47" s="18" t="n">
        <v>281830.52</v>
      </c>
      <c r="H47" s="37" t="n">
        <v>281830.52</v>
      </c>
      <c r="I47" s="18" t="n">
        <v>239917.66</v>
      </c>
      <c r="J47" s="19" t="n">
        <v>195467.08</v>
      </c>
      <c r="K47" s="10" t="n"/>
      <c r="L47" s="10" t="n"/>
      <c r="M47" s="11" t="n"/>
      <c r="N47" s="10" t="n"/>
      <c r="O47" s="10" t="n"/>
      <c r="P47" s="10" t="n"/>
      <c r="Q47" s="10" t="n"/>
      <c r="R47" s="11" t="n"/>
      <c r="S47" s="10" t="n"/>
      <c r="T47" s="10" t="n"/>
      <c r="U47" s="10" t="n"/>
      <c r="V47" s="10" t="n"/>
      <c r="W47" s="11" t="n"/>
    </row>
    <row r="48">
      <c r="A48" t="n">
        <v>1</v>
      </c>
      <c r="C48" t="inlineStr">
        <is>
          <t>이연법인세부채</t>
        </is>
      </c>
      <c r="F48" s="18" t="n">
        <v>1813.46</v>
      </c>
      <c r="G48" s="18" t="n">
        <v>7775.4</v>
      </c>
      <c r="H48" s="37" t="n">
        <v>7775.4</v>
      </c>
      <c r="I48" s="18" t="n">
        <v>13688.81</v>
      </c>
      <c r="J48" s="19" t="n">
        <v>14711.02</v>
      </c>
      <c r="K48" s="10" t="n"/>
      <c r="L48" s="10" t="n"/>
      <c r="M48" s="11" t="n"/>
      <c r="N48" s="10" t="n"/>
      <c r="O48" s="10" t="n"/>
      <c r="P48" s="10" t="n"/>
      <c r="Q48" s="10" t="n"/>
      <c r="R48" s="11" t="n"/>
      <c r="S48" s="10" t="n"/>
      <c r="T48" s="10" t="n"/>
      <c r="U48" s="10" t="n"/>
      <c r="V48" s="10" t="n"/>
      <c r="W48" s="11" t="n"/>
    </row>
    <row r="49">
      <c r="A49" t="n">
        <v>1</v>
      </c>
      <c r="C49" t="inlineStr">
        <is>
          <t>장기금융자산</t>
        </is>
      </c>
      <c r="G49" s="18" t="n">
        <v>24625.75</v>
      </c>
      <c r="H49" s="37" t="n">
        <v>24625.75</v>
      </c>
      <c r="I49" s="18" t="n">
        <v>29585.62</v>
      </c>
      <c r="J49" s="19" t="n">
        <v>145505.48</v>
      </c>
      <c r="K49" s="10" t="n"/>
      <c r="L49" s="10" t="n"/>
      <c r="M49" s="11" t="n"/>
      <c r="N49" s="10" t="n"/>
      <c r="O49" s="10" t="n"/>
      <c r="P49" s="10" t="n"/>
      <c r="Q49" s="10" t="n"/>
      <c r="R49" s="11" t="n"/>
      <c r="S49" s="10" t="n"/>
      <c r="T49" s="10" t="n"/>
      <c r="U49" s="10" t="n"/>
      <c r="V49" s="10" t="n"/>
      <c r="W49" s="11" t="n"/>
    </row>
    <row r="50">
      <c r="A50" t="n">
        <v>1</v>
      </c>
      <c r="C50" t="inlineStr">
        <is>
          <t>투자자산</t>
        </is>
      </c>
      <c r="G50" s="18" t="n">
        <v>24625.75</v>
      </c>
      <c r="H50" s="37" t="n">
        <v>24625.75</v>
      </c>
      <c r="I50" s="18" t="n">
        <v>29585.62</v>
      </c>
      <c r="J50" s="19" t="n">
        <v>145505.48</v>
      </c>
      <c r="K50" s="10" t="n"/>
      <c r="L50" s="10" t="n"/>
      <c r="M50" s="11" t="n"/>
      <c r="N50" s="10" t="n"/>
      <c r="O50" s="10" t="n"/>
      <c r="P50" s="10" t="n"/>
      <c r="Q50" s="10" t="n"/>
      <c r="R50" s="11" t="n"/>
      <c r="S50" s="10" t="n"/>
      <c r="T50" s="10" t="n"/>
      <c r="U50" s="10" t="n"/>
      <c r="V50" s="10" t="n"/>
      <c r="W50" s="11" t="n"/>
    </row>
    <row r="51">
      <c r="A51" t="n">
        <v>1</v>
      </c>
      <c r="C51" t="inlineStr">
        <is>
          <t>단기파생상품부채</t>
        </is>
      </c>
      <c r="H51" s="9" t="n"/>
      <c r="I51" s="18" t="n">
        <v>0</v>
      </c>
      <c r="J51" s="5" t="n"/>
      <c r="K51" s="10" t="n"/>
      <c r="L51" s="10" t="n"/>
      <c r="M51" s="11" t="n"/>
      <c r="N51" s="10" t="n"/>
      <c r="O51" s="10" t="n"/>
      <c r="P51" s="10" t="n"/>
      <c r="Q51" s="10" t="n"/>
      <c r="R51" s="11" t="n"/>
      <c r="S51" s="10" t="n"/>
      <c r="T51" s="10" t="n"/>
      <c r="U51" s="10" t="n"/>
      <c r="V51" s="10" t="n"/>
      <c r="W51" s="11" t="n"/>
    </row>
    <row r="52">
      <c r="A52" t="n">
        <v>1</v>
      </c>
      <c r="C52" t="inlineStr">
        <is>
          <t>단기금융부채</t>
        </is>
      </c>
      <c r="H52" s="9" t="n"/>
      <c r="I52" s="18" t="n">
        <v>0</v>
      </c>
      <c r="J52" s="5" t="n"/>
      <c r="K52" s="10" t="n"/>
      <c r="L52" s="10" t="n"/>
      <c r="M52" s="11" t="n"/>
      <c r="N52" s="10" t="n"/>
      <c r="O52" s="10" t="n"/>
      <c r="P52" s="10" t="n"/>
      <c r="Q52" s="10" t="n"/>
      <c r="R52" s="11" t="n"/>
      <c r="S52" s="10" t="n"/>
      <c r="T52" s="10" t="n"/>
      <c r="U52" s="10" t="n"/>
      <c r="V52" s="10" t="n"/>
      <c r="W52" s="11" t="n"/>
    </row>
    <row r="53">
      <c r="A53" t="n">
        <v>1</v>
      </c>
      <c r="C53" t="inlineStr">
        <is>
          <t>기타자본</t>
        </is>
      </c>
      <c r="H53" s="9" t="n"/>
      <c r="I53" s="18" t="n">
        <v>-25883.02</v>
      </c>
      <c r="J53" s="5" t="n"/>
      <c r="K53" s="10" t="n"/>
      <c r="L53" s="10" t="n"/>
      <c r="M53" s="11" t="n"/>
      <c r="N53" s="10" t="n"/>
      <c r="O53" s="10" t="n"/>
      <c r="P53" s="10" t="n"/>
      <c r="Q53" s="10" t="n"/>
      <c r="R53" s="11" t="n"/>
      <c r="S53" s="10" t="n"/>
      <c r="T53" s="10" t="n"/>
      <c r="U53" s="10" t="n"/>
      <c r="V53" s="10" t="n"/>
      <c r="W53" s="11" t="n"/>
    </row>
    <row r="54">
      <c r="A54" t="n">
        <v>1</v>
      </c>
      <c r="C54" t="inlineStr">
        <is>
          <t>비지배주주지분</t>
        </is>
      </c>
      <c r="H54" s="9" t="n"/>
      <c r="I54" s="18" t="n">
        <v>0</v>
      </c>
      <c r="J54" s="5" t="n"/>
      <c r="K54" s="10" t="n"/>
      <c r="L54" s="10" t="n"/>
      <c r="M54" s="11" t="n"/>
      <c r="N54" s="10" t="n"/>
      <c r="O54" s="10" t="n"/>
      <c r="P54" s="10" t="n"/>
      <c r="Q54" s="10" t="n"/>
      <c r="R54" s="11" t="n"/>
      <c r="S54" s="10" t="n"/>
      <c r="T54" s="10" t="n"/>
      <c r="U54" s="10" t="n"/>
      <c r="V54" s="10" t="n"/>
      <c r="W54" s="11" t="n"/>
    </row>
    <row r="55">
      <c r="A55" t="n">
        <v>1</v>
      </c>
      <c r="C55" t="inlineStr">
        <is>
          <t>매출액(수익)</t>
        </is>
      </c>
      <c r="E55" s="18" t="n">
        <v>296047.84</v>
      </c>
      <c r="F55" s="18" t="n">
        <v>273973.27</v>
      </c>
      <c r="G55" s="18" t="n">
        <v>350405.47</v>
      </c>
      <c r="H55" s="9" t="n"/>
      <c r="I55" s="18" t="n">
        <v>308271.46</v>
      </c>
      <c r="J55" s="19" t="n">
        <v>354435.07</v>
      </c>
      <c r="K55" s="10" t="n"/>
      <c r="L55" s="10" t="n"/>
      <c r="M55" s="11" t="n"/>
      <c r="N55" s="10" t="n"/>
      <c r="O55" s="10" t="n"/>
      <c r="P55" s="10" t="n"/>
      <c r="Q55" s="10" t="n"/>
      <c r="R55" s="11" t="n"/>
      <c r="S55" s="10" t="n"/>
      <c r="T55" s="10" t="n"/>
      <c r="U55" s="10" t="n"/>
      <c r="V55" s="10" t="n"/>
      <c r="W55" s="11" t="n"/>
    </row>
    <row r="56">
      <c r="A56" t="n">
        <v>1</v>
      </c>
      <c r="C56" t="inlineStr">
        <is>
          <t>매출원가</t>
        </is>
      </c>
      <c r="E56" s="18" t="n">
        <v>226711.65</v>
      </c>
      <c r="F56" s="18" t="n">
        <v>200951.47</v>
      </c>
      <c r="G56" s="18" t="n">
        <v>246306.98</v>
      </c>
      <c r="H56" s="9" t="n"/>
      <c r="I56" s="18" t="n">
        <v>217494.6</v>
      </c>
      <c r="J56" s="19" t="n">
        <v>251561.61</v>
      </c>
      <c r="K56" s="10" t="n"/>
      <c r="L56" s="10" t="n"/>
      <c r="M56" s="11" t="n"/>
      <c r="N56" s="10" t="n"/>
      <c r="O56" s="10" t="n"/>
      <c r="P56" s="10" t="n"/>
      <c r="Q56" s="10" t="n"/>
      <c r="R56" s="11" t="n"/>
      <c r="S56" s="10" t="n"/>
      <c r="T56" s="10" t="n"/>
      <c r="U56" s="10" t="n"/>
      <c r="V56" s="10" t="n"/>
      <c r="W56" s="11" t="n"/>
    </row>
    <row r="57">
      <c r="A57" t="n">
        <v>1</v>
      </c>
      <c r="C57" t="inlineStr">
        <is>
          <t>매출총이익</t>
        </is>
      </c>
      <c r="E57" s="18" t="n">
        <v>69336.2</v>
      </c>
      <c r="F57" s="18" t="n">
        <v>73021.8</v>
      </c>
      <c r="G57" s="18" t="n">
        <v>104098.48</v>
      </c>
      <c r="H57" s="9" t="n"/>
      <c r="I57" s="18" t="n">
        <v>90776.86</v>
      </c>
      <c r="J57" s="19" t="n">
        <v>102873.46</v>
      </c>
      <c r="K57" s="10" t="n"/>
      <c r="L57" s="10" t="n"/>
      <c r="M57" s="11" t="n"/>
      <c r="N57" s="10" t="n"/>
      <c r="O57" s="10" t="n"/>
      <c r="P57" s="10" t="n"/>
      <c r="Q57" s="10" t="n"/>
      <c r="R57" s="11" t="n"/>
      <c r="S57" s="10" t="n"/>
      <c r="T57" s="10" t="n"/>
      <c r="U57" s="10" t="n"/>
      <c r="V57" s="10" t="n"/>
      <c r="W57" s="11" t="n"/>
    </row>
    <row r="58">
      <c r="A58" t="n">
        <v>1</v>
      </c>
      <c r="C58" t="inlineStr">
        <is>
          <t>판관비</t>
        </is>
      </c>
      <c r="E58" s="18" t="n">
        <v>6869.41</v>
      </c>
      <c r="F58" s="18" t="n">
        <v>6533.15</v>
      </c>
      <c r="G58" s="18" t="n">
        <v>8769.82</v>
      </c>
      <c r="H58" s="9" t="n"/>
      <c r="I58" s="18" t="n">
        <v>8137.57</v>
      </c>
      <c r="J58" s="19" t="n">
        <v>7624.97</v>
      </c>
      <c r="K58" s="10" t="n"/>
      <c r="L58" s="10" t="n"/>
      <c r="M58" s="11" t="n"/>
      <c r="N58" s="10" t="n"/>
      <c r="O58" s="10" t="n"/>
      <c r="P58" s="10" t="n"/>
      <c r="Q58" s="10" t="n"/>
      <c r="R58" s="11" t="n"/>
      <c r="S58" s="10" t="n"/>
      <c r="T58" s="10" t="n"/>
      <c r="U58" s="10" t="n"/>
      <c r="V58" s="10" t="n"/>
      <c r="W58" s="11" t="n"/>
    </row>
    <row r="59">
      <c r="A59" t="n">
        <v>1</v>
      </c>
      <c r="C59" t="inlineStr">
        <is>
          <t>영업이익</t>
        </is>
      </c>
      <c r="E59" s="18" t="n">
        <v>62466.79</v>
      </c>
      <c r="F59" s="18" t="n">
        <v>66488.64999999999</v>
      </c>
      <c r="G59" s="18" t="n">
        <v>95328.67</v>
      </c>
      <c r="H59" s="9" t="n"/>
      <c r="I59" s="18" t="n">
        <v>82639.28999999999</v>
      </c>
      <c r="J59" s="19" t="n">
        <v>95248.5</v>
      </c>
      <c r="K59" s="10" t="n"/>
      <c r="L59" s="10" t="n"/>
      <c r="M59" s="11" t="n"/>
      <c r="N59" s="10" t="n"/>
      <c r="O59" s="10" t="n"/>
      <c r="P59" s="10" t="n"/>
      <c r="Q59" s="10" t="n"/>
      <c r="R59" s="11" t="n"/>
      <c r="S59" s="10" t="n"/>
      <c r="T59" s="10" t="n"/>
      <c r="U59" s="10" t="n"/>
      <c r="V59" s="10" t="n"/>
      <c r="W59" s="11" t="n"/>
    </row>
    <row r="60">
      <c r="A60" t="n">
        <v>1</v>
      </c>
      <c r="C60" t="inlineStr">
        <is>
          <t>기타영업외수익</t>
        </is>
      </c>
      <c r="E60" s="18" t="n">
        <v>1808.9</v>
      </c>
      <c r="F60" s="18" t="n">
        <v>5567.29</v>
      </c>
      <c r="G60" s="18" t="n">
        <v>16125.11</v>
      </c>
      <c r="H60" s="9" t="n"/>
      <c r="I60" s="18" t="n">
        <v>71023.96000000001</v>
      </c>
      <c r="J60" s="19" t="n">
        <v>37040.54</v>
      </c>
      <c r="K60" s="10" t="n"/>
      <c r="L60" s="10" t="n"/>
      <c r="M60" s="11" t="n"/>
      <c r="N60" s="10" t="n"/>
      <c r="O60" s="10" t="n"/>
      <c r="P60" s="10" t="n"/>
      <c r="Q60" s="10" t="n"/>
      <c r="R60" s="11" t="n"/>
      <c r="S60" s="10" t="n"/>
      <c r="T60" s="10" t="n"/>
      <c r="U60" s="10" t="n"/>
      <c r="V60" s="10" t="n"/>
      <c r="W60" s="11" t="n"/>
    </row>
    <row r="61">
      <c r="A61" t="n">
        <v>1</v>
      </c>
      <c r="C61" t="inlineStr">
        <is>
          <t>기타영업외비용</t>
        </is>
      </c>
      <c r="E61" s="18" t="n">
        <v>78200.94</v>
      </c>
      <c r="F61" s="18" t="n">
        <v>-37815.7</v>
      </c>
      <c r="G61" s="18" t="n">
        <v>-16900.44</v>
      </c>
      <c r="H61" s="9" t="n"/>
      <c r="I61" s="18" t="n">
        <v>6049.02</v>
      </c>
      <c r="J61" s="19" t="n">
        <v>2988.87</v>
      </c>
      <c r="K61" s="10" t="n"/>
      <c r="L61" s="10" t="n"/>
      <c r="M61" s="11" t="n"/>
      <c r="N61" s="10" t="n"/>
      <c r="O61" s="10" t="n"/>
      <c r="P61" s="10" t="n"/>
      <c r="Q61" s="10" t="n"/>
      <c r="R61" s="11" t="n"/>
      <c r="S61" s="10" t="n"/>
      <c r="T61" s="10" t="n"/>
      <c r="U61" s="10" t="n"/>
      <c r="V61" s="10" t="n"/>
      <c r="W61" s="11" t="n"/>
    </row>
    <row r="62">
      <c r="A62" t="n">
        <v>1</v>
      </c>
      <c r="C62" t="inlineStr">
        <is>
          <t>금융수익</t>
        </is>
      </c>
      <c r="E62" s="18" t="n">
        <v>76842.72</v>
      </c>
      <c r="F62" s="18" t="n">
        <v>-32157.26</v>
      </c>
      <c r="G62" s="18" t="n">
        <v>-15416.39</v>
      </c>
      <c r="H62" s="9" t="n"/>
      <c r="I62" s="18" t="n">
        <v>12147.33</v>
      </c>
      <c r="J62" s="19" t="n">
        <v>8203.77</v>
      </c>
      <c r="K62" s="10" t="n"/>
      <c r="L62" s="10" t="n"/>
      <c r="M62" s="11" t="n"/>
      <c r="N62" s="10" t="n"/>
      <c r="O62" s="10" t="n"/>
      <c r="P62" s="10" t="n"/>
      <c r="Q62" s="10" t="n"/>
      <c r="R62" s="11" t="n"/>
      <c r="S62" s="10" t="n"/>
      <c r="T62" s="10" t="n"/>
      <c r="U62" s="10" t="n"/>
      <c r="V62" s="10" t="n"/>
      <c r="W62" s="11" t="n"/>
    </row>
    <row r="63">
      <c r="A63" t="n">
        <v>1</v>
      </c>
      <c r="C63" t="inlineStr">
        <is>
          <t>금융비용</t>
        </is>
      </c>
      <c r="E63" s="18" t="n">
        <v>9879.639999999999</v>
      </c>
      <c r="F63" s="18" t="n">
        <v>-3082.31</v>
      </c>
      <c r="G63" s="18" t="n">
        <v>6836.07</v>
      </c>
      <c r="H63" s="9" t="n"/>
      <c r="I63" s="18" t="n">
        <v>57803.13</v>
      </c>
      <c r="J63" s="19" t="n">
        <v>33607.24</v>
      </c>
      <c r="K63" s="10" t="n"/>
      <c r="L63" s="10" t="n"/>
      <c r="M63" s="11" t="n"/>
      <c r="N63" s="10" t="n"/>
      <c r="O63" s="10" t="n"/>
      <c r="P63" s="10" t="n"/>
      <c r="Q63" s="10" t="n"/>
      <c r="R63" s="11" t="n"/>
      <c r="S63" s="10" t="n"/>
      <c r="T63" s="10" t="n"/>
      <c r="U63" s="10" t="n"/>
      <c r="V63" s="10" t="n"/>
      <c r="W63" s="11" t="n"/>
    </row>
    <row r="64">
      <c r="A64" t="n">
        <v>1</v>
      </c>
      <c r="C64" t="inlineStr">
        <is>
          <t>법인세비용차감전계속사업이익</t>
        </is>
      </c>
      <c r="E64" s="18" t="n">
        <v>53037.83</v>
      </c>
      <c r="F64" s="18" t="n">
        <v>80796.67999999999</v>
      </c>
      <c r="G64" s="18" t="n">
        <v>106101.76</v>
      </c>
      <c r="H64" s="9" t="n"/>
      <c r="I64" s="18" t="n">
        <v>101958.44</v>
      </c>
      <c r="J64" s="19" t="n">
        <v>103896.68</v>
      </c>
      <c r="K64" s="10" t="n"/>
      <c r="L64" s="10" t="n"/>
      <c r="M64" s="11" t="n"/>
      <c r="N64" s="10" t="n"/>
      <c r="O64" s="10" t="n"/>
      <c r="P64" s="10" t="n"/>
      <c r="Q64" s="10" t="n"/>
      <c r="R64" s="11" t="n"/>
      <c r="S64" s="10" t="n"/>
      <c r="T64" s="10" t="n"/>
      <c r="U64" s="10" t="n"/>
      <c r="V64" s="10" t="n"/>
      <c r="W64" s="11" t="n"/>
    </row>
    <row r="65">
      <c r="A65" t="n">
        <v>1</v>
      </c>
      <c r="C65" t="inlineStr">
        <is>
          <t>법인세비용</t>
        </is>
      </c>
      <c r="E65" s="18" t="n">
        <v>9354.74</v>
      </c>
      <c r="F65" s="18" t="n">
        <v>14979.4</v>
      </c>
      <c r="G65" s="18" t="n">
        <v>27388.7</v>
      </c>
      <c r="H65" s="9" t="n"/>
      <c r="I65" s="18" t="n">
        <v>24563.86</v>
      </c>
      <c r="J65" s="19" t="n">
        <v>25172.98</v>
      </c>
      <c r="K65" s="10" t="n"/>
      <c r="L65" s="10" t="n"/>
      <c r="M65" s="11" t="n"/>
      <c r="N65" s="10" t="n"/>
      <c r="O65" s="10" t="n"/>
      <c r="P65" s="10" t="n"/>
      <c r="Q65" s="10" t="n"/>
      <c r="R65" s="11" t="n"/>
      <c r="S65" s="10" t="n"/>
      <c r="T65" s="10" t="n"/>
      <c r="U65" s="10" t="n"/>
      <c r="V65" s="10" t="n"/>
      <c r="W65" s="11" t="n"/>
    </row>
    <row r="66">
      <c r="A66" t="n">
        <v>1</v>
      </c>
      <c r="C66" t="inlineStr">
        <is>
          <t>당기순이익</t>
        </is>
      </c>
      <c r="E66" s="18" t="n">
        <v>43683.09</v>
      </c>
      <c r="F66" s="18" t="n">
        <v>65817.28999999999</v>
      </c>
      <c r="G66" s="18" t="n">
        <v>78713.05</v>
      </c>
      <c r="H66" s="9" t="n"/>
      <c r="I66" s="18" t="n">
        <v>77394.58</v>
      </c>
      <c r="J66" s="19" t="n">
        <v>78723.7</v>
      </c>
      <c r="K66" s="10" t="n"/>
      <c r="L66" s="10" t="n"/>
      <c r="M66" s="11" t="n"/>
      <c r="N66" s="10" t="n"/>
      <c r="O66" s="10" t="n"/>
      <c r="P66" s="10" t="n"/>
      <c r="Q66" s="10" t="n"/>
      <c r="R66" s="11" t="n"/>
      <c r="S66" s="10" t="n"/>
      <c r="T66" s="10" t="n"/>
      <c r="U66" s="10" t="n"/>
      <c r="V66" s="10" t="n"/>
      <c r="W66" s="11" t="n"/>
    </row>
    <row r="67">
      <c r="A67" t="n">
        <v>1</v>
      </c>
      <c r="C67" t="inlineStr">
        <is>
          <t>(지배주주지분)당기순이익</t>
        </is>
      </c>
      <c r="E67" s="18" t="n">
        <v>43683.09</v>
      </c>
      <c r="F67" s="18" t="n">
        <v>65817.28999999999</v>
      </c>
      <c r="G67" s="18" t="n">
        <v>78713.05</v>
      </c>
      <c r="H67" s="9" t="n"/>
      <c r="I67" s="18" t="n">
        <v>77394.58</v>
      </c>
      <c r="J67" s="19" t="n">
        <v>78723.7</v>
      </c>
      <c r="K67" s="10" t="n"/>
      <c r="L67" s="10" t="n"/>
      <c r="M67" s="11" t="n"/>
      <c r="N67" s="10" t="n"/>
      <c r="O67" s="10" t="n"/>
      <c r="P67" s="10" t="n"/>
      <c r="Q67" s="10" t="n"/>
      <c r="R67" s="11" t="n"/>
      <c r="S67" s="10" t="n"/>
      <c r="T67" s="10" t="n"/>
      <c r="U67" s="10" t="n"/>
      <c r="V67" s="10" t="n"/>
      <c r="W67" s="11" t="n"/>
    </row>
    <row r="68">
      <c r="A68" t="n">
        <v>1</v>
      </c>
      <c r="C68" t="inlineStr">
        <is>
          <t>금융손익</t>
        </is>
      </c>
      <c r="E68" s="18" t="n">
        <v>66963.08</v>
      </c>
      <c r="F68" s="18" t="n">
        <v>-29074.95</v>
      </c>
      <c r="G68" s="18" t="n">
        <v>-22252.46</v>
      </c>
      <c r="H68" s="9" t="n"/>
      <c r="I68" s="18" t="n">
        <v>-45655.8</v>
      </c>
      <c r="J68" s="19" t="n">
        <v>-25403.47</v>
      </c>
      <c r="K68" s="10" t="n"/>
      <c r="L68" s="10" t="n"/>
      <c r="M68" s="11" t="n"/>
      <c r="N68" s="10" t="n"/>
      <c r="O68" s="10" t="n"/>
      <c r="P68" s="10" t="n"/>
      <c r="Q68" s="10" t="n"/>
      <c r="R68" s="11" t="n"/>
      <c r="S68" s="10" t="n"/>
      <c r="T68" s="10" t="n"/>
      <c r="U68" s="10" t="n"/>
      <c r="V68" s="10" t="n"/>
      <c r="W68" s="11" t="n"/>
    </row>
    <row r="69">
      <c r="A69" t="n">
        <v>1</v>
      </c>
      <c r="C69" t="inlineStr">
        <is>
          <t>기타영업외손익</t>
        </is>
      </c>
      <c r="E69" s="18" t="n">
        <v>-76392.03999999999</v>
      </c>
      <c r="F69" s="18" t="n">
        <v>43382.99</v>
      </c>
      <c r="G69" s="18" t="n">
        <v>33025.55</v>
      </c>
      <c r="H69" s="9" t="n"/>
      <c r="I69" s="18" t="n">
        <v>64974.94</v>
      </c>
      <c r="J69" s="19" t="n">
        <v>34051.67</v>
      </c>
      <c r="K69" s="10" t="n"/>
      <c r="L69" s="10" t="n"/>
      <c r="M69" s="11" t="n"/>
      <c r="N69" s="10" t="n"/>
      <c r="O69" s="10" t="n"/>
      <c r="P69" s="10" t="n"/>
      <c r="Q69" s="10" t="n"/>
      <c r="R69" s="11" t="n"/>
      <c r="S69" s="10" t="n"/>
      <c r="T69" s="10" t="n"/>
      <c r="U69" s="10" t="n"/>
      <c r="V69" s="10" t="n"/>
      <c r="W69" s="11" t="n"/>
    </row>
    <row r="70">
      <c r="A70" t="n">
        <v>1</v>
      </c>
      <c r="C70" t="inlineStr">
        <is>
          <t>계속사업이익</t>
        </is>
      </c>
      <c r="E70" s="18" t="n">
        <v>43683.09</v>
      </c>
      <c r="F70" s="18" t="n">
        <v>65817.28999999999</v>
      </c>
      <c r="G70" s="18" t="n">
        <v>78713.05</v>
      </c>
      <c r="H70" s="9" t="n"/>
      <c r="I70" s="18" t="n">
        <v>77394.58</v>
      </c>
      <c r="J70" s="19" t="n">
        <v>78723.7</v>
      </c>
      <c r="K70" s="10" t="n"/>
      <c r="L70" s="10" t="n"/>
      <c r="M70" s="11" t="n"/>
      <c r="N70" s="10" t="n"/>
      <c r="O70" s="10" t="n"/>
      <c r="P70" s="10" t="n"/>
      <c r="Q70" s="10" t="n"/>
      <c r="R70" s="11" t="n"/>
      <c r="S70" s="10" t="n"/>
      <c r="T70" s="10" t="n"/>
      <c r="U70" s="10" t="n"/>
      <c r="V70" s="10" t="n"/>
      <c r="W70" s="11" t="n"/>
    </row>
    <row r="71">
      <c r="A71" t="n">
        <v>1</v>
      </c>
      <c r="C71" t="inlineStr">
        <is>
          <t>총포괄손익</t>
        </is>
      </c>
      <c r="E71" s="18" t="n">
        <v>43681.3</v>
      </c>
      <c r="F71" s="18" t="n">
        <v>65798.16</v>
      </c>
      <c r="G71" s="18" t="n">
        <v>77938.17999999999</v>
      </c>
      <c r="H71" s="9" t="n"/>
      <c r="I71" s="18" t="n">
        <v>77416.39999999999</v>
      </c>
      <c r="J71" s="19" t="n">
        <v>78693.23</v>
      </c>
      <c r="K71" s="10" t="n"/>
      <c r="L71" s="10" t="n"/>
      <c r="M71" s="11" t="n"/>
      <c r="N71" s="10" t="n"/>
      <c r="O71" s="10" t="n"/>
      <c r="P71" s="10" t="n"/>
      <c r="Q71" s="10" t="n"/>
      <c r="R71" s="11" t="n"/>
      <c r="S71" s="10" t="n"/>
      <c r="T71" s="10" t="n"/>
      <c r="U71" s="10" t="n"/>
      <c r="V71" s="10" t="n"/>
      <c r="W71" s="11" t="n"/>
    </row>
    <row r="72">
      <c r="A72" t="n">
        <v>1</v>
      </c>
      <c r="C72" t="inlineStr">
        <is>
          <t>이자수익</t>
        </is>
      </c>
      <c r="E72" s="18" t="n">
        <v>2114.83</v>
      </c>
      <c r="F72" s="18" t="n">
        <v>1882.76</v>
      </c>
      <c r="G72" s="18" t="n">
        <v>1433</v>
      </c>
      <c r="H72" s="9" t="n"/>
      <c r="I72" s="18" t="n">
        <v>2174.68</v>
      </c>
      <c r="J72" s="19" t="n">
        <v>2907.16</v>
      </c>
      <c r="K72" s="10" t="n"/>
      <c r="L72" s="10" t="n"/>
      <c r="M72" s="11" t="n"/>
      <c r="N72" s="10" t="n"/>
      <c r="O72" s="10" t="n"/>
      <c r="P72" s="10" t="n"/>
      <c r="Q72" s="10" t="n"/>
      <c r="R72" s="11" t="n"/>
      <c r="S72" s="10" t="n"/>
      <c r="T72" s="10" t="n"/>
      <c r="U72" s="10" t="n"/>
      <c r="V72" s="10" t="n"/>
      <c r="W72" s="11" t="n"/>
    </row>
    <row r="73">
      <c r="A73" t="n">
        <v>1</v>
      </c>
      <c r="C73" t="inlineStr">
        <is>
          <t>이자비용</t>
        </is>
      </c>
      <c r="E73" s="18" t="n">
        <v>2942.13</v>
      </c>
      <c r="F73" s="18" t="n">
        <v>1631.27</v>
      </c>
      <c r="G73" s="18" t="n">
        <v>165</v>
      </c>
      <c r="H73" s="9" t="n"/>
      <c r="I73" s="18" t="n">
        <v>6.35</v>
      </c>
      <c r="J73" s="19" t="n">
        <v>5.8</v>
      </c>
      <c r="K73" s="10" t="n"/>
      <c r="L73" s="10" t="n"/>
      <c r="M73" s="11" t="n"/>
      <c r="N73" s="10" t="n"/>
      <c r="O73" s="10" t="n"/>
      <c r="P73" s="10" t="n"/>
      <c r="Q73" s="10" t="n"/>
      <c r="R73" s="11" t="n"/>
      <c r="S73" s="10" t="n"/>
      <c r="T73" s="10" t="n"/>
      <c r="U73" s="10" t="n"/>
      <c r="V73" s="10" t="n"/>
      <c r="W73" s="11" t="n"/>
    </row>
    <row r="74">
      <c r="A74" t="n">
        <v>1</v>
      </c>
      <c r="C74" t="inlineStr">
        <is>
          <t>외환차익</t>
        </is>
      </c>
      <c r="E74" s="18" t="n">
        <v>2614.11</v>
      </c>
      <c r="F74" s="18" t="n">
        <v>1129.45</v>
      </c>
      <c r="G74" s="18" t="n">
        <v>22.81</v>
      </c>
      <c r="H74" s="9" t="n"/>
      <c r="I74" s="18" t="n">
        <v>563.91</v>
      </c>
      <c r="J74" s="19" t="n">
        <v>130.68</v>
      </c>
      <c r="K74" s="10" t="n"/>
      <c r="L74" s="10" t="n"/>
      <c r="M74" s="11" t="n"/>
      <c r="N74" s="10" t="n"/>
      <c r="O74" s="10" t="n"/>
      <c r="P74" s="10" t="n"/>
      <c r="Q74" s="10" t="n"/>
      <c r="R74" s="11" t="n"/>
      <c r="S74" s="10" t="n"/>
      <c r="T74" s="10" t="n"/>
      <c r="U74" s="10" t="n"/>
      <c r="V74" s="10" t="n"/>
      <c r="W74" s="11" t="n"/>
    </row>
    <row r="75">
      <c r="A75" t="n">
        <v>1</v>
      </c>
      <c r="C75" t="inlineStr">
        <is>
          <t>외환차손</t>
        </is>
      </c>
      <c r="E75" s="18" t="n">
        <v>437.01</v>
      </c>
      <c r="F75" s="18" t="n">
        <v>1404.05</v>
      </c>
      <c r="G75" s="18" t="n">
        <v>980.11</v>
      </c>
      <c r="H75" s="9" t="n"/>
      <c r="I75" s="18" t="n">
        <v>1.48</v>
      </c>
      <c r="J75" s="19" t="n">
        <v>15.45</v>
      </c>
      <c r="K75" s="10" t="n"/>
      <c r="L75" s="10" t="n"/>
      <c r="M75" s="11" t="n"/>
      <c r="N75" s="10" t="n"/>
      <c r="O75" s="10" t="n"/>
      <c r="P75" s="10" t="n"/>
      <c r="Q75" s="10" t="n"/>
      <c r="R75" s="11" t="n"/>
      <c r="S75" s="10" t="n"/>
      <c r="T75" s="10" t="n"/>
      <c r="U75" s="10" t="n"/>
      <c r="V75" s="10" t="n"/>
      <c r="W75" s="11" t="n"/>
    </row>
    <row r="76">
      <c r="A76" t="n">
        <v>1</v>
      </c>
      <c r="C76" t="inlineStr">
        <is>
          <t>외화환산이익</t>
        </is>
      </c>
      <c r="E76" s="18" t="n">
        <v>752.37</v>
      </c>
      <c r="F76" s="18" t="n">
        <v>-1763.38</v>
      </c>
      <c r="G76" s="18" t="n">
        <v>-23.2</v>
      </c>
      <c r="H76" s="9" t="n"/>
      <c r="I76" s="18" t="n">
        <v>7913.26</v>
      </c>
      <c r="J76" s="19" t="n">
        <v>3102.6</v>
      </c>
      <c r="K76" s="10" t="n"/>
      <c r="L76" s="10" t="n"/>
      <c r="M76" s="11" t="n"/>
      <c r="N76" s="10" t="n"/>
      <c r="O76" s="10" t="n"/>
      <c r="P76" s="10" t="n"/>
      <c r="Q76" s="10" t="n"/>
      <c r="R76" s="11" t="n"/>
      <c r="S76" s="10" t="n"/>
      <c r="T76" s="10" t="n"/>
      <c r="U76" s="10" t="n"/>
      <c r="V76" s="10" t="n"/>
      <c r="W76" s="11" t="n"/>
    </row>
    <row r="77">
      <c r="A77" t="n">
        <v>1</v>
      </c>
      <c r="C77" t="inlineStr">
        <is>
          <t>외화환산손실</t>
        </is>
      </c>
      <c r="E77" s="18" t="n">
        <v>11317.13</v>
      </c>
      <c r="F77" s="18" t="n">
        <v>-6383.08</v>
      </c>
      <c r="G77" s="18" t="n">
        <v>-2074.13</v>
      </c>
      <c r="H77" s="9" t="n"/>
      <c r="J77" s="5" t="n"/>
      <c r="K77" s="10" t="n"/>
      <c r="L77" s="10" t="n"/>
      <c r="M77" s="11" t="n"/>
      <c r="N77" s="10" t="n"/>
      <c r="O77" s="10" t="n"/>
      <c r="P77" s="10" t="n"/>
      <c r="Q77" s="10" t="n"/>
      <c r="R77" s="11" t="n"/>
      <c r="S77" s="10" t="n"/>
      <c r="T77" s="10" t="n"/>
      <c r="U77" s="10" t="n"/>
      <c r="V77" s="10" t="n"/>
      <c r="W77" s="11" t="n"/>
    </row>
    <row r="78">
      <c r="A78" t="n">
        <v>1</v>
      </c>
      <c r="C78" t="inlineStr">
        <is>
          <t>파생상품이익</t>
        </is>
      </c>
      <c r="E78" s="18" t="n">
        <v>71361.41</v>
      </c>
      <c r="F78" s="18" t="n">
        <v>-34967.9</v>
      </c>
      <c r="G78" s="18" t="n">
        <v>-17898.82</v>
      </c>
      <c r="H78" s="9" t="n"/>
      <c r="I78" s="18" t="n">
        <v>17.12</v>
      </c>
      <c r="J78" s="19" t="n">
        <v>34.32</v>
      </c>
      <c r="K78" s="10" t="n"/>
      <c r="L78" s="10" t="n"/>
      <c r="M78" s="11" t="n"/>
      <c r="N78" s="10" t="n"/>
      <c r="O78" s="10" t="n"/>
      <c r="P78" s="10" t="n"/>
      <c r="Q78" s="10" t="n"/>
      <c r="R78" s="11" t="n"/>
      <c r="S78" s="10" t="n"/>
      <c r="T78" s="10" t="n"/>
      <c r="U78" s="10" t="n"/>
      <c r="V78" s="10" t="n"/>
      <c r="W78" s="11" t="n"/>
    </row>
    <row r="79">
      <c r="A79" t="n">
        <v>1</v>
      </c>
      <c r="C79" t="inlineStr">
        <is>
          <t>파생상품손실</t>
        </is>
      </c>
      <c r="E79" s="18" t="n">
        <v>-4816.63</v>
      </c>
      <c r="F79" s="18" t="n">
        <v>265.45</v>
      </c>
      <c r="G79" s="18" t="n">
        <v>7760.15</v>
      </c>
      <c r="H79" s="9" t="n"/>
      <c r="I79" s="18" t="n">
        <v>55428.32</v>
      </c>
      <c r="J79" s="19" t="n">
        <v>33094.33</v>
      </c>
      <c r="K79" s="10" t="n"/>
      <c r="L79" s="10" t="n"/>
      <c r="M79" s="11" t="n"/>
      <c r="N79" s="10" t="n"/>
      <c r="O79" s="10" t="n"/>
      <c r="P79" s="10" t="n"/>
      <c r="Q79" s="10" t="n"/>
      <c r="R79" s="11" t="n"/>
      <c r="S79" s="10" t="n"/>
      <c r="T79" s="10" t="n"/>
      <c r="U79" s="10" t="n"/>
      <c r="V79" s="10" t="n"/>
      <c r="W79" s="11" t="n"/>
    </row>
    <row r="80">
      <c r="A80" t="n">
        <v>1</v>
      </c>
      <c r="C80" t="inlineStr">
        <is>
          <t>이자손익</t>
        </is>
      </c>
      <c r="E80" s="18" t="n">
        <v>-827.3</v>
      </c>
      <c r="F80" s="18" t="n">
        <v>251.49</v>
      </c>
      <c r="G80" s="18" t="n">
        <v>1268</v>
      </c>
      <c r="H80" s="9" t="n"/>
      <c r="I80" s="18" t="n">
        <v>2168.33</v>
      </c>
      <c r="J80" s="19" t="n">
        <v>2901.36</v>
      </c>
      <c r="K80" s="10" t="n"/>
      <c r="L80" s="10" t="n"/>
      <c r="M80" s="11" t="n"/>
      <c r="N80" s="10" t="n"/>
      <c r="O80" s="10" t="n"/>
      <c r="P80" s="10" t="n"/>
      <c r="Q80" s="10" t="n"/>
      <c r="R80" s="11" t="n"/>
      <c r="S80" s="10" t="n"/>
      <c r="T80" s="10" t="n"/>
      <c r="U80" s="10" t="n"/>
      <c r="V80" s="10" t="n"/>
      <c r="W80" s="11" t="n"/>
    </row>
    <row r="81">
      <c r="A81" t="n">
        <v>1</v>
      </c>
      <c r="C81" t="inlineStr">
        <is>
          <t>(비지배주주지분)당기순이익</t>
        </is>
      </c>
      <c r="H81" s="9" t="n"/>
      <c r="I81" s="18" t="n">
        <v>0</v>
      </c>
      <c r="J81" s="5" t="n"/>
      <c r="K81" s="10" t="n"/>
      <c r="L81" s="10" t="n"/>
      <c r="M81" s="11" t="n"/>
      <c r="N81" s="10" t="n"/>
      <c r="O81" s="10" t="n"/>
      <c r="P81" s="10" t="n"/>
      <c r="Q81" s="10" t="n"/>
      <c r="R81" s="11" t="n"/>
      <c r="S81" s="10" t="n"/>
      <c r="T81" s="10" t="n"/>
      <c r="U81" s="10" t="n"/>
      <c r="V81" s="10" t="n"/>
      <c r="W81" s="11" t="n"/>
    </row>
    <row r="82">
      <c r="A82" t="n">
        <v>1</v>
      </c>
      <c r="C82" t="inlineStr">
        <is>
          <t>영업활동으로인한현금흐름</t>
        </is>
      </c>
      <c r="E82" s="18" t="n">
        <v>42623.28</v>
      </c>
      <c r="F82" s="18" t="n">
        <v>-1016.39</v>
      </c>
      <c r="G82" s="18" t="n">
        <v>-13065.17</v>
      </c>
      <c r="H82" s="9" t="n"/>
      <c r="I82" s="18" t="n">
        <v>118064.13</v>
      </c>
      <c r="J82" s="19" t="n">
        <v>169860.18</v>
      </c>
      <c r="K82" s="10" t="n"/>
      <c r="L82" s="10" t="n"/>
      <c r="M82" s="11" t="n"/>
      <c r="N82" s="10" t="n"/>
      <c r="O82" s="10" t="n"/>
      <c r="P82" s="10" t="n"/>
      <c r="Q82" s="10" t="n"/>
      <c r="R82" s="11" t="n"/>
      <c r="S82" s="10" t="n"/>
      <c r="T82" s="10" t="n"/>
      <c r="U82" s="10" t="n"/>
      <c r="V82" s="10" t="n"/>
      <c r="W82" s="11" t="n"/>
    </row>
    <row r="83">
      <c r="A83" t="n">
        <v>1</v>
      </c>
      <c r="C83" t="inlineStr">
        <is>
          <t>이자수취(CF)</t>
        </is>
      </c>
      <c r="E83" s="18" t="n">
        <v>2258.48</v>
      </c>
      <c r="F83" s="18" t="n">
        <v>1866.48</v>
      </c>
      <c r="G83" s="18" t="n">
        <v>1454.4</v>
      </c>
      <c r="H83" s="9" t="n"/>
      <c r="I83" s="18" t="n">
        <v>1669.98</v>
      </c>
      <c r="J83" s="19" t="n">
        <v>1721.35</v>
      </c>
      <c r="K83" s="10" t="n"/>
      <c r="L83" s="10" t="n"/>
      <c r="M83" s="11" t="n"/>
      <c r="N83" s="10" t="n"/>
      <c r="O83" s="10" t="n"/>
      <c r="P83" s="10" t="n"/>
      <c r="Q83" s="10" t="n"/>
      <c r="R83" s="11" t="n"/>
      <c r="S83" s="10" t="n"/>
      <c r="T83" s="10" t="n"/>
      <c r="U83" s="10" t="n"/>
      <c r="V83" s="10" t="n"/>
      <c r="W83" s="11" t="n"/>
    </row>
    <row r="84">
      <c r="A84" t="n">
        <v>1</v>
      </c>
      <c r="C84" t="inlineStr">
        <is>
          <t>이자지급(CF)</t>
        </is>
      </c>
      <c r="E84" s="18" t="n">
        <v>-4172.35</v>
      </c>
      <c r="F84" s="18" t="n">
        <v>-2978.26</v>
      </c>
      <c r="G84" s="18" t="n">
        <v>-202.05</v>
      </c>
      <c r="H84" s="9" t="n"/>
      <c r="I84" s="18" t="n">
        <v>-6.35</v>
      </c>
      <c r="J84" s="19" t="n">
        <v>-5.8</v>
      </c>
      <c r="K84" s="10" t="n"/>
      <c r="L84" s="10" t="n"/>
      <c r="M84" s="11" t="n"/>
      <c r="N84" s="10" t="n"/>
      <c r="O84" s="10" t="n"/>
      <c r="P84" s="10" t="n"/>
      <c r="Q84" s="10" t="n"/>
      <c r="R84" s="11" t="n"/>
      <c r="S84" s="10" t="n"/>
      <c r="T84" s="10" t="n"/>
      <c r="U84" s="10" t="n"/>
      <c r="V84" s="10" t="n"/>
      <c r="W84" s="11" t="n"/>
    </row>
    <row r="85">
      <c r="A85" t="n">
        <v>1</v>
      </c>
      <c r="C85" t="inlineStr">
        <is>
          <t>법인세납부(CF)</t>
        </is>
      </c>
      <c r="E85" s="18" t="n">
        <v>-3007.12</v>
      </c>
      <c r="F85" s="18" t="n">
        <v>-2288.96</v>
      </c>
      <c r="G85" s="18" t="n">
        <v>-503.47</v>
      </c>
      <c r="H85" s="9" t="n"/>
      <c r="I85" s="18" t="n">
        <v>-7574.23</v>
      </c>
      <c r="J85" s="19" t="n">
        <v>-15296.51</v>
      </c>
      <c r="K85" s="10" t="n"/>
      <c r="L85" s="10" t="n"/>
      <c r="M85" s="11" t="n"/>
      <c r="N85" s="10" t="n"/>
      <c r="O85" s="10" t="n"/>
      <c r="P85" s="10" t="n"/>
      <c r="Q85" s="10" t="n"/>
      <c r="R85" s="11" t="n"/>
      <c r="S85" s="10" t="n"/>
      <c r="T85" s="10" t="n"/>
      <c r="U85" s="10" t="n"/>
      <c r="V85" s="10" t="n"/>
      <c r="W85" s="11" t="n"/>
    </row>
    <row r="86">
      <c r="A86" t="n">
        <v>1</v>
      </c>
      <c r="C86" t="inlineStr">
        <is>
          <t>투자활동으로인한현금흐름</t>
        </is>
      </c>
      <c r="E86" s="18" t="n">
        <v>5984.42</v>
      </c>
      <c r="F86" s="18" t="n">
        <v>-273488.49</v>
      </c>
      <c r="G86" s="18" t="n">
        <v>-47383.78</v>
      </c>
      <c r="H86" s="9" t="n"/>
      <c r="I86" s="18" t="n">
        <v>-24852.15</v>
      </c>
      <c r="J86" s="19" t="n">
        <v>-111821.84</v>
      </c>
      <c r="K86" s="10" t="n"/>
      <c r="L86" s="10" t="n"/>
      <c r="M86" s="11" t="n"/>
      <c r="N86" s="10" t="n"/>
      <c r="O86" s="10" t="n"/>
      <c r="P86" s="10" t="n"/>
      <c r="Q86" s="10" t="n"/>
      <c r="R86" s="11" t="n"/>
      <c r="S86" s="10" t="n"/>
      <c r="T86" s="10" t="n"/>
      <c r="U86" s="10" t="n"/>
      <c r="V86" s="10" t="n"/>
      <c r="W86" s="11" t="n"/>
    </row>
    <row r="87">
      <c r="A87" t="n">
        <v>1</v>
      </c>
      <c r="C87" t="inlineStr">
        <is>
          <t>유형자산의감소</t>
        </is>
      </c>
      <c r="E87" s="18" t="n">
        <v>0</v>
      </c>
      <c r="F87" s="18" t="n">
        <v>11.18</v>
      </c>
      <c r="G87" s="18" t="n">
        <v>138.43</v>
      </c>
      <c r="H87" s="9" t="n"/>
      <c r="I87" s="18" t="n">
        <v>120</v>
      </c>
      <c r="J87" s="19" t="n">
        <v>6.94</v>
      </c>
      <c r="K87" s="10" t="n"/>
      <c r="L87" s="10" t="n"/>
      <c r="M87" s="11" t="n"/>
      <c r="N87" s="10" t="n"/>
      <c r="O87" s="10" t="n"/>
      <c r="P87" s="10" t="n"/>
      <c r="Q87" s="10" t="n"/>
      <c r="R87" s="11" t="n"/>
      <c r="S87" s="10" t="n"/>
      <c r="T87" s="10" t="n"/>
      <c r="U87" s="10" t="n"/>
      <c r="V87" s="10" t="n"/>
      <c r="W87" s="11" t="n"/>
    </row>
    <row r="88">
      <c r="A88" t="n">
        <v>1</v>
      </c>
      <c r="C88" t="inlineStr">
        <is>
          <t>유형자산의증가</t>
        </is>
      </c>
      <c r="E88" s="18" t="n">
        <v>2791.63</v>
      </c>
      <c r="F88" s="18" t="n">
        <v>3523.49</v>
      </c>
      <c r="G88" s="18" t="n">
        <v>1897.06</v>
      </c>
      <c r="H88" s="9" t="n"/>
      <c r="I88" s="18" t="n">
        <v>2097.87</v>
      </c>
      <c r="J88" s="19" t="n">
        <v>6409.19</v>
      </c>
      <c r="K88" s="10" t="n"/>
      <c r="L88" s="10" t="n"/>
      <c r="M88" s="11" t="n"/>
      <c r="N88" s="10" t="n"/>
      <c r="O88" s="10" t="n"/>
      <c r="P88" s="10" t="n"/>
      <c r="Q88" s="10" t="n"/>
      <c r="R88" s="11" t="n"/>
      <c r="S88" s="10" t="n"/>
      <c r="T88" s="10" t="n"/>
      <c r="U88" s="10" t="n"/>
      <c r="V88" s="10" t="n"/>
      <c r="W88" s="11" t="n"/>
    </row>
    <row r="89">
      <c r="A89" t="n">
        <v>1</v>
      </c>
      <c r="C89" t="inlineStr">
        <is>
          <t>CAPEX</t>
        </is>
      </c>
      <c r="E89" s="18" t="n">
        <v>2791.63</v>
      </c>
      <c r="F89" s="18" t="n">
        <v>3530.99</v>
      </c>
      <c r="G89" s="18" t="n">
        <v>2072.06</v>
      </c>
      <c r="H89" s="9" t="n"/>
      <c r="I89" s="18" t="n">
        <v>2102.03</v>
      </c>
      <c r="J89" s="19" t="n">
        <v>7231.59</v>
      </c>
      <c r="K89" s="10" t="n"/>
      <c r="L89" s="10" t="n"/>
      <c r="M89" s="11" t="n"/>
      <c r="N89" s="10" t="n"/>
      <c r="O89" s="10" t="n"/>
      <c r="P89" s="10" t="n"/>
      <c r="Q89" s="10" t="n"/>
      <c r="R89" s="11" t="n"/>
      <c r="S89" s="10" t="n"/>
      <c r="T89" s="10" t="n"/>
      <c r="U89" s="10" t="n"/>
      <c r="V89" s="10" t="n"/>
      <c r="W89" s="11" t="n"/>
    </row>
    <row r="90">
      <c r="A90" t="n">
        <v>1</v>
      </c>
      <c r="C90" t="inlineStr">
        <is>
          <t>무형자산의증가</t>
        </is>
      </c>
      <c r="E90" s="18" t="n">
        <v>0</v>
      </c>
      <c r="F90" s="18" t="n">
        <v>7.5</v>
      </c>
      <c r="G90" s="18" t="n">
        <v>175</v>
      </c>
      <c r="H90" s="9" t="n"/>
      <c r="I90" s="18" t="n">
        <v>4.16</v>
      </c>
      <c r="J90" s="19" t="n">
        <v>822.4</v>
      </c>
      <c r="K90" s="10" t="n"/>
      <c r="L90" s="10" t="n"/>
      <c r="M90" s="11" t="n"/>
      <c r="N90" s="10" t="n"/>
      <c r="O90" s="10" t="n"/>
      <c r="P90" s="10" t="n"/>
      <c r="Q90" s="10" t="n"/>
      <c r="R90" s="11" t="n"/>
      <c r="S90" s="10" t="n"/>
      <c r="T90" s="10" t="n"/>
      <c r="U90" s="10" t="n"/>
      <c r="V90" s="10" t="n"/>
      <c r="W90" s="11" t="n"/>
    </row>
    <row r="91">
      <c r="A91" t="n">
        <v>1</v>
      </c>
      <c r="C91" t="inlineStr">
        <is>
          <t>재무활동으로인한현금흐름</t>
        </is>
      </c>
      <c r="E91" s="18" t="n">
        <v>-35478.63</v>
      </c>
      <c r="F91" s="18" t="n">
        <v>188321.79</v>
      </c>
      <c r="G91" s="18" t="n">
        <v>-23696.36</v>
      </c>
      <c r="H91" s="9" t="n"/>
      <c r="I91" s="18" t="n">
        <v>-24948.67</v>
      </c>
      <c r="J91" s="19" t="n">
        <v>-24769.83</v>
      </c>
      <c r="K91" s="10" t="n"/>
      <c r="L91" s="10" t="n"/>
      <c r="M91" s="11" t="n"/>
      <c r="N91" s="10" t="n"/>
      <c r="O91" s="10" t="n"/>
      <c r="P91" s="10" t="n"/>
      <c r="Q91" s="10" t="n"/>
      <c r="R91" s="11" t="n"/>
      <c r="S91" s="10" t="n"/>
      <c r="T91" s="10" t="n"/>
      <c r="U91" s="10" t="n"/>
      <c r="V91" s="10" t="n"/>
      <c r="W91" s="11" t="n"/>
    </row>
    <row r="92">
      <c r="A92" t="n">
        <v>1</v>
      </c>
      <c r="C92" t="inlineStr">
        <is>
          <t>단기차입금의증가</t>
        </is>
      </c>
      <c r="E92" s="18" t="n">
        <v>126468.73</v>
      </c>
      <c r="F92" s="18" t="n">
        <v>69339.03</v>
      </c>
      <c r="G92" s="18" t="n">
        <v>20859.87</v>
      </c>
      <c r="H92" s="9" t="n"/>
      <c r="I92" s="18" t="n">
        <v>1037.52</v>
      </c>
      <c r="J92" s="5" t="n"/>
      <c r="K92" s="10" t="n"/>
      <c r="L92" s="10" t="n"/>
      <c r="M92" s="11" t="n"/>
      <c r="N92" s="10" t="n"/>
      <c r="O92" s="10" t="n"/>
      <c r="P92" s="10" t="n"/>
      <c r="Q92" s="10" t="n"/>
      <c r="R92" s="11" t="n"/>
      <c r="S92" s="10" t="n"/>
      <c r="T92" s="10" t="n"/>
      <c r="U92" s="10" t="n"/>
      <c r="V92" s="10" t="n"/>
      <c r="W92" s="11" t="n"/>
    </row>
    <row r="93">
      <c r="A93" t="n">
        <v>1</v>
      </c>
      <c r="C93" t="inlineStr">
        <is>
          <t>단기차입금의감소</t>
        </is>
      </c>
      <c r="E93" s="18" t="n">
        <v>161905.38</v>
      </c>
      <c r="F93" s="18" t="n">
        <v>234849.35</v>
      </c>
      <c r="G93" s="18" t="n">
        <v>44512.19</v>
      </c>
      <c r="H93" s="9" t="n"/>
      <c r="I93" s="18" t="n">
        <v>58.26</v>
      </c>
      <c r="J93" s="19" t="n">
        <v>0</v>
      </c>
      <c r="K93" s="10" t="n"/>
      <c r="L93" s="10" t="n"/>
      <c r="M93" s="11" t="n"/>
      <c r="N93" s="10" t="n"/>
      <c r="O93" s="10" t="n"/>
      <c r="P93" s="10" t="n"/>
      <c r="Q93" s="10" t="n"/>
      <c r="R93" s="11" t="n"/>
      <c r="S93" s="10" t="n"/>
      <c r="T93" s="10" t="n"/>
      <c r="U93" s="10" t="n"/>
      <c r="V93" s="10" t="n"/>
      <c r="W93" s="11" t="n"/>
    </row>
    <row r="94">
      <c r="A94" t="n">
        <v>1</v>
      </c>
      <c r="C94" t="inlineStr">
        <is>
          <t>리스부채의상환</t>
        </is>
      </c>
      <c r="E94" s="18" t="n">
        <v>41.98</v>
      </c>
      <c r="F94" s="18" t="n">
        <v>82.08</v>
      </c>
      <c r="G94" s="18" t="n">
        <v>44.04</v>
      </c>
      <c r="H94" s="9" t="n"/>
      <c r="I94" s="18" t="n">
        <v>44.91</v>
      </c>
      <c r="J94" s="19" t="n">
        <v>42.05</v>
      </c>
      <c r="K94" s="10" t="n"/>
      <c r="L94" s="10" t="n"/>
      <c r="M94" s="11" t="n"/>
      <c r="N94" s="10" t="n"/>
      <c r="O94" s="10" t="n"/>
      <c r="P94" s="10" t="n"/>
      <c r="Q94" s="10" t="n"/>
      <c r="R94" s="11" t="n"/>
      <c r="S94" s="10" t="n"/>
      <c r="T94" s="10" t="n"/>
      <c r="U94" s="10" t="n"/>
      <c r="V94" s="10" t="n"/>
      <c r="W94" s="11" t="n"/>
    </row>
    <row r="95">
      <c r="A95" t="n">
        <v>1</v>
      </c>
      <c r="C95" t="inlineStr">
        <is>
          <t>현금및현금성자산의증감</t>
        </is>
      </c>
      <c r="E95" s="18" t="n">
        <v>652.24</v>
      </c>
      <c r="F95" s="18" t="n">
        <v>-79484.48</v>
      </c>
      <c r="G95" s="18" t="n">
        <v>-81621.38</v>
      </c>
      <c r="H95" s="9" t="n"/>
      <c r="I95" s="18" t="n">
        <v>74829.36</v>
      </c>
      <c r="J95" s="19" t="n">
        <v>35753.27</v>
      </c>
      <c r="K95" s="10" t="n"/>
      <c r="L95" s="10" t="n"/>
      <c r="M95" s="11" t="n"/>
      <c r="N95" s="10" t="n"/>
      <c r="O95" s="10" t="n"/>
      <c r="P95" s="10" t="n"/>
      <c r="Q95" s="10" t="n"/>
      <c r="R95" s="11" t="n"/>
      <c r="S95" s="10" t="n"/>
      <c r="T95" s="10" t="n"/>
      <c r="U95" s="10" t="n"/>
      <c r="V95" s="10" t="n"/>
      <c r="W95" s="11" t="n"/>
    </row>
    <row r="96">
      <c r="A96" t="n">
        <v>1</v>
      </c>
      <c r="C96" t="inlineStr">
        <is>
          <t>기말현금및현금성자산</t>
        </is>
      </c>
      <c r="E96" s="18" t="n">
        <v>652.25</v>
      </c>
      <c r="F96" s="18" t="n">
        <v>-79484.48</v>
      </c>
      <c r="G96" s="18" t="n">
        <v>-81621.38</v>
      </c>
      <c r="H96" s="9" t="n"/>
      <c r="I96" s="18" t="n">
        <v>290133.13</v>
      </c>
      <c r="J96" s="19" t="n">
        <v>35753.28</v>
      </c>
      <c r="K96" s="10" t="n"/>
      <c r="L96" s="10" t="n"/>
      <c r="M96" s="11" t="n"/>
      <c r="N96" s="10" t="n"/>
      <c r="O96" s="10" t="n"/>
      <c r="P96" s="10" t="n"/>
      <c r="Q96" s="10" t="n"/>
      <c r="R96" s="11" t="n"/>
      <c r="S96" s="10" t="n"/>
      <c r="T96" s="10" t="n"/>
      <c r="U96" s="10" t="n"/>
      <c r="V96" s="10" t="n"/>
      <c r="W96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2Q25</t>
        </is>
      </c>
      <c r="F1" s="3" t="inlineStr">
        <is>
          <t>3Q25</t>
        </is>
      </c>
      <c r="G1" s="3" t="inlineStr">
        <is>
          <t>4Q25</t>
        </is>
      </c>
      <c r="H1" s="3" t="n">
        <v>2025</v>
      </c>
      <c r="I1" s="3" t="inlineStr">
        <is>
          <t>1Q26</t>
        </is>
      </c>
      <c r="J1" s="4" t="inlineStr">
        <is>
          <t>2Q26</t>
        </is>
      </c>
      <c r="K1" s="3" t="inlineStr">
        <is>
          <t>3Q26</t>
        </is>
      </c>
      <c r="L1" s="3" t="inlineStr">
        <is>
          <t>4Q26</t>
        </is>
      </c>
      <c r="M1" s="3" t="n">
        <v>2026</v>
      </c>
      <c r="N1" s="3" t="inlineStr">
        <is>
          <t>1Q27</t>
        </is>
      </c>
      <c r="O1" s="3" t="inlineStr">
        <is>
          <t>2Q27</t>
        </is>
      </c>
      <c r="P1" s="3" t="inlineStr">
        <is>
          <t>3Q27</t>
        </is>
      </c>
      <c r="Q1" s="3" t="inlineStr">
        <is>
          <t>4Q27</t>
        </is>
      </c>
      <c r="R1" s="3" t="n">
        <v>2027</v>
      </c>
      <c r="S1" s="3" t="inlineStr">
        <is>
          <t>1Q28</t>
        </is>
      </c>
      <c r="T1" s="3" t="inlineStr">
        <is>
          <t>2Q28</t>
        </is>
      </c>
      <c r="U1" s="3" t="inlineStr">
        <is>
          <t>3Q28</t>
        </is>
      </c>
      <c r="V1" s="3" t="inlineStr">
        <is>
          <t>4Q28</t>
        </is>
      </c>
      <c r="W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J2" s="5" t="n"/>
    </row>
    <row r="3">
      <c r="B3" t="inlineStr">
        <is>
          <t>대한조선(별)</t>
        </is>
      </c>
      <c r="C3" s="2" t="inlineStr">
        <is>
          <t>UPDATE: 26-10-14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6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2025.06</t>
        </is>
      </c>
      <c r="F4" s="7" t="inlineStr">
        <is>
          <t>2025.09</t>
        </is>
      </c>
      <c r="G4" s="7" t="inlineStr">
        <is>
          <t>2025.12</t>
        </is>
      </c>
      <c r="H4" s="7" t="inlineStr">
        <is>
          <t>2025.12A</t>
        </is>
      </c>
      <c r="I4" s="7" t="inlineStr">
        <is>
          <t>2026.03</t>
        </is>
      </c>
      <c r="J4" s="8" t="inlineStr">
        <is>
          <t>2026.06</t>
        </is>
      </c>
      <c r="K4" s="7" t="inlineStr">
        <is>
          <t>2026.09</t>
        </is>
      </c>
      <c r="L4" s="7" t="inlineStr">
        <is>
          <t>2026.12</t>
        </is>
      </c>
      <c r="M4" s="7" t="inlineStr">
        <is>
          <t>2026.12A</t>
        </is>
      </c>
      <c r="N4" s="7" t="inlineStr">
        <is>
          <t>2027.03</t>
        </is>
      </c>
      <c r="O4" s="7" t="inlineStr">
        <is>
          <t>2027.06</t>
        </is>
      </c>
      <c r="P4" s="7" t="inlineStr">
        <is>
          <t>2027.09</t>
        </is>
      </c>
      <c r="Q4" s="7" t="inlineStr">
        <is>
          <t>2027.12</t>
        </is>
      </c>
      <c r="R4" s="7" t="inlineStr">
        <is>
          <t>2027.12A</t>
        </is>
      </c>
      <c r="S4" s="7" t="inlineStr">
        <is>
          <t>2028.03</t>
        </is>
      </c>
      <c r="T4" s="7" t="inlineStr">
        <is>
          <t>2028.06</t>
        </is>
      </c>
      <c r="U4" s="7" t="inlineStr">
        <is>
          <t>2028.09</t>
        </is>
      </c>
      <c r="V4" s="7" t="inlineStr">
        <is>
          <t>2028.12</t>
        </is>
      </c>
      <c r="W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829391.23</v>
      </c>
      <c r="F5" s="18" t="n">
        <v>1051424.67</v>
      </c>
      <c r="G5" s="18" t="n">
        <v>1125162.69</v>
      </c>
      <c r="H5" s="37" t="n">
        <v>1125162.69</v>
      </c>
      <c r="I5" s="18" t="n">
        <v>1221806.17</v>
      </c>
      <c r="J5" s="19" t="n">
        <v>1200778.72</v>
      </c>
      <c r="K5" s="10" t="n"/>
      <c r="L5" s="10" t="n"/>
      <c r="M5" s="11" t="n"/>
      <c r="N5" s="10" t="n"/>
      <c r="O5" s="10" t="n"/>
      <c r="P5" s="10" t="n"/>
      <c r="Q5" s="10" t="n"/>
      <c r="R5" s="11" t="n"/>
      <c r="S5" s="10" t="n"/>
      <c r="T5" s="10" t="n"/>
      <c r="U5" s="10" t="n"/>
      <c r="V5" s="10" t="n"/>
      <c r="W5" s="11" t="n"/>
    </row>
    <row r="6">
      <c r="A6" t="n">
        <v>1</v>
      </c>
      <c r="C6" t="inlineStr">
        <is>
          <t>현금및현금성자산</t>
        </is>
      </c>
      <c r="E6" s="18" t="n">
        <v>376281.41</v>
      </c>
      <c r="F6" s="18" t="n">
        <v>296802.23</v>
      </c>
      <c r="G6" s="18" t="n">
        <v>215179.11</v>
      </c>
      <c r="H6" s="37" t="n">
        <v>215179.11</v>
      </c>
      <c r="I6" s="18" t="n">
        <v>289943.57</v>
      </c>
      <c r="J6" s="19" t="n">
        <v>323277.24</v>
      </c>
      <c r="K6" s="10" t="n"/>
      <c r="L6" s="10" t="n"/>
      <c r="M6" s="11" t="n"/>
      <c r="N6" s="10" t="n"/>
      <c r="O6" s="10" t="n"/>
      <c r="P6" s="10" t="n"/>
      <c r="Q6" s="10" t="n"/>
      <c r="R6" s="11" t="n"/>
      <c r="S6" s="10" t="n"/>
      <c r="T6" s="10" t="n"/>
      <c r="U6" s="10" t="n"/>
      <c r="V6" s="10" t="n"/>
      <c r="W6" s="11" t="n"/>
    </row>
    <row r="7">
      <c r="A7" t="n">
        <v>1</v>
      </c>
      <c r="C7" t="inlineStr">
        <is>
          <t>단기금융상품</t>
        </is>
      </c>
      <c r="E7" s="18" t="n">
        <v>1488.5</v>
      </c>
      <c r="G7" s="18" t="n">
        <v>12899.49</v>
      </c>
      <c r="H7" s="37" t="n">
        <v>12899.49</v>
      </c>
      <c r="I7" s="18" t="n">
        <v>72277.50999999999</v>
      </c>
      <c r="J7" s="19" t="n">
        <v>108767.29</v>
      </c>
      <c r="K7" s="10" t="n"/>
      <c r="L7" s="10" t="n"/>
      <c r="M7" s="11" t="n"/>
      <c r="N7" s="10" t="n"/>
      <c r="O7" s="10" t="n"/>
      <c r="P7" s="10" t="n"/>
      <c r="Q7" s="10" t="n"/>
      <c r="R7" s="11" t="n"/>
      <c r="S7" s="10" t="n"/>
      <c r="T7" s="10" t="n"/>
      <c r="U7" s="10" t="n"/>
      <c r="V7" s="10" t="n"/>
      <c r="W7" s="11" t="n"/>
    </row>
    <row r="8">
      <c r="A8" t="n">
        <v>1</v>
      </c>
      <c r="C8" t="inlineStr">
        <is>
          <t>단기금융자산</t>
        </is>
      </c>
      <c r="E8" s="18" t="n">
        <v>1488.5</v>
      </c>
      <c r="G8" s="18" t="n">
        <v>12899.49</v>
      </c>
      <c r="H8" s="37" t="n">
        <v>12899.49</v>
      </c>
      <c r="I8" s="18" t="n">
        <v>72277.50999999999</v>
      </c>
      <c r="J8" s="19" t="n">
        <v>108767.29</v>
      </c>
      <c r="K8" s="10" t="n"/>
      <c r="L8" s="10" t="n"/>
      <c r="M8" s="11" t="n"/>
      <c r="N8" s="10" t="n"/>
      <c r="O8" s="10" t="n"/>
      <c r="P8" s="10" t="n"/>
      <c r="Q8" s="10" t="n"/>
      <c r="R8" s="11" t="n"/>
      <c r="S8" s="10" t="n"/>
      <c r="T8" s="10" t="n"/>
      <c r="U8" s="10" t="n"/>
      <c r="V8" s="10" t="n"/>
      <c r="W8" s="11" t="n"/>
    </row>
    <row r="9">
      <c r="A9" t="n">
        <v>1</v>
      </c>
      <c r="C9" t="inlineStr">
        <is>
          <t>매출채권및기타채권</t>
        </is>
      </c>
      <c r="E9" s="18" t="n">
        <v>79278.81</v>
      </c>
      <c r="F9" s="18" t="n">
        <v>87232.83</v>
      </c>
      <c r="G9" s="18" t="n">
        <v>104502.3</v>
      </c>
      <c r="H9" s="37" t="n">
        <v>104502.3</v>
      </c>
      <c r="I9" s="18" t="n">
        <v>96172.60000000001</v>
      </c>
      <c r="J9" s="19" t="n">
        <v>107196.98</v>
      </c>
      <c r="K9" s="10" t="n"/>
      <c r="L9" s="10" t="n"/>
      <c r="M9" s="11" t="n"/>
      <c r="N9" s="10" t="n"/>
      <c r="O9" s="10" t="n"/>
      <c r="P9" s="10" t="n"/>
      <c r="Q9" s="10" t="n"/>
      <c r="R9" s="11" t="n"/>
      <c r="S9" s="10" t="n"/>
      <c r="T9" s="10" t="n"/>
      <c r="U9" s="10" t="n"/>
      <c r="V9" s="10" t="n"/>
      <c r="W9" s="11" t="n"/>
    </row>
    <row r="10">
      <c r="A10" t="n">
        <v>1</v>
      </c>
      <c r="C10" t="inlineStr">
        <is>
          <t>계약자산</t>
        </is>
      </c>
      <c r="E10" s="18" t="n">
        <v>265910.36</v>
      </c>
      <c r="F10" s="18" t="n">
        <v>265726.2</v>
      </c>
      <c r="G10" s="18" t="n">
        <v>376052.97</v>
      </c>
      <c r="H10" s="37" t="n">
        <v>376052.97</v>
      </c>
      <c r="I10" s="18" t="n">
        <v>355960.68</v>
      </c>
      <c r="J10" s="19" t="n">
        <v>311813.71</v>
      </c>
      <c r="K10" s="10" t="n"/>
      <c r="L10" s="10" t="n"/>
      <c r="M10" s="11" t="n"/>
      <c r="N10" s="10" t="n"/>
      <c r="O10" s="10" t="n"/>
      <c r="P10" s="10" t="n"/>
      <c r="Q10" s="10" t="n"/>
      <c r="R10" s="11" t="n"/>
      <c r="S10" s="10" t="n"/>
      <c r="T10" s="10" t="n"/>
      <c r="U10" s="10" t="n"/>
      <c r="V10" s="10" t="n"/>
      <c r="W10" s="11" t="n"/>
    </row>
    <row r="11">
      <c r="A11" t="n">
        <v>1</v>
      </c>
      <c r="C11" t="inlineStr">
        <is>
          <t>재고자산</t>
        </is>
      </c>
      <c r="E11" s="18" t="n">
        <v>23773.93</v>
      </c>
      <c r="F11" s="18" t="n">
        <v>34326.11</v>
      </c>
      <c r="G11" s="18" t="n">
        <v>35874.49</v>
      </c>
      <c r="H11" s="37" t="n">
        <v>35874.49</v>
      </c>
      <c r="I11" s="18" t="n">
        <v>54617.84</v>
      </c>
      <c r="J11" s="19" t="n">
        <v>36183.86</v>
      </c>
      <c r="K11" s="10" t="n"/>
      <c r="L11" s="10" t="n"/>
      <c r="M11" s="11" t="n"/>
      <c r="N11" s="10" t="n"/>
      <c r="O11" s="10" t="n"/>
      <c r="P11" s="10" t="n"/>
      <c r="Q11" s="10" t="n"/>
      <c r="R11" s="11" t="n"/>
      <c r="S11" s="10" t="n"/>
      <c r="T11" s="10" t="n"/>
      <c r="U11" s="10" t="n"/>
      <c r="V11" s="10" t="n"/>
      <c r="W11" s="11" t="n"/>
    </row>
    <row r="12">
      <c r="A12" t="n">
        <v>1</v>
      </c>
      <c r="C12" t="inlineStr">
        <is>
          <t>기타유동자산</t>
        </is>
      </c>
      <c r="E12" s="18" t="n">
        <v>73659.28</v>
      </c>
      <c r="F12" s="18" t="n">
        <v>73471</v>
      </c>
      <c r="G12" s="18" t="n">
        <v>72370.88</v>
      </c>
      <c r="H12" s="37" t="n">
        <v>72370.88</v>
      </c>
      <c r="I12" s="18" t="n">
        <v>70500.48</v>
      </c>
      <c r="J12" s="19" t="n">
        <v>74174.34</v>
      </c>
      <c r="K12" s="10" t="n"/>
      <c r="L12" s="10" t="n"/>
      <c r="M12" s="11" t="n"/>
      <c r="N12" s="10" t="n"/>
      <c r="O12" s="10" t="n"/>
      <c r="P12" s="10" t="n"/>
      <c r="Q12" s="10" t="n"/>
      <c r="R12" s="11" t="n"/>
      <c r="S12" s="10" t="n"/>
      <c r="T12" s="10" t="n"/>
      <c r="U12" s="10" t="n"/>
      <c r="V12" s="10" t="n"/>
      <c r="W12" s="11" t="n"/>
    </row>
    <row r="13">
      <c r="A13" t="n">
        <v>1</v>
      </c>
      <c r="C13" t="inlineStr">
        <is>
          <t>당기법인세자산(선급법인세)</t>
        </is>
      </c>
      <c r="E13" s="18" t="n">
        <v>634.6799999999999</v>
      </c>
      <c r="F13" s="18" t="n">
        <v>2923.64</v>
      </c>
      <c r="H13" s="9" t="n"/>
      <c r="J13" s="5" t="n"/>
      <c r="K13" s="10" t="n"/>
      <c r="L13" s="10" t="n"/>
      <c r="M13" s="11" t="n"/>
      <c r="N13" s="10" t="n"/>
      <c r="O13" s="10" t="n"/>
      <c r="P13" s="10" t="n"/>
      <c r="Q13" s="10" t="n"/>
      <c r="R13" s="11" t="n"/>
      <c r="S13" s="10" t="n"/>
      <c r="T13" s="10" t="n"/>
      <c r="U13" s="10" t="n"/>
      <c r="V13" s="10" t="n"/>
      <c r="W13" s="11" t="n"/>
    </row>
    <row r="14">
      <c r="A14" t="n">
        <v>1</v>
      </c>
      <c r="C14" t="inlineStr">
        <is>
          <t>비유동자산</t>
        </is>
      </c>
      <c r="E14" s="18" t="n">
        <v>383370.26</v>
      </c>
      <c r="F14" s="18" t="n">
        <v>377438</v>
      </c>
      <c r="G14" s="18" t="n">
        <v>412126.84</v>
      </c>
      <c r="H14" s="37" t="n">
        <v>412126.84</v>
      </c>
      <c r="I14" s="18" t="n">
        <v>421592.05</v>
      </c>
      <c r="J14" s="19" t="n">
        <v>558306.11</v>
      </c>
      <c r="K14" s="10" t="n"/>
      <c r="L14" s="10" t="n"/>
      <c r="M14" s="11" t="n"/>
      <c r="N14" s="10" t="n"/>
      <c r="O14" s="10" t="n"/>
      <c r="P14" s="10" t="n"/>
      <c r="Q14" s="10" t="n"/>
      <c r="R14" s="11" t="n"/>
      <c r="S14" s="10" t="n"/>
      <c r="T14" s="10" t="n"/>
      <c r="U14" s="10" t="n"/>
      <c r="V14" s="10" t="n"/>
      <c r="W14" s="11" t="n"/>
    </row>
    <row r="15">
      <c r="A15" t="n">
        <v>1</v>
      </c>
      <c r="C15" t="inlineStr">
        <is>
          <t>종속기업및관계기업투자</t>
        </is>
      </c>
      <c r="E15" s="18" t="n">
        <v>50</v>
      </c>
      <c r="F15" s="18" t="n">
        <v>50</v>
      </c>
      <c r="G15" s="18" t="n">
        <v>50</v>
      </c>
      <c r="H15" s="37" t="n">
        <v>50</v>
      </c>
      <c r="I15" s="18" t="n">
        <v>50</v>
      </c>
      <c r="J15" s="19" t="n">
        <v>50</v>
      </c>
      <c r="K15" s="10" t="n"/>
      <c r="L15" s="10" t="n"/>
      <c r="M15" s="11" t="n"/>
      <c r="N15" s="10" t="n"/>
      <c r="O15" s="10" t="n"/>
      <c r="P15" s="10" t="n"/>
      <c r="Q15" s="10" t="n"/>
      <c r="R15" s="11" t="n"/>
      <c r="S15" s="10" t="n"/>
      <c r="T15" s="10" t="n"/>
      <c r="U15" s="10" t="n"/>
      <c r="V15" s="10" t="n"/>
      <c r="W15" s="11" t="n"/>
    </row>
    <row r="16">
      <c r="A16" t="n">
        <v>1</v>
      </c>
      <c r="C16" t="inlineStr">
        <is>
          <t>투자자산</t>
        </is>
      </c>
      <c r="E16" s="18" t="n">
        <v>50</v>
      </c>
      <c r="F16" s="18" t="n">
        <v>50</v>
      </c>
      <c r="G16" s="18" t="n">
        <v>24675.75</v>
      </c>
      <c r="H16" s="37" t="n">
        <v>24675.75</v>
      </c>
      <c r="I16" s="18" t="n">
        <v>29635.62</v>
      </c>
      <c r="J16" s="19" t="n">
        <v>145555.48</v>
      </c>
      <c r="K16" s="10" t="n"/>
      <c r="L16" s="10" t="n"/>
      <c r="M16" s="11" t="n"/>
      <c r="N16" s="10" t="n"/>
      <c r="O16" s="10" t="n"/>
      <c r="P16" s="10" t="n"/>
      <c r="Q16" s="10" t="n"/>
      <c r="R16" s="11" t="n"/>
      <c r="S16" s="10" t="n"/>
      <c r="T16" s="10" t="n"/>
      <c r="U16" s="10" t="n"/>
      <c r="V16" s="10" t="n"/>
      <c r="W16" s="11" t="n"/>
    </row>
    <row r="17">
      <c r="A17" t="n">
        <v>1</v>
      </c>
      <c r="C17" t="inlineStr">
        <is>
          <t>투자부동산</t>
        </is>
      </c>
      <c r="E17" s="18" t="n">
        <v>913.14</v>
      </c>
      <c r="F17" s="18" t="n">
        <v>901.38</v>
      </c>
      <c r="G17" s="18" t="n">
        <v>889.62</v>
      </c>
      <c r="H17" s="37" t="n">
        <v>889.62</v>
      </c>
      <c r="I17" s="18" t="n">
        <v>877.86</v>
      </c>
      <c r="J17" s="19" t="n">
        <v>866.11</v>
      </c>
      <c r="K17" s="10" t="n"/>
      <c r="L17" s="10" t="n"/>
      <c r="M17" s="11" t="n"/>
      <c r="N17" s="10" t="n"/>
      <c r="O17" s="10" t="n"/>
      <c r="P17" s="10" t="n"/>
      <c r="Q17" s="10" t="n"/>
      <c r="R17" s="11" t="n"/>
      <c r="S17" s="10" t="n"/>
      <c r="T17" s="10" t="n"/>
      <c r="U17" s="10" t="n"/>
      <c r="V17" s="10" t="n"/>
      <c r="W17" s="11" t="n"/>
    </row>
    <row r="18">
      <c r="A18" t="n">
        <v>1</v>
      </c>
      <c r="C18" t="inlineStr">
        <is>
          <t>유형자산</t>
        </is>
      </c>
      <c r="E18" s="18" t="n">
        <v>350898.62</v>
      </c>
      <c r="F18" s="18" t="n">
        <v>351724.88</v>
      </c>
      <c r="G18" s="18" t="n">
        <v>351045.15</v>
      </c>
      <c r="H18" s="37" t="n">
        <v>351045.15</v>
      </c>
      <c r="I18" s="18" t="n">
        <v>345794.8</v>
      </c>
      <c r="J18" s="19" t="n">
        <v>347974.52</v>
      </c>
      <c r="K18" s="10" t="n"/>
      <c r="L18" s="10" t="n"/>
      <c r="M18" s="11" t="n"/>
      <c r="N18" s="10" t="n"/>
      <c r="O18" s="10" t="n"/>
      <c r="P18" s="10" t="n"/>
      <c r="Q18" s="10" t="n"/>
      <c r="R18" s="11" t="n"/>
      <c r="S18" s="10" t="n"/>
      <c r="T18" s="10" t="n"/>
      <c r="U18" s="10" t="n"/>
      <c r="V18" s="10" t="n"/>
      <c r="W18" s="11" t="n"/>
    </row>
    <row r="19">
      <c r="A19" t="n">
        <v>1</v>
      </c>
      <c r="C19" t="inlineStr">
        <is>
          <t>무형자산</t>
        </is>
      </c>
      <c r="E19" s="18" t="n">
        <v>1361.16</v>
      </c>
      <c r="F19" s="18" t="n">
        <v>1332.41</v>
      </c>
      <c r="G19" s="18" t="n">
        <v>1462.83</v>
      </c>
      <c r="H19" s="37" t="n">
        <v>1462.83</v>
      </c>
      <c r="I19" s="18" t="n">
        <v>5710.78</v>
      </c>
      <c r="J19" s="19" t="n">
        <v>5468.79</v>
      </c>
      <c r="K19" s="10" t="n"/>
      <c r="L19" s="10" t="n"/>
      <c r="M19" s="11" t="n"/>
      <c r="N19" s="10" t="n"/>
      <c r="O19" s="10" t="n"/>
      <c r="P19" s="10" t="n"/>
      <c r="Q19" s="10" t="n"/>
      <c r="R19" s="11" t="n"/>
      <c r="S19" s="10" t="n"/>
      <c r="T19" s="10" t="n"/>
      <c r="U19" s="10" t="n"/>
      <c r="V19" s="10" t="n"/>
      <c r="W19" s="11" t="n"/>
    </row>
    <row r="20">
      <c r="A20" t="n">
        <v>1</v>
      </c>
      <c r="C20" t="inlineStr">
        <is>
          <t>사용권자산</t>
        </is>
      </c>
      <c r="E20" s="18" t="n">
        <v>457.83</v>
      </c>
      <c r="F20" s="18" t="n">
        <v>400.84</v>
      </c>
      <c r="G20" s="18" t="n">
        <v>333.21</v>
      </c>
      <c r="H20" s="37" t="n">
        <v>333.21</v>
      </c>
      <c r="I20" s="18" t="n">
        <v>279.77</v>
      </c>
      <c r="J20" s="19" t="n">
        <v>246.64</v>
      </c>
      <c r="K20" s="10" t="n"/>
      <c r="L20" s="10" t="n"/>
      <c r="M20" s="11" t="n"/>
      <c r="N20" s="10" t="n"/>
      <c r="O20" s="10" t="n"/>
      <c r="P20" s="10" t="n"/>
      <c r="Q20" s="10" t="n"/>
      <c r="R20" s="11" t="n"/>
      <c r="S20" s="10" t="n"/>
      <c r="T20" s="10" t="n"/>
      <c r="U20" s="10" t="n"/>
      <c r="V20" s="10" t="n"/>
      <c r="W20" s="11" t="n"/>
    </row>
    <row r="21">
      <c r="A21" t="n">
        <v>1</v>
      </c>
      <c r="C21" t="inlineStr">
        <is>
          <t>기타비유동자산</t>
        </is>
      </c>
      <c r="E21" s="18" t="n">
        <v>457.83</v>
      </c>
      <c r="F21" s="18" t="n">
        <v>400.84</v>
      </c>
      <c r="G21" s="18" t="n">
        <v>13017.91</v>
      </c>
      <c r="H21" s="37" t="n">
        <v>13017.91</v>
      </c>
      <c r="I21" s="18" t="n">
        <v>13516.28</v>
      </c>
      <c r="J21" s="19" t="n">
        <v>26437.34</v>
      </c>
      <c r="K21" s="10" t="n"/>
      <c r="L21" s="10" t="n"/>
      <c r="M21" s="11" t="n"/>
      <c r="N21" s="10" t="n"/>
      <c r="O21" s="10" t="n"/>
      <c r="P21" s="10" t="n"/>
      <c r="Q21" s="10" t="n"/>
      <c r="R21" s="11" t="n"/>
      <c r="S21" s="10" t="n"/>
      <c r="T21" s="10" t="n"/>
      <c r="U21" s="10" t="n"/>
      <c r="V21" s="10" t="n"/>
      <c r="W21" s="11" t="n"/>
    </row>
    <row r="22">
      <c r="A22" t="n">
        <v>1</v>
      </c>
      <c r="C22" t="inlineStr">
        <is>
          <t>장기매출채권및기타채권</t>
        </is>
      </c>
      <c r="E22" s="18" t="n">
        <v>7702.32</v>
      </c>
      <c r="F22" s="18" t="n">
        <v>7672.17</v>
      </c>
      <c r="G22" s="18" t="n">
        <v>7376.09</v>
      </c>
      <c r="H22" s="37" t="n">
        <v>7376.09</v>
      </c>
      <c r="I22" s="18" t="n">
        <v>7377.29</v>
      </c>
      <c r="J22" s="19" t="n">
        <v>8006.54</v>
      </c>
      <c r="K22" s="10" t="n"/>
      <c r="L22" s="10" t="n"/>
      <c r="M22" s="11" t="n"/>
      <c r="N22" s="10" t="n"/>
      <c r="O22" s="10" t="n"/>
      <c r="P22" s="10" t="n"/>
      <c r="Q22" s="10" t="n"/>
      <c r="R22" s="11" t="n"/>
      <c r="S22" s="10" t="n"/>
      <c r="T22" s="10" t="n"/>
      <c r="U22" s="10" t="n"/>
      <c r="V22" s="10" t="n"/>
      <c r="W22" s="11" t="n"/>
    </row>
    <row r="23">
      <c r="A23" t="n">
        <v>1</v>
      </c>
      <c r="C23" t="inlineStr">
        <is>
          <t>이연법인세자산</t>
        </is>
      </c>
      <c r="E23" s="18" t="n">
        <v>13160.88</v>
      </c>
      <c r="H23" s="9" t="n"/>
      <c r="J23" s="5" t="n"/>
      <c r="K23" s="10" t="n"/>
      <c r="L23" s="10" t="n"/>
      <c r="M23" s="11" t="n"/>
      <c r="N23" s="10" t="n"/>
      <c r="O23" s="10" t="n"/>
      <c r="P23" s="10" t="n"/>
      <c r="Q23" s="10" t="n"/>
      <c r="R23" s="11" t="n"/>
      <c r="S23" s="10" t="n"/>
      <c r="T23" s="10" t="n"/>
      <c r="U23" s="10" t="n"/>
      <c r="V23" s="10" t="n"/>
      <c r="W23" s="11" t="n"/>
    </row>
    <row r="24">
      <c r="A24" t="n">
        <v>1</v>
      </c>
      <c r="C24" t="inlineStr">
        <is>
          <t>자산총계</t>
        </is>
      </c>
      <c r="E24" s="18" t="n">
        <v>1212761.49</v>
      </c>
      <c r="F24" s="18" t="n">
        <v>1428862.66</v>
      </c>
      <c r="G24" s="18" t="n">
        <v>1537289.53</v>
      </c>
      <c r="H24" s="37" t="n">
        <v>1537289.53</v>
      </c>
      <c r="I24" s="18" t="n">
        <v>1643398.21</v>
      </c>
      <c r="J24" s="19" t="n">
        <v>1759084.83</v>
      </c>
      <c r="K24" s="10" t="n"/>
      <c r="L24" s="10" t="n"/>
      <c r="M24" s="11" t="n"/>
      <c r="N24" s="10" t="n"/>
      <c r="O24" s="10" t="n"/>
      <c r="P24" s="10" t="n"/>
      <c r="Q24" s="10" t="n"/>
      <c r="R24" s="11" t="n"/>
      <c r="S24" s="10" t="n"/>
      <c r="T24" s="10" t="n"/>
      <c r="U24" s="10" t="n"/>
      <c r="V24" s="10" t="n"/>
      <c r="W24" s="11" t="n"/>
    </row>
    <row r="25">
      <c r="A25" t="n">
        <v>1</v>
      </c>
      <c r="C25" t="inlineStr">
        <is>
          <t>유동부채</t>
        </is>
      </c>
      <c r="E25" s="18" t="n">
        <v>630274.7</v>
      </c>
      <c r="F25" s="18" t="n">
        <v>376058.99</v>
      </c>
      <c r="G25" s="18" t="n">
        <v>410081.13</v>
      </c>
      <c r="H25" s="37" t="n">
        <v>410081.13</v>
      </c>
      <c r="I25" s="18" t="n">
        <v>462138.03</v>
      </c>
      <c r="J25" s="19" t="n">
        <v>509427</v>
      </c>
      <c r="K25" s="10" t="n"/>
      <c r="L25" s="10" t="n"/>
      <c r="M25" s="11" t="n"/>
      <c r="N25" s="10" t="n"/>
      <c r="O25" s="10" t="n"/>
      <c r="P25" s="10" t="n"/>
      <c r="Q25" s="10" t="n"/>
      <c r="R25" s="11" t="n"/>
      <c r="S25" s="10" t="n"/>
      <c r="T25" s="10" t="n"/>
      <c r="U25" s="10" t="n"/>
      <c r="V25" s="10" t="n"/>
      <c r="W25" s="11" t="n"/>
    </row>
    <row r="26">
      <c r="A26" t="n">
        <v>1</v>
      </c>
      <c r="C26" t="inlineStr">
        <is>
          <t>매입채무및기타채무</t>
        </is>
      </c>
      <c r="E26" s="18" t="n">
        <v>103834.76</v>
      </c>
      <c r="F26" s="18" t="n">
        <v>94770.91</v>
      </c>
      <c r="G26" s="18" t="n">
        <v>127151.18</v>
      </c>
      <c r="H26" s="37" t="n">
        <v>127151.18</v>
      </c>
      <c r="I26" s="18" t="n">
        <v>131954.79</v>
      </c>
      <c r="J26" s="19" t="n">
        <v>127776.35</v>
      </c>
      <c r="K26" s="10" t="n"/>
      <c r="L26" s="10" t="n"/>
      <c r="M26" s="11" t="n"/>
      <c r="N26" s="10" t="n"/>
      <c r="O26" s="10" t="n"/>
      <c r="P26" s="10" t="n"/>
      <c r="Q26" s="10" t="n"/>
      <c r="R26" s="11" t="n"/>
      <c r="S26" s="10" t="n"/>
      <c r="T26" s="10" t="n"/>
      <c r="U26" s="10" t="n"/>
      <c r="V26" s="10" t="n"/>
      <c r="W26" s="11" t="n"/>
    </row>
    <row r="27">
      <c r="A27" t="n">
        <v>1</v>
      </c>
      <c r="C27" t="inlineStr">
        <is>
          <t>단기차입금</t>
        </is>
      </c>
      <c r="E27" s="18" t="n">
        <v>187365.85</v>
      </c>
      <c r="F27" s="18" t="n">
        <v>23739.99</v>
      </c>
      <c r="H27" s="9" t="n"/>
      <c r="J27" s="5" t="n"/>
      <c r="K27" s="10" t="n"/>
      <c r="L27" s="10" t="n"/>
      <c r="M27" s="11" t="n"/>
      <c r="N27" s="10" t="n"/>
      <c r="O27" s="10" t="n"/>
      <c r="P27" s="10" t="n"/>
      <c r="Q27" s="10" t="n"/>
      <c r="R27" s="11" t="n"/>
      <c r="S27" s="10" t="n"/>
      <c r="T27" s="10" t="n"/>
      <c r="U27" s="10" t="n"/>
      <c r="V27" s="10" t="n"/>
      <c r="W27" s="11" t="n"/>
    </row>
    <row r="28">
      <c r="A28" t="n">
        <v>1</v>
      </c>
      <c r="C28" t="inlineStr">
        <is>
          <t>단기사채</t>
        </is>
      </c>
      <c r="E28" s="18" t="n">
        <v>20989.41</v>
      </c>
      <c r="H28" s="9" t="n"/>
      <c r="J28" s="5" t="n"/>
      <c r="K28" s="10" t="n"/>
      <c r="L28" s="10" t="n"/>
      <c r="M28" s="11" t="n"/>
      <c r="N28" s="10" t="n"/>
      <c r="O28" s="10" t="n"/>
      <c r="P28" s="10" t="n"/>
      <c r="Q28" s="10" t="n"/>
      <c r="R28" s="11" t="n"/>
      <c r="S28" s="10" t="n"/>
      <c r="T28" s="10" t="n"/>
      <c r="U28" s="10" t="n"/>
      <c r="V28" s="10" t="n"/>
      <c r="W28" s="11" t="n"/>
    </row>
    <row r="29">
      <c r="A29" t="n">
        <v>1</v>
      </c>
      <c r="C29" t="inlineStr">
        <is>
          <t>유동성장기부채</t>
        </is>
      </c>
      <c r="E29" s="18" t="n">
        <v>20000</v>
      </c>
      <c r="H29" s="9" t="n"/>
      <c r="J29" s="5" t="n"/>
      <c r="K29" s="10" t="n"/>
      <c r="L29" s="10" t="n"/>
      <c r="M29" s="11" t="n"/>
      <c r="N29" s="10" t="n"/>
      <c r="O29" s="10" t="n"/>
      <c r="P29" s="10" t="n"/>
      <c r="Q29" s="10" t="n"/>
      <c r="R29" s="11" t="n"/>
      <c r="S29" s="10" t="n"/>
      <c r="T29" s="10" t="n"/>
      <c r="U29" s="10" t="n"/>
      <c r="V29" s="10" t="n"/>
      <c r="W29" s="11" t="n"/>
    </row>
    <row r="30">
      <c r="A30" t="n">
        <v>1</v>
      </c>
      <c r="C30" t="inlineStr">
        <is>
          <t>계약부채</t>
        </is>
      </c>
      <c r="E30" s="18" t="n">
        <v>280517.02</v>
      </c>
      <c r="F30" s="18" t="n">
        <v>230107.11</v>
      </c>
      <c r="G30" s="18" t="n">
        <v>215414.72</v>
      </c>
      <c r="H30" s="37" t="n">
        <v>215414.72</v>
      </c>
      <c r="I30" s="18" t="n">
        <v>210986.68</v>
      </c>
      <c r="J30" s="19" t="n">
        <v>261230.99</v>
      </c>
      <c r="K30" s="10" t="n"/>
      <c r="L30" s="10" t="n"/>
      <c r="M30" s="11" t="n"/>
      <c r="N30" s="10" t="n"/>
      <c r="O30" s="10" t="n"/>
      <c r="P30" s="10" t="n"/>
      <c r="Q30" s="10" t="n"/>
      <c r="R30" s="11" t="n"/>
      <c r="S30" s="10" t="n"/>
      <c r="T30" s="10" t="n"/>
      <c r="U30" s="10" t="n"/>
      <c r="V30" s="10" t="n"/>
      <c r="W30" s="11" t="n"/>
    </row>
    <row r="31">
      <c r="A31" t="n">
        <v>1</v>
      </c>
      <c r="C31" t="inlineStr">
        <is>
          <t>단기충당부채</t>
        </is>
      </c>
      <c r="E31" s="18" t="n">
        <v>2975.68</v>
      </c>
      <c r="F31" s="18" t="n">
        <v>2272.59</v>
      </c>
      <c r="G31" s="18" t="n">
        <v>2168.34</v>
      </c>
      <c r="H31" s="37" t="n">
        <v>2168.34</v>
      </c>
      <c r="I31" s="18" t="n">
        <v>2318.93</v>
      </c>
      <c r="J31" s="19" t="n">
        <v>2385.39</v>
      </c>
      <c r="K31" s="10" t="n"/>
      <c r="L31" s="10" t="n"/>
      <c r="M31" s="11" t="n"/>
      <c r="N31" s="10" t="n"/>
      <c r="O31" s="10" t="n"/>
      <c r="P31" s="10" t="n"/>
      <c r="Q31" s="10" t="n"/>
      <c r="R31" s="11" t="n"/>
      <c r="S31" s="10" t="n"/>
      <c r="T31" s="10" t="n"/>
      <c r="U31" s="10" t="n"/>
      <c r="V31" s="10" t="n"/>
      <c r="W31" s="11" t="n"/>
    </row>
    <row r="32">
      <c r="A32" t="n">
        <v>1</v>
      </c>
      <c r="C32" t="inlineStr">
        <is>
          <t>기타유동부채</t>
        </is>
      </c>
      <c r="E32" s="18" t="n">
        <v>804.11</v>
      </c>
      <c r="F32" s="18" t="n">
        <v>646.2</v>
      </c>
      <c r="G32" s="18" t="n">
        <v>603.21</v>
      </c>
      <c r="H32" s="37" t="n">
        <v>603.21</v>
      </c>
      <c r="I32" s="18" t="n">
        <v>10291.85</v>
      </c>
      <c r="J32" s="19" t="n">
        <v>592.96</v>
      </c>
      <c r="K32" s="10" t="n"/>
      <c r="L32" s="10" t="n"/>
      <c r="M32" s="11" t="n"/>
      <c r="N32" s="10" t="n"/>
      <c r="O32" s="10" t="n"/>
      <c r="P32" s="10" t="n"/>
      <c r="Q32" s="10" t="n"/>
      <c r="R32" s="11" t="n"/>
      <c r="S32" s="10" t="n"/>
      <c r="T32" s="10" t="n"/>
      <c r="U32" s="10" t="n"/>
      <c r="V32" s="10" t="n"/>
      <c r="W32" s="11" t="n"/>
    </row>
    <row r="33">
      <c r="A33" t="n">
        <v>1</v>
      </c>
      <c r="C33" t="inlineStr">
        <is>
          <t>비유동부채</t>
        </is>
      </c>
      <c r="E33" s="18" t="n">
        <v>25057.08</v>
      </c>
      <c r="F33" s="18" t="n">
        <v>34627.97</v>
      </c>
      <c r="G33" s="18" t="n">
        <v>35054.45</v>
      </c>
      <c r="H33" s="37" t="n">
        <v>35054.45</v>
      </c>
      <c r="I33" s="18" t="n">
        <v>47187.81</v>
      </c>
      <c r="J33" s="19" t="n">
        <v>51241.08</v>
      </c>
      <c r="K33" s="10" t="n"/>
      <c r="L33" s="10" t="n"/>
      <c r="M33" s="11" t="n"/>
      <c r="N33" s="10" t="n"/>
      <c r="O33" s="10" t="n"/>
      <c r="P33" s="10" t="n"/>
      <c r="Q33" s="10" t="n"/>
      <c r="R33" s="11" t="n"/>
      <c r="S33" s="10" t="n"/>
      <c r="T33" s="10" t="n"/>
      <c r="U33" s="10" t="n"/>
      <c r="V33" s="10" t="n"/>
      <c r="W33" s="11" t="n"/>
    </row>
    <row r="34">
      <c r="A34" t="n">
        <v>1</v>
      </c>
      <c r="C34" t="inlineStr">
        <is>
          <t>장기매입채무및기타채무</t>
        </is>
      </c>
      <c r="E34" s="18" t="n">
        <v>3743.58</v>
      </c>
      <c r="F34" s="18" t="n">
        <v>4096.32</v>
      </c>
      <c r="G34" s="18" t="n">
        <v>4579.13</v>
      </c>
      <c r="H34" s="37" t="n">
        <v>4579.13</v>
      </c>
      <c r="I34" s="18" t="n">
        <v>4935.5</v>
      </c>
      <c r="J34" s="19" t="n">
        <v>5045.69</v>
      </c>
      <c r="K34" s="10" t="n"/>
      <c r="L34" s="10" t="n"/>
      <c r="M34" s="11" t="n"/>
      <c r="N34" s="10" t="n"/>
      <c r="O34" s="10" t="n"/>
      <c r="P34" s="10" t="n"/>
      <c r="Q34" s="10" t="n"/>
      <c r="R34" s="11" t="n"/>
      <c r="S34" s="10" t="n"/>
      <c r="T34" s="10" t="n"/>
      <c r="U34" s="10" t="n"/>
      <c r="V34" s="10" t="n"/>
      <c r="W34" s="11" t="n"/>
    </row>
    <row r="35">
      <c r="A35" t="n">
        <v>1</v>
      </c>
      <c r="C35" t="inlineStr">
        <is>
          <t>확정급여부채</t>
        </is>
      </c>
      <c r="E35" s="18" t="n">
        <v>12019.49</v>
      </c>
      <c r="F35" s="18" t="n">
        <v>12830.28</v>
      </c>
      <c r="G35" s="18" t="n">
        <v>8453.540000000001</v>
      </c>
      <c r="H35" s="37" t="n">
        <v>8453.540000000001</v>
      </c>
      <c r="I35" s="18" t="n">
        <v>9424.889999999999</v>
      </c>
      <c r="J35" s="19" t="n">
        <v>7873.45</v>
      </c>
      <c r="K35" s="10" t="n"/>
      <c r="L35" s="10" t="n"/>
      <c r="M35" s="11" t="n"/>
      <c r="N35" s="10" t="n"/>
      <c r="O35" s="10" t="n"/>
      <c r="P35" s="10" t="n"/>
      <c r="Q35" s="10" t="n"/>
      <c r="R35" s="11" t="n"/>
      <c r="S35" s="10" t="n"/>
      <c r="T35" s="10" t="n"/>
      <c r="U35" s="10" t="n"/>
      <c r="V35" s="10" t="n"/>
      <c r="W35" s="11" t="n"/>
    </row>
    <row r="36">
      <c r="A36" t="n">
        <v>1</v>
      </c>
      <c r="C36" t="inlineStr">
        <is>
          <t>장기충당부채</t>
        </is>
      </c>
      <c r="E36" s="18" t="n">
        <v>271.02</v>
      </c>
      <c r="F36" s="18" t="n">
        <v>301.78</v>
      </c>
      <c r="G36" s="18" t="n">
        <v>363.1</v>
      </c>
      <c r="H36" s="37" t="n">
        <v>363.1</v>
      </c>
      <c r="I36" s="18" t="n">
        <v>355.88</v>
      </c>
      <c r="J36" s="19" t="n">
        <v>351.76</v>
      </c>
      <c r="K36" s="10" t="n"/>
      <c r="L36" s="10" t="n"/>
      <c r="M36" s="11" t="n"/>
      <c r="N36" s="10" t="n"/>
      <c r="O36" s="10" t="n"/>
      <c r="P36" s="10" t="n"/>
      <c r="Q36" s="10" t="n"/>
      <c r="R36" s="11" t="n"/>
      <c r="S36" s="10" t="n"/>
      <c r="T36" s="10" t="n"/>
      <c r="U36" s="10" t="n"/>
      <c r="V36" s="10" t="n"/>
      <c r="W36" s="11" t="n"/>
    </row>
    <row r="37">
      <c r="A37" t="n">
        <v>1</v>
      </c>
      <c r="C37" t="inlineStr">
        <is>
          <t>부채총계</t>
        </is>
      </c>
      <c r="E37" s="18" t="n">
        <v>655331.78</v>
      </c>
      <c r="F37" s="18" t="n">
        <v>410686.96</v>
      </c>
      <c r="G37" s="18" t="n">
        <v>445135.58</v>
      </c>
      <c r="H37" s="37" t="n">
        <v>445135.58</v>
      </c>
      <c r="I37" s="18" t="n">
        <v>509325.84</v>
      </c>
      <c r="J37" s="19" t="n">
        <v>560668.08</v>
      </c>
      <c r="K37" s="10" t="n"/>
      <c r="L37" s="10" t="n"/>
      <c r="M37" s="11" t="n"/>
      <c r="N37" s="10" t="n"/>
      <c r="O37" s="10" t="n"/>
      <c r="P37" s="10" t="n"/>
      <c r="Q37" s="10" t="n"/>
      <c r="R37" s="11" t="n"/>
      <c r="S37" s="10" t="n"/>
      <c r="T37" s="10" t="n"/>
      <c r="U37" s="10" t="n"/>
      <c r="V37" s="10" t="n"/>
      <c r="W37" s="11" t="n"/>
    </row>
    <row r="38">
      <c r="A38" t="n">
        <v>1</v>
      </c>
      <c r="C38" t="inlineStr">
        <is>
          <t>자본금</t>
        </is>
      </c>
      <c r="E38" s="18" t="n">
        <v>152631.56</v>
      </c>
      <c r="F38" s="18" t="n">
        <v>192631.56</v>
      </c>
      <c r="G38" s="18" t="n">
        <v>192631.56</v>
      </c>
      <c r="H38" s="37" t="n">
        <v>192631.56</v>
      </c>
      <c r="I38" s="18" t="n">
        <v>192631.56</v>
      </c>
      <c r="J38" s="19" t="n">
        <v>192631.56</v>
      </c>
      <c r="K38" s="10" t="n"/>
      <c r="L38" s="10" t="n"/>
      <c r="M38" s="11" t="n"/>
      <c r="N38" s="10" t="n"/>
      <c r="O38" s="10" t="n"/>
      <c r="P38" s="10" t="n"/>
      <c r="Q38" s="10" t="n"/>
      <c r="R38" s="11" t="n"/>
      <c r="S38" s="10" t="n"/>
      <c r="T38" s="10" t="n"/>
      <c r="U38" s="10" t="n"/>
      <c r="V38" s="10" t="n"/>
      <c r="W38" s="11" t="n"/>
    </row>
    <row r="39">
      <c r="A39" t="n">
        <v>1</v>
      </c>
      <c r="C39" t="inlineStr">
        <is>
          <t>자본잉여금</t>
        </is>
      </c>
      <c r="E39" s="18" t="n">
        <v>47947.23</v>
      </c>
      <c r="F39" s="18" t="n">
        <v>402861.42</v>
      </c>
      <c r="G39" s="18" t="n">
        <v>398917.63</v>
      </c>
      <c r="H39" s="37" t="n">
        <v>398917.63</v>
      </c>
      <c r="I39" s="18" t="n">
        <v>398917.63</v>
      </c>
      <c r="J39" s="19" t="n">
        <v>398917.63</v>
      </c>
      <c r="K39" s="10" t="n"/>
      <c r="L39" s="10" t="n"/>
      <c r="M39" s="11" t="n"/>
      <c r="N39" s="10" t="n"/>
      <c r="O39" s="10" t="n"/>
      <c r="P39" s="10" t="n"/>
      <c r="Q39" s="10" t="n"/>
      <c r="R39" s="11" t="n"/>
      <c r="S39" s="10" t="n"/>
      <c r="T39" s="10" t="n"/>
      <c r="U39" s="10" t="n"/>
      <c r="V39" s="10" t="n"/>
      <c r="W39" s="11" t="n"/>
    </row>
    <row r="40">
      <c r="A40" t="n">
        <v>1</v>
      </c>
      <c r="C40" t="inlineStr">
        <is>
          <t>기타포괄이익누계액</t>
        </is>
      </c>
      <c r="E40" s="18" t="n">
        <v>40832.26</v>
      </c>
      <c r="F40" s="18" t="n">
        <v>40813.13</v>
      </c>
      <c r="G40" s="18" t="n">
        <v>40037.22</v>
      </c>
      <c r="H40" s="37" t="n">
        <v>40037.22</v>
      </c>
      <c r="I40" s="18" t="n">
        <v>40059.04</v>
      </c>
      <c r="J40" s="19" t="n">
        <v>40028.56</v>
      </c>
      <c r="K40" s="10" t="n"/>
      <c r="L40" s="10" t="n"/>
      <c r="M40" s="11" t="n"/>
      <c r="N40" s="10" t="n"/>
      <c r="O40" s="10" t="n"/>
      <c r="P40" s="10" t="n"/>
      <c r="Q40" s="10" t="n"/>
      <c r="R40" s="11" t="n"/>
      <c r="S40" s="10" t="n"/>
      <c r="T40" s="10" t="n"/>
      <c r="U40" s="10" t="n"/>
      <c r="V40" s="10" t="n"/>
      <c r="W40" s="11" t="n"/>
    </row>
    <row r="41">
      <c r="A41" t="n">
        <v>1</v>
      </c>
      <c r="C41" t="inlineStr">
        <is>
          <t>이익잉여금</t>
        </is>
      </c>
      <c r="E41" s="18" t="n">
        <v>316018.66</v>
      </c>
      <c r="F41" s="18" t="n">
        <v>381869.6</v>
      </c>
      <c r="G41" s="18" t="n">
        <v>460567.55</v>
      </c>
      <c r="H41" s="37" t="n">
        <v>460567.55</v>
      </c>
      <c r="I41" s="18" t="n">
        <v>528347.16</v>
      </c>
      <c r="J41" s="19" t="n">
        <v>566839</v>
      </c>
      <c r="K41" s="10" t="n"/>
      <c r="L41" s="10" t="n"/>
      <c r="M41" s="11" t="n"/>
      <c r="N41" s="10" t="n"/>
      <c r="O41" s="10" t="n"/>
      <c r="P41" s="10" t="n"/>
      <c r="Q41" s="10" t="n"/>
      <c r="R41" s="11" t="n"/>
      <c r="S41" s="10" t="n"/>
      <c r="T41" s="10" t="n"/>
      <c r="U41" s="10" t="n"/>
      <c r="V41" s="10" t="n"/>
      <c r="W41" s="11" t="n"/>
    </row>
    <row r="42">
      <c r="A42" t="n">
        <v>1</v>
      </c>
      <c r="C42" t="inlineStr">
        <is>
          <t>자본총계</t>
        </is>
      </c>
      <c r="E42" s="18" t="n">
        <v>557429.71</v>
      </c>
      <c r="F42" s="18" t="n">
        <v>1018175.71</v>
      </c>
      <c r="G42" s="18" t="n">
        <v>1092153.95</v>
      </c>
      <c r="H42" s="37" t="n">
        <v>1092153.95</v>
      </c>
      <c r="I42" s="18" t="n">
        <v>1134072.37</v>
      </c>
      <c r="J42" s="19" t="n">
        <v>1198416.75</v>
      </c>
      <c r="K42" s="10" t="n"/>
      <c r="L42" s="10" t="n"/>
      <c r="M42" s="11" t="n"/>
      <c r="N42" s="10" t="n"/>
      <c r="O42" s="10" t="n"/>
      <c r="P42" s="10" t="n"/>
      <c r="Q42" s="10" t="n"/>
      <c r="R42" s="11" t="n"/>
      <c r="S42" s="10" t="n"/>
      <c r="T42" s="10" t="n"/>
      <c r="U42" s="10" t="n"/>
      <c r="V42" s="10" t="n"/>
      <c r="W42" s="11" t="n"/>
    </row>
    <row r="43">
      <c r="A43" t="n">
        <v>1</v>
      </c>
      <c r="C43" t="inlineStr">
        <is>
          <t>부채와자본총계</t>
        </is>
      </c>
      <c r="E43" s="18" t="n">
        <v>1212761.49</v>
      </c>
      <c r="F43" s="18" t="n">
        <v>1428862.66</v>
      </c>
      <c r="G43" s="18" t="n">
        <v>1537289.53</v>
      </c>
      <c r="H43" s="37" t="n">
        <v>1537289.53</v>
      </c>
      <c r="I43" s="18" t="n">
        <v>1643398.21</v>
      </c>
      <c r="J43" s="19" t="n">
        <v>1759084.83</v>
      </c>
      <c r="K43" s="10" t="n"/>
      <c r="L43" s="10" t="n"/>
      <c r="M43" s="11" t="n"/>
      <c r="N43" s="10" t="n"/>
      <c r="O43" s="10" t="n"/>
      <c r="P43" s="10" t="n"/>
      <c r="Q43" s="10" t="n"/>
      <c r="R43" s="11" t="n"/>
      <c r="S43" s="10" t="n"/>
      <c r="T43" s="10" t="n"/>
      <c r="U43" s="10" t="n"/>
      <c r="V43" s="10" t="n"/>
      <c r="W43" s="11" t="n"/>
    </row>
    <row r="44">
      <c r="A44" t="n">
        <v>1</v>
      </c>
      <c r="C44" t="inlineStr">
        <is>
          <t>지배주주지분</t>
        </is>
      </c>
      <c r="E44" s="18" t="n">
        <v>557429.71</v>
      </c>
      <c r="F44" s="18" t="n">
        <v>1018175.71</v>
      </c>
      <c r="G44" s="18" t="n">
        <v>1092153.95</v>
      </c>
      <c r="H44" s="37" t="n">
        <v>1092153.95</v>
      </c>
      <c r="I44" s="18" t="n">
        <v>1134072.37</v>
      </c>
      <c r="J44" s="19" t="n">
        <v>1198416.75</v>
      </c>
      <c r="K44" s="10" t="n"/>
      <c r="L44" s="10" t="n"/>
      <c r="M44" s="11" t="n"/>
      <c r="N44" s="10" t="n"/>
      <c r="O44" s="10" t="n"/>
      <c r="P44" s="10" t="n"/>
      <c r="Q44" s="10" t="n"/>
      <c r="R44" s="11" t="n"/>
      <c r="S44" s="10" t="n"/>
      <c r="T44" s="10" t="n"/>
      <c r="U44" s="10" t="n"/>
      <c r="V44" s="10" t="n"/>
      <c r="W44" s="11" t="n"/>
    </row>
    <row r="45">
      <c r="A45" t="n">
        <v>1</v>
      </c>
      <c r="C45" t="inlineStr">
        <is>
          <t>총차입금</t>
        </is>
      </c>
      <c r="E45" s="18" t="n">
        <v>228355.26</v>
      </c>
      <c r="F45" s="18" t="n">
        <v>23739.99</v>
      </c>
      <c r="H45" s="9" t="n"/>
      <c r="J45" s="5" t="n"/>
      <c r="K45" s="10" t="n"/>
      <c r="L45" s="10" t="n"/>
      <c r="M45" s="11" t="n"/>
      <c r="N45" s="10" t="n"/>
      <c r="O45" s="10" t="n"/>
      <c r="P45" s="10" t="n"/>
      <c r="Q45" s="10" t="n"/>
      <c r="R45" s="11" t="n"/>
      <c r="S45" s="10" t="n"/>
      <c r="T45" s="10" t="n"/>
      <c r="U45" s="10" t="n"/>
      <c r="V45" s="10" t="n"/>
      <c r="W45" s="11" t="n"/>
    </row>
    <row r="46">
      <c r="A46" t="n">
        <v>1</v>
      </c>
      <c r="C46" t="inlineStr">
        <is>
          <t>순차입금</t>
        </is>
      </c>
      <c r="E46" s="18" t="n">
        <v>-149414.65</v>
      </c>
      <c r="F46" s="18" t="n">
        <v>-273062.24</v>
      </c>
      <c r="H46" s="9" t="n"/>
      <c r="J46" s="5" t="n"/>
      <c r="K46" s="10" t="n"/>
      <c r="L46" s="10" t="n"/>
      <c r="M46" s="11" t="n"/>
      <c r="N46" s="10" t="n"/>
      <c r="O46" s="10" t="n"/>
      <c r="P46" s="10" t="n"/>
      <c r="Q46" s="10" t="n"/>
      <c r="R46" s="11" t="n"/>
      <c r="S46" s="10" t="n"/>
      <c r="T46" s="10" t="n"/>
      <c r="U46" s="10" t="n"/>
      <c r="V46" s="10" t="n"/>
      <c r="W46" s="11" t="n"/>
    </row>
    <row r="47">
      <c r="A47" t="n">
        <v>1</v>
      </c>
      <c r="C47" t="inlineStr">
        <is>
          <t>이자발생자산</t>
        </is>
      </c>
      <c r="E47" s="18" t="n">
        <v>377769.91</v>
      </c>
      <c r="F47" s="18" t="n">
        <v>296802.23</v>
      </c>
      <c r="G47" s="18" t="n">
        <v>252704.35</v>
      </c>
      <c r="H47" s="37" t="n">
        <v>252704.35</v>
      </c>
      <c r="I47" s="18" t="n">
        <v>391806.7</v>
      </c>
      <c r="J47" s="19" t="n">
        <v>577550.01</v>
      </c>
      <c r="K47" s="10" t="n"/>
      <c r="L47" s="10" t="n"/>
      <c r="M47" s="11" t="n"/>
      <c r="N47" s="10" t="n"/>
      <c r="O47" s="10" t="n"/>
      <c r="P47" s="10" t="n"/>
      <c r="Q47" s="10" t="n"/>
      <c r="R47" s="11" t="n"/>
      <c r="S47" s="10" t="n"/>
      <c r="T47" s="10" t="n"/>
      <c r="U47" s="10" t="n"/>
      <c r="V47" s="10" t="n"/>
      <c r="W47" s="11" t="n"/>
    </row>
    <row r="48">
      <c r="A48" t="n">
        <v>1</v>
      </c>
      <c r="C48" t="inlineStr">
        <is>
          <t>단기투자자산(공정가치)</t>
        </is>
      </c>
      <c r="F48" s="18" t="n">
        <v>273171.3</v>
      </c>
      <c r="G48" s="18" t="n">
        <v>281830.52</v>
      </c>
      <c r="H48" s="37" t="n">
        <v>281830.52</v>
      </c>
      <c r="I48" s="18" t="n">
        <v>239917.66</v>
      </c>
      <c r="J48" s="19" t="n">
        <v>195467.08</v>
      </c>
      <c r="K48" s="10" t="n"/>
      <c r="L48" s="10" t="n"/>
      <c r="M48" s="11" t="n"/>
      <c r="N48" s="10" t="n"/>
      <c r="O48" s="10" t="n"/>
      <c r="P48" s="10" t="n"/>
      <c r="Q48" s="10" t="n"/>
      <c r="R48" s="11" t="n"/>
      <c r="S48" s="10" t="n"/>
      <c r="T48" s="10" t="n"/>
      <c r="U48" s="10" t="n"/>
      <c r="V48" s="10" t="n"/>
      <c r="W48" s="11" t="n"/>
    </row>
    <row r="49">
      <c r="A49" t="n">
        <v>1</v>
      </c>
      <c r="C49" t="inlineStr">
        <is>
          <t>이연법인세부채</t>
        </is>
      </c>
      <c r="F49" s="18" t="n">
        <v>1813.46</v>
      </c>
      <c r="G49" s="18" t="n">
        <v>7775.4</v>
      </c>
      <c r="H49" s="37" t="n">
        <v>7775.4</v>
      </c>
      <c r="I49" s="18" t="n">
        <v>13688.81</v>
      </c>
      <c r="J49" s="19" t="n">
        <v>14711.02</v>
      </c>
      <c r="K49" s="10" t="n"/>
      <c r="L49" s="10" t="n"/>
      <c r="M49" s="11" t="n"/>
      <c r="N49" s="10" t="n"/>
      <c r="O49" s="10" t="n"/>
      <c r="P49" s="10" t="n"/>
      <c r="Q49" s="10" t="n"/>
      <c r="R49" s="11" t="n"/>
      <c r="S49" s="10" t="n"/>
      <c r="T49" s="10" t="n"/>
      <c r="U49" s="10" t="n"/>
      <c r="V49" s="10" t="n"/>
      <c r="W49" s="11" t="n"/>
    </row>
    <row r="50">
      <c r="A50" t="n">
        <v>1</v>
      </c>
      <c r="C50" t="inlineStr">
        <is>
          <t>장기금융자산</t>
        </is>
      </c>
      <c r="G50" s="18" t="n">
        <v>24625.75</v>
      </c>
      <c r="H50" s="37" t="n">
        <v>24625.75</v>
      </c>
      <c r="I50" s="18" t="n">
        <v>29585.62</v>
      </c>
      <c r="J50" s="19" t="n">
        <v>145505.48</v>
      </c>
      <c r="K50" s="10" t="n"/>
      <c r="L50" s="10" t="n"/>
      <c r="M50" s="11" t="n"/>
      <c r="N50" s="10" t="n"/>
      <c r="O50" s="10" t="n"/>
      <c r="P50" s="10" t="n"/>
      <c r="Q50" s="10" t="n"/>
      <c r="R50" s="11" t="n"/>
      <c r="S50" s="10" t="n"/>
      <c r="T50" s="10" t="n"/>
      <c r="U50" s="10" t="n"/>
      <c r="V50" s="10" t="n"/>
      <c r="W50" s="11" t="n"/>
    </row>
    <row r="51">
      <c r="A51" t="n">
        <v>1</v>
      </c>
      <c r="C51" t="inlineStr">
        <is>
          <t>당기법인세부채(미지급법인세)</t>
        </is>
      </c>
      <c r="G51" s="18" t="n">
        <v>21598.7</v>
      </c>
      <c r="H51" s="37" t="n">
        <v>21598.7</v>
      </c>
      <c r="I51" s="18" t="n">
        <v>32589.31</v>
      </c>
      <c r="J51" s="19" t="n">
        <v>41693.52</v>
      </c>
      <c r="K51" s="10" t="n"/>
      <c r="L51" s="10" t="n"/>
      <c r="M51" s="11" t="n"/>
      <c r="N51" s="10" t="n"/>
      <c r="O51" s="10" t="n"/>
      <c r="P51" s="10" t="n"/>
      <c r="Q51" s="10" t="n"/>
      <c r="R51" s="11" t="n"/>
      <c r="S51" s="10" t="n"/>
      <c r="T51" s="10" t="n"/>
      <c r="U51" s="10" t="n"/>
      <c r="V51" s="10" t="n"/>
      <c r="W51" s="11" t="n"/>
    </row>
    <row r="52">
      <c r="A52" t="n">
        <v>1</v>
      </c>
      <c r="C52" t="inlineStr">
        <is>
          <t>기타자본</t>
        </is>
      </c>
      <c r="H52" s="9" t="n"/>
      <c r="I52" s="18" t="n">
        <v>-25883.02</v>
      </c>
      <c r="J52" s="5" t="n"/>
      <c r="K52" s="10" t="n"/>
      <c r="L52" s="10" t="n"/>
      <c r="M52" s="11" t="n"/>
      <c r="N52" s="10" t="n"/>
      <c r="O52" s="10" t="n"/>
      <c r="P52" s="10" t="n"/>
      <c r="Q52" s="10" t="n"/>
      <c r="R52" s="11" t="n"/>
      <c r="S52" s="10" t="n"/>
      <c r="T52" s="10" t="n"/>
      <c r="U52" s="10" t="n"/>
      <c r="V52" s="10" t="n"/>
      <c r="W52" s="11" t="n"/>
    </row>
    <row r="53">
      <c r="A53" t="n">
        <v>1</v>
      </c>
      <c r="C53" t="inlineStr">
        <is>
          <t>매출액(수익)</t>
        </is>
      </c>
      <c r="E53" s="18" t="n">
        <v>295855.49</v>
      </c>
      <c r="F53" s="18" t="n">
        <v>273782.19</v>
      </c>
      <c r="G53" s="18" t="n">
        <v>350231.29</v>
      </c>
      <c r="H53" s="9" t="n"/>
      <c r="I53" s="18" t="n">
        <v>308112.18</v>
      </c>
      <c r="J53" s="19" t="n">
        <v>354224.11</v>
      </c>
      <c r="K53" s="10" t="n"/>
      <c r="L53" s="10" t="n"/>
      <c r="M53" s="11" t="n"/>
      <c r="N53" s="10" t="n"/>
      <c r="O53" s="10" t="n"/>
      <c r="P53" s="10" t="n"/>
      <c r="Q53" s="10" t="n"/>
      <c r="R53" s="11" t="n"/>
      <c r="S53" s="10" t="n"/>
      <c r="T53" s="10" t="n"/>
      <c r="U53" s="10" t="n"/>
      <c r="V53" s="10" t="n"/>
      <c r="W53" s="11" t="n"/>
    </row>
    <row r="54">
      <c r="A54" t="n">
        <v>1</v>
      </c>
      <c r="C54" t="inlineStr">
        <is>
          <t>매출원가</t>
        </is>
      </c>
      <c r="E54" s="18" t="n">
        <v>226524.93</v>
      </c>
      <c r="F54" s="18" t="n">
        <v>200775.05</v>
      </c>
      <c r="G54" s="18" t="n">
        <v>246130.67</v>
      </c>
      <c r="H54" s="9" t="n"/>
      <c r="I54" s="18" t="n">
        <v>217336.54</v>
      </c>
      <c r="J54" s="19" t="n">
        <v>251362.88</v>
      </c>
      <c r="K54" s="10" t="n"/>
      <c r="L54" s="10" t="n"/>
      <c r="M54" s="11" t="n"/>
      <c r="N54" s="10" t="n"/>
      <c r="O54" s="10" t="n"/>
      <c r="P54" s="10" t="n"/>
      <c r="Q54" s="10" t="n"/>
      <c r="R54" s="11" t="n"/>
      <c r="S54" s="10" t="n"/>
      <c r="T54" s="10" t="n"/>
      <c r="U54" s="10" t="n"/>
      <c r="V54" s="10" t="n"/>
      <c r="W54" s="11" t="n"/>
    </row>
    <row r="55">
      <c r="A55" t="n">
        <v>1</v>
      </c>
      <c r="C55" t="inlineStr">
        <is>
          <t>매출총이익</t>
        </is>
      </c>
      <c r="E55" s="18" t="n">
        <v>69330.56</v>
      </c>
      <c r="F55" s="18" t="n">
        <v>73007.13</v>
      </c>
      <c r="G55" s="18" t="n">
        <v>104100.62</v>
      </c>
      <c r="H55" s="9" t="n"/>
      <c r="I55" s="18" t="n">
        <v>90775.64</v>
      </c>
      <c r="J55" s="19" t="n">
        <v>102861.23</v>
      </c>
      <c r="K55" s="10" t="n"/>
      <c r="L55" s="10" t="n"/>
      <c r="M55" s="11" t="n"/>
      <c r="N55" s="10" t="n"/>
      <c r="O55" s="10" t="n"/>
      <c r="P55" s="10" t="n"/>
      <c r="Q55" s="10" t="n"/>
      <c r="R55" s="11" t="n"/>
      <c r="S55" s="10" t="n"/>
      <c r="T55" s="10" t="n"/>
      <c r="U55" s="10" t="n"/>
      <c r="V55" s="10" t="n"/>
      <c r="W55" s="11" t="n"/>
    </row>
    <row r="56">
      <c r="A56" t="n">
        <v>1</v>
      </c>
      <c r="C56" t="inlineStr">
        <is>
          <t>판관비</t>
        </is>
      </c>
      <c r="E56" s="18" t="n">
        <v>6840.16</v>
      </c>
      <c r="F56" s="18" t="n">
        <v>6508.17</v>
      </c>
      <c r="G56" s="18" t="n">
        <v>8736.780000000001</v>
      </c>
      <c r="H56" s="9" t="n"/>
      <c r="I56" s="18" t="n">
        <v>8107.28</v>
      </c>
      <c r="J56" s="19" t="n">
        <v>7599.27</v>
      </c>
      <c r="K56" s="10" t="n"/>
      <c r="L56" s="10" t="n"/>
      <c r="M56" s="11" t="n"/>
      <c r="N56" s="10" t="n"/>
      <c r="O56" s="10" t="n"/>
      <c r="P56" s="10" t="n"/>
      <c r="Q56" s="10" t="n"/>
      <c r="R56" s="11" t="n"/>
      <c r="S56" s="10" t="n"/>
      <c r="T56" s="10" t="n"/>
      <c r="U56" s="10" t="n"/>
      <c r="V56" s="10" t="n"/>
      <c r="W56" s="11" t="n"/>
    </row>
    <row r="57">
      <c r="A57" t="n">
        <v>1</v>
      </c>
      <c r="C57" t="inlineStr">
        <is>
          <t>영업이익</t>
        </is>
      </c>
      <c r="E57" s="18" t="n">
        <v>62490.4</v>
      </c>
      <c r="F57" s="18" t="n">
        <v>66498.97</v>
      </c>
      <c r="G57" s="18" t="n">
        <v>95363.84</v>
      </c>
      <c r="H57" s="9" t="n"/>
      <c r="I57" s="18" t="n">
        <v>82668.36</v>
      </c>
      <c r="J57" s="19" t="n">
        <v>95261.96000000001</v>
      </c>
      <c r="K57" s="10" t="n"/>
      <c r="L57" s="10" t="n"/>
      <c r="M57" s="11" t="n"/>
      <c r="N57" s="10" t="n"/>
      <c r="O57" s="10" t="n"/>
      <c r="P57" s="10" t="n"/>
      <c r="Q57" s="10" t="n"/>
      <c r="R57" s="11" t="n"/>
      <c r="S57" s="10" t="n"/>
      <c r="T57" s="10" t="n"/>
      <c r="U57" s="10" t="n"/>
      <c r="V57" s="10" t="n"/>
      <c r="W57" s="11" t="n"/>
    </row>
    <row r="58">
      <c r="A58" t="n">
        <v>1</v>
      </c>
      <c r="C58" t="inlineStr">
        <is>
          <t>기타영업외수익</t>
        </is>
      </c>
      <c r="E58" s="18" t="n">
        <v>1771.33</v>
      </c>
      <c r="F58" s="18" t="n">
        <v>5567.67</v>
      </c>
      <c r="G58" s="18" t="n">
        <v>16051.88</v>
      </c>
      <c r="H58" s="9" t="n"/>
      <c r="I58" s="18" t="n">
        <v>70982.95</v>
      </c>
      <c r="J58" s="19" t="n">
        <v>36721.02</v>
      </c>
      <c r="K58" s="10" t="n"/>
      <c r="L58" s="10" t="n"/>
      <c r="M58" s="11" t="n"/>
      <c r="N58" s="10" t="n"/>
      <c r="O58" s="10" t="n"/>
      <c r="P58" s="10" t="n"/>
      <c r="Q58" s="10" t="n"/>
      <c r="R58" s="11" t="n"/>
      <c r="S58" s="10" t="n"/>
      <c r="T58" s="10" t="n"/>
      <c r="U58" s="10" t="n"/>
      <c r="V58" s="10" t="n"/>
      <c r="W58" s="11" t="n"/>
    </row>
    <row r="59">
      <c r="A59" t="n">
        <v>1</v>
      </c>
      <c r="C59" t="inlineStr">
        <is>
          <t>기타영업외비용</t>
        </is>
      </c>
      <c r="E59" s="18" t="n">
        <v>78200.94</v>
      </c>
      <c r="F59" s="18" t="n">
        <v>-37815.7</v>
      </c>
      <c r="G59" s="18" t="n">
        <v>-16900.44</v>
      </c>
      <c r="H59" s="9" t="n"/>
      <c r="I59" s="18" t="n">
        <v>6048.91</v>
      </c>
      <c r="J59" s="19" t="n">
        <v>2988.87</v>
      </c>
      <c r="K59" s="10" t="n"/>
      <c r="L59" s="10" t="n"/>
      <c r="M59" s="11" t="n"/>
      <c r="N59" s="10" t="n"/>
      <c r="O59" s="10" t="n"/>
      <c r="P59" s="10" t="n"/>
      <c r="Q59" s="10" t="n"/>
      <c r="R59" s="11" t="n"/>
      <c r="S59" s="10" t="n"/>
      <c r="T59" s="10" t="n"/>
      <c r="U59" s="10" t="n"/>
      <c r="V59" s="10" t="n"/>
      <c r="W59" s="11" t="n"/>
    </row>
    <row r="60">
      <c r="A60" t="n">
        <v>1</v>
      </c>
      <c r="C60" t="inlineStr">
        <is>
          <t>금융수익</t>
        </is>
      </c>
      <c r="E60" s="18" t="n">
        <v>76865.41</v>
      </c>
      <c r="F60" s="18" t="n">
        <v>-32134.31</v>
      </c>
      <c r="G60" s="18" t="n">
        <v>-15393.43</v>
      </c>
      <c r="H60" s="9" t="n"/>
      <c r="I60" s="18" t="n">
        <v>12175.44</v>
      </c>
      <c r="J60" s="19" t="n">
        <v>8238.07</v>
      </c>
      <c r="K60" s="10" t="n"/>
      <c r="L60" s="10" t="n"/>
      <c r="M60" s="11" t="n"/>
      <c r="N60" s="10" t="n"/>
      <c r="O60" s="10" t="n"/>
      <c r="P60" s="10" t="n"/>
      <c r="Q60" s="10" t="n"/>
      <c r="R60" s="11" t="n"/>
      <c r="S60" s="10" t="n"/>
      <c r="T60" s="10" t="n"/>
      <c r="U60" s="10" t="n"/>
      <c r="V60" s="10" t="n"/>
      <c r="W60" s="11" t="n"/>
    </row>
    <row r="61">
      <c r="A61" t="n">
        <v>1</v>
      </c>
      <c r="C61" t="inlineStr">
        <is>
          <t>금융비용</t>
        </is>
      </c>
      <c r="E61" s="18" t="n">
        <v>9879.639999999999</v>
      </c>
      <c r="F61" s="18" t="n">
        <v>-3082.31</v>
      </c>
      <c r="G61" s="18" t="n">
        <v>6836.07</v>
      </c>
      <c r="H61" s="9" t="n"/>
      <c r="I61" s="18" t="n">
        <v>57803.13</v>
      </c>
      <c r="J61" s="19" t="n">
        <v>33607.24</v>
      </c>
      <c r="K61" s="10" t="n"/>
      <c r="L61" s="10" t="n"/>
      <c r="M61" s="11" t="n"/>
      <c r="N61" s="10" t="n"/>
      <c r="O61" s="10" t="n"/>
      <c r="P61" s="10" t="n"/>
      <c r="Q61" s="10" t="n"/>
      <c r="R61" s="11" t="n"/>
      <c r="S61" s="10" t="n"/>
      <c r="T61" s="10" t="n"/>
      <c r="U61" s="10" t="n"/>
      <c r="V61" s="10" t="n"/>
      <c r="W61" s="11" t="n"/>
    </row>
    <row r="62">
      <c r="A62" t="n">
        <v>1</v>
      </c>
      <c r="C62" t="inlineStr">
        <is>
          <t>법인세비용차감전계속사업이익</t>
        </is>
      </c>
      <c r="E62" s="18" t="n">
        <v>53046.56</v>
      </c>
      <c r="F62" s="18" t="n">
        <v>80830.33</v>
      </c>
      <c r="G62" s="18" t="n">
        <v>106086.65</v>
      </c>
      <c r="H62" s="9" t="n"/>
      <c r="I62" s="18" t="n">
        <v>101974.71</v>
      </c>
      <c r="J62" s="19" t="n">
        <v>103624.94</v>
      </c>
      <c r="K62" s="10" t="n"/>
      <c r="L62" s="10" t="n"/>
      <c r="M62" s="11" t="n"/>
      <c r="N62" s="10" t="n"/>
      <c r="O62" s="10" t="n"/>
      <c r="P62" s="10" t="n"/>
      <c r="Q62" s="10" t="n"/>
      <c r="R62" s="11" t="n"/>
      <c r="S62" s="10" t="n"/>
      <c r="T62" s="10" t="n"/>
      <c r="U62" s="10" t="n"/>
      <c r="V62" s="10" t="n"/>
      <c r="W62" s="11" t="n"/>
    </row>
    <row r="63">
      <c r="A63" t="n">
        <v>1</v>
      </c>
      <c r="C63" t="inlineStr">
        <is>
          <t>법인세비용</t>
        </is>
      </c>
      <c r="E63" s="18" t="n">
        <v>9354.74</v>
      </c>
      <c r="F63" s="18" t="n">
        <v>14979.4</v>
      </c>
      <c r="G63" s="18" t="n">
        <v>27388.7</v>
      </c>
      <c r="H63" s="9" t="n"/>
      <c r="I63" s="18" t="n">
        <v>24563.51</v>
      </c>
      <c r="J63" s="19" t="n">
        <v>25133.14</v>
      </c>
      <c r="K63" s="10" t="n"/>
      <c r="L63" s="10" t="n"/>
      <c r="M63" s="11" t="n"/>
      <c r="N63" s="10" t="n"/>
      <c r="O63" s="10" t="n"/>
      <c r="P63" s="10" t="n"/>
      <c r="Q63" s="10" t="n"/>
      <c r="R63" s="11" t="n"/>
      <c r="S63" s="10" t="n"/>
      <c r="T63" s="10" t="n"/>
      <c r="U63" s="10" t="n"/>
      <c r="V63" s="10" t="n"/>
      <c r="W63" s="11" t="n"/>
    </row>
    <row r="64">
      <c r="A64" t="n">
        <v>1</v>
      </c>
      <c r="C64" t="inlineStr">
        <is>
          <t>당기순이익</t>
        </is>
      </c>
      <c r="E64" s="18" t="n">
        <v>43691.82</v>
      </c>
      <c r="F64" s="18" t="n">
        <v>65850.94</v>
      </c>
      <c r="G64" s="18" t="n">
        <v>78697.94</v>
      </c>
      <c r="H64" s="9" t="n"/>
      <c r="I64" s="18" t="n">
        <v>77411.2</v>
      </c>
      <c r="J64" s="19" t="n">
        <v>78491.8</v>
      </c>
      <c r="K64" s="10" t="n"/>
      <c r="L64" s="10" t="n"/>
      <c r="M64" s="11" t="n"/>
      <c r="N64" s="10" t="n"/>
      <c r="O64" s="10" t="n"/>
      <c r="P64" s="10" t="n"/>
      <c r="Q64" s="10" t="n"/>
      <c r="R64" s="11" t="n"/>
      <c r="S64" s="10" t="n"/>
      <c r="T64" s="10" t="n"/>
      <c r="U64" s="10" t="n"/>
      <c r="V64" s="10" t="n"/>
      <c r="W64" s="11" t="n"/>
    </row>
    <row r="65">
      <c r="A65" t="n">
        <v>1</v>
      </c>
      <c r="C65" t="inlineStr">
        <is>
          <t>금융손익</t>
        </is>
      </c>
      <c r="E65" s="18" t="n">
        <v>66985.77</v>
      </c>
      <c r="F65" s="18" t="n">
        <v>-29052</v>
      </c>
      <c r="G65" s="18" t="n">
        <v>-22229.5</v>
      </c>
      <c r="H65" s="9" t="n"/>
      <c r="I65" s="18" t="n">
        <v>-45627.69</v>
      </c>
      <c r="J65" s="19" t="n">
        <v>-25369.17</v>
      </c>
      <c r="K65" s="10" t="n"/>
      <c r="L65" s="10" t="n"/>
      <c r="M65" s="11" t="n"/>
      <c r="N65" s="10" t="n"/>
      <c r="O65" s="10" t="n"/>
      <c r="P65" s="10" t="n"/>
      <c r="Q65" s="10" t="n"/>
      <c r="R65" s="11" t="n"/>
      <c r="S65" s="10" t="n"/>
      <c r="T65" s="10" t="n"/>
      <c r="U65" s="10" t="n"/>
      <c r="V65" s="10" t="n"/>
      <c r="W65" s="11" t="n"/>
    </row>
    <row r="66">
      <c r="A66" t="n">
        <v>1</v>
      </c>
      <c r="C66" t="inlineStr">
        <is>
          <t>기타영업외손익</t>
        </is>
      </c>
      <c r="E66" s="18" t="n">
        <v>-76429.61</v>
      </c>
      <c r="F66" s="18" t="n">
        <v>43383.37</v>
      </c>
      <c r="G66" s="18" t="n">
        <v>32952.32</v>
      </c>
      <c r="H66" s="9" t="n"/>
      <c r="I66" s="18" t="n">
        <v>64934.04</v>
      </c>
      <c r="J66" s="19" t="n">
        <v>33732.15</v>
      </c>
      <c r="K66" s="10" t="n"/>
      <c r="L66" s="10" t="n"/>
      <c r="M66" s="11" t="n"/>
      <c r="N66" s="10" t="n"/>
      <c r="O66" s="10" t="n"/>
      <c r="P66" s="10" t="n"/>
      <c r="Q66" s="10" t="n"/>
      <c r="R66" s="11" t="n"/>
      <c r="S66" s="10" t="n"/>
      <c r="T66" s="10" t="n"/>
      <c r="U66" s="10" t="n"/>
      <c r="V66" s="10" t="n"/>
      <c r="W66" s="11" t="n"/>
    </row>
    <row r="67">
      <c r="A67" t="n">
        <v>1</v>
      </c>
      <c r="C67" t="inlineStr">
        <is>
          <t>(지배주주지분)당기순이익</t>
        </is>
      </c>
      <c r="E67" s="18" t="n">
        <v>43691.82</v>
      </c>
      <c r="F67" s="18" t="n">
        <v>65850.94</v>
      </c>
      <c r="G67" s="18" t="n">
        <v>78697.94</v>
      </c>
      <c r="H67" s="9" t="n"/>
      <c r="I67" s="18" t="n">
        <v>77411.2</v>
      </c>
      <c r="J67" s="19" t="n">
        <v>78491.8</v>
      </c>
      <c r="K67" s="10" t="n"/>
      <c r="L67" s="10" t="n"/>
      <c r="M67" s="11" t="n"/>
      <c r="N67" s="10" t="n"/>
      <c r="O67" s="10" t="n"/>
      <c r="P67" s="10" t="n"/>
      <c r="Q67" s="10" t="n"/>
      <c r="R67" s="11" t="n"/>
      <c r="S67" s="10" t="n"/>
      <c r="T67" s="10" t="n"/>
      <c r="U67" s="10" t="n"/>
      <c r="V67" s="10" t="n"/>
      <c r="W67" s="11" t="n"/>
    </row>
    <row r="68">
      <c r="A68" t="n">
        <v>1</v>
      </c>
      <c r="C68" t="inlineStr">
        <is>
          <t>계속사업이익</t>
        </is>
      </c>
      <c r="E68" s="18" t="n">
        <v>43691.82</v>
      </c>
      <c r="F68" s="18" t="n">
        <v>65850.94</v>
      </c>
      <c r="G68" s="18" t="n">
        <v>78697.94</v>
      </c>
      <c r="H68" s="9" t="n"/>
      <c r="I68" s="18" t="n">
        <v>77411.2</v>
      </c>
      <c r="J68" s="19" t="n">
        <v>78491.8</v>
      </c>
      <c r="K68" s="10" t="n"/>
      <c r="L68" s="10" t="n"/>
      <c r="M68" s="11" t="n"/>
      <c r="N68" s="10" t="n"/>
      <c r="O68" s="10" t="n"/>
      <c r="P68" s="10" t="n"/>
      <c r="Q68" s="10" t="n"/>
      <c r="R68" s="11" t="n"/>
      <c r="S68" s="10" t="n"/>
      <c r="T68" s="10" t="n"/>
      <c r="U68" s="10" t="n"/>
      <c r="V68" s="10" t="n"/>
      <c r="W68" s="11" t="n"/>
    </row>
    <row r="69">
      <c r="A69" t="n">
        <v>1</v>
      </c>
      <c r="C69" t="inlineStr">
        <is>
          <t>총포괄손익</t>
        </is>
      </c>
      <c r="E69" s="18" t="n">
        <v>43690.03</v>
      </c>
      <c r="F69" s="18" t="n">
        <v>65831.81</v>
      </c>
      <c r="G69" s="18" t="n">
        <v>77922.03</v>
      </c>
      <c r="H69" s="9" t="n"/>
      <c r="I69" s="18" t="n">
        <v>77433.02</v>
      </c>
      <c r="J69" s="19" t="n">
        <v>78461.32000000001</v>
      </c>
      <c r="K69" s="10" t="n"/>
      <c r="L69" s="10" t="n"/>
      <c r="M69" s="11" t="n"/>
      <c r="N69" s="10" t="n"/>
      <c r="O69" s="10" t="n"/>
      <c r="P69" s="10" t="n"/>
      <c r="Q69" s="10" t="n"/>
      <c r="R69" s="11" t="n"/>
      <c r="S69" s="10" t="n"/>
      <c r="T69" s="10" t="n"/>
      <c r="U69" s="10" t="n"/>
      <c r="V69" s="10" t="n"/>
      <c r="W69" s="11" t="n"/>
    </row>
    <row r="70">
      <c r="A70" t="n">
        <v>1</v>
      </c>
      <c r="C70" t="inlineStr">
        <is>
          <t>영업활동으로인한현금흐름</t>
        </is>
      </c>
      <c r="E70" s="18" t="n">
        <v>42580.47</v>
      </c>
      <c r="F70" s="18" t="n">
        <v>-1011.08</v>
      </c>
      <c r="G70" s="18" t="n">
        <v>-13146.8</v>
      </c>
      <c r="H70" s="9" t="n"/>
      <c r="I70" s="18" t="n">
        <v>118456.02</v>
      </c>
      <c r="J70" s="19" t="n">
        <v>169098.03</v>
      </c>
      <c r="K70" s="10" t="n"/>
      <c r="L70" s="10" t="n"/>
      <c r="M70" s="11" t="n"/>
      <c r="N70" s="10" t="n"/>
      <c r="O70" s="10" t="n"/>
      <c r="P70" s="10" t="n"/>
      <c r="Q70" s="10" t="n"/>
      <c r="R70" s="11" t="n"/>
      <c r="S70" s="10" t="n"/>
      <c r="T70" s="10" t="n"/>
      <c r="U70" s="10" t="n"/>
      <c r="V70" s="10" t="n"/>
      <c r="W70" s="11" t="n"/>
    </row>
    <row r="71">
      <c r="A71" t="n">
        <v>1</v>
      </c>
      <c r="C71" t="inlineStr">
        <is>
          <t>이자수취(CF)</t>
        </is>
      </c>
      <c r="E71" s="18" t="n">
        <v>2258.45</v>
      </c>
      <c r="F71" s="18" t="n">
        <v>1866.47</v>
      </c>
      <c r="G71" s="18" t="n">
        <v>1454.39</v>
      </c>
      <c r="H71" s="9" t="n"/>
      <c r="I71" s="18" t="n">
        <v>1669.94</v>
      </c>
      <c r="J71" s="19" t="n">
        <v>1721.32</v>
      </c>
      <c r="K71" s="10" t="n"/>
      <c r="L71" s="10" t="n"/>
      <c r="M71" s="11" t="n"/>
      <c r="N71" s="10" t="n"/>
      <c r="O71" s="10" t="n"/>
      <c r="P71" s="10" t="n"/>
      <c r="Q71" s="10" t="n"/>
      <c r="R71" s="11" t="n"/>
      <c r="S71" s="10" t="n"/>
      <c r="T71" s="10" t="n"/>
      <c r="U71" s="10" t="n"/>
      <c r="V71" s="10" t="n"/>
      <c r="W71" s="11" t="n"/>
    </row>
    <row r="72">
      <c r="A72" t="n">
        <v>1</v>
      </c>
      <c r="C72" t="inlineStr">
        <is>
          <t>이자지급(CF)</t>
        </is>
      </c>
      <c r="E72" s="18" t="n">
        <v>-4172.35</v>
      </c>
      <c r="F72" s="18" t="n">
        <v>-2978.26</v>
      </c>
      <c r="G72" s="18" t="n">
        <v>-202.05</v>
      </c>
      <c r="H72" s="9" t="n"/>
      <c r="I72" s="18" t="n">
        <v>-6.35</v>
      </c>
      <c r="J72" s="19" t="n">
        <v>-5.8</v>
      </c>
      <c r="K72" s="10" t="n"/>
      <c r="L72" s="10" t="n"/>
      <c r="M72" s="11" t="n"/>
      <c r="N72" s="10" t="n"/>
      <c r="O72" s="10" t="n"/>
      <c r="P72" s="10" t="n"/>
      <c r="Q72" s="10" t="n"/>
      <c r="R72" s="11" t="n"/>
      <c r="S72" s="10" t="n"/>
      <c r="T72" s="10" t="n"/>
      <c r="U72" s="10" t="n"/>
      <c r="V72" s="10" t="n"/>
      <c r="W72" s="11" t="n"/>
    </row>
    <row r="73">
      <c r="A73" t="n">
        <v>1</v>
      </c>
      <c r="C73" t="inlineStr">
        <is>
          <t>법인세납부(CF)</t>
        </is>
      </c>
      <c r="E73" s="18" t="n">
        <v>-3007.12</v>
      </c>
      <c r="F73" s="18" t="n">
        <v>-2288.95</v>
      </c>
      <c r="G73" s="18" t="n">
        <v>-503.47</v>
      </c>
      <c r="H73" s="9" t="n"/>
      <c r="I73" s="18" t="n">
        <v>-7573.92</v>
      </c>
      <c r="J73" s="19" t="n">
        <v>-15296.48</v>
      </c>
      <c r="K73" s="10" t="n"/>
      <c r="L73" s="10" t="n"/>
      <c r="M73" s="11" t="n"/>
      <c r="N73" s="10" t="n"/>
      <c r="O73" s="10" t="n"/>
      <c r="P73" s="10" t="n"/>
      <c r="Q73" s="10" t="n"/>
      <c r="R73" s="11" t="n"/>
      <c r="S73" s="10" t="n"/>
      <c r="T73" s="10" t="n"/>
      <c r="U73" s="10" t="n"/>
      <c r="V73" s="10" t="n"/>
      <c r="W73" s="11" t="n"/>
    </row>
    <row r="74">
      <c r="A74" t="n">
        <v>1</v>
      </c>
      <c r="C74" t="inlineStr">
        <is>
          <t>투자활동으로인한현금흐름</t>
        </is>
      </c>
      <c r="E74" s="18" t="n">
        <v>6026.22</v>
      </c>
      <c r="F74" s="18" t="n">
        <v>-273488.48</v>
      </c>
      <c r="G74" s="18" t="n">
        <v>-47303.91</v>
      </c>
      <c r="H74" s="9" t="n"/>
      <c r="I74" s="18" t="n">
        <v>-24329.67</v>
      </c>
      <c r="J74" s="19" t="n">
        <v>-114458.55</v>
      </c>
      <c r="K74" s="10" t="n"/>
      <c r="L74" s="10" t="n"/>
      <c r="M74" s="11" t="n"/>
      <c r="N74" s="10" t="n"/>
      <c r="O74" s="10" t="n"/>
      <c r="P74" s="10" t="n"/>
      <c r="Q74" s="10" t="n"/>
      <c r="R74" s="11" t="n"/>
      <c r="S74" s="10" t="n"/>
      <c r="T74" s="10" t="n"/>
      <c r="U74" s="10" t="n"/>
      <c r="V74" s="10" t="n"/>
      <c r="W74" s="11" t="n"/>
    </row>
    <row r="75">
      <c r="A75" t="n">
        <v>1</v>
      </c>
      <c r="C75" t="inlineStr">
        <is>
          <t>유형자산의감소</t>
        </is>
      </c>
      <c r="E75" s="18" t="n">
        <v>0</v>
      </c>
      <c r="F75" s="18" t="n">
        <v>11.18</v>
      </c>
      <c r="G75" s="18" t="n">
        <v>138.43</v>
      </c>
      <c r="H75" s="9" t="n"/>
      <c r="I75" s="18" t="n">
        <v>120</v>
      </c>
      <c r="J75" s="19" t="n">
        <v>6.94</v>
      </c>
      <c r="K75" s="10" t="n"/>
      <c r="L75" s="10" t="n"/>
      <c r="M75" s="11" t="n"/>
      <c r="N75" s="10" t="n"/>
      <c r="O75" s="10" t="n"/>
      <c r="P75" s="10" t="n"/>
      <c r="Q75" s="10" t="n"/>
      <c r="R75" s="11" t="n"/>
      <c r="S75" s="10" t="n"/>
      <c r="T75" s="10" t="n"/>
      <c r="U75" s="10" t="n"/>
      <c r="V75" s="10" t="n"/>
      <c r="W75" s="11" t="n"/>
    </row>
    <row r="76">
      <c r="A76" t="n">
        <v>1</v>
      </c>
      <c r="C76" t="inlineStr">
        <is>
          <t>유형자산의증가</t>
        </is>
      </c>
      <c r="E76" s="18" t="n">
        <v>2749.83</v>
      </c>
      <c r="F76" s="18" t="n">
        <v>3523.48</v>
      </c>
      <c r="G76" s="18" t="n">
        <v>1817.18</v>
      </c>
      <c r="H76" s="9" t="n"/>
      <c r="I76" s="18" t="n">
        <v>1575.39</v>
      </c>
      <c r="J76" s="19" t="n">
        <v>5366.63</v>
      </c>
      <c r="K76" s="10" t="n"/>
      <c r="L76" s="10" t="n"/>
      <c r="M76" s="11" t="n"/>
      <c r="N76" s="10" t="n"/>
      <c r="O76" s="10" t="n"/>
      <c r="P76" s="10" t="n"/>
      <c r="Q76" s="10" t="n"/>
      <c r="R76" s="11" t="n"/>
      <c r="S76" s="10" t="n"/>
      <c r="T76" s="10" t="n"/>
      <c r="U76" s="10" t="n"/>
      <c r="V76" s="10" t="n"/>
      <c r="W76" s="11" t="n"/>
    </row>
    <row r="77">
      <c r="A77" t="n">
        <v>1</v>
      </c>
      <c r="C77" t="inlineStr">
        <is>
          <t>CAPEX</t>
        </is>
      </c>
      <c r="E77" s="18" t="n">
        <v>2749.83</v>
      </c>
      <c r="F77" s="18" t="n">
        <v>3530.98</v>
      </c>
      <c r="G77" s="18" t="n">
        <v>1992.18</v>
      </c>
      <c r="H77" s="9" t="n"/>
      <c r="I77" s="18" t="n">
        <v>1579.55</v>
      </c>
      <c r="J77" s="19" t="n">
        <v>6189.03</v>
      </c>
      <c r="K77" s="10" t="n"/>
      <c r="L77" s="10" t="n"/>
      <c r="M77" s="11" t="n"/>
      <c r="N77" s="10" t="n"/>
      <c r="O77" s="10" t="n"/>
      <c r="P77" s="10" t="n"/>
      <c r="Q77" s="10" t="n"/>
      <c r="R77" s="11" t="n"/>
      <c r="S77" s="10" t="n"/>
      <c r="T77" s="10" t="n"/>
      <c r="U77" s="10" t="n"/>
      <c r="V77" s="10" t="n"/>
      <c r="W77" s="11" t="n"/>
    </row>
    <row r="78">
      <c r="A78" t="n">
        <v>1</v>
      </c>
      <c r="C78" t="inlineStr">
        <is>
          <t>무형자산의증가</t>
        </is>
      </c>
      <c r="E78" s="18" t="n">
        <v>0</v>
      </c>
      <c r="F78" s="18" t="n">
        <v>7.5</v>
      </c>
      <c r="G78" s="18" t="n">
        <v>175</v>
      </c>
      <c r="H78" s="9" t="n"/>
      <c r="I78" s="18" t="n">
        <v>4.16</v>
      </c>
      <c r="J78" s="19" t="n">
        <v>822.4</v>
      </c>
      <c r="K78" s="10" t="n"/>
      <c r="L78" s="10" t="n"/>
      <c r="M78" s="11" t="n"/>
      <c r="N78" s="10" t="n"/>
      <c r="O78" s="10" t="n"/>
      <c r="P78" s="10" t="n"/>
      <c r="Q78" s="10" t="n"/>
      <c r="R78" s="11" t="n"/>
      <c r="S78" s="10" t="n"/>
      <c r="T78" s="10" t="n"/>
      <c r="U78" s="10" t="n"/>
      <c r="V78" s="10" t="n"/>
      <c r="W78" s="11" t="n"/>
    </row>
    <row r="79">
      <c r="A79" t="n">
        <v>1</v>
      </c>
      <c r="C79" t="inlineStr">
        <is>
          <t>재무활동으로인한현금흐름</t>
        </is>
      </c>
      <c r="E79" s="18" t="n">
        <v>-35478.63</v>
      </c>
      <c r="F79" s="18" t="n">
        <v>188321.79</v>
      </c>
      <c r="G79" s="18" t="n">
        <v>-23696.36</v>
      </c>
      <c r="H79" s="9" t="n"/>
      <c r="I79" s="18" t="n">
        <v>-25927.93</v>
      </c>
      <c r="J79" s="19" t="n">
        <v>-23790.57</v>
      </c>
      <c r="K79" s="10" t="n"/>
      <c r="L79" s="10" t="n"/>
      <c r="M79" s="11" t="n"/>
      <c r="N79" s="10" t="n"/>
      <c r="O79" s="10" t="n"/>
      <c r="P79" s="10" t="n"/>
      <c r="Q79" s="10" t="n"/>
      <c r="R79" s="11" t="n"/>
      <c r="S79" s="10" t="n"/>
      <c r="T79" s="10" t="n"/>
      <c r="U79" s="10" t="n"/>
      <c r="V79" s="10" t="n"/>
      <c r="W79" s="11" t="n"/>
    </row>
    <row r="80">
      <c r="A80" t="n">
        <v>1</v>
      </c>
      <c r="C80" t="inlineStr">
        <is>
          <t>단기차입금의증가</t>
        </is>
      </c>
      <c r="E80" s="18" t="n">
        <v>126468.73</v>
      </c>
      <c r="F80" s="18" t="n">
        <v>69339.03</v>
      </c>
      <c r="G80" s="18" t="n">
        <v>20859.87</v>
      </c>
      <c r="H80" s="9" t="n"/>
      <c r="I80" s="18" t="n">
        <v>58.26</v>
      </c>
      <c r="J80" s="19" t="n">
        <v>0</v>
      </c>
      <c r="K80" s="10" t="n"/>
      <c r="L80" s="10" t="n"/>
      <c r="M80" s="11" t="n"/>
      <c r="N80" s="10" t="n"/>
      <c r="O80" s="10" t="n"/>
      <c r="P80" s="10" t="n"/>
      <c r="Q80" s="10" t="n"/>
      <c r="R80" s="11" t="n"/>
      <c r="S80" s="10" t="n"/>
      <c r="T80" s="10" t="n"/>
      <c r="U80" s="10" t="n"/>
      <c r="V80" s="10" t="n"/>
      <c r="W80" s="11" t="n"/>
    </row>
    <row r="81">
      <c r="A81" t="n">
        <v>1</v>
      </c>
      <c r="C81" t="inlineStr">
        <is>
          <t>단기차입금의감소</t>
        </is>
      </c>
      <c r="E81" s="18" t="n">
        <v>161905.38</v>
      </c>
      <c r="F81" s="18" t="n">
        <v>234849.35</v>
      </c>
      <c r="G81" s="18" t="n">
        <v>44512.19</v>
      </c>
      <c r="H81" s="9" t="n"/>
      <c r="I81" s="18" t="n">
        <v>58.26</v>
      </c>
      <c r="J81" s="19" t="n">
        <v>0</v>
      </c>
      <c r="K81" s="10" t="n"/>
      <c r="L81" s="10" t="n"/>
      <c r="M81" s="11" t="n"/>
      <c r="N81" s="10" t="n"/>
      <c r="O81" s="10" t="n"/>
      <c r="P81" s="10" t="n"/>
      <c r="Q81" s="10" t="n"/>
      <c r="R81" s="11" t="n"/>
      <c r="S81" s="10" t="n"/>
      <c r="T81" s="10" t="n"/>
      <c r="U81" s="10" t="n"/>
      <c r="V81" s="10" t="n"/>
      <c r="W81" s="11" t="n"/>
    </row>
    <row r="82">
      <c r="A82" t="n">
        <v>1</v>
      </c>
      <c r="C82" t="inlineStr">
        <is>
          <t>리스부채의상환</t>
        </is>
      </c>
      <c r="E82" s="18" t="n">
        <v>41.98</v>
      </c>
      <c r="F82" s="18" t="n">
        <v>82.08</v>
      </c>
      <c r="G82" s="18" t="n">
        <v>44.04</v>
      </c>
      <c r="H82" s="9" t="n"/>
      <c r="I82" s="18" t="n">
        <v>44.91</v>
      </c>
      <c r="J82" s="19" t="n">
        <v>42.05</v>
      </c>
      <c r="K82" s="10" t="n"/>
      <c r="L82" s="10" t="n"/>
      <c r="M82" s="11" t="n"/>
      <c r="N82" s="10" t="n"/>
      <c r="O82" s="10" t="n"/>
      <c r="P82" s="10" t="n"/>
      <c r="Q82" s="10" t="n"/>
      <c r="R82" s="11" t="n"/>
      <c r="S82" s="10" t="n"/>
      <c r="T82" s="10" t="n"/>
      <c r="U82" s="10" t="n"/>
      <c r="V82" s="10" t="n"/>
      <c r="W82" s="11" t="n"/>
    </row>
    <row r="83">
      <c r="A83" t="n">
        <v>1</v>
      </c>
      <c r="C83" t="inlineStr">
        <is>
          <t>현금및현금성자산의증감</t>
        </is>
      </c>
      <c r="E83" s="18" t="n">
        <v>651.25</v>
      </c>
      <c r="F83" s="18" t="n">
        <v>-79479.17999999999</v>
      </c>
      <c r="G83" s="18" t="n">
        <v>-81623.12</v>
      </c>
      <c r="H83" s="9" t="n"/>
      <c r="I83" s="18" t="n">
        <v>74764.46000000001</v>
      </c>
      <c r="J83" s="19" t="n">
        <v>33333.68</v>
      </c>
      <c r="K83" s="10" t="n"/>
      <c r="L83" s="10" t="n"/>
      <c r="M83" s="11" t="n"/>
      <c r="N83" s="10" t="n"/>
      <c r="O83" s="10" t="n"/>
      <c r="P83" s="10" t="n"/>
      <c r="Q83" s="10" t="n"/>
      <c r="R83" s="11" t="n"/>
      <c r="S83" s="10" t="n"/>
      <c r="T83" s="10" t="n"/>
      <c r="U83" s="10" t="n"/>
      <c r="V83" s="10" t="n"/>
      <c r="W83" s="11" t="n"/>
    </row>
    <row r="84">
      <c r="A84" t="n">
        <v>1</v>
      </c>
      <c r="C84" t="inlineStr">
        <is>
          <t>기말현금및현금성자산</t>
        </is>
      </c>
      <c r="E84" s="18" t="n">
        <v>651.25</v>
      </c>
      <c r="F84" s="18" t="n">
        <v>-79479.17999999999</v>
      </c>
      <c r="G84" s="18" t="n">
        <v>-81623.12</v>
      </c>
      <c r="H84" s="9" t="n"/>
      <c r="I84" s="18" t="n">
        <v>289943.57</v>
      </c>
      <c r="J84" s="19" t="n">
        <v>33333.67</v>
      </c>
      <c r="K84" s="10" t="n"/>
      <c r="L84" s="10" t="n"/>
      <c r="M84" s="11" t="n"/>
      <c r="N84" s="10" t="n"/>
      <c r="O84" s="10" t="n"/>
      <c r="P84" s="10" t="n"/>
      <c r="Q84" s="10" t="n"/>
      <c r="R84" s="11" t="n"/>
      <c r="S84" s="10" t="n"/>
      <c r="T84" s="10" t="n"/>
      <c r="U84" s="10" t="n"/>
      <c r="V84" s="10" t="n"/>
      <c r="W84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2Q25</t>
        </is>
      </c>
      <c r="F1" s="3" t="inlineStr">
        <is>
          <t>3Q25</t>
        </is>
      </c>
      <c r="G1" s="3" t="inlineStr">
        <is>
          <t>4Q25</t>
        </is>
      </c>
      <c r="H1" s="3" t="n">
        <v>2025</v>
      </c>
      <c r="I1" s="3" t="inlineStr">
        <is>
          <t>1Q26</t>
        </is>
      </c>
      <c r="J1" s="4" t="inlineStr">
        <is>
          <t>2Q26</t>
        </is>
      </c>
      <c r="K1" s="3" t="inlineStr">
        <is>
          <t>3Q26</t>
        </is>
      </c>
      <c r="L1" s="3" t="inlineStr">
        <is>
          <t>4Q26</t>
        </is>
      </c>
      <c r="M1" s="3" t="n">
        <v>2026</v>
      </c>
      <c r="N1" s="3" t="inlineStr">
        <is>
          <t>1Q27</t>
        </is>
      </c>
      <c r="O1" s="3" t="inlineStr">
        <is>
          <t>2Q27</t>
        </is>
      </c>
      <c r="P1" s="3" t="inlineStr">
        <is>
          <t>3Q27</t>
        </is>
      </c>
      <c r="Q1" s="3" t="inlineStr">
        <is>
          <t>4Q27</t>
        </is>
      </c>
      <c r="R1" s="3" t="n">
        <v>2027</v>
      </c>
      <c r="S1" s="3" t="inlineStr">
        <is>
          <t>1Q28</t>
        </is>
      </c>
      <c r="T1" s="3" t="inlineStr">
        <is>
          <t>2Q28</t>
        </is>
      </c>
      <c r="U1" s="3" t="inlineStr">
        <is>
          <t>3Q28</t>
        </is>
      </c>
      <c r="V1" s="3" t="inlineStr">
        <is>
          <t>4Q28</t>
        </is>
      </c>
      <c r="W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J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6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</row>
    <row r="4">
      <c r="E4" s="7" t="inlineStr">
        <is>
          <t>2025.06</t>
        </is>
      </c>
      <c r="F4" s="7" t="inlineStr">
        <is>
          <t>2025.09</t>
        </is>
      </c>
      <c r="G4" s="7" t="inlineStr">
        <is>
          <t>2025.12</t>
        </is>
      </c>
      <c r="H4" s="7" t="inlineStr">
        <is>
          <t>2025.12A</t>
        </is>
      </c>
      <c r="I4" s="7" t="inlineStr">
        <is>
          <t>2026.03</t>
        </is>
      </c>
      <c r="J4" s="8" t="inlineStr">
        <is>
          <t>2026.06</t>
        </is>
      </c>
      <c r="K4" s="7" t="inlineStr">
        <is>
          <t>2026.09</t>
        </is>
      </c>
      <c r="L4" s="7" t="inlineStr">
        <is>
          <t>2026.12</t>
        </is>
      </c>
      <c r="M4" s="7" t="inlineStr">
        <is>
          <t>2026.12A</t>
        </is>
      </c>
      <c r="N4" s="7" t="inlineStr">
        <is>
          <t>2027.03</t>
        </is>
      </c>
      <c r="O4" s="7" t="inlineStr">
        <is>
          <t>2027.06</t>
        </is>
      </c>
      <c r="P4" s="7" t="inlineStr">
        <is>
          <t>2027.09</t>
        </is>
      </c>
      <c r="Q4" s="7" t="inlineStr">
        <is>
          <t>2027.12</t>
        </is>
      </c>
      <c r="R4" s="7" t="inlineStr">
        <is>
          <t>2027.12A</t>
        </is>
      </c>
      <c r="S4" s="7" t="inlineStr">
        <is>
          <t>2028.03</t>
        </is>
      </c>
      <c r="T4" s="7" t="inlineStr">
        <is>
          <t>2028.06</t>
        </is>
      </c>
      <c r="U4" s="7" t="inlineStr">
        <is>
          <t>2028.09</t>
        </is>
      </c>
      <c r="V4" s="7" t="inlineStr">
        <is>
          <t>2028.12</t>
        </is>
      </c>
      <c r="W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18">
        <f>IFERROR(VLOOKUP($D5,BS연결,MATCH(F$1,BS연결H,0),0)/100,"")</f>
        <v/>
      </c>
      <c r="G5" s="18">
        <f>IFERROR(VLOOKUP($D5,BS연결,MATCH(G$1,BS연결H,0),0)/100,"")</f>
        <v/>
      </c>
      <c r="H5" s="37" t="n"/>
      <c r="I5" s="18">
        <f>IFERROR(VLOOKUP($D5,BS연결,MATCH(I$1,BS연결H,0),0)/100,"")</f>
        <v/>
      </c>
      <c r="J5" s="19">
        <f>IFERROR(VLOOKUP($D5,BS연결,MATCH(J$1,BS연결H,0),0)/100,"")</f>
        <v/>
      </c>
      <c r="K5" s="20">
        <f>IFERROR(K38+K42,"")</f>
        <v/>
      </c>
      <c r="L5" s="20">
        <f>IFERROR(L38+L42,"")</f>
        <v/>
      </c>
      <c r="M5" s="38">
        <f>SUM(I5:L5)</f>
        <v/>
      </c>
      <c r="N5" s="20">
        <f>IFERROR(N38+N42,"")</f>
        <v/>
      </c>
      <c r="O5" s="20">
        <f>IFERROR(O38+O42,"")</f>
        <v/>
      </c>
      <c r="P5" s="20">
        <f>IFERROR(P38+P42,"")</f>
        <v/>
      </c>
      <c r="Q5" s="20">
        <f>IFERROR(Q38+Q42,"")</f>
        <v/>
      </c>
      <c r="R5" s="38">
        <f>SUM(N5:Q5)</f>
        <v/>
      </c>
      <c r="S5" s="20">
        <f>IFERROR(S38+S42,"")</f>
        <v/>
      </c>
      <c r="T5" s="20">
        <f>IFERROR(T38+T42,"")</f>
        <v/>
      </c>
      <c r="U5" s="20">
        <f>IFERROR(U38+U42,"")</f>
        <v/>
      </c>
      <c r="V5" s="20">
        <f>IFERROR(V38+V42,"")</f>
        <v/>
      </c>
      <c r="W5" s="38">
        <f>SUM(S5:V5)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18">
        <f>IFERROR(VLOOKUP($D6,BS연결,MATCH(F$1,BS연결H,0),0)/100,"")</f>
        <v/>
      </c>
      <c r="G6" s="18">
        <f>IFERROR(VLOOKUP($D6,BS연결,MATCH(G$1,BS연결H,0),0)/100,"")</f>
        <v/>
      </c>
      <c r="H6" s="37" t="n"/>
      <c r="I6" s="18">
        <f>IFERROR(VLOOKUP($D6,BS연결,MATCH(I$1,BS연결H,0),0)/100,"")</f>
        <v/>
      </c>
      <c r="J6" s="19">
        <f>IFERROR(VLOOKUP($D6,BS연결,MATCH(J$1,BS연결H,0),0)/100,"")</f>
        <v/>
      </c>
      <c r="K6" s="20">
        <f>IFERROR(K5-K7,"")</f>
        <v/>
      </c>
      <c r="L6" s="20">
        <f>IFERROR(L5-L7,"")</f>
        <v/>
      </c>
      <c r="M6" s="38">
        <f>SUM(I6:L6)</f>
        <v/>
      </c>
      <c r="N6" s="20">
        <f>IFERROR(N5-N7,"")</f>
        <v/>
      </c>
      <c r="O6" s="20">
        <f>IFERROR(O5-O7,"")</f>
        <v/>
      </c>
      <c r="P6" s="20">
        <f>IFERROR(P5-P7,"")</f>
        <v/>
      </c>
      <c r="Q6" s="20">
        <f>IFERROR(Q5-Q7,"")</f>
        <v/>
      </c>
      <c r="R6" s="38">
        <f>SUM(N6:Q6)</f>
        <v/>
      </c>
      <c r="S6" s="20">
        <f>IFERROR(S5-S7,"")</f>
        <v/>
      </c>
      <c r="T6" s="20">
        <f>IFERROR(T5-T7,"")</f>
        <v/>
      </c>
      <c r="U6" s="20">
        <f>IFERROR(U5-U7,"")</f>
        <v/>
      </c>
      <c r="V6" s="20">
        <f>IFERROR(V5-V7,"")</f>
        <v/>
      </c>
      <c r="W6" s="38">
        <f>SUM(S6:V6)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18">
        <f>IFERROR(VLOOKUP($D7,BS연결,MATCH(F$1,BS연결H,0),0)/100,"")</f>
        <v/>
      </c>
      <c r="G7" s="18">
        <f>IFERROR(VLOOKUP($D7,BS연결,MATCH(G$1,BS연결H,0),0)/100,"")</f>
        <v/>
      </c>
      <c r="H7" s="37" t="n"/>
      <c r="I7" s="18">
        <f>IFERROR(VLOOKUP($D7,BS연결,MATCH(I$1,BS연결H,0),0)/100,"")</f>
        <v/>
      </c>
      <c r="J7" s="19">
        <f>IFERROR(VLOOKUP($D7,BS연결,MATCH(J$1,BS연결H,0),0)/100,"")</f>
        <v/>
      </c>
      <c r="K7" s="20">
        <f>IFERROR(K9+K8,"")</f>
        <v/>
      </c>
      <c r="L7" s="20">
        <f>IFERROR(L9+L8,"")</f>
        <v/>
      </c>
      <c r="M7" s="38">
        <f>SUM(I7:L7)</f>
        <v/>
      </c>
      <c r="N7" s="20">
        <f>IFERROR(N9+N8,"")</f>
        <v/>
      </c>
      <c r="O7" s="20">
        <f>IFERROR(O9+O8,"")</f>
        <v/>
      </c>
      <c r="P7" s="20">
        <f>IFERROR(P9+P8,"")</f>
        <v/>
      </c>
      <c r="Q7" s="20">
        <f>IFERROR(Q9+Q8,"")</f>
        <v/>
      </c>
      <c r="R7" s="38">
        <f>SUM(N7:Q7)</f>
        <v/>
      </c>
      <c r="S7" s="20">
        <f>IFERROR(S9+S8,"")</f>
        <v/>
      </c>
      <c r="T7" s="20">
        <f>IFERROR(T9+T8,"")</f>
        <v/>
      </c>
      <c r="U7" s="20">
        <f>IFERROR(U9+U8,"")</f>
        <v/>
      </c>
      <c r="V7" s="20">
        <f>IFERROR(V9+V8,"")</f>
        <v/>
      </c>
      <c r="W7" s="38">
        <f>SUM(S7:V7)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18">
        <f>IFERROR(VLOOKUP($D8,BS연결,MATCH(F$1,BS연결H,0),0)/100,"")</f>
        <v/>
      </c>
      <c r="G8" s="18">
        <f>IFERROR(VLOOKUP($D8,BS연결,MATCH(G$1,BS연결H,0),0)/100,"")</f>
        <v/>
      </c>
      <c r="H8" s="37" t="n"/>
      <c r="I8" s="18">
        <f>IFERROR(VLOOKUP($D8,BS연결,MATCH(I$1,BS연결H,0),0)/100,"")</f>
        <v/>
      </c>
      <c r="J8" s="19">
        <f>IFERROR(VLOOKUP($D8,BS연결,MATCH(J$1,BS연결H,0),0)/100,"")</f>
        <v/>
      </c>
      <c r="K8" s="20">
        <f>IFERROR(K5*변수!K21,"")</f>
        <v/>
      </c>
      <c r="L8" s="20">
        <f>IFERROR(L5*변수!L21,"")</f>
        <v/>
      </c>
      <c r="M8" s="38">
        <f>SUM(I8:L8)</f>
        <v/>
      </c>
      <c r="N8" s="20">
        <f>IFERROR(N5*변수!N21,"")</f>
        <v/>
      </c>
      <c r="O8" s="20">
        <f>IFERROR(O5*변수!O21,"")</f>
        <v/>
      </c>
      <c r="P8" s="20">
        <f>IFERROR(P5*변수!P21,"")</f>
        <v/>
      </c>
      <c r="Q8" s="20">
        <f>IFERROR(Q5*변수!Q21,"")</f>
        <v/>
      </c>
      <c r="R8" s="38">
        <f>SUM(N8:Q8)</f>
        <v/>
      </c>
      <c r="S8" s="20">
        <f>IFERROR(S5*변수!S21,"")</f>
        <v/>
      </c>
      <c r="T8" s="20">
        <f>IFERROR(T5*변수!T21,"")</f>
        <v/>
      </c>
      <c r="U8" s="20">
        <f>IFERROR(U5*변수!U21,"")</f>
        <v/>
      </c>
      <c r="V8" s="20">
        <f>IFERROR(V5*변수!V21,"")</f>
        <v/>
      </c>
      <c r="W8" s="38">
        <f>SUM(S8:V8)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18">
        <f>IFERROR(VLOOKUP($D9,BS연결,MATCH(F$1,BS연결H,0),0)/100,"")</f>
        <v/>
      </c>
      <c r="G9" s="18">
        <f>IFERROR(VLOOKUP($D9,BS연결,MATCH(G$1,BS연결H,0),0)/100,"")</f>
        <v/>
      </c>
      <c r="H9" s="37" t="n"/>
      <c r="I9" s="18">
        <f>IFERROR(VLOOKUP($D9,BS연결,MATCH(I$1,BS연결H,0),0)/100,"")</f>
        <v/>
      </c>
      <c r="J9" s="19">
        <f>IFERROR(VLOOKUP($D9,BS연결,MATCH(J$1,BS연결H,0),0)/100,"")</f>
        <v/>
      </c>
      <c r="K9" s="20">
        <f>IFERROR(K40+K43,"")</f>
        <v/>
      </c>
      <c r="L9" s="20">
        <f>IFERROR(L40+L43,"")</f>
        <v/>
      </c>
      <c r="M9" s="38">
        <f>SUM(I9:L9)</f>
        <v/>
      </c>
      <c r="N9" s="20">
        <f>IFERROR(N40+N43,"")</f>
        <v/>
      </c>
      <c r="O9" s="20">
        <f>IFERROR(O40+O43,"")</f>
        <v/>
      </c>
      <c r="P9" s="20">
        <f>IFERROR(P40+P43,"")</f>
        <v/>
      </c>
      <c r="Q9" s="20">
        <f>IFERROR(Q40+Q43,"")</f>
        <v/>
      </c>
      <c r="R9" s="38">
        <f>SUM(N9:Q9)</f>
        <v/>
      </c>
      <c r="S9" s="20">
        <f>IFERROR(S40+S43,"")</f>
        <v/>
      </c>
      <c r="T9" s="20">
        <f>IFERROR(T40+T43,"")</f>
        <v/>
      </c>
      <c r="U9" s="20">
        <f>IFERROR(U40+U43,"")</f>
        <v/>
      </c>
      <c r="V9" s="20">
        <f>IFERROR(V40+V43,"")</f>
        <v/>
      </c>
      <c r="W9" s="38">
        <f>SUM(S9:V9)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1">
        <f>IFERROR(F9/F5,"")</f>
        <v/>
      </c>
      <c r="G10" s="21">
        <f>IFERROR(G9/G5,"")</f>
        <v/>
      </c>
      <c r="H10" s="22" t="n"/>
      <c r="I10" s="21">
        <f>IFERROR(I9/I5,"")</f>
        <v/>
      </c>
      <c r="J10" s="23">
        <f>IFERROR(J9/J5,"")</f>
        <v/>
      </c>
      <c r="K10" s="32">
        <f>IFERROR(K9/K5,"")</f>
        <v/>
      </c>
      <c r="L10" s="32">
        <f>IFERROR(L9/L5,"")</f>
        <v/>
      </c>
      <c r="M10" s="25">
        <f>IFERROR(M9/M5,"")</f>
        <v/>
      </c>
      <c r="N10" s="32">
        <f>IFERROR(N9/N5,"")</f>
        <v/>
      </c>
      <c r="O10" s="32">
        <f>IFERROR(O9/O5,"")</f>
        <v/>
      </c>
      <c r="P10" s="32">
        <f>IFERROR(P9/P5,"")</f>
        <v/>
      </c>
      <c r="Q10" s="32">
        <f>IFERROR(Q9/Q5,"")</f>
        <v/>
      </c>
      <c r="R10" s="25">
        <f>IFERROR(R9/R5,"")</f>
        <v/>
      </c>
      <c r="S10" s="32">
        <f>IFERROR(S9/S5,"")</f>
        <v/>
      </c>
      <c r="T10" s="32">
        <f>IFERROR(T9/T5,"")</f>
        <v/>
      </c>
      <c r="U10" s="32">
        <f>IFERROR(U9/U5,"")</f>
        <v/>
      </c>
      <c r="V10" s="32">
        <f>IFERROR(V9/V5,"")</f>
        <v/>
      </c>
      <c r="W10" s="25">
        <f>IFERROR(W9/W5,"")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18">
        <f>IFERROR(VLOOKUP($D11,BS연결,MATCH(F$1,BS연결H,0),0)/100,"")</f>
        <v/>
      </c>
      <c r="G11" s="18">
        <f>IFERROR(VLOOKUP($D11,BS연결,MATCH(G$1,BS연결H,0),0)/100,"")</f>
        <v/>
      </c>
      <c r="H11" s="37" t="n"/>
      <c r="I11" s="18">
        <f>IFERROR(VLOOKUP($D11,BS연결,MATCH(I$1,BS연결H,0),0)/100,"")</f>
        <v/>
      </c>
      <c r="J11" s="19">
        <f>IFERROR(VLOOKUP($D11,BS연결,MATCH(J$1,BS연결H,0),0)/100,"")</f>
        <v/>
      </c>
      <c r="K11" s="20">
        <f>IFERROR(K12+K13+K14+K15,"")</f>
        <v/>
      </c>
      <c r="L11" s="20">
        <f>IFERROR(L12+L13+L14+L15,"")</f>
        <v/>
      </c>
      <c r="M11" s="38">
        <f>SUM(I11:L11)</f>
        <v/>
      </c>
      <c r="N11" s="20">
        <f>IFERROR(N12+N13+N14+N15,"")</f>
        <v/>
      </c>
      <c r="O11" s="20">
        <f>IFERROR(O12+O13+O14+O15,"")</f>
        <v/>
      </c>
      <c r="P11" s="20">
        <f>IFERROR(P12+P13+P14+P15,"")</f>
        <v/>
      </c>
      <c r="Q11" s="20">
        <f>IFERROR(Q12+Q13+Q14+Q15,"")</f>
        <v/>
      </c>
      <c r="R11" s="38">
        <f>SUM(N11:Q11)</f>
        <v/>
      </c>
      <c r="S11" s="20">
        <f>IFERROR(S12+S13+S14+S15,"")</f>
        <v/>
      </c>
      <c r="T11" s="20">
        <f>IFERROR(T12+T13+T14+T15,"")</f>
        <v/>
      </c>
      <c r="U11" s="20">
        <f>IFERROR(U12+U13+U14+U15,"")</f>
        <v/>
      </c>
      <c r="V11" s="20">
        <f>IFERROR(V12+V13+V14+V15,"")</f>
        <v/>
      </c>
      <c r="W11" s="38">
        <f>SUM(S11:V11)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>
        <f>IFERROR(VLOOKUP($D12,BS연결,MATCH(E$1,BS연결H,0),0)/100,"")</f>
        <v/>
      </c>
      <c r="F12" s="18">
        <f>IFERROR(VLOOKUP($D12,BS연결,MATCH(F$1,BS연결H,0),0)/100,"")</f>
        <v/>
      </c>
      <c r="G12" s="18">
        <f>IFERROR(VLOOKUP($D12,BS연결,MATCH(G$1,BS연결H,0),0)/100,"")</f>
        <v/>
      </c>
      <c r="H12" s="37" t="n"/>
      <c r="I12" s="18">
        <f>IFERROR(VLOOKUP($D12,BS연결,MATCH(I$1,BS연결H,0),0)/100,"")</f>
        <v/>
      </c>
      <c r="J12" s="19">
        <f>IFERROR(VLOOKUP($D12,BS연결,MATCH(J$1,BS연결H,0),0)/100,"")</f>
        <v/>
      </c>
      <c r="K12" s="20">
        <f>IFERROR((J28*변수!$D$56-J26*변수!$D$57)/4,"")</f>
        <v/>
      </c>
      <c r="L12" s="20">
        <f>IFERROR((K28*변수!$D$56-K26*변수!$D$57)/4,"")</f>
        <v/>
      </c>
      <c r="M12" s="38">
        <f>SUM(I12:L12)</f>
        <v/>
      </c>
      <c r="N12" s="20">
        <f>IFERROR((L28*변수!$D$56-L26*변수!$D$57)/4,"")</f>
        <v/>
      </c>
      <c r="O12" s="20">
        <f>IFERROR((N28*변수!$D$56-N26*변수!$D$57)/4,"")</f>
        <v/>
      </c>
      <c r="P12" s="20">
        <f>IFERROR((O28*변수!$D$56-O26*변수!$D$57)/4,"")</f>
        <v/>
      </c>
      <c r="Q12" s="20">
        <f>IFERROR((P28*변수!$D$56-P26*변수!$D$57)/4,"")</f>
        <v/>
      </c>
      <c r="R12" s="38">
        <f>SUM(N12:Q12)</f>
        <v/>
      </c>
      <c r="S12" s="20">
        <f>IFERROR((Q28*변수!$D$56-Q26*변수!$D$57)/4,"")</f>
        <v/>
      </c>
      <c r="T12" s="20">
        <f>IFERROR((S28*변수!$D$56-S26*변수!$D$57)/4,"")</f>
        <v/>
      </c>
      <c r="U12" s="20">
        <f>IFERROR((T28*변수!$D$56-T26*변수!$D$57)/4,"")</f>
        <v/>
      </c>
      <c r="V12" s="20">
        <f>IFERROR((U28*변수!$D$56-U26*변수!$D$57)/4,"")</f>
        <v/>
      </c>
      <c r="W12" s="38">
        <f>SUM(S12:V12)</f>
        <v/>
      </c>
    </row>
    <row r="13">
      <c r="A13" s="12" t="inlineStr">
        <is>
          <t>외환손익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외환손익(실적만; 추정 환효과는 환관련손익)</t>
        </is>
      </c>
      <c r="E13" s="18">
        <f>IFERROR((VLOOKUP("외환차익",BS연결,MATCH(E$1,BS연결H,0),0)-VLOOKUP("외환차손",BS연결,MATCH(E$1,BS연결H,0),0)+VLOOKUP("외화환산이익",BS연결,MATCH(E$1,BS연결H,0),0)-VLOOKUP("외화환산손실",BS연결,MATCH(E$1,BS연결H,0),0))/100,"")</f>
        <v/>
      </c>
      <c r="F13" s="18">
        <f>IFERROR((VLOOKUP("외환차익",BS연결,MATCH(F$1,BS연결H,0),0)-VLOOKUP("외환차손",BS연결,MATCH(F$1,BS연결H,0),0)+VLOOKUP("외화환산이익",BS연결,MATCH(F$1,BS연결H,0),0)-VLOOKUP("외화환산손실",BS연결,MATCH(F$1,BS연결H,0),0))/100,"")</f>
        <v/>
      </c>
      <c r="G13" s="18">
        <f>IFERROR((VLOOKUP("외환차익",BS연결,MATCH(G$1,BS연결H,0),0)-VLOOKUP("외환차손",BS연결,MATCH(G$1,BS연결H,0),0)+VLOOKUP("외화환산이익",BS연결,MATCH(G$1,BS연결H,0),0)-VLOOKUP("외화환산손실",BS연결,MATCH(G$1,BS연결H,0),0))/100,"")</f>
        <v/>
      </c>
      <c r="H13" s="37" t="n"/>
      <c r="I13" s="18" t="n"/>
      <c r="J13" s="19" t="n"/>
      <c r="K13" s="20">
        <f>변수!K22</f>
        <v/>
      </c>
      <c r="L13" s="20">
        <f>변수!L22</f>
        <v/>
      </c>
      <c r="M13" s="38">
        <f>SUM(I13:L13)</f>
        <v/>
      </c>
      <c r="N13" s="20">
        <f>변수!N22</f>
        <v/>
      </c>
      <c r="O13" s="20">
        <f>변수!O22</f>
        <v/>
      </c>
      <c r="P13" s="20">
        <f>변수!P22</f>
        <v/>
      </c>
      <c r="Q13" s="20">
        <f>변수!Q22</f>
        <v/>
      </c>
      <c r="R13" s="38">
        <f>SUM(N13:Q13)</f>
        <v/>
      </c>
      <c r="S13" s="20">
        <f>변수!S22</f>
        <v/>
      </c>
      <c r="T13" s="20">
        <f>변수!T22</f>
        <v/>
      </c>
      <c r="U13" s="20">
        <f>변수!U22</f>
        <v/>
      </c>
      <c r="V13" s="20">
        <f>변수!V22</f>
        <v/>
      </c>
      <c r="W13" s="38">
        <f>SUM(S13:V13)</f>
        <v/>
      </c>
    </row>
    <row r="14">
      <c r="A14" s="12" t="inlineStr">
        <is>
          <t>파생상품손익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파생상품손익</t>
        </is>
      </c>
      <c r="E14" s="18">
        <f>IFERROR((VLOOKUP("파생상품이익",BS연결,MATCH(E$1,BS연결H,0),0)-VLOOKUP("파생상품손실",BS연결,MATCH(E$1,BS연결H,0),0))/100,"")</f>
        <v/>
      </c>
      <c r="F14" s="18">
        <f>IFERROR((VLOOKUP("파생상품이익",BS연결,MATCH(F$1,BS연결H,0),0)-VLOOKUP("파생상품손실",BS연결,MATCH(F$1,BS연결H,0),0))/100,"")</f>
        <v/>
      </c>
      <c r="G14" s="18">
        <f>IFERROR((VLOOKUP("파생상품이익",BS연결,MATCH(G$1,BS연결H,0),0)-VLOOKUP("파생상품손실",BS연결,MATCH(G$1,BS연결H,0),0))/100,"")</f>
        <v/>
      </c>
      <c r="H14" s="37" t="n"/>
      <c r="I14" s="18">
        <f>IFERROR((VLOOKUP("파생상품이익",BS연결,MATCH(I$1,BS연결H,0),0)-VLOOKUP("파생상품손실",BS연결,MATCH(I$1,BS연결H,0),0))/100,"")</f>
        <v/>
      </c>
      <c r="J14" s="19">
        <f>IFERROR((VLOOKUP("파생상품이익",BS연결,MATCH(J$1,BS연결H,0),0)-VLOOKUP("파생상품손실",BS연결,MATCH(J$1,BS연결H,0),0))/100,"")</f>
        <v/>
      </c>
      <c r="K14" s="20">
        <f>변수!K23</f>
        <v/>
      </c>
      <c r="L14" s="20">
        <f>변수!L23</f>
        <v/>
      </c>
      <c r="M14" s="38">
        <f>SUM(I14:L14)</f>
        <v/>
      </c>
      <c r="N14" s="20">
        <f>변수!N23</f>
        <v/>
      </c>
      <c r="O14" s="20">
        <f>변수!O23</f>
        <v/>
      </c>
      <c r="P14" s="20">
        <f>변수!P23</f>
        <v/>
      </c>
      <c r="Q14" s="20">
        <f>변수!Q23</f>
        <v/>
      </c>
      <c r="R14" s="38">
        <f>SUM(N14:Q14)</f>
        <v/>
      </c>
      <c r="S14" s="20">
        <f>변수!S23</f>
        <v/>
      </c>
      <c r="T14" s="20">
        <f>변수!T23</f>
        <v/>
      </c>
      <c r="U14" s="20">
        <f>변수!U23</f>
        <v/>
      </c>
      <c r="V14" s="20">
        <f>변수!V23</f>
        <v/>
      </c>
      <c r="W14" s="38">
        <f>SUM(S14:V14)</f>
        <v/>
      </c>
    </row>
    <row r="15">
      <c r="A15" s="12" t="inlineStr">
        <is>
          <t>기타금융손익</t>
        </is>
      </c>
      <c r="B15" t="inlineStr">
        <is>
          <t>손익</t>
        </is>
      </c>
      <c r="C15" t="inlineStr">
        <is>
          <t>억원</t>
        </is>
      </c>
      <c r="D15" t="inlineStr">
        <is>
          <t>기타금융손익(금융손익 잔차)</t>
        </is>
      </c>
      <c r="E15" s="18">
        <f>IFERROR(E11-E12-E13-E14,"")</f>
        <v/>
      </c>
      <c r="F15" s="18">
        <f>IFERROR(F11-F12-F13-F14,"")</f>
        <v/>
      </c>
      <c r="G15" s="18">
        <f>IFERROR(G11-G12-G13-G14,"")</f>
        <v/>
      </c>
      <c r="H15" s="37" t="n"/>
      <c r="I15" s="18" t="n"/>
      <c r="J15" s="19" t="n"/>
      <c r="K15" s="20">
        <f>변수!K24</f>
        <v/>
      </c>
      <c r="L15" s="20">
        <f>변수!L24</f>
        <v/>
      </c>
      <c r="M15" s="38">
        <f>SUM(I15:L15)</f>
        <v/>
      </c>
      <c r="N15" s="20">
        <f>변수!N24</f>
        <v/>
      </c>
      <c r="O15" s="20">
        <f>변수!O24</f>
        <v/>
      </c>
      <c r="P15" s="20">
        <f>변수!P24</f>
        <v/>
      </c>
      <c r="Q15" s="20">
        <f>변수!Q24</f>
        <v/>
      </c>
      <c r="R15" s="38">
        <f>SUM(N15:Q15)</f>
        <v/>
      </c>
      <c r="S15" s="20">
        <f>변수!S24</f>
        <v/>
      </c>
      <c r="T15" s="20">
        <f>변수!T24</f>
        <v/>
      </c>
      <c r="U15" s="20">
        <f>변수!U24</f>
        <v/>
      </c>
      <c r="V15" s="20">
        <f>변수!V24</f>
        <v/>
      </c>
      <c r="W15" s="38">
        <f>SUM(S15:V15)</f>
        <v/>
      </c>
    </row>
    <row r="16">
      <c r="A16" s="12" t="inlineStr">
        <is>
          <t>기타영업외손익</t>
        </is>
      </c>
      <c r="B16" t="inlineStr">
        <is>
          <t>손익</t>
        </is>
      </c>
      <c r="C16" t="inlineStr">
        <is>
          <t>억원</t>
        </is>
      </c>
      <c r="D16" t="inlineStr">
        <is>
          <t>기타영업외손익</t>
        </is>
      </c>
      <c r="E16" s="18">
        <f>IFERROR(VLOOKUP($D16,BS연결,MATCH(E$1,BS연결H,0),0)/100,"")</f>
        <v/>
      </c>
      <c r="F16" s="18">
        <f>IFERROR(VLOOKUP($D16,BS연결,MATCH(F$1,BS연결H,0),0)/100,"")</f>
        <v/>
      </c>
      <c r="G16" s="18">
        <f>IFERROR(VLOOKUP($D16,BS연결,MATCH(G$1,BS연결H,0),0)/100,"")</f>
        <v/>
      </c>
      <c r="H16" s="37" t="n"/>
      <c r="I16" s="18">
        <f>IFERROR(VLOOKUP($D16,BS연결,MATCH(I$1,BS연결H,0),0)/100,"")</f>
        <v/>
      </c>
      <c r="J16" s="19">
        <f>IFERROR(VLOOKUP($D16,BS연결,MATCH(J$1,BS연결H,0),0)/100,"")</f>
        <v/>
      </c>
      <c r="K16" s="20">
        <f>변수!K25</f>
        <v/>
      </c>
      <c r="L16" s="20">
        <f>변수!L25</f>
        <v/>
      </c>
      <c r="M16" s="38">
        <f>SUM(I16:L16)</f>
        <v/>
      </c>
      <c r="N16" s="20">
        <f>변수!N25</f>
        <v/>
      </c>
      <c r="O16" s="20">
        <f>변수!O25</f>
        <v/>
      </c>
      <c r="P16" s="20">
        <f>변수!P25</f>
        <v/>
      </c>
      <c r="Q16" s="20">
        <f>변수!Q25</f>
        <v/>
      </c>
      <c r="R16" s="38">
        <f>SUM(N16:Q16)</f>
        <v/>
      </c>
      <c r="S16" s="20">
        <f>변수!S25</f>
        <v/>
      </c>
      <c r="T16" s="20">
        <f>변수!T25</f>
        <v/>
      </c>
      <c r="U16" s="20">
        <f>변수!U25</f>
        <v/>
      </c>
      <c r="V16" s="20">
        <f>변수!V25</f>
        <v/>
      </c>
      <c r="W16" s="38">
        <f>SUM(S16:V16)</f>
        <v/>
      </c>
    </row>
    <row r="17">
      <c r="A17" s="12" t="inlineStr">
        <is>
          <t>환관련손익</t>
        </is>
      </c>
      <c r="B17" t="inlineStr">
        <is>
          <t>손익</t>
        </is>
      </c>
      <c r="C17" t="inlineStr">
        <is>
          <t>억원</t>
        </is>
      </c>
      <c r="D17" t="inlineStr">
        <is>
          <t>환관련손익(모델 추정분)</t>
        </is>
      </c>
      <c r="E17" s="18" t="n"/>
      <c r="F17" s="18" t="n"/>
      <c r="G17" s="18" t="n"/>
      <c r="H17" s="37" t="n"/>
      <c r="I17" s="18" t="n"/>
      <c r="J17" s="19" t="n"/>
      <c r="K17" s="20">
        <f>IFERROR(변수!$D$59*(변수!K7-변수!J7)/100,"")</f>
        <v/>
      </c>
      <c r="L17" s="20">
        <f>IFERROR(변수!$D$59*(변수!L7-변수!K7)/100,"")</f>
        <v/>
      </c>
      <c r="M17" s="38">
        <f>SUM(I17:L17)</f>
        <v/>
      </c>
      <c r="N17" s="20">
        <f>IFERROR(변수!$D$59*(변수!N7-변수!L7)/100,"")</f>
        <v/>
      </c>
      <c r="O17" s="20">
        <f>IFERROR(변수!$D$59*(변수!O7-변수!N7)/100,"")</f>
        <v/>
      </c>
      <c r="P17" s="20">
        <f>IFERROR(변수!$D$59*(변수!P7-변수!O7)/100,"")</f>
        <v/>
      </c>
      <c r="Q17" s="20">
        <f>IFERROR(변수!$D$59*(변수!Q7-변수!P7)/100,"")</f>
        <v/>
      </c>
      <c r="R17" s="38">
        <f>SUM(N17:Q17)</f>
        <v/>
      </c>
      <c r="S17" s="20">
        <f>IFERROR(변수!$D$59*(변수!S7-변수!Q7)/100,"")</f>
        <v/>
      </c>
      <c r="T17" s="20">
        <f>IFERROR(변수!$D$59*(변수!T7-변수!S7)/100,"")</f>
        <v/>
      </c>
      <c r="U17" s="20">
        <f>IFERROR(변수!$D$59*(변수!U7-변수!T7)/100,"")</f>
        <v/>
      </c>
      <c r="V17" s="20">
        <f>IFERROR(변수!$D$59*(변수!V7-변수!U7)/100,"")</f>
        <v/>
      </c>
      <c r="W17" s="38">
        <f>SUM(S17:V17)</f>
        <v/>
      </c>
    </row>
    <row r="18">
      <c r="A18" s="12" t="inlineStr">
        <is>
          <t>세전이익</t>
        </is>
      </c>
      <c r="B18" t="inlineStr">
        <is>
          <t>손익</t>
        </is>
      </c>
      <c r="C18" t="inlineStr">
        <is>
          <t>억원</t>
        </is>
      </c>
      <c r="D18" t="inlineStr">
        <is>
          <t>법인세비용차감전계속사업이익</t>
        </is>
      </c>
      <c r="E18" s="18">
        <f>IFERROR(VLOOKUP($D18,BS연결,MATCH(E$1,BS연결H,0),0)/100,"")</f>
        <v/>
      </c>
      <c r="F18" s="18">
        <f>IFERROR(VLOOKUP($D18,BS연결,MATCH(F$1,BS연결H,0),0)/100,"")</f>
        <v/>
      </c>
      <c r="G18" s="18">
        <f>IFERROR(VLOOKUP($D18,BS연결,MATCH(G$1,BS연결H,0),0)/100,"")</f>
        <v/>
      </c>
      <c r="H18" s="37" t="n"/>
      <c r="I18" s="18">
        <f>IFERROR(VLOOKUP($D18,BS연결,MATCH(I$1,BS연결H,0),0)/100,"")</f>
        <v/>
      </c>
      <c r="J18" s="19">
        <f>IFERROR(VLOOKUP($D18,BS연결,MATCH(J$1,BS연결H,0),0)/100,"")</f>
        <v/>
      </c>
      <c r="K18" s="20">
        <f>IFERROR(K9+K11+K16+K17,"")</f>
        <v/>
      </c>
      <c r="L18" s="20">
        <f>IFERROR(L9+L11+L16+L17,"")</f>
        <v/>
      </c>
      <c r="M18" s="38">
        <f>SUM(I18:L18)</f>
        <v/>
      </c>
      <c r="N18" s="20">
        <f>IFERROR(N9+N11+N16+N17,"")</f>
        <v/>
      </c>
      <c r="O18" s="20">
        <f>IFERROR(O9+O11+O16+O17,"")</f>
        <v/>
      </c>
      <c r="P18" s="20">
        <f>IFERROR(P9+P11+P16+P17,"")</f>
        <v/>
      </c>
      <c r="Q18" s="20">
        <f>IFERROR(Q9+Q11+Q16+Q17,"")</f>
        <v/>
      </c>
      <c r="R18" s="38">
        <f>SUM(N18:Q18)</f>
        <v/>
      </c>
      <c r="S18" s="20">
        <f>IFERROR(S9+S11+S16+S17,"")</f>
        <v/>
      </c>
      <c r="T18" s="20">
        <f>IFERROR(T9+T11+T16+T17,"")</f>
        <v/>
      </c>
      <c r="U18" s="20">
        <f>IFERROR(U9+U11+U16+U17,"")</f>
        <v/>
      </c>
      <c r="V18" s="20">
        <f>IFERROR(V9+V11+V16+V17,"")</f>
        <v/>
      </c>
      <c r="W18" s="38">
        <f>SUM(S18:V18)</f>
        <v/>
      </c>
    </row>
    <row r="19">
      <c r="A19" s="12" t="inlineStr">
        <is>
          <t>법인세비용</t>
        </is>
      </c>
      <c r="B19" t="inlineStr">
        <is>
          <t>손익</t>
        </is>
      </c>
      <c r="C19" t="inlineStr">
        <is>
          <t>억원</t>
        </is>
      </c>
      <c r="D19" t="inlineStr">
        <is>
          <t>법인세비용</t>
        </is>
      </c>
      <c r="E19" s="18">
        <f>IFERROR(VLOOKUP($D19,BS연결,MATCH(E$1,BS연결H,0),0)/100,"")</f>
        <v/>
      </c>
      <c r="F19" s="18">
        <f>IFERROR(VLOOKUP($D19,BS연결,MATCH(F$1,BS연결H,0),0)/100,"")</f>
        <v/>
      </c>
      <c r="G19" s="18">
        <f>IFERROR(VLOOKUP($D19,BS연결,MATCH(G$1,BS연결H,0),0)/100,"")</f>
        <v/>
      </c>
      <c r="H19" s="37" t="n"/>
      <c r="I19" s="18">
        <f>IFERROR(VLOOKUP($D19,BS연결,MATCH(I$1,BS연결H,0),0)/100,"")</f>
        <v/>
      </c>
      <c r="J19" s="19">
        <f>IFERROR(VLOOKUP($D19,BS연결,MATCH(J$1,BS연결H,0),0)/100,"")</f>
        <v/>
      </c>
      <c r="K19" s="20">
        <f>IFERROR(MAX(K18,0)*변수!K26,"")</f>
        <v/>
      </c>
      <c r="L19" s="20">
        <f>IFERROR(MAX(L18,0)*변수!L26,"")</f>
        <v/>
      </c>
      <c r="M19" s="38">
        <f>SUM(I19:L19)</f>
        <v/>
      </c>
      <c r="N19" s="20">
        <f>IFERROR(MAX(N18,0)*변수!N26,"")</f>
        <v/>
      </c>
      <c r="O19" s="20">
        <f>IFERROR(MAX(O18,0)*변수!O26,"")</f>
        <v/>
      </c>
      <c r="P19" s="20">
        <f>IFERROR(MAX(P18,0)*변수!P26,"")</f>
        <v/>
      </c>
      <c r="Q19" s="20">
        <f>IFERROR(MAX(Q18,0)*변수!Q26,"")</f>
        <v/>
      </c>
      <c r="R19" s="38">
        <f>SUM(N19:Q19)</f>
        <v/>
      </c>
      <c r="S19" s="20">
        <f>IFERROR(MAX(S18,0)*변수!S26,"")</f>
        <v/>
      </c>
      <c r="T19" s="20">
        <f>IFERROR(MAX(T18,0)*변수!T26,"")</f>
        <v/>
      </c>
      <c r="U19" s="20">
        <f>IFERROR(MAX(U18,0)*변수!U26,"")</f>
        <v/>
      </c>
      <c r="V19" s="20">
        <f>IFERROR(MAX(V18,0)*변수!V26,"")</f>
        <v/>
      </c>
      <c r="W19" s="38">
        <f>SUM(S19:V19)</f>
        <v/>
      </c>
    </row>
    <row r="20">
      <c r="A20" s="12" t="inlineStr">
        <is>
          <t>당기순이익</t>
        </is>
      </c>
      <c r="B20" t="inlineStr">
        <is>
          <t>손익</t>
        </is>
      </c>
      <c r="C20" t="inlineStr">
        <is>
          <t>억원</t>
        </is>
      </c>
      <c r="D20" t="inlineStr">
        <is>
          <t>당기순이익</t>
        </is>
      </c>
      <c r="E20" s="18">
        <f>IFERROR(VLOOKUP($D20,BS연결,MATCH(E$1,BS연결H,0),0)/100,"")</f>
        <v/>
      </c>
      <c r="F20" s="18">
        <f>IFERROR(VLOOKUP($D20,BS연결,MATCH(F$1,BS연결H,0),0)/100,"")</f>
        <v/>
      </c>
      <c r="G20" s="18">
        <f>IFERROR(VLOOKUP($D20,BS연결,MATCH(G$1,BS연결H,0),0)/100,"")</f>
        <v/>
      </c>
      <c r="H20" s="37" t="n"/>
      <c r="I20" s="18">
        <f>IFERROR(VLOOKUP($D20,BS연결,MATCH(I$1,BS연결H,0),0)/100,"")</f>
        <v/>
      </c>
      <c r="J20" s="19">
        <f>IFERROR(VLOOKUP($D20,BS연결,MATCH(J$1,BS연결H,0),0)/100,"")</f>
        <v/>
      </c>
      <c r="K20" s="20">
        <f>IFERROR(K18-K19,"")</f>
        <v/>
      </c>
      <c r="L20" s="20">
        <f>IFERROR(L18-L19,"")</f>
        <v/>
      </c>
      <c r="M20" s="38">
        <f>SUM(I20:L20)</f>
        <v/>
      </c>
      <c r="N20" s="20">
        <f>IFERROR(N18-N19,"")</f>
        <v/>
      </c>
      <c r="O20" s="20">
        <f>IFERROR(O18-O19,"")</f>
        <v/>
      </c>
      <c r="P20" s="20">
        <f>IFERROR(P18-P19,"")</f>
        <v/>
      </c>
      <c r="Q20" s="20">
        <f>IFERROR(Q18-Q19,"")</f>
        <v/>
      </c>
      <c r="R20" s="38">
        <f>SUM(N20:Q20)</f>
        <v/>
      </c>
      <c r="S20" s="20">
        <f>IFERROR(S18-S19,"")</f>
        <v/>
      </c>
      <c r="T20" s="20">
        <f>IFERROR(T18-T19,"")</f>
        <v/>
      </c>
      <c r="U20" s="20">
        <f>IFERROR(U18-U19,"")</f>
        <v/>
      </c>
      <c r="V20" s="20">
        <f>IFERROR(V18-V19,"")</f>
        <v/>
      </c>
      <c r="W20" s="38">
        <f>SUM(S20:V20)</f>
        <v/>
      </c>
    </row>
    <row r="21">
      <c r="A21" s="12" t="inlineStr">
        <is>
          <t>지배주주순이익</t>
        </is>
      </c>
      <c r="B21" t="inlineStr">
        <is>
          <t>손익</t>
        </is>
      </c>
      <c r="C21" t="inlineStr">
        <is>
          <t>억원</t>
        </is>
      </c>
      <c r="D21" t="inlineStr">
        <is>
          <t>(지배주주지분)당기순이익</t>
        </is>
      </c>
      <c r="E21" s="18">
        <f>IFERROR(VLOOKUP($D21,BS연결,MATCH(E$1,BS연결H,0),0)/100,"")</f>
        <v/>
      </c>
      <c r="F21" s="18">
        <f>IFERROR(VLOOKUP($D21,BS연결,MATCH(F$1,BS연결H,0),0)/100,"")</f>
        <v/>
      </c>
      <c r="G21" s="18">
        <f>IFERROR(VLOOKUP($D21,BS연결,MATCH(G$1,BS연결H,0),0)/100,"")</f>
        <v/>
      </c>
      <c r="H21" s="37" t="n"/>
      <c r="I21" s="18">
        <f>IFERROR(VLOOKUP($D21,BS연결,MATCH(I$1,BS연결H,0),0)/100,"")</f>
        <v/>
      </c>
      <c r="J21" s="19">
        <f>IFERROR(VLOOKUP($D21,BS연결,MATCH(J$1,BS연결H,0),0)/100,"")</f>
        <v/>
      </c>
      <c r="K21" s="20">
        <f>IFERROR(K20*변수!K27,"")</f>
        <v/>
      </c>
      <c r="L21" s="20">
        <f>IFERROR(L20*변수!L27,"")</f>
        <v/>
      </c>
      <c r="M21" s="38">
        <f>SUM(I21:L21)</f>
        <v/>
      </c>
      <c r="N21" s="20">
        <f>IFERROR(N20*변수!N27,"")</f>
        <v/>
      </c>
      <c r="O21" s="20">
        <f>IFERROR(O20*변수!O27,"")</f>
        <v/>
      </c>
      <c r="P21" s="20">
        <f>IFERROR(P20*변수!P27,"")</f>
        <v/>
      </c>
      <c r="Q21" s="20">
        <f>IFERROR(Q20*변수!Q27,"")</f>
        <v/>
      </c>
      <c r="R21" s="38">
        <f>SUM(N21:Q21)</f>
        <v/>
      </c>
      <c r="S21" s="20">
        <f>IFERROR(S20*변수!S27,"")</f>
        <v/>
      </c>
      <c r="T21" s="20">
        <f>IFERROR(T20*변수!T27,"")</f>
        <v/>
      </c>
      <c r="U21" s="20">
        <f>IFERROR(U20*변수!U27,"")</f>
        <v/>
      </c>
      <c r="V21" s="20">
        <f>IFERROR(V20*변수!V27,"")</f>
        <v/>
      </c>
      <c r="W21" s="38">
        <f>SUM(S21:V21)</f>
        <v/>
      </c>
    </row>
    <row r="22">
      <c r="A22" s="12" t="inlineStr">
        <is>
          <t>자산총계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자산총계</t>
        </is>
      </c>
      <c r="E22" s="18">
        <f>IFERROR(VLOOKUP($D22,BS연결,MATCH(E$1,BS연결H,0),0)/100,"")</f>
        <v/>
      </c>
      <c r="F22" s="18">
        <f>IFERROR(VLOOKUP($D22,BS연결,MATCH(F$1,BS연결H,0),0)/100,"")</f>
        <v/>
      </c>
      <c r="G22" s="18">
        <f>IFERROR(VLOOKUP($D22,BS연결,MATCH(G$1,BS연결H,0),0)/100,"")</f>
        <v/>
      </c>
      <c r="H22" s="37">
        <f>IFERROR(VLOOKUP($D22,BS연결,MATCH(H$1,BS연결H,0),0)/100,"")</f>
        <v/>
      </c>
      <c r="I22" s="18">
        <f>IFERROR(VLOOKUP($D22,BS연결,MATCH(I$1,BS연결H,0),0)/100,"")</f>
        <v/>
      </c>
      <c r="J22" s="19">
        <f>IFERROR(VLOOKUP($D22,BS연결,MATCH(J$1,BS연결H,0),0)/100,"")</f>
        <v/>
      </c>
      <c r="K22" s="20">
        <f>IFERROR(K23+K24,"")</f>
        <v/>
      </c>
      <c r="L22" s="20">
        <f>IFERROR(L23+L24,"")</f>
        <v/>
      </c>
      <c r="M22" s="38">
        <f>L22</f>
        <v/>
      </c>
      <c r="N22" s="20">
        <f>IFERROR(N23+N24,"")</f>
        <v/>
      </c>
      <c r="O22" s="20">
        <f>IFERROR(O23+O24,"")</f>
        <v/>
      </c>
      <c r="P22" s="20">
        <f>IFERROR(P23+P24,"")</f>
        <v/>
      </c>
      <c r="Q22" s="20">
        <f>IFERROR(Q23+Q24,"")</f>
        <v/>
      </c>
      <c r="R22" s="38">
        <f>Q22</f>
        <v/>
      </c>
      <c r="S22" s="20">
        <f>IFERROR(S23+S24,"")</f>
        <v/>
      </c>
      <c r="T22" s="20">
        <f>IFERROR(T23+T24,"")</f>
        <v/>
      </c>
      <c r="U22" s="20">
        <f>IFERROR(U23+U24,"")</f>
        <v/>
      </c>
      <c r="V22" s="20">
        <f>IFERROR(V23+V24,"")</f>
        <v/>
      </c>
      <c r="W22" s="38">
        <f>V22</f>
        <v/>
      </c>
    </row>
    <row r="23">
      <c r="A23" s="12" t="inlineStr">
        <is>
          <t>부채총계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부채총계</t>
        </is>
      </c>
      <c r="E23" s="18">
        <f>IFERROR(VLOOKUP($D23,BS연결,MATCH(E$1,BS연결H,0),0)/100,"")</f>
        <v/>
      </c>
      <c r="F23" s="18">
        <f>IFERROR(VLOOKUP($D23,BS연결,MATCH(F$1,BS연결H,0),0)/100,"")</f>
        <v/>
      </c>
      <c r="G23" s="18">
        <f>IFERROR(VLOOKUP($D23,BS연결,MATCH(G$1,BS연결H,0),0)/100,"")</f>
        <v/>
      </c>
      <c r="H23" s="37">
        <f>IFERROR(VLOOKUP($D23,BS연결,MATCH(H$1,BS연결H,0),0)/100,"")</f>
        <v/>
      </c>
      <c r="I23" s="18">
        <f>IFERROR(VLOOKUP($D23,BS연결,MATCH(I$1,BS연결H,0),0)/100,"")</f>
        <v/>
      </c>
      <c r="J23" s="19">
        <f>IFERROR(VLOOKUP($D23,BS연결,MATCH(J$1,BS연결H,0),0)/100,"")</f>
        <v/>
      </c>
      <c r="K23" s="20">
        <f>IFERROR(J23*(1+변수!K28),"")</f>
        <v/>
      </c>
      <c r="L23" s="20">
        <f>IFERROR(K23*(1+변수!L28),"")</f>
        <v/>
      </c>
      <c r="M23" s="38">
        <f>L23</f>
        <v/>
      </c>
      <c r="N23" s="20">
        <f>IFERROR(L23*(1+변수!N28),"")</f>
        <v/>
      </c>
      <c r="O23" s="20">
        <f>IFERROR(N23*(1+변수!O28),"")</f>
        <v/>
      </c>
      <c r="P23" s="20">
        <f>IFERROR(O23*(1+변수!P28),"")</f>
        <v/>
      </c>
      <c r="Q23" s="20">
        <f>IFERROR(P23*(1+변수!Q28),"")</f>
        <v/>
      </c>
      <c r="R23" s="38">
        <f>Q23</f>
        <v/>
      </c>
      <c r="S23" s="20">
        <f>IFERROR(Q23*(1+변수!S28),"")</f>
        <v/>
      </c>
      <c r="T23" s="20">
        <f>IFERROR(S23*(1+변수!T28),"")</f>
        <v/>
      </c>
      <c r="U23" s="20">
        <f>IFERROR(T23*(1+변수!U28),"")</f>
        <v/>
      </c>
      <c r="V23" s="20">
        <f>IFERROR(U23*(1+변수!V28),"")</f>
        <v/>
      </c>
      <c r="W23" s="38">
        <f>V23</f>
        <v/>
      </c>
    </row>
    <row r="24">
      <c r="A24" s="12" t="inlineStr">
        <is>
          <t>자본총계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자본총계</t>
        </is>
      </c>
      <c r="E24" s="18">
        <f>IFERROR(VLOOKUP($D24,BS연결,MATCH(E$1,BS연결H,0),0)/100,"")</f>
        <v/>
      </c>
      <c r="F24" s="18">
        <f>IFERROR(VLOOKUP($D24,BS연결,MATCH(F$1,BS연결H,0),0)/100,"")</f>
        <v/>
      </c>
      <c r="G24" s="18">
        <f>IFERROR(VLOOKUP($D24,BS연결,MATCH(G$1,BS연결H,0),0)/100,"")</f>
        <v/>
      </c>
      <c r="H24" s="37">
        <f>IFERROR(VLOOKUP($D24,BS연결,MATCH(H$1,BS연결H,0),0)/100,"")</f>
        <v/>
      </c>
      <c r="I24" s="18">
        <f>IFERROR(VLOOKUP($D24,BS연결,MATCH(I$1,BS연결H,0),0)/100,"")</f>
        <v/>
      </c>
      <c r="J24" s="19">
        <f>IFERROR(VLOOKUP($D24,BS연결,MATCH(J$1,BS연결H,0),0)/100,"")</f>
        <v/>
      </c>
      <c r="K24" s="20">
        <f>IFERROR(J24+K20-변수!K29,"")</f>
        <v/>
      </c>
      <c r="L24" s="20">
        <f>IFERROR(K24+L20-변수!L29,"")</f>
        <v/>
      </c>
      <c r="M24" s="38">
        <f>L24</f>
        <v/>
      </c>
      <c r="N24" s="20">
        <f>IFERROR(L24+N20-변수!N29,"")</f>
        <v/>
      </c>
      <c r="O24" s="20">
        <f>IFERROR(N24+O20-변수!O29,"")</f>
        <v/>
      </c>
      <c r="P24" s="20">
        <f>IFERROR(O24+P20-변수!P29,"")</f>
        <v/>
      </c>
      <c r="Q24" s="20">
        <f>IFERROR(P24+Q20-변수!Q29,"")</f>
        <v/>
      </c>
      <c r="R24" s="38">
        <f>Q24</f>
        <v/>
      </c>
      <c r="S24" s="20">
        <f>IFERROR(Q24+S20-변수!S29,"")</f>
        <v/>
      </c>
      <c r="T24" s="20">
        <f>IFERROR(S24+T20-변수!T29,"")</f>
        <v/>
      </c>
      <c r="U24" s="20">
        <f>IFERROR(T24+U20-변수!U29,"")</f>
        <v/>
      </c>
      <c r="V24" s="20">
        <f>IFERROR(U24+V20-변수!V29,"")</f>
        <v/>
      </c>
      <c r="W24" s="38">
        <f>V24</f>
        <v/>
      </c>
    </row>
    <row r="25">
      <c r="A25" s="12" t="inlineStr">
        <is>
          <t>지배주주지분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지배주주지분</t>
        </is>
      </c>
      <c r="E25" s="18">
        <f>IFERROR(VLOOKUP($D25,BS연결,MATCH(E$1,BS연결H,0),0)/100,"")</f>
        <v/>
      </c>
      <c r="F25" s="18">
        <f>IFERROR(VLOOKUP($D25,BS연결,MATCH(F$1,BS연결H,0),0)/100,"")</f>
        <v/>
      </c>
      <c r="G25" s="18">
        <f>IFERROR(VLOOKUP($D25,BS연결,MATCH(G$1,BS연결H,0),0)/100,"")</f>
        <v/>
      </c>
      <c r="H25" s="37">
        <f>IFERROR(VLOOKUP($D25,BS연결,MATCH(H$1,BS연결H,0),0)/100,"")</f>
        <v/>
      </c>
      <c r="I25" s="18">
        <f>IFERROR(VLOOKUP($D25,BS연결,MATCH(I$1,BS연결H,0),0)/100,"")</f>
        <v/>
      </c>
      <c r="J25" s="19">
        <f>IFERROR(VLOOKUP($D25,BS연결,MATCH(J$1,BS연결H,0),0)/100,"")</f>
        <v/>
      </c>
      <c r="K25" s="20">
        <f>IFERROR(J25+K21-변수!K30,"")</f>
        <v/>
      </c>
      <c r="L25" s="20">
        <f>IFERROR(K25+L21-변수!L30,"")</f>
        <v/>
      </c>
      <c r="M25" s="38">
        <f>L25</f>
        <v/>
      </c>
      <c r="N25" s="20">
        <f>IFERROR(L25+N21-변수!N30,"")</f>
        <v/>
      </c>
      <c r="O25" s="20">
        <f>IFERROR(N25+O21-변수!O30,"")</f>
        <v/>
      </c>
      <c r="P25" s="20">
        <f>IFERROR(O25+P21-변수!P30,"")</f>
        <v/>
      </c>
      <c r="Q25" s="20">
        <f>IFERROR(P25+Q21-변수!Q30,"")</f>
        <v/>
      </c>
      <c r="R25" s="38">
        <f>Q25</f>
        <v/>
      </c>
      <c r="S25" s="20">
        <f>IFERROR(Q25+S21-변수!S30,"")</f>
        <v/>
      </c>
      <c r="T25" s="20">
        <f>IFERROR(S25+T21-변수!T30,"")</f>
        <v/>
      </c>
      <c r="U25" s="20">
        <f>IFERROR(T25+U21-변수!U30,"")</f>
        <v/>
      </c>
      <c r="V25" s="20">
        <f>IFERROR(U25+V21-변수!V30,"")</f>
        <v/>
      </c>
      <c r="W25" s="38">
        <f>V25</f>
        <v/>
      </c>
    </row>
    <row r="26">
      <c r="A26" s="12" t="inlineStr">
        <is>
          <t>총차입금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총차입금</t>
        </is>
      </c>
      <c r="E26" s="18">
        <f>IFERROR(VLOOKUP($D26,BS연결,MATCH(E$1,BS연결H,0),0)/100,"")</f>
        <v/>
      </c>
      <c r="F26" s="18">
        <f>IFERROR(VLOOKUP($D26,BS연결,MATCH(F$1,BS연결H,0),0)/100,"")</f>
        <v/>
      </c>
      <c r="G26" s="18" t="n"/>
      <c r="H26" s="37">
        <f>G26</f>
        <v/>
      </c>
      <c r="I26" s="18" t="n"/>
      <c r="J26" s="19" t="n"/>
      <c r="K26" s="20" t="n"/>
      <c r="L26" s="20" t="n"/>
      <c r="M26" s="38">
        <f>L26</f>
        <v/>
      </c>
      <c r="N26" s="20" t="n"/>
      <c r="O26" s="20" t="n"/>
      <c r="P26" s="20" t="n"/>
      <c r="Q26" s="20" t="n"/>
      <c r="R26" s="38">
        <f>Q26</f>
        <v/>
      </c>
      <c r="S26" s="20" t="n"/>
      <c r="T26" s="20" t="n"/>
      <c r="U26" s="20" t="n"/>
      <c r="V26" s="20" t="n"/>
      <c r="W26" s="38">
        <f>V26</f>
        <v/>
      </c>
    </row>
    <row r="27">
      <c r="A27" s="12" t="inlineStr">
        <is>
          <t>순차입금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순차입금</t>
        </is>
      </c>
      <c r="E27" s="18">
        <f>IFERROR(VLOOKUP($D27,BS연결,MATCH(E$1,BS연결H,0),0)/100,"")</f>
        <v/>
      </c>
      <c r="F27" s="18">
        <f>IFERROR(VLOOKUP($D27,BS연결,MATCH(F$1,BS연결H,0),0)/100,"")</f>
        <v/>
      </c>
      <c r="G27" s="18" t="n"/>
      <c r="H27" s="37">
        <f>G27</f>
        <v/>
      </c>
      <c r="I27" s="18" t="n"/>
      <c r="J27" s="19" t="n"/>
      <c r="K27" s="20" t="n"/>
      <c r="L27" s="20" t="n"/>
      <c r="M27" s="38">
        <f>L27</f>
        <v/>
      </c>
      <c r="N27" s="20" t="n"/>
      <c r="O27" s="20" t="n"/>
      <c r="P27" s="20" t="n"/>
      <c r="Q27" s="20" t="n"/>
      <c r="R27" s="38">
        <f>Q27</f>
        <v/>
      </c>
      <c r="S27" s="20" t="n"/>
      <c r="T27" s="20" t="n"/>
      <c r="U27" s="20" t="n"/>
      <c r="V27" s="20" t="n"/>
      <c r="W27" s="38">
        <f>V27</f>
        <v/>
      </c>
    </row>
    <row r="28">
      <c r="A28" s="12" t="inlineStr">
        <is>
          <t>이자발생자산</t>
        </is>
      </c>
      <c r="B28" t="inlineStr">
        <is>
          <t>재무상태</t>
        </is>
      </c>
      <c r="C28" t="inlineStr">
        <is>
          <t>억원</t>
        </is>
      </c>
      <c r="D28" t="inlineStr">
        <is>
          <t>이자발생자산</t>
        </is>
      </c>
      <c r="E28" s="18">
        <f>IFERROR(VLOOKUP($D28,BS연결,MATCH(E$1,BS연결H,0),0)/100,"")</f>
        <v/>
      </c>
      <c r="F28" s="18">
        <f>IFERROR(VLOOKUP($D28,BS연결,MATCH(F$1,BS연결H,0),0)/100,"")</f>
        <v/>
      </c>
      <c r="G28" s="18">
        <f>IFERROR(VLOOKUP($D28,BS연결,MATCH(G$1,BS연결H,0),0)/100,"")</f>
        <v/>
      </c>
      <c r="H28" s="37">
        <f>IFERROR(VLOOKUP($D28,BS연결,MATCH(H$1,BS연결H,0),0)/100,"")</f>
        <v/>
      </c>
      <c r="I28" s="18">
        <f>IFERROR(VLOOKUP($D28,BS연결,MATCH(I$1,BS연결H,0),0)/100,"")</f>
        <v/>
      </c>
      <c r="J28" s="19">
        <f>IFERROR(VLOOKUP($D28,BS연결,MATCH(J$1,BS연결H,0),0)/100,"")</f>
        <v/>
      </c>
      <c r="K28" s="20">
        <f>IFERROR(J28*(1+변수!K33),"")</f>
        <v/>
      </c>
      <c r="L28" s="20">
        <f>IFERROR(K28*(1+변수!L33),"")</f>
        <v/>
      </c>
      <c r="M28" s="38">
        <f>L28</f>
        <v/>
      </c>
      <c r="N28" s="20">
        <f>IFERROR(L28*(1+변수!N33),"")</f>
        <v/>
      </c>
      <c r="O28" s="20">
        <f>IFERROR(N28*(1+변수!O33),"")</f>
        <v/>
      </c>
      <c r="P28" s="20">
        <f>IFERROR(O28*(1+변수!P33),"")</f>
        <v/>
      </c>
      <c r="Q28" s="20">
        <f>IFERROR(P28*(1+변수!Q33),"")</f>
        <v/>
      </c>
      <c r="R28" s="38">
        <f>Q28</f>
        <v/>
      </c>
      <c r="S28" s="20">
        <f>IFERROR(Q28*(1+변수!S33),"")</f>
        <v/>
      </c>
      <c r="T28" s="20">
        <f>IFERROR(S28*(1+변수!T33),"")</f>
        <v/>
      </c>
      <c r="U28" s="20">
        <f>IFERROR(T28*(1+변수!U33),"")</f>
        <v/>
      </c>
      <c r="V28" s="20">
        <f>IFERROR(U28*(1+변수!V33),"")</f>
        <v/>
      </c>
      <c r="W28" s="38">
        <f>V28</f>
        <v/>
      </c>
    </row>
    <row r="29">
      <c r="A29" s="12" t="inlineStr">
        <is>
          <t>현금및현금성자산</t>
        </is>
      </c>
      <c r="B29" t="inlineStr">
        <is>
          <t>재무상태</t>
        </is>
      </c>
      <c r="C29" t="inlineStr">
        <is>
          <t>억원</t>
        </is>
      </c>
      <c r="D29" t="inlineStr">
        <is>
          <t>현금및현금성자산</t>
        </is>
      </c>
      <c r="E29" s="18">
        <f>IFERROR(VLOOKUP($D29,BS연결,MATCH(E$1,BS연결H,0),0)/100,"")</f>
        <v/>
      </c>
      <c r="F29" s="18">
        <f>IFERROR(VLOOKUP($D29,BS연결,MATCH(F$1,BS연결H,0),0)/100,"")</f>
        <v/>
      </c>
      <c r="G29" s="18">
        <f>IFERROR(VLOOKUP($D29,BS연결,MATCH(G$1,BS연결H,0),0)/100,"")</f>
        <v/>
      </c>
      <c r="H29" s="37">
        <f>IFERROR(VLOOKUP($D29,BS연결,MATCH(H$1,BS연결H,0),0)/100,"")</f>
        <v/>
      </c>
      <c r="I29" s="18">
        <f>IFERROR(VLOOKUP($D29,BS연결,MATCH(I$1,BS연결H,0),0)/100,"")</f>
        <v/>
      </c>
      <c r="J29" s="19">
        <f>IFERROR(VLOOKUP($D29,BS연결,MATCH(J$1,BS연결H,0),0)/100,"")</f>
        <v/>
      </c>
      <c r="K29" s="20" t="n"/>
      <c r="L29" s="20" t="n"/>
      <c r="M29" s="38">
        <f>L29</f>
        <v/>
      </c>
      <c r="N29" s="20" t="n"/>
      <c r="O29" s="20" t="n"/>
      <c r="P29" s="20" t="n"/>
      <c r="Q29" s="20" t="n"/>
      <c r="R29" s="38">
        <f>Q29</f>
        <v/>
      </c>
      <c r="S29" s="20" t="n"/>
      <c r="T29" s="20" t="n"/>
      <c r="U29" s="20" t="n"/>
      <c r="V29" s="20" t="n"/>
      <c r="W29" s="38">
        <f>V29</f>
        <v/>
      </c>
    </row>
    <row r="30">
      <c r="A30" s="12" t="inlineStr">
        <is>
          <t>CAPEX</t>
        </is>
      </c>
      <c r="B30" t="inlineStr">
        <is>
          <t>현금흐름</t>
        </is>
      </c>
      <c r="C30" t="inlineStr">
        <is>
          <t>억원</t>
        </is>
      </c>
      <c r="D30" t="inlineStr">
        <is>
          <t>CAPEX</t>
        </is>
      </c>
      <c r="E30" s="18">
        <f>IFERROR(VLOOKUP($D30,BS연결,MATCH(E$1,BS연결H,0),0)/100,"")</f>
        <v/>
      </c>
      <c r="F30" s="18">
        <f>IFERROR(VLOOKUP($D30,BS연결,MATCH(F$1,BS연결H,0),0)/100,"")</f>
        <v/>
      </c>
      <c r="G30" s="18">
        <f>IFERROR(VLOOKUP($D30,BS연결,MATCH(G$1,BS연결H,0),0)/100,"")</f>
        <v/>
      </c>
      <c r="H30" s="37" t="n"/>
      <c r="I30" s="18">
        <f>IFERROR(VLOOKUP($D30,BS연결,MATCH(I$1,BS연결H,0),0)/100,"")</f>
        <v/>
      </c>
      <c r="J30" s="19">
        <f>IFERROR(VLOOKUP($D30,BS연결,MATCH(J$1,BS연결H,0),0)/100,"")</f>
        <v/>
      </c>
      <c r="K30" s="20">
        <f>IFERROR(F30*(1+변수!K35),"")</f>
        <v/>
      </c>
      <c r="L30" s="20">
        <f>IFERROR(G30*(1+변수!L35),"")</f>
        <v/>
      </c>
      <c r="M30" s="38">
        <f>SUM(I30:L30)</f>
        <v/>
      </c>
      <c r="N30" s="20">
        <f>IFERROR(I30*(1+변수!N35),"")</f>
        <v/>
      </c>
      <c r="O30" s="20">
        <f>IFERROR(J30*(1+변수!O35),"")</f>
        <v/>
      </c>
      <c r="P30" s="20">
        <f>IFERROR(K30*(1+변수!P35),"")</f>
        <v/>
      </c>
      <c r="Q30" s="20">
        <f>IFERROR(L30*(1+변수!Q35),"")</f>
        <v/>
      </c>
      <c r="R30" s="38">
        <f>SUM(N30:Q30)</f>
        <v/>
      </c>
      <c r="S30" s="20">
        <f>IFERROR(N30*(1+변수!S35),"")</f>
        <v/>
      </c>
      <c r="T30" s="20">
        <f>IFERROR(O30*(1+변수!T35),"")</f>
        <v/>
      </c>
      <c r="U30" s="20">
        <f>IFERROR(P30*(1+변수!U35),"")</f>
        <v/>
      </c>
      <c r="V30" s="20">
        <f>IFERROR(Q30*(1+변수!V35),"")</f>
        <v/>
      </c>
      <c r="W30" s="38">
        <f>SUM(S30:V30)</f>
        <v/>
      </c>
    </row>
    <row r="31">
      <c r="A31" s="12" t="inlineStr">
        <is>
          <t>영업활동현금흐름</t>
        </is>
      </c>
      <c r="B31" t="inlineStr">
        <is>
          <t>현금흐름</t>
        </is>
      </c>
      <c r="C31" t="inlineStr">
        <is>
          <t>억원</t>
        </is>
      </c>
      <c r="D31" t="inlineStr">
        <is>
          <t>영업활동으로인한현금흐름</t>
        </is>
      </c>
      <c r="E31" s="18">
        <f>IFERROR(VLOOKUP($D31,BS연결,MATCH(E$1,BS연결H,0),0)/100,"")</f>
        <v/>
      </c>
      <c r="F31" s="18">
        <f>IFERROR(VLOOKUP($D31,BS연결,MATCH(F$1,BS연결H,0),0)/100,"")</f>
        <v/>
      </c>
      <c r="G31" s="18">
        <f>IFERROR(VLOOKUP($D31,BS연결,MATCH(G$1,BS연결H,0),0)/100,"")</f>
        <v/>
      </c>
      <c r="H31" s="37" t="n"/>
      <c r="I31" s="18">
        <f>IFERROR(VLOOKUP($D31,BS연결,MATCH(I$1,BS연결H,0),0)/100,"")</f>
        <v/>
      </c>
      <c r="J31" s="19">
        <f>IFERROR(VLOOKUP($D31,BS연결,MATCH(J$1,BS연결H,0),0)/100,"")</f>
        <v/>
      </c>
      <c r="K31" s="20" t="n"/>
      <c r="L31" s="20" t="n"/>
      <c r="M31" s="38">
        <f>SUM(I31:L31)</f>
        <v/>
      </c>
      <c r="N31" s="20" t="n"/>
      <c r="O31" s="20" t="n"/>
      <c r="P31" s="20" t="n"/>
      <c r="Q31" s="20" t="n"/>
      <c r="R31" s="38">
        <f>SUM(N31:Q31)</f>
        <v/>
      </c>
      <c r="S31" s="20" t="n"/>
      <c r="T31" s="20" t="n"/>
      <c r="U31" s="20" t="n"/>
      <c r="V31" s="20" t="n"/>
      <c r="W31" s="38">
        <f>SUM(S31:V31)</f>
        <v/>
      </c>
    </row>
    <row r="32">
      <c r="A32" s="12" t="inlineStr">
        <is>
          <t>주식수</t>
        </is>
      </c>
      <c r="B32" t="inlineStr">
        <is>
          <t>주당</t>
        </is>
      </c>
      <c r="C32" t="inlineStr">
        <is>
          <t>백만주</t>
        </is>
      </c>
      <c r="D32" t="inlineStr">
        <is>
          <t>유통주식수</t>
        </is>
      </c>
      <c r="E32" s="26" t="n">
        <v>30.526</v>
      </c>
      <c r="F32" s="26" t="n">
        <v>38.526</v>
      </c>
      <c r="G32" s="26" t="n">
        <v>38.526</v>
      </c>
      <c r="H32" s="27">
        <f>G32</f>
        <v/>
      </c>
      <c r="I32" s="26" t="n">
        <v>38.526</v>
      </c>
      <c r="J32" s="28" t="n">
        <v>38.089</v>
      </c>
      <c r="K32" s="33">
        <f>IFERROR(J32*(1+변수!K37),"")</f>
        <v/>
      </c>
      <c r="L32" s="33">
        <f>IFERROR(K32*(1+변수!L37),"")</f>
        <v/>
      </c>
      <c r="M32" s="30">
        <f>L32</f>
        <v/>
      </c>
      <c r="N32" s="33">
        <f>IFERROR(L32*(1+변수!N37),"")</f>
        <v/>
      </c>
      <c r="O32" s="33">
        <f>IFERROR(N32*(1+변수!O37),"")</f>
        <v/>
      </c>
      <c r="P32" s="33">
        <f>IFERROR(O32*(1+변수!P37),"")</f>
        <v/>
      </c>
      <c r="Q32" s="33">
        <f>IFERROR(P32*(1+변수!Q37),"")</f>
        <v/>
      </c>
      <c r="R32" s="30">
        <f>Q32</f>
        <v/>
      </c>
      <c r="S32" s="33">
        <f>IFERROR(Q32*(1+변수!S37),"")</f>
        <v/>
      </c>
      <c r="T32" s="33">
        <f>IFERROR(S32*(1+변수!T37),"")</f>
        <v/>
      </c>
      <c r="U32" s="33">
        <f>IFERROR(T32*(1+변수!U37),"")</f>
        <v/>
      </c>
      <c r="V32" s="33">
        <f>IFERROR(U32*(1+변수!V37),"")</f>
        <v/>
      </c>
      <c r="W32" s="30">
        <f>V32</f>
        <v/>
      </c>
    </row>
    <row r="33">
      <c r="A33" s="12" t="inlineStr">
        <is>
          <t>EPS</t>
        </is>
      </c>
      <c r="B33" t="inlineStr">
        <is>
          <t>주당</t>
        </is>
      </c>
      <c r="C33" t="inlineStr">
        <is>
          <t>원</t>
        </is>
      </c>
      <c r="D33" t="inlineStr">
        <is>
          <t>EPS</t>
        </is>
      </c>
      <c r="E33" s="18">
        <f>IFERROR(E21*100/E32,"")</f>
        <v/>
      </c>
      <c r="F33" s="18">
        <f>IFERROR(F21*100/F32,"")</f>
        <v/>
      </c>
      <c r="G33" s="18">
        <f>IFERROR(G21*100/G32,"")</f>
        <v/>
      </c>
      <c r="H33" s="37" t="n"/>
      <c r="I33" s="18">
        <f>IFERROR(I21*100/I32,"")</f>
        <v/>
      </c>
      <c r="J33" s="19">
        <f>IFERROR(J21*100/J32,"")</f>
        <v/>
      </c>
      <c r="K33" s="20">
        <f>IFERROR(K21*100/K32,"")</f>
        <v/>
      </c>
      <c r="L33" s="20">
        <f>IFERROR(L21*100/L32,"")</f>
        <v/>
      </c>
      <c r="M33" s="38">
        <f>SUM(I33:L33)</f>
        <v/>
      </c>
      <c r="N33" s="20">
        <f>IFERROR(N21*100/N32,"")</f>
        <v/>
      </c>
      <c r="O33" s="20">
        <f>IFERROR(O21*100/O32,"")</f>
        <v/>
      </c>
      <c r="P33" s="20">
        <f>IFERROR(P21*100/P32,"")</f>
        <v/>
      </c>
      <c r="Q33" s="20">
        <f>IFERROR(Q21*100/Q32,"")</f>
        <v/>
      </c>
      <c r="R33" s="38">
        <f>SUM(N33:Q33)</f>
        <v/>
      </c>
      <c r="S33" s="20">
        <f>IFERROR(S21*100/S32,"")</f>
        <v/>
      </c>
      <c r="T33" s="20">
        <f>IFERROR(T21*100/T32,"")</f>
        <v/>
      </c>
      <c r="U33" s="20">
        <f>IFERROR(U21*100/U32,"")</f>
        <v/>
      </c>
      <c r="V33" s="20">
        <f>IFERROR(V21*100/V32,"")</f>
        <v/>
      </c>
      <c r="W33" s="38">
        <f>SUM(S33:V33)</f>
        <v/>
      </c>
    </row>
    <row r="34">
      <c r="A34" s="12" t="inlineStr">
        <is>
          <t>BPS</t>
        </is>
      </c>
      <c r="B34" t="inlineStr">
        <is>
          <t>주당</t>
        </is>
      </c>
      <c r="C34" t="inlineStr">
        <is>
          <t>원</t>
        </is>
      </c>
      <c r="D34" t="inlineStr">
        <is>
          <t>BPS</t>
        </is>
      </c>
      <c r="E34" s="18">
        <f>IFERROR(E25*100/E32,"")</f>
        <v/>
      </c>
      <c r="F34" s="18">
        <f>IFERROR(F25*100/F32,"")</f>
        <v/>
      </c>
      <c r="G34" s="18">
        <f>IFERROR(G25*100/G32,"")</f>
        <v/>
      </c>
      <c r="H34" s="37">
        <f>G34</f>
        <v/>
      </c>
      <c r="I34" s="18">
        <f>IFERROR(I25*100/I32,"")</f>
        <v/>
      </c>
      <c r="J34" s="19">
        <f>IFERROR(J25*100/J32,"")</f>
        <v/>
      </c>
      <c r="K34" s="20">
        <f>IFERROR(K25*100/K32,"")</f>
        <v/>
      </c>
      <c r="L34" s="20">
        <f>IFERROR(L25*100/L32,"")</f>
        <v/>
      </c>
      <c r="M34" s="38">
        <f>L34</f>
        <v/>
      </c>
      <c r="N34" s="20">
        <f>IFERROR(N25*100/N32,"")</f>
        <v/>
      </c>
      <c r="O34" s="20">
        <f>IFERROR(O25*100/O32,"")</f>
        <v/>
      </c>
      <c r="P34" s="20">
        <f>IFERROR(P25*100/P32,"")</f>
        <v/>
      </c>
      <c r="Q34" s="20">
        <f>IFERROR(Q25*100/Q32,"")</f>
        <v/>
      </c>
      <c r="R34" s="38">
        <f>Q34</f>
        <v/>
      </c>
      <c r="S34" s="20">
        <f>IFERROR(S25*100/S32,"")</f>
        <v/>
      </c>
      <c r="T34" s="20">
        <f>IFERROR(T25*100/T32,"")</f>
        <v/>
      </c>
      <c r="U34" s="20">
        <f>IFERROR(U25*100/U32,"")</f>
        <v/>
      </c>
      <c r="V34" s="20">
        <f>IFERROR(V25*100/V32,"")</f>
        <v/>
      </c>
      <c r="W34" s="38">
        <f>V34</f>
        <v/>
      </c>
    </row>
    <row r="35">
      <c r="A35" s="12" t="inlineStr">
        <is>
          <t>DPS</t>
        </is>
      </c>
      <c r="B35" t="inlineStr">
        <is>
          <t>주당</t>
        </is>
      </c>
      <c r="C35" t="inlineStr">
        <is>
          <t>원</t>
        </is>
      </c>
      <c r="D35" t="inlineStr">
        <is>
          <t>DPS(보통주)</t>
        </is>
      </c>
      <c r="E35" s="18" t="n"/>
      <c r="F35" s="18" t="n"/>
      <c r="G35" s="18" t="n">
        <v>250</v>
      </c>
      <c r="H35" s="37" t="n">
        <v>250</v>
      </c>
      <c r="I35" s="18" t="n"/>
      <c r="J35" s="19" t="n"/>
      <c r="K35" s="20" t="n"/>
      <c r="L35" s="20">
        <f>변수!L38</f>
        <v/>
      </c>
      <c r="M35" s="38">
        <f>SUM(I35:L35)</f>
        <v/>
      </c>
      <c r="N35" s="20" t="n"/>
      <c r="O35" s="20" t="n"/>
      <c r="P35" s="20" t="n"/>
      <c r="Q35" s="20">
        <f>변수!Q38</f>
        <v/>
      </c>
      <c r="R35" s="38">
        <f>SUM(N35:Q35)</f>
        <v/>
      </c>
      <c r="S35" s="20" t="n"/>
      <c r="T35" s="20" t="n"/>
      <c r="U35" s="20" t="n"/>
      <c r="V35" s="20">
        <f>변수!V38</f>
        <v/>
      </c>
      <c r="W35" s="38">
        <f>SUM(S35:V35)</f>
        <v/>
      </c>
    </row>
    <row r="36">
      <c r="A36" s="12" t="inlineStr">
        <is>
          <t>PER</t>
        </is>
      </c>
      <c r="B36" t="inlineStr">
        <is>
          <t>주당</t>
        </is>
      </c>
      <c r="C36" t="inlineStr">
        <is>
          <t>배</t>
        </is>
      </c>
      <c r="D36" t="inlineStr">
        <is>
          <t>PER</t>
        </is>
      </c>
      <c r="E36" s="13" t="n"/>
      <c r="F36" s="13" t="n"/>
      <c r="G36" s="13" t="n"/>
      <c r="H36" s="14">
        <f>G36</f>
        <v/>
      </c>
      <c r="I36" s="13">
        <f>IFERROR(변수!I18/(E33+F33+G33+I33),"")</f>
        <v/>
      </c>
      <c r="J36" s="15">
        <f>IFERROR(변수!J18/(F33+G33+I33+J33),"")</f>
        <v/>
      </c>
      <c r="K36" s="39">
        <f>IFERROR(변수!$D$46/(G33+I33+J33+K33),"")</f>
        <v/>
      </c>
      <c r="L36" s="39">
        <f>IFERROR(변수!$D$46/(I33+J33+K33+L33),"")</f>
        <v/>
      </c>
      <c r="M36" s="40">
        <f>L36</f>
        <v/>
      </c>
      <c r="N36" s="39">
        <f>IFERROR(변수!$D$46/(J33+K33+L33+N33),"")</f>
        <v/>
      </c>
      <c r="O36" s="39">
        <f>IFERROR(변수!$D$46/(K33+L33+N33+O33),"")</f>
        <v/>
      </c>
      <c r="P36" s="39">
        <f>IFERROR(변수!$D$46/(L33+N33+O33+P33),"")</f>
        <v/>
      </c>
      <c r="Q36" s="39">
        <f>IFERROR(변수!$D$46/(N33+O33+P33+Q33),"")</f>
        <v/>
      </c>
      <c r="R36" s="40">
        <f>Q36</f>
        <v/>
      </c>
      <c r="S36" s="39">
        <f>IFERROR(변수!$D$46/(O33+P33+Q33+S33),"")</f>
        <v/>
      </c>
      <c r="T36" s="39">
        <f>IFERROR(변수!$D$46/(P33+Q33+S33+T33),"")</f>
        <v/>
      </c>
      <c r="U36" s="39">
        <f>IFERROR(변수!$D$46/(Q33+S33+T33+U33),"")</f>
        <v/>
      </c>
      <c r="V36" s="39">
        <f>IFERROR(변수!$D$46/(S33+T33+U33+V33),"")</f>
        <v/>
      </c>
      <c r="W36" s="40">
        <f>V36</f>
        <v/>
      </c>
    </row>
    <row r="37">
      <c r="A37" s="12" t="inlineStr">
        <is>
          <t>PBR</t>
        </is>
      </c>
      <c r="B37" t="inlineStr">
        <is>
          <t>주당</t>
        </is>
      </c>
      <c r="C37" t="inlineStr">
        <is>
          <t>배</t>
        </is>
      </c>
      <c r="D37" t="inlineStr">
        <is>
          <t>PBR</t>
        </is>
      </c>
      <c r="E37" s="13" t="n"/>
      <c r="F37" s="13">
        <f>IFERROR(변수!F18/F34,"")</f>
        <v/>
      </c>
      <c r="G37" s="13">
        <f>IFERROR(변수!G18/G34,"")</f>
        <v/>
      </c>
      <c r="H37" s="14">
        <f>G37</f>
        <v/>
      </c>
      <c r="I37" s="13">
        <f>IFERROR(변수!I18/I34,"")</f>
        <v/>
      </c>
      <c r="J37" s="15">
        <f>IFERROR(변수!J18/J34,"")</f>
        <v/>
      </c>
      <c r="K37" s="39">
        <f>IFERROR(변수!$D$46/K34,"")</f>
        <v/>
      </c>
      <c r="L37" s="39">
        <f>IFERROR(변수!$D$46/L34,"")</f>
        <v/>
      </c>
      <c r="M37" s="40">
        <f>L37</f>
        <v/>
      </c>
      <c r="N37" s="39">
        <f>IFERROR(변수!$D$46/N34,"")</f>
        <v/>
      </c>
      <c r="O37" s="39">
        <f>IFERROR(변수!$D$46/O34,"")</f>
        <v/>
      </c>
      <c r="P37" s="39">
        <f>IFERROR(변수!$D$46/P34,"")</f>
        <v/>
      </c>
      <c r="Q37" s="39">
        <f>IFERROR(변수!$D$46/Q34,"")</f>
        <v/>
      </c>
      <c r="R37" s="40">
        <f>Q37</f>
        <v/>
      </c>
      <c r="S37" s="39">
        <f>IFERROR(변수!$D$46/S34,"")</f>
        <v/>
      </c>
      <c r="T37" s="39">
        <f>IFERROR(변수!$D$46/T34,"")</f>
        <v/>
      </c>
      <c r="U37" s="39">
        <f>IFERROR(변수!$D$46/U34,"")</f>
        <v/>
      </c>
      <c r="V37" s="39">
        <f>IFERROR(변수!$D$46/V34,"")</f>
        <v/>
      </c>
      <c r="W37" s="40">
        <f>V37</f>
        <v/>
      </c>
    </row>
    <row r="38">
      <c r="A38" s="12" t="inlineStr">
        <is>
          <t>매출조선</t>
        </is>
      </c>
      <c r="B38" t="inlineStr">
        <is>
          <t>사업부</t>
        </is>
      </c>
      <c r="C38" t="inlineStr">
        <is>
          <t>억원</t>
        </is>
      </c>
      <c r="D38" t="inlineStr">
        <is>
          <t>매출 조선·해양(선박)</t>
        </is>
      </c>
      <c r="E38" s="18" t="n"/>
      <c r="F38" s="18" t="n">
        <v>2720.35</v>
      </c>
      <c r="G38" s="18" t="n">
        <v>3481.49</v>
      </c>
      <c r="H38" s="37" t="n"/>
      <c r="I38" s="18" t="n">
        <v>3062.16</v>
      </c>
      <c r="J38" s="19" t="n">
        <v>3514.02</v>
      </c>
      <c r="K38" s="20">
        <f>IFERROR(SLS!I62/100+변수!K39+K39,"")</f>
        <v/>
      </c>
      <c r="L38" s="20">
        <f>IFERROR(SLS!J62/100+변수!L39+L39,"")</f>
        <v/>
      </c>
      <c r="M38" s="38">
        <f>SUM(I38:L38)</f>
        <v/>
      </c>
      <c r="N38" s="20">
        <f>IFERROR(SLS!K62/100+변수!N39+N39,"")</f>
        <v/>
      </c>
      <c r="O38" s="20">
        <f>IFERROR(SLS!L62/100+변수!O39+O39,"")</f>
        <v/>
      </c>
      <c r="P38" s="20">
        <f>IFERROR(SLS!M62/100+변수!P39+P39,"")</f>
        <v/>
      </c>
      <c r="Q38" s="20">
        <f>IFERROR(SLS!N62/100+변수!Q39+Q39,"")</f>
        <v/>
      </c>
      <c r="R38" s="38">
        <f>SUM(N38:Q38)</f>
        <v/>
      </c>
      <c r="S38" s="20">
        <f>IFERROR(SLS!O62/100+변수!S39+S39,"")</f>
        <v/>
      </c>
      <c r="T38" s="20">
        <f>IFERROR(SLS!P62/100+변수!T39+T39,"")</f>
        <v/>
      </c>
      <c r="U38" s="20">
        <f>IFERROR(SLS!Q62/100+변수!U39+U39,"")</f>
        <v/>
      </c>
      <c r="V38" s="20">
        <f>IFERROR(SLS!R62/100+변수!V39+V39,"")</f>
        <v/>
      </c>
      <c r="W38" s="38">
        <f>SUM(S38:V38)</f>
        <v/>
      </c>
    </row>
    <row r="39">
      <c r="A39" s="12" t="inlineStr">
        <is>
          <t>매출조선신규</t>
        </is>
      </c>
      <c r="B39" t="inlineStr">
        <is>
          <t>사업부</t>
        </is>
      </c>
      <c r="C39" t="inlineStr">
        <is>
          <t>억원</t>
        </is>
      </c>
      <c r="D39" t="inlineStr">
        <is>
          <t>매출 조선·해양(선박) 신규수주(forecast_panel base(공시 상계) — 매출조선에 포함)</t>
        </is>
      </c>
      <c r="E39" s="18" t="n"/>
      <c r="F39" s="18" t="n"/>
      <c r="G39" s="18" t="n"/>
      <c r="H39" s="37" t="n"/>
      <c r="I39" s="20" t="n">
        <v>0</v>
      </c>
      <c r="J39" s="41" t="n">
        <v>0</v>
      </c>
      <c r="K39" s="20">
        <f>변수!K40</f>
        <v/>
      </c>
      <c r="L39" s="20">
        <f>변수!L40</f>
        <v/>
      </c>
      <c r="M39" s="38">
        <f>SUM(I39:L39)</f>
        <v/>
      </c>
      <c r="N39" s="20">
        <f>변수!N40</f>
        <v/>
      </c>
      <c r="O39" s="20">
        <f>변수!O40</f>
        <v/>
      </c>
      <c r="P39" s="20">
        <f>변수!P40</f>
        <v/>
      </c>
      <c r="Q39" s="20">
        <f>변수!Q40</f>
        <v/>
      </c>
      <c r="R39" s="38">
        <f>SUM(N39:Q39)</f>
        <v/>
      </c>
      <c r="S39" s="20">
        <f>변수!S40</f>
        <v/>
      </c>
      <c r="T39" s="20">
        <f>변수!T40</f>
        <v/>
      </c>
      <c r="U39" s="20">
        <f>변수!U40</f>
        <v/>
      </c>
      <c r="V39" s="20">
        <f>변수!V40</f>
        <v/>
      </c>
      <c r="W39" s="38">
        <f>SUM(S39:V39)</f>
        <v/>
      </c>
    </row>
    <row r="40">
      <c r="A40" s="12" t="inlineStr">
        <is>
          <t>OP조선</t>
        </is>
      </c>
      <c r="B40" t="inlineStr">
        <is>
          <t>사업부</t>
        </is>
      </c>
      <c r="C40" t="inlineStr">
        <is>
          <t>억원</t>
        </is>
      </c>
      <c r="D40" t="inlineStr">
        <is>
          <t>OP 조선·해양(선박)</t>
        </is>
      </c>
      <c r="E40" s="18" t="n"/>
      <c r="F40" s="18" t="n"/>
      <c r="G40" s="18" t="n"/>
      <c r="H40" s="37" t="n"/>
      <c r="I40" s="18" t="n"/>
      <c r="J40" s="19" t="n"/>
      <c r="K40" s="20">
        <f>IFERROR(K38*변수!K41,"")</f>
        <v/>
      </c>
      <c r="L40" s="20">
        <f>IFERROR(L38*변수!L41,"")</f>
        <v/>
      </c>
      <c r="M40" s="38">
        <f>SUM(I40:L40)</f>
        <v/>
      </c>
      <c r="N40" s="20">
        <f>IFERROR(N38*변수!N41,"")</f>
        <v/>
      </c>
      <c r="O40" s="20">
        <f>IFERROR(O38*변수!O41,"")</f>
        <v/>
      </c>
      <c r="P40" s="20">
        <f>IFERROR(P38*변수!P41,"")</f>
        <v/>
      </c>
      <c r="Q40" s="20">
        <f>IFERROR(Q38*변수!Q41,"")</f>
        <v/>
      </c>
      <c r="R40" s="38">
        <f>SUM(N40:Q40)</f>
        <v/>
      </c>
      <c r="S40" s="20">
        <f>IFERROR(S38*변수!S41,"")</f>
        <v/>
      </c>
      <c r="T40" s="20">
        <f>IFERROR(T38*변수!T41,"")</f>
        <v/>
      </c>
      <c r="U40" s="20">
        <f>IFERROR(U38*변수!U41,"")</f>
        <v/>
      </c>
      <c r="V40" s="20">
        <f>IFERROR(V38*변수!V41,"")</f>
        <v/>
      </c>
      <c r="W40" s="38">
        <f>SUM(S40:V40)</f>
        <v/>
      </c>
    </row>
    <row r="41">
      <c r="A41" s="12" t="inlineStr">
        <is>
          <t>OP조선신규</t>
        </is>
      </c>
      <c r="B41" t="inlineStr">
        <is>
          <t>사업부</t>
        </is>
      </c>
      <c r="C41" t="inlineStr">
        <is>
          <t>억원</t>
        </is>
      </c>
      <c r="D41" t="inlineStr">
        <is>
          <t>OP 조선·해양(선박) 신규수주(매출조선신규 × OPM — OP조선에 포함)</t>
        </is>
      </c>
      <c r="E41" s="18" t="n"/>
      <c r="F41" s="18" t="n"/>
      <c r="G41" s="18" t="n"/>
      <c r="H41" s="37" t="n"/>
      <c r="I41" s="20" t="n">
        <v>0</v>
      </c>
      <c r="J41" s="41" t="n">
        <v>0</v>
      </c>
      <c r="K41" s="20">
        <f>IFERROR(K39*변수!K41,"")</f>
        <v/>
      </c>
      <c r="L41" s="20">
        <f>IFERROR(L39*변수!L41,"")</f>
        <v/>
      </c>
      <c r="M41" s="38">
        <f>SUM(I41:L41)</f>
        <v/>
      </c>
      <c r="N41" s="20">
        <f>IFERROR(N39*변수!N41,"")</f>
        <v/>
      </c>
      <c r="O41" s="20">
        <f>IFERROR(O39*변수!O41,"")</f>
        <v/>
      </c>
      <c r="P41" s="20">
        <f>IFERROR(P39*변수!P41,"")</f>
        <v/>
      </c>
      <c r="Q41" s="20">
        <f>IFERROR(Q39*변수!Q41,"")</f>
        <v/>
      </c>
      <c r="R41" s="38">
        <f>SUM(N41:Q41)</f>
        <v/>
      </c>
      <c r="S41" s="20">
        <f>IFERROR(S39*변수!S41,"")</f>
        <v/>
      </c>
      <c r="T41" s="20">
        <f>IFERROR(T39*변수!T41,"")</f>
        <v/>
      </c>
      <c r="U41" s="20">
        <f>IFERROR(U39*변수!U41,"")</f>
        <v/>
      </c>
      <c r="V41" s="20">
        <f>IFERROR(V39*변수!V41,"")</f>
        <v/>
      </c>
      <c r="W41" s="38">
        <f>SUM(S41:V41)</f>
        <v/>
      </c>
    </row>
    <row r="42">
      <c r="A42" s="12" t="inlineStr">
        <is>
          <t>매출기타</t>
        </is>
      </c>
      <c r="B42" t="inlineStr">
        <is>
          <t>사업부</t>
        </is>
      </c>
      <c r="C42" t="inlineStr">
        <is>
          <t>억원</t>
        </is>
      </c>
      <c r="D42" t="inlineStr">
        <is>
          <t>매출 기타 부문(총매출 − 조선)</t>
        </is>
      </c>
      <c r="E42" s="18" t="n"/>
      <c r="F42" s="18" t="n">
        <v>19.38</v>
      </c>
      <c r="G42" s="18" t="n">
        <v>22.56</v>
      </c>
      <c r="H42" s="37" t="n"/>
      <c r="I42" s="18" t="n">
        <v>20.55</v>
      </c>
      <c r="J42" s="19" t="n">
        <v>30.33</v>
      </c>
      <c r="K42" s="20">
        <f>IFERROR(F42*(1+변수!K42),"")</f>
        <v/>
      </c>
      <c r="L42" s="20">
        <f>IFERROR(G42*(1+변수!L42),"")</f>
        <v/>
      </c>
      <c r="M42" s="38">
        <f>SUM(I42:L42)</f>
        <v/>
      </c>
      <c r="N42" s="20">
        <f>IFERROR(I42*(1+변수!N42),"")</f>
        <v/>
      </c>
      <c r="O42" s="20">
        <f>IFERROR(J42*(1+변수!O42),"")</f>
        <v/>
      </c>
      <c r="P42" s="20">
        <f>IFERROR(K42*(1+변수!P42),"")</f>
        <v/>
      </c>
      <c r="Q42" s="20">
        <f>IFERROR(L42*(1+변수!Q42),"")</f>
        <v/>
      </c>
      <c r="R42" s="38">
        <f>SUM(N42:Q42)</f>
        <v/>
      </c>
      <c r="S42" s="20">
        <f>IFERROR(N42*(1+변수!S42),"")</f>
        <v/>
      </c>
      <c r="T42" s="20">
        <f>IFERROR(O42*(1+변수!T42),"")</f>
        <v/>
      </c>
      <c r="U42" s="20">
        <f>IFERROR(P42*(1+변수!U42),"")</f>
        <v/>
      </c>
      <c r="V42" s="20">
        <f>IFERROR(Q42*(1+변수!V42),"")</f>
        <v/>
      </c>
      <c r="W42" s="38">
        <f>SUM(S42:V42)</f>
        <v/>
      </c>
    </row>
    <row r="43">
      <c r="A43" s="12" t="inlineStr">
        <is>
          <t>OP기타</t>
        </is>
      </c>
      <c r="B43" t="inlineStr">
        <is>
          <t>사업부</t>
        </is>
      </c>
      <c r="C43" t="inlineStr">
        <is>
          <t>억원</t>
        </is>
      </c>
      <c r="D43" t="inlineStr">
        <is>
          <t>OP 기타 부문(총매출 − 조선)</t>
        </is>
      </c>
      <c r="E43" s="18" t="n"/>
      <c r="F43" s="18" t="n"/>
      <c r="G43" s="18" t="n"/>
      <c r="H43" s="37" t="n"/>
      <c r="I43" s="18" t="n"/>
      <c r="J43" s="19" t="n"/>
      <c r="K43" s="20">
        <f>IFERROR(K42*변수!K43,"")</f>
        <v/>
      </c>
      <c r="L43" s="20">
        <f>IFERROR(L42*변수!L43,"")</f>
        <v/>
      </c>
      <c r="M43" s="38">
        <f>SUM(I43:L43)</f>
        <v/>
      </c>
      <c r="N43" s="20">
        <f>IFERROR(N42*변수!N43,"")</f>
        <v/>
      </c>
      <c r="O43" s="20">
        <f>IFERROR(O42*변수!O43,"")</f>
        <v/>
      </c>
      <c r="P43" s="20">
        <f>IFERROR(P42*변수!P43,"")</f>
        <v/>
      </c>
      <c r="Q43" s="20">
        <f>IFERROR(Q42*변수!Q43,"")</f>
        <v/>
      </c>
      <c r="R43" s="38">
        <f>SUM(N43:Q43)</f>
        <v/>
      </c>
      <c r="S43" s="20">
        <f>IFERROR(S42*변수!S43,"")</f>
        <v/>
      </c>
      <c r="T43" s="20">
        <f>IFERROR(T42*변수!T43,"")</f>
        <v/>
      </c>
      <c r="U43" s="20">
        <f>IFERROR(U42*변수!U43,"")</f>
        <v/>
      </c>
      <c r="V43" s="20">
        <f>IFERROR(V42*변수!V43,"")</f>
        <v/>
      </c>
      <c r="W43" s="38">
        <f>SUM(S43:V43)</f>
        <v/>
      </c>
    </row>
    <row r="44">
      <c r="B44" s="2" t="inlineStr">
        <is>
          <t>비율(참고)</t>
        </is>
      </c>
      <c r="H44" s="9" t="n"/>
      <c r="J44" s="5" t="n"/>
      <c r="K44" s="10" t="n"/>
      <c r="L44" s="10" t="n"/>
      <c r="M44" s="11" t="n"/>
      <c r="N44" s="10" t="n"/>
      <c r="O44" s="10" t="n"/>
      <c r="P44" s="10" t="n"/>
      <c r="Q44" s="10" t="n"/>
      <c r="R44" s="11" t="n"/>
      <c r="S44" s="10" t="n"/>
      <c r="T44" s="10" t="n"/>
      <c r="U44" s="10" t="n"/>
      <c r="V44" s="10" t="n"/>
      <c r="W44" s="11" t="n"/>
    </row>
    <row r="45">
      <c r="A45" s="12" t="inlineStr">
        <is>
          <t>NPM</t>
        </is>
      </c>
      <c r="C45" t="inlineStr">
        <is>
          <t>%</t>
        </is>
      </c>
      <c r="D45" t="inlineStr">
        <is>
          <t>지배주주순이익 / 매출액</t>
        </is>
      </c>
      <c r="E45" s="21">
        <f>IFERROR(E21/E5,"")</f>
        <v/>
      </c>
      <c r="F45" s="21">
        <f>IFERROR(F21/F5,"")</f>
        <v/>
      </c>
      <c r="G45" s="21">
        <f>IFERROR(G21/G5,"")</f>
        <v/>
      </c>
      <c r="H45" s="22">
        <f>IFERROR(H21/H5,"")</f>
        <v/>
      </c>
      <c r="I45" s="21">
        <f>IFERROR(I21/I5,"")</f>
        <v/>
      </c>
      <c r="J45" s="23">
        <f>IFERROR(J21/J5,"")</f>
        <v/>
      </c>
      <c r="K45" s="32">
        <f>IFERROR(K21/K5,"")</f>
        <v/>
      </c>
      <c r="L45" s="32">
        <f>IFERROR(L21/L5,"")</f>
        <v/>
      </c>
      <c r="M45" s="25">
        <f>IFERROR(M21/M5,"")</f>
        <v/>
      </c>
      <c r="N45" s="32">
        <f>IFERROR(N21/N5,"")</f>
        <v/>
      </c>
      <c r="O45" s="32">
        <f>IFERROR(O21/O5,"")</f>
        <v/>
      </c>
      <c r="P45" s="32">
        <f>IFERROR(P21/P5,"")</f>
        <v/>
      </c>
      <c r="Q45" s="32">
        <f>IFERROR(Q21/Q5,"")</f>
        <v/>
      </c>
      <c r="R45" s="25">
        <f>IFERROR(R21/R5,"")</f>
        <v/>
      </c>
      <c r="S45" s="32">
        <f>IFERROR(S21/S5,"")</f>
        <v/>
      </c>
      <c r="T45" s="32">
        <f>IFERROR(T21/T5,"")</f>
        <v/>
      </c>
      <c r="U45" s="32">
        <f>IFERROR(U21/U5,"")</f>
        <v/>
      </c>
      <c r="V45" s="32">
        <f>IFERROR(V21/V5,"")</f>
        <v/>
      </c>
      <c r="W45" s="25">
        <f>IFERROR(W21/W5,"")</f>
        <v/>
      </c>
    </row>
    <row r="46">
      <c r="A46" s="12" t="inlineStr">
        <is>
          <t>매출원가율</t>
        </is>
      </c>
      <c r="C46" t="inlineStr">
        <is>
          <t>%</t>
        </is>
      </c>
      <c r="D46" t="inlineStr">
        <is>
          <t>매출원가 / 매출액</t>
        </is>
      </c>
      <c r="E46" s="21">
        <f>IFERROR(E6/E5,"")</f>
        <v/>
      </c>
      <c r="F46" s="21">
        <f>IFERROR(F6/F5,"")</f>
        <v/>
      </c>
      <c r="G46" s="21">
        <f>IFERROR(G6/G5,"")</f>
        <v/>
      </c>
      <c r="H46" s="22">
        <f>IFERROR(H6/H5,"")</f>
        <v/>
      </c>
      <c r="I46" s="21">
        <f>IFERROR(I6/I5,"")</f>
        <v/>
      </c>
      <c r="J46" s="23">
        <f>IFERROR(J6/J5,"")</f>
        <v/>
      </c>
      <c r="K46" s="32">
        <f>IFERROR(K6/K5,"")</f>
        <v/>
      </c>
      <c r="L46" s="32">
        <f>IFERROR(L6/L5,"")</f>
        <v/>
      </c>
      <c r="M46" s="25">
        <f>IFERROR(M6/M5,"")</f>
        <v/>
      </c>
      <c r="N46" s="32">
        <f>IFERROR(N6/N5,"")</f>
        <v/>
      </c>
      <c r="O46" s="32">
        <f>IFERROR(O6/O5,"")</f>
        <v/>
      </c>
      <c r="P46" s="32">
        <f>IFERROR(P6/P5,"")</f>
        <v/>
      </c>
      <c r="Q46" s="32">
        <f>IFERROR(Q6/Q5,"")</f>
        <v/>
      </c>
      <c r="R46" s="25">
        <f>IFERROR(R6/R5,"")</f>
        <v/>
      </c>
      <c r="S46" s="32">
        <f>IFERROR(S6/S5,"")</f>
        <v/>
      </c>
      <c r="T46" s="32">
        <f>IFERROR(T6/T5,"")</f>
        <v/>
      </c>
      <c r="U46" s="32">
        <f>IFERROR(U6/U5,"")</f>
        <v/>
      </c>
      <c r="V46" s="32">
        <f>IFERROR(V6/V5,"")</f>
        <v/>
      </c>
      <c r="W46" s="25">
        <f>IFERROR(W6/W5,"")</f>
        <v/>
      </c>
    </row>
    <row r="47">
      <c r="A47" s="12" t="inlineStr">
        <is>
          <t>판관비율</t>
        </is>
      </c>
      <c r="C47" t="inlineStr">
        <is>
          <t>%</t>
        </is>
      </c>
      <c r="D47" t="inlineStr">
        <is>
          <t>판관비 / 매출액</t>
        </is>
      </c>
      <c r="E47" s="21">
        <f>IFERROR(E8/E5,"")</f>
        <v/>
      </c>
      <c r="F47" s="21">
        <f>IFERROR(F8/F5,"")</f>
        <v/>
      </c>
      <c r="G47" s="21">
        <f>IFERROR(G8/G5,"")</f>
        <v/>
      </c>
      <c r="H47" s="22">
        <f>IFERROR(H8/H5,"")</f>
        <v/>
      </c>
      <c r="I47" s="21">
        <f>IFERROR(I8/I5,"")</f>
        <v/>
      </c>
      <c r="J47" s="23">
        <f>IFERROR(J8/J5,"")</f>
        <v/>
      </c>
      <c r="K47" s="32">
        <f>IFERROR(K8/K5,"")</f>
        <v/>
      </c>
      <c r="L47" s="32">
        <f>IFERROR(L8/L5,"")</f>
        <v/>
      </c>
      <c r="M47" s="25">
        <f>IFERROR(M8/M5,"")</f>
        <v/>
      </c>
      <c r="N47" s="32">
        <f>IFERROR(N8/N5,"")</f>
        <v/>
      </c>
      <c r="O47" s="32">
        <f>IFERROR(O8/O5,"")</f>
        <v/>
      </c>
      <c r="P47" s="32">
        <f>IFERROR(P8/P5,"")</f>
        <v/>
      </c>
      <c r="Q47" s="32">
        <f>IFERROR(Q8/Q5,"")</f>
        <v/>
      </c>
      <c r="R47" s="25">
        <f>IFERROR(R8/R5,"")</f>
        <v/>
      </c>
      <c r="S47" s="32">
        <f>IFERROR(S8/S5,"")</f>
        <v/>
      </c>
      <c r="T47" s="32">
        <f>IFERROR(T8/T5,"")</f>
        <v/>
      </c>
      <c r="U47" s="32">
        <f>IFERROR(U8/U5,"")</f>
        <v/>
      </c>
      <c r="V47" s="32">
        <f>IFERROR(V8/V5,"")</f>
        <v/>
      </c>
      <c r="W47" s="25">
        <f>IFERROR(W8/W5,"")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8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</cols>
  <sheetData>
    <row r="1">
      <c r="C1" s="2" t="inlineStr">
        <is>
          <t>이름: SLS_H · 선표 매출인식(백만$) — sls json origin 2026Q2</t>
        </is>
      </c>
      <c r="E1" s="3" t="inlineStr">
        <is>
          <t>3Q25</t>
        </is>
      </c>
      <c r="F1" s="3" t="inlineStr">
        <is>
          <t>4Q25</t>
        </is>
      </c>
      <c r="G1" s="3" t="inlineStr">
        <is>
          <t>1Q26</t>
        </is>
      </c>
      <c r="H1" s="3" t="inlineStr">
        <is>
          <t>2Q26</t>
        </is>
      </c>
      <c r="I1" s="3" t="inlineStr">
        <is>
          <t>3Q26</t>
        </is>
      </c>
      <c r="J1" s="3" t="inlineStr">
        <is>
          <t>4Q26</t>
        </is>
      </c>
      <c r="K1" s="3" t="inlineStr">
        <is>
          <t>1Q27</t>
        </is>
      </c>
      <c r="L1" s="3" t="inlineStr">
        <is>
          <t>2Q27</t>
        </is>
      </c>
      <c r="M1" s="3" t="inlineStr">
        <is>
          <t>3Q27</t>
        </is>
      </c>
      <c r="N1" s="3" t="inlineStr">
        <is>
          <t>4Q27</t>
        </is>
      </c>
      <c r="O1" s="3" t="inlineStr">
        <is>
          <t>1Q28</t>
        </is>
      </c>
      <c r="P1" s="3" t="inlineStr">
        <is>
          <t>2Q28</t>
        </is>
      </c>
      <c r="Q1" s="3" t="inlineStr">
        <is>
          <t>3Q28</t>
        </is>
      </c>
      <c r="R1" s="3" t="inlineStr">
        <is>
          <t>4Q28</t>
        </is>
      </c>
      <c r="S1" s="3" t="inlineStr">
        <is>
          <t>1Q29</t>
        </is>
      </c>
      <c r="T1" s="3" t="inlineStr">
        <is>
          <t>2Q29</t>
        </is>
      </c>
      <c r="U1" s="3" t="inlineStr">
        <is>
          <t>3Q29</t>
        </is>
      </c>
      <c r="V1" s="3" t="inlineStr">
        <is>
          <t>4Q29</t>
        </is>
      </c>
      <c r="W1" s="3" t="n">
        <v>2025</v>
      </c>
      <c r="X1" s="3" t="n">
        <v>2026</v>
      </c>
      <c r="Y1" s="3" t="n">
        <v>2027</v>
      </c>
      <c r="Z1" s="3" t="n">
        <v>2028</v>
      </c>
      <c r="AA1" s="3" t="n">
        <v>2029</v>
      </c>
    </row>
    <row r="2">
      <c r="A2" s="2" t="inlineStr">
        <is>
          <t>코호트 표(레퍼런스 실측 캘리브레이션): ①적자 −1.1% ②BEP 1% ③중마진 4.3% ④호황 5.4% ⑤초호황 10.8% — 회사별 캘리브레이션은 target_opm.basis 참조 · 코호트 모드 reference_anchor(대안 ledger_relative) · 잔고 캡 적용 × 0.8593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</row>
    <row r="4">
      <c r="E4" s="7" t="inlineStr">
        <is>
          <t>2025.09</t>
        </is>
      </c>
      <c r="F4" s="7" t="inlineStr">
        <is>
          <t>2025.12</t>
        </is>
      </c>
      <c r="G4" s="7" t="inlineStr">
        <is>
          <t>2026.03</t>
        </is>
      </c>
      <c r="H4" s="7" t="inlineStr">
        <is>
          <t>2026.06</t>
        </is>
      </c>
      <c r="I4" s="7" t="inlineStr">
        <is>
          <t>2026.09</t>
        </is>
      </c>
      <c r="J4" s="7" t="inlineStr">
        <is>
          <t>2026.12</t>
        </is>
      </c>
      <c r="K4" s="7" t="inlineStr">
        <is>
          <t>2027.03</t>
        </is>
      </c>
      <c r="L4" s="7" t="inlineStr">
        <is>
          <t>2027.06</t>
        </is>
      </c>
      <c r="M4" s="7" t="inlineStr">
        <is>
          <t>2027.09</t>
        </is>
      </c>
      <c r="N4" s="7" t="inlineStr">
        <is>
          <t>2027.12</t>
        </is>
      </c>
      <c r="O4" s="7" t="inlineStr">
        <is>
          <t>2028.03</t>
        </is>
      </c>
      <c r="P4" s="7" t="inlineStr">
        <is>
          <t>2028.06</t>
        </is>
      </c>
      <c r="Q4" s="7" t="inlineStr">
        <is>
          <t>2028.09</t>
        </is>
      </c>
      <c r="R4" s="7" t="inlineStr">
        <is>
          <t>2028.12</t>
        </is>
      </c>
      <c r="S4" s="7" t="inlineStr">
        <is>
          <t>2029.03</t>
        </is>
      </c>
      <c r="T4" s="7" t="inlineStr">
        <is>
          <t>2029.06</t>
        </is>
      </c>
      <c r="U4" s="7" t="inlineStr">
        <is>
          <t>2029.09</t>
        </is>
      </c>
      <c r="V4" s="7" t="inlineStr">
        <is>
          <t>2029.12</t>
        </is>
      </c>
      <c r="W4" s="7" t="inlineStr">
        <is>
          <t>2025.12A</t>
        </is>
      </c>
      <c r="X4" s="7" t="inlineStr">
        <is>
          <t>2026.12A</t>
        </is>
      </c>
      <c r="Y4" s="7" t="inlineStr">
        <is>
          <t>2027.12A</t>
        </is>
      </c>
      <c r="Z4" s="7" t="inlineStr">
        <is>
          <t>2028.12A</t>
        </is>
      </c>
      <c r="AA4" s="7" t="inlineStr">
        <is>
          <t>2029.12A</t>
        </is>
      </c>
    </row>
    <row r="5">
      <c r="A5" s="12" t="inlineStr">
        <is>
          <t>usd_m</t>
        </is>
      </c>
      <c r="D5" t="inlineStr">
        <is>
          <t>매출인식 합계(백만$)</t>
        </is>
      </c>
      <c r="E5" s="26" t="n">
        <v>6.893</v>
      </c>
      <c r="F5" s="26" t="n">
        <v>96.164</v>
      </c>
      <c r="G5" s="26" t="n">
        <v>146.311</v>
      </c>
      <c r="H5" s="26" t="n">
        <v>198.344</v>
      </c>
      <c r="I5" s="26" t="n">
        <v>193.641</v>
      </c>
      <c r="J5" s="26" t="n">
        <v>197.139</v>
      </c>
      <c r="K5" s="26" t="n">
        <v>192.854</v>
      </c>
      <c r="L5" s="26" t="n">
        <v>194.997</v>
      </c>
      <c r="M5" s="26" t="n">
        <v>186.248</v>
      </c>
      <c r="N5" s="26" t="n">
        <v>161.938</v>
      </c>
      <c r="O5" s="26" t="n">
        <v>148.336</v>
      </c>
      <c r="P5" s="26" t="n">
        <v>148.336</v>
      </c>
      <c r="Q5" s="26" t="n">
        <v>131.812</v>
      </c>
      <c r="R5" s="26" t="n">
        <v>103.017</v>
      </c>
      <c r="S5" s="26" t="n">
        <v>64.129</v>
      </c>
      <c r="T5" s="26" t="n">
        <v>53.634</v>
      </c>
      <c r="U5" s="26" t="n">
        <v>33.077</v>
      </c>
      <c r="V5" s="26" t="n">
        <v>14.594</v>
      </c>
      <c r="W5" s="26" t="n">
        <v>103.057</v>
      </c>
      <c r="X5" s="26" t="n">
        <v>735.4349999999999</v>
      </c>
      <c r="Y5" s="26" t="n">
        <v>736.037</v>
      </c>
      <c r="Z5" s="26" t="n">
        <v>531.501</v>
      </c>
      <c r="AA5" s="26" t="n">
        <v>165.434</v>
      </c>
    </row>
    <row r="6">
      <c r="A6" s="12" t="inlineStr">
        <is>
          <t>marine_usd_m</t>
        </is>
      </c>
      <c r="D6" t="inlineStr">
        <is>
          <t>해양(type≠OTHER) 합계(백만$)</t>
        </is>
      </c>
      <c r="E6" s="26" t="n">
        <v>6.893</v>
      </c>
      <c r="F6" s="26" t="n">
        <v>96.164</v>
      </c>
      <c r="G6" s="26" t="n">
        <v>146.311</v>
      </c>
      <c r="H6" s="26" t="n">
        <v>198.344</v>
      </c>
      <c r="I6" s="26" t="n">
        <v>193.641</v>
      </c>
      <c r="J6" s="26" t="n">
        <v>197.139</v>
      </c>
      <c r="K6" s="26" t="n">
        <v>192.854</v>
      </c>
      <c r="L6" s="26" t="n">
        <v>194.997</v>
      </c>
      <c r="M6" s="26" t="n">
        <v>186.248</v>
      </c>
      <c r="N6" s="26" t="n">
        <v>161.938</v>
      </c>
      <c r="O6" s="26" t="n">
        <v>148.336</v>
      </c>
      <c r="P6" s="26" t="n">
        <v>148.336</v>
      </c>
      <c r="Q6" s="26" t="n">
        <v>131.812</v>
      </c>
      <c r="R6" s="26" t="n">
        <v>103.017</v>
      </c>
      <c r="S6" s="26" t="n">
        <v>64.129</v>
      </c>
      <c r="T6" s="26" t="n">
        <v>53.634</v>
      </c>
      <c r="U6" s="26" t="n">
        <v>33.077</v>
      </c>
      <c r="V6" s="26" t="n">
        <v>14.594</v>
      </c>
      <c r="W6" s="26" t="n">
        <v>103.057</v>
      </c>
      <c r="X6" s="26" t="n">
        <v>735.4349999999999</v>
      </c>
      <c r="Y6" s="26" t="n">
        <v>736.037</v>
      </c>
      <c r="Z6" s="26" t="n">
        <v>531.501</v>
      </c>
      <c r="AA6" s="26" t="n">
        <v>165.434</v>
      </c>
    </row>
    <row r="7">
      <c r="A7" s="12" t="inlineStr">
        <is>
          <t>type:VLCC</t>
        </is>
      </c>
      <c r="D7" t="inlineStr">
        <is>
          <t>선종 VLCC</t>
        </is>
      </c>
      <c r="E7" s="26" t="n">
        <v>6.893</v>
      </c>
      <c r="F7" s="26" t="n">
        <v>78.02200000000001</v>
      </c>
      <c r="G7" s="26" t="n">
        <v>125.644</v>
      </c>
      <c r="H7" s="26" t="n">
        <v>177.447</v>
      </c>
      <c r="I7" s="26" t="n">
        <v>175.487</v>
      </c>
      <c r="J7" s="26" t="n">
        <v>178.986</v>
      </c>
      <c r="K7" s="26" t="n">
        <v>175.095</v>
      </c>
      <c r="L7" s="26" t="n">
        <v>177.04</v>
      </c>
      <c r="M7" s="26" t="n">
        <v>168.094</v>
      </c>
      <c r="N7" s="26" t="n">
        <v>143.784</v>
      </c>
      <c r="O7" s="26" t="n">
        <v>130.38</v>
      </c>
      <c r="P7" s="26" t="n">
        <v>130.38</v>
      </c>
      <c r="Q7" s="26" t="n">
        <v>131.812</v>
      </c>
      <c r="R7" s="26" t="n">
        <v>103.017</v>
      </c>
      <c r="S7" s="26" t="n">
        <v>64.129</v>
      </c>
      <c r="T7" s="26" t="n">
        <v>53.634</v>
      </c>
      <c r="U7" s="26" t="n">
        <v>33.077</v>
      </c>
      <c r="V7" s="26" t="n">
        <v>14.594</v>
      </c>
      <c r="W7" s="26" t="n">
        <v>84.91500000000001</v>
      </c>
      <c r="X7" s="26" t="n">
        <v>657.564</v>
      </c>
      <c r="Y7" s="26" t="n">
        <v>664.013</v>
      </c>
      <c r="Z7" s="26" t="n">
        <v>495.589</v>
      </c>
      <c r="AA7" s="26" t="n">
        <v>165.434</v>
      </c>
    </row>
    <row r="8">
      <c r="A8" s="12" t="inlineStr">
        <is>
          <t>type:CONT</t>
        </is>
      </c>
      <c r="D8" t="inlineStr">
        <is>
          <t>선종 CONT</t>
        </is>
      </c>
      <c r="F8" s="26" t="n">
        <v>18.142</v>
      </c>
      <c r="G8" s="26" t="n">
        <v>20.668</v>
      </c>
      <c r="H8" s="26" t="n">
        <v>20.897</v>
      </c>
      <c r="I8" s="26" t="n">
        <v>18.154</v>
      </c>
      <c r="J8" s="26" t="n">
        <v>18.154</v>
      </c>
      <c r="K8" s="26" t="n">
        <v>17.759</v>
      </c>
      <c r="L8" s="26" t="n">
        <v>17.957</v>
      </c>
      <c r="M8" s="26" t="n">
        <v>18.154</v>
      </c>
      <c r="N8" s="26" t="n">
        <v>18.154</v>
      </c>
      <c r="O8" s="26" t="n">
        <v>17.957</v>
      </c>
      <c r="P8" s="26" t="n">
        <v>17.957</v>
      </c>
      <c r="W8" s="26" t="n">
        <v>18.142</v>
      </c>
      <c r="X8" s="26" t="n">
        <v>77.873</v>
      </c>
      <c r="Y8" s="26" t="n">
        <v>72.024</v>
      </c>
      <c r="Z8" s="26" t="n">
        <v>35.914</v>
      </c>
    </row>
    <row r="9">
      <c r="A9" s="12" t="inlineStr">
        <is>
          <t>cohort:⑤초호황</t>
        </is>
      </c>
      <c r="D9" t="inlineStr">
        <is>
          <t>코호트 ⑤초호황</t>
        </is>
      </c>
      <c r="E9" s="26" t="n">
        <v>6.893</v>
      </c>
      <c r="F9" s="26" t="n">
        <v>96.164</v>
      </c>
      <c r="G9" s="26" t="n">
        <v>146.311</v>
      </c>
      <c r="H9" s="26" t="n">
        <v>198.344</v>
      </c>
      <c r="I9" s="26" t="n">
        <v>193.641</v>
      </c>
      <c r="J9" s="26" t="n">
        <v>197.139</v>
      </c>
      <c r="K9" s="26" t="n">
        <v>192.854</v>
      </c>
      <c r="L9" s="26" t="n">
        <v>194.997</v>
      </c>
      <c r="M9" s="26" t="n">
        <v>186.248</v>
      </c>
      <c r="N9" s="26" t="n">
        <v>161.938</v>
      </c>
      <c r="O9" s="26" t="n">
        <v>148.336</v>
      </c>
      <c r="P9" s="26" t="n">
        <v>148.336</v>
      </c>
      <c r="Q9" s="26" t="n">
        <v>131.812</v>
      </c>
      <c r="R9" s="26" t="n">
        <v>103.017</v>
      </c>
      <c r="S9" s="26" t="n">
        <v>64.129</v>
      </c>
      <c r="T9" s="26" t="n">
        <v>53.634</v>
      </c>
      <c r="U9" s="26" t="n">
        <v>33.077</v>
      </c>
      <c r="V9" s="26" t="n">
        <v>14.594</v>
      </c>
      <c r="W9" s="26" t="n">
        <v>103.057</v>
      </c>
      <c r="X9" s="26" t="n">
        <v>735.4349999999999</v>
      </c>
      <c r="Y9" s="26" t="n">
        <v>736.037</v>
      </c>
      <c r="Z9" s="26" t="n">
        <v>531.501</v>
      </c>
      <c r="AA9" s="26" t="n">
        <v>165.434</v>
      </c>
    </row>
    <row r="10">
      <c r="A10" s="12" t="inlineStr">
        <is>
          <t>hedge_ratio</t>
        </is>
      </c>
      <c r="D10" t="inlineStr">
        <is>
          <t>헤지비율</t>
        </is>
      </c>
      <c r="E10" s="21" t="n">
        <v>0.7</v>
      </c>
      <c r="F10" s="21" t="n">
        <v>0.7</v>
      </c>
      <c r="G10" s="21" t="n">
        <v>0.7</v>
      </c>
      <c r="H10" s="21" t="n">
        <v>0.7</v>
      </c>
      <c r="I10" s="21" t="n">
        <v>0.7</v>
      </c>
      <c r="J10" s="21" t="n">
        <v>0.7</v>
      </c>
      <c r="K10" s="21" t="n">
        <v>0.7</v>
      </c>
      <c r="L10" s="21" t="n">
        <v>0.7</v>
      </c>
      <c r="M10" s="21" t="n">
        <v>0.7</v>
      </c>
      <c r="N10" s="21" t="n">
        <v>0.7</v>
      </c>
      <c r="O10" s="21" t="n">
        <v>0.7</v>
      </c>
      <c r="P10" s="21" t="n">
        <v>0.7</v>
      </c>
      <c r="Q10" s="21" t="n">
        <v>0.7</v>
      </c>
      <c r="R10" s="21" t="n">
        <v>0.7</v>
      </c>
      <c r="S10" s="21" t="n">
        <v>0.7</v>
      </c>
      <c r="T10" s="21" t="n">
        <v>0.7</v>
      </c>
      <c r="U10" s="21" t="n">
        <v>0.7</v>
      </c>
      <c r="V10" s="21" t="n">
        <v>0.7</v>
      </c>
    </row>
    <row r="11">
      <c r="A11" s="12" t="inlineStr">
        <is>
          <t>hedge_rate</t>
        </is>
      </c>
      <c r="D11" t="inlineStr">
        <is>
          <t>헤지환율(가중)</t>
        </is>
      </c>
      <c r="E11" s="13" t="n">
        <v>1386.95</v>
      </c>
      <c r="F11" s="13" t="n">
        <v>1402</v>
      </c>
      <c r="G11" s="13" t="n">
        <v>1423.95</v>
      </c>
      <c r="H11" s="13" t="n">
        <v>1436.87</v>
      </c>
      <c r="I11" s="13" t="n">
        <v>1439.52</v>
      </c>
      <c r="J11" s="13" t="n">
        <v>1439.15</v>
      </c>
      <c r="K11" s="13" t="n">
        <v>1439.15</v>
      </c>
      <c r="L11" s="13" t="n">
        <v>1439.15</v>
      </c>
      <c r="M11" s="13" t="n">
        <v>1442.21</v>
      </c>
      <c r="N11" s="13" t="n">
        <v>1450.5</v>
      </c>
      <c r="O11" s="13" t="n">
        <v>1451.85</v>
      </c>
      <c r="P11" s="13" t="n">
        <v>1451.85</v>
      </c>
      <c r="Q11" s="13" t="n">
        <v>1452.22</v>
      </c>
      <c r="R11" s="13" t="n">
        <v>1467.12</v>
      </c>
      <c r="S11" s="13" t="n">
        <v>1459.16</v>
      </c>
      <c r="T11" s="13" t="n">
        <v>1457.71</v>
      </c>
      <c r="U11" s="13" t="n">
        <v>1448.18</v>
      </c>
      <c r="V11" s="13" t="n">
        <v>1420.69</v>
      </c>
    </row>
    <row r="12">
      <c r="A12" s="12" t="inlineStr">
        <is>
          <t>spot_assumed</t>
        </is>
      </c>
      <c r="D12" t="inlineStr">
        <is>
          <t>건조시점 환율(sls 가정)</t>
        </is>
      </c>
      <c r="E12" s="13" t="n">
        <v>1386.95</v>
      </c>
      <c r="F12" s="13" t="n">
        <v>1449.19</v>
      </c>
      <c r="G12" s="13" t="n">
        <v>1466.12</v>
      </c>
      <c r="H12" s="13" t="n">
        <v>1501.75</v>
      </c>
      <c r="I12" s="13" t="n">
        <v>1418.75</v>
      </c>
      <c r="J12" s="13" t="n">
        <v>1343.39</v>
      </c>
      <c r="K12" s="13" t="n">
        <v>1341.45</v>
      </c>
      <c r="L12" s="13" t="n">
        <v>1341.45</v>
      </c>
      <c r="M12" s="13" t="n">
        <v>1341.45</v>
      </c>
      <c r="N12" s="13" t="n">
        <v>1341.45</v>
      </c>
      <c r="O12" s="13" t="n">
        <v>1341.45</v>
      </c>
      <c r="P12" s="13" t="n">
        <v>1341.45</v>
      </c>
      <c r="Q12" s="13" t="n">
        <v>1341.45</v>
      </c>
      <c r="R12" s="13" t="n">
        <v>1341.45</v>
      </c>
      <c r="S12" s="13" t="n">
        <v>1341.45</v>
      </c>
      <c r="T12" s="13" t="n">
        <v>1341.45</v>
      </c>
      <c r="U12" s="13" t="n">
        <v>1341.45</v>
      </c>
      <c r="V12" s="13" t="n">
        <v>1341.45</v>
      </c>
    </row>
    <row r="13">
      <c r="A13" s="12" t="inlineStr">
        <is>
          <t>applied_rate</t>
        </is>
      </c>
      <c r="D13" t="inlineStr">
        <is>
          <t>적용환율</t>
        </is>
      </c>
      <c r="E13" s="13" t="n">
        <v>1386.95</v>
      </c>
      <c r="F13" s="13" t="n">
        <v>1416.15</v>
      </c>
      <c r="G13" s="13" t="n">
        <v>1436.6</v>
      </c>
      <c r="H13" s="13" t="n">
        <v>1456.34</v>
      </c>
      <c r="I13" s="13" t="n">
        <v>1433.29</v>
      </c>
      <c r="J13" s="13" t="n">
        <v>1410.42</v>
      </c>
      <c r="K13" s="13" t="n">
        <v>1409.84</v>
      </c>
      <c r="L13" s="13" t="n">
        <v>1409.84</v>
      </c>
      <c r="M13" s="13" t="n">
        <v>1411.98</v>
      </c>
      <c r="N13" s="13" t="n">
        <v>1417.79</v>
      </c>
      <c r="O13" s="13" t="n">
        <v>1418.73</v>
      </c>
      <c r="P13" s="13" t="n">
        <v>1418.73</v>
      </c>
      <c r="Q13" s="13" t="n">
        <v>1418.99</v>
      </c>
      <c r="R13" s="13" t="n">
        <v>1429.42</v>
      </c>
      <c r="S13" s="13" t="n">
        <v>1423.85</v>
      </c>
      <c r="T13" s="13" t="n">
        <v>1422.83</v>
      </c>
      <c r="U13" s="13" t="n">
        <v>1416.16</v>
      </c>
      <c r="V13" s="13" t="n">
        <v>1396.92</v>
      </c>
    </row>
    <row r="14">
      <c r="A14" s="12" t="inlineStr">
        <is>
          <t>hedged_krw_m</t>
        </is>
      </c>
      <c r="D14" t="inlineStr">
        <is>
          <t>헤지적용 원화매출(백만원)</t>
        </is>
      </c>
      <c r="E14" s="18" t="n">
        <v>9559.6</v>
      </c>
      <c r="F14" s="18" t="n">
        <v>136182.6</v>
      </c>
      <c r="G14" s="18" t="n">
        <v>210190.8</v>
      </c>
      <c r="H14" s="18" t="n">
        <v>288856.2</v>
      </c>
      <c r="I14" s="18" t="n">
        <v>277543</v>
      </c>
      <c r="J14" s="18" t="n">
        <v>278050.2</v>
      </c>
      <c r="K14" s="18" t="n">
        <v>271893.4</v>
      </c>
      <c r="L14" s="18" t="n">
        <v>274914.5</v>
      </c>
      <c r="M14" s="18" t="n">
        <v>262977.6</v>
      </c>
      <c r="N14" s="18" t="n">
        <v>229593.4</v>
      </c>
      <c r="O14" s="18" t="n">
        <v>210449.4</v>
      </c>
      <c r="P14" s="18" t="n">
        <v>210449.4</v>
      </c>
      <c r="Q14" s="18" t="n">
        <v>187040.3</v>
      </c>
      <c r="R14" s="18" t="n">
        <v>147255.2</v>
      </c>
      <c r="S14" s="18" t="n">
        <v>91310.39999999999</v>
      </c>
      <c r="T14" s="18" t="n">
        <v>76312.39999999999</v>
      </c>
      <c r="U14" s="18" t="n">
        <v>46842.8</v>
      </c>
      <c r="V14" s="18" t="n">
        <v>20387.3</v>
      </c>
      <c r="W14" s="18" t="n">
        <v>145742.2</v>
      </c>
      <c r="X14" s="18" t="n">
        <v>1054640.2</v>
      </c>
      <c r="Y14" s="18" t="n">
        <v>1039378.9</v>
      </c>
      <c r="Z14" s="18" t="n">
        <v>755194.3</v>
      </c>
      <c r="AA14" s="18" t="n">
        <v>234852.9</v>
      </c>
    </row>
    <row r="15">
      <c r="A15" s="12" t="inlineStr">
        <is>
          <t>marine_hedged_krw_m</t>
        </is>
      </c>
      <c r="D15" t="inlineStr">
        <is>
          <t>해양 원화(백만원)</t>
        </is>
      </c>
      <c r="E15" s="18" t="n">
        <v>9559.6</v>
      </c>
      <c r="F15" s="18" t="n">
        <v>136182.6</v>
      </c>
      <c r="G15" s="18" t="n">
        <v>210190.8</v>
      </c>
      <c r="H15" s="18" t="n">
        <v>288856.2</v>
      </c>
      <c r="I15" s="18" t="n">
        <v>277543</v>
      </c>
      <c r="J15" s="18" t="n">
        <v>278050.2</v>
      </c>
      <c r="K15" s="18" t="n">
        <v>271893.4</v>
      </c>
      <c r="L15" s="18" t="n">
        <v>274914.5</v>
      </c>
      <c r="M15" s="18" t="n">
        <v>262977.6</v>
      </c>
      <c r="N15" s="18" t="n">
        <v>229593.4</v>
      </c>
      <c r="O15" s="18" t="n">
        <v>210449.4</v>
      </c>
      <c r="P15" s="18" t="n">
        <v>210449.4</v>
      </c>
      <c r="Q15" s="18" t="n">
        <v>187040.3</v>
      </c>
      <c r="R15" s="18" t="n">
        <v>147255.2</v>
      </c>
      <c r="S15" s="18" t="n">
        <v>91310.39999999999</v>
      </c>
      <c r="T15" s="18" t="n">
        <v>76312.39999999999</v>
      </c>
      <c r="U15" s="18" t="n">
        <v>46842.8</v>
      </c>
      <c r="V15" s="18" t="n">
        <v>20387.3</v>
      </c>
      <c r="W15" s="18" t="n">
        <v>145742.2</v>
      </c>
      <c r="X15" s="18" t="n">
        <v>1054640.2</v>
      </c>
      <c r="Y15" s="18" t="n">
        <v>1039378.9</v>
      </c>
      <c r="Z15" s="18" t="n">
        <v>755194.3</v>
      </c>
      <c r="AA15" s="18" t="n">
        <v>234852.9</v>
      </c>
    </row>
    <row r="16">
      <c r="A16" s="12" t="inlineStr">
        <is>
          <t>marine_hedged_krw_m_signed_by_origin</t>
        </is>
      </c>
      <c r="D16" t="inlineStr">
        <is>
          <t>해양 원화 — origin 분기말까지 체결분(백만원)</t>
        </is>
      </c>
      <c r="E16" s="18" t="n">
        <v>9559.6</v>
      </c>
      <c r="F16" s="18" t="n">
        <v>136182.6</v>
      </c>
      <c r="G16" s="18" t="n">
        <v>210190.8</v>
      </c>
      <c r="H16" s="18" t="n">
        <v>288856.2</v>
      </c>
      <c r="I16" s="18" t="n">
        <v>262650.7</v>
      </c>
      <c r="J16" s="18" t="n">
        <v>258510.1</v>
      </c>
      <c r="K16" s="18" t="n">
        <v>252786.1</v>
      </c>
      <c r="L16" s="18" t="n">
        <v>255594.8</v>
      </c>
      <c r="M16" s="18" t="n">
        <v>243445.6</v>
      </c>
      <c r="N16" s="18" t="n">
        <v>210061.5</v>
      </c>
      <c r="O16" s="18" t="n">
        <v>191129.8</v>
      </c>
      <c r="P16" s="18" t="n">
        <v>191129.8</v>
      </c>
      <c r="Q16" s="18" t="n">
        <v>167508.3</v>
      </c>
      <c r="R16" s="18" t="n">
        <v>127723.3</v>
      </c>
      <c r="S16" s="18" t="n">
        <v>72203</v>
      </c>
      <c r="T16" s="18" t="n">
        <v>56992.8</v>
      </c>
      <c r="U16" s="18" t="n">
        <v>27310.8</v>
      </c>
      <c r="V16" s="18" t="n">
        <v>855.3</v>
      </c>
    </row>
    <row r="17">
      <c r="A17" s="12" t="inlineStr">
        <is>
          <t>marine_hedged_krw_m_post_origin</t>
        </is>
      </c>
      <c r="D17" t="inlineStr">
        <is>
          <t>해양 원화 — origin 이후 체결분(백만원)</t>
        </is>
      </c>
      <c r="E17" s="18" t="n">
        <v>0</v>
      </c>
      <c r="F17" s="18" t="n">
        <v>0</v>
      </c>
      <c r="G17" s="18" t="n">
        <v>0</v>
      </c>
      <c r="H17" s="18" t="n">
        <v>0</v>
      </c>
      <c r="I17" s="18" t="n">
        <v>14892.4</v>
      </c>
      <c r="J17" s="18" t="n">
        <v>19540.1</v>
      </c>
      <c r="K17" s="18" t="n">
        <v>19107.3</v>
      </c>
      <c r="L17" s="18" t="n">
        <v>19319.7</v>
      </c>
      <c r="M17" s="18" t="n">
        <v>19532</v>
      </c>
      <c r="N17" s="18" t="n">
        <v>19532</v>
      </c>
      <c r="O17" s="18" t="n">
        <v>19319.7</v>
      </c>
      <c r="P17" s="18" t="n">
        <v>19319.7</v>
      </c>
      <c r="Q17" s="18" t="n">
        <v>19532</v>
      </c>
      <c r="R17" s="18" t="n">
        <v>19532</v>
      </c>
      <c r="S17" s="18" t="n">
        <v>19107.3</v>
      </c>
      <c r="T17" s="18" t="n">
        <v>19319.7</v>
      </c>
      <c r="U17" s="18" t="n">
        <v>19532</v>
      </c>
      <c r="V17" s="18" t="n">
        <v>19532</v>
      </c>
    </row>
    <row r="18">
      <c r="A18" s="12" t="inlineStr">
        <is>
          <t>target_opm</t>
        </is>
      </c>
      <c r="D18" t="inlineStr">
        <is>
          <t>타겟 OPM(코호트)</t>
        </is>
      </c>
      <c r="E18" s="21" t="n">
        <v>0.108</v>
      </c>
      <c r="F18" s="21" t="n">
        <v>0.108</v>
      </c>
      <c r="G18" s="21" t="n">
        <v>0.108</v>
      </c>
      <c r="H18" s="21" t="n">
        <v>0.108</v>
      </c>
      <c r="I18" s="21" t="n">
        <v>0.108</v>
      </c>
      <c r="J18" s="21" t="n">
        <v>0.108</v>
      </c>
      <c r="K18" s="21" t="n">
        <v>0.108</v>
      </c>
      <c r="L18" s="21" t="n">
        <v>0.108</v>
      </c>
      <c r="M18" s="21" t="n">
        <v>0.108</v>
      </c>
      <c r="N18" s="21" t="n">
        <v>0.108</v>
      </c>
      <c r="O18" s="21" t="n">
        <v>0.108</v>
      </c>
      <c r="P18" s="21" t="n">
        <v>0.108</v>
      </c>
      <c r="Q18" s="21" t="n">
        <v>0.108</v>
      </c>
      <c r="R18" s="21" t="n">
        <v>0.108</v>
      </c>
      <c r="S18" s="21" t="n">
        <v>0.108</v>
      </c>
      <c r="T18" s="21" t="n">
        <v>0.108</v>
      </c>
      <c r="U18" s="21" t="n">
        <v>0.108</v>
      </c>
      <c r="V18" s="21" t="n">
        <v>0.108</v>
      </c>
    </row>
    <row r="20">
      <c r="A20" s="1" t="inlineStr">
        <is>
          <t>선표 연결(수식) — 원화(백만원) = 스케줄(백만$) × 포함 × (1 + (캡배율 − 1) × origin 이후) × (헤지비율 × 헤지환율 + (1 − 헤지비율) × 건조시점 환율)</t>
        </is>
      </c>
      <c r="J20" s="2" t="inlineStr">
        <is>
          <t>subQ 매출조선 = 합계/100 + 변수 잔고 소진 + 매출조선신규</t>
        </is>
      </c>
    </row>
    <row r="21">
      <c r="A21" s="12" t="inlineStr">
        <is>
          <t>헤지비율</t>
        </is>
      </c>
      <c r="D21" s="21">
        <f>변수!$D$60</f>
        <v/>
      </c>
      <c r="E21" s="2" t="inlineStr">
        <is>
          <t>변수 3절 '헤지비율' 참조 — 통화선도 공시 없음 → HEDGE 70% 가정(레퍼런스 SLS 시트 HEDGE 행은 미포 65%·삼성重 100% — 그 사이에 둔 설정값). hedge_rate 는 계약별 수주시점 환율로 대체</t>
        </is>
      </c>
    </row>
    <row r="22">
      <c r="A22" s="12" t="inlineStr">
        <is>
          <t>헤지환율 방식</t>
        </is>
      </c>
      <c r="D22" t="inlineStr">
        <is>
          <t>계약별 수주시점 환율(fx_at_sign)</t>
        </is>
      </c>
    </row>
    <row r="23">
      <c r="A23" s="12" t="inlineStr">
        <is>
          <t>spot_krw</t>
        </is>
      </c>
      <c r="D23" t="inlineStr">
        <is>
          <t>건조시점 원/달러(평균) — 변수 환율 행 참조, 변수 범위 밖 분기는 sls spot_assumed</t>
        </is>
      </c>
      <c r="E23" s="13">
        <f>IFERROR(VLOOKUP(" 원/달러(평균)",환율,MATCH(E$1,변수H,0),0),1386.95)</f>
        <v/>
      </c>
      <c r="F23" s="13">
        <f>IFERROR(VLOOKUP(" 원/달러(평균)",환율,MATCH(F$1,변수H,0),0),1449.19)</f>
        <v/>
      </c>
      <c r="G23" s="13">
        <f>IFERROR(VLOOKUP(" 원/달러(평균)",환율,MATCH(G$1,변수H,0),0),1466.12)</f>
        <v/>
      </c>
      <c r="H23" s="13">
        <f>IFERROR(VLOOKUP(" 원/달러(평균)",환율,MATCH(H$1,변수H,0),0),1501.75)</f>
        <v/>
      </c>
      <c r="I23" s="13">
        <f>IFERROR(VLOOKUP(" 원/달러(평균)",환율,MATCH(I$1,변수H,0),0),1418.75)</f>
        <v/>
      </c>
      <c r="J23" s="13">
        <f>IFERROR(VLOOKUP(" 원/달러(평균)",환율,MATCH(J$1,변수H,0),0),1343.39)</f>
        <v/>
      </c>
      <c r="K23" s="13">
        <f>IFERROR(VLOOKUP(" 원/달러(평균)",환율,MATCH(K$1,변수H,0),0),1341.45)</f>
        <v/>
      </c>
      <c r="L23" s="13">
        <f>IFERROR(VLOOKUP(" 원/달러(평균)",환율,MATCH(L$1,변수H,0),0),1341.45)</f>
        <v/>
      </c>
      <c r="M23" s="13">
        <f>IFERROR(VLOOKUP(" 원/달러(평균)",환율,MATCH(M$1,변수H,0),0),1341.45)</f>
        <v/>
      </c>
      <c r="N23" s="13">
        <f>IFERROR(VLOOKUP(" 원/달러(평균)",환율,MATCH(N$1,변수H,0),0),1341.45)</f>
        <v/>
      </c>
      <c r="O23" s="13">
        <f>IFERROR(VLOOKUP(" 원/달러(평균)",환율,MATCH(O$1,변수H,0),0),1341.45)</f>
        <v/>
      </c>
      <c r="P23" s="13">
        <f>IFERROR(VLOOKUP(" 원/달러(평균)",환율,MATCH(P$1,변수H,0),0),1341.45)</f>
        <v/>
      </c>
      <c r="Q23" s="13">
        <f>IFERROR(VLOOKUP(" 원/달러(평균)",환율,MATCH(Q$1,변수H,0),0),1341.45)</f>
        <v/>
      </c>
      <c r="R23" s="13">
        <f>IFERROR(VLOOKUP(" 원/달러(평균)",환율,MATCH(R$1,변수H,0),0),1341.45)</f>
        <v/>
      </c>
      <c r="S23" s="13">
        <f>IFERROR(VLOOKUP(" 원/달러(평균)",환율,MATCH(S$1,변수H,0),0),1341.45)</f>
        <v/>
      </c>
      <c r="T23" s="13">
        <f>IFERROR(VLOOKUP(" 원/달러(평균)",환율,MATCH(T$1,변수H,0),0),1341.45)</f>
        <v/>
      </c>
      <c r="U23" s="13">
        <f>IFERROR(VLOOKUP(" 원/달러(평균)",환율,MATCH(U$1,변수H,0),0),1341.45)</f>
        <v/>
      </c>
      <c r="V23" s="13">
        <f>IFERROR(VLOOKUP(" 원/달러(평균)",환율,MATCH(V$1,변수H,0),0),1341.45)</f>
        <v/>
      </c>
    </row>
    <row r="24">
      <c r="A24" s="12" t="inlineStr">
        <is>
          <t>after_origin</t>
        </is>
      </c>
      <c r="D24" t="inlineStr">
        <is>
          <t>origin(2026Q2) 이후 분기 = 1 (잔고 캡 배율 적용 구간)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</row>
    <row r="26">
      <c r="A26" s="1" t="inlineStr">
        <is>
          <t>① 계약별 매출인식 스케줄(백만$, sls 저장값)</t>
        </is>
      </c>
      <c r="B26" s="1" t="inlineStr">
        <is>
          <t>type</t>
        </is>
      </c>
      <c r="C26" s="1" t="inlineStr">
        <is>
          <t>ships</t>
        </is>
      </c>
      <c r="D26" s="1" t="inlineStr">
        <is>
          <t>name</t>
        </is>
      </c>
      <c r="AC26" s="1" t="inlineStr">
        <is>
          <t>포함(1/0)</t>
        </is>
      </c>
      <c r="AD26" s="1" t="inlineStr">
        <is>
          <t>헤지환율</t>
        </is>
      </c>
      <c r="AE26" s="1" t="inlineStr">
        <is>
          <t>캡배율</t>
        </is>
      </c>
      <c r="AF26" s="1" t="inlineStr">
        <is>
          <t>체결일</t>
        </is>
      </c>
      <c r="AG26" s="1" t="inlineStr">
        <is>
          <t>origin이내</t>
        </is>
      </c>
      <c r="AH26" s="1" t="inlineStr">
        <is>
          <t>코호트</t>
        </is>
      </c>
      <c r="AI26" s="1" t="inlineStr">
        <is>
          <t>계약액(백만$)</t>
        </is>
      </c>
      <c r="AJ26" s="1" t="inlineStr">
        <is>
          <t>종료</t>
        </is>
      </c>
    </row>
    <row r="27">
      <c r="A27" t="inlineStr">
        <is>
          <t>20250922800050</t>
        </is>
      </c>
      <c r="B27" t="inlineStr">
        <is>
          <t>VLCC</t>
        </is>
      </c>
      <c r="C27" t="n">
        <v>4</v>
      </c>
      <c r="D27" t="inlineStr">
        <is>
          <t>원유운반선(157,200 DWT) 4척</t>
        </is>
      </c>
      <c r="E27" s="26" t="n">
        <v>3.711</v>
      </c>
      <c r="F27" s="26" t="n">
        <v>28.455</v>
      </c>
      <c r="G27" s="26" t="n">
        <v>27.836</v>
      </c>
      <c r="H27" s="26" t="n">
        <v>28.145</v>
      </c>
      <c r="I27" s="26" t="n">
        <v>28.455</v>
      </c>
      <c r="J27" s="26" t="n">
        <v>28.455</v>
      </c>
      <c r="K27" s="26" t="n">
        <v>27.836</v>
      </c>
      <c r="L27" s="26" t="n">
        <v>28.145</v>
      </c>
      <c r="M27" s="26" t="n">
        <v>28.455</v>
      </c>
      <c r="N27" s="26" t="n">
        <v>28.455</v>
      </c>
      <c r="O27" s="26" t="n">
        <v>28.145</v>
      </c>
      <c r="P27" s="26" t="n">
        <v>28.145</v>
      </c>
      <c r="Q27" s="26" t="n">
        <v>28.456</v>
      </c>
      <c r="AC27" s="35" t="n">
        <v>1</v>
      </c>
      <c r="AD27" s="16" t="n">
        <v>1386.95</v>
      </c>
      <c r="AE27" s="42" t="n">
        <v>0.859276</v>
      </c>
      <c r="AF27" t="inlineStr">
        <is>
          <t>2025-09-19</t>
        </is>
      </c>
      <c r="AG27" t="n">
        <v>1</v>
      </c>
      <c r="AH27" t="inlineStr">
        <is>
          <t>⑤초호황</t>
        </is>
      </c>
      <c r="AI27" s="26" t="n">
        <v>342.694</v>
      </c>
      <c r="AJ27" t="inlineStr">
        <is>
          <t>2028-09-30</t>
        </is>
      </c>
    </row>
    <row r="28">
      <c r="A28" t="inlineStr">
        <is>
          <t>20250922800051</t>
        </is>
      </c>
      <c r="B28" t="inlineStr">
        <is>
          <t>VLCC</t>
        </is>
      </c>
      <c r="C28" t="n">
        <v>2</v>
      </c>
      <c r="D28" t="inlineStr">
        <is>
          <t>원유운반선(157,000 DWT) 2척</t>
        </is>
      </c>
      <c r="E28" s="26" t="n">
        <v>2.793</v>
      </c>
      <c r="F28" s="26" t="n">
        <v>21.411</v>
      </c>
      <c r="G28" s="26" t="n">
        <v>20.945</v>
      </c>
      <c r="H28" s="26" t="n">
        <v>21.178</v>
      </c>
      <c r="I28" s="26" t="n">
        <v>21.411</v>
      </c>
      <c r="J28" s="26" t="n">
        <v>21.411</v>
      </c>
      <c r="K28" s="26" t="n">
        <v>20.945</v>
      </c>
      <c r="L28" s="26" t="n">
        <v>21.178</v>
      </c>
      <c r="M28" s="26" t="n">
        <v>21.409</v>
      </c>
      <c r="AC28" s="35" t="n">
        <v>1</v>
      </c>
      <c r="AD28" s="16" t="n">
        <v>1386.95</v>
      </c>
      <c r="AE28" s="42" t="n">
        <v>0.859276</v>
      </c>
      <c r="AF28" t="inlineStr">
        <is>
          <t>2025-09-19</t>
        </is>
      </c>
      <c r="AG28" t="n">
        <v>1</v>
      </c>
      <c r="AH28" t="inlineStr">
        <is>
          <t>⑤초호황</t>
        </is>
      </c>
      <c r="AI28" s="26" t="n">
        <v>172.681</v>
      </c>
      <c r="AJ28" t="inlineStr">
        <is>
          <t>2027-09-30</t>
        </is>
      </c>
    </row>
    <row r="29">
      <c r="A29" t="inlineStr">
        <is>
          <t>20250930800053</t>
        </is>
      </c>
      <c r="B29" t="inlineStr">
        <is>
          <t>VLCC</t>
        </is>
      </c>
      <c r="C29" t="n">
        <v>1</v>
      </c>
      <c r="D29" t="inlineStr">
        <is>
          <t>원유운반선(157,000 DWT) 1척</t>
        </is>
      </c>
      <c r="E29" s="26" t="n">
        <v>0.276</v>
      </c>
      <c r="F29" s="26" t="n">
        <v>12.676</v>
      </c>
      <c r="G29" s="26" t="n">
        <v>12.4</v>
      </c>
      <c r="H29" s="26" t="n">
        <v>12.538</v>
      </c>
      <c r="I29" s="26" t="n">
        <v>12.676</v>
      </c>
      <c r="J29" s="26" t="n">
        <v>12.676</v>
      </c>
      <c r="K29" s="26" t="n">
        <v>12.4</v>
      </c>
      <c r="L29" s="26" t="n">
        <v>12.537</v>
      </c>
      <c r="AC29" s="35" t="n">
        <v>1</v>
      </c>
      <c r="AD29" s="16" t="n">
        <v>1386.95</v>
      </c>
      <c r="AE29" s="42" t="n">
        <v>0.859276</v>
      </c>
      <c r="AF29" t="inlineStr">
        <is>
          <t>2025-09-29</t>
        </is>
      </c>
      <c r="AG29" t="n">
        <v>1</v>
      </c>
      <c r="AH29" t="inlineStr">
        <is>
          <t>⑤초호황</t>
        </is>
      </c>
      <c r="AI29" s="26" t="n">
        <v>88.179</v>
      </c>
      <c r="AJ29" t="inlineStr">
        <is>
          <t>2027-06-30</t>
        </is>
      </c>
    </row>
    <row r="30">
      <c r="A30" t="inlineStr">
        <is>
          <t>20251001800065</t>
        </is>
      </c>
      <c r="B30" t="inlineStr">
        <is>
          <t>VLCC</t>
        </is>
      </c>
      <c r="C30" t="n">
        <v>1</v>
      </c>
      <c r="D30" t="inlineStr">
        <is>
          <t>원유운반선(157,000 DWT) 1척</t>
        </is>
      </c>
      <c r="E30" s="26" t="n">
        <v>0.113</v>
      </c>
      <c r="F30" s="26" t="n">
        <v>10.376</v>
      </c>
      <c r="G30" s="26" t="n">
        <v>10.151</v>
      </c>
      <c r="H30" s="26" t="n">
        <v>10.264</v>
      </c>
      <c r="I30" s="26" t="n">
        <v>10.376</v>
      </c>
      <c r="J30" s="26" t="n">
        <v>10.376</v>
      </c>
      <c r="K30" s="26" t="n">
        <v>10.151</v>
      </c>
      <c r="L30" s="26" t="n">
        <v>10.264</v>
      </c>
      <c r="M30" s="26" t="n">
        <v>10.376</v>
      </c>
      <c r="N30" s="26" t="n">
        <v>3.497</v>
      </c>
      <c r="AC30" s="35" t="n">
        <v>1</v>
      </c>
      <c r="AD30" s="16" t="n">
        <v>1386.95</v>
      </c>
      <c r="AE30" s="42" t="n">
        <v>0.859276</v>
      </c>
      <c r="AF30" t="inlineStr">
        <is>
          <t>2025-09-30</t>
        </is>
      </c>
      <c r="AG30" t="n">
        <v>1</v>
      </c>
      <c r="AH30" t="inlineStr">
        <is>
          <t>⑤초호황</t>
        </is>
      </c>
      <c r="AI30" s="26" t="n">
        <v>85.944</v>
      </c>
      <c r="AJ30" t="inlineStr">
        <is>
          <t>2027-10-31</t>
        </is>
      </c>
    </row>
    <row r="31">
      <c r="A31" t="inlineStr">
        <is>
          <t>20251015800073</t>
        </is>
      </c>
      <c r="B31" t="inlineStr">
        <is>
          <t>CONT</t>
        </is>
      </c>
      <c r="C31" t="n">
        <v>2</v>
      </c>
      <c r="D31" t="inlineStr">
        <is>
          <t>컨테이너선 2척</t>
        </is>
      </c>
      <c r="F31" s="26" t="n">
        <v>18.142</v>
      </c>
      <c r="G31" s="26" t="n">
        <v>20.668</v>
      </c>
      <c r="H31" s="26" t="n">
        <v>20.897</v>
      </c>
      <c r="I31" s="26" t="n">
        <v>21.127</v>
      </c>
      <c r="J31" s="26" t="n">
        <v>21.127</v>
      </c>
      <c r="K31" s="26" t="n">
        <v>20.668</v>
      </c>
      <c r="L31" s="26" t="n">
        <v>20.897</v>
      </c>
      <c r="M31" s="26" t="n">
        <v>21.127</v>
      </c>
      <c r="N31" s="26" t="n">
        <v>21.127</v>
      </c>
      <c r="O31" s="26" t="n">
        <v>20.897</v>
      </c>
      <c r="P31" s="26" t="n">
        <v>20.898</v>
      </c>
      <c r="AC31" s="35" t="n">
        <v>1</v>
      </c>
      <c r="AD31" s="16" t="n">
        <v>1449.19</v>
      </c>
      <c r="AE31" s="42" t="n">
        <v>0.859276</v>
      </c>
      <c r="AF31" t="inlineStr">
        <is>
          <t>2025-10-14</t>
        </is>
      </c>
      <c r="AG31" t="n">
        <v>1</v>
      </c>
      <c r="AH31" t="inlineStr">
        <is>
          <t>⑤초호황</t>
        </is>
      </c>
      <c r="AI31" s="26" t="n">
        <v>227.575</v>
      </c>
      <c r="AJ31" t="inlineStr">
        <is>
          <t>2028-06-30</t>
        </is>
      </c>
    </row>
    <row r="32">
      <c r="A32" t="inlineStr">
        <is>
          <t>20251118800028</t>
        </is>
      </c>
      <c r="B32" t="inlineStr">
        <is>
          <t>VLCC</t>
        </is>
      </c>
      <c r="C32" t="n">
        <v>1</v>
      </c>
      <c r="D32" t="inlineStr">
        <is>
          <t>원유운반선(157,000 DWT) 1척</t>
        </is>
      </c>
      <c r="F32" s="26" t="n">
        <v>5.105</v>
      </c>
      <c r="G32" s="26" t="n">
        <v>10.209</v>
      </c>
      <c r="H32" s="26" t="n">
        <v>10.322</v>
      </c>
      <c r="I32" s="26" t="n">
        <v>10.436</v>
      </c>
      <c r="J32" s="26" t="n">
        <v>10.436</v>
      </c>
      <c r="K32" s="26" t="n">
        <v>10.209</v>
      </c>
      <c r="L32" s="26" t="n">
        <v>10.322</v>
      </c>
      <c r="M32" s="26" t="n">
        <v>10.436</v>
      </c>
      <c r="N32" s="26" t="n">
        <v>10.436</v>
      </c>
      <c r="AC32" s="35" t="n">
        <v>1</v>
      </c>
      <c r="AD32" s="16" t="n">
        <v>1449.19</v>
      </c>
      <c r="AE32" s="42" t="n">
        <v>0.859276</v>
      </c>
      <c r="AF32" t="inlineStr">
        <is>
          <t>2025-11-17</t>
        </is>
      </c>
      <c r="AG32" t="n">
        <v>1</v>
      </c>
      <c r="AH32" t="inlineStr">
        <is>
          <t>⑤초호황</t>
        </is>
      </c>
      <c r="AI32" s="26" t="n">
        <v>87.911</v>
      </c>
      <c r="AJ32" t="inlineStr">
        <is>
          <t>2027-12-31</t>
        </is>
      </c>
    </row>
    <row r="33">
      <c r="A33" t="inlineStr">
        <is>
          <t>20260114800029</t>
        </is>
      </c>
      <c r="B33" t="inlineStr">
        <is>
          <t>VLCC</t>
        </is>
      </c>
      <c r="C33" t="n">
        <v>2</v>
      </c>
      <c r="D33" t="inlineStr">
        <is>
          <t>원유운반선(157,000 DWT) 2척</t>
        </is>
      </c>
      <c r="G33" s="26" t="n">
        <v>12.722</v>
      </c>
      <c r="H33" s="26" t="n">
        <v>14.842</v>
      </c>
      <c r="I33" s="26" t="n">
        <v>15.005</v>
      </c>
      <c r="J33" s="26" t="n">
        <v>15.005</v>
      </c>
      <c r="K33" s="26" t="n">
        <v>14.679</v>
      </c>
      <c r="L33" s="26" t="n">
        <v>14.842</v>
      </c>
      <c r="M33" s="26" t="n">
        <v>15.005</v>
      </c>
      <c r="N33" s="26" t="n">
        <v>15.005</v>
      </c>
      <c r="O33" s="26" t="n">
        <v>14.842</v>
      </c>
      <c r="P33" s="26" t="n">
        <v>14.842</v>
      </c>
      <c r="Q33" s="26" t="n">
        <v>15.005</v>
      </c>
      <c r="R33" s="26" t="n">
        <v>9.952</v>
      </c>
      <c r="AC33" s="35" t="n">
        <v>1</v>
      </c>
      <c r="AD33" s="16" t="n">
        <v>1466.12</v>
      </c>
      <c r="AE33" s="42" t="n">
        <v>0.859276</v>
      </c>
      <c r="AF33" t="inlineStr">
        <is>
          <t>2026-01-13</t>
        </is>
      </c>
      <c r="AG33" t="n">
        <v>1</v>
      </c>
      <c r="AH33" t="inlineStr">
        <is>
          <t>⑤초호황</t>
        </is>
      </c>
      <c r="AI33" s="26" t="n">
        <v>171.746</v>
      </c>
      <c r="AJ33" t="inlineStr">
        <is>
          <t>2028-11-30</t>
        </is>
      </c>
    </row>
    <row r="34">
      <c r="A34" t="inlineStr">
        <is>
          <t>20260115800029</t>
        </is>
      </c>
      <c r="B34" t="inlineStr">
        <is>
          <t>VLCC</t>
        </is>
      </c>
      <c r="C34" t="n">
        <v>2</v>
      </c>
      <c r="D34" t="inlineStr">
        <is>
          <t>원유운반선(157,000 DWT) 2척</t>
        </is>
      </c>
      <c r="G34" s="26" t="n">
        <v>11.085</v>
      </c>
      <c r="H34" s="26" t="n">
        <v>13.1</v>
      </c>
      <c r="I34" s="26" t="n">
        <v>13.244</v>
      </c>
      <c r="J34" s="26" t="n">
        <v>13.244</v>
      </c>
      <c r="K34" s="26" t="n">
        <v>12.956</v>
      </c>
      <c r="L34" s="26" t="n">
        <v>13.1</v>
      </c>
      <c r="M34" s="26" t="n">
        <v>13.244</v>
      </c>
      <c r="N34" s="26" t="n">
        <v>13.244</v>
      </c>
      <c r="O34" s="26" t="n">
        <v>13.1</v>
      </c>
      <c r="P34" s="26" t="n">
        <v>13.1</v>
      </c>
      <c r="Q34" s="26" t="n">
        <v>13.244</v>
      </c>
      <c r="R34" s="26" t="n">
        <v>13.244</v>
      </c>
      <c r="S34" s="26" t="n">
        <v>12.956</v>
      </c>
      <c r="T34" s="26" t="n">
        <v>4.317</v>
      </c>
      <c r="AC34" s="35" t="n">
        <v>1</v>
      </c>
      <c r="AD34" s="16" t="n">
        <v>1466.12</v>
      </c>
      <c r="AE34" s="42" t="n">
        <v>0.859276</v>
      </c>
      <c r="AF34" t="inlineStr">
        <is>
          <t>2026-01-14</t>
        </is>
      </c>
      <c r="AG34" t="n">
        <v>1</v>
      </c>
      <c r="AH34" t="inlineStr">
        <is>
          <t>⑤초호황</t>
        </is>
      </c>
      <c r="AI34" s="26" t="n">
        <v>173.178</v>
      </c>
      <c r="AJ34" t="inlineStr">
        <is>
          <t>2029-04-30</t>
        </is>
      </c>
    </row>
    <row r="35">
      <c r="A35" t="inlineStr">
        <is>
          <t>20260129800084</t>
        </is>
      </c>
      <c r="B35" t="inlineStr">
        <is>
          <t>VLCC</t>
        </is>
      </c>
      <c r="C35" t="n">
        <v>2</v>
      </c>
      <c r="D35" t="inlineStr">
        <is>
          <t>원유운반선(157,000 DWT) 2척</t>
        </is>
      </c>
      <c r="G35" s="26" t="n">
        <v>8.949999999999999</v>
      </c>
      <c r="H35" s="26" t="n">
        <v>12.928</v>
      </c>
      <c r="I35" s="26" t="n">
        <v>13.07</v>
      </c>
      <c r="J35" s="26" t="n">
        <v>13.07</v>
      </c>
      <c r="K35" s="26" t="n">
        <v>12.786</v>
      </c>
      <c r="L35" s="26" t="n">
        <v>12.928</v>
      </c>
      <c r="M35" s="26" t="n">
        <v>13.07</v>
      </c>
      <c r="N35" s="26" t="n">
        <v>13.07</v>
      </c>
      <c r="O35" s="26" t="n">
        <v>12.928</v>
      </c>
      <c r="P35" s="26" t="n">
        <v>12.928</v>
      </c>
      <c r="Q35" s="26" t="n">
        <v>13.07</v>
      </c>
      <c r="R35" s="26" t="n">
        <v>13.07</v>
      </c>
      <c r="S35" s="26" t="n">
        <v>12.786</v>
      </c>
      <c r="T35" s="26" t="n">
        <v>8.661</v>
      </c>
      <c r="AC35" s="35" t="n">
        <v>1</v>
      </c>
      <c r="AD35" s="16" t="n">
        <v>1466.12</v>
      </c>
      <c r="AE35" s="42" t="n">
        <v>0.859276</v>
      </c>
      <c r="AF35" t="inlineStr">
        <is>
          <t>2026-01-28</t>
        </is>
      </c>
      <c r="AG35" t="n">
        <v>1</v>
      </c>
      <c r="AH35" t="inlineStr">
        <is>
          <t>⑤초호황</t>
        </is>
      </c>
      <c r="AI35" s="26" t="n">
        <v>173.315</v>
      </c>
      <c r="AJ35" t="inlineStr">
        <is>
          <t>2029-05-31</t>
        </is>
      </c>
    </row>
    <row r="36">
      <c r="A36" t="inlineStr">
        <is>
          <t>20260209800078</t>
        </is>
      </c>
      <c r="B36" t="inlineStr">
        <is>
          <t>VLCC</t>
        </is>
      </c>
      <c r="C36" t="n">
        <v>2</v>
      </c>
      <c r="D36" t="inlineStr">
        <is>
          <t>원유운반선(157,000 DWT) 2척</t>
        </is>
      </c>
      <c r="G36" s="26" t="n">
        <v>9.023999999999999</v>
      </c>
      <c r="H36" s="26" t="n">
        <v>15.207</v>
      </c>
      <c r="I36" s="26" t="n">
        <v>15.374</v>
      </c>
      <c r="J36" s="26" t="n">
        <v>15.374</v>
      </c>
      <c r="K36" s="26" t="n">
        <v>15.04</v>
      </c>
      <c r="L36" s="26" t="n">
        <v>15.207</v>
      </c>
      <c r="M36" s="26" t="n">
        <v>15.374</v>
      </c>
      <c r="N36" s="26" t="n">
        <v>15.374</v>
      </c>
      <c r="O36" s="26" t="n">
        <v>15.207</v>
      </c>
      <c r="P36" s="26" t="n">
        <v>15.207</v>
      </c>
      <c r="Q36" s="26" t="n">
        <v>15.374</v>
      </c>
      <c r="R36" s="26" t="n">
        <v>15.372</v>
      </c>
      <c r="AC36" s="35" t="n">
        <v>1</v>
      </c>
      <c r="AD36" s="16" t="n">
        <v>1466.12</v>
      </c>
      <c r="AE36" s="42" t="n">
        <v>0.859276</v>
      </c>
      <c r="AF36" t="inlineStr">
        <is>
          <t>2026-02-06</t>
        </is>
      </c>
      <c r="AG36" t="n">
        <v>1</v>
      </c>
      <c r="AH36" t="inlineStr">
        <is>
          <t>⑤초호황</t>
        </is>
      </c>
      <c r="AI36" s="26" t="n">
        <v>177.134</v>
      </c>
      <c r="AJ36" t="inlineStr">
        <is>
          <t>2028-12-31</t>
        </is>
      </c>
    </row>
    <row r="37">
      <c r="A37" t="inlineStr">
        <is>
          <t>20260317800064</t>
        </is>
      </c>
      <c r="B37" t="inlineStr">
        <is>
          <t>VLCC</t>
        </is>
      </c>
      <c r="C37" t="n">
        <v>1</v>
      </c>
      <c r="D37" t="inlineStr">
        <is>
          <t>원유운반선(157,000 DWT) 1척</t>
        </is>
      </c>
      <c r="G37" s="26" t="n">
        <v>1.115</v>
      </c>
      <c r="H37" s="26" t="n">
        <v>6.34</v>
      </c>
      <c r="I37" s="26" t="n">
        <v>6.41</v>
      </c>
      <c r="J37" s="26" t="n">
        <v>6.41</v>
      </c>
      <c r="K37" s="26" t="n">
        <v>6.27</v>
      </c>
      <c r="L37" s="26" t="n">
        <v>6.34</v>
      </c>
      <c r="M37" s="26" t="n">
        <v>6.41</v>
      </c>
      <c r="N37" s="26" t="n">
        <v>6.41</v>
      </c>
      <c r="O37" s="26" t="n">
        <v>6.34</v>
      </c>
      <c r="P37" s="26" t="n">
        <v>6.34</v>
      </c>
      <c r="Q37" s="26" t="n">
        <v>6.41</v>
      </c>
      <c r="R37" s="26" t="n">
        <v>6.41</v>
      </c>
      <c r="S37" s="26" t="n">
        <v>6.27</v>
      </c>
      <c r="T37" s="26" t="n">
        <v>6.34</v>
      </c>
      <c r="U37" s="26" t="n">
        <v>6.41</v>
      </c>
      <c r="V37" s="26" t="n">
        <v>0.695</v>
      </c>
      <c r="AC37" s="35" t="n">
        <v>1</v>
      </c>
      <c r="AD37" s="16" t="n">
        <v>1466.12</v>
      </c>
      <c r="AE37" s="42" t="n">
        <v>0.859276</v>
      </c>
      <c r="AF37" t="inlineStr">
        <is>
          <t>2026-03-16</t>
        </is>
      </c>
      <c r="AG37" t="n">
        <v>1</v>
      </c>
      <c r="AH37" t="inlineStr">
        <is>
          <t>⑤초호황</t>
        </is>
      </c>
      <c r="AI37" s="26" t="n">
        <v>90.92</v>
      </c>
      <c r="AJ37" t="inlineStr">
        <is>
          <t>2029-10-10</t>
        </is>
      </c>
    </row>
    <row r="38">
      <c r="A38" t="inlineStr">
        <is>
          <t>20260323800069</t>
        </is>
      </c>
      <c r="B38" t="inlineStr">
        <is>
          <t>VLCC</t>
        </is>
      </c>
      <c r="C38" t="n">
        <v>1</v>
      </c>
      <c r="D38" t="inlineStr">
        <is>
          <t>원유운반선(157,000 DWT) 1척</t>
        </is>
      </c>
      <c r="G38" s="26" t="n">
        <v>0.913</v>
      </c>
      <c r="H38" s="26" t="n">
        <v>6.926</v>
      </c>
      <c r="I38" s="26" t="n">
        <v>7.003</v>
      </c>
      <c r="J38" s="26" t="n">
        <v>7.003</v>
      </c>
      <c r="K38" s="26" t="n">
        <v>6.85</v>
      </c>
      <c r="L38" s="26" t="n">
        <v>6.926</v>
      </c>
      <c r="M38" s="26" t="n">
        <v>7.003</v>
      </c>
      <c r="N38" s="26" t="n">
        <v>7.003</v>
      </c>
      <c r="O38" s="26" t="n">
        <v>6.926</v>
      </c>
      <c r="P38" s="26" t="n">
        <v>6.926</v>
      </c>
      <c r="Q38" s="26" t="n">
        <v>7.003</v>
      </c>
      <c r="R38" s="26" t="n">
        <v>7.003</v>
      </c>
      <c r="S38" s="26" t="n">
        <v>6.85</v>
      </c>
      <c r="T38" s="26" t="n">
        <v>6.926</v>
      </c>
      <c r="AC38" s="35" t="n">
        <v>1</v>
      </c>
      <c r="AD38" s="16" t="n">
        <v>1466.12</v>
      </c>
      <c r="AE38" s="42" t="n">
        <v>0.859276</v>
      </c>
      <c r="AF38" t="inlineStr">
        <is>
          <t>2026-03-20</t>
        </is>
      </c>
      <c r="AG38" t="n">
        <v>1</v>
      </c>
      <c r="AH38" t="inlineStr">
        <is>
          <t>⑤초호황</t>
        </is>
      </c>
      <c r="AI38" s="26" t="n">
        <v>91.261</v>
      </c>
      <c r="AJ38" t="inlineStr">
        <is>
          <t>2029-06-30</t>
        </is>
      </c>
    </row>
    <row r="39">
      <c r="A39" t="inlineStr">
        <is>
          <t>20260331800063</t>
        </is>
      </c>
      <c r="B39" t="inlineStr">
        <is>
          <t>VLCC</t>
        </is>
      </c>
      <c r="C39" t="n">
        <v>2</v>
      </c>
      <c r="D39" t="inlineStr">
        <is>
          <t>원유운반선(157,000 DWT) 2척</t>
        </is>
      </c>
      <c r="G39" s="26" t="n">
        <v>0.294</v>
      </c>
      <c r="H39" s="26" t="n">
        <v>13.373</v>
      </c>
      <c r="I39" s="26" t="n">
        <v>13.52</v>
      </c>
      <c r="J39" s="26" t="n">
        <v>13.52</v>
      </c>
      <c r="K39" s="26" t="n">
        <v>13.226</v>
      </c>
      <c r="L39" s="26" t="n">
        <v>13.373</v>
      </c>
      <c r="M39" s="26" t="n">
        <v>13.52</v>
      </c>
      <c r="N39" s="26" t="n">
        <v>13.52</v>
      </c>
      <c r="O39" s="26" t="n">
        <v>13.373</v>
      </c>
      <c r="P39" s="26" t="n">
        <v>13.373</v>
      </c>
      <c r="Q39" s="26" t="n">
        <v>13.52</v>
      </c>
      <c r="R39" s="26" t="n">
        <v>13.52</v>
      </c>
      <c r="S39" s="26" t="n">
        <v>13.226</v>
      </c>
      <c r="T39" s="26" t="n">
        <v>13.373</v>
      </c>
      <c r="U39" s="26" t="n">
        <v>13.521</v>
      </c>
      <c r="AC39" s="35" t="n">
        <v>1</v>
      </c>
      <c r="AD39" s="16" t="n">
        <v>1466.12</v>
      </c>
      <c r="AE39" s="42" t="n">
        <v>0.859276</v>
      </c>
      <c r="AF39" t="inlineStr">
        <is>
          <t>2026-03-30</t>
        </is>
      </c>
      <c r="AG39" t="n">
        <v>1</v>
      </c>
      <c r="AH39" t="inlineStr">
        <is>
          <t>⑤초호황</t>
        </is>
      </c>
      <c r="AI39" s="26" t="n">
        <v>188.252</v>
      </c>
      <c r="AJ39" t="inlineStr">
        <is>
          <t>2029-09-30</t>
        </is>
      </c>
    </row>
    <row r="40">
      <c r="A40" t="inlineStr">
        <is>
          <t>20260416800003</t>
        </is>
      </c>
      <c r="B40" t="inlineStr">
        <is>
          <t>VLCC</t>
        </is>
      </c>
      <c r="C40" t="n">
        <v>1</v>
      </c>
      <c r="D40" t="inlineStr">
        <is>
          <t>원유운반선(157,000 DWT) 1척</t>
        </is>
      </c>
      <c r="H40" s="26" t="n">
        <v>5.728</v>
      </c>
      <c r="I40" s="26" t="n">
        <v>6.757</v>
      </c>
      <c r="J40" s="26" t="n">
        <v>6.757</v>
      </c>
      <c r="K40" s="26" t="n">
        <v>6.61</v>
      </c>
      <c r="L40" s="26" t="n">
        <v>6.683</v>
      </c>
      <c r="M40" s="26" t="n">
        <v>6.757</v>
      </c>
      <c r="N40" s="26" t="n">
        <v>6.757</v>
      </c>
      <c r="O40" s="26" t="n">
        <v>6.683</v>
      </c>
      <c r="P40" s="26" t="n">
        <v>6.683</v>
      </c>
      <c r="Q40" s="26" t="n">
        <v>6.757</v>
      </c>
      <c r="R40" s="26" t="n">
        <v>6.757</v>
      </c>
      <c r="S40" s="26" t="n">
        <v>6.61</v>
      </c>
      <c r="T40" s="26" t="n">
        <v>6.683</v>
      </c>
      <c r="U40" s="26" t="n">
        <v>2.275</v>
      </c>
      <c r="AC40" s="35" t="n">
        <v>1</v>
      </c>
      <c r="AD40" s="16" t="n">
        <v>1501.75</v>
      </c>
      <c r="AE40" s="42" t="n">
        <v>0.859276</v>
      </c>
      <c r="AF40" t="inlineStr">
        <is>
          <t>2026-04-14</t>
        </is>
      </c>
      <c r="AG40" t="n">
        <v>1</v>
      </c>
      <c r="AH40" t="inlineStr">
        <is>
          <t>⑤초호황</t>
        </is>
      </c>
      <c r="AI40" s="26" t="n">
        <v>88.497</v>
      </c>
      <c r="AJ40" t="inlineStr">
        <is>
          <t>2029-07-31</t>
        </is>
      </c>
    </row>
    <row r="41">
      <c r="A41" t="inlineStr">
        <is>
          <t>20260601800013</t>
        </is>
      </c>
      <c r="B41" t="inlineStr">
        <is>
          <t>VLCC</t>
        </is>
      </c>
      <c r="C41" t="n">
        <v>2</v>
      </c>
      <c r="D41" t="inlineStr">
        <is>
          <t>원유운반선(157,000 DWT) 2척</t>
        </is>
      </c>
      <c r="H41" s="26" t="n">
        <v>6.555</v>
      </c>
      <c r="I41" s="26" t="n">
        <v>18.275</v>
      </c>
      <c r="J41" s="26" t="n">
        <v>18.275</v>
      </c>
      <c r="K41" s="26" t="n">
        <v>17.878</v>
      </c>
      <c r="L41" s="26" t="n">
        <v>18.077</v>
      </c>
      <c r="M41" s="26" t="n">
        <v>18.275</v>
      </c>
      <c r="N41" s="26" t="n">
        <v>18.275</v>
      </c>
      <c r="O41" s="26" t="n">
        <v>18.077</v>
      </c>
      <c r="P41" s="26" t="n">
        <v>18.077</v>
      </c>
      <c r="Q41" s="26" t="n">
        <v>18.275</v>
      </c>
      <c r="R41" s="26" t="n">
        <v>18.275</v>
      </c>
      <c r="AC41" s="35" t="n">
        <v>1</v>
      </c>
      <c r="AD41" s="16" t="n">
        <v>1501.75</v>
      </c>
      <c r="AE41" s="42" t="n">
        <v>0.859276</v>
      </c>
      <c r="AF41" t="inlineStr">
        <is>
          <t>2026-05-29</t>
        </is>
      </c>
      <c r="AG41" t="n">
        <v>1</v>
      </c>
      <c r="AH41" t="inlineStr">
        <is>
          <t>⑤초호황</t>
        </is>
      </c>
      <c r="AI41" s="26" t="n">
        <v>188.314</v>
      </c>
      <c r="AJ41" t="inlineStr">
        <is>
          <t>2028-12-31</t>
        </is>
      </c>
    </row>
    <row r="42">
      <c r="A42" t="inlineStr">
        <is>
          <t>20260727800063</t>
        </is>
      </c>
      <c r="B42" t="inlineStr">
        <is>
          <t>VLCC</t>
        </is>
      </c>
      <c r="C42" t="n">
        <v>2</v>
      </c>
      <c r="D42" t="inlineStr">
        <is>
          <t>원유운반선(157,000 DWT) 2척</t>
        </is>
      </c>
      <c r="I42" s="26" t="n">
        <v>10.497</v>
      </c>
      <c r="J42" s="26" t="n">
        <v>13.996</v>
      </c>
      <c r="K42" s="26" t="n">
        <v>13.692</v>
      </c>
      <c r="L42" s="26" t="n">
        <v>13.844</v>
      </c>
      <c r="M42" s="26" t="n">
        <v>13.996</v>
      </c>
      <c r="N42" s="26" t="n">
        <v>13.996</v>
      </c>
      <c r="O42" s="26" t="n">
        <v>13.844</v>
      </c>
      <c r="P42" s="26" t="n">
        <v>13.844</v>
      </c>
      <c r="Q42" s="26" t="n">
        <v>13.996</v>
      </c>
      <c r="R42" s="26" t="n">
        <v>13.996</v>
      </c>
      <c r="S42" s="26" t="n">
        <v>13.692</v>
      </c>
      <c r="T42" s="26" t="n">
        <v>13.844</v>
      </c>
      <c r="U42" s="26" t="n">
        <v>13.996</v>
      </c>
      <c r="V42" s="26" t="n">
        <v>13.992</v>
      </c>
      <c r="AC42" s="35" t="n">
        <v>0</v>
      </c>
      <c r="AD42" s="16" t="n">
        <v>1418.75</v>
      </c>
      <c r="AE42" s="42" t="n">
        <v>1</v>
      </c>
      <c r="AF42" t="inlineStr">
        <is>
          <t>2026-07-24</t>
        </is>
      </c>
      <c r="AG42" t="n">
        <v>0</v>
      </c>
      <c r="AH42" t="inlineStr">
        <is>
          <t>⑤초호황</t>
        </is>
      </c>
      <c r="AI42" s="26" t="n">
        <v>191.225</v>
      </c>
      <c r="AJ42" t="inlineStr">
        <is>
          <t>2029-12-31</t>
        </is>
      </c>
    </row>
    <row r="44">
      <c r="A44" s="1" t="inlineStr">
        <is>
          <t>② 계약별 원화(백만원, 수식)</t>
        </is>
      </c>
      <c r="B44" s="1" t="inlineStr">
        <is>
          <t>type</t>
        </is>
      </c>
      <c r="C44" s="1" t="inlineStr">
        <is>
          <t>ships</t>
        </is>
      </c>
      <c r="D44" s="1" t="inlineStr">
        <is>
          <t>name</t>
        </is>
      </c>
    </row>
    <row r="45">
      <c r="A45" t="inlineStr">
        <is>
          <t>20250922800050</t>
        </is>
      </c>
      <c r="B45" t="inlineStr">
        <is>
          <t>VLCC</t>
        </is>
      </c>
      <c r="C45" t="n">
        <v>4</v>
      </c>
      <c r="D45" t="inlineStr">
        <is>
          <t>원유운반선(157,200 DWT) 4척</t>
        </is>
      </c>
      <c r="E45" s="18">
        <f>IFERROR(E27*$AC27*(1+($AE27-1)*E$24)*($D$21*$AD27+(1-$D$21)*E$23),"")</f>
        <v/>
      </c>
      <c r="F45" s="18">
        <f>IFERROR(F27*$AC27*(1+($AE27-1)*F$24)*($D$21*$AD27+(1-$D$21)*F$23),"")</f>
        <v/>
      </c>
      <c r="G45" s="18">
        <f>IFERROR(G27*$AC27*(1+($AE27-1)*G$24)*($D$21*$AD27+(1-$D$21)*G$23),"")</f>
        <v/>
      </c>
      <c r="H45" s="18">
        <f>IFERROR(H27*$AC27*(1+($AE27-1)*H$24)*($D$21*$AD27+(1-$D$21)*H$23),"")</f>
        <v/>
      </c>
      <c r="I45" s="18">
        <f>IFERROR(I27*$AC27*(1+($AE27-1)*I$24)*($D$21*$AD27+(1-$D$21)*I$23),"")</f>
        <v/>
      </c>
      <c r="J45" s="18">
        <f>IFERROR(J27*$AC27*(1+($AE27-1)*J$24)*($D$21*$AD27+(1-$D$21)*J$23),"")</f>
        <v/>
      </c>
      <c r="K45" s="18">
        <f>IFERROR(K27*$AC27*(1+($AE27-1)*K$24)*($D$21*$AD27+(1-$D$21)*K$23),"")</f>
        <v/>
      </c>
      <c r="L45" s="18">
        <f>IFERROR(L27*$AC27*(1+($AE27-1)*L$24)*($D$21*$AD27+(1-$D$21)*L$23),"")</f>
        <v/>
      </c>
      <c r="M45" s="18">
        <f>IFERROR(M27*$AC27*(1+($AE27-1)*M$24)*($D$21*$AD27+(1-$D$21)*M$23),"")</f>
        <v/>
      </c>
      <c r="N45" s="18">
        <f>IFERROR(N27*$AC27*(1+($AE27-1)*N$24)*($D$21*$AD27+(1-$D$21)*N$23),"")</f>
        <v/>
      </c>
      <c r="O45" s="18">
        <f>IFERROR(O27*$AC27*(1+($AE27-1)*O$24)*($D$21*$AD27+(1-$D$21)*O$23),"")</f>
        <v/>
      </c>
      <c r="P45" s="18">
        <f>IFERROR(P27*$AC27*(1+($AE27-1)*P$24)*($D$21*$AD27+(1-$D$21)*P$23),"")</f>
        <v/>
      </c>
      <c r="Q45" s="18">
        <f>IFERROR(Q27*$AC27*(1+($AE27-1)*Q$24)*($D$21*$AD27+(1-$D$21)*Q$23),"")</f>
        <v/>
      </c>
    </row>
    <row r="46">
      <c r="A46" t="inlineStr">
        <is>
          <t>20250922800051</t>
        </is>
      </c>
      <c r="B46" t="inlineStr">
        <is>
          <t>VLCC</t>
        </is>
      </c>
      <c r="C46" t="n">
        <v>2</v>
      </c>
      <c r="D46" t="inlineStr">
        <is>
          <t>원유운반선(157,000 DWT) 2척</t>
        </is>
      </c>
      <c r="E46" s="18">
        <f>IFERROR(E28*$AC28*(1+($AE28-1)*E$24)*($D$21*$AD28+(1-$D$21)*E$23),"")</f>
        <v/>
      </c>
      <c r="F46" s="18">
        <f>IFERROR(F28*$AC28*(1+($AE28-1)*F$24)*($D$21*$AD28+(1-$D$21)*F$23),"")</f>
        <v/>
      </c>
      <c r="G46" s="18">
        <f>IFERROR(G28*$AC28*(1+($AE28-1)*G$24)*($D$21*$AD28+(1-$D$21)*G$23),"")</f>
        <v/>
      </c>
      <c r="H46" s="18">
        <f>IFERROR(H28*$AC28*(1+($AE28-1)*H$24)*($D$21*$AD28+(1-$D$21)*H$23),"")</f>
        <v/>
      </c>
      <c r="I46" s="18">
        <f>IFERROR(I28*$AC28*(1+($AE28-1)*I$24)*($D$21*$AD28+(1-$D$21)*I$23),"")</f>
        <v/>
      </c>
      <c r="J46" s="18">
        <f>IFERROR(J28*$AC28*(1+($AE28-1)*J$24)*($D$21*$AD28+(1-$D$21)*J$23),"")</f>
        <v/>
      </c>
      <c r="K46" s="18">
        <f>IFERROR(K28*$AC28*(1+($AE28-1)*K$24)*($D$21*$AD28+(1-$D$21)*K$23),"")</f>
        <v/>
      </c>
      <c r="L46" s="18">
        <f>IFERROR(L28*$AC28*(1+($AE28-1)*L$24)*($D$21*$AD28+(1-$D$21)*L$23),"")</f>
        <v/>
      </c>
      <c r="M46" s="18">
        <f>IFERROR(M28*$AC28*(1+($AE28-1)*M$24)*($D$21*$AD28+(1-$D$21)*M$23),"")</f>
        <v/>
      </c>
    </row>
    <row r="47">
      <c r="A47" t="inlineStr">
        <is>
          <t>20250930800053</t>
        </is>
      </c>
      <c r="B47" t="inlineStr">
        <is>
          <t>VLCC</t>
        </is>
      </c>
      <c r="C47" t="n">
        <v>1</v>
      </c>
      <c r="D47" t="inlineStr">
        <is>
          <t>원유운반선(157,000 DWT) 1척</t>
        </is>
      </c>
      <c r="E47" s="18">
        <f>IFERROR(E29*$AC29*(1+($AE29-1)*E$24)*($D$21*$AD29+(1-$D$21)*E$23),"")</f>
        <v/>
      </c>
      <c r="F47" s="18">
        <f>IFERROR(F29*$AC29*(1+($AE29-1)*F$24)*($D$21*$AD29+(1-$D$21)*F$23),"")</f>
        <v/>
      </c>
      <c r="G47" s="18">
        <f>IFERROR(G29*$AC29*(1+($AE29-1)*G$24)*($D$21*$AD29+(1-$D$21)*G$23),"")</f>
        <v/>
      </c>
      <c r="H47" s="18">
        <f>IFERROR(H29*$AC29*(1+($AE29-1)*H$24)*($D$21*$AD29+(1-$D$21)*H$23),"")</f>
        <v/>
      </c>
      <c r="I47" s="18">
        <f>IFERROR(I29*$AC29*(1+($AE29-1)*I$24)*($D$21*$AD29+(1-$D$21)*I$23),"")</f>
        <v/>
      </c>
      <c r="J47" s="18">
        <f>IFERROR(J29*$AC29*(1+($AE29-1)*J$24)*($D$21*$AD29+(1-$D$21)*J$23),"")</f>
        <v/>
      </c>
      <c r="K47" s="18">
        <f>IFERROR(K29*$AC29*(1+($AE29-1)*K$24)*($D$21*$AD29+(1-$D$21)*K$23),"")</f>
        <v/>
      </c>
      <c r="L47" s="18">
        <f>IFERROR(L29*$AC29*(1+($AE29-1)*L$24)*($D$21*$AD29+(1-$D$21)*L$23),"")</f>
        <v/>
      </c>
    </row>
    <row r="48">
      <c r="A48" t="inlineStr">
        <is>
          <t>20251001800065</t>
        </is>
      </c>
      <c r="B48" t="inlineStr">
        <is>
          <t>VLCC</t>
        </is>
      </c>
      <c r="C48" t="n">
        <v>1</v>
      </c>
      <c r="D48" t="inlineStr">
        <is>
          <t>원유운반선(157,000 DWT) 1척</t>
        </is>
      </c>
      <c r="E48" s="18">
        <f>IFERROR(E30*$AC30*(1+($AE30-1)*E$24)*($D$21*$AD30+(1-$D$21)*E$23),"")</f>
        <v/>
      </c>
      <c r="F48" s="18">
        <f>IFERROR(F30*$AC30*(1+($AE30-1)*F$24)*($D$21*$AD30+(1-$D$21)*F$23),"")</f>
        <v/>
      </c>
      <c r="G48" s="18">
        <f>IFERROR(G30*$AC30*(1+($AE30-1)*G$24)*($D$21*$AD30+(1-$D$21)*G$23),"")</f>
        <v/>
      </c>
      <c r="H48" s="18">
        <f>IFERROR(H30*$AC30*(1+($AE30-1)*H$24)*($D$21*$AD30+(1-$D$21)*H$23),"")</f>
        <v/>
      </c>
      <c r="I48" s="18">
        <f>IFERROR(I30*$AC30*(1+($AE30-1)*I$24)*($D$21*$AD30+(1-$D$21)*I$23),"")</f>
        <v/>
      </c>
      <c r="J48" s="18">
        <f>IFERROR(J30*$AC30*(1+($AE30-1)*J$24)*($D$21*$AD30+(1-$D$21)*J$23),"")</f>
        <v/>
      </c>
      <c r="K48" s="18">
        <f>IFERROR(K30*$AC30*(1+($AE30-1)*K$24)*($D$21*$AD30+(1-$D$21)*K$23),"")</f>
        <v/>
      </c>
      <c r="L48" s="18">
        <f>IFERROR(L30*$AC30*(1+($AE30-1)*L$24)*($D$21*$AD30+(1-$D$21)*L$23),"")</f>
        <v/>
      </c>
      <c r="M48" s="18">
        <f>IFERROR(M30*$AC30*(1+($AE30-1)*M$24)*($D$21*$AD30+(1-$D$21)*M$23),"")</f>
        <v/>
      </c>
      <c r="N48" s="18">
        <f>IFERROR(N30*$AC30*(1+($AE30-1)*N$24)*($D$21*$AD30+(1-$D$21)*N$23),"")</f>
        <v/>
      </c>
    </row>
    <row r="49">
      <c r="A49" t="inlineStr">
        <is>
          <t>20251015800073</t>
        </is>
      </c>
      <c r="B49" t="inlineStr">
        <is>
          <t>CONT</t>
        </is>
      </c>
      <c r="C49" t="n">
        <v>2</v>
      </c>
      <c r="D49" t="inlineStr">
        <is>
          <t>컨테이너선 2척</t>
        </is>
      </c>
      <c r="F49" s="18">
        <f>IFERROR(F31*$AC31*(1+($AE31-1)*F$24)*($D$21*$AD31+(1-$D$21)*F$23),"")</f>
        <v/>
      </c>
      <c r="G49" s="18">
        <f>IFERROR(G31*$AC31*(1+($AE31-1)*G$24)*($D$21*$AD31+(1-$D$21)*G$23),"")</f>
        <v/>
      </c>
      <c r="H49" s="18">
        <f>IFERROR(H31*$AC31*(1+($AE31-1)*H$24)*($D$21*$AD31+(1-$D$21)*H$23),"")</f>
        <v/>
      </c>
      <c r="I49" s="18">
        <f>IFERROR(I31*$AC31*(1+($AE31-1)*I$24)*($D$21*$AD31+(1-$D$21)*I$23),"")</f>
        <v/>
      </c>
      <c r="J49" s="18">
        <f>IFERROR(J31*$AC31*(1+($AE31-1)*J$24)*($D$21*$AD31+(1-$D$21)*J$23),"")</f>
        <v/>
      </c>
      <c r="K49" s="18">
        <f>IFERROR(K31*$AC31*(1+($AE31-1)*K$24)*($D$21*$AD31+(1-$D$21)*K$23),"")</f>
        <v/>
      </c>
      <c r="L49" s="18">
        <f>IFERROR(L31*$AC31*(1+($AE31-1)*L$24)*($D$21*$AD31+(1-$D$21)*L$23),"")</f>
        <v/>
      </c>
      <c r="M49" s="18">
        <f>IFERROR(M31*$AC31*(1+($AE31-1)*M$24)*($D$21*$AD31+(1-$D$21)*M$23),"")</f>
        <v/>
      </c>
      <c r="N49" s="18">
        <f>IFERROR(N31*$AC31*(1+($AE31-1)*N$24)*($D$21*$AD31+(1-$D$21)*N$23),"")</f>
        <v/>
      </c>
      <c r="O49" s="18">
        <f>IFERROR(O31*$AC31*(1+($AE31-1)*O$24)*($D$21*$AD31+(1-$D$21)*O$23),"")</f>
        <v/>
      </c>
      <c r="P49" s="18">
        <f>IFERROR(P31*$AC31*(1+($AE31-1)*P$24)*($D$21*$AD31+(1-$D$21)*P$23),"")</f>
        <v/>
      </c>
    </row>
    <row r="50">
      <c r="A50" t="inlineStr">
        <is>
          <t>20251118800028</t>
        </is>
      </c>
      <c r="B50" t="inlineStr">
        <is>
          <t>VLCC</t>
        </is>
      </c>
      <c r="C50" t="n">
        <v>1</v>
      </c>
      <c r="D50" t="inlineStr">
        <is>
          <t>원유운반선(157,000 DWT) 1척</t>
        </is>
      </c>
      <c r="F50" s="18">
        <f>IFERROR(F32*$AC32*(1+($AE32-1)*F$24)*($D$21*$AD32+(1-$D$21)*F$23),"")</f>
        <v/>
      </c>
      <c r="G50" s="18">
        <f>IFERROR(G32*$AC32*(1+($AE32-1)*G$24)*($D$21*$AD32+(1-$D$21)*G$23),"")</f>
        <v/>
      </c>
      <c r="H50" s="18">
        <f>IFERROR(H32*$AC32*(1+($AE32-1)*H$24)*($D$21*$AD32+(1-$D$21)*H$23),"")</f>
        <v/>
      </c>
      <c r="I50" s="18">
        <f>IFERROR(I32*$AC32*(1+($AE32-1)*I$24)*($D$21*$AD32+(1-$D$21)*I$23),"")</f>
        <v/>
      </c>
      <c r="J50" s="18">
        <f>IFERROR(J32*$AC32*(1+($AE32-1)*J$24)*($D$21*$AD32+(1-$D$21)*J$23),"")</f>
        <v/>
      </c>
      <c r="K50" s="18">
        <f>IFERROR(K32*$AC32*(1+($AE32-1)*K$24)*($D$21*$AD32+(1-$D$21)*K$23),"")</f>
        <v/>
      </c>
      <c r="L50" s="18">
        <f>IFERROR(L32*$AC32*(1+($AE32-1)*L$24)*($D$21*$AD32+(1-$D$21)*L$23),"")</f>
        <v/>
      </c>
      <c r="M50" s="18">
        <f>IFERROR(M32*$AC32*(1+($AE32-1)*M$24)*($D$21*$AD32+(1-$D$21)*M$23),"")</f>
        <v/>
      </c>
      <c r="N50" s="18">
        <f>IFERROR(N32*$AC32*(1+($AE32-1)*N$24)*($D$21*$AD32+(1-$D$21)*N$23),"")</f>
        <v/>
      </c>
    </row>
    <row r="51">
      <c r="A51" t="inlineStr">
        <is>
          <t>20260114800029</t>
        </is>
      </c>
      <c r="B51" t="inlineStr">
        <is>
          <t>VLCC</t>
        </is>
      </c>
      <c r="C51" t="n">
        <v>2</v>
      </c>
      <c r="D51" t="inlineStr">
        <is>
          <t>원유운반선(157,000 DWT) 2척</t>
        </is>
      </c>
      <c r="G51" s="18">
        <f>IFERROR(G33*$AC33*(1+($AE33-1)*G$24)*($D$21*$AD33+(1-$D$21)*G$23),"")</f>
        <v/>
      </c>
      <c r="H51" s="18">
        <f>IFERROR(H33*$AC33*(1+($AE33-1)*H$24)*($D$21*$AD33+(1-$D$21)*H$23),"")</f>
        <v/>
      </c>
      <c r="I51" s="18">
        <f>IFERROR(I33*$AC33*(1+($AE33-1)*I$24)*($D$21*$AD33+(1-$D$21)*I$23),"")</f>
        <v/>
      </c>
      <c r="J51" s="18">
        <f>IFERROR(J33*$AC33*(1+($AE33-1)*J$24)*($D$21*$AD33+(1-$D$21)*J$23),"")</f>
        <v/>
      </c>
      <c r="K51" s="18">
        <f>IFERROR(K33*$AC33*(1+($AE33-1)*K$24)*($D$21*$AD33+(1-$D$21)*K$23),"")</f>
        <v/>
      </c>
      <c r="L51" s="18">
        <f>IFERROR(L33*$AC33*(1+($AE33-1)*L$24)*($D$21*$AD33+(1-$D$21)*L$23),"")</f>
        <v/>
      </c>
      <c r="M51" s="18">
        <f>IFERROR(M33*$AC33*(1+($AE33-1)*M$24)*($D$21*$AD33+(1-$D$21)*M$23),"")</f>
        <v/>
      </c>
      <c r="N51" s="18">
        <f>IFERROR(N33*$AC33*(1+($AE33-1)*N$24)*($D$21*$AD33+(1-$D$21)*N$23),"")</f>
        <v/>
      </c>
      <c r="O51" s="18">
        <f>IFERROR(O33*$AC33*(1+($AE33-1)*O$24)*($D$21*$AD33+(1-$D$21)*O$23),"")</f>
        <v/>
      </c>
      <c r="P51" s="18">
        <f>IFERROR(P33*$AC33*(1+($AE33-1)*P$24)*($D$21*$AD33+(1-$D$21)*P$23),"")</f>
        <v/>
      </c>
      <c r="Q51" s="18">
        <f>IFERROR(Q33*$AC33*(1+($AE33-1)*Q$24)*($D$21*$AD33+(1-$D$21)*Q$23),"")</f>
        <v/>
      </c>
      <c r="R51" s="18">
        <f>IFERROR(R33*$AC33*(1+($AE33-1)*R$24)*($D$21*$AD33+(1-$D$21)*R$23),"")</f>
        <v/>
      </c>
    </row>
    <row r="52">
      <c r="A52" t="inlineStr">
        <is>
          <t>20260115800029</t>
        </is>
      </c>
      <c r="B52" t="inlineStr">
        <is>
          <t>VLCC</t>
        </is>
      </c>
      <c r="C52" t="n">
        <v>2</v>
      </c>
      <c r="D52" t="inlineStr">
        <is>
          <t>원유운반선(157,000 DWT) 2척</t>
        </is>
      </c>
      <c r="G52" s="18">
        <f>IFERROR(G34*$AC34*(1+($AE34-1)*G$24)*($D$21*$AD34+(1-$D$21)*G$23),"")</f>
        <v/>
      </c>
      <c r="H52" s="18">
        <f>IFERROR(H34*$AC34*(1+($AE34-1)*H$24)*($D$21*$AD34+(1-$D$21)*H$23),"")</f>
        <v/>
      </c>
      <c r="I52" s="18">
        <f>IFERROR(I34*$AC34*(1+($AE34-1)*I$24)*($D$21*$AD34+(1-$D$21)*I$23),"")</f>
        <v/>
      </c>
      <c r="J52" s="18">
        <f>IFERROR(J34*$AC34*(1+($AE34-1)*J$24)*($D$21*$AD34+(1-$D$21)*J$23),"")</f>
        <v/>
      </c>
      <c r="K52" s="18">
        <f>IFERROR(K34*$AC34*(1+($AE34-1)*K$24)*($D$21*$AD34+(1-$D$21)*K$23),"")</f>
        <v/>
      </c>
      <c r="L52" s="18">
        <f>IFERROR(L34*$AC34*(1+($AE34-1)*L$24)*($D$21*$AD34+(1-$D$21)*L$23),"")</f>
        <v/>
      </c>
      <c r="M52" s="18">
        <f>IFERROR(M34*$AC34*(1+($AE34-1)*M$24)*($D$21*$AD34+(1-$D$21)*M$23),"")</f>
        <v/>
      </c>
      <c r="N52" s="18">
        <f>IFERROR(N34*$AC34*(1+($AE34-1)*N$24)*($D$21*$AD34+(1-$D$21)*N$23),"")</f>
        <v/>
      </c>
      <c r="O52" s="18">
        <f>IFERROR(O34*$AC34*(1+($AE34-1)*O$24)*($D$21*$AD34+(1-$D$21)*O$23),"")</f>
        <v/>
      </c>
      <c r="P52" s="18">
        <f>IFERROR(P34*$AC34*(1+($AE34-1)*P$24)*($D$21*$AD34+(1-$D$21)*P$23),"")</f>
        <v/>
      </c>
      <c r="Q52" s="18">
        <f>IFERROR(Q34*$AC34*(1+($AE34-1)*Q$24)*($D$21*$AD34+(1-$D$21)*Q$23),"")</f>
        <v/>
      </c>
      <c r="R52" s="18">
        <f>IFERROR(R34*$AC34*(1+($AE34-1)*R$24)*($D$21*$AD34+(1-$D$21)*R$23),"")</f>
        <v/>
      </c>
      <c r="S52" s="18">
        <f>IFERROR(S34*$AC34*(1+($AE34-1)*S$24)*($D$21*$AD34+(1-$D$21)*S$23),"")</f>
        <v/>
      </c>
      <c r="T52" s="18">
        <f>IFERROR(T34*$AC34*(1+($AE34-1)*T$24)*($D$21*$AD34+(1-$D$21)*T$23),"")</f>
        <v/>
      </c>
    </row>
    <row r="53">
      <c r="A53" t="inlineStr">
        <is>
          <t>20260129800084</t>
        </is>
      </c>
      <c r="B53" t="inlineStr">
        <is>
          <t>VLCC</t>
        </is>
      </c>
      <c r="C53" t="n">
        <v>2</v>
      </c>
      <c r="D53" t="inlineStr">
        <is>
          <t>원유운반선(157,000 DWT) 2척</t>
        </is>
      </c>
      <c r="G53" s="18">
        <f>IFERROR(G35*$AC35*(1+($AE35-1)*G$24)*($D$21*$AD35+(1-$D$21)*G$23),"")</f>
        <v/>
      </c>
      <c r="H53" s="18">
        <f>IFERROR(H35*$AC35*(1+($AE35-1)*H$24)*($D$21*$AD35+(1-$D$21)*H$23),"")</f>
        <v/>
      </c>
      <c r="I53" s="18">
        <f>IFERROR(I35*$AC35*(1+($AE35-1)*I$24)*($D$21*$AD35+(1-$D$21)*I$23),"")</f>
        <v/>
      </c>
      <c r="J53" s="18">
        <f>IFERROR(J35*$AC35*(1+($AE35-1)*J$24)*($D$21*$AD35+(1-$D$21)*J$23),"")</f>
        <v/>
      </c>
      <c r="K53" s="18">
        <f>IFERROR(K35*$AC35*(1+($AE35-1)*K$24)*($D$21*$AD35+(1-$D$21)*K$23),"")</f>
        <v/>
      </c>
      <c r="L53" s="18">
        <f>IFERROR(L35*$AC35*(1+($AE35-1)*L$24)*($D$21*$AD35+(1-$D$21)*L$23),"")</f>
        <v/>
      </c>
      <c r="M53" s="18">
        <f>IFERROR(M35*$AC35*(1+($AE35-1)*M$24)*($D$21*$AD35+(1-$D$21)*M$23),"")</f>
        <v/>
      </c>
      <c r="N53" s="18">
        <f>IFERROR(N35*$AC35*(1+($AE35-1)*N$24)*($D$21*$AD35+(1-$D$21)*N$23),"")</f>
        <v/>
      </c>
      <c r="O53" s="18">
        <f>IFERROR(O35*$AC35*(1+($AE35-1)*O$24)*($D$21*$AD35+(1-$D$21)*O$23),"")</f>
        <v/>
      </c>
      <c r="P53" s="18">
        <f>IFERROR(P35*$AC35*(1+($AE35-1)*P$24)*($D$21*$AD35+(1-$D$21)*P$23),"")</f>
        <v/>
      </c>
      <c r="Q53" s="18">
        <f>IFERROR(Q35*$AC35*(1+($AE35-1)*Q$24)*($D$21*$AD35+(1-$D$21)*Q$23),"")</f>
        <v/>
      </c>
      <c r="R53" s="18">
        <f>IFERROR(R35*$AC35*(1+($AE35-1)*R$24)*($D$21*$AD35+(1-$D$21)*R$23),"")</f>
        <v/>
      </c>
      <c r="S53" s="18">
        <f>IFERROR(S35*$AC35*(1+($AE35-1)*S$24)*($D$21*$AD35+(1-$D$21)*S$23),"")</f>
        <v/>
      </c>
      <c r="T53" s="18">
        <f>IFERROR(T35*$AC35*(1+($AE35-1)*T$24)*($D$21*$AD35+(1-$D$21)*T$23),"")</f>
        <v/>
      </c>
    </row>
    <row r="54">
      <c r="A54" t="inlineStr">
        <is>
          <t>20260209800078</t>
        </is>
      </c>
      <c r="B54" t="inlineStr">
        <is>
          <t>VLCC</t>
        </is>
      </c>
      <c r="C54" t="n">
        <v>2</v>
      </c>
      <c r="D54" t="inlineStr">
        <is>
          <t>원유운반선(157,000 DWT) 2척</t>
        </is>
      </c>
      <c r="G54" s="18">
        <f>IFERROR(G36*$AC36*(1+($AE36-1)*G$24)*($D$21*$AD36+(1-$D$21)*G$23),"")</f>
        <v/>
      </c>
      <c r="H54" s="18">
        <f>IFERROR(H36*$AC36*(1+($AE36-1)*H$24)*($D$21*$AD36+(1-$D$21)*H$23),"")</f>
        <v/>
      </c>
      <c r="I54" s="18">
        <f>IFERROR(I36*$AC36*(1+($AE36-1)*I$24)*($D$21*$AD36+(1-$D$21)*I$23),"")</f>
        <v/>
      </c>
      <c r="J54" s="18">
        <f>IFERROR(J36*$AC36*(1+($AE36-1)*J$24)*($D$21*$AD36+(1-$D$21)*J$23),"")</f>
        <v/>
      </c>
      <c r="K54" s="18">
        <f>IFERROR(K36*$AC36*(1+($AE36-1)*K$24)*($D$21*$AD36+(1-$D$21)*K$23),"")</f>
        <v/>
      </c>
      <c r="L54" s="18">
        <f>IFERROR(L36*$AC36*(1+($AE36-1)*L$24)*($D$21*$AD36+(1-$D$21)*L$23),"")</f>
        <v/>
      </c>
      <c r="M54" s="18">
        <f>IFERROR(M36*$AC36*(1+($AE36-1)*M$24)*($D$21*$AD36+(1-$D$21)*M$23),"")</f>
        <v/>
      </c>
      <c r="N54" s="18">
        <f>IFERROR(N36*$AC36*(1+($AE36-1)*N$24)*($D$21*$AD36+(1-$D$21)*N$23),"")</f>
        <v/>
      </c>
      <c r="O54" s="18">
        <f>IFERROR(O36*$AC36*(1+($AE36-1)*O$24)*($D$21*$AD36+(1-$D$21)*O$23),"")</f>
        <v/>
      </c>
      <c r="P54" s="18">
        <f>IFERROR(P36*$AC36*(1+($AE36-1)*P$24)*($D$21*$AD36+(1-$D$21)*P$23),"")</f>
        <v/>
      </c>
      <c r="Q54" s="18">
        <f>IFERROR(Q36*$AC36*(1+($AE36-1)*Q$24)*($D$21*$AD36+(1-$D$21)*Q$23),"")</f>
        <v/>
      </c>
      <c r="R54" s="18">
        <f>IFERROR(R36*$AC36*(1+($AE36-1)*R$24)*($D$21*$AD36+(1-$D$21)*R$23),"")</f>
        <v/>
      </c>
    </row>
    <row r="55">
      <c r="A55" t="inlineStr">
        <is>
          <t>20260317800064</t>
        </is>
      </c>
      <c r="B55" t="inlineStr">
        <is>
          <t>VLCC</t>
        </is>
      </c>
      <c r="C55" t="n">
        <v>1</v>
      </c>
      <c r="D55" t="inlineStr">
        <is>
          <t>원유운반선(157,000 DWT) 1척</t>
        </is>
      </c>
      <c r="G55" s="18">
        <f>IFERROR(G37*$AC37*(1+($AE37-1)*G$24)*($D$21*$AD37+(1-$D$21)*G$23),"")</f>
        <v/>
      </c>
      <c r="H55" s="18">
        <f>IFERROR(H37*$AC37*(1+($AE37-1)*H$24)*($D$21*$AD37+(1-$D$21)*H$23),"")</f>
        <v/>
      </c>
      <c r="I55" s="18">
        <f>IFERROR(I37*$AC37*(1+($AE37-1)*I$24)*($D$21*$AD37+(1-$D$21)*I$23),"")</f>
        <v/>
      </c>
      <c r="J55" s="18">
        <f>IFERROR(J37*$AC37*(1+($AE37-1)*J$24)*($D$21*$AD37+(1-$D$21)*J$23),"")</f>
        <v/>
      </c>
      <c r="K55" s="18">
        <f>IFERROR(K37*$AC37*(1+($AE37-1)*K$24)*($D$21*$AD37+(1-$D$21)*K$23),"")</f>
        <v/>
      </c>
      <c r="L55" s="18">
        <f>IFERROR(L37*$AC37*(1+($AE37-1)*L$24)*($D$21*$AD37+(1-$D$21)*L$23),"")</f>
        <v/>
      </c>
      <c r="M55" s="18">
        <f>IFERROR(M37*$AC37*(1+($AE37-1)*M$24)*($D$21*$AD37+(1-$D$21)*M$23),"")</f>
        <v/>
      </c>
      <c r="N55" s="18">
        <f>IFERROR(N37*$AC37*(1+($AE37-1)*N$24)*($D$21*$AD37+(1-$D$21)*N$23),"")</f>
        <v/>
      </c>
      <c r="O55" s="18">
        <f>IFERROR(O37*$AC37*(1+($AE37-1)*O$24)*($D$21*$AD37+(1-$D$21)*O$23),"")</f>
        <v/>
      </c>
      <c r="P55" s="18">
        <f>IFERROR(P37*$AC37*(1+($AE37-1)*P$24)*($D$21*$AD37+(1-$D$21)*P$23),"")</f>
        <v/>
      </c>
      <c r="Q55" s="18">
        <f>IFERROR(Q37*$AC37*(1+($AE37-1)*Q$24)*($D$21*$AD37+(1-$D$21)*Q$23),"")</f>
        <v/>
      </c>
      <c r="R55" s="18">
        <f>IFERROR(R37*$AC37*(1+($AE37-1)*R$24)*($D$21*$AD37+(1-$D$21)*R$23),"")</f>
        <v/>
      </c>
      <c r="S55" s="18">
        <f>IFERROR(S37*$AC37*(1+($AE37-1)*S$24)*($D$21*$AD37+(1-$D$21)*S$23),"")</f>
        <v/>
      </c>
      <c r="T55" s="18">
        <f>IFERROR(T37*$AC37*(1+($AE37-1)*T$24)*($D$21*$AD37+(1-$D$21)*T$23),"")</f>
        <v/>
      </c>
      <c r="U55" s="18">
        <f>IFERROR(U37*$AC37*(1+($AE37-1)*U$24)*($D$21*$AD37+(1-$D$21)*U$23),"")</f>
        <v/>
      </c>
      <c r="V55" s="18">
        <f>IFERROR(V37*$AC37*(1+($AE37-1)*V$24)*($D$21*$AD37+(1-$D$21)*V$23),"")</f>
        <v/>
      </c>
    </row>
    <row r="56">
      <c r="A56" t="inlineStr">
        <is>
          <t>20260323800069</t>
        </is>
      </c>
      <c r="B56" t="inlineStr">
        <is>
          <t>VLCC</t>
        </is>
      </c>
      <c r="C56" t="n">
        <v>1</v>
      </c>
      <c r="D56" t="inlineStr">
        <is>
          <t>원유운반선(157,000 DWT) 1척</t>
        </is>
      </c>
      <c r="G56" s="18">
        <f>IFERROR(G38*$AC38*(1+($AE38-1)*G$24)*($D$21*$AD38+(1-$D$21)*G$23),"")</f>
        <v/>
      </c>
      <c r="H56" s="18">
        <f>IFERROR(H38*$AC38*(1+($AE38-1)*H$24)*($D$21*$AD38+(1-$D$21)*H$23),"")</f>
        <v/>
      </c>
      <c r="I56" s="18">
        <f>IFERROR(I38*$AC38*(1+($AE38-1)*I$24)*($D$21*$AD38+(1-$D$21)*I$23),"")</f>
        <v/>
      </c>
      <c r="J56" s="18">
        <f>IFERROR(J38*$AC38*(1+($AE38-1)*J$24)*($D$21*$AD38+(1-$D$21)*J$23),"")</f>
        <v/>
      </c>
      <c r="K56" s="18">
        <f>IFERROR(K38*$AC38*(1+($AE38-1)*K$24)*($D$21*$AD38+(1-$D$21)*K$23),"")</f>
        <v/>
      </c>
      <c r="L56" s="18">
        <f>IFERROR(L38*$AC38*(1+($AE38-1)*L$24)*($D$21*$AD38+(1-$D$21)*L$23),"")</f>
        <v/>
      </c>
      <c r="M56" s="18">
        <f>IFERROR(M38*$AC38*(1+($AE38-1)*M$24)*($D$21*$AD38+(1-$D$21)*M$23),"")</f>
        <v/>
      </c>
      <c r="N56" s="18">
        <f>IFERROR(N38*$AC38*(1+($AE38-1)*N$24)*($D$21*$AD38+(1-$D$21)*N$23),"")</f>
        <v/>
      </c>
      <c r="O56" s="18">
        <f>IFERROR(O38*$AC38*(1+($AE38-1)*O$24)*($D$21*$AD38+(1-$D$21)*O$23),"")</f>
        <v/>
      </c>
      <c r="P56" s="18">
        <f>IFERROR(P38*$AC38*(1+($AE38-1)*P$24)*($D$21*$AD38+(1-$D$21)*P$23),"")</f>
        <v/>
      </c>
      <c r="Q56" s="18">
        <f>IFERROR(Q38*$AC38*(1+($AE38-1)*Q$24)*($D$21*$AD38+(1-$D$21)*Q$23),"")</f>
        <v/>
      </c>
      <c r="R56" s="18">
        <f>IFERROR(R38*$AC38*(1+($AE38-1)*R$24)*($D$21*$AD38+(1-$D$21)*R$23),"")</f>
        <v/>
      </c>
      <c r="S56" s="18">
        <f>IFERROR(S38*$AC38*(1+($AE38-1)*S$24)*($D$21*$AD38+(1-$D$21)*S$23),"")</f>
        <v/>
      </c>
      <c r="T56" s="18">
        <f>IFERROR(T38*$AC38*(1+($AE38-1)*T$24)*($D$21*$AD38+(1-$D$21)*T$23),"")</f>
        <v/>
      </c>
    </row>
    <row r="57">
      <c r="A57" t="inlineStr">
        <is>
          <t>20260331800063</t>
        </is>
      </c>
      <c r="B57" t="inlineStr">
        <is>
          <t>VLCC</t>
        </is>
      </c>
      <c r="C57" t="n">
        <v>2</v>
      </c>
      <c r="D57" t="inlineStr">
        <is>
          <t>원유운반선(157,000 DWT) 2척</t>
        </is>
      </c>
      <c r="G57" s="18">
        <f>IFERROR(G39*$AC39*(1+($AE39-1)*G$24)*($D$21*$AD39+(1-$D$21)*G$23),"")</f>
        <v/>
      </c>
      <c r="H57" s="18">
        <f>IFERROR(H39*$AC39*(1+($AE39-1)*H$24)*($D$21*$AD39+(1-$D$21)*H$23),"")</f>
        <v/>
      </c>
      <c r="I57" s="18">
        <f>IFERROR(I39*$AC39*(1+($AE39-1)*I$24)*($D$21*$AD39+(1-$D$21)*I$23),"")</f>
        <v/>
      </c>
      <c r="J57" s="18">
        <f>IFERROR(J39*$AC39*(1+($AE39-1)*J$24)*($D$21*$AD39+(1-$D$21)*J$23),"")</f>
        <v/>
      </c>
      <c r="K57" s="18">
        <f>IFERROR(K39*$AC39*(1+($AE39-1)*K$24)*($D$21*$AD39+(1-$D$21)*K$23),"")</f>
        <v/>
      </c>
      <c r="L57" s="18">
        <f>IFERROR(L39*$AC39*(1+($AE39-1)*L$24)*($D$21*$AD39+(1-$D$21)*L$23),"")</f>
        <v/>
      </c>
      <c r="M57" s="18">
        <f>IFERROR(M39*$AC39*(1+($AE39-1)*M$24)*($D$21*$AD39+(1-$D$21)*M$23),"")</f>
        <v/>
      </c>
      <c r="N57" s="18">
        <f>IFERROR(N39*$AC39*(1+($AE39-1)*N$24)*($D$21*$AD39+(1-$D$21)*N$23),"")</f>
        <v/>
      </c>
      <c r="O57" s="18">
        <f>IFERROR(O39*$AC39*(1+($AE39-1)*O$24)*($D$21*$AD39+(1-$D$21)*O$23),"")</f>
        <v/>
      </c>
      <c r="P57" s="18">
        <f>IFERROR(P39*$AC39*(1+($AE39-1)*P$24)*($D$21*$AD39+(1-$D$21)*P$23),"")</f>
        <v/>
      </c>
      <c r="Q57" s="18">
        <f>IFERROR(Q39*$AC39*(1+($AE39-1)*Q$24)*($D$21*$AD39+(1-$D$21)*Q$23),"")</f>
        <v/>
      </c>
      <c r="R57" s="18">
        <f>IFERROR(R39*$AC39*(1+($AE39-1)*R$24)*($D$21*$AD39+(1-$D$21)*R$23),"")</f>
        <v/>
      </c>
      <c r="S57" s="18">
        <f>IFERROR(S39*$AC39*(1+($AE39-1)*S$24)*($D$21*$AD39+(1-$D$21)*S$23),"")</f>
        <v/>
      </c>
      <c r="T57" s="18">
        <f>IFERROR(T39*$AC39*(1+($AE39-1)*T$24)*($D$21*$AD39+(1-$D$21)*T$23),"")</f>
        <v/>
      </c>
      <c r="U57" s="18">
        <f>IFERROR(U39*$AC39*(1+($AE39-1)*U$24)*($D$21*$AD39+(1-$D$21)*U$23),"")</f>
        <v/>
      </c>
    </row>
    <row r="58">
      <c r="A58" t="inlineStr">
        <is>
          <t>20260416800003</t>
        </is>
      </c>
      <c r="B58" t="inlineStr">
        <is>
          <t>VLCC</t>
        </is>
      </c>
      <c r="C58" t="n">
        <v>1</v>
      </c>
      <c r="D58" t="inlineStr">
        <is>
          <t>원유운반선(157,000 DWT) 1척</t>
        </is>
      </c>
      <c r="H58" s="18">
        <f>IFERROR(H40*$AC40*(1+($AE40-1)*H$24)*($D$21*$AD40+(1-$D$21)*H$23),"")</f>
        <v/>
      </c>
      <c r="I58" s="18">
        <f>IFERROR(I40*$AC40*(1+($AE40-1)*I$24)*($D$21*$AD40+(1-$D$21)*I$23),"")</f>
        <v/>
      </c>
      <c r="J58" s="18">
        <f>IFERROR(J40*$AC40*(1+($AE40-1)*J$24)*($D$21*$AD40+(1-$D$21)*J$23),"")</f>
        <v/>
      </c>
      <c r="K58" s="18">
        <f>IFERROR(K40*$AC40*(1+($AE40-1)*K$24)*($D$21*$AD40+(1-$D$21)*K$23),"")</f>
        <v/>
      </c>
      <c r="L58" s="18">
        <f>IFERROR(L40*$AC40*(1+($AE40-1)*L$24)*($D$21*$AD40+(1-$D$21)*L$23),"")</f>
        <v/>
      </c>
      <c r="M58" s="18">
        <f>IFERROR(M40*$AC40*(1+($AE40-1)*M$24)*($D$21*$AD40+(1-$D$21)*M$23),"")</f>
        <v/>
      </c>
      <c r="N58" s="18">
        <f>IFERROR(N40*$AC40*(1+($AE40-1)*N$24)*($D$21*$AD40+(1-$D$21)*N$23),"")</f>
        <v/>
      </c>
      <c r="O58" s="18">
        <f>IFERROR(O40*$AC40*(1+($AE40-1)*O$24)*($D$21*$AD40+(1-$D$21)*O$23),"")</f>
        <v/>
      </c>
      <c r="P58" s="18">
        <f>IFERROR(P40*$AC40*(1+($AE40-1)*P$24)*($D$21*$AD40+(1-$D$21)*P$23),"")</f>
        <v/>
      </c>
      <c r="Q58" s="18">
        <f>IFERROR(Q40*$AC40*(1+($AE40-1)*Q$24)*($D$21*$AD40+(1-$D$21)*Q$23),"")</f>
        <v/>
      </c>
      <c r="R58" s="18">
        <f>IFERROR(R40*$AC40*(1+($AE40-1)*R$24)*($D$21*$AD40+(1-$D$21)*R$23),"")</f>
        <v/>
      </c>
      <c r="S58" s="18">
        <f>IFERROR(S40*$AC40*(1+($AE40-1)*S$24)*($D$21*$AD40+(1-$D$21)*S$23),"")</f>
        <v/>
      </c>
      <c r="T58" s="18">
        <f>IFERROR(T40*$AC40*(1+($AE40-1)*T$24)*($D$21*$AD40+(1-$D$21)*T$23),"")</f>
        <v/>
      </c>
      <c r="U58" s="18">
        <f>IFERROR(U40*$AC40*(1+($AE40-1)*U$24)*($D$21*$AD40+(1-$D$21)*U$23),"")</f>
        <v/>
      </c>
    </row>
    <row r="59">
      <c r="A59" t="inlineStr">
        <is>
          <t>20260601800013</t>
        </is>
      </c>
      <c r="B59" t="inlineStr">
        <is>
          <t>VLCC</t>
        </is>
      </c>
      <c r="C59" t="n">
        <v>2</v>
      </c>
      <c r="D59" t="inlineStr">
        <is>
          <t>원유운반선(157,000 DWT) 2척</t>
        </is>
      </c>
      <c r="H59" s="18">
        <f>IFERROR(H41*$AC41*(1+($AE41-1)*H$24)*($D$21*$AD41+(1-$D$21)*H$23),"")</f>
        <v/>
      </c>
      <c r="I59" s="18">
        <f>IFERROR(I41*$AC41*(1+($AE41-1)*I$24)*($D$21*$AD41+(1-$D$21)*I$23),"")</f>
        <v/>
      </c>
      <c r="J59" s="18">
        <f>IFERROR(J41*$AC41*(1+($AE41-1)*J$24)*($D$21*$AD41+(1-$D$21)*J$23),"")</f>
        <v/>
      </c>
      <c r="K59" s="18">
        <f>IFERROR(K41*$AC41*(1+($AE41-1)*K$24)*($D$21*$AD41+(1-$D$21)*K$23),"")</f>
        <v/>
      </c>
      <c r="L59" s="18">
        <f>IFERROR(L41*$AC41*(1+($AE41-1)*L$24)*($D$21*$AD41+(1-$D$21)*L$23),"")</f>
        <v/>
      </c>
      <c r="M59" s="18">
        <f>IFERROR(M41*$AC41*(1+($AE41-1)*M$24)*($D$21*$AD41+(1-$D$21)*M$23),"")</f>
        <v/>
      </c>
      <c r="N59" s="18">
        <f>IFERROR(N41*$AC41*(1+($AE41-1)*N$24)*($D$21*$AD41+(1-$D$21)*N$23),"")</f>
        <v/>
      </c>
      <c r="O59" s="18">
        <f>IFERROR(O41*$AC41*(1+($AE41-1)*O$24)*($D$21*$AD41+(1-$D$21)*O$23),"")</f>
        <v/>
      </c>
      <c r="P59" s="18">
        <f>IFERROR(P41*$AC41*(1+($AE41-1)*P$24)*($D$21*$AD41+(1-$D$21)*P$23),"")</f>
        <v/>
      </c>
      <c r="Q59" s="18">
        <f>IFERROR(Q41*$AC41*(1+($AE41-1)*Q$24)*($D$21*$AD41+(1-$D$21)*Q$23),"")</f>
        <v/>
      </c>
      <c r="R59" s="18">
        <f>IFERROR(R41*$AC41*(1+($AE41-1)*R$24)*($D$21*$AD41+(1-$D$21)*R$23),"")</f>
        <v/>
      </c>
    </row>
    <row r="60">
      <c r="A60" t="inlineStr">
        <is>
          <t>20260727800063</t>
        </is>
      </c>
      <c r="B60" t="inlineStr">
        <is>
          <t>VLCC</t>
        </is>
      </c>
      <c r="C60" t="n">
        <v>2</v>
      </c>
      <c r="D60" t="inlineStr">
        <is>
          <t>원유운반선(157,000 DWT) 2척</t>
        </is>
      </c>
      <c r="I60" s="18">
        <f>IFERROR(I42*$AC42*(1+($AE42-1)*I$24)*($D$21*$AD42+(1-$D$21)*I$23),"")</f>
        <v/>
      </c>
      <c r="J60" s="18">
        <f>IFERROR(J42*$AC42*(1+($AE42-1)*J$24)*($D$21*$AD42+(1-$D$21)*J$23),"")</f>
        <v/>
      </c>
      <c r="K60" s="18">
        <f>IFERROR(K42*$AC42*(1+($AE42-1)*K$24)*($D$21*$AD42+(1-$D$21)*K$23),"")</f>
        <v/>
      </c>
      <c r="L60" s="18">
        <f>IFERROR(L42*$AC42*(1+($AE42-1)*L$24)*($D$21*$AD42+(1-$D$21)*L$23),"")</f>
        <v/>
      </c>
      <c r="M60" s="18">
        <f>IFERROR(M42*$AC42*(1+($AE42-1)*M$24)*($D$21*$AD42+(1-$D$21)*M$23),"")</f>
        <v/>
      </c>
      <c r="N60" s="18">
        <f>IFERROR(N42*$AC42*(1+($AE42-1)*N$24)*($D$21*$AD42+(1-$D$21)*N$23),"")</f>
        <v/>
      </c>
      <c r="O60" s="18">
        <f>IFERROR(O42*$AC42*(1+($AE42-1)*O$24)*($D$21*$AD42+(1-$D$21)*O$23),"")</f>
        <v/>
      </c>
      <c r="P60" s="18">
        <f>IFERROR(P42*$AC42*(1+($AE42-1)*P$24)*($D$21*$AD42+(1-$D$21)*P$23),"")</f>
        <v/>
      </c>
      <c r="Q60" s="18">
        <f>IFERROR(Q42*$AC42*(1+($AE42-1)*Q$24)*($D$21*$AD42+(1-$D$21)*Q$23),"")</f>
        <v/>
      </c>
      <c r="R60" s="18">
        <f>IFERROR(R42*$AC42*(1+($AE42-1)*R$24)*($D$21*$AD42+(1-$D$21)*R$23),"")</f>
        <v/>
      </c>
      <c r="S60" s="18">
        <f>IFERROR(S42*$AC42*(1+($AE42-1)*S$24)*($D$21*$AD42+(1-$D$21)*S$23),"")</f>
        <v/>
      </c>
      <c r="T60" s="18">
        <f>IFERROR(T42*$AC42*(1+($AE42-1)*T$24)*($D$21*$AD42+(1-$D$21)*T$23),"")</f>
        <v/>
      </c>
      <c r="U60" s="18">
        <f>IFERROR(U42*$AC42*(1+($AE42-1)*U$24)*($D$21*$AD42+(1-$D$21)*U$23),"")</f>
        <v/>
      </c>
      <c r="V60" s="18">
        <f>IFERROR(V42*$AC42*(1+($AE42-1)*V$24)*($D$21*$AD42+(1-$D$21)*V$23),"")</f>
        <v/>
      </c>
    </row>
    <row r="61">
      <c r="A61" s="12" t="inlineStr">
        <is>
          <t>usd_incl</t>
        </is>
      </c>
      <c r="D61" t="inlineStr">
        <is>
          <t>포함 계약 스케줄 합(백만$, 캡 배율 전)</t>
        </is>
      </c>
      <c r="E61" s="26">
        <f>SUMPRODUCT(E27:E42,$AC$27:$AC$42)</f>
        <v/>
      </c>
      <c r="F61" s="26">
        <f>SUMPRODUCT(F27:F42,$AC$27:$AC$42)</f>
        <v/>
      </c>
      <c r="G61" s="26">
        <f>SUMPRODUCT(G27:G42,$AC$27:$AC$42)</f>
        <v/>
      </c>
      <c r="H61" s="26">
        <f>SUMPRODUCT(H27:H42,$AC$27:$AC$42)</f>
        <v/>
      </c>
      <c r="I61" s="26">
        <f>SUMPRODUCT(I27:I42,$AC$27:$AC$42)</f>
        <v/>
      </c>
      <c r="J61" s="26">
        <f>SUMPRODUCT(J27:J42,$AC$27:$AC$42)</f>
        <v/>
      </c>
      <c r="K61" s="26">
        <f>SUMPRODUCT(K27:K42,$AC$27:$AC$42)</f>
        <v/>
      </c>
      <c r="L61" s="26">
        <f>SUMPRODUCT(L27:L42,$AC$27:$AC$42)</f>
        <v/>
      </c>
      <c r="M61" s="26">
        <f>SUMPRODUCT(M27:M42,$AC$27:$AC$42)</f>
        <v/>
      </c>
      <c r="N61" s="26">
        <f>SUMPRODUCT(N27:N42,$AC$27:$AC$42)</f>
        <v/>
      </c>
      <c r="O61" s="26">
        <f>SUMPRODUCT(O27:O42,$AC$27:$AC$42)</f>
        <v/>
      </c>
      <c r="P61" s="26">
        <f>SUMPRODUCT(P27:P42,$AC$27:$AC$42)</f>
        <v/>
      </c>
      <c r="Q61" s="26">
        <f>SUMPRODUCT(Q27:Q42,$AC$27:$AC$42)</f>
        <v/>
      </c>
      <c r="R61" s="26">
        <f>SUMPRODUCT(R27:R42,$AC$27:$AC$42)</f>
        <v/>
      </c>
      <c r="S61" s="26">
        <f>SUMPRODUCT(S27:S42,$AC$27:$AC$42)</f>
        <v/>
      </c>
      <c r="T61" s="26">
        <f>SUMPRODUCT(T27:T42,$AC$27:$AC$42)</f>
        <v/>
      </c>
      <c r="U61" s="26">
        <f>SUMPRODUCT(U27:U42,$AC$27:$AC$42)</f>
        <v/>
      </c>
      <c r="V61" s="26">
        <f>SUMPRODUCT(V27:V42,$AC$27:$AC$42)</f>
        <v/>
      </c>
    </row>
    <row r="62">
      <c r="A62" s="12" t="inlineStr">
        <is>
          <t>krw_link</t>
        </is>
      </c>
      <c r="D62" s="1" t="inlineStr">
        <is>
          <t>원화 합계(백만원) — subQ 연결 행</t>
        </is>
      </c>
      <c r="E62" s="18">
        <f>SUM(E45:E60)</f>
        <v/>
      </c>
      <c r="F62" s="18">
        <f>SUM(F45:F60)</f>
        <v/>
      </c>
      <c r="G62" s="18">
        <f>SUM(G45:G60)</f>
        <v/>
      </c>
      <c r="H62" s="18">
        <f>SUM(H45:H60)</f>
        <v/>
      </c>
      <c r="I62" s="18">
        <f>SUM(I45:I60)</f>
        <v/>
      </c>
      <c r="J62" s="18">
        <f>SUM(J45:J60)</f>
        <v/>
      </c>
      <c r="K62" s="18">
        <f>SUM(K45:K60)</f>
        <v/>
      </c>
      <c r="L62" s="18">
        <f>SUM(L45:L60)</f>
        <v/>
      </c>
      <c r="M62" s="18">
        <f>SUM(M45:M60)</f>
        <v/>
      </c>
      <c r="N62" s="18">
        <f>SUM(N45:N60)</f>
        <v/>
      </c>
      <c r="O62" s="18">
        <f>SUM(O45:O60)</f>
        <v/>
      </c>
      <c r="P62" s="18">
        <f>SUM(P45:P60)</f>
        <v/>
      </c>
      <c r="Q62" s="18">
        <f>SUM(Q45:Q60)</f>
        <v/>
      </c>
      <c r="R62" s="18">
        <f>SUM(R45:R60)</f>
        <v/>
      </c>
      <c r="S62" s="18">
        <f>SUM(S45:S60)</f>
        <v/>
      </c>
      <c r="T62" s="18">
        <f>SUM(T45:T60)</f>
        <v/>
      </c>
      <c r="U62" s="18">
        <f>SUM(U45:U60)</f>
        <v/>
      </c>
      <c r="V62" s="18">
        <f>SUM(V45:V60)</f>
        <v/>
      </c>
    </row>
    <row r="64">
      <c r="A64" s="1" t="inlineStr">
        <is>
          <t>계약 원장(contracts.json 기반 — counted 아닌 계약 포함)</t>
        </is>
      </c>
    </row>
    <row r="65">
      <c r="A65" s="1" t="inlineStr">
        <is>
          <t>rcp</t>
        </is>
      </c>
      <c r="B65" s="1" t="inlineStr">
        <is>
          <t>type</t>
        </is>
      </c>
      <c r="C65" s="1" t="inlineStr">
        <is>
          <t>ships</t>
        </is>
      </c>
      <c r="D65" s="1" t="inlineStr">
        <is>
          <t>amt_krw_m</t>
        </is>
      </c>
      <c r="E65" s="1" t="inlineStr">
        <is>
          <t>amt_usd_m</t>
        </is>
      </c>
      <c r="F65" s="1" t="inlineStr">
        <is>
          <t>fx_at_sign</t>
        </is>
      </c>
      <c r="G65" s="1" t="inlineStr">
        <is>
          <t>signed</t>
        </is>
      </c>
      <c r="H65" s="1" t="inlineStr">
        <is>
          <t>start</t>
        </is>
      </c>
      <c r="I65" s="1" t="inlineStr">
        <is>
          <t>end</t>
        </is>
      </c>
      <c r="J65" s="1" t="inlineStr">
        <is>
          <t>cohort</t>
        </is>
      </c>
      <c r="K65" s="1" t="inlineStr">
        <is>
          <t>cohort_alt</t>
        </is>
      </c>
      <c r="L65" s="1" t="inlineStr">
        <is>
          <t>curve</t>
        </is>
      </c>
      <c r="M65" s="1" t="inlineStr">
        <is>
          <t>counted</t>
        </is>
      </c>
      <c r="N65" s="1" t="inlineStr">
        <is>
          <t>signed_by_origin</t>
        </is>
      </c>
      <c r="O65" s="1" t="inlineStr">
        <is>
          <t>estimated_series</t>
        </is>
      </c>
    </row>
    <row r="66">
      <c r="A66" t="inlineStr">
        <is>
          <t>20250922800050</t>
        </is>
      </c>
      <c r="B66" t="inlineStr">
        <is>
          <t>VLCC</t>
        </is>
      </c>
      <c r="C66" t="n">
        <v>4</v>
      </c>
      <c r="D66" t="n">
        <v>475300</v>
      </c>
      <c r="E66" t="n">
        <v>342.694</v>
      </c>
      <c r="F66" t="n">
        <v>1386.95</v>
      </c>
      <c r="G66" t="inlineStr">
        <is>
          <t>2025-09-19</t>
        </is>
      </c>
      <c r="H66" t="inlineStr">
        <is>
          <t>2025-09-19</t>
        </is>
      </c>
      <c r="I66" t="inlineStr">
        <is>
          <t>2028-09-30</t>
        </is>
      </c>
      <c r="J66" t="inlineStr">
        <is>
          <t>⑤초호황</t>
        </is>
      </c>
      <c r="K66" t="inlineStr">
        <is>
          <t>③중마진</t>
        </is>
      </c>
      <c r="L66" t="inlineStr">
        <is>
          <t>linear_progress</t>
        </is>
      </c>
      <c r="M66" t="b">
        <v>1</v>
      </c>
      <c r="N66" t="b">
        <v>1</v>
      </c>
      <c r="O66" t="b">
        <v>1</v>
      </c>
    </row>
    <row r="67">
      <c r="A67" t="inlineStr">
        <is>
          <t>20250922800051</t>
        </is>
      </c>
      <c r="B67" t="inlineStr">
        <is>
          <t>VLCC</t>
        </is>
      </c>
      <c r="C67" t="n">
        <v>2</v>
      </c>
      <c r="D67" t="n">
        <v>239500</v>
      </c>
      <c r="E67" t="n">
        <v>172.681</v>
      </c>
      <c r="F67" t="n">
        <v>1386.95</v>
      </c>
      <c r="G67" t="inlineStr">
        <is>
          <t>2025-09-19</t>
        </is>
      </c>
      <c r="H67" t="inlineStr">
        <is>
          <t>2025-09-19</t>
        </is>
      </c>
      <c r="I67" t="inlineStr">
        <is>
          <t>2027-09-30</t>
        </is>
      </c>
      <c r="J67" t="inlineStr">
        <is>
          <t>⑤초호황</t>
        </is>
      </c>
      <c r="K67" t="inlineStr">
        <is>
          <t>③중마진</t>
        </is>
      </c>
      <c r="L67" t="inlineStr">
        <is>
          <t>linear_progress</t>
        </is>
      </c>
      <c r="M67" t="b">
        <v>1</v>
      </c>
      <c r="N67" t="b">
        <v>1</v>
      </c>
      <c r="O67" t="b">
        <v>1</v>
      </c>
    </row>
    <row r="68">
      <c r="A68" t="inlineStr">
        <is>
          <t>20250930800053</t>
        </is>
      </c>
      <c r="B68" t="inlineStr">
        <is>
          <t>VLCC</t>
        </is>
      </c>
      <c r="C68" t="n">
        <v>1</v>
      </c>
      <c r="D68" t="n">
        <v>122300</v>
      </c>
      <c r="E68" t="n">
        <v>88.179</v>
      </c>
      <c r="F68" t="n">
        <v>1386.95</v>
      </c>
      <c r="G68" t="inlineStr">
        <is>
          <t>2025-09-29</t>
        </is>
      </c>
      <c r="H68" t="inlineStr">
        <is>
          <t>2025-09-29</t>
        </is>
      </c>
      <c r="I68" t="inlineStr">
        <is>
          <t>2027-06-30</t>
        </is>
      </c>
      <c r="J68" t="inlineStr">
        <is>
          <t>⑤초호황</t>
        </is>
      </c>
      <c r="K68" t="inlineStr">
        <is>
          <t>③중마진</t>
        </is>
      </c>
      <c r="L68" t="inlineStr">
        <is>
          <t>linear_progress</t>
        </is>
      </c>
      <c r="M68" t="b">
        <v>1</v>
      </c>
      <c r="N68" t="b">
        <v>1</v>
      </c>
      <c r="O68" t="b">
        <v>1</v>
      </c>
    </row>
    <row r="69">
      <c r="A69" t="inlineStr">
        <is>
          <t>20251001800065</t>
        </is>
      </c>
      <c r="B69" t="inlineStr">
        <is>
          <t>VLCC</t>
        </is>
      </c>
      <c r="C69" t="n">
        <v>1</v>
      </c>
      <c r="D69" t="n">
        <v>119200</v>
      </c>
      <c r="E69" t="n">
        <v>85.944</v>
      </c>
      <c r="F69" t="n">
        <v>1386.95</v>
      </c>
      <c r="G69" t="inlineStr">
        <is>
          <t>2025-09-30</t>
        </is>
      </c>
      <c r="H69" t="inlineStr">
        <is>
          <t>2025-09-30</t>
        </is>
      </c>
      <c r="I69" t="inlineStr">
        <is>
          <t>2027-10-31</t>
        </is>
      </c>
      <c r="J69" t="inlineStr">
        <is>
          <t>⑤초호황</t>
        </is>
      </c>
      <c r="K69" t="inlineStr">
        <is>
          <t>③중마진</t>
        </is>
      </c>
      <c r="L69" t="inlineStr">
        <is>
          <t>linear_progress</t>
        </is>
      </c>
      <c r="M69" t="b">
        <v>1</v>
      </c>
      <c r="N69" t="b">
        <v>1</v>
      </c>
      <c r="O69" t="b">
        <v>1</v>
      </c>
    </row>
    <row r="70">
      <c r="A70" t="inlineStr">
        <is>
          <t>20251015800073</t>
        </is>
      </c>
      <c r="B70" t="inlineStr">
        <is>
          <t>CONT</t>
        </is>
      </c>
      <c r="C70" t="n">
        <v>2</v>
      </c>
      <c r="D70" t="n">
        <v>329800</v>
      </c>
      <c r="E70" t="n">
        <v>227.575</v>
      </c>
      <c r="F70" t="n">
        <v>1449.19</v>
      </c>
      <c r="G70" t="inlineStr">
        <is>
          <t>2025-10-14</t>
        </is>
      </c>
      <c r="H70" t="inlineStr">
        <is>
          <t>2025-10-14</t>
        </is>
      </c>
      <c r="I70" t="inlineStr">
        <is>
          <t>2028-06-30</t>
        </is>
      </c>
      <c r="J70" t="inlineStr">
        <is>
          <t>⑤초호황</t>
        </is>
      </c>
      <c r="K70" t="inlineStr">
        <is>
          <t>②BEP</t>
        </is>
      </c>
      <c r="L70" t="inlineStr">
        <is>
          <t>linear_progress</t>
        </is>
      </c>
      <c r="M70" t="b">
        <v>1</v>
      </c>
      <c r="N70" t="b">
        <v>1</v>
      </c>
      <c r="O70" t="b">
        <v>0</v>
      </c>
    </row>
    <row r="71">
      <c r="A71" t="inlineStr">
        <is>
          <t>20251118800028</t>
        </is>
      </c>
      <c r="B71" t="inlineStr">
        <is>
          <t>VLCC</t>
        </is>
      </c>
      <c r="C71" t="n">
        <v>1</v>
      </c>
      <c r="D71" t="n">
        <v>127400</v>
      </c>
      <c r="E71" t="n">
        <v>87.911</v>
      </c>
      <c r="F71" t="n">
        <v>1449.19</v>
      </c>
      <c r="G71" t="inlineStr">
        <is>
          <t>2025-11-17</t>
        </is>
      </c>
      <c r="H71" t="inlineStr">
        <is>
          <t>2025-11-17</t>
        </is>
      </c>
      <c r="I71" t="inlineStr">
        <is>
          <t>2027-12-31</t>
        </is>
      </c>
      <c r="J71" t="inlineStr">
        <is>
          <t>⑤초호황</t>
        </is>
      </c>
      <c r="K71" t="inlineStr">
        <is>
          <t>③중마진</t>
        </is>
      </c>
      <c r="L71" t="inlineStr">
        <is>
          <t>linear_progress</t>
        </is>
      </c>
      <c r="M71" t="b">
        <v>1</v>
      </c>
      <c r="N71" t="b">
        <v>1</v>
      </c>
      <c r="O71" t="b">
        <v>1</v>
      </c>
    </row>
    <row r="72">
      <c r="A72" t="inlineStr">
        <is>
          <t>20260114800029</t>
        </is>
      </c>
      <c r="B72" t="inlineStr">
        <is>
          <t>VLCC</t>
        </is>
      </c>
      <c r="C72" t="n">
        <v>2</v>
      </c>
      <c r="D72" t="n">
        <v>251800</v>
      </c>
      <c r="E72" t="n">
        <v>171.746</v>
      </c>
      <c r="F72" t="n">
        <v>1466.12</v>
      </c>
      <c r="G72" t="inlineStr">
        <is>
          <t>2026-01-13</t>
        </is>
      </c>
      <c r="H72" t="inlineStr">
        <is>
          <t>2026-01-13</t>
        </is>
      </c>
      <c r="I72" t="inlineStr">
        <is>
          <t>2028-11-30</t>
        </is>
      </c>
      <c r="J72" t="inlineStr">
        <is>
          <t>⑤초호황</t>
        </is>
      </c>
      <c r="K72" t="inlineStr">
        <is>
          <t>③중마진</t>
        </is>
      </c>
      <c r="L72" t="inlineStr">
        <is>
          <t>linear_progress</t>
        </is>
      </c>
      <c r="M72" t="b">
        <v>1</v>
      </c>
      <c r="N72" t="b">
        <v>1</v>
      </c>
      <c r="O72" t="b">
        <v>0</v>
      </c>
    </row>
    <row r="73">
      <c r="A73" t="inlineStr">
        <is>
          <t>20260115800029</t>
        </is>
      </c>
      <c r="B73" t="inlineStr">
        <is>
          <t>VLCC</t>
        </is>
      </c>
      <c r="C73" t="n">
        <v>2</v>
      </c>
      <c r="D73" t="n">
        <v>253900</v>
      </c>
      <c r="E73" t="n">
        <v>173.178</v>
      </c>
      <c r="F73" t="n">
        <v>1466.12</v>
      </c>
      <c r="G73" t="inlineStr">
        <is>
          <t>2026-01-14</t>
        </is>
      </c>
      <c r="H73" t="inlineStr">
        <is>
          <t>2026-01-14</t>
        </is>
      </c>
      <c r="I73" t="inlineStr">
        <is>
          <t>2029-04-30</t>
        </is>
      </c>
      <c r="J73" t="inlineStr">
        <is>
          <t>⑤초호황</t>
        </is>
      </c>
      <c r="K73" t="inlineStr">
        <is>
          <t>③중마진</t>
        </is>
      </c>
      <c r="L73" t="inlineStr">
        <is>
          <t>linear_progress</t>
        </is>
      </c>
      <c r="M73" t="b">
        <v>1</v>
      </c>
      <c r="N73" t="b">
        <v>1</v>
      </c>
      <c r="O73" t="b">
        <v>1</v>
      </c>
    </row>
    <row r="74">
      <c r="A74" t="inlineStr">
        <is>
          <t>20260129800084</t>
        </is>
      </c>
      <c r="B74" t="inlineStr">
        <is>
          <t>VLCC</t>
        </is>
      </c>
      <c r="C74" t="n">
        <v>2</v>
      </c>
      <c r="D74" t="n">
        <v>254100</v>
      </c>
      <c r="E74" t="n">
        <v>173.315</v>
      </c>
      <c r="F74" t="n">
        <v>1466.12</v>
      </c>
      <c r="G74" t="inlineStr">
        <is>
          <t>2026-01-28</t>
        </is>
      </c>
      <c r="H74" t="inlineStr">
        <is>
          <t>2026-01-28</t>
        </is>
      </c>
      <c r="I74" t="inlineStr">
        <is>
          <t>2029-05-31</t>
        </is>
      </c>
      <c r="J74" t="inlineStr">
        <is>
          <t>⑤초호황</t>
        </is>
      </c>
      <c r="K74" t="inlineStr">
        <is>
          <t>③중마진</t>
        </is>
      </c>
      <c r="L74" t="inlineStr">
        <is>
          <t>linear_progress</t>
        </is>
      </c>
      <c r="M74" t="b">
        <v>1</v>
      </c>
      <c r="N74" t="b">
        <v>1</v>
      </c>
      <c r="O74" t="b">
        <v>1</v>
      </c>
    </row>
    <row r="75">
      <c r="A75" t="inlineStr">
        <is>
          <t>20260209800078</t>
        </is>
      </c>
      <c r="B75" t="inlineStr">
        <is>
          <t>VLCC</t>
        </is>
      </c>
      <c r="C75" t="n">
        <v>2</v>
      </c>
      <c r="D75" t="n">
        <v>259700</v>
      </c>
      <c r="E75" t="n">
        <v>177.134</v>
      </c>
      <c r="F75" t="n">
        <v>1466.12</v>
      </c>
      <c r="G75" t="inlineStr">
        <is>
          <t>2026-02-06</t>
        </is>
      </c>
      <c r="H75" t="inlineStr">
        <is>
          <t>2026-02-06</t>
        </is>
      </c>
      <c r="I75" t="inlineStr">
        <is>
          <t>2028-12-31</t>
        </is>
      </c>
      <c r="J75" t="inlineStr">
        <is>
          <t>⑤초호황</t>
        </is>
      </c>
      <c r="K75" t="inlineStr">
        <is>
          <t>③중마진</t>
        </is>
      </c>
      <c r="L75" t="inlineStr">
        <is>
          <t>linear_progress</t>
        </is>
      </c>
      <c r="M75" t="b">
        <v>1</v>
      </c>
      <c r="N75" t="b">
        <v>1</v>
      </c>
      <c r="O75" t="b">
        <v>1</v>
      </c>
    </row>
    <row r="76">
      <c r="A76" t="inlineStr">
        <is>
          <t>20260317800064</t>
        </is>
      </c>
      <c r="B76" t="inlineStr">
        <is>
          <t>VLCC</t>
        </is>
      </c>
      <c r="C76" t="n">
        <v>1</v>
      </c>
      <c r="D76" t="n">
        <v>133300</v>
      </c>
      <c r="E76" t="n">
        <v>90.92</v>
      </c>
      <c r="F76" t="n">
        <v>1466.12</v>
      </c>
      <c r="G76" t="inlineStr">
        <is>
          <t>2026-03-16</t>
        </is>
      </c>
      <c r="H76" t="inlineStr">
        <is>
          <t>2026-03-16</t>
        </is>
      </c>
      <c r="I76" t="inlineStr">
        <is>
          <t>2029-10-10</t>
        </is>
      </c>
      <c r="J76" t="inlineStr">
        <is>
          <t>⑤초호황</t>
        </is>
      </c>
      <c r="K76" t="inlineStr">
        <is>
          <t>③중마진</t>
        </is>
      </c>
      <c r="L76" t="inlineStr">
        <is>
          <t>linear_progress</t>
        </is>
      </c>
      <c r="M76" t="b">
        <v>1</v>
      </c>
      <c r="N76" t="b">
        <v>1</v>
      </c>
      <c r="O76" t="b">
        <v>1</v>
      </c>
    </row>
    <row r="77">
      <c r="A77" t="inlineStr">
        <is>
          <t>20260323800069</t>
        </is>
      </c>
      <c r="B77" t="inlineStr">
        <is>
          <t>VLCC</t>
        </is>
      </c>
      <c r="C77" t="n">
        <v>1</v>
      </c>
      <c r="D77" t="n">
        <v>133800</v>
      </c>
      <c r="E77" t="n">
        <v>91.261</v>
      </c>
      <c r="F77" t="n">
        <v>1466.12</v>
      </c>
      <c r="G77" t="inlineStr">
        <is>
          <t>2026-03-20</t>
        </is>
      </c>
      <c r="H77" t="inlineStr">
        <is>
          <t>2026-03-20</t>
        </is>
      </c>
      <c r="I77" t="inlineStr">
        <is>
          <t>2029-06-30</t>
        </is>
      </c>
      <c r="J77" t="inlineStr">
        <is>
          <t>⑤초호황</t>
        </is>
      </c>
      <c r="K77" t="inlineStr">
        <is>
          <t>③중마진</t>
        </is>
      </c>
      <c r="L77" t="inlineStr">
        <is>
          <t>linear_progress</t>
        </is>
      </c>
      <c r="M77" t="b">
        <v>1</v>
      </c>
      <c r="N77" t="b">
        <v>1</v>
      </c>
      <c r="O77" t="b">
        <v>1</v>
      </c>
    </row>
    <row r="78">
      <c r="A78" t="inlineStr">
        <is>
          <t>20260331800063</t>
        </is>
      </c>
      <c r="B78" t="inlineStr">
        <is>
          <t>VLCC</t>
        </is>
      </c>
      <c r="C78" t="n">
        <v>2</v>
      </c>
      <c r="D78" t="n">
        <v>276000</v>
      </c>
      <c r="E78" t="n">
        <v>188.252</v>
      </c>
      <c r="F78" t="n">
        <v>1466.12</v>
      </c>
      <c r="G78" t="inlineStr">
        <is>
          <t>2026-03-30</t>
        </is>
      </c>
      <c r="H78" t="inlineStr">
        <is>
          <t>2026-03-30</t>
        </is>
      </c>
      <c r="I78" t="inlineStr">
        <is>
          <t>2029-09-30</t>
        </is>
      </c>
      <c r="J78" t="inlineStr">
        <is>
          <t>⑤초호황</t>
        </is>
      </c>
      <c r="K78" t="inlineStr">
        <is>
          <t>③중마진</t>
        </is>
      </c>
      <c r="L78" t="inlineStr">
        <is>
          <t>linear_progress</t>
        </is>
      </c>
      <c r="M78" t="b">
        <v>1</v>
      </c>
      <c r="N78" t="b">
        <v>1</v>
      </c>
      <c r="O78" t="b">
        <v>1</v>
      </c>
    </row>
    <row r="79">
      <c r="A79" t="inlineStr">
        <is>
          <t>20260416800003</t>
        </is>
      </c>
      <c r="B79" t="inlineStr">
        <is>
          <t>VLCC</t>
        </is>
      </c>
      <c r="C79" t="n">
        <v>1</v>
      </c>
      <c r="D79" t="n">
        <v>132900</v>
      </c>
      <c r="E79" t="n">
        <v>88.497</v>
      </c>
      <c r="F79" t="n">
        <v>1501.75</v>
      </c>
      <c r="G79" t="inlineStr">
        <is>
          <t>2026-04-14</t>
        </is>
      </c>
      <c r="H79" t="inlineStr">
        <is>
          <t>2026-04-14</t>
        </is>
      </c>
      <c r="I79" t="inlineStr">
        <is>
          <t>2029-07-31</t>
        </is>
      </c>
      <c r="J79" t="inlineStr">
        <is>
          <t>⑤초호황</t>
        </is>
      </c>
      <c r="K79" t="inlineStr">
        <is>
          <t>③중마진</t>
        </is>
      </c>
      <c r="L79" t="inlineStr">
        <is>
          <t>linear_progress</t>
        </is>
      </c>
      <c r="M79" t="b">
        <v>1</v>
      </c>
      <c r="N79" t="b">
        <v>1</v>
      </c>
      <c r="O79" t="b">
        <v>1</v>
      </c>
    </row>
    <row r="80">
      <c r="A80" t="inlineStr">
        <is>
          <t>20260601800013</t>
        </is>
      </c>
      <c r="B80" t="inlineStr">
        <is>
          <t>VLCC</t>
        </is>
      </c>
      <c r="C80" t="n">
        <v>2</v>
      </c>
      <c r="D80" t="n">
        <v>282800</v>
      </c>
      <c r="E80" t="n">
        <v>188.314</v>
      </c>
      <c r="F80" t="n">
        <v>1501.75</v>
      </c>
      <c r="G80" t="inlineStr">
        <is>
          <t>2026-05-29</t>
        </is>
      </c>
      <c r="H80" t="inlineStr">
        <is>
          <t>2026-05-29</t>
        </is>
      </c>
      <c r="I80" t="inlineStr">
        <is>
          <t>2028-12-31</t>
        </is>
      </c>
      <c r="J80" t="inlineStr">
        <is>
          <t>⑤초호황</t>
        </is>
      </c>
      <c r="K80" t="inlineStr">
        <is>
          <t>③중마진</t>
        </is>
      </c>
      <c r="L80" t="inlineStr">
        <is>
          <t>linear_progress</t>
        </is>
      </c>
      <c r="M80" t="b">
        <v>1</v>
      </c>
      <c r="N80" t="b">
        <v>1</v>
      </c>
      <c r="O80" t="b">
        <v>1</v>
      </c>
    </row>
    <row r="81">
      <c r="A81" t="inlineStr">
        <is>
          <t>20260727800063</t>
        </is>
      </c>
      <c r="B81" t="inlineStr">
        <is>
          <t>VLCC</t>
        </is>
      </c>
      <c r="C81" t="n">
        <v>2</v>
      </c>
      <c r="D81" t="n">
        <v>271300</v>
      </c>
      <c r="E81" t="n">
        <v>191.225</v>
      </c>
      <c r="F81" t="n">
        <v>1418.75</v>
      </c>
      <c r="G81" t="inlineStr">
        <is>
          <t>2026-07-24</t>
        </is>
      </c>
      <c r="H81" t="inlineStr">
        <is>
          <t>2026-07-24</t>
        </is>
      </c>
      <c r="I81" t="inlineStr">
        <is>
          <t>2029-12-31</t>
        </is>
      </c>
      <c r="J81" t="inlineStr">
        <is>
          <t>⑤초호황</t>
        </is>
      </c>
      <c r="K81" t="inlineStr">
        <is>
          <t>③중마진</t>
        </is>
      </c>
      <c r="L81" t="inlineStr">
        <is>
          <t>linear_progress</t>
        </is>
      </c>
      <c r="M81" t="b">
        <v>1</v>
      </c>
      <c r="N81" t="b">
        <v>0</v>
      </c>
      <c r="O81" t="b">
        <v>0</v>
      </c>
    </row>
    <row r="82">
      <c r="A82" s="2" t="inlineStr">
        <is>
          <t>⚠ 종료일 = 마지막 호선 인도 예정; 진행률 매출 분기는 계약기간 안에 선형 배분(가정)</t>
        </is>
      </c>
    </row>
    <row r="83">
      <c r="A83" s="2" t="inlineStr">
        <is>
          <t>⚠ 헤지비율 0.7 은 가정(통화선도 공시 없음 → HEDGE 70% 가정(레퍼런스 SLS 시트 HEDGE 행은 미포 65%·삼성重 100% — 그 사이에 둔 설정값). hedge_rate 는 계약별 수주시점 환율로 대체)</t>
        </is>
      </c>
    </row>
    <row r="84">
      <c r="A84" s="2" t="inlineStr">
        <is>
          <t>⚠ 코호트 OPM 표 reference_calibrated 적용. 레퍼런스 미포 SLS 셀 OPM 을 2023~2027 매출가중한 유효 표는 ①-1.1% ②1% ③4.3% ④5.4% ⑤10.8%(이전 가정 표 ①-5% ②0% ③5% ④10% ⑤15% 는 레퍼런스 2024~26 보다 +3.8~5.1%p 높다 — cohort_opm_calibration.by_year). 다음 분기 2026Q3 타겟: 가정 15.00% vs 캘리브레이션 10.80%. 다른 표는 --opm-table assumed (하류 섹션 각주·모델 백테스트가 cohort_opm_table 을 읽는다)</t>
        </is>
      </c>
    </row>
    <row r="85">
      <c r="A85" s="2" t="inlineStr">
        <is>
          <t>⚠ 코호트 기본 모드 reference_anchor: 2025~ 수주 물량(백만$) 판정 ⑤초호황 100%. reference_anchor 는 수주연도 → 등급(≤2020 ③중마진 · 2021 ④호황 · 2022~ ⑤초호황; 출처 사용자 레퍼런스 모델 HD현대미포 SLS 의 클락슨 기반 판정을 건조기간 2~3년으로 되돌린 표 — 외부 신조선가 지수 미보유). ledger_relative 는 원장 내부 상대 등급(2025~ 판정 ②BEP 9%, ③중마진 91%; 2021 이후 절대 호황 수준 미반영). 대안 모드는 by_cohort_alt·target_opm_alt·calibration_alt 에 함께 저장. 타겟 OPM 은 기본 모드 기준이며 calibrated_shift(실측 − 타겟)로 실측 OPM 에 맞춘다 — 음수일 수 있다</t>
        </is>
      </c>
    </row>
    <row r="86">
      <c r="A86" s="2" t="inlineStr">
        <is>
          <t>⚠ 원장 잔여(27541억) &gt; 공시 해양 기말잔고(23665억), 커버리지 1.16 — 선형 진행 가정이 실제 진행보다 느리거나 공시 잔고 범위(환율·취소·범위)가 다르다. origin 이후 해양 매출(origin 전 수주분)을 1/coverage = 0.8593 배로 줄였다(backlog_cap, 원값 *_raw 보존). 모델은 배율 1 을 상한으로 볼 것 — 추가 배율 금지</t>
        </is>
      </c>
    </row>
    <row r="87">
      <c r="A87" s="2" t="inlineStr">
        <is>
          <t>⚠ 원장 신규 19783억 vs 수주표 신규증감 13010억(2026Q2 연초 누계) — 비율 1.52: 두 공시의 계약 인식 기준(발효·선수금·환율·범위)이 다르다. backlog_coverage 해석 시 참고(reconcile_summary.ledger_vs_reported_new)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C1" s="2" t="inlineStr">
        <is>
          <t>신규수주 시나리오(억원) — subQ 기준값 ± (시나리오 신규 − base 신규) × OPM</t>
        </is>
      </c>
      <c r="E1" s="3" t="inlineStr">
        <is>
          <t>3Q26</t>
        </is>
      </c>
      <c r="F1" s="3" t="inlineStr">
        <is>
          <t>4Q26</t>
        </is>
      </c>
      <c r="G1" s="3" t="n">
        <v>2026</v>
      </c>
      <c r="H1" s="3" t="inlineStr">
        <is>
          <t>1Q27</t>
        </is>
      </c>
      <c r="I1" s="3" t="inlineStr">
        <is>
          <t>2Q27</t>
        </is>
      </c>
      <c r="J1" s="3" t="inlineStr">
        <is>
          <t>3Q27</t>
        </is>
      </c>
      <c r="K1" s="3" t="inlineStr">
        <is>
          <t>4Q27</t>
        </is>
      </c>
      <c r="L1" s="3" t="n">
        <v>2027</v>
      </c>
      <c r="M1" s="3" t="inlineStr">
        <is>
          <t>1Q28</t>
        </is>
      </c>
      <c r="N1" s="3" t="inlineStr">
        <is>
          <t>2Q28</t>
        </is>
      </c>
      <c r="O1" s="3" t="inlineStr">
        <is>
          <t>3Q28</t>
        </is>
      </c>
      <c r="P1" s="3" t="inlineStr">
        <is>
          <t>4Q28</t>
        </is>
      </c>
      <c r="Q1" s="3" t="n">
        <v>2028</v>
      </c>
    </row>
    <row r="2">
      <c r="A2" s="2" t="inlineStr">
        <is>
          <t>출처: forecast_panel.json.gz scenarios.{conservative,base,optimistic}.quarterly[].new_order_revenue (KRW_million → 억원 ÷100) — 공시 수주 체결 분기별 상계 후(net_panel) · calibrated=False · 행(subQ)에 포함된 시나리오: base. 보수/낙관/기존만 은 합산하지 않는다. 모델 산출값 — 목표주가·추천 아님</t>
        </is>
      </c>
    </row>
    <row r="3">
      <c r="A3" s="2" t="inlineStr">
        <is>
          <t>매출 = 기존(선표+잔고 소진+기타) + 시나리오 신규수주 매출; 영업이익 = 행 영업이익 + (시나리오 신규 − base 신규) × base OPM 경로. 보수/낙관·existing_only 는 행에 합산하지 않음(base 는 행과 동일). 모델 산출값 — 목표주가·추천 아님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</row>
    <row r="4">
      <c r="E4" s="7" t="inlineStr">
        <is>
          <t>2026.09</t>
        </is>
      </c>
      <c r="F4" s="7" t="inlineStr">
        <is>
          <t>2026.12</t>
        </is>
      </c>
      <c r="G4" s="7" t="inlineStr">
        <is>
          <t>2026.12A</t>
        </is>
      </c>
      <c r="H4" s="7" t="inlineStr">
        <is>
          <t>2027.03</t>
        </is>
      </c>
      <c r="I4" s="7" t="inlineStr">
        <is>
          <t>2027.06</t>
        </is>
      </c>
      <c r="J4" s="7" t="inlineStr">
        <is>
          <t>2027.09</t>
        </is>
      </c>
      <c r="K4" s="7" t="inlineStr">
        <is>
          <t>2027.12</t>
        </is>
      </c>
      <c r="L4" s="7" t="inlineStr">
        <is>
          <t>2027.12A</t>
        </is>
      </c>
      <c r="M4" s="7" t="inlineStr">
        <is>
          <t>2028.03</t>
        </is>
      </c>
      <c r="N4" s="7" t="inlineStr">
        <is>
          <t>2028.06</t>
        </is>
      </c>
      <c r="O4" s="7" t="inlineStr">
        <is>
          <t>2028.09</t>
        </is>
      </c>
      <c r="P4" s="7" t="inlineStr">
        <is>
          <t>2028.12</t>
        </is>
      </c>
      <c r="Q4" s="7" t="inlineStr">
        <is>
          <t>2028.12A</t>
        </is>
      </c>
    </row>
    <row r="5">
      <c r="A5" s="1" t="inlineStr">
        <is>
          <t>base</t>
        </is>
      </c>
      <c r="D5" s="1" t="inlineStr">
        <is>
          <t>기준(base — subQ 행에 포함) — 행에 포함</t>
        </is>
      </c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</row>
    <row r="6">
      <c r="A6" s="12" t="inlineStr">
        <is>
          <t>scn:base:신규수주매출</t>
        </is>
      </c>
      <c r="C6" t="inlineStr">
        <is>
          <t>억원</t>
        </is>
      </c>
      <c r="D6" t="inlineStr">
        <is>
          <t>신규수주 매출(억원) — subQ 매출조선신규 참조</t>
        </is>
      </c>
      <c r="E6" s="43">
        <f>subQ!K39</f>
        <v/>
      </c>
      <c r="F6" s="43">
        <f>subQ!L39</f>
        <v/>
      </c>
      <c r="G6" s="20">
        <f>SUM(E6:F6)</f>
        <v/>
      </c>
      <c r="H6" s="43">
        <f>subQ!N39</f>
        <v/>
      </c>
      <c r="I6" s="43">
        <f>subQ!O39</f>
        <v/>
      </c>
      <c r="J6" s="43">
        <f>subQ!P39</f>
        <v/>
      </c>
      <c r="K6" s="43">
        <f>subQ!Q39</f>
        <v/>
      </c>
      <c r="L6" s="20">
        <f>SUM(H6:K6)</f>
        <v/>
      </c>
      <c r="M6" s="43">
        <f>subQ!S39</f>
        <v/>
      </c>
      <c r="N6" s="43">
        <f>subQ!T39</f>
        <v/>
      </c>
      <c r="O6" s="43">
        <f>subQ!U39</f>
        <v/>
      </c>
      <c r="P6" s="43">
        <f>subQ!V39</f>
        <v/>
      </c>
      <c r="Q6" s="20">
        <f>SUM(M6:P6)</f>
        <v/>
      </c>
    </row>
    <row r="7">
      <c r="A7" s="12" t="inlineStr">
        <is>
          <t>scn:base:매출액</t>
        </is>
      </c>
      <c r="C7" t="inlineStr">
        <is>
          <t>억원</t>
        </is>
      </c>
      <c r="D7" t="inlineStr">
        <is>
          <t>매출액 = subQ 매출액 − base 신규 + 이 시나리오 신규</t>
        </is>
      </c>
      <c r="E7" s="20">
        <f>IFERROR(subQ!K5-E6+E6,"")</f>
        <v/>
      </c>
      <c r="F7" s="20">
        <f>IFERROR(subQ!L5-F6+F6,"")</f>
        <v/>
      </c>
      <c r="G7" s="20">
        <f>IFERROR(SUM(E7:F7)+subQ!I5+subQ!J5,"")</f>
        <v/>
      </c>
      <c r="H7" s="20">
        <f>IFERROR(subQ!N5-H6+H6,"")</f>
        <v/>
      </c>
      <c r="I7" s="20">
        <f>IFERROR(subQ!O5-I6+I6,"")</f>
        <v/>
      </c>
      <c r="J7" s="20">
        <f>IFERROR(subQ!P5-J6+J6,"")</f>
        <v/>
      </c>
      <c r="K7" s="20">
        <f>IFERROR(subQ!Q5-K6+K6,"")</f>
        <v/>
      </c>
      <c r="L7" s="20">
        <f>IFERROR(SUM(H7:K7),"")</f>
        <v/>
      </c>
      <c r="M7" s="20">
        <f>IFERROR(subQ!S5-M6+M6,"")</f>
        <v/>
      </c>
      <c r="N7" s="20">
        <f>IFERROR(subQ!T5-N6+N6,"")</f>
        <v/>
      </c>
      <c r="O7" s="20">
        <f>IFERROR(subQ!U5-O6+O6,"")</f>
        <v/>
      </c>
      <c r="P7" s="20">
        <f>IFERROR(subQ!V5-P6+P6,"")</f>
        <v/>
      </c>
      <c r="Q7" s="20">
        <f>IFERROR(SUM(M7:P7),"")</f>
        <v/>
      </c>
    </row>
    <row r="8">
      <c r="A8" s="12" t="inlineStr">
        <is>
          <t>scn:base:영업이익</t>
        </is>
      </c>
      <c r="C8" t="inlineStr">
        <is>
          <t>억원</t>
        </is>
      </c>
      <c r="D8" t="inlineStr">
        <is>
          <t>영업이익 = subQ 영업이익 + (이 시나리오 신규 − base 신규) × OPM(변수 드라이버)</t>
        </is>
      </c>
      <c r="E8" s="20">
        <f>IFERROR(subQ!K9+(E6-E6)*변수!K41,"")</f>
        <v/>
      </c>
      <c r="F8" s="20">
        <f>IFERROR(subQ!L9+(F6-F6)*변수!L41,"")</f>
        <v/>
      </c>
      <c r="G8" s="20">
        <f>IFERROR(SUM(E8:F8)+subQ!I9+subQ!J9,"")</f>
        <v/>
      </c>
      <c r="H8" s="20">
        <f>IFERROR(subQ!N9+(H6-H6)*변수!N41,"")</f>
        <v/>
      </c>
      <c r="I8" s="20">
        <f>IFERROR(subQ!O9+(I6-I6)*변수!O41,"")</f>
        <v/>
      </c>
      <c r="J8" s="20">
        <f>IFERROR(subQ!P9+(J6-J6)*변수!P41,"")</f>
        <v/>
      </c>
      <c r="K8" s="20">
        <f>IFERROR(subQ!Q9+(K6-K6)*변수!Q41,"")</f>
        <v/>
      </c>
      <c r="L8" s="20">
        <f>IFERROR(SUM(H8:K8),"")</f>
        <v/>
      </c>
      <c r="M8" s="20">
        <f>IFERROR(subQ!S9+(M6-M6)*변수!S41,"")</f>
        <v/>
      </c>
      <c r="N8" s="20">
        <f>IFERROR(subQ!T9+(N6-N6)*변수!T41,"")</f>
        <v/>
      </c>
      <c r="O8" s="20">
        <f>IFERROR(subQ!U9+(O6-O6)*변수!U41,"")</f>
        <v/>
      </c>
      <c r="P8" s="20">
        <f>IFERROR(subQ!V9+(P6-P6)*변수!V41,"")</f>
        <v/>
      </c>
      <c r="Q8" s="20">
        <f>IFERROR(SUM(M8:P8),"")</f>
        <v/>
      </c>
    </row>
    <row r="9">
      <c r="A9" s="12" t="inlineStr">
        <is>
          <t>scn:base:OPM</t>
        </is>
      </c>
      <c r="C9" t="inlineStr">
        <is>
          <t>%</t>
        </is>
      </c>
      <c r="D9" t="inlineStr">
        <is>
          <t>OPM</t>
        </is>
      </c>
      <c r="E9" s="32">
        <f>IFERROR(E8/E7,"")</f>
        <v/>
      </c>
      <c r="F9" s="32">
        <f>IFERROR(F8/F7,"")</f>
        <v/>
      </c>
      <c r="G9" s="32">
        <f>IFERROR(G8/G7,"")</f>
        <v/>
      </c>
      <c r="H9" s="32">
        <f>IFERROR(H8/H7,"")</f>
        <v/>
      </c>
      <c r="I9" s="32">
        <f>IFERROR(I8/I7,"")</f>
        <v/>
      </c>
      <c r="J9" s="32">
        <f>IFERROR(J8/J7,"")</f>
        <v/>
      </c>
      <c r="K9" s="32">
        <f>IFERROR(K8/K7,"")</f>
        <v/>
      </c>
      <c r="L9" s="32">
        <f>IFERROR(L8/L7,"")</f>
        <v/>
      </c>
      <c r="M9" s="32">
        <f>IFERROR(M8/M7,"")</f>
        <v/>
      </c>
      <c r="N9" s="32">
        <f>IFERROR(N8/N7,"")</f>
        <v/>
      </c>
      <c r="O9" s="32">
        <f>IFERROR(O8/O7,"")</f>
        <v/>
      </c>
      <c r="P9" s="32">
        <f>IFERROR(P8/P7,"")</f>
        <v/>
      </c>
      <c r="Q9" s="32">
        <f>IFERROR(Q8/Q7,"")</f>
        <v/>
      </c>
    </row>
    <row r="10"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</row>
    <row r="11">
      <c r="A11" s="1" t="inlineStr">
        <is>
          <t>existing_only</t>
        </is>
      </c>
      <c r="D11" s="1" t="inlineStr">
        <is>
          <t>기존 잔고만(신규수주 0)</t>
        </is>
      </c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</row>
    <row r="12">
      <c r="A12" s="12" t="inlineStr">
        <is>
          <t>scn:existing_only:신규수주매출</t>
        </is>
      </c>
      <c r="C12" t="inlineStr">
        <is>
          <t>억원</t>
        </is>
      </c>
      <c r="D12" t="inlineStr">
        <is>
          <t>신규수주 매출(억원) — 패널 값(노란, 가정)</t>
        </is>
      </c>
      <c r="E12" s="34" t="n">
        <v>0</v>
      </c>
      <c r="F12" s="34" t="n">
        <v>0</v>
      </c>
      <c r="G12" s="20">
        <f>SUM(E12:F12)</f>
        <v/>
      </c>
      <c r="H12" s="34" t="n">
        <v>0</v>
      </c>
      <c r="I12" s="34" t="n">
        <v>0</v>
      </c>
      <c r="J12" s="34" t="n">
        <v>0</v>
      </c>
      <c r="K12" s="34" t="n">
        <v>0</v>
      </c>
      <c r="L12" s="20">
        <f>SUM(H12:K12)</f>
        <v/>
      </c>
      <c r="M12" s="34" t="n">
        <v>0</v>
      </c>
      <c r="N12" s="34" t="n">
        <v>0</v>
      </c>
      <c r="O12" s="34" t="n">
        <v>0</v>
      </c>
      <c r="P12" s="34" t="n">
        <v>0</v>
      </c>
      <c r="Q12" s="20">
        <f>SUM(M12:P12)</f>
        <v/>
      </c>
    </row>
    <row r="13">
      <c r="A13" s="12" t="inlineStr">
        <is>
          <t>scn:existing_only:매출액</t>
        </is>
      </c>
      <c r="C13" t="inlineStr">
        <is>
          <t>억원</t>
        </is>
      </c>
      <c r="D13" t="inlineStr">
        <is>
          <t>매출액 = subQ 매출액 − base 신규 + 이 시나리오 신규</t>
        </is>
      </c>
      <c r="E13" s="20">
        <f>IFERROR(subQ!K5-E6+E12,"")</f>
        <v/>
      </c>
      <c r="F13" s="20">
        <f>IFERROR(subQ!L5-F6+F12,"")</f>
        <v/>
      </c>
      <c r="G13" s="20">
        <f>IFERROR(SUM(E13:F13)+subQ!I5+subQ!J5,"")</f>
        <v/>
      </c>
      <c r="H13" s="20">
        <f>IFERROR(subQ!N5-H6+H12,"")</f>
        <v/>
      </c>
      <c r="I13" s="20">
        <f>IFERROR(subQ!O5-I6+I12,"")</f>
        <v/>
      </c>
      <c r="J13" s="20">
        <f>IFERROR(subQ!P5-J6+J12,"")</f>
        <v/>
      </c>
      <c r="K13" s="20">
        <f>IFERROR(subQ!Q5-K6+K12,"")</f>
        <v/>
      </c>
      <c r="L13" s="20">
        <f>IFERROR(SUM(H13:K13),"")</f>
        <v/>
      </c>
      <c r="M13" s="20">
        <f>IFERROR(subQ!S5-M6+M12,"")</f>
        <v/>
      </c>
      <c r="N13" s="20">
        <f>IFERROR(subQ!T5-N6+N12,"")</f>
        <v/>
      </c>
      <c r="O13" s="20">
        <f>IFERROR(subQ!U5-O6+O12,"")</f>
        <v/>
      </c>
      <c r="P13" s="20">
        <f>IFERROR(subQ!V5-P6+P12,"")</f>
        <v/>
      </c>
      <c r="Q13" s="20">
        <f>IFERROR(SUM(M13:P13),"")</f>
        <v/>
      </c>
    </row>
    <row r="14">
      <c r="A14" s="12" t="inlineStr">
        <is>
          <t>scn:existing_only:영업이익</t>
        </is>
      </c>
      <c r="C14" t="inlineStr">
        <is>
          <t>억원</t>
        </is>
      </c>
      <c r="D14" t="inlineStr">
        <is>
          <t>영업이익 = subQ 영업이익 + (이 시나리오 신규 − base 신규) × OPM(변수 드라이버)</t>
        </is>
      </c>
      <c r="E14" s="20">
        <f>IFERROR(subQ!K9+(E12-E6)*변수!K41,"")</f>
        <v/>
      </c>
      <c r="F14" s="20">
        <f>IFERROR(subQ!L9+(F12-F6)*변수!L41,"")</f>
        <v/>
      </c>
      <c r="G14" s="20">
        <f>IFERROR(SUM(E14:F14)+subQ!I9+subQ!J9,"")</f>
        <v/>
      </c>
      <c r="H14" s="20">
        <f>IFERROR(subQ!N9+(H12-H6)*변수!N41,"")</f>
        <v/>
      </c>
      <c r="I14" s="20">
        <f>IFERROR(subQ!O9+(I12-I6)*변수!O41,"")</f>
        <v/>
      </c>
      <c r="J14" s="20">
        <f>IFERROR(subQ!P9+(J12-J6)*변수!P41,"")</f>
        <v/>
      </c>
      <c r="K14" s="20">
        <f>IFERROR(subQ!Q9+(K12-K6)*변수!Q41,"")</f>
        <v/>
      </c>
      <c r="L14" s="20">
        <f>IFERROR(SUM(H14:K14),"")</f>
        <v/>
      </c>
      <c r="M14" s="20">
        <f>IFERROR(subQ!S9+(M12-M6)*변수!S41,"")</f>
        <v/>
      </c>
      <c r="N14" s="20">
        <f>IFERROR(subQ!T9+(N12-N6)*변수!T41,"")</f>
        <v/>
      </c>
      <c r="O14" s="20">
        <f>IFERROR(subQ!U9+(O12-O6)*변수!U41,"")</f>
        <v/>
      </c>
      <c r="P14" s="20">
        <f>IFERROR(subQ!V9+(P12-P6)*변수!V41,"")</f>
        <v/>
      </c>
      <c r="Q14" s="20">
        <f>IFERROR(SUM(M14:P14),"")</f>
        <v/>
      </c>
    </row>
    <row r="15">
      <c r="A15" s="12" t="inlineStr">
        <is>
          <t>scn:existing_only:OPM</t>
        </is>
      </c>
      <c r="C15" t="inlineStr">
        <is>
          <t>%</t>
        </is>
      </c>
      <c r="D15" t="inlineStr">
        <is>
          <t>OPM</t>
        </is>
      </c>
      <c r="E15" s="32">
        <f>IFERROR(E14/E13,"")</f>
        <v/>
      </c>
      <c r="F15" s="32">
        <f>IFERROR(F14/F13,"")</f>
        <v/>
      </c>
      <c r="G15" s="32">
        <f>IFERROR(G14/G13,"")</f>
        <v/>
      </c>
      <c r="H15" s="32">
        <f>IFERROR(H14/H13,"")</f>
        <v/>
      </c>
      <c r="I15" s="32">
        <f>IFERROR(I14/I13,"")</f>
        <v/>
      </c>
      <c r="J15" s="32">
        <f>IFERROR(J14/J13,"")</f>
        <v/>
      </c>
      <c r="K15" s="32">
        <f>IFERROR(K14/K13,"")</f>
        <v/>
      </c>
      <c r="L15" s="32">
        <f>IFERROR(L14/L13,"")</f>
        <v/>
      </c>
      <c r="M15" s="32">
        <f>IFERROR(M14/M13,"")</f>
        <v/>
      </c>
      <c r="N15" s="32">
        <f>IFERROR(N14/N13,"")</f>
        <v/>
      </c>
      <c r="O15" s="32">
        <f>IFERROR(O14/O13,"")</f>
        <v/>
      </c>
      <c r="P15" s="32">
        <f>IFERROR(P14/P13,"")</f>
        <v/>
      </c>
      <c r="Q15" s="32">
        <f>IFERROR(Q14/Q13,"")</f>
        <v/>
      </c>
    </row>
    <row r="16"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</row>
    <row r="17">
      <c r="A17" s="1" t="inlineStr">
        <is>
          <t>conservative</t>
        </is>
      </c>
      <c r="D17" s="1" t="inlineStr">
        <is>
          <t>보수</t>
        </is>
      </c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</row>
    <row r="18">
      <c r="A18" s="12" t="inlineStr">
        <is>
          <t>scn:conservative:신규수주매출</t>
        </is>
      </c>
      <c r="C18" t="inlineStr">
        <is>
          <t>억원</t>
        </is>
      </c>
      <c r="D18" t="inlineStr">
        <is>
          <t>신규수주 매출(억원) — 패널 값(노란, 가정)</t>
        </is>
      </c>
      <c r="E18" s="34" t="n">
        <v>0</v>
      </c>
      <c r="F18" s="34" t="n">
        <v>0</v>
      </c>
      <c r="G18" s="20">
        <f>SUM(E18:F18)</f>
        <v/>
      </c>
      <c r="H18" s="34" t="n">
        <v>44.89</v>
      </c>
      <c r="I18" s="34" t="n">
        <v>168.62</v>
      </c>
      <c r="J18" s="34" t="n">
        <v>354.76</v>
      </c>
      <c r="K18" s="34" t="n">
        <v>586.88</v>
      </c>
      <c r="L18" s="20">
        <f>SUM(H18:K18)</f>
        <v/>
      </c>
      <c r="M18" s="34" t="n">
        <v>848.54</v>
      </c>
      <c r="N18" s="34" t="n">
        <v>1123.33</v>
      </c>
      <c r="O18" s="34" t="n">
        <v>1394.82</v>
      </c>
      <c r="P18" s="34" t="n">
        <v>1646.57</v>
      </c>
      <c r="Q18" s="20">
        <f>SUM(M18:P18)</f>
        <v/>
      </c>
    </row>
    <row r="19">
      <c r="A19" s="12" t="inlineStr">
        <is>
          <t>scn:conservative:매출액</t>
        </is>
      </c>
      <c r="C19" t="inlineStr">
        <is>
          <t>억원</t>
        </is>
      </c>
      <c r="D19" t="inlineStr">
        <is>
          <t>매출액 = subQ 매출액 − base 신규 + 이 시나리오 신규</t>
        </is>
      </c>
      <c r="E19" s="20">
        <f>IFERROR(subQ!K5-E6+E18,"")</f>
        <v/>
      </c>
      <c r="F19" s="20">
        <f>IFERROR(subQ!L5-F6+F18,"")</f>
        <v/>
      </c>
      <c r="G19" s="20">
        <f>IFERROR(SUM(E19:F19)+subQ!I5+subQ!J5,"")</f>
        <v/>
      </c>
      <c r="H19" s="20">
        <f>IFERROR(subQ!N5-H6+H18,"")</f>
        <v/>
      </c>
      <c r="I19" s="20">
        <f>IFERROR(subQ!O5-I6+I18,"")</f>
        <v/>
      </c>
      <c r="J19" s="20">
        <f>IFERROR(subQ!P5-J6+J18,"")</f>
        <v/>
      </c>
      <c r="K19" s="20">
        <f>IFERROR(subQ!Q5-K6+K18,"")</f>
        <v/>
      </c>
      <c r="L19" s="20">
        <f>IFERROR(SUM(H19:K19),"")</f>
        <v/>
      </c>
      <c r="M19" s="20">
        <f>IFERROR(subQ!S5-M6+M18,"")</f>
        <v/>
      </c>
      <c r="N19" s="20">
        <f>IFERROR(subQ!T5-N6+N18,"")</f>
        <v/>
      </c>
      <c r="O19" s="20">
        <f>IFERROR(subQ!U5-O6+O18,"")</f>
        <v/>
      </c>
      <c r="P19" s="20">
        <f>IFERROR(subQ!V5-P6+P18,"")</f>
        <v/>
      </c>
      <c r="Q19" s="20">
        <f>IFERROR(SUM(M19:P19),"")</f>
        <v/>
      </c>
    </row>
    <row r="20">
      <c r="A20" s="12" t="inlineStr">
        <is>
          <t>scn:conservative:영업이익</t>
        </is>
      </c>
      <c r="C20" t="inlineStr">
        <is>
          <t>억원</t>
        </is>
      </c>
      <c r="D20" t="inlineStr">
        <is>
          <t>영업이익 = subQ 영업이익 + (이 시나리오 신규 − base 신규) × OPM(변수 드라이버)</t>
        </is>
      </c>
      <c r="E20" s="20">
        <f>IFERROR(subQ!K9+(E18-E6)*변수!K41,"")</f>
        <v/>
      </c>
      <c r="F20" s="20">
        <f>IFERROR(subQ!L9+(F18-F6)*변수!L41,"")</f>
        <v/>
      </c>
      <c r="G20" s="20">
        <f>IFERROR(SUM(E20:F20)+subQ!I9+subQ!J9,"")</f>
        <v/>
      </c>
      <c r="H20" s="20">
        <f>IFERROR(subQ!N9+(H18-H6)*변수!N41,"")</f>
        <v/>
      </c>
      <c r="I20" s="20">
        <f>IFERROR(subQ!O9+(I18-I6)*변수!O41,"")</f>
        <v/>
      </c>
      <c r="J20" s="20">
        <f>IFERROR(subQ!P9+(J18-J6)*변수!P41,"")</f>
        <v/>
      </c>
      <c r="K20" s="20">
        <f>IFERROR(subQ!Q9+(K18-K6)*변수!Q41,"")</f>
        <v/>
      </c>
      <c r="L20" s="20">
        <f>IFERROR(SUM(H20:K20),"")</f>
        <v/>
      </c>
      <c r="M20" s="20">
        <f>IFERROR(subQ!S9+(M18-M6)*변수!S41,"")</f>
        <v/>
      </c>
      <c r="N20" s="20">
        <f>IFERROR(subQ!T9+(N18-N6)*변수!T41,"")</f>
        <v/>
      </c>
      <c r="O20" s="20">
        <f>IFERROR(subQ!U9+(O18-O6)*변수!U41,"")</f>
        <v/>
      </c>
      <c r="P20" s="20">
        <f>IFERROR(subQ!V9+(P18-P6)*변수!V41,"")</f>
        <v/>
      </c>
      <c r="Q20" s="20">
        <f>IFERROR(SUM(M20:P20),"")</f>
        <v/>
      </c>
    </row>
    <row r="21">
      <c r="A21" s="12" t="inlineStr">
        <is>
          <t>scn:conservative:OPM</t>
        </is>
      </c>
      <c r="C21" t="inlineStr">
        <is>
          <t>%</t>
        </is>
      </c>
      <c r="D21" t="inlineStr">
        <is>
          <t>OPM</t>
        </is>
      </c>
      <c r="E21" s="32">
        <f>IFERROR(E20/E19,"")</f>
        <v/>
      </c>
      <c r="F21" s="32">
        <f>IFERROR(F20/F19,"")</f>
        <v/>
      </c>
      <c r="G21" s="32">
        <f>IFERROR(G20/G19,"")</f>
        <v/>
      </c>
      <c r="H21" s="32">
        <f>IFERROR(H20/H19,"")</f>
        <v/>
      </c>
      <c r="I21" s="32">
        <f>IFERROR(I20/I19,"")</f>
        <v/>
      </c>
      <c r="J21" s="32">
        <f>IFERROR(J20/J19,"")</f>
        <v/>
      </c>
      <c r="K21" s="32">
        <f>IFERROR(K20/K19,"")</f>
        <v/>
      </c>
      <c r="L21" s="32">
        <f>IFERROR(L20/L19,"")</f>
        <v/>
      </c>
      <c r="M21" s="32">
        <f>IFERROR(M20/M19,"")</f>
        <v/>
      </c>
      <c r="N21" s="32">
        <f>IFERROR(N20/N19,"")</f>
        <v/>
      </c>
      <c r="O21" s="32">
        <f>IFERROR(O20/O19,"")</f>
        <v/>
      </c>
      <c r="P21" s="32">
        <f>IFERROR(P20/P19,"")</f>
        <v/>
      </c>
      <c r="Q21" s="32">
        <f>IFERROR(Q20/Q19,"")</f>
        <v/>
      </c>
    </row>
    <row r="22"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</row>
    <row r="23">
      <c r="A23" s="1" t="inlineStr">
        <is>
          <t>optimistic</t>
        </is>
      </c>
      <c r="D23" s="1" t="inlineStr">
        <is>
          <t>낙관</t>
        </is>
      </c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</row>
    <row r="24">
      <c r="A24" s="12" t="inlineStr">
        <is>
          <t>scn:optimistic:신규수주매출</t>
        </is>
      </c>
      <c r="C24" t="inlineStr">
        <is>
          <t>억원</t>
        </is>
      </c>
      <c r="D24" t="inlineStr">
        <is>
          <t>신규수주 매출(억원) — 패널 값(노란, 가정)</t>
        </is>
      </c>
      <c r="E24" s="34" t="n">
        <v>0</v>
      </c>
      <c r="F24" s="34" t="n">
        <v>75.48</v>
      </c>
      <c r="G24" s="20">
        <f>SUM(E24:F24)</f>
        <v/>
      </c>
      <c r="H24" s="34" t="n">
        <v>340.54</v>
      </c>
      <c r="I24" s="34" t="n">
        <v>810.6799999999999</v>
      </c>
      <c r="J24" s="34" t="n">
        <v>1437.41</v>
      </c>
      <c r="K24" s="34" t="n">
        <v>2172.23</v>
      </c>
      <c r="L24" s="20">
        <f>SUM(H24:K24)</f>
        <v/>
      </c>
      <c r="M24" s="34" t="n">
        <v>2966.65</v>
      </c>
      <c r="N24" s="34" t="n">
        <v>3772.19</v>
      </c>
      <c r="O24" s="34" t="n">
        <v>4540.35</v>
      </c>
      <c r="P24" s="34" t="n">
        <v>5222.64</v>
      </c>
      <c r="Q24" s="20">
        <f>SUM(M24:P24)</f>
        <v/>
      </c>
    </row>
    <row r="25">
      <c r="A25" s="12" t="inlineStr">
        <is>
          <t>scn:optimistic:매출액</t>
        </is>
      </c>
      <c r="C25" t="inlineStr">
        <is>
          <t>억원</t>
        </is>
      </c>
      <c r="D25" t="inlineStr">
        <is>
          <t>매출액 = subQ 매출액 − base 신규 + 이 시나리오 신규</t>
        </is>
      </c>
      <c r="E25" s="20">
        <f>IFERROR(subQ!K5-E6+E24,"")</f>
        <v/>
      </c>
      <c r="F25" s="20">
        <f>IFERROR(subQ!L5-F6+F24,"")</f>
        <v/>
      </c>
      <c r="G25" s="20">
        <f>IFERROR(SUM(E25:F25)+subQ!I5+subQ!J5,"")</f>
        <v/>
      </c>
      <c r="H25" s="20">
        <f>IFERROR(subQ!N5-H6+H24,"")</f>
        <v/>
      </c>
      <c r="I25" s="20">
        <f>IFERROR(subQ!O5-I6+I24,"")</f>
        <v/>
      </c>
      <c r="J25" s="20">
        <f>IFERROR(subQ!P5-J6+J24,"")</f>
        <v/>
      </c>
      <c r="K25" s="20">
        <f>IFERROR(subQ!Q5-K6+K24,"")</f>
        <v/>
      </c>
      <c r="L25" s="20">
        <f>IFERROR(SUM(H25:K25),"")</f>
        <v/>
      </c>
      <c r="M25" s="20">
        <f>IFERROR(subQ!S5-M6+M24,"")</f>
        <v/>
      </c>
      <c r="N25" s="20">
        <f>IFERROR(subQ!T5-N6+N24,"")</f>
        <v/>
      </c>
      <c r="O25" s="20">
        <f>IFERROR(subQ!U5-O6+O24,"")</f>
        <v/>
      </c>
      <c r="P25" s="20">
        <f>IFERROR(subQ!V5-P6+P24,"")</f>
        <v/>
      </c>
      <c r="Q25" s="20">
        <f>IFERROR(SUM(M25:P25),"")</f>
        <v/>
      </c>
    </row>
    <row r="26">
      <c r="A26" s="12" t="inlineStr">
        <is>
          <t>scn:optimistic:영업이익</t>
        </is>
      </c>
      <c r="C26" t="inlineStr">
        <is>
          <t>억원</t>
        </is>
      </c>
      <c r="D26" t="inlineStr">
        <is>
          <t>영업이익 = subQ 영업이익 + (이 시나리오 신규 − base 신규) × OPM(변수 드라이버)</t>
        </is>
      </c>
      <c r="E26" s="20">
        <f>IFERROR(subQ!K9+(E24-E6)*변수!K41,"")</f>
        <v/>
      </c>
      <c r="F26" s="20">
        <f>IFERROR(subQ!L9+(F24-F6)*변수!L41,"")</f>
        <v/>
      </c>
      <c r="G26" s="20">
        <f>IFERROR(SUM(E26:F26)+subQ!I9+subQ!J9,"")</f>
        <v/>
      </c>
      <c r="H26" s="20">
        <f>IFERROR(subQ!N9+(H24-H6)*변수!N41,"")</f>
        <v/>
      </c>
      <c r="I26" s="20">
        <f>IFERROR(subQ!O9+(I24-I6)*변수!O41,"")</f>
        <v/>
      </c>
      <c r="J26" s="20">
        <f>IFERROR(subQ!P9+(J24-J6)*변수!P41,"")</f>
        <v/>
      </c>
      <c r="K26" s="20">
        <f>IFERROR(subQ!Q9+(K24-K6)*변수!Q41,"")</f>
        <v/>
      </c>
      <c r="L26" s="20">
        <f>IFERROR(SUM(H26:K26),"")</f>
        <v/>
      </c>
      <c r="M26" s="20">
        <f>IFERROR(subQ!S9+(M24-M6)*변수!S41,"")</f>
        <v/>
      </c>
      <c r="N26" s="20">
        <f>IFERROR(subQ!T9+(N24-N6)*변수!T41,"")</f>
        <v/>
      </c>
      <c r="O26" s="20">
        <f>IFERROR(subQ!U9+(O24-O6)*변수!U41,"")</f>
        <v/>
      </c>
      <c r="P26" s="20">
        <f>IFERROR(subQ!V9+(P24-P6)*변수!V41,"")</f>
        <v/>
      </c>
      <c r="Q26" s="20">
        <f>IFERROR(SUM(M26:P26),"")</f>
        <v/>
      </c>
    </row>
    <row r="27">
      <c r="A27" s="12" t="inlineStr">
        <is>
          <t>scn:optimistic:OPM</t>
        </is>
      </c>
      <c r="C27" t="inlineStr">
        <is>
          <t>%</t>
        </is>
      </c>
      <c r="D27" t="inlineStr">
        <is>
          <t>OPM</t>
        </is>
      </c>
      <c r="E27" s="32">
        <f>IFERROR(E26/E25,"")</f>
        <v/>
      </c>
      <c r="F27" s="32">
        <f>IFERROR(F26/F25,"")</f>
        <v/>
      </c>
      <c r="G27" s="32">
        <f>IFERROR(G26/G25,"")</f>
        <v/>
      </c>
      <c r="H27" s="32">
        <f>IFERROR(H26/H25,"")</f>
        <v/>
      </c>
      <c r="I27" s="32">
        <f>IFERROR(I26/I25,"")</f>
        <v/>
      </c>
      <c r="J27" s="32">
        <f>IFERROR(J26/J25,"")</f>
        <v/>
      </c>
      <c r="K27" s="32">
        <f>IFERROR(K26/K25,"")</f>
        <v/>
      </c>
      <c r="L27" s="32">
        <f>IFERROR(L26/L25,"")</f>
        <v/>
      </c>
      <c r="M27" s="32">
        <f>IFERROR(M26/M25,"")</f>
        <v/>
      </c>
      <c r="N27" s="32">
        <f>IFERROR(N26/N25,"")</f>
        <v/>
      </c>
      <c r="O27" s="32">
        <f>IFERROR(O26/O25,"")</f>
        <v/>
      </c>
      <c r="P27" s="32">
        <f>IFERROR(P26/P25,"")</f>
        <v/>
      </c>
      <c r="Q27" s="32">
        <f>IFERROR(Q26/Q25,"")</f>
        <v/>
      </c>
    </row>
    <row r="28"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C1" s="2" t="inlineStr">
        <is>
          <t>이름: 분기H — subQ 를 이름으로 VLOOKUP(억원)</t>
        </is>
      </c>
      <c r="E1" s="3" t="inlineStr">
        <is>
          <t>2Q25</t>
        </is>
      </c>
      <c r="F1" s="3" t="inlineStr">
        <is>
          <t>3Q25</t>
        </is>
      </c>
      <c r="G1" s="3" t="inlineStr">
        <is>
          <t>4Q25</t>
        </is>
      </c>
      <c r="H1" s="3" t="inlineStr">
        <is>
          <t>1Q26</t>
        </is>
      </c>
      <c r="I1" s="44" t="inlineStr">
        <is>
          <t>2Q26</t>
        </is>
      </c>
      <c r="J1" s="3" t="inlineStr">
        <is>
          <t>3Q26</t>
        </is>
      </c>
      <c r="K1" s="3" t="inlineStr">
        <is>
          <t>4Q26</t>
        </is>
      </c>
      <c r="L1" s="3" t="inlineStr">
        <is>
          <t>1Q27</t>
        </is>
      </c>
      <c r="M1" s="3" t="inlineStr">
        <is>
          <t>2Q27</t>
        </is>
      </c>
      <c r="N1" s="3" t="inlineStr">
        <is>
          <t>3Q27</t>
        </is>
      </c>
      <c r="O1" s="3" t="inlineStr">
        <is>
          <t>4Q27</t>
        </is>
      </c>
      <c r="P1" s="3" t="inlineStr">
        <is>
          <t>1Q28</t>
        </is>
      </c>
      <c r="Q1" s="3" t="inlineStr">
        <is>
          <t>2Q28</t>
        </is>
      </c>
      <c r="R1" s="3" t="inlineStr">
        <is>
          <t>3Q28</t>
        </is>
      </c>
      <c r="S1" s="3" t="inlineStr">
        <is>
          <t>4Q28</t>
        </is>
      </c>
    </row>
    <row r="2">
      <c r="C2" t="inlineStr">
        <is>
          <t>종가:</t>
        </is>
      </c>
      <c r="D2" s="18">
        <f>변수!D46</f>
        <v/>
      </c>
      <c r="I2" s="45" t="n"/>
    </row>
    <row r="3">
      <c r="C3" t="inlineStr">
        <is>
          <t>기준일:</t>
        </is>
      </c>
      <c r="D3" t="inlineStr">
        <is>
          <t>20261014</t>
        </is>
      </c>
      <c r="E3" s="2" t="n">
        <v>1</v>
      </c>
      <c r="F3" s="2" t="n">
        <v>2</v>
      </c>
      <c r="G3" s="2" t="n">
        <v>3</v>
      </c>
      <c r="H3" s="2" t="n">
        <v>4</v>
      </c>
      <c r="I3" s="46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</row>
    <row r="4">
      <c r="E4" s="7" t="inlineStr">
        <is>
          <t>2025.06</t>
        </is>
      </c>
      <c r="F4" s="7" t="inlineStr">
        <is>
          <t>2025.09</t>
        </is>
      </c>
      <c r="G4" s="7" t="inlineStr">
        <is>
          <t>2025.12</t>
        </is>
      </c>
      <c r="H4" s="7" t="inlineStr">
        <is>
          <t>2026.03</t>
        </is>
      </c>
      <c r="I4" s="47" t="inlineStr">
        <is>
          <t>2026.06</t>
        </is>
      </c>
      <c r="J4" s="7" t="inlineStr">
        <is>
          <t>2026.09</t>
        </is>
      </c>
      <c r="K4" s="7" t="inlineStr">
        <is>
          <t>2026.12</t>
        </is>
      </c>
      <c r="L4" s="7" t="inlineStr">
        <is>
          <t>2027.03</t>
        </is>
      </c>
      <c r="M4" s="7" t="inlineStr">
        <is>
          <t>2027.06</t>
        </is>
      </c>
      <c r="N4" s="7" t="inlineStr">
        <is>
          <t>2027.09</t>
        </is>
      </c>
      <c r="O4" s="7" t="inlineStr">
        <is>
          <t>2027.12</t>
        </is>
      </c>
      <c r="P4" s="7" t="inlineStr">
        <is>
          <t>2028.03</t>
        </is>
      </c>
      <c r="Q4" s="7" t="inlineStr">
        <is>
          <t>2028.06</t>
        </is>
      </c>
      <c r="R4" s="7" t="inlineStr">
        <is>
          <t>2028.09</t>
        </is>
      </c>
      <c r="S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8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  <c r="M5" s="20">
        <f>IFERROR(VLOOKUP($A5,subQ,MATCH(M$1,SUBQH,0),0),"")</f>
        <v/>
      </c>
      <c r="N5" s="20">
        <f>IFERROR(VLOOKUP($A5,subQ,MATCH(N$1,SUBQH,0),0),"")</f>
        <v/>
      </c>
      <c r="O5" s="20">
        <f>IFERROR(VLOOKUP($A5,subQ,MATCH(O$1,SUBQH,0),0),"")</f>
        <v/>
      </c>
      <c r="P5" s="20">
        <f>IFERROR(VLOOKUP($A5,subQ,MATCH(P$1,SUBQH,0),0),"")</f>
        <v/>
      </c>
      <c r="Q5" s="20">
        <f>IFERROR(VLOOKUP($A5,subQ,MATCH(Q$1,SUBQH,0),0),"")</f>
        <v/>
      </c>
      <c r="R5" s="20">
        <f>IFERROR(VLOOKUP($A5,subQ,MATCH(R$1,SUBQH,0),0),"")</f>
        <v/>
      </c>
      <c r="S5" s="20">
        <f>IFERROR(VLOOKUP($A5,subQ,MATCH(S$1,SUBQH,0),0),"")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8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  <c r="M6" s="20">
        <f>IFERROR(VLOOKUP($A6,subQ,MATCH(M$1,SUBQH,0),0),"")</f>
        <v/>
      </c>
      <c r="N6" s="20">
        <f>IFERROR(VLOOKUP($A6,subQ,MATCH(N$1,SUBQH,0),0),"")</f>
        <v/>
      </c>
      <c r="O6" s="20">
        <f>IFERROR(VLOOKUP($A6,subQ,MATCH(O$1,SUBQH,0),0),"")</f>
        <v/>
      </c>
      <c r="P6" s="20">
        <f>IFERROR(VLOOKUP($A6,subQ,MATCH(P$1,SUBQH,0),0),"")</f>
        <v/>
      </c>
      <c r="Q6" s="20">
        <f>IFERROR(VLOOKUP($A6,subQ,MATCH(Q$1,SUBQH,0),0),"")</f>
        <v/>
      </c>
      <c r="R6" s="20">
        <f>IFERROR(VLOOKUP($A6,subQ,MATCH(R$1,SUBQH,0),0),"")</f>
        <v/>
      </c>
      <c r="S6" s="20">
        <f>IFERROR(VLOOKUP($A6,subQ,MATCH(S$1,SUBQH,0),0),"")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8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  <c r="M7" s="20">
        <f>IFERROR(VLOOKUP($A7,subQ,MATCH(M$1,SUBQH,0),0),"")</f>
        <v/>
      </c>
      <c r="N7" s="20">
        <f>IFERROR(VLOOKUP($A7,subQ,MATCH(N$1,SUBQH,0),0),"")</f>
        <v/>
      </c>
      <c r="O7" s="20">
        <f>IFERROR(VLOOKUP($A7,subQ,MATCH(O$1,SUBQH,0),0),"")</f>
        <v/>
      </c>
      <c r="P7" s="20">
        <f>IFERROR(VLOOKUP($A7,subQ,MATCH(P$1,SUBQH,0),0),"")</f>
        <v/>
      </c>
      <c r="Q7" s="20">
        <f>IFERROR(VLOOKUP($A7,subQ,MATCH(Q$1,SUBQH,0),0),"")</f>
        <v/>
      </c>
      <c r="R7" s="20">
        <f>IFERROR(VLOOKUP($A7,subQ,MATCH(R$1,SUBQH,0),0),"")</f>
        <v/>
      </c>
      <c r="S7" s="20">
        <f>IFERROR(VLOOKUP($A7,subQ,MATCH(S$1,SUBQH,0),0),"")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8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  <c r="M8" s="20">
        <f>IFERROR(VLOOKUP($A8,subQ,MATCH(M$1,SUBQH,0),0),"")</f>
        <v/>
      </c>
      <c r="N8" s="20">
        <f>IFERROR(VLOOKUP($A8,subQ,MATCH(N$1,SUBQH,0),0),"")</f>
        <v/>
      </c>
      <c r="O8" s="20">
        <f>IFERROR(VLOOKUP($A8,subQ,MATCH(O$1,SUBQH,0),0),"")</f>
        <v/>
      </c>
      <c r="P8" s="20">
        <f>IFERROR(VLOOKUP($A8,subQ,MATCH(P$1,SUBQH,0),0),"")</f>
        <v/>
      </c>
      <c r="Q8" s="20">
        <f>IFERROR(VLOOKUP($A8,subQ,MATCH(Q$1,SUBQH,0),0),"")</f>
        <v/>
      </c>
      <c r="R8" s="20">
        <f>IFERROR(VLOOKUP($A8,subQ,MATCH(R$1,SUBQH,0),0),"")</f>
        <v/>
      </c>
      <c r="S8" s="20">
        <f>IFERROR(VLOOKUP($A8,subQ,MATCH(S$1,SUBQH,0),0),"")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8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  <c r="M9" s="20">
        <f>IFERROR(VLOOKUP($A9,subQ,MATCH(M$1,SUBQH,0),0),"")</f>
        <v/>
      </c>
      <c r="N9" s="20">
        <f>IFERROR(VLOOKUP($A9,subQ,MATCH(N$1,SUBQH,0),0),"")</f>
        <v/>
      </c>
      <c r="O9" s="20">
        <f>IFERROR(VLOOKUP($A9,subQ,MATCH(O$1,SUBQH,0),0),"")</f>
        <v/>
      </c>
      <c r="P9" s="20">
        <f>IFERROR(VLOOKUP($A9,subQ,MATCH(P$1,SUBQH,0),0),"")</f>
        <v/>
      </c>
      <c r="Q9" s="20">
        <f>IFERROR(VLOOKUP($A9,subQ,MATCH(Q$1,SUBQH,0),0),"")</f>
        <v/>
      </c>
      <c r="R9" s="20">
        <f>IFERROR(VLOOKUP($A9,subQ,MATCH(R$1,SUBQH,0),0),"")</f>
        <v/>
      </c>
      <c r="S9" s="20">
        <f>IFERROR(VLOOKUP($A9,subQ,MATCH(S$1,SUBQH,0),0),"")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9">
        <f>IFERROR(VLOOKUP($A10,subQ,MATCH(I$1,SUBQH,0),0),"")</f>
        <v/>
      </c>
      <c r="J10" s="32">
        <f>IFERROR(VLOOKUP($A10,subQ,MATCH(J$1,SUBQH,0),0),"")</f>
        <v/>
      </c>
      <c r="K10" s="32">
        <f>IFERROR(VLOOKUP($A10,subQ,MATCH(K$1,SUBQH,0),0),"")</f>
        <v/>
      </c>
      <c r="L10" s="32">
        <f>IFERROR(VLOOKUP($A10,subQ,MATCH(L$1,SUBQH,0),0),"")</f>
        <v/>
      </c>
      <c r="M10" s="32">
        <f>IFERROR(VLOOKUP($A10,subQ,MATCH(M$1,SUBQH,0),0),"")</f>
        <v/>
      </c>
      <c r="N10" s="32">
        <f>IFERROR(VLOOKUP($A10,subQ,MATCH(N$1,SUBQH,0),0),"")</f>
        <v/>
      </c>
      <c r="O10" s="32">
        <f>IFERROR(VLOOKUP($A10,subQ,MATCH(O$1,SUBQH,0),0),"")</f>
        <v/>
      </c>
      <c r="P10" s="32">
        <f>IFERROR(VLOOKUP($A10,subQ,MATCH(P$1,SUBQH,0),0),"")</f>
        <v/>
      </c>
      <c r="Q10" s="32">
        <f>IFERROR(VLOOKUP($A10,subQ,MATCH(Q$1,SUBQH,0),0),"")</f>
        <v/>
      </c>
      <c r="R10" s="32">
        <f>IFERROR(VLOOKUP($A10,subQ,MATCH(R$1,SUBQH,0),0),"")</f>
        <v/>
      </c>
      <c r="S10" s="32">
        <f>IFERROR(VLOOKUP($A10,subQ,MATCH(S$1,SUBQH,0),0),"")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8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  <c r="M11" s="20">
        <f>IFERROR(VLOOKUP($A11,subQ,MATCH(M$1,SUBQH,0),0),"")</f>
        <v/>
      </c>
      <c r="N11" s="20">
        <f>IFERROR(VLOOKUP($A11,subQ,MATCH(N$1,SUBQH,0),0),"")</f>
        <v/>
      </c>
      <c r="O11" s="20">
        <f>IFERROR(VLOOKUP($A11,subQ,MATCH(O$1,SUBQH,0),0),"")</f>
        <v/>
      </c>
      <c r="P11" s="20">
        <f>IFERROR(VLOOKUP($A11,subQ,MATCH(P$1,SUBQH,0),0),"")</f>
        <v/>
      </c>
      <c r="Q11" s="20">
        <f>IFERROR(VLOOKUP($A11,subQ,MATCH(Q$1,SUBQH,0),0),"")</f>
        <v/>
      </c>
      <c r="R11" s="20">
        <f>IFERROR(VLOOKUP($A11,subQ,MATCH(R$1,SUBQH,0),0),"")</f>
        <v/>
      </c>
      <c r="S11" s="20">
        <f>IFERROR(VLOOKUP($A11,subQ,MATCH(S$1,SUBQH,0),0),"")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8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  <c r="M12" s="20">
        <f>IFERROR(VLOOKUP($A12,subQ,MATCH(M$1,SUBQH,0),0),"")</f>
        <v/>
      </c>
      <c r="N12" s="20">
        <f>IFERROR(VLOOKUP($A12,subQ,MATCH(N$1,SUBQH,0),0),"")</f>
        <v/>
      </c>
      <c r="O12" s="20">
        <f>IFERROR(VLOOKUP($A12,subQ,MATCH(O$1,SUBQH,0),0),"")</f>
        <v/>
      </c>
      <c r="P12" s="20">
        <f>IFERROR(VLOOKUP($A12,subQ,MATCH(P$1,SUBQH,0),0),"")</f>
        <v/>
      </c>
      <c r="Q12" s="20">
        <f>IFERROR(VLOOKUP($A12,subQ,MATCH(Q$1,SUBQH,0),0),"")</f>
        <v/>
      </c>
      <c r="R12" s="20">
        <f>IFERROR(VLOOKUP($A12,subQ,MATCH(R$1,SUBQH,0),0),"")</f>
        <v/>
      </c>
      <c r="S12" s="20">
        <f>IFERROR(VLOOKUP($A12,subQ,MATCH(S$1,SUBQH,0),0),"")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8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  <c r="M13" s="20">
        <f>IFERROR(VLOOKUP($A13,subQ,MATCH(M$1,SUBQH,0),0),"")</f>
        <v/>
      </c>
      <c r="N13" s="20">
        <f>IFERROR(VLOOKUP($A13,subQ,MATCH(N$1,SUBQH,0),0),"")</f>
        <v/>
      </c>
      <c r="O13" s="20">
        <f>IFERROR(VLOOKUP($A13,subQ,MATCH(O$1,SUBQH,0),0),"")</f>
        <v/>
      </c>
      <c r="P13" s="20">
        <f>IFERROR(VLOOKUP($A13,subQ,MATCH(P$1,SUBQH,0),0),"")</f>
        <v/>
      </c>
      <c r="Q13" s="20">
        <f>IFERROR(VLOOKUP($A13,subQ,MATCH(Q$1,SUBQH,0),0),"")</f>
        <v/>
      </c>
      <c r="R13" s="20">
        <f>IFERROR(VLOOKUP($A13,subQ,MATCH(R$1,SUBQH,0),0),"")</f>
        <v/>
      </c>
      <c r="S13" s="20">
        <f>IFERROR(VLOOKUP($A13,subQ,MATCH(S$1,SUBQH,0),0),"")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8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  <c r="M14" s="20">
        <f>IFERROR(VLOOKUP($A14,subQ,MATCH(M$1,SUBQH,0),0),"")</f>
        <v/>
      </c>
      <c r="N14" s="20">
        <f>IFERROR(VLOOKUP($A14,subQ,MATCH(N$1,SUBQH,0),0),"")</f>
        <v/>
      </c>
      <c r="O14" s="20">
        <f>IFERROR(VLOOKUP($A14,subQ,MATCH(O$1,SUBQH,0),0),"")</f>
        <v/>
      </c>
      <c r="P14" s="20">
        <f>IFERROR(VLOOKUP($A14,subQ,MATCH(P$1,SUBQH,0),0),"")</f>
        <v/>
      </c>
      <c r="Q14" s="20">
        <f>IFERROR(VLOOKUP($A14,subQ,MATCH(Q$1,SUBQH,0),0),"")</f>
        <v/>
      </c>
      <c r="R14" s="20">
        <f>IFERROR(VLOOKUP($A14,subQ,MATCH(R$1,SUBQH,0),0),"")</f>
        <v/>
      </c>
      <c r="S14" s="20">
        <f>IFERROR(VLOOKUP($A14,subQ,MATCH(S$1,SUBQH,0),0),"")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8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  <c r="M15" s="20">
        <f>IFERROR(VLOOKUP($A15,subQ,MATCH(M$1,SUBQH,0),0),"")</f>
        <v/>
      </c>
      <c r="N15" s="20">
        <f>IFERROR(VLOOKUP($A15,subQ,MATCH(N$1,SUBQH,0),0),"")</f>
        <v/>
      </c>
      <c r="O15" s="20">
        <f>IFERROR(VLOOKUP($A15,subQ,MATCH(O$1,SUBQH,0),0),"")</f>
        <v/>
      </c>
      <c r="P15" s="20">
        <f>IFERROR(VLOOKUP($A15,subQ,MATCH(P$1,SUBQH,0),0),"")</f>
        <v/>
      </c>
      <c r="Q15" s="20">
        <f>IFERROR(VLOOKUP($A15,subQ,MATCH(Q$1,SUBQH,0),0),"")</f>
        <v/>
      </c>
      <c r="R15" s="20">
        <f>IFERROR(VLOOKUP($A15,subQ,MATCH(R$1,SUBQH,0),0),"")</f>
        <v/>
      </c>
      <c r="S15" s="20">
        <f>IFERROR(VLOOKUP($A15,subQ,MATCH(S$1,SUBQH,0),0),"")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8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  <c r="M16" s="20">
        <f>IFERROR(VLOOKUP($A16,subQ,MATCH(M$1,SUBQH,0),0),"")</f>
        <v/>
      </c>
      <c r="N16" s="20">
        <f>IFERROR(VLOOKUP($A16,subQ,MATCH(N$1,SUBQH,0),0),"")</f>
        <v/>
      </c>
      <c r="O16" s="20">
        <f>IFERROR(VLOOKUP($A16,subQ,MATCH(O$1,SUBQH,0),0),"")</f>
        <v/>
      </c>
      <c r="P16" s="20">
        <f>IFERROR(VLOOKUP($A16,subQ,MATCH(P$1,SUBQH,0),0),"")</f>
        <v/>
      </c>
      <c r="Q16" s="20">
        <f>IFERROR(VLOOKUP($A16,subQ,MATCH(Q$1,SUBQH,0),0),"")</f>
        <v/>
      </c>
      <c r="R16" s="20">
        <f>IFERROR(VLOOKUP($A16,subQ,MATCH(R$1,SUBQH,0),0),"")</f>
        <v/>
      </c>
      <c r="S16" s="20">
        <f>IFERROR(VLOOKUP($A16,subQ,MATCH(S$1,SUBQH,0),0),"")</f>
        <v/>
      </c>
    </row>
    <row r="17">
      <c r="A17" s="12" t="inlineStr">
        <is>
          <t>환관련손익</t>
        </is>
      </c>
      <c r="D17" t="inlineStr">
        <is>
          <t>환관련손익(모델 추정분)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8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  <c r="M17" s="20">
        <f>IFERROR(VLOOKUP($A17,subQ,MATCH(M$1,SUBQH,0),0),"")</f>
        <v/>
      </c>
      <c r="N17" s="20">
        <f>IFERROR(VLOOKUP($A17,subQ,MATCH(N$1,SUBQH,0),0),"")</f>
        <v/>
      </c>
      <c r="O17" s="20">
        <f>IFERROR(VLOOKUP($A17,subQ,MATCH(O$1,SUBQH,0),0),"")</f>
        <v/>
      </c>
      <c r="P17" s="20">
        <f>IFERROR(VLOOKUP($A17,subQ,MATCH(P$1,SUBQH,0),0),"")</f>
        <v/>
      </c>
      <c r="Q17" s="20">
        <f>IFERROR(VLOOKUP($A17,subQ,MATCH(Q$1,SUBQH,0),0),"")</f>
        <v/>
      </c>
      <c r="R17" s="20">
        <f>IFERROR(VLOOKUP($A17,subQ,MATCH(R$1,SUBQH,0),0),"")</f>
        <v/>
      </c>
      <c r="S17" s="20">
        <f>IFERROR(VLOOKUP($A17,subQ,MATCH(S$1,SUBQH,0),0),"")</f>
        <v/>
      </c>
    </row>
    <row r="18">
      <c r="A18" s="12" t="inlineStr">
        <is>
          <t>세전이익</t>
        </is>
      </c>
      <c r="D18" t="inlineStr">
        <is>
          <t>법인세비용차감전이익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8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  <c r="M18" s="20">
        <f>IFERROR(VLOOKUP($A18,subQ,MATCH(M$1,SUBQH,0),0),"")</f>
        <v/>
      </c>
      <c r="N18" s="20">
        <f>IFERROR(VLOOKUP($A18,subQ,MATCH(N$1,SUBQH,0),0),"")</f>
        <v/>
      </c>
      <c r="O18" s="20">
        <f>IFERROR(VLOOKUP($A18,subQ,MATCH(O$1,SUBQH,0),0),"")</f>
        <v/>
      </c>
      <c r="P18" s="20">
        <f>IFERROR(VLOOKUP($A18,subQ,MATCH(P$1,SUBQH,0),0),"")</f>
        <v/>
      </c>
      <c r="Q18" s="20">
        <f>IFERROR(VLOOKUP($A18,subQ,MATCH(Q$1,SUBQH,0),0),"")</f>
        <v/>
      </c>
      <c r="R18" s="20">
        <f>IFERROR(VLOOKUP($A18,subQ,MATCH(R$1,SUBQH,0),0),"")</f>
        <v/>
      </c>
      <c r="S18" s="20">
        <f>IFERROR(VLOOKUP($A18,subQ,MATCH(S$1,SUBQH,0),0),"")</f>
        <v/>
      </c>
    </row>
    <row r="19">
      <c r="A19" s="12" t="inlineStr">
        <is>
          <t>법인세비용</t>
        </is>
      </c>
      <c r="D19" t="inlineStr">
        <is>
          <t>법인세비용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8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  <c r="M19" s="20">
        <f>IFERROR(VLOOKUP($A19,subQ,MATCH(M$1,SUBQH,0),0),"")</f>
        <v/>
      </c>
      <c r="N19" s="20">
        <f>IFERROR(VLOOKUP($A19,subQ,MATCH(N$1,SUBQH,0),0),"")</f>
        <v/>
      </c>
      <c r="O19" s="20">
        <f>IFERROR(VLOOKUP($A19,subQ,MATCH(O$1,SUBQH,0),0),"")</f>
        <v/>
      </c>
      <c r="P19" s="20">
        <f>IFERROR(VLOOKUP($A19,subQ,MATCH(P$1,SUBQH,0),0),"")</f>
        <v/>
      </c>
      <c r="Q19" s="20">
        <f>IFERROR(VLOOKUP($A19,subQ,MATCH(Q$1,SUBQH,0),0),"")</f>
        <v/>
      </c>
      <c r="R19" s="20">
        <f>IFERROR(VLOOKUP($A19,subQ,MATCH(R$1,SUBQH,0),0),"")</f>
        <v/>
      </c>
      <c r="S19" s="20">
        <f>IFERROR(VLOOKUP($A19,subQ,MATCH(S$1,SUBQH,0),0),"")</f>
        <v/>
      </c>
    </row>
    <row r="20">
      <c r="A20" s="12" t="inlineStr">
        <is>
          <t>당기순이익</t>
        </is>
      </c>
      <c r="D20" t="inlineStr">
        <is>
          <t>당기순이익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8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  <c r="M20" s="20">
        <f>IFERROR(VLOOKUP($A20,subQ,MATCH(M$1,SUBQH,0),0),"")</f>
        <v/>
      </c>
      <c r="N20" s="20">
        <f>IFERROR(VLOOKUP($A20,subQ,MATCH(N$1,SUBQH,0),0),"")</f>
        <v/>
      </c>
      <c r="O20" s="20">
        <f>IFERROR(VLOOKUP($A20,subQ,MATCH(O$1,SUBQH,0),0),"")</f>
        <v/>
      </c>
      <c r="P20" s="20">
        <f>IFERROR(VLOOKUP($A20,subQ,MATCH(P$1,SUBQH,0),0),"")</f>
        <v/>
      </c>
      <c r="Q20" s="20">
        <f>IFERROR(VLOOKUP($A20,subQ,MATCH(Q$1,SUBQH,0),0),"")</f>
        <v/>
      </c>
      <c r="R20" s="20">
        <f>IFERROR(VLOOKUP($A20,subQ,MATCH(R$1,SUBQH,0),0),"")</f>
        <v/>
      </c>
      <c r="S20" s="20">
        <f>IFERROR(VLOOKUP($A20,subQ,MATCH(S$1,SUBQH,0),0),"")</f>
        <v/>
      </c>
    </row>
    <row r="21">
      <c r="A21" s="12" t="inlineStr">
        <is>
          <t>지배주주순이익</t>
        </is>
      </c>
      <c r="D21" t="inlineStr">
        <is>
          <t>지배주주순이익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8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  <c r="M21" s="20">
        <f>IFERROR(VLOOKUP($A21,subQ,MATCH(M$1,SUBQH,0),0),"")</f>
        <v/>
      </c>
      <c r="N21" s="20">
        <f>IFERROR(VLOOKUP($A21,subQ,MATCH(N$1,SUBQH,0),0),"")</f>
        <v/>
      </c>
      <c r="O21" s="20">
        <f>IFERROR(VLOOKUP($A21,subQ,MATCH(O$1,SUBQH,0),0),"")</f>
        <v/>
      </c>
      <c r="P21" s="20">
        <f>IFERROR(VLOOKUP($A21,subQ,MATCH(P$1,SUBQH,0),0),"")</f>
        <v/>
      </c>
      <c r="Q21" s="20">
        <f>IFERROR(VLOOKUP($A21,subQ,MATCH(Q$1,SUBQH,0),0),"")</f>
        <v/>
      </c>
      <c r="R21" s="20">
        <f>IFERROR(VLOOKUP($A21,subQ,MATCH(R$1,SUBQH,0),0),"")</f>
        <v/>
      </c>
      <c r="S21" s="20">
        <f>IFERROR(VLOOKUP($A21,subQ,MATCH(S$1,SUBQH,0),0),"")</f>
        <v/>
      </c>
    </row>
    <row r="22">
      <c r="A22" s="12" t="inlineStr">
        <is>
          <t>자산총계</t>
        </is>
      </c>
      <c r="D22" t="inlineStr">
        <is>
          <t>자산총계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8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  <c r="M22" s="20">
        <f>IFERROR(VLOOKUP($A22,subQ,MATCH(M$1,SUBQH,0),0),"")</f>
        <v/>
      </c>
      <c r="N22" s="20">
        <f>IFERROR(VLOOKUP($A22,subQ,MATCH(N$1,SUBQH,0),0),"")</f>
        <v/>
      </c>
      <c r="O22" s="20">
        <f>IFERROR(VLOOKUP($A22,subQ,MATCH(O$1,SUBQH,0),0),"")</f>
        <v/>
      </c>
      <c r="P22" s="20">
        <f>IFERROR(VLOOKUP($A22,subQ,MATCH(P$1,SUBQH,0),0),"")</f>
        <v/>
      </c>
      <c r="Q22" s="20">
        <f>IFERROR(VLOOKUP($A22,subQ,MATCH(Q$1,SUBQH,0),0),"")</f>
        <v/>
      </c>
      <c r="R22" s="20">
        <f>IFERROR(VLOOKUP($A22,subQ,MATCH(R$1,SUBQH,0),0),"")</f>
        <v/>
      </c>
      <c r="S22" s="20">
        <f>IFERROR(VLOOKUP($A22,subQ,MATCH(S$1,SUBQH,0),0),"")</f>
        <v/>
      </c>
    </row>
    <row r="23">
      <c r="A23" s="12" t="inlineStr">
        <is>
          <t>부채총계</t>
        </is>
      </c>
      <c r="D23" t="inlineStr">
        <is>
          <t>부채총계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8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  <c r="M23" s="20">
        <f>IFERROR(VLOOKUP($A23,subQ,MATCH(M$1,SUBQH,0),0),"")</f>
        <v/>
      </c>
      <c r="N23" s="20">
        <f>IFERROR(VLOOKUP($A23,subQ,MATCH(N$1,SUBQH,0),0),"")</f>
        <v/>
      </c>
      <c r="O23" s="20">
        <f>IFERROR(VLOOKUP($A23,subQ,MATCH(O$1,SUBQH,0),0),"")</f>
        <v/>
      </c>
      <c r="P23" s="20">
        <f>IFERROR(VLOOKUP($A23,subQ,MATCH(P$1,SUBQH,0),0),"")</f>
        <v/>
      </c>
      <c r="Q23" s="20">
        <f>IFERROR(VLOOKUP($A23,subQ,MATCH(Q$1,SUBQH,0),0),"")</f>
        <v/>
      </c>
      <c r="R23" s="20">
        <f>IFERROR(VLOOKUP($A23,subQ,MATCH(R$1,SUBQH,0),0),"")</f>
        <v/>
      </c>
      <c r="S23" s="20">
        <f>IFERROR(VLOOKUP($A23,subQ,MATCH(S$1,SUBQH,0),0),"")</f>
        <v/>
      </c>
    </row>
    <row r="24">
      <c r="A24" s="12" t="inlineStr">
        <is>
          <t>자본총계</t>
        </is>
      </c>
      <c r="D24" t="inlineStr">
        <is>
          <t>자본총계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8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  <c r="M24" s="20">
        <f>IFERROR(VLOOKUP($A24,subQ,MATCH(M$1,SUBQH,0),0),"")</f>
        <v/>
      </c>
      <c r="N24" s="20">
        <f>IFERROR(VLOOKUP($A24,subQ,MATCH(N$1,SUBQH,0),0),"")</f>
        <v/>
      </c>
      <c r="O24" s="20">
        <f>IFERROR(VLOOKUP($A24,subQ,MATCH(O$1,SUBQH,0),0),"")</f>
        <v/>
      </c>
      <c r="P24" s="20">
        <f>IFERROR(VLOOKUP($A24,subQ,MATCH(P$1,SUBQH,0),0),"")</f>
        <v/>
      </c>
      <c r="Q24" s="20">
        <f>IFERROR(VLOOKUP($A24,subQ,MATCH(Q$1,SUBQH,0),0),"")</f>
        <v/>
      </c>
      <c r="R24" s="20">
        <f>IFERROR(VLOOKUP($A24,subQ,MATCH(R$1,SUBQH,0),0),"")</f>
        <v/>
      </c>
      <c r="S24" s="20">
        <f>IFERROR(VLOOKUP($A24,subQ,MATCH(S$1,SUBQH,0),0),"")</f>
        <v/>
      </c>
    </row>
    <row r="25">
      <c r="A25" s="12" t="inlineStr">
        <is>
          <t>지배주주지분</t>
        </is>
      </c>
      <c r="D25" t="inlineStr">
        <is>
          <t>지배주주지분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8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  <c r="M25" s="20">
        <f>IFERROR(VLOOKUP($A25,subQ,MATCH(M$1,SUBQH,0),0),"")</f>
        <v/>
      </c>
      <c r="N25" s="20">
        <f>IFERROR(VLOOKUP($A25,subQ,MATCH(N$1,SUBQH,0),0),"")</f>
        <v/>
      </c>
      <c r="O25" s="20">
        <f>IFERROR(VLOOKUP($A25,subQ,MATCH(O$1,SUBQH,0),0),"")</f>
        <v/>
      </c>
      <c r="P25" s="20">
        <f>IFERROR(VLOOKUP($A25,subQ,MATCH(P$1,SUBQH,0),0),"")</f>
        <v/>
      </c>
      <c r="Q25" s="20">
        <f>IFERROR(VLOOKUP($A25,subQ,MATCH(Q$1,SUBQH,0),0),"")</f>
        <v/>
      </c>
      <c r="R25" s="20">
        <f>IFERROR(VLOOKUP($A25,subQ,MATCH(R$1,SUBQH,0),0),"")</f>
        <v/>
      </c>
      <c r="S25" s="20">
        <f>IFERROR(VLOOKUP($A25,subQ,MATCH(S$1,SUBQH,0),0),"")</f>
        <v/>
      </c>
    </row>
    <row r="26">
      <c r="A26" s="12" t="inlineStr">
        <is>
          <t>총차입금</t>
        </is>
      </c>
      <c r="D26" t="inlineStr">
        <is>
          <t>총차입금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8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  <c r="M26" s="20">
        <f>IFERROR(VLOOKUP($A26,subQ,MATCH(M$1,SUBQH,0),0),"")</f>
        <v/>
      </c>
      <c r="N26" s="20">
        <f>IFERROR(VLOOKUP($A26,subQ,MATCH(N$1,SUBQH,0),0),"")</f>
        <v/>
      </c>
      <c r="O26" s="20">
        <f>IFERROR(VLOOKUP($A26,subQ,MATCH(O$1,SUBQH,0),0),"")</f>
        <v/>
      </c>
      <c r="P26" s="20">
        <f>IFERROR(VLOOKUP($A26,subQ,MATCH(P$1,SUBQH,0),0),"")</f>
        <v/>
      </c>
      <c r="Q26" s="20">
        <f>IFERROR(VLOOKUP($A26,subQ,MATCH(Q$1,SUBQH,0),0),"")</f>
        <v/>
      </c>
      <c r="R26" s="20">
        <f>IFERROR(VLOOKUP($A26,subQ,MATCH(R$1,SUBQH,0),0),"")</f>
        <v/>
      </c>
      <c r="S26" s="20">
        <f>IFERROR(VLOOKUP($A26,subQ,MATCH(S$1,SUBQH,0),0),"")</f>
        <v/>
      </c>
    </row>
    <row r="27">
      <c r="A27" s="12" t="inlineStr">
        <is>
          <t>순차입금</t>
        </is>
      </c>
      <c r="D27" t="inlineStr">
        <is>
          <t>순차입금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8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  <c r="M27" s="20">
        <f>IFERROR(VLOOKUP($A27,subQ,MATCH(M$1,SUBQH,0),0),"")</f>
        <v/>
      </c>
      <c r="N27" s="20">
        <f>IFERROR(VLOOKUP($A27,subQ,MATCH(N$1,SUBQH,0),0),"")</f>
        <v/>
      </c>
      <c r="O27" s="20">
        <f>IFERROR(VLOOKUP($A27,subQ,MATCH(O$1,SUBQH,0),0),"")</f>
        <v/>
      </c>
      <c r="P27" s="20">
        <f>IFERROR(VLOOKUP($A27,subQ,MATCH(P$1,SUBQH,0),0),"")</f>
        <v/>
      </c>
      <c r="Q27" s="20">
        <f>IFERROR(VLOOKUP($A27,subQ,MATCH(Q$1,SUBQH,0),0),"")</f>
        <v/>
      </c>
      <c r="R27" s="20">
        <f>IFERROR(VLOOKUP($A27,subQ,MATCH(R$1,SUBQH,0),0),"")</f>
        <v/>
      </c>
      <c r="S27" s="20">
        <f>IFERROR(VLOOKUP($A27,subQ,MATCH(S$1,SUBQH,0),0),"")</f>
        <v/>
      </c>
    </row>
    <row r="28">
      <c r="A28" s="12" t="inlineStr">
        <is>
          <t>이자발생자산</t>
        </is>
      </c>
      <c r="D28" t="inlineStr">
        <is>
          <t>이자발생자산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48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  <c r="L28" s="20">
        <f>IFERROR(VLOOKUP($A28,subQ,MATCH(L$1,SUBQH,0),0),"")</f>
        <v/>
      </c>
      <c r="M28" s="20">
        <f>IFERROR(VLOOKUP($A28,subQ,MATCH(M$1,SUBQH,0),0),"")</f>
        <v/>
      </c>
      <c r="N28" s="20">
        <f>IFERROR(VLOOKUP($A28,subQ,MATCH(N$1,SUBQH,0),0),"")</f>
        <v/>
      </c>
      <c r="O28" s="20">
        <f>IFERROR(VLOOKUP($A28,subQ,MATCH(O$1,SUBQH,0),0),"")</f>
        <v/>
      </c>
      <c r="P28" s="20">
        <f>IFERROR(VLOOKUP($A28,subQ,MATCH(P$1,SUBQH,0),0),"")</f>
        <v/>
      </c>
      <c r="Q28" s="20">
        <f>IFERROR(VLOOKUP($A28,subQ,MATCH(Q$1,SUBQH,0),0),"")</f>
        <v/>
      </c>
      <c r="R28" s="20">
        <f>IFERROR(VLOOKUP($A28,subQ,MATCH(R$1,SUBQH,0),0),"")</f>
        <v/>
      </c>
      <c r="S28" s="20">
        <f>IFERROR(VLOOKUP($A28,subQ,MATCH(S$1,SUBQH,0),0),"")</f>
        <v/>
      </c>
    </row>
    <row r="29">
      <c r="A29" s="12" t="inlineStr">
        <is>
          <t>현금및현금성자산</t>
        </is>
      </c>
      <c r="D29" t="inlineStr">
        <is>
          <t>현금및현금성자산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8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  <c r="M29" s="20">
        <f>IFERROR(VLOOKUP($A29,subQ,MATCH(M$1,SUBQH,0),0),"")</f>
        <v/>
      </c>
      <c r="N29" s="20">
        <f>IFERROR(VLOOKUP($A29,subQ,MATCH(N$1,SUBQH,0),0),"")</f>
        <v/>
      </c>
      <c r="O29" s="20">
        <f>IFERROR(VLOOKUP($A29,subQ,MATCH(O$1,SUBQH,0),0),"")</f>
        <v/>
      </c>
      <c r="P29" s="20">
        <f>IFERROR(VLOOKUP($A29,subQ,MATCH(P$1,SUBQH,0),0),"")</f>
        <v/>
      </c>
      <c r="Q29" s="20">
        <f>IFERROR(VLOOKUP($A29,subQ,MATCH(Q$1,SUBQH,0),0),"")</f>
        <v/>
      </c>
      <c r="R29" s="20">
        <f>IFERROR(VLOOKUP($A29,subQ,MATCH(R$1,SUBQH,0),0),"")</f>
        <v/>
      </c>
      <c r="S29" s="20">
        <f>IFERROR(VLOOKUP($A29,subQ,MATCH(S$1,SUBQH,0),0),"")</f>
        <v/>
      </c>
    </row>
    <row r="30">
      <c r="A30" s="12" t="inlineStr">
        <is>
          <t>CAPEX</t>
        </is>
      </c>
      <c r="D30" t="inlineStr">
        <is>
          <t>CAPEX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8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  <c r="L30" s="20">
        <f>IFERROR(VLOOKUP($A30,subQ,MATCH(L$1,SUBQH,0),0),"")</f>
        <v/>
      </c>
      <c r="M30" s="20">
        <f>IFERROR(VLOOKUP($A30,subQ,MATCH(M$1,SUBQH,0),0),"")</f>
        <v/>
      </c>
      <c r="N30" s="20">
        <f>IFERROR(VLOOKUP($A30,subQ,MATCH(N$1,SUBQH,0),0),"")</f>
        <v/>
      </c>
      <c r="O30" s="20">
        <f>IFERROR(VLOOKUP($A30,subQ,MATCH(O$1,SUBQH,0),0),"")</f>
        <v/>
      </c>
      <c r="P30" s="20">
        <f>IFERROR(VLOOKUP($A30,subQ,MATCH(P$1,SUBQH,0),0),"")</f>
        <v/>
      </c>
      <c r="Q30" s="20">
        <f>IFERROR(VLOOKUP($A30,subQ,MATCH(Q$1,SUBQH,0),0),"")</f>
        <v/>
      </c>
      <c r="R30" s="20">
        <f>IFERROR(VLOOKUP($A30,subQ,MATCH(R$1,SUBQH,0),0),"")</f>
        <v/>
      </c>
      <c r="S30" s="20">
        <f>IFERROR(VLOOKUP($A30,subQ,MATCH(S$1,SUBQH,0),0),"")</f>
        <v/>
      </c>
    </row>
    <row r="31">
      <c r="A31" s="12" t="inlineStr">
        <is>
          <t>영업활동현금흐름</t>
        </is>
      </c>
      <c r="D31" t="inlineStr">
        <is>
          <t>영업활동현금흐름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48">
        <f>IFERROR(VLOOKUP($A31,subQ,MATCH(I$1,SUBQH,0),0),"")</f>
        <v/>
      </c>
      <c r="J31" s="20">
        <f>IFERROR(VLOOKUP($A31,subQ,MATCH(J$1,SUBQH,0),0),"")</f>
        <v/>
      </c>
      <c r="K31" s="20">
        <f>IFERROR(VLOOKUP($A31,subQ,MATCH(K$1,SUBQH,0),0),"")</f>
        <v/>
      </c>
      <c r="L31" s="20">
        <f>IFERROR(VLOOKUP($A31,subQ,MATCH(L$1,SUBQH,0),0),"")</f>
        <v/>
      </c>
      <c r="M31" s="20">
        <f>IFERROR(VLOOKUP($A31,subQ,MATCH(M$1,SUBQH,0),0),"")</f>
        <v/>
      </c>
      <c r="N31" s="20">
        <f>IFERROR(VLOOKUP($A31,subQ,MATCH(N$1,SUBQH,0),0),"")</f>
        <v/>
      </c>
      <c r="O31" s="20">
        <f>IFERROR(VLOOKUP($A31,subQ,MATCH(O$1,SUBQH,0),0),"")</f>
        <v/>
      </c>
      <c r="P31" s="20">
        <f>IFERROR(VLOOKUP($A31,subQ,MATCH(P$1,SUBQH,0),0),"")</f>
        <v/>
      </c>
      <c r="Q31" s="20">
        <f>IFERROR(VLOOKUP($A31,subQ,MATCH(Q$1,SUBQH,0),0),"")</f>
        <v/>
      </c>
      <c r="R31" s="20">
        <f>IFERROR(VLOOKUP($A31,subQ,MATCH(R$1,SUBQH,0),0),"")</f>
        <v/>
      </c>
      <c r="S31" s="20">
        <f>IFERROR(VLOOKUP($A31,subQ,MATCH(S$1,SUBQH,0),0),"")</f>
        <v/>
      </c>
    </row>
    <row r="32">
      <c r="A32" s="12" t="inlineStr">
        <is>
          <t>주식수</t>
        </is>
      </c>
      <c r="D32" t="inlineStr">
        <is>
          <t>유통주식수</t>
        </is>
      </c>
      <c r="E32" s="26">
        <f>IFERROR(VLOOKUP($A32,subQ,MATCH(E$1,SUBQH,0),0),"")</f>
        <v/>
      </c>
      <c r="F32" s="26">
        <f>IFERROR(VLOOKUP($A32,subQ,MATCH(F$1,SUBQH,0),0),"")</f>
        <v/>
      </c>
      <c r="G32" s="26">
        <f>IFERROR(VLOOKUP($A32,subQ,MATCH(G$1,SUBQH,0),0),"")</f>
        <v/>
      </c>
      <c r="H32" s="26">
        <f>IFERROR(VLOOKUP($A32,subQ,MATCH(H$1,SUBQH,0),0),"")</f>
        <v/>
      </c>
      <c r="I32" s="50">
        <f>IFERROR(VLOOKUP($A32,subQ,MATCH(I$1,SUBQH,0),0),"")</f>
        <v/>
      </c>
      <c r="J32" s="33">
        <f>IFERROR(VLOOKUP($A32,subQ,MATCH(J$1,SUBQH,0),0),"")</f>
        <v/>
      </c>
      <c r="K32" s="33">
        <f>IFERROR(VLOOKUP($A32,subQ,MATCH(K$1,SUBQH,0),0),"")</f>
        <v/>
      </c>
      <c r="L32" s="33">
        <f>IFERROR(VLOOKUP($A32,subQ,MATCH(L$1,SUBQH,0),0),"")</f>
        <v/>
      </c>
      <c r="M32" s="33">
        <f>IFERROR(VLOOKUP($A32,subQ,MATCH(M$1,SUBQH,0),0),"")</f>
        <v/>
      </c>
      <c r="N32" s="33">
        <f>IFERROR(VLOOKUP($A32,subQ,MATCH(N$1,SUBQH,0),0),"")</f>
        <v/>
      </c>
      <c r="O32" s="33">
        <f>IFERROR(VLOOKUP($A32,subQ,MATCH(O$1,SUBQH,0),0),"")</f>
        <v/>
      </c>
      <c r="P32" s="33">
        <f>IFERROR(VLOOKUP($A32,subQ,MATCH(P$1,SUBQH,0),0),"")</f>
        <v/>
      </c>
      <c r="Q32" s="33">
        <f>IFERROR(VLOOKUP($A32,subQ,MATCH(Q$1,SUBQH,0),0),"")</f>
        <v/>
      </c>
      <c r="R32" s="33">
        <f>IFERROR(VLOOKUP($A32,subQ,MATCH(R$1,SUBQH,0),0),"")</f>
        <v/>
      </c>
      <c r="S32" s="33">
        <f>IFERROR(VLOOKUP($A32,subQ,MATCH(S$1,SUBQH,0),0),"")</f>
        <v/>
      </c>
    </row>
    <row r="33">
      <c r="A33" s="12" t="inlineStr">
        <is>
          <t>EPS</t>
        </is>
      </c>
      <c r="D33" t="inlineStr">
        <is>
          <t>EPS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48">
        <f>IFERROR(VLOOKUP($A33,subQ,MATCH(I$1,SUBQH,0),0),"")</f>
        <v/>
      </c>
      <c r="J33" s="20">
        <f>IFERROR(VLOOKUP($A33,subQ,MATCH(J$1,SUBQH,0),0),"")</f>
        <v/>
      </c>
      <c r="K33" s="20">
        <f>IFERROR(VLOOKUP($A33,subQ,MATCH(K$1,SUBQH,0),0),"")</f>
        <v/>
      </c>
      <c r="L33" s="20">
        <f>IFERROR(VLOOKUP($A33,subQ,MATCH(L$1,SUBQH,0),0),"")</f>
        <v/>
      </c>
      <c r="M33" s="20">
        <f>IFERROR(VLOOKUP($A33,subQ,MATCH(M$1,SUBQH,0),0),"")</f>
        <v/>
      </c>
      <c r="N33" s="20">
        <f>IFERROR(VLOOKUP($A33,subQ,MATCH(N$1,SUBQH,0),0),"")</f>
        <v/>
      </c>
      <c r="O33" s="20">
        <f>IFERROR(VLOOKUP($A33,subQ,MATCH(O$1,SUBQH,0),0),"")</f>
        <v/>
      </c>
      <c r="P33" s="20">
        <f>IFERROR(VLOOKUP($A33,subQ,MATCH(P$1,SUBQH,0),0),"")</f>
        <v/>
      </c>
      <c r="Q33" s="20">
        <f>IFERROR(VLOOKUP($A33,subQ,MATCH(Q$1,SUBQH,0),0),"")</f>
        <v/>
      </c>
      <c r="R33" s="20">
        <f>IFERROR(VLOOKUP($A33,subQ,MATCH(R$1,SUBQH,0),0),"")</f>
        <v/>
      </c>
      <c r="S33" s="20">
        <f>IFERROR(VLOOKUP($A33,subQ,MATCH(S$1,SUBQH,0),0),"")</f>
        <v/>
      </c>
    </row>
    <row r="34">
      <c r="A34" s="12" t="inlineStr">
        <is>
          <t>BPS</t>
        </is>
      </c>
      <c r="D34" t="inlineStr">
        <is>
          <t>BPS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48">
        <f>IFERROR(VLOOKUP($A34,subQ,MATCH(I$1,SUBQH,0),0),"")</f>
        <v/>
      </c>
      <c r="J34" s="20">
        <f>IFERROR(VLOOKUP($A34,subQ,MATCH(J$1,SUBQH,0),0),"")</f>
        <v/>
      </c>
      <c r="K34" s="20">
        <f>IFERROR(VLOOKUP($A34,subQ,MATCH(K$1,SUBQH,0),0),"")</f>
        <v/>
      </c>
      <c r="L34" s="20">
        <f>IFERROR(VLOOKUP($A34,subQ,MATCH(L$1,SUBQH,0),0),"")</f>
        <v/>
      </c>
      <c r="M34" s="20">
        <f>IFERROR(VLOOKUP($A34,subQ,MATCH(M$1,SUBQH,0),0),"")</f>
        <v/>
      </c>
      <c r="N34" s="20">
        <f>IFERROR(VLOOKUP($A34,subQ,MATCH(N$1,SUBQH,0),0),"")</f>
        <v/>
      </c>
      <c r="O34" s="20">
        <f>IFERROR(VLOOKUP($A34,subQ,MATCH(O$1,SUBQH,0),0),"")</f>
        <v/>
      </c>
      <c r="P34" s="20">
        <f>IFERROR(VLOOKUP($A34,subQ,MATCH(P$1,SUBQH,0),0),"")</f>
        <v/>
      </c>
      <c r="Q34" s="20">
        <f>IFERROR(VLOOKUP($A34,subQ,MATCH(Q$1,SUBQH,0),0),"")</f>
        <v/>
      </c>
      <c r="R34" s="20">
        <f>IFERROR(VLOOKUP($A34,subQ,MATCH(R$1,SUBQH,0),0),"")</f>
        <v/>
      </c>
      <c r="S34" s="20">
        <f>IFERROR(VLOOKUP($A34,subQ,MATCH(S$1,SUBQH,0),0),"")</f>
        <v/>
      </c>
    </row>
    <row r="35">
      <c r="A35" s="12" t="inlineStr">
        <is>
          <t>DPS</t>
        </is>
      </c>
      <c r="D35" t="inlineStr">
        <is>
          <t>DPS(보통주)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48">
        <f>IFERROR(VLOOKUP($A35,subQ,MATCH(I$1,SUBQH,0),0),"")</f>
        <v/>
      </c>
      <c r="J35" s="20">
        <f>IFERROR(VLOOKUP($A35,subQ,MATCH(J$1,SUBQH,0),0),"")</f>
        <v/>
      </c>
      <c r="K35" s="20">
        <f>IFERROR(VLOOKUP($A35,subQ,MATCH(K$1,SUBQH,0),0),"")</f>
        <v/>
      </c>
      <c r="L35" s="20">
        <f>IFERROR(VLOOKUP($A35,subQ,MATCH(L$1,SUBQH,0),0),"")</f>
        <v/>
      </c>
      <c r="M35" s="20">
        <f>IFERROR(VLOOKUP($A35,subQ,MATCH(M$1,SUBQH,0),0),"")</f>
        <v/>
      </c>
      <c r="N35" s="20">
        <f>IFERROR(VLOOKUP($A35,subQ,MATCH(N$1,SUBQH,0),0),"")</f>
        <v/>
      </c>
      <c r="O35" s="20">
        <f>IFERROR(VLOOKUP($A35,subQ,MATCH(O$1,SUBQH,0),0),"")</f>
        <v/>
      </c>
      <c r="P35" s="20">
        <f>IFERROR(VLOOKUP($A35,subQ,MATCH(P$1,SUBQH,0),0),"")</f>
        <v/>
      </c>
      <c r="Q35" s="20">
        <f>IFERROR(VLOOKUP($A35,subQ,MATCH(Q$1,SUBQH,0),0),"")</f>
        <v/>
      </c>
      <c r="R35" s="20">
        <f>IFERROR(VLOOKUP($A35,subQ,MATCH(R$1,SUBQH,0),0),"")</f>
        <v/>
      </c>
      <c r="S35" s="20">
        <f>IFERROR(VLOOKUP($A35,subQ,MATCH(S$1,SUBQH,0),0),"")</f>
        <v/>
      </c>
    </row>
    <row r="36">
      <c r="A36" s="12" t="inlineStr">
        <is>
          <t>PER</t>
        </is>
      </c>
      <c r="D36" t="inlineStr">
        <is>
          <t>PER</t>
        </is>
      </c>
      <c r="E36" s="13">
        <f>IFERROR(VLOOKUP($A36,subQ,MATCH(E$1,SUBQH,0),0),"")</f>
        <v/>
      </c>
      <c r="F36" s="13">
        <f>IFERROR(VLOOKUP($A36,subQ,MATCH(F$1,SUBQH,0),0),"")</f>
        <v/>
      </c>
      <c r="G36" s="13">
        <f>IFERROR(VLOOKUP($A36,subQ,MATCH(G$1,SUBQH,0),0),"")</f>
        <v/>
      </c>
      <c r="H36" s="13">
        <f>IFERROR(VLOOKUP($A36,subQ,MATCH(H$1,SUBQH,0),0),"")</f>
        <v/>
      </c>
      <c r="I36" s="51">
        <f>IFERROR(VLOOKUP($A36,subQ,MATCH(I$1,SUBQH,0),0),"")</f>
        <v/>
      </c>
      <c r="J36" s="39">
        <f>IFERROR(VLOOKUP($A36,subQ,MATCH(J$1,SUBQH,0),0),"")</f>
        <v/>
      </c>
      <c r="K36" s="39">
        <f>IFERROR(VLOOKUP($A36,subQ,MATCH(K$1,SUBQH,0),0),"")</f>
        <v/>
      </c>
      <c r="L36" s="39">
        <f>IFERROR(VLOOKUP($A36,subQ,MATCH(L$1,SUBQH,0),0),"")</f>
        <v/>
      </c>
      <c r="M36" s="39">
        <f>IFERROR(VLOOKUP($A36,subQ,MATCH(M$1,SUBQH,0),0),"")</f>
        <v/>
      </c>
      <c r="N36" s="39">
        <f>IFERROR(VLOOKUP($A36,subQ,MATCH(N$1,SUBQH,0),0),"")</f>
        <v/>
      </c>
      <c r="O36" s="39">
        <f>IFERROR(VLOOKUP($A36,subQ,MATCH(O$1,SUBQH,0),0),"")</f>
        <v/>
      </c>
      <c r="P36" s="39">
        <f>IFERROR(VLOOKUP($A36,subQ,MATCH(P$1,SUBQH,0),0),"")</f>
        <v/>
      </c>
      <c r="Q36" s="39">
        <f>IFERROR(VLOOKUP($A36,subQ,MATCH(Q$1,SUBQH,0),0),"")</f>
        <v/>
      </c>
      <c r="R36" s="39">
        <f>IFERROR(VLOOKUP($A36,subQ,MATCH(R$1,SUBQH,0),0),"")</f>
        <v/>
      </c>
      <c r="S36" s="39">
        <f>IFERROR(VLOOKUP($A36,subQ,MATCH(S$1,SUBQH,0),0),"")</f>
        <v/>
      </c>
    </row>
    <row r="37">
      <c r="A37" s="12" t="inlineStr">
        <is>
          <t>PBR</t>
        </is>
      </c>
      <c r="D37" t="inlineStr">
        <is>
          <t>PBR</t>
        </is>
      </c>
      <c r="E37" s="13">
        <f>IFERROR(VLOOKUP($A37,subQ,MATCH(E$1,SUBQH,0),0),"")</f>
        <v/>
      </c>
      <c r="F37" s="13">
        <f>IFERROR(VLOOKUP($A37,subQ,MATCH(F$1,SUBQH,0),0),"")</f>
        <v/>
      </c>
      <c r="G37" s="13">
        <f>IFERROR(VLOOKUP($A37,subQ,MATCH(G$1,SUBQH,0),0),"")</f>
        <v/>
      </c>
      <c r="H37" s="13">
        <f>IFERROR(VLOOKUP($A37,subQ,MATCH(H$1,SUBQH,0),0),"")</f>
        <v/>
      </c>
      <c r="I37" s="51">
        <f>IFERROR(VLOOKUP($A37,subQ,MATCH(I$1,SUBQH,0),0),"")</f>
        <v/>
      </c>
      <c r="J37" s="39">
        <f>IFERROR(VLOOKUP($A37,subQ,MATCH(J$1,SUBQH,0),0),"")</f>
        <v/>
      </c>
      <c r="K37" s="39">
        <f>IFERROR(VLOOKUP($A37,subQ,MATCH(K$1,SUBQH,0),0),"")</f>
        <v/>
      </c>
      <c r="L37" s="39">
        <f>IFERROR(VLOOKUP($A37,subQ,MATCH(L$1,SUBQH,0),0),"")</f>
        <v/>
      </c>
      <c r="M37" s="39">
        <f>IFERROR(VLOOKUP($A37,subQ,MATCH(M$1,SUBQH,0),0),"")</f>
        <v/>
      </c>
      <c r="N37" s="39">
        <f>IFERROR(VLOOKUP($A37,subQ,MATCH(N$1,SUBQH,0),0),"")</f>
        <v/>
      </c>
      <c r="O37" s="39">
        <f>IFERROR(VLOOKUP($A37,subQ,MATCH(O$1,SUBQH,0),0),"")</f>
        <v/>
      </c>
      <c r="P37" s="39">
        <f>IFERROR(VLOOKUP($A37,subQ,MATCH(P$1,SUBQH,0),0),"")</f>
        <v/>
      </c>
      <c r="Q37" s="39">
        <f>IFERROR(VLOOKUP($A37,subQ,MATCH(Q$1,SUBQH,0),0),"")</f>
        <v/>
      </c>
      <c r="R37" s="39">
        <f>IFERROR(VLOOKUP($A37,subQ,MATCH(R$1,SUBQH,0),0),"")</f>
        <v/>
      </c>
      <c r="S37" s="39">
        <f>IFERROR(VLOOKUP($A37,subQ,MATCH(S$1,SUBQH,0),0),"")</f>
        <v/>
      </c>
    </row>
    <row r="38">
      <c r="A38" s="12" t="inlineStr">
        <is>
          <t>매출조선</t>
        </is>
      </c>
      <c r="D38" t="inlineStr">
        <is>
          <t>매출 조선·해양(선박)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48">
        <f>IFERROR(VLOOKUP($A38,subQ,MATCH(I$1,SUBQH,0),0),"")</f>
        <v/>
      </c>
      <c r="J38" s="20">
        <f>IFERROR(VLOOKUP($A38,subQ,MATCH(J$1,SUBQH,0),0),"")</f>
        <v/>
      </c>
      <c r="K38" s="20">
        <f>IFERROR(VLOOKUP($A38,subQ,MATCH(K$1,SUBQH,0),0),"")</f>
        <v/>
      </c>
      <c r="L38" s="20">
        <f>IFERROR(VLOOKUP($A38,subQ,MATCH(L$1,SUBQH,0),0),"")</f>
        <v/>
      </c>
      <c r="M38" s="20">
        <f>IFERROR(VLOOKUP($A38,subQ,MATCH(M$1,SUBQH,0),0),"")</f>
        <v/>
      </c>
      <c r="N38" s="20">
        <f>IFERROR(VLOOKUP($A38,subQ,MATCH(N$1,SUBQH,0),0),"")</f>
        <v/>
      </c>
      <c r="O38" s="20">
        <f>IFERROR(VLOOKUP($A38,subQ,MATCH(O$1,SUBQH,0),0),"")</f>
        <v/>
      </c>
      <c r="P38" s="20">
        <f>IFERROR(VLOOKUP($A38,subQ,MATCH(P$1,SUBQH,0),0),"")</f>
        <v/>
      </c>
      <c r="Q38" s="20">
        <f>IFERROR(VLOOKUP($A38,subQ,MATCH(Q$1,SUBQH,0),0),"")</f>
        <v/>
      </c>
      <c r="R38" s="20">
        <f>IFERROR(VLOOKUP($A38,subQ,MATCH(R$1,SUBQH,0),0),"")</f>
        <v/>
      </c>
      <c r="S38" s="20">
        <f>IFERROR(VLOOKUP($A38,subQ,MATCH(S$1,SUBQH,0),0),"")</f>
        <v/>
      </c>
    </row>
    <row r="39">
      <c r="A39" s="12" t="inlineStr">
        <is>
          <t>매출조선신규</t>
        </is>
      </c>
      <c r="D39" t="inlineStr">
        <is>
          <t>매출 조선·해양(선박) 신규수주(forecast_panel base(공시 상계) — 매출조선에 포함)</t>
        </is>
      </c>
      <c r="E39" s="18">
        <f>IFERROR(VLOOKUP($A39,subQ,MATCH(E$1,SUBQH,0),0),"")</f>
        <v/>
      </c>
      <c r="F39" s="18">
        <f>IFERROR(VLOOKUP($A39,subQ,MATCH(F$1,SUBQH,0),0),"")</f>
        <v/>
      </c>
      <c r="G39" s="18">
        <f>IFERROR(VLOOKUP($A39,subQ,MATCH(G$1,SUBQH,0),0),"")</f>
        <v/>
      </c>
      <c r="H39" s="18">
        <f>IFERROR(VLOOKUP($A39,subQ,MATCH(H$1,SUBQH,0),0),"")</f>
        <v/>
      </c>
      <c r="I39" s="48">
        <f>IFERROR(VLOOKUP($A39,subQ,MATCH(I$1,SUBQH,0),0),"")</f>
        <v/>
      </c>
      <c r="J39" s="20">
        <f>IFERROR(VLOOKUP($A39,subQ,MATCH(J$1,SUBQH,0),0),"")</f>
        <v/>
      </c>
      <c r="K39" s="20">
        <f>IFERROR(VLOOKUP($A39,subQ,MATCH(K$1,SUBQH,0),0),"")</f>
        <v/>
      </c>
      <c r="L39" s="20">
        <f>IFERROR(VLOOKUP($A39,subQ,MATCH(L$1,SUBQH,0),0),"")</f>
        <v/>
      </c>
      <c r="M39" s="20">
        <f>IFERROR(VLOOKUP($A39,subQ,MATCH(M$1,SUBQH,0),0),"")</f>
        <v/>
      </c>
      <c r="N39" s="20">
        <f>IFERROR(VLOOKUP($A39,subQ,MATCH(N$1,SUBQH,0),0),"")</f>
        <v/>
      </c>
      <c r="O39" s="20">
        <f>IFERROR(VLOOKUP($A39,subQ,MATCH(O$1,SUBQH,0),0),"")</f>
        <v/>
      </c>
      <c r="P39" s="20">
        <f>IFERROR(VLOOKUP($A39,subQ,MATCH(P$1,SUBQH,0),0),"")</f>
        <v/>
      </c>
      <c r="Q39" s="20">
        <f>IFERROR(VLOOKUP($A39,subQ,MATCH(Q$1,SUBQH,0),0),"")</f>
        <v/>
      </c>
      <c r="R39" s="20">
        <f>IFERROR(VLOOKUP($A39,subQ,MATCH(R$1,SUBQH,0),0),"")</f>
        <v/>
      </c>
      <c r="S39" s="20">
        <f>IFERROR(VLOOKUP($A39,subQ,MATCH(S$1,SUBQH,0),0),"")</f>
        <v/>
      </c>
    </row>
    <row r="40">
      <c r="A40" s="12" t="inlineStr">
        <is>
          <t>OP조선</t>
        </is>
      </c>
      <c r="D40" t="inlineStr">
        <is>
          <t>OP 조선·해양(선박)</t>
        </is>
      </c>
      <c r="E40" s="18">
        <f>IFERROR(VLOOKUP($A40,subQ,MATCH(E$1,SUBQH,0),0),"")</f>
        <v/>
      </c>
      <c r="F40" s="18">
        <f>IFERROR(VLOOKUP($A40,subQ,MATCH(F$1,SUBQH,0),0),"")</f>
        <v/>
      </c>
      <c r="G40" s="18">
        <f>IFERROR(VLOOKUP($A40,subQ,MATCH(G$1,SUBQH,0),0),"")</f>
        <v/>
      </c>
      <c r="H40" s="18">
        <f>IFERROR(VLOOKUP($A40,subQ,MATCH(H$1,SUBQH,0),0),"")</f>
        <v/>
      </c>
      <c r="I40" s="48">
        <f>IFERROR(VLOOKUP($A40,subQ,MATCH(I$1,SUBQH,0),0),"")</f>
        <v/>
      </c>
      <c r="J40" s="20">
        <f>IFERROR(VLOOKUP($A40,subQ,MATCH(J$1,SUBQH,0),0),"")</f>
        <v/>
      </c>
      <c r="K40" s="20">
        <f>IFERROR(VLOOKUP($A40,subQ,MATCH(K$1,SUBQH,0),0),"")</f>
        <v/>
      </c>
      <c r="L40" s="20">
        <f>IFERROR(VLOOKUP($A40,subQ,MATCH(L$1,SUBQH,0),0),"")</f>
        <v/>
      </c>
      <c r="M40" s="20">
        <f>IFERROR(VLOOKUP($A40,subQ,MATCH(M$1,SUBQH,0),0),"")</f>
        <v/>
      </c>
      <c r="N40" s="20">
        <f>IFERROR(VLOOKUP($A40,subQ,MATCH(N$1,SUBQH,0),0),"")</f>
        <v/>
      </c>
      <c r="O40" s="20">
        <f>IFERROR(VLOOKUP($A40,subQ,MATCH(O$1,SUBQH,0),0),"")</f>
        <v/>
      </c>
      <c r="P40" s="20">
        <f>IFERROR(VLOOKUP($A40,subQ,MATCH(P$1,SUBQH,0),0),"")</f>
        <v/>
      </c>
      <c r="Q40" s="20">
        <f>IFERROR(VLOOKUP($A40,subQ,MATCH(Q$1,SUBQH,0),0),"")</f>
        <v/>
      </c>
      <c r="R40" s="20">
        <f>IFERROR(VLOOKUP($A40,subQ,MATCH(R$1,SUBQH,0),0),"")</f>
        <v/>
      </c>
      <c r="S40" s="20">
        <f>IFERROR(VLOOKUP($A40,subQ,MATCH(S$1,SUBQH,0),0),"")</f>
        <v/>
      </c>
    </row>
    <row r="41">
      <c r="A41" s="12" t="inlineStr">
        <is>
          <t>OP조선신규</t>
        </is>
      </c>
      <c r="D41" t="inlineStr">
        <is>
          <t>OP 조선·해양(선박) 신규수주(매출조선신규 × OPM — OP조선에 포함)</t>
        </is>
      </c>
      <c r="E41" s="18">
        <f>IFERROR(VLOOKUP($A41,subQ,MATCH(E$1,SUBQH,0),0),"")</f>
        <v/>
      </c>
      <c r="F41" s="18">
        <f>IFERROR(VLOOKUP($A41,subQ,MATCH(F$1,SUBQH,0),0),"")</f>
        <v/>
      </c>
      <c r="G41" s="18">
        <f>IFERROR(VLOOKUP($A41,subQ,MATCH(G$1,SUBQH,0),0),"")</f>
        <v/>
      </c>
      <c r="H41" s="18">
        <f>IFERROR(VLOOKUP($A41,subQ,MATCH(H$1,SUBQH,0),0),"")</f>
        <v/>
      </c>
      <c r="I41" s="48">
        <f>IFERROR(VLOOKUP($A41,subQ,MATCH(I$1,SUBQH,0),0),"")</f>
        <v/>
      </c>
      <c r="J41" s="20">
        <f>IFERROR(VLOOKUP($A41,subQ,MATCH(J$1,SUBQH,0),0),"")</f>
        <v/>
      </c>
      <c r="K41" s="20">
        <f>IFERROR(VLOOKUP($A41,subQ,MATCH(K$1,SUBQH,0),0),"")</f>
        <v/>
      </c>
      <c r="L41" s="20">
        <f>IFERROR(VLOOKUP($A41,subQ,MATCH(L$1,SUBQH,0),0),"")</f>
        <v/>
      </c>
      <c r="M41" s="20">
        <f>IFERROR(VLOOKUP($A41,subQ,MATCH(M$1,SUBQH,0),0),"")</f>
        <v/>
      </c>
      <c r="N41" s="20">
        <f>IFERROR(VLOOKUP($A41,subQ,MATCH(N$1,SUBQH,0),0),"")</f>
        <v/>
      </c>
      <c r="O41" s="20">
        <f>IFERROR(VLOOKUP($A41,subQ,MATCH(O$1,SUBQH,0),0),"")</f>
        <v/>
      </c>
      <c r="P41" s="20">
        <f>IFERROR(VLOOKUP($A41,subQ,MATCH(P$1,SUBQH,0),0),"")</f>
        <v/>
      </c>
      <c r="Q41" s="20">
        <f>IFERROR(VLOOKUP($A41,subQ,MATCH(Q$1,SUBQH,0),0),"")</f>
        <v/>
      </c>
      <c r="R41" s="20">
        <f>IFERROR(VLOOKUP($A41,subQ,MATCH(R$1,SUBQH,0),0),"")</f>
        <v/>
      </c>
      <c r="S41" s="20">
        <f>IFERROR(VLOOKUP($A41,subQ,MATCH(S$1,SUBQH,0),0),"")</f>
        <v/>
      </c>
    </row>
    <row r="42">
      <c r="A42" s="12" t="inlineStr">
        <is>
          <t>매출기타</t>
        </is>
      </c>
      <c r="D42" t="inlineStr">
        <is>
          <t>매출 기타 부문(총매출 − 조선)</t>
        </is>
      </c>
      <c r="E42" s="18">
        <f>IFERROR(VLOOKUP($A42,subQ,MATCH(E$1,SUBQH,0),0),"")</f>
        <v/>
      </c>
      <c r="F42" s="18">
        <f>IFERROR(VLOOKUP($A42,subQ,MATCH(F$1,SUBQH,0),0),"")</f>
        <v/>
      </c>
      <c r="G42" s="18">
        <f>IFERROR(VLOOKUP($A42,subQ,MATCH(G$1,SUBQH,0),0),"")</f>
        <v/>
      </c>
      <c r="H42" s="18">
        <f>IFERROR(VLOOKUP($A42,subQ,MATCH(H$1,SUBQH,0),0),"")</f>
        <v/>
      </c>
      <c r="I42" s="48">
        <f>IFERROR(VLOOKUP($A42,subQ,MATCH(I$1,SUBQH,0),0),"")</f>
        <v/>
      </c>
      <c r="J42" s="20">
        <f>IFERROR(VLOOKUP($A42,subQ,MATCH(J$1,SUBQH,0),0),"")</f>
        <v/>
      </c>
      <c r="K42" s="20">
        <f>IFERROR(VLOOKUP($A42,subQ,MATCH(K$1,SUBQH,0),0),"")</f>
        <v/>
      </c>
      <c r="L42" s="20">
        <f>IFERROR(VLOOKUP($A42,subQ,MATCH(L$1,SUBQH,0),0),"")</f>
        <v/>
      </c>
      <c r="M42" s="20">
        <f>IFERROR(VLOOKUP($A42,subQ,MATCH(M$1,SUBQH,0),0),"")</f>
        <v/>
      </c>
      <c r="N42" s="20">
        <f>IFERROR(VLOOKUP($A42,subQ,MATCH(N$1,SUBQH,0),0),"")</f>
        <v/>
      </c>
      <c r="O42" s="20">
        <f>IFERROR(VLOOKUP($A42,subQ,MATCH(O$1,SUBQH,0),0),"")</f>
        <v/>
      </c>
      <c r="P42" s="20">
        <f>IFERROR(VLOOKUP($A42,subQ,MATCH(P$1,SUBQH,0),0),"")</f>
        <v/>
      </c>
      <c r="Q42" s="20">
        <f>IFERROR(VLOOKUP($A42,subQ,MATCH(Q$1,SUBQH,0),0),"")</f>
        <v/>
      </c>
      <c r="R42" s="20">
        <f>IFERROR(VLOOKUP($A42,subQ,MATCH(R$1,SUBQH,0),0),"")</f>
        <v/>
      </c>
      <c r="S42" s="20">
        <f>IFERROR(VLOOKUP($A42,subQ,MATCH(S$1,SUBQH,0),0),"")</f>
        <v/>
      </c>
    </row>
    <row r="43">
      <c r="A43" s="12" t="inlineStr">
        <is>
          <t>OP기타</t>
        </is>
      </c>
      <c r="D43" t="inlineStr">
        <is>
          <t>OP 기타 부문(총매출 − 조선)</t>
        </is>
      </c>
      <c r="E43" s="18">
        <f>IFERROR(VLOOKUP($A43,subQ,MATCH(E$1,SUBQH,0),0),"")</f>
        <v/>
      </c>
      <c r="F43" s="18">
        <f>IFERROR(VLOOKUP($A43,subQ,MATCH(F$1,SUBQH,0),0),"")</f>
        <v/>
      </c>
      <c r="G43" s="18">
        <f>IFERROR(VLOOKUP($A43,subQ,MATCH(G$1,SUBQH,0),0),"")</f>
        <v/>
      </c>
      <c r="H43" s="18">
        <f>IFERROR(VLOOKUP($A43,subQ,MATCH(H$1,SUBQH,0),0),"")</f>
        <v/>
      </c>
      <c r="I43" s="48">
        <f>IFERROR(VLOOKUP($A43,subQ,MATCH(I$1,SUBQH,0),0),"")</f>
        <v/>
      </c>
      <c r="J43" s="20">
        <f>IFERROR(VLOOKUP($A43,subQ,MATCH(J$1,SUBQH,0),0),"")</f>
        <v/>
      </c>
      <c r="K43" s="20">
        <f>IFERROR(VLOOKUP($A43,subQ,MATCH(K$1,SUBQH,0),0),"")</f>
        <v/>
      </c>
      <c r="L43" s="20">
        <f>IFERROR(VLOOKUP($A43,subQ,MATCH(L$1,SUBQH,0),0),"")</f>
        <v/>
      </c>
      <c r="M43" s="20">
        <f>IFERROR(VLOOKUP($A43,subQ,MATCH(M$1,SUBQH,0),0),"")</f>
        <v/>
      </c>
      <c r="N43" s="20">
        <f>IFERROR(VLOOKUP($A43,subQ,MATCH(N$1,SUBQH,0),0),"")</f>
        <v/>
      </c>
      <c r="O43" s="20">
        <f>IFERROR(VLOOKUP($A43,subQ,MATCH(O$1,SUBQH,0),0),"")</f>
        <v/>
      </c>
      <c r="P43" s="20">
        <f>IFERROR(VLOOKUP($A43,subQ,MATCH(P$1,SUBQH,0),0),"")</f>
        <v/>
      </c>
      <c r="Q43" s="20">
        <f>IFERROR(VLOOKUP($A43,subQ,MATCH(Q$1,SUBQH,0),0),"")</f>
        <v/>
      </c>
      <c r="R43" s="20">
        <f>IFERROR(VLOOKUP($A43,subQ,MATCH(R$1,SUBQH,0),0),"")</f>
        <v/>
      </c>
      <c r="S43" s="20">
        <f>IFERROR(VLOOKUP($A43,subQ,MATCH(S$1,SUBQH,0),0),"")</f>
        <v/>
      </c>
    </row>
    <row r="44">
      <c r="A44" s="12" t="inlineStr">
        <is>
          <t>NPM</t>
        </is>
      </c>
      <c r="D44" t="inlineStr">
        <is>
          <t>NPM</t>
        </is>
      </c>
      <c r="E44" s="21">
        <f>IFERROR(VLOOKUP($A44,subQ,MATCH(E$1,SUBQH,0),0),"")</f>
        <v/>
      </c>
      <c r="F44" s="21">
        <f>IFERROR(VLOOKUP($A44,subQ,MATCH(F$1,SUBQH,0),0),"")</f>
        <v/>
      </c>
      <c r="G44" s="21">
        <f>IFERROR(VLOOKUP($A44,subQ,MATCH(G$1,SUBQH,0),0),"")</f>
        <v/>
      </c>
      <c r="H44" s="21">
        <f>IFERROR(VLOOKUP($A44,subQ,MATCH(H$1,SUBQH,0),0),"")</f>
        <v/>
      </c>
      <c r="I44" s="49">
        <f>IFERROR(VLOOKUP($A44,subQ,MATCH(I$1,SUBQH,0),0),"")</f>
        <v/>
      </c>
      <c r="J44" s="32">
        <f>IFERROR(VLOOKUP($A44,subQ,MATCH(J$1,SUBQH,0),0),"")</f>
        <v/>
      </c>
      <c r="K44" s="32">
        <f>IFERROR(VLOOKUP($A44,subQ,MATCH(K$1,SUBQH,0),0),"")</f>
        <v/>
      </c>
      <c r="L44" s="32">
        <f>IFERROR(VLOOKUP($A44,subQ,MATCH(L$1,SUBQH,0),0),"")</f>
        <v/>
      </c>
      <c r="M44" s="32">
        <f>IFERROR(VLOOKUP($A44,subQ,MATCH(M$1,SUBQH,0),0),"")</f>
        <v/>
      </c>
      <c r="N44" s="32">
        <f>IFERROR(VLOOKUP($A44,subQ,MATCH(N$1,SUBQH,0),0),"")</f>
        <v/>
      </c>
      <c r="O44" s="32">
        <f>IFERROR(VLOOKUP($A44,subQ,MATCH(O$1,SUBQH,0),0),"")</f>
        <v/>
      </c>
      <c r="P44" s="32">
        <f>IFERROR(VLOOKUP($A44,subQ,MATCH(P$1,SUBQH,0),0),"")</f>
        <v/>
      </c>
      <c r="Q44" s="32">
        <f>IFERROR(VLOOKUP($A44,subQ,MATCH(Q$1,SUBQH,0),0),"")</f>
        <v/>
      </c>
      <c r="R44" s="32">
        <f>IFERROR(VLOOKUP($A44,subQ,MATCH(R$1,SUBQH,0),0),"")</f>
        <v/>
      </c>
      <c r="S44" s="32">
        <f>IFERROR(VLOOKUP($A44,subQ,MATCH(S$1,SUBQH,0),0),"")</f>
        <v/>
      </c>
    </row>
    <row r="45">
      <c r="A45" s="12" t="inlineStr">
        <is>
          <t>매출액 YoY</t>
        </is>
      </c>
      <c r="D45" t="inlineStr">
        <is>
          <t>매출액 YoY</t>
        </is>
      </c>
      <c r="I45" s="49">
        <f>IFERROR(I5/E5-1,"")</f>
        <v/>
      </c>
      <c r="J45" s="32">
        <f>IFERROR(J5/F5-1,"")</f>
        <v/>
      </c>
      <c r="K45" s="32">
        <f>IFERROR(K5/G5-1,"")</f>
        <v/>
      </c>
      <c r="L45" s="32">
        <f>IFERROR(L5/H5-1,"")</f>
        <v/>
      </c>
      <c r="M45" s="32">
        <f>IFERROR(M5/I5-1,"")</f>
        <v/>
      </c>
      <c r="N45" s="32">
        <f>IFERROR(N5/J5-1,"")</f>
        <v/>
      </c>
      <c r="O45" s="32">
        <f>IFERROR(O5/K5-1,"")</f>
        <v/>
      </c>
      <c r="P45" s="32">
        <f>IFERROR(P5/L5-1,"")</f>
        <v/>
      </c>
      <c r="Q45" s="32">
        <f>IFERROR(Q5/M5-1,"")</f>
        <v/>
      </c>
      <c r="R45" s="32">
        <f>IFERROR(R5/N5-1,"")</f>
        <v/>
      </c>
      <c r="S45" s="32">
        <f>IFERROR(S5/O5-1,"")</f>
        <v/>
      </c>
    </row>
    <row r="46">
      <c r="A46" s="12" t="inlineStr">
        <is>
          <t>영업이익 YoY</t>
        </is>
      </c>
      <c r="D46" t="inlineStr">
        <is>
          <t>영업이익 YoY</t>
        </is>
      </c>
      <c r="I46" s="49">
        <f>IFERROR(I9/E9-1,"")</f>
        <v/>
      </c>
      <c r="J46" s="32">
        <f>IFERROR(J9/F9-1,"")</f>
        <v/>
      </c>
      <c r="K46" s="32">
        <f>IFERROR(K9/G9-1,"")</f>
        <v/>
      </c>
      <c r="L46" s="32">
        <f>IFERROR(L9/H9-1,"")</f>
        <v/>
      </c>
      <c r="M46" s="32">
        <f>IFERROR(M9/I9-1,"")</f>
        <v/>
      </c>
      <c r="N46" s="32">
        <f>IFERROR(N9/J9-1,"")</f>
        <v/>
      </c>
      <c r="O46" s="32">
        <f>IFERROR(O9/K9-1,"")</f>
        <v/>
      </c>
      <c r="P46" s="32">
        <f>IFERROR(P9/L9-1,"")</f>
        <v/>
      </c>
      <c r="Q46" s="32">
        <f>IFERROR(Q9/M9-1,"")</f>
        <v/>
      </c>
      <c r="R46" s="32">
        <f>IFERROR(R9/N9-1,"")</f>
        <v/>
      </c>
      <c r="S46" s="32">
        <f>IFERROR(S9/O9-1,"")</f>
        <v/>
      </c>
    </row>
    <row r="47">
      <c r="A47" s="12" t="inlineStr">
        <is>
          <t>지배주주순이익 YoY</t>
        </is>
      </c>
      <c r="D47" t="inlineStr">
        <is>
          <t>지배주주순이익 YoY</t>
        </is>
      </c>
      <c r="I47" s="49">
        <f>IFERROR(I21/E21-1,"")</f>
        <v/>
      </c>
      <c r="J47" s="32">
        <f>IFERROR(J21/F21-1,"")</f>
        <v/>
      </c>
      <c r="K47" s="32">
        <f>IFERROR(K21/G21-1,"")</f>
        <v/>
      </c>
      <c r="L47" s="32">
        <f>IFERROR(L21/H21-1,"")</f>
        <v/>
      </c>
      <c r="M47" s="32">
        <f>IFERROR(M21/I21-1,"")</f>
        <v/>
      </c>
      <c r="N47" s="32">
        <f>IFERROR(N21/J21-1,"")</f>
        <v/>
      </c>
      <c r="O47" s="32">
        <f>IFERROR(O21/K21-1,"")</f>
        <v/>
      </c>
      <c r="P47" s="32">
        <f>IFERROR(P21/L21-1,"")</f>
        <v/>
      </c>
      <c r="Q47" s="32">
        <f>IFERROR(Q21/M21-1,"")</f>
        <v/>
      </c>
      <c r="R47" s="32">
        <f>IFERROR(R21/N21-1,"")</f>
        <v/>
      </c>
      <c r="S47" s="32">
        <f>IFERROR(S21/O21-1,"")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C1" s="2" t="inlineStr">
        <is>
          <t>이름: 연간예상H — subQ 를 이름으로 VLOOKUP(억원)</t>
        </is>
      </c>
      <c r="E1" s="44" t="n">
        <v>2025</v>
      </c>
      <c r="F1" s="3" t="n">
        <v>2026</v>
      </c>
      <c r="G1" s="3" t="n">
        <v>2027</v>
      </c>
      <c r="H1" s="3" t="n">
        <v>2028</v>
      </c>
    </row>
    <row r="2">
      <c r="C2" t="inlineStr">
        <is>
          <t>종가:</t>
        </is>
      </c>
      <c r="D2" s="18">
        <f>변수!D46</f>
        <v/>
      </c>
      <c r="E2" s="45" t="n"/>
    </row>
    <row r="3">
      <c r="C3" t="inlineStr">
        <is>
          <t>기준일:</t>
        </is>
      </c>
      <c r="D3" t="inlineStr">
        <is>
          <t>20261014</t>
        </is>
      </c>
      <c r="E3" s="46" t="n">
        <v>1</v>
      </c>
      <c r="F3" s="2" t="n">
        <v>2</v>
      </c>
      <c r="G3" s="2" t="n">
        <v>3</v>
      </c>
      <c r="H3" s="2" t="n">
        <v>4</v>
      </c>
    </row>
    <row r="4">
      <c r="E4" s="47" t="inlineStr">
        <is>
          <t>2025.12A</t>
        </is>
      </c>
      <c r="F4" s="7" t="inlineStr">
        <is>
          <t>2026.12A</t>
        </is>
      </c>
      <c r="G4" s="7" t="inlineStr">
        <is>
          <t>2027.12A</t>
        </is>
      </c>
      <c r="H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48">
        <f>IFERROR(VLOOKUP($A5,subQ,MATCH(E$1,SUBQH,0),0),"")</f>
        <v/>
      </c>
      <c r="F5" s="20">
        <f>IFERROR(VLOOKUP($A5,subQ,MATCH(F$1,SUBQH,0),0),"")</f>
        <v/>
      </c>
      <c r="G5" s="20">
        <f>IFERROR(VLOOKUP($A5,subQ,MATCH(G$1,SUBQH,0),0),"")</f>
        <v/>
      </c>
      <c r="H5" s="20">
        <f>IFERROR(VLOOKUP($A5,subQ,MATCH(H$1,SUBQH,0),0),"")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48">
        <f>IFERROR(VLOOKUP($A6,subQ,MATCH(E$1,SUBQH,0),0),"")</f>
        <v/>
      </c>
      <c r="F6" s="20">
        <f>IFERROR(VLOOKUP($A6,subQ,MATCH(F$1,SUBQH,0),0),"")</f>
        <v/>
      </c>
      <c r="G6" s="20">
        <f>IFERROR(VLOOKUP($A6,subQ,MATCH(G$1,SUBQH,0),0),"")</f>
        <v/>
      </c>
      <c r="H6" s="20">
        <f>IFERROR(VLOOKUP($A6,subQ,MATCH(H$1,SUBQH,0),0),"")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48">
        <f>IFERROR(VLOOKUP($A7,subQ,MATCH(E$1,SUBQH,0),0),"")</f>
        <v/>
      </c>
      <c r="F7" s="20">
        <f>IFERROR(VLOOKUP($A7,subQ,MATCH(F$1,SUBQH,0),0),"")</f>
        <v/>
      </c>
      <c r="G7" s="20">
        <f>IFERROR(VLOOKUP($A7,subQ,MATCH(G$1,SUBQH,0),0),"")</f>
        <v/>
      </c>
      <c r="H7" s="20">
        <f>IFERROR(VLOOKUP($A7,subQ,MATCH(H$1,SUBQH,0),0),"")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48">
        <f>IFERROR(VLOOKUP($A8,subQ,MATCH(E$1,SUBQH,0),0),"")</f>
        <v/>
      </c>
      <c r="F8" s="20">
        <f>IFERROR(VLOOKUP($A8,subQ,MATCH(F$1,SUBQH,0),0),"")</f>
        <v/>
      </c>
      <c r="G8" s="20">
        <f>IFERROR(VLOOKUP($A8,subQ,MATCH(G$1,SUBQH,0),0),"")</f>
        <v/>
      </c>
      <c r="H8" s="20">
        <f>IFERROR(VLOOKUP($A8,subQ,MATCH(H$1,SUBQH,0),0),"")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48">
        <f>IFERROR(VLOOKUP($A9,subQ,MATCH(E$1,SUBQH,0),0),"")</f>
        <v/>
      </c>
      <c r="F9" s="20">
        <f>IFERROR(VLOOKUP($A9,subQ,MATCH(F$1,SUBQH,0),0),"")</f>
        <v/>
      </c>
      <c r="G9" s="20">
        <f>IFERROR(VLOOKUP($A9,subQ,MATCH(G$1,SUBQH,0),0),"")</f>
        <v/>
      </c>
      <c r="H9" s="20">
        <f>IFERROR(VLOOKUP($A9,subQ,MATCH(H$1,SUBQH,0),0),"")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49">
        <f>IFERROR(VLOOKUP($A10,subQ,MATCH(E$1,SUBQH,0),0),"")</f>
        <v/>
      </c>
      <c r="F10" s="32">
        <f>IFERROR(VLOOKUP($A10,subQ,MATCH(F$1,SUBQH,0),0),"")</f>
        <v/>
      </c>
      <c r="G10" s="32">
        <f>IFERROR(VLOOKUP($A10,subQ,MATCH(G$1,SUBQH,0),0),"")</f>
        <v/>
      </c>
      <c r="H10" s="32">
        <f>IFERROR(VLOOKUP($A10,subQ,MATCH(H$1,SUBQH,0),0),"")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48">
        <f>IFERROR(VLOOKUP($A11,subQ,MATCH(E$1,SUBQH,0),0),"")</f>
        <v/>
      </c>
      <c r="F11" s="20">
        <f>IFERROR(VLOOKUP($A11,subQ,MATCH(F$1,SUBQH,0),0),"")</f>
        <v/>
      </c>
      <c r="G11" s="20">
        <f>IFERROR(VLOOKUP($A11,subQ,MATCH(G$1,SUBQH,0),0),"")</f>
        <v/>
      </c>
      <c r="H11" s="20">
        <f>IFERROR(VLOOKUP($A11,subQ,MATCH(H$1,SUBQH,0),0),"")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48">
        <f>IFERROR(VLOOKUP($A12,subQ,MATCH(E$1,SUBQH,0),0),"")</f>
        <v/>
      </c>
      <c r="F12" s="20">
        <f>IFERROR(VLOOKUP($A12,subQ,MATCH(F$1,SUBQH,0),0),"")</f>
        <v/>
      </c>
      <c r="G12" s="20">
        <f>IFERROR(VLOOKUP($A12,subQ,MATCH(G$1,SUBQH,0),0),"")</f>
        <v/>
      </c>
      <c r="H12" s="20">
        <f>IFERROR(VLOOKUP($A12,subQ,MATCH(H$1,SUBQH,0),0),"")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48">
        <f>IFERROR(VLOOKUP($A13,subQ,MATCH(E$1,SUBQH,0),0),"")</f>
        <v/>
      </c>
      <c r="F13" s="20">
        <f>IFERROR(VLOOKUP($A13,subQ,MATCH(F$1,SUBQH,0),0),"")</f>
        <v/>
      </c>
      <c r="G13" s="20">
        <f>IFERROR(VLOOKUP($A13,subQ,MATCH(G$1,SUBQH,0),0),"")</f>
        <v/>
      </c>
      <c r="H13" s="20">
        <f>IFERROR(VLOOKUP($A13,subQ,MATCH(H$1,SUBQH,0),0),"")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48">
        <f>IFERROR(VLOOKUP($A14,subQ,MATCH(E$1,SUBQH,0),0),"")</f>
        <v/>
      </c>
      <c r="F14" s="20">
        <f>IFERROR(VLOOKUP($A14,subQ,MATCH(F$1,SUBQH,0),0),"")</f>
        <v/>
      </c>
      <c r="G14" s="20">
        <f>IFERROR(VLOOKUP($A14,subQ,MATCH(G$1,SUBQH,0),0),"")</f>
        <v/>
      </c>
      <c r="H14" s="20">
        <f>IFERROR(VLOOKUP($A14,subQ,MATCH(H$1,SUBQH,0),0),"")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48">
        <f>IFERROR(VLOOKUP($A15,subQ,MATCH(E$1,SUBQH,0),0),"")</f>
        <v/>
      </c>
      <c r="F15" s="20">
        <f>IFERROR(VLOOKUP($A15,subQ,MATCH(F$1,SUBQH,0),0),"")</f>
        <v/>
      </c>
      <c r="G15" s="20">
        <f>IFERROR(VLOOKUP($A15,subQ,MATCH(G$1,SUBQH,0),0),"")</f>
        <v/>
      </c>
      <c r="H15" s="20">
        <f>IFERROR(VLOOKUP($A15,subQ,MATCH(H$1,SUBQH,0),0),"")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48">
        <f>IFERROR(VLOOKUP($A16,subQ,MATCH(E$1,SUBQH,0),0),"")</f>
        <v/>
      </c>
      <c r="F16" s="20">
        <f>IFERROR(VLOOKUP($A16,subQ,MATCH(F$1,SUBQH,0),0),"")</f>
        <v/>
      </c>
      <c r="G16" s="20">
        <f>IFERROR(VLOOKUP($A16,subQ,MATCH(G$1,SUBQH,0),0),"")</f>
        <v/>
      </c>
      <c r="H16" s="20">
        <f>IFERROR(VLOOKUP($A16,subQ,MATCH(H$1,SUBQH,0),0),"")</f>
        <v/>
      </c>
    </row>
    <row r="17">
      <c r="A17" s="12" t="inlineStr">
        <is>
          <t>환관련손익</t>
        </is>
      </c>
      <c r="D17" t="inlineStr">
        <is>
          <t>환관련손익(모델 추정분)</t>
        </is>
      </c>
      <c r="E17" s="48">
        <f>IFERROR(VLOOKUP($A17,subQ,MATCH(E$1,SUBQH,0),0),"")</f>
        <v/>
      </c>
      <c r="F17" s="20">
        <f>IFERROR(VLOOKUP($A17,subQ,MATCH(F$1,SUBQH,0),0),"")</f>
        <v/>
      </c>
      <c r="G17" s="20">
        <f>IFERROR(VLOOKUP($A17,subQ,MATCH(G$1,SUBQH,0),0),"")</f>
        <v/>
      </c>
      <c r="H17" s="20">
        <f>IFERROR(VLOOKUP($A17,subQ,MATCH(H$1,SUBQH,0),0),"")</f>
        <v/>
      </c>
    </row>
    <row r="18">
      <c r="A18" s="12" t="inlineStr">
        <is>
          <t>세전이익</t>
        </is>
      </c>
      <c r="D18" t="inlineStr">
        <is>
          <t>법인세비용차감전이익</t>
        </is>
      </c>
      <c r="E18" s="48">
        <f>IFERROR(VLOOKUP($A18,subQ,MATCH(E$1,SUBQH,0),0),"")</f>
        <v/>
      </c>
      <c r="F18" s="20">
        <f>IFERROR(VLOOKUP($A18,subQ,MATCH(F$1,SUBQH,0),0),"")</f>
        <v/>
      </c>
      <c r="G18" s="20">
        <f>IFERROR(VLOOKUP($A18,subQ,MATCH(G$1,SUBQH,0),0),"")</f>
        <v/>
      </c>
      <c r="H18" s="20">
        <f>IFERROR(VLOOKUP($A18,subQ,MATCH(H$1,SUBQH,0),0),"")</f>
        <v/>
      </c>
    </row>
    <row r="19">
      <c r="A19" s="12" t="inlineStr">
        <is>
          <t>법인세비용</t>
        </is>
      </c>
      <c r="D19" t="inlineStr">
        <is>
          <t>법인세비용</t>
        </is>
      </c>
      <c r="E19" s="48">
        <f>IFERROR(VLOOKUP($A19,subQ,MATCH(E$1,SUBQH,0),0),"")</f>
        <v/>
      </c>
      <c r="F19" s="20">
        <f>IFERROR(VLOOKUP($A19,subQ,MATCH(F$1,SUBQH,0),0),"")</f>
        <v/>
      </c>
      <c r="G19" s="20">
        <f>IFERROR(VLOOKUP($A19,subQ,MATCH(G$1,SUBQH,0),0),"")</f>
        <v/>
      </c>
      <c r="H19" s="20">
        <f>IFERROR(VLOOKUP($A19,subQ,MATCH(H$1,SUBQH,0),0),"")</f>
        <v/>
      </c>
    </row>
    <row r="20">
      <c r="A20" s="12" t="inlineStr">
        <is>
          <t>당기순이익</t>
        </is>
      </c>
      <c r="D20" t="inlineStr">
        <is>
          <t>당기순이익</t>
        </is>
      </c>
      <c r="E20" s="48">
        <f>IFERROR(VLOOKUP($A20,subQ,MATCH(E$1,SUBQH,0),0),"")</f>
        <v/>
      </c>
      <c r="F20" s="20">
        <f>IFERROR(VLOOKUP($A20,subQ,MATCH(F$1,SUBQH,0),0),"")</f>
        <v/>
      </c>
      <c r="G20" s="20">
        <f>IFERROR(VLOOKUP($A20,subQ,MATCH(G$1,SUBQH,0),0),"")</f>
        <v/>
      </c>
      <c r="H20" s="20">
        <f>IFERROR(VLOOKUP($A20,subQ,MATCH(H$1,SUBQH,0),0),"")</f>
        <v/>
      </c>
    </row>
    <row r="21">
      <c r="A21" s="12" t="inlineStr">
        <is>
          <t>지배주주순이익</t>
        </is>
      </c>
      <c r="D21" t="inlineStr">
        <is>
          <t>지배주주순이익</t>
        </is>
      </c>
      <c r="E21" s="48">
        <f>IFERROR(VLOOKUP($A21,subQ,MATCH(E$1,SUBQH,0),0),"")</f>
        <v/>
      </c>
      <c r="F21" s="20">
        <f>IFERROR(VLOOKUP($A21,subQ,MATCH(F$1,SUBQH,0),0),"")</f>
        <v/>
      </c>
      <c r="G21" s="20">
        <f>IFERROR(VLOOKUP($A21,subQ,MATCH(G$1,SUBQH,0),0),"")</f>
        <v/>
      </c>
      <c r="H21" s="20">
        <f>IFERROR(VLOOKUP($A21,subQ,MATCH(H$1,SUBQH,0),0),"")</f>
        <v/>
      </c>
    </row>
    <row r="22">
      <c r="A22" s="12" t="inlineStr">
        <is>
          <t>자산총계</t>
        </is>
      </c>
      <c r="D22" t="inlineStr">
        <is>
          <t>자산총계</t>
        </is>
      </c>
      <c r="E22" s="48">
        <f>IFERROR(VLOOKUP($A22,subQ,MATCH(E$1,SUBQH,0),0),"")</f>
        <v/>
      </c>
      <c r="F22" s="20">
        <f>IFERROR(VLOOKUP($A22,subQ,MATCH(F$1,SUBQH,0),0),"")</f>
        <v/>
      </c>
      <c r="G22" s="20">
        <f>IFERROR(VLOOKUP($A22,subQ,MATCH(G$1,SUBQH,0),0),"")</f>
        <v/>
      </c>
      <c r="H22" s="20">
        <f>IFERROR(VLOOKUP($A22,subQ,MATCH(H$1,SUBQH,0),0),"")</f>
        <v/>
      </c>
    </row>
    <row r="23">
      <c r="A23" s="12" t="inlineStr">
        <is>
          <t>부채총계</t>
        </is>
      </c>
      <c r="D23" t="inlineStr">
        <is>
          <t>부채총계</t>
        </is>
      </c>
      <c r="E23" s="48">
        <f>IFERROR(VLOOKUP($A23,subQ,MATCH(E$1,SUBQH,0),0),"")</f>
        <v/>
      </c>
      <c r="F23" s="20">
        <f>IFERROR(VLOOKUP($A23,subQ,MATCH(F$1,SUBQH,0),0),"")</f>
        <v/>
      </c>
      <c r="G23" s="20">
        <f>IFERROR(VLOOKUP($A23,subQ,MATCH(G$1,SUBQH,0),0),"")</f>
        <v/>
      </c>
      <c r="H23" s="20">
        <f>IFERROR(VLOOKUP($A23,subQ,MATCH(H$1,SUBQH,0),0),"")</f>
        <v/>
      </c>
    </row>
    <row r="24">
      <c r="A24" s="12" t="inlineStr">
        <is>
          <t>자본총계</t>
        </is>
      </c>
      <c r="D24" t="inlineStr">
        <is>
          <t>자본총계</t>
        </is>
      </c>
      <c r="E24" s="48">
        <f>IFERROR(VLOOKUP($A24,subQ,MATCH(E$1,SUBQH,0),0),"")</f>
        <v/>
      </c>
      <c r="F24" s="20">
        <f>IFERROR(VLOOKUP($A24,subQ,MATCH(F$1,SUBQH,0),0),"")</f>
        <v/>
      </c>
      <c r="G24" s="20">
        <f>IFERROR(VLOOKUP($A24,subQ,MATCH(G$1,SUBQH,0),0),"")</f>
        <v/>
      </c>
      <c r="H24" s="20">
        <f>IFERROR(VLOOKUP($A24,subQ,MATCH(H$1,SUBQH,0),0),"")</f>
        <v/>
      </c>
    </row>
    <row r="25">
      <c r="A25" s="12" t="inlineStr">
        <is>
          <t>지배주주지분</t>
        </is>
      </c>
      <c r="D25" t="inlineStr">
        <is>
          <t>지배주주지분</t>
        </is>
      </c>
      <c r="E25" s="48">
        <f>IFERROR(VLOOKUP($A25,subQ,MATCH(E$1,SUBQH,0),0),"")</f>
        <v/>
      </c>
      <c r="F25" s="20">
        <f>IFERROR(VLOOKUP($A25,subQ,MATCH(F$1,SUBQH,0),0),"")</f>
        <v/>
      </c>
      <c r="G25" s="20">
        <f>IFERROR(VLOOKUP($A25,subQ,MATCH(G$1,SUBQH,0),0),"")</f>
        <v/>
      </c>
      <c r="H25" s="20">
        <f>IFERROR(VLOOKUP($A25,subQ,MATCH(H$1,SUBQH,0),0),"")</f>
        <v/>
      </c>
    </row>
    <row r="26">
      <c r="A26" s="12" t="inlineStr">
        <is>
          <t>총차입금</t>
        </is>
      </c>
      <c r="D26" t="inlineStr">
        <is>
          <t>총차입금</t>
        </is>
      </c>
      <c r="E26" s="48">
        <f>IFERROR(VLOOKUP($A26,subQ,MATCH(E$1,SUBQH,0),0),"")</f>
        <v/>
      </c>
      <c r="F26" s="20">
        <f>IFERROR(VLOOKUP($A26,subQ,MATCH(F$1,SUBQH,0),0),"")</f>
        <v/>
      </c>
      <c r="G26" s="20">
        <f>IFERROR(VLOOKUP($A26,subQ,MATCH(G$1,SUBQH,0),0),"")</f>
        <v/>
      </c>
      <c r="H26" s="20">
        <f>IFERROR(VLOOKUP($A26,subQ,MATCH(H$1,SUBQH,0),0),"")</f>
        <v/>
      </c>
    </row>
    <row r="27">
      <c r="A27" s="12" t="inlineStr">
        <is>
          <t>순차입금</t>
        </is>
      </c>
      <c r="D27" t="inlineStr">
        <is>
          <t>순차입금</t>
        </is>
      </c>
      <c r="E27" s="48">
        <f>IFERROR(VLOOKUP($A27,subQ,MATCH(E$1,SUBQH,0),0),"")</f>
        <v/>
      </c>
      <c r="F27" s="20">
        <f>IFERROR(VLOOKUP($A27,subQ,MATCH(F$1,SUBQH,0),0),"")</f>
        <v/>
      </c>
      <c r="G27" s="20">
        <f>IFERROR(VLOOKUP($A27,subQ,MATCH(G$1,SUBQH,0),0),"")</f>
        <v/>
      </c>
      <c r="H27" s="20">
        <f>IFERROR(VLOOKUP($A27,subQ,MATCH(H$1,SUBQH,0),0),"")</f>
        <v/>
      </c>
    </row>
    <row r="28">
      <c r="A28" s="12" t="inlineStr">
        <is>
          <t>이자발생자산</t>
        </is>
      </c>
      <c r="D28" t="inlineStr">
        <is>
          <t>이자발생자산</t>
        </is>
      </c>
      <c r="E28" s="48">
        <f>IFERROR(VLOOKUP($A28,subQ,MATCH(E$1,SUBQH,0),0),"")</f>
        <v/>
      </c>
      <c r="F28" s="20">
        <f>IFERROR(VLOOKUP($A28,subQ,MATCH(F$1,SUBQH,0),0),"")</f>
        <v/>
      </c>
      <c r="G28" s="20">
        <f>IFERROR(VLOOKUP($A28,subQ,MATCH(G$1,SUBQH,0),0),"")</f>
        <v/>
      </c>
      <c r="H28" s="20">
        <f>IFERROR(VLOOKUP($A28,subQ,MATCH(H$1,SUBQH,0),0),"")</f>
        <v/>
      </c>
    </row>
    <row r="29">
      <c r="A29" s="12" t="inlineStr">
        <is>
          <t>현금및현금성자산</t>
        </is>
      </c>
      <c r="D29" t="inlineStr">
        <is>
          <t>현금및현금성자산</t>
        </is>
      </c>
      <c r="E29" s="48">
        <f>IFERROR(VLOOKUP($A29,subQ,MATCH(E$1,SUBQH,0),0),"")</f>
        <v/>
      </c>
      <c r="F29" s="20">
        <f>IFERROR(VLOOKUP($A29,subQ,MATCH(F$1,SUBQH,0),0),"")</f>
        <v/>
      </c>
      <c r="G29" s="20">
        <f>IFERROR(VLOOKUP($A29,subQ,MATCH(G$1,SUBQH,0),0),"")</f>
        <v/>
      </c>
      <c r="H29" s="20">
        <f>IFERROR(VLOOKUP($A29,subQ,MATCH(H$1,SUBQH,0),0),"")</f>
        <v/>
      </c>
    </row>
    <row r="30">
      <c r="A30" s="12" t="inlineStr">
        <is>
          <t>CAPEX</t>
        </is>
      </c>
      <c r="D30" t="inlineStr">
        <is>
          <t>CAPEX</t>
        </is>
      </c>
      <c r="E30" s="48">
        <f>IFERROR(VLOOKUP($A30,subQ,MATCH(E$1,SUBQH,0),0),"")</f>
        <v/>
      </c>
      <c r="F30" s="20">
        <f>IFERROR(VLOOKUP($A30,subQ,MATCH(F$1,SUBQH,0),0),"")</f>
        <v/>
      </c>
      <c r="G30" s="20">
        <f>IFERROR(VLOOKUP($A30,subQ,MATCH(G$1,SUBQH,0),0),"")</f>
        <v/>
      </c>
      <c r="H30" s="20">
        <f>IFERROR(VLOOKUP($A30,subQ,MATCH(H$1,SUBQH,0),0),"")</f>
        <v/>
      </c>
    </row>
    <row r="31">
      <c r="A31" s="12" t="inlineStr">
        <is>
          <t>영업활동현금흐름</t>
        </is>
      </c>
      <c r="D31" t="inlineStr">
        <is>
          <t>영업활동현금흐름</t>
        </is>
      </c>
      <c r="E31" s="48">
        <f>IFERROR(VLOOKUP($A31,subQ,MATCH(E$1,SUBQH,0),0),"")</f>
        <v/>
      </c>
      <c r="F31" s="20">
        <f>IFERROR(VLOOKUP($A31,subQ,MATCH(F$1,SUBQH,0),0),"")</f>
        <v/>
      </c>
      <c r="G31" s="20">
        <f>IFERROR(VLOOKUP($A31,subQ,MATCH(G$1,SUBQH,0),0),"")</f>
        <v/>
      </c>
      <c r="H31" s="20">
        <f>IFERROR(VLOOKUP($A31,subQ,MATCH(H$1,SUBQH,0),0),"")</f>
        <v/>
      </c>
    </row>
    <row r="32">
      <c r="A32" s="12" t="inlineStr">
        <is>
          <t>주식수</t>
        </is>
      </c>
      <c r="D32" t="inlineStr">
        <is>
          <t>유통주식수</t>
        </is>
      </c>
      <c r="E32" s="50">
        <f>IFERROR(VLOOKUP($A32,subQ,MATCH(E$1,SUBQH,0),0),"")</f>
        <v/>
      </c>
      <c r="F32" s="33">
        <f>IFERROR(VLOOKUP($A32,subQ,MATCH(F$1,SUBQH,0),0),"")</f>
        <v/>
      </c>
      <c r="G32" s="33">
        <f>IFERROR(VLOOKUP($A32,subQ,MATCH(G$1,SUBQH,0),0),"")</f>
        <v/>
      </c>
      <c r="H32" s="33">
        <f>IFERROR(VLOOKUP($A32,subQ,MATCH(H$1,SUBQH,0),0),"")</f>
        <v/>
      </c>
    </row>
    <row r="33">
      <c r="A33" s="12" t="inlineStr">
        <is>
          <t>EPS</t>
        </is>
      </c>
      <c r="D33" t="inlineStr">
        <is>
          <t>EPS</t>
        </is>
      </c>
      <c r="E33" s="48">
        <f>IFERROR(VLOOKUP($A33,subQ,MATCH(E$1,SUBQH,0),0),"")</f>
        <v/>
      </c>
      <c r="F33" s="20">
        <f>IFERROR(VLOOKUP($A33,subQ,MATCH(F$1,SUBQH,0),0),"")</f>
        <v/>
      </c>
      <c r="G33" s="20">
        <f>IFERROR(VLOOKUP($A33,subQ,MATCH(G$1,SUBQH,0),0),"")</f>
        <v/>
      </c>
      <c r="H33" s="20">
        <f>IFERROR(VLOOKUP($A33,subQ,MATCH(H$1,SUBQH,0),0),"")</f>
        <v/>
      </c>
    </row>
    <row r="34">
      <c r="A34" s="12" t="inlineStr">
        <is>
          <t>BPS</t>
        </is>
      </c>
      <c r="D34" t="inlineStr">
        <is>
          <t>BPS</t>
        </is>
      </c>
      <c r="E34" s="48">
        <f>IFERROR(VLOOKUP($A34,subQ,MATCH(E$1,SUBQH,0),0),"")</f>
        <v/>
      </c>
      <c r="F34" s="20">
        <f>IFERROR(VLOOKUP($A34,subQ,MATCH(F$1,SUBQH,0),0),"")</f>
        <v/>
      </c>
      <c r="G34" s="20">
        <f>IFERROR(VLOOKUP($A34,subQ,MATCH(G$1,SUBQH,0),0),"")</f>
        <v/>
      </c>
      <c r="H34" s="20">
        <f>IFERROR(VLOOKUP($A34,subQ,MATCH(H$1,SUBQH,0),0),"")</f>
        <v/>
      </c>
    </row>
    <row r="35">
      <c r="A35" s="12" t="inlineStr">
        <is>
          <t>DPS</t>
        </is>
      </c>
      <c r="D35" t="inlineStr">
        <is>
          <t>DPS(보통주)</t>
        </is>
      </c>
      <c r="E35" s="48">
        <f>IFERROR(VLOOKUP($A35,subQ,MATCH(E$1,SUBQH,0),0),"")</f>
        <v/>
      </c>
      <c r="F35" s="20">
        <f>IFERROR(VLOOKUP($A35,subQ,MATCH(F$1,SUBQH,0),0),"")</f>
        <v/>
      </c>
      <c r="G35" s="20">
        <f>IFERROR(VLOOKUP($A35,subQ,MATCH(G$1,SUBQH,0),0),"")</f>
        <v/>
      </c>
      <c r="H35" s="20">
        <f>IFERROR(VLOOKUP($A35,subQ,MATCH(H$1,SUBQH,0),0),"")</f>
        <v/>
      </c>
    </row>
    <row r="36">
      <c r="A36" s="12" t="inlineStr">
        <is>
          <t>PER</t>
        </is>
      </c>
      <c r="D36" t="inlineStr">
        <is>
          <t>PER</t>
        </is>
      </c>
      <c r="E36" s="51">
        <f>IFERROR(VLOOKUP($A36,subQ,MATCH(E$1,SUBQH,0),0),"")</f>
        <v/>
      </c>
      <c r="F36" s="39">
        <f>IFERROR(VLOOKUP($A36,subQ,MATCH(F$1,SUBQH,0),0),"")</f>
        <v/>
      </c>
      <c r="G36" s="39">
        <f>IFERROR(VLOOKUP($A36,subQ,MATCH(G$1,SUBQH,0),0),"")</f>
        <v/>
      </c>
      <c r="H36" s="39">
        <f>IFERROR(VLOOKUP($A36,subQ,MATCH(H$1,SUBQH,0),0),"")</f>
        <v/>
      </c>
    </row>
    <row r="37">
      <c r="A37" s="12" t="inlineStr">
        <is>
          <t>PBR</t>
        </is>
      </c>
      <c r="D37" t="inlineStr">
        <is>
          <t>PBR</t>
        </is>
      </c>
      <c r="E37" s="51">
        <f>IFERROR(VLOOKUP($A37,subQ,MATCH(E$1,SUBQH,0),0),"")</f>
        <v/>
      </c>
      <c r="F37" s="39">
        <f>IFERROR(VLOOKUP($A37,subQ,MATCH(F$1,SUBQH,0),0),"")</f>
        <v/>
      </c>
      <c r="G37" s="39">
        <f>IFERROR(VLOOKUP($A37,subQ,MATCH(G$1,SUBQH,0),0),"")</f>
        <v/>
      </c>
      <c r="H37" s="39">
        <f>IFERROR(VLOOKUP($A37,subQ,MATCH(H$1,SUBQH,0),0),"")</f>
        <v/>
      </c>
    </row>
    <row r="38">
      <c r="A38" s="12" t="inlineStr">
        <is>
          <t>매출조선</t>
        </is>
      </c>
      <c r="D38" t="inlineStr">
        <is>
          <t>매출 조선·해양(선박)</t>
        </is>
      </c>
      <c r="E38" s="48">
        <f>IFERROR(VLOOKUP($A38,subQ,MATCH(E$1,SUBQH,0),0),"")</f>
        <v/>
      </c>
      <c r="F38" s="20">
        <f>IFERROR(VLOOKUP($A38,subQ,MATCH(F$1,SUBQH,0),0),"")</f>
        <v/>
      </c>
      <c r="G38" s="20">
        <f>IFERROR(VLOOKUP($A38,subQ,MATCH(G$1,SUBQH,0),0),"")</f>
        <v/>
      </c>
      <c r="H38" s="20">
        <f>IFERROR(VLOOKUP($A38,subQ,MATCH(H$1,SUBQH,0),0),"")</f>
        <v/>
      </c>
    </row>
    <row r="39">
      <c r="A39" s="12" t="inlineStr">
        <is>
          <t>매출조선신규</t>
        </is>
      </c>
      <c r="D39" t="inlineStr">
        <is>
          <t>매출 조선·해양(선박) 신규수주(forecast_panel base(공시 상계) — 매출조선에 포함)</t>
        </is>
      </c>
      <c r="E39" s="48">
        <f>IFERROR(VLOOKUP($A39,subQ,MATCH(E$1,SUBQH,0),0),"")</f>
        <v/>
      </c>
      <c r="F39" s="20">
        <f>IFERROR(VLOOKUP($A39,subQ,MATCH(F$1,SUBQH,0),0),"")</f>
        <v/>
      </c>
      <c r="G39" s="20">
        <f>IFERROR(VLOOKUP($A39,subQ,MATCH(G$1,SUBQH,0),0),"")</f>
        <v/>
      </c>
      <c r="H39" s="20">
        <f>IFERROR(VLOOKUP($A39,subQ,MATCH(H$1,SUBQH,0),0),"")</f>
        <v/>
      </c>
    </row>
    <row r="40">
      <c r="A40" s="12" t="inlineStr">
        <is>
          <t>OP조선</t>
        </is>
      </c>
      <c r="D40" t="inlineStr">
        <is>
          <t>OP 조선·해양(선박)</t>
        </is>
      </c>
      <c r="E40" s="48">
        <f>IFERROR(VLOOKUP($A40,subQ,MATCH(E$1,SUBQH,0),0),"")</f>
        <v/>
      </c>
      <c r="F40" s="20">
        <f>IFERROR(VLOOKUP($A40,subQ,MATCH(F$1,SUBQH,0),0),"")</f>
        <v/>
      </c>
      <c r="G40" s="20">
        <f>IFERROR(VLOOKUP($A40,subQ,MATCH(G$1,SUBQH,0),0),"")</f>
        <v/>
      </c>
      <c r="H40" s="20">
        <f>IFERROR(VLOOKUP($A40,subQ,MATCH(H$1,SUBQH,0),0),"")</f>
        <v/>
      </c>
    </row>
    <row r="41">
      <c r="A41" s="12" t="inlineStr">
        <is>
          <t>OP조선신규</t>
        </is>
      </c>
      <c r="D41" t="inlineStr">
        <is>
          <t>OP 조선·해양(선박) 신규수주(매출조선신규 × OPM — OP조선에 포함)</t>
        </is>
      </c>
      <c r="E41" s="48">
        <f>IFERROR(VLOOKUP($A41,subQ,MATCH(E$1,SUBQH,0),0),"")</f>
        <v/>
      </c>
      <c r="F41" s="20">
        <f>IFERROR(VLOOKUP($A41,subQ,MATCH(F$1,SUBQH,0),0),"")</f>
        <v/>
      </c>
      <c r="G41" s="20">
        <f>IFERROR(VLOOKUP($A41,subQ,MATCH(G$1,SUBQH,0),0),"")</f>
        <v/>
      </c>
      <c r="H41" s="20">
        <f>IFERROR(VLOOKUP($A41,subQ,MATCH(H$1,SUBQH,0),0),"")</f>
        <v/>
      </c>
    </row>
    <row r="42">
      <c r="A42" s="12" t="inlineStr">
        <is>
          <t>매출기타</t>
        </is>
      </c>
      <c r="D42" t="inlineStr">
        <is>
          <t>매출 기타 부문(총매출 − 조선)</t>
        </is>
      </c>
      <c r="E42" s="48">
        <f>IFERROR(VLOOKUP($A42,subQ,MATCH(E$1,SUBQH,0),0),"")</f>
        <v/>
      </c>
      <c r="F42" s="20">
        <f>IFERROR(VLOOKUP($A42,subQ,MATCH(F$1,SUBQH,0),0),"")</f>
        <v/>
      </c>
      <c r="G42" s="20">
        <f>IFERROR(VLOOKUP($A42,subQ,MATCH(G$1,SUBQH,0),0),"")</f>
        <v/>
      </c>
      <c r="H42" s="20">
        <f>IFERROR(VLOOKUP($A42,subQ,MATCH(H$1,SUBQH,0),0),"")</f>
        <v/>
      </c>
    </row>
    <row r="43">
      <c r="A43" s="12" t="inlineStr">
        <is>
          <t>OP기타</t>
        </is>
      </c>
      <c r="D43" t="inlineStr">
        <is>
          <t>OP 기타 부문(총매출 − 조선)</t>
        </is>
      </c>
      <c r="E43" s="48">
        <f>IFERROR(VLOOKUP($A43,subQ,MATCH(E$1,SUBQH,0),0),"")</f>
        <v/>
      </c>
      <c r="F43" s="20">
        <f>IFERROR(VLOOKUP($A43,subQ,MATCH(F$1,SUBQH,0),0),"")</f>
        <v/>
      </c>
      <c r="G43" s="20">
        <f>IFERROR(VLOOKUP($A43,subQ,MATCH(G$1,SUBQH,0),0),"")</f>
        <v/>
      </c>
      <c r="H43" s="20">
        <f>IFERROR(VLOOKUP($A43,subQ,MATCH(H$1,SUBQH,0),0),"")</f>
        <v/>
      </c>
    </row>
    <row r="44">
      <c r="A44" s="12" t="inlineStr">
        <is>
          <t>NPM</t>
        </is>
      </c>
      <c r="D44" t="inlineStr">
        <is>
          <t>NPM</t>
        </is>
      </c>
      <c r="E44" s="49">
        <f>IFERROR(VLOOKUP($A44,subQ,MATCH(E$1,SUBQH,0),0),"")</f>
        <v/>
      </c>
      <c r="F44" s="32">
        <f>IFERROR(VLOOKUP($A44,subQ,MATCH(F$1,SUBQH,0),0),"")</f>
        <v/>
      </c>
      <c r="G44" s="32">
        <f>IFERROR(VLOOKUP($A44,subQ,MATCH(G$1,SUBQH,0),0),"")</f>
        <v/>
      </c>
      <c r="H44" s="32">
        <f>IFERROR(VLOOKUP($A44,subQ,MATCH(H$1,SUBQH,0),0),"")</f>
        <v/>
      </c>
    </row>
    <row r="45">
      <c r="A45" s="12" t="inlineStr">
        <is>
          <t>매출액 YoY</t>
        </is>
      </c>
      <c r="D45" t="inlineStr">
        <is>
          <t>매출액 YoY</t>
        </is>
      </c>
      <c r="E45" s="45" t="n"/>
      <c r="F45" s="32">
        <f>IFERROR(F5/E5-1,"")</f>
        <v/>
      </c>
      <c r="G45" s="32">
        <f>IFERROR(G5/F5-1,"")</f>
        <v/>
      </c>
      <c r="H45" s="32">
        <f>IFERROR(H5/G5-1,"")</f>
        <v/>
      </c>
    </row>
    <row r="46">
      <c r="A46" s="12" t="inlineStr">
        <is>
          <t>영업이익 YoY</t>
        </is>
      </c>
      <c r="D46" t="inlineStr">
        <is>
          <t>영업이익 YoY</t>
        </is>
      </c>
      <c r="E46" s="45" t="n"/>
      <c r="F46" s="32">
        <f>IFERROR(F9/E9-1,"")</f>
        <v/>
      </c>
      <c r="G46" s="32">
        <f>IFERROR(G9/F9-1,"")</f>
        <v/>
      </c>
      <c r="H46" s="32">
        <f>IFERROR(H9/G9-1,"")</f>
        <v/>
      </c>
    </row>
    <row r="47">
      <c r="A47" s="12" t="inlineStr">
        <is>
          <t>지배주주순이익 YoY</t>
        </is>
      </c>
      <c r="D47" t="inlineStr">
        <is>
          <t>지배주주순이익 YoY</t>
        </is>
      </c>
      <c r="E47" s="45" t="n"/>
      <c r="F47" s="32">
        <f>IFERROR(F21/E21-1,"")</f>
        <v/>
      </c>
      <c r="G47" s="32">
        <f>IFERROR(G21/F21-1,"")</f>
        <v/>
      </c>
      <c r="H47" s="32">
        <f>IFERROR(H21/G21-1,"")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변수!D46</f>
        <v/>
      </c>
    </row>
    <row r="2">
      <c r="B2" s="1" t="inlineStr">
        <is>
          <t>기준일</t>
        </is>
      </c>
      <c r="C2">
        <f>변수!D47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52" t="n">
        <v>2025</v>
      </c>
      <c r="E5" s="52" t="n">
        <v>2026</v>
      </c>
      <c r="F5" s="52" t="n">
        <v>2027</v>
      </c>
      <c r="G5" s="52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IFERROR(E7*변수!D52+F7*(1-변수!D52),"")</f>
        <v/>
      </c>
    </row>
    <row r="15">
      <c r="C15" t="inlineStr">
        <is>
          <t>적정가치 @PER_lo</t>
        </is>
      </c>
      <c r="D15" s="26">
        <f>변수!D49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6">
        <f>변수!D50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6">
        <f>변수!D51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6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변수!D48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6674.8</v>
      </c>
    </row>
    <row r="30">
      <c r="C30" s="2" t="inlineStr">
        <is>
          <t>bps_latest</t>
        </is>
      </c>
      <c r="D30" t="n">
        <v>31475.5</v>
      </c>
    </row>
    <row r="31">
      <c r="C31" s="2" t="inlineStr">
        <is>
          <t>per_now</t>
        </is>
      </c>
      <c r="D31" t="n">
        <v>6.28</v>
      </c>
    </row>
    <row r="32">
      <c r="C32" s="2" t="inlineStr">
        <is>
          <t>pbr_now</t>
        </is>
      </c>
      <c r="D32" t="n">
        <v>1.33</v>
      </c>
    </row>
    <row r="33">
      <c r="C33" s="2" t="inlineStr">
        <is>
          <t>roe_fwd</t>
        </is>
      </c>
      <c r="D33" t="n">
        <v>0.2121</v>
      </c>
    </row>
    <row r="34">
      <c r="C34" s="2" t="inlineStr">
        <is>
          <t>fair_pbr</t>
        </is>
      </c>
      <c r="D34" t="n">
        <v>2.36</v>
      </c>
    </row>
    <row r="35">
      <c r="C35" s="2" t="inlineStr">
        <is>
          <t>fair_value_pbr</t>
        </is>
      </c>
      <c r="D35" t="n">
        <v>74300</v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C1" s="2" t="inlineStr">
        <is>
          <t>이름: 외화QH — 환율 QoQ · 외화 순노출 × Δ기말환율</t>
        </is>
      </c>
      <c r="E1" s="3" t="inlineStr">
        <is>
          <t>2Q25</t>
        </is>
      </c>
      <c r="F1" s="3" t="inlineStr">
        <is>
          <t>3Q25</t>
        </is>
      </c>
      <c r="G1" s="3" t="inlineStr">
        <is>
          <t>4Q25</t>
        </is>
      </c>
      <c r="H1" s="3" t="inlineStr">
        <is>
          <t>1Q26</t>
        </is>
      </c>
      <c r="I1" s="3" t="inlineStr">
        <is>
          <t>2Q26</t>
        </is>
      </c>
      <c r="J1" s="3" t="inlineStr">
        <is>
          <t>3Q26</t>
        </is>
      </c>
      <c r="K1" s="3" t="inlineStr">
        <is>
          <t>4Q26</t>
        </is>
      </c>
      <c r="L1" s="3" t="inlineStr">
        <is>
          <t>1Q27</t>
        </is>
      </c>
      <c r="M1" s="3" t="inlineStr">
        <is>
          <t>2Q27</t>
        </is>
      </c>
      <c r="N1" s="3" t="inlineStr">
        <is>
          <t>3Q27</t>
        </is>
      </c>
      <c r="O1" s="3" t="inlineStr">
        <is>
          <t>4Q27</t>
        </is>
      </c>
      <c r="P1" s="3" t="inlineStr">
        <is>
          <t>1Q28</t>
        </is>
      </c>
      <c r="Q1" s="3" t="inlineStr">
        <is>
          <t>2Q28</t>
        </is>
      </c>
      <c r="R1" s="3" t="inlineStr">
        <is>
          <t>3Q28</t>
        </is>
      </c>
      <c r="S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</row>
    <row r="4">
      <c r="E4" s="7" t="inlineStr">
        <is>
          <t>2025.06</t>
        </is>
      </c>
      <c r="F4" s="7" t="inlineStr">
        <is>
          <t>2025.09</t>
        </is>
      </c>
      <c r="G4" s="7" t="inlineStr">
        <is>
          <t>2025.12</t>
        </is>
      </c>
      <c r="H4" s="7" t="inlineStr">
        <is>
          <t>2026.03</t>
        </is>
      </c>
      <c r="I4" s="7" t="inlineStr">
        <is>
          <t>2026.06</t>
        </is>
      </c>
      <c r="J4" s="7" t="inlineStr">
        <is>
          <t>2026.09</t>
        </is>
      </c>
      <c r="K4" s="7" t="inlineStr">
        <is>
          <t>2026.12</t>
        </is>
      </c>
      <c r="L4" s="7" t="inlineStr">
        <is>
          <t>2027.03</t>
        </is>
      </c>
      <c r="M4" s="7" t="inlineStr">
        <is>
          <t>2027.06</t>
        </is>
      </c>
      <c r="N4" s="7" t="inlineStr">
        <is>
          <t>2027.09</t>
        </is>
      </c>
      <c r="O4" s="7" t="inlineStr">
        <is>
          <t>2027.12</t>
        </is>
      </c>
      <c r="P4" s="7" t="inlineStr">
        <is>
          <t>2028.03</t>
        </is>
      </c>
      <c r="Q4" s="7" t="inlineStr">
        <is>
          <t>2028.06</t>
        </is>
      </c>
      <c r="R4" s="7" t="inlineStr">
        <is>
          <t>2028.09</t>
        </is>
      </c>
      <c r="S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39">
        <f>IFERROR(VLOOKUP($D5,환율,MATCH(J$1,변수H,0),0),"")</f>
        <v/>
      </c>
      <c r="K5" s="39">
        <f>IFERROR(VLOOKUP($D5,환율,MATCH(K$1,변수H,0),0),"")</f>
        <v/>
      </c>
      <c r="L5" s="39">
        <f>IFERROR(VLOOKUP($D5,환율,MATCH(L$1,변수H,0),0),"")</f>
        <v/>
      </c>
      <c r="M5" s="39">
        <f>IFERROR(VLOOKUP($D5,환율,MATCH(M$1,변수H,0),0),"")</f>
        <v/>
      </c>
      <c r="N5" s="39">
        <f>IFERROR(VLOOKUP($D5,환율,MATCH(N$1,변수H,0),0),"")</f>
        <v/>
      </c>
      <c r="O5" s="39">
        <f>IFERROR(VLOOKUP($D5,환율,MATCH(O$1,변수H,0),0),"")</f>
        <v/>
      </c>
      <c r="P5" s="39">
        <f>IFERROR(VLOOKUP($D5,환율,MATCH(P$1,변수H,0),0),"")</f>
        <v/>
      </c>
      <c r="Q5" s="39">
        <f>IFERROR(VLOOKUP($D5,환율,MATCH(Q$1,변수H,0),0),"")</f>
        <v/>
      </c>
      <c r="R5" s="39">
        <f>IFERROR(VLOOKUP($D5,환율,MATCH(R$1,변수H,0),0),"")</f>
        <v/>
      </c>
      <c r="S5" s="39">
        <f>IFERROR(VLOOKUP($D5,환율,MATCH(S$1,변수H,0),0),"")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32">
        <f>IFERROR(J5/I5-1,"")</f>
        <v/>
      </c>
      <c r="K6" s="32">
        <f>IFERROR(K5/J5-1,"")</f>
        <v/>
      </c>
      <c r="L6" s="32">
        <f>IFERROR(L5/K5-1,"")</f>
        <v/>
      </c>
      <c r="M6" s="32">
        <f>IFERROR(M5/L5-1,"")</f>
        <v/>
      </c>
      <c r="N6" s="32">
        <f>IFERROR(N5/M5-1,"")</f>
        <v/>
      </c>
      <c r="O6" s="32">
        <f>IFERROR(O5/N5-1,"")</f>
        <v/>
      </c>
      <c r="P6" s="32">
        <f>IFERROR(P5/O5-1,"")</f>
        <v/>
      </c>
      <c r="Q6" s="32">
        <f>IFERROR(Q5/P5-1,"")</f>
        <v/>
      </c>
      <c r="R6" s="32">
        <f>IFERROR(R5/Q5-1,"")</f>
        <v/>
      </c>
      <c r="S6" s="32">
        <f>IFERROR(S5/R5-1,"")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39">
        <f>IFERROR(VLOOKUP($D7,환율,MATCH(J$1,변수H,0),0),"")</f>
        <v/>
      </c>
      <c r="K7" s="39">
        <f>IFERROR(VLOOKUP($D7,환율,MATCH(K$1,변수H,0),0),"")</f>
        <v/>
      </c>
      <c r="L7" s="39">
        <f>IFERROR(VLOOKUP($D7,환율,MATCH(L$1,변수H,0),0),"")</f>
        <v/>
      </c>
      <c r="M7" s="39">
        <f>IFERROR(VLOOKUP($D7,환율,MATCH(M$1,변수H,0),0),"")</f>
        <v/>
      </c>
      <c r="N7" s="39">
        <f>IFERROR(VLOOKUP($D7,환율,MATCH(N$1,변수H,0),0),"")</f>
        <v/>
      </c>
      <c r="O7" s="39">
        <f>IFERROR(VLOOKUP($D7,환율,MATCH(O$1,변수H,0),0),"")</f>
        <v/>
      </c>
      <c r="P7" s="39">
        <f>IFERROR(VLOOKUP($D7,환율,MATCH(P$1,변수H,0),0),"")</f>
        <v/>
      </c>
      <c r="Q7" s="39">
        <f>IFERROR(VLOOKUP($D7,환율,MATCH(Q$1,변수H,0),0),"")</f>
        <v/>
      </c>
      <c r="R7" s="39">
        <f>IFERROR(VLOOKUP($D7,환율,MATCH(R$1,변수H,0),0),"")</f>
        <v/>
      </c>
      <c r="S7" s="39">
        <f>IFERROR(VLOOKUP($D7,환율,MATCH(S$1,변수H,0),0),"")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32">
        <f>IFERROR(J7/I7-1,"")</f>
        <v/>
      </c>
      <c r="K8" s="32">
        <f>IFERROR(K7/J7-1,"")</f>
        <v/>
      </c>
      <c r="L8" s="32">
        <f>IFERROR(L7/K7-1,"")</f>
        <v/>
      </c>
      <c r="M8" s="32">
        <f>IFERROR(M7/L7-1,"")</f>
        <v/>
      </c>
      <c r="N8" s="32">
        <f>IFERROR(N7/M7-1,"")</f>
        <v/>
      </c>
      <c r="O8" s="32">
        <f>IFERROR(O7/N7-1,"")</f>
        <v/>
      </c>
      <c r="P8" s="32">
        <f>IFERROR(P7/O7-1,"")</f>
        <v/>
      </c>
      <c r="Q8" s="32">
        <f>IFERROR(Q7/P7-1,"")</f>
        <v/>
      </c>
      <c r="R8" s="32">
        <f>IFERROR(R7/Q7-1,"")</f>
        <v/>
      </c>
      <c r="S8" s="32">
        <f>IFERROR(S7/R7-1,"")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39">
        <f>IFERROR(VLOOKUP($D9,환율,MATCH(J$1,변수H,0),0),"")</f>
        <v/>
      </c>
      <c r="K9" s="39">
        <f>IFERROR(VLOOKUP($D9,환율,MATCH(K$1,변수H,0),0),"")</f>
        <v/>
      </c>
      <c r="L9" s="39">
        <f>IFERROR(VLOOKUP($D9,환율,MATCH(L$1,변수H,0),0),"")</f>
        <v/>
      </c>
      <c r="M9" s="39">
        <f>IFERROR(VLOOKUP($D9,환율,MATCH(M$1,변수H,0),0),"")</f>
        <v/>
      </c>
      <c r="N9" s="39">
        <f>IFERROR(VLOOKUP($D9,환율,MATCH(N$1,변수H,0),0),"")</f>
        <v/>
      </c>
      <c r="O9" s="39">
        <f>IFERROR(VLOOKUP($D9,환율,MATCH(O$1,변수H,0),0),"")</f>
        <v/>
      </c>
      <c r="P9" s="39">
        <f>IFERROR(VLOOKUP($D9,환율,MATCH(P$1,변수H,0),0),"")</f>
        <v/>
      </c>
      <c r="Q9" s="39">
        <f>IFERROR(VLOOKUP($D9,환율,MATCH(Q$1,변수H,0),0),"")</f>
        <v/>
      </c>
      <c r="R9" s="39">
        <f>IFERROR(VLOOKUP($D9,환율,MATCH(R$1,변수H,0),0),"")</f>
        <v/>
      </c>
      <c r="S9" s="39">
        <f>IFERROR(VLOOKUP($D9,환율,MATCH(S$1,변수H,0),0),"")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32">
        <f>IFERROR(J9/I9-1,"")</f>
        <v/>
      </c>
      <c r="K10" s="32">
        <f>IFERROR(K9/J9-1,"")</f>
        <v/>
      </c>
      <c r="L10" s="32">
        <f>IFERROR(L9/K9-1,"")</f>
        <v/>
      </c>
      <c r="M10" s="32">
        <f>IFERROR(M9/L9-1,"")</f>
        <v/>
      </c>
      <c r="N10" s="32">
        <f>IFERROR(N9/M9-1,"")</f>
        <v/>
      </c>
      <c r="O10" s="32">
        <f>IFERROR(O9/N9-1,"")</f>
        <v/>
      </c>
      <c r="P10" s="32">
        <f>IFERROR(P9/O9-1,"")</f>
        <v/>
      </c>
      <c r="Q10" s="32">
        <f>IFERROR(Q9/P9-1,"")</f>
        <v/>
      </c>
      <c r="R10" s="32">
        <f>IFERROR(R9/Q9-1,"")</f>
        <v/>
      </c>
      <c r="S10" s="32">
        <f>IFERROR(S9/R9-1,"")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39">
        <f>IFERROR(VLOOKUP($D11,환율,MATCH(J$1,변수H,0),0),"")</f>
        <v/>
      </c>
      <c r="K11" s="39">
        <f>IFERROR(VLOOKUP($D11,환율,MATCH(K$1,변수H,0),0),"")</f>
        <v/>
      </c>
      <c r="L11" s="39">
        <f>IFERROR(VLOOKUP($D11,환율,MATCH(L$1,변수H,0),0),"")</f>
        <v/>
      </c>
      <c r="M11" s="39">
        <f>IFERROR(VLOOKUP($D11,환율,MATCH(M$1,변수H,0),0),"")</f>
        <v/>
      </c>
      <c r="N11" s="39">
        <f>IFERROR(VLOOKUP($D11,환율,MATCH(N$1,변수H,0),0),"")</f>
        <v/>
      </c>
      <c r="O11" s="39">
        <f>IFERROR(VLOOKUP($D11,환율,MATCH(O$1,변수H,0),0),"")</f>
        <v/>
      </c>
      <c r="P11" s="39">
        <f>IFERROR(VLOOKUP($D11,환율,MATCH(P$1,변수H,0),0),"")</f>
        <v/>
      </c>
      <c r="Q11" s="39">
        <f>IFERROR(VLOOKUP($D11,환율,MATCH(Q$1,변수H,0),0),"")</f>
        <v/>
      </c>
      <c r="R11" s="39">
        <f>IFERROR(VLOOKUP($D11,환율,MATCH(R$1,변수H,0),0),"")</f>
        <v/>
      </c>
      <c r="S11" s="39">
        <f>IFERROR(VLOOKUP($D11,환율,MATCH(S$1,변수H,0),0),"")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32">
        <f>IFERROR(J11/I11-1,"")</f>
        <v/>
      </c>
      <c r="K12" s="32">
        <f>IFERROR(K11/J11-1,"")</f>
        <v/>
      </c>
      <c r="L12" s="32">
        <f>IFERROR(L11/K11-1,"")</f>
        <v/>
      </c>
      <c r="M12" s="32">
        <f>IFERROR(M11/L11-1,"")</f>
        <v/>
      </c>
      <c r="N12" s="32">
        <f>IFERROR(N11/M11-1,"")</f>
        <v/>
      </c>
      <c r="O12" s="32">
        <f>IFERROR(O11/N11-1,"")</f>
        <v/>
      </c>
      <c r="P12" s="32">
        <f>IFERROR(P11/O11-1,"")</f>
        <v/>
      </c>
      <c r="Q12" s="32">
        <f>IFERROR(Q11/P11-1,"")</f>
        <v/>
      </c>
      <c r="R12" s="32">
        <f>IFERROR(R11/Q11-1,"")</f>
        <v/>
      </c>
      <c r="S12" s="32">
        <f>IFERROR(S11/R11-1,"")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39">
        <f>IFERROR(VLOOKUP($D13,환율,MATCH(J$1,변수H,0),0),"")</f>
        <v/>
      </c>
      <c r="K13" s="39">
        <f>IFERROR(VLOOKUP($D13,환율,MATCH(K$1,변수H,0),0),"")</f>
        <v/>
      </c>
      <c r="L13" s="39">
        <f>IFERROR(VLOOKUP($D13,환율,MATCH(L$1,변수H,0),0),"")</f>
        <v/>
      </c>
      <c r="M13" s="39">
        <f>IFERROR(VLOOKUP($D13,환율,MATCH(M$1,변수H,0),0),"")</f>
        <v/>
      </c>
      <c r="N13" s="39">
        <f>IFERROR(VLOOKUP($D13,환율,MATCH(N$1,변수H,0),0),"")</f>
        <v/>
      </c>
      <c r="O13" s="39">
        <f>IFERROR(VLOOKUP($D13,환율,MATCH(O$1,변수H,0),0),"")</f>
        <v/>
      </c>
      <c r="P13" s="39">
        <f>IFERROR(VLOOKUP($D13,환율,MATCH(P$1,변수H,0),0),"")</f>
        <v/>
      </c>
      <c r="Q13" s="39">
        <f>IFERROR(VLOOKUP($D13,환율,MATCH(Q$1,변수H,0),0),"")</f>
        <v/>
      </c>
      <c r="R13" s="39">
        <f>IFERROR(VLOOKUP($D13,환율,MATCH(R$1,변수H,0),0),"")</f>
        <v/>
      </c>
      <c r="S13" s="39">
        <f>IFERROR(VLOOKUP($D13,환율,MATCH(S$1,변수H,0),0),"")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32">
        <f>IFERROR(J13/I13-1,"")</f>
        <v/>
      </c>
      <c r="K14" s="32">
        <f>IFERROR(K13/J13-1,"")</f>
        <v/>
      </c>
      <c r="L14" s="32">
        <f>IFERROR(L13/K13-1,"")</f>
        <v/>
      </c>
      <c r="M14" s="32">
        <f>IFERROR(M13/L13-1,"")</f>
        <v/>
      </c>
      <c r="N14" s="32">
        <f>IFERROR(N13/M13-1,"")</f>
        <v/>
      </c>
      <c r="O14" s="32">
        <f>IFERROR(O13/N13-1,"")</f>
        <v/>
      </c>
      <c r="P14" s="32">
        <f>IFERROR(P13/O13-1,"")</f>
        <v/>
      </c>
      <c r="Q14" s="32">
        <f>IFERROR(Q13/P13-1,"")</f>
        <v/>
      </c>
      <c r="R14" s="32">
        <f>IFERROR(R13/Q13-1,"")</f>
        <v/>
      </c>
      <c r="S14" s="32">
        <f>IFERROR(S13/R13-1,"")</f>
        <v/>
      </c>
    </row>
    <row r="15"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6">
        <f>변수!D59</f>
        <v/>
      </c>
      <c r="E16" s="2" t="inlineStr">
        <is>
          <t>외화 순노출 × Δ기말환율 (외화 시트 방식)</t>
        </is>
      </c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 — subQ 환관련손익 행과 같은 수식(변수 환율·노출 참조)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20">
        <f>IFERROR($D$16*(J7-I7)/100,"")</f>
        <v/>
      </c>
      <c r="K17" s="20">
        <f>IFERROR($D$16*(K7-J7)/100,"")</f>
        <v/>
      </c>
      <c r="L17" s="20">
        <f>IFERROR($D$16*(L7-K7)/100,"")</f>
        <v/>
      </c>
      <c r="M17" s="20">
        <f>IFERROR($D$16*(M7-L7)/100,"")</f>
        <v/>
      </c>
      <c r="N17" s="20">
        <f>IFERROR($D$16*(N7-M7)/100,"")</f>
        <v/>
      </c>
      <c r="O17" s="20">
        <f>IFERROR($D$16*(O7-N7)/100,"")</f>
        <v/>
      </c>
      <c r="P17" s="20">
        <f>IFERROR($D$16*(P7-O7)/100,"")</f>
        <v/>
      </c>
      <c r="Q17" s="20">
        <f>IFERROR($D$16*(Q7-P7)/100,"")</f>
        <v/>
      </c>
      <c r="R17" s="20">
        <f>IFERROR($D$16*(R7-Q7)/100,"")</f>
        <v/>
      </c>
      <c r="S17" s="20">
        <f>IFERROR($D$16*(S7-R7)/100,"")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J18" s="20" t="n">
        <v>4.48</v>
      </c>
      <c r="K18" s="20" t="n">
        <v>0.32</v>
      </c>
      <c r="L18" s="20" t="n">
        <v>-0</v>
      </c>
      <c r="M18" s="20" t="n">
        <v>-0</v>
      </c>
      <c r="N18" s="20" t="n">
        <v>-0</v>
      </c>
      <c r="O18" s="20" t="n">
        <v>-0</v>
      </c>
      <c r="P18" s="20" t="n">
        <v>-0</v>
      </c>
      <c r="Q18" s="20" t="n">
        <v>-0</v>
      </c>
      <c r="R18" s="20" t="n">
        <v>-0</v>
      </c>
      <c r="S18" s="20" t="n">
        <v>-0</v>
      </c>
    </row>
    <row r="19">
      <c r="C19" s="2" t="inlineStr">
        <is>
          <t>정기보고서 환위험 표 '순 노출' USD(2026Q2) 기준 — 헤지회계(OCI) 반영분은 알 수 없어 전액 손익 가정</t>
        </is>
      </c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2026-10-14T00:00:00Z</dcterms:created>
  <dcterms:modified xsi:type="dcterms:W3CDTF">2026-10-14T00:00:00Z</dcterms:modified>
</cp:coreProperties>
</file>