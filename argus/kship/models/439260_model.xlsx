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2589억(sls.by_quarter.marine_hedged_krw_m_signed_by_origin(헤지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2529억(sls.by_quarter.marine_hedged_krw_m_signed_by_origin(헤지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2557억(sls.by_quarter.marine_hedged_krw_m_signed_by_origin(헤지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2436억(sls.by_quarter.marine_hedged_krw_m_signed_by_origin(헤지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2102억(sls.by_quarter.marine_hedged_krw_m_signed_by_origin(헤지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1912억(sls.by_quarter.marine_hedged_krw_m_signed_by_origin(헤지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1912억(sls.by_quarter.marine_hedged_krw_m_signed_by_origin(헤지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1676억(sls.by_quarter.marine_hedged_krw_m_signed_by_origin(헤지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1278억(sls.by_quarter.marine_hedged_krw_m_signed_by_origin(헤지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</t>
      </text>
    </comment>
    <comment ref="K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L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N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O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P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Q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S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T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U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V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K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L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N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O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P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Q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S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T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U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V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6379억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6964억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7586억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8192억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8957억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9756억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10621억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11498억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12520억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6379억 × 2.21%(주석 이자수익 ÷ 평균 이자발생자산(2025Q3~2026Q2)) − 총차입금 0억 × 0.00%(없음) (연율) ÷ 4
[interest]</t>
      </text>
    </comment>
    <comment ref="N12" authorId="0" shapeId="0">
      <text>
        <t>추정: 이자발생자산 6964억 × 2.21%(주석 이자수익 ÷ 평균 이자발생자산(2025Q3~2026Q2)) − 총차입금 0억 × 0.00%(없음) (연율) ÷ 4
[interest]</t>
      </text>
    </comment>
    <comment ref="O12" authorId="0" shapeId="0">
      <text>
        <t>추정: 이자발생자산 7586억 × 2.21%(주석 이자수익 ÷ 평균 이자발생자산(2025Q3~2026Q2)) − 총차입금 0억 × 0.00%(없음) (연율) ÷ 4
[interest]</t>
      </text>
    </comment>
    <comment ref="P12" authorId="0" shapeId="0">
      <text>
        <t>추정: 이자발생자산 8192억 × 2.21%(주석 이자수익 ÷ 평균 이자발생자산(2025Q3~2026Q2)) − 총차입금 0억 × 0.00%(없음) (연율) ÷ 4
[interest]</t>
      </text>
    </comment>
    <comment ref="Q12" authorId="0" shapeId="0">
      <text>
        <t>추정: 이자발생자산 8957억 × 2.21%(주석 이자수익 ÷ 평균 이자발생자산(2025Q3~2026Q2)) − 총차입금 0억 × 0.00%(없음) (연율) ÷ 4
[interest]</t>
      </text>
    </comment>
    <comment ref="S12" authorId="0" shapeId="0">
      <text>
        <t>추정: 이자발생자산 9756억 × 2.21%(주석 이자수익 ÷ 평균 이자발생자산(2025Q3~2026Q2)) − 총차입금 0억 × 0.00%(없음) (연율) ÷ 4
[interest]</t>
      </text>
    </comment>
    <comment ref="T12" authorId="0" shapeId="0">
      <text>
        <t>추정: 이자발생자산 10621억 × 2.21%(주석 이자수익 ÷ 평균 이자발생자산(2025Q3~2026Q2)) − 총차입금 0억 × 0.00%(없음) (연율) ÷ 4
[interest]</t>
      </text>
    </comment>
    <comment ref="U12" authorId="0" shapeId="0">
      <text>
        <t>추정: 이자발생자산 11498억 × 2.21%(주석 이자수익 ÷ 평균 이자발생자산(2025Q3~2026Q2)) − 총차입금 0억 × 0.00%(없음) (연율) ÷ 4
[interest]</t>
      </text>
    </comment>
    <comment ref="V12" authorId="0" shapeId="0">
      <text>
        <t>추정: 이자발생자산 12520억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
[sls_link]</t>
      </text>
    </comment>
    <comment ref="L38" authorId="0" shapeId="0">
      <text>
        <t>추정: SLS 해양 원화 2589억(sls.by_quarter.marine_hedged_krw_m_signed_by_origin(헤지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
[sls_link]</t>
      </text>
    </comment>
    <comment ref="N38" authorId="0" shapeId="0">
      <text>
        <t>추정: SLS 해양 원화 2529억(sls.by_quarter.marine_hedged_krw_m_signed_by_origin(헤지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
[sls_link]</t>
      </text>
    </comment>
    <comment ref="O38" authorId="0" shapeId="0">
      <text>
        <t>추정: SLS 해양 원화 2557억(sls.by_quarter.marine_hedged_krw_m_signed_by_origin(헤지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
[sls_link]</t>
      </text>
    </comment>
    <comment ref="P38" authorId="0" shapeId="0">
      <text>
        <t>추정: SLS 해양 원화 2436억(sls.by_quarter.marine_hedged_krw_m_signed_by_origin(헤지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
[sls_link]</t>
      </text>
    </comment>
    <comment ref="Q38" authorId="0" shapeId="0">
      <text>
        <t>추정: SLS 해양 원화 2102억(sls.by_quarter.marine_hedged_krw_m_signed_by_origin(헤지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
[sls_link]</t>
      </text>
    </comment>
    <comment ref="S38" authorId="0" shapeId="0">
      <text>
        <t>추정: SLS 해양 원화 1912억(sls.by_quarter.marine_hedged_krw_m_signed_by_origin(헤지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
[sls_link]</t>
      </text>
    </comment>
    <comment ref="T38" authorId="0" shapeId="0">
      <text>
        <t>추정: SLS 해양 원화 1912억(sls.by_quarter.marine_hedged_krw_m_signed_by_origin(헤지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
[sls_link]</t>
      </text>
    </comment>
    <comment ref="U38" authorId="0" shapeId="0">
      <text>
        <t>추정: SLS 해양 원화 1676억(sls.by_quarter.marine_hedged_krw_m_signed_by_origin(헤지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
[sls_link]</t>
      </text>
    </comment>
    <comment ref="V38" authorId="0" shapeId="0">
      <text>
        <t>추정: SLS 해양 원화 1278억(sls.by_quarter.marine_hedged_krw_m_signed_by_origin(헤지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3.0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15.0% 상수(코호트 모드 reference_anchor); 경로 변화는 등급 없는 비중의 실측 중위 26.8% 채움에서만, 추정 구간 타겟 15.00%→15.00%) / 추정 매출조선 = 2026Q2 기준 잔고 소진분 + forecast_panel base 신규수주 매출(미보정 book-value proxy, status partial; FY합 14,599억) — 보수/낙관은 scenarios 블록(합산 안 함) / origin 이후 공시 수주 1건 2,713억은 패널 신규에 포함된 것으로 보아 기존 SLS 에서 제외 — 추정 창 SLS −1,897억(2026 345억 · 2027 775억 · 2028 777억)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제외 SLS vs 패널 base 신규 매출: 2026 345억 vs 82억 · 2027 775억 vs 3,561억 · 2028 777억 vs 10,956억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1351.18</v>
      </c>
      <c r="M6" s="17" t="n">
        <v>1459.61</v>
      </c>
      <c r="N6" s="16" t="n">
        <v>1343.98</v>
      </c>
      <c r="O6" s="16" t="n">
        <v>1343.98</v>
      </c>
      <c r="P6" s="16" t="n">
        <v>1343.98</v>
      </c>
      <c r="Q6" s="16" t="n">
        <v>1343.98</v>
      </c>
      <c r="R6" s="11" t="n"/>
      <c r="S6" s="16" t="n">
        <v>1343.98</v>
      </c>
      <c r="T6" s="16" t="n">
        <v>1343.98</v>
      </c>
      <c r="U6" s="16" t="n">
        <v>1343.98</v>
      </c>
      <c r="V6" s="16" t="n">
        <v>1343.98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1343.98</v>
      </c>
      <c r="M7" s="17" t="n">
        <v>1343.98</v>
      </c>
      <c r="N7" s="16" t="n">
        <v>1343.98</v>
      </c>
      <c r="O7" s="16" t="n">
        <v>1343.98</v>
      </c>
      <c r="P7" s="16" t="n">
        <v>1343.98</v>
      </c>
      <c r="Q7" s="16" t="n">
        <v>1343.98</v>
      </c>
      <c r="R7" s="11" t="n"/>
      <c r="S7" s="16" t="n">
        <v>1343.98</v>
      </c>
      <c r="T7" s="16" t="n">
        <v>1343.98</v>
      </c>
      <c r="U7" s="16" t="n">
        <v>1343.98</v>
      </c>
      <c r="V7" s="16" t="n">
        <v>1343.98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855.39</v>
      </c>
      <c r="M8" s="17" t="n">
        <v>920.6900000000001</v>
      </c>
      <c r="N8" s="16" t="n">
        <v>849.38</v>
      </c>
      <c r="O8" s="16" t="n">
        <v>849.38</v>
      </c>
      <c r="P8" s="16" t="n">
        <v>849.38</v>
      </c>
      <c r="Q8" s="16" t="n">
        <v>849.38</v>
      </c>
      <c r="R8" s="11" t="n"/>
      <c r="S8" s="16" t="n">
        <v>849.38</v>
      </c>
      <c r="T8" s="16" t="n">
        <v>849.38</v>
      </c>
      <c r="U8" s="16" t="n">
        <v>849.38</v>
      </c>
      <c r="V8" s="16" t="n">
        <v>849.38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849.38</v>
      </c>
      <c r="M9" s="17" t="n">
        <v>849.38</v>
      </c>
      <c r="N9" s="16" t="n">
        <v>849.38</v>
      </c>
      <c r="O9" s="16" t="n">
        <v>849.38</v>
      </c>
      <c r="P9" s="16" t="n">
        <v>849.38</v>
      </c>
      <c r="Q9" s="16" t="n">
        <v>849.38</v>
      </c>
      <c r="R9" s="11" t="n"/>
      <c r="S9" s="16" t="n">
        <v>849.38</v>
      </c>
      <c r="T9" s="16" t="n">
        <v>849.38</v>
      </c>
      <c r="U9" s="16" t="n">
        <v>849.38</v>
      </c>
      <c r="V9" s="16" t="n">
        <v>849.38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1519.07</v>
      </c>
      <c r="M10" s="17" t="n">
        <v>1693.81</v>
      </c>
      <c r="N10" s="16" t="n">
        <v>1505.79</v>
      </c>
      <c r="O10" s="16" t="n">
        <v>1505.79</v>
      </c>
      <c r="P10" s="16" t="n">
        <v>1505.79</v>
      </c>
      <c r="Q10" s="16" t="n">
        <v>1505.79</v>
      </c>
      <c r="R10" s="11" t="n"/>
      <c r="S10" s="16" t="n">
        <v>1505.79</v>
      </c>
      <c r="T10" s="16" t="n">
        <v>1505.79</v>
      </c>
      <c r="U10" s="16" t="n">
        <v>1505.79</v>
      </c>
      <c r="V10" s="16" t="n">
        <v>1505.79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1505.79</v>
      </c>
      <c r="M11" s="17" t="n">
        <v>1505.79</v>
      </c>
      <c r="N11" s="16" t="n">
        <v>1505.79</v>
      </c>
      <c r="O11" s="16" t="n">
        <v>1505.79</v>
      </c>
      <c r="P11" s="16" t="n">
        <v>1505.79</v>
      </c>
      <c r="Q11" s="16" t="n">
        <v>1505.79</v>
      </c>
      <c r="R11" s="11" t="n"/>
      <c r="S11" s="16" t="n">
        <v>1505.79</v>
      </c>
      <c r="T11" s="16" t="n">
        <v>1505.79</v>
      </c>
      <c r="U11" s="16" t="n">
        <v>1505.79</v>
      </c>
      <c r="V11" s="16" t="n">
        <v>1505.79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201.53</v>
      </c>
      <c r="M12" s="17" t="n">
        <v>214.03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47900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44800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46633.3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-0.007163479</v>
      </c>
      <c r="L29" s="29" t="n">
        <v>0.007849182999999999</v>
      </c>
      <c r="M29" s="30" t="n"/>
      <c r="N29" s="29" t="n">
        <v>0.005120062</v>
      </c>
      <c r="O29" s="29" t="n">
        <v>95.22007296699999</v>
      </c>
      <c r="P29" s="29" t="n">
        <v>-0.000424953</v>
      </c>
      <c r="Q29" s="29" t="n">
        <v>-0.00083998</v>
      </c>
      <c r="R29" s="30" t="n"/>
      <c r="S29" s="29" t="n">
        <v>-0.004027772</v>
      </c>
      <c r="T29" s="29" t="n">
        <v>95.226824377</v>
      </c>
      <c r="U29" s="29" t="n">
        <v>0.003984354</v>
      </c>
      <c r="V29" s="29" t="n">
        <v>0.003115029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-0.007163479</v>
      </c>
      <c r="L30" s="29" t="n">
        <v>0.007849182999999999</v>
      </c>
      <c r="M30" s="30" t="n"/>
      <c r="N30" s="29" t="n">
        <v>0.005120062</v>
      </c>
      <c r="O30" s="29" t="n">
        <v>95.22007296699999</v>
      </c>
      <c r="P30" s="29" t="n">
        <v>-0.000424953</v>
      </c>
      <c r="Q30" s="29" t="n">
        <v>-0.00083998</v>
      </c>
      <c r="R30" s="30" t="n"/>
      <c r="S30" s="29" t="n">
        <v>-0.004027772</v>
      </c>
      <c r="T30" s="29" t="n">
        <v>95.226824377</v>
      </c>
      <c r="U30" s="29" t="n">
        <v>0.003984354</v>
      </c>
      <c r="V30" s="29" t="n">
        <v>0.003115029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0.09948617899999999</v>
      </c>
      <c r="L33" s="31" t="n">
        <v>0.091802965</v>
      </c>
      <c r="M33" s="25" t="n"/>
      <c r="N33" s="31" t="n">
        <v>0.089319047</v>
      </c>
      <c r="O33" s="31" t="n">
        <v>0.0798085</v>
      </c>
      <c r="P33" s="31" t="n">
        <v>0.09345119</v>
      </c>
      <c r="Q33" s="31" t="n">
        <v>0.089107231</v>
      </c>
      <c r="R33" s="25" t="n"/>
      <c r="S33" s="31" t="n">
        <v>0.08875638399999999</v>
      </c>
      <c r="T33" s="31" t="n">
        <v>0.082535812</v>
      </c>
      <c r="U33" s="31" t="n">
        <v>0.088839895</v>
      </c>
      <c r="V33" s="31" t="n">
        <v>0.08183734500000001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-0.01884</v>
      </c>
      <c r="L39" s="29" t="n">
        <v>-0.023471</v>
      </c>
      <c r="M39" s="30" t="n"/>
      <c r="N39" s="29" t="n">
        <v>-0.003609</v>
      </c>
      <c r="O39" s="29" t="n">
        <v>0.014559</v>
      </c>
      <c r="P39" s="29" t="n">
        <v>0.001095</v>
      </c>
      <c r="Q39" s="29" t="n">
        <v>-0.023643</v>
      </c>
      <c r="R39" s="30" t="n"/>
      <c r="S39" s="29" t="n">
        <v>0.008491</v>
      </c>
      <c r="T39" s="29" t="n">
        <v>-0.01369</v>
      </c>
      <c r="U39" s="29" t="n">
        <v>-0.027239</v>
      </c>
      <c r="V39" s="29" t="n">
        <v>-0.027027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81.61</v>
      </c>
      <c r="M40" s="30">
        <f>subQ!M39</f>
        <v/>
      </c>
      <c r="N40" s="29" t="n">
        <v>306.54</v>
      </c>
      <c r="O40" s="29" t="n">
        <v>644.92</v>
      </c>
      <c r="P40" s="29" t="n">
        <v>1066.89</v>
      </c>
      <c r="Q40" s="29" t="n">
        <v>1542.57</v>
      </c>
      <c r="R40" s="30">
        <f>subQ!R39</f>
        <v/>
      </c>
      <c r="S40" s="29" t="n">
        <v>2042.11</v>
      </c>
      <c r="T40" s="29" t="n">
        <v>2535.65</v>
      </c>
      <c r="U40" s="29" t="n">
        <v>2993.3</v>
      </c>
      <c r="V40" s="29" t="n">
        <v>3385.22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0.268401796</v>
      </c>
      <c r="L41" s="31" t="n">
        <v>0.268402353</v>
      </c>
      <c r="M41" s="25">
        <f>IFERROR(subQ!M40/subQ!M38,"")</f>
        <v/>
      </c>
      <c r="N41" s="31" t="n">
        <v>0.268404237</v>
      </c>
      <c r="O41" s="31" t="n">
        <v>0.268402743</v>
      </c>
      <c r="P41" s="31" t="n">
        <v>0.268402495</v>
      </c>
      <c r="Q41" s="31" t="n">
        <v>0.268401975</v>
      </c>
      <c r="R41" s="25">
        <f>IFERROR(subQ!R40/subQ!R38,"")</f>
        <v/>
      </c>
      <c r="S41" s="31" t="n">
        <v>0.268402779</v>
      </c>
      <c r="T41" s="31" t="n">
        <v>0.268403942</v>
      </c>
      <c r="U41" s="31" t="n">
        <v>0.268403266</v>
      </c>
      <c r="V41" s="31" t="n">
        <v>0.268403411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47900</v>
      </c>
      <c r="E46" s="2" t="inlineStr">
        <is>
          <t>원 — 네이버 정규장 종가(aik 확정종가 대조 · aik 45,950원)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20261006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0.2275948758243246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0.02443673101699949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0.02207137908432722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1351.18</v>
      </c>
      <c r="K12" s="13" t="n">
        <v>1343.98</v>
      </c>
      <c r="L12" s="13" t="n">
        <v>1343.98</v>
      </c>
      <c r="M12" s="13" t="n">
        <v>1343.98</v>
      </c>
      <c r="N12" s="13" t="n">
        <v>1343.98</v>
      </c>
      <c r="O12" s="13" t="n">
        <v>1343.98</v>
      </c>
      <c r="P12" s="13" t="n">
        <v>1343.98</v>
      </c>
      <c r="Q12" s="13" t="n">
        <v>1343.98</v>
      </c>
      <c r="R12" s="13" t="n">
        <v>1343.98</v>
      </c>
      <c r="S12" s="13" t="n">
        <v>1343.98</v>
      </c>
      <c r="T12" s="13" t="n">
        <v>1343.98</v>
      </c>
      <c r="U12" s="13" t="n">
        <v>1343.98</v>
      </c>
      <c r="V12" s="13" t="n">
        <v>1343.98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1412.76</v>
      </c>
      <c r="K13" s="13" t="n">
        <v>1410.6</v>
      </c>
      <c r="L13" s="13" t="n">
        <v>1410.6</v>
      </c>
      <c r="M13" s="13" t="n">
        <v>1412.74</v>
      </c>
      <c r="N13" s="13" t="n">
        <v>1418.54</v>
      </c>
      <c r="O13" s="13" t="n">
        <v>1419.49</v>
      </c>
      <c r="P13" s="13" t="n">
        <v>1419.49</v>
      </c>
      <c r="Q13" s="13" t="n">
        <v>1419.75</v>
      </c>
      <c r="R13" s="13" t="n">
        <v>1430.18</v>
      </c>
      <c r="S13" s="13" t="n">
        <v>1424.61</v>
      </c>
      <c r="T13" s="13" t="n">
        <v>1423.59</v>
      </c>
      <c r="U13" s="13" t="n">
        <v>1416.92</v>
      </c>
      <c r="V13" s="13" t="n">
        <v>1397.68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278511</v>
      </c>
      <c r="K14" s="18" t="n">
        <v>272039.8</v>
      </c>
      <c r="L14" s="18" t="n">
        <v>275062.5</v>
      </c>
      <c r="M14" s="18" t="n">
        <v>263119</v>
      </c>
      <c r="N14" s="18" t="n">
        <v>229716.4</v>
      </c>
      <c r="O14" s="18" t="n">
        <v>210562</v>
      </c>
      <c r="P14" s="18" t="n">
        <v>210562</v>
      </c>
      <c r="Q14" s="18" t="n">
        <v>187140.3</v>
      </c>
      <c r="R14" s="18" t="n">
        <v>147333.4</v>
      </c>
      <c r="S14" s="18" t="n">
        <v>91359.10000000001</v>
      </c>
      <c r="T14" s="18" t="n">
        <v>76353.10000000001</v>
      </c>
      <c r="U14" s="18" t="n">
        <v>46867.9</v>
      </c>
      <c r="V14" s="18" t="n">
        <v>20398.4</v>
      </c>
      <c r="W14" s="18" t="n">
        <v>145742.2</v>
      </c>
      <c r="X14" s="18" t="n">
        <v>1055101</v>
      </c>
      <c r="Y14" s="18" t="n">
        <v>1039937.7</v>
      </c>
      <c r="Z14" s="18" t="n">
        <v>755597.7</v>
      </c>
      <c r="AA14" s="18" t="n">
        <v>234978.5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278511</v>
      </c>
      <c r="K15" s="18" t="n">
        <v>272039.8</v>
      </c>
      <c r="L15" s="18" t="n">
        <v>275062.5</v>
      </c>
      <c r="M15" s="18" t="n">
        <v>263119</v>
      </c>
      <c r="N15" s="18" t="n">
        <v>229716.4</v>
      </c>
      <c r="O15" s="18" t="n">
        <v>210562</v>
      </c>
      <c r="P15" s="18" t="n">
        <v>210562</v>
      </c>
      <c r="Q15" s="18" t="n">
        <v>187140.3</v>
      </c>
      <c r="R15" s="18" t="n">
        <v>147333.4</v>
      </c>
      <c r="S15" s="18" t="n">
        <v>91359.10000000001</v>
      </c>
      <c r="T15" s="18" t="n">
        <v>76353.10000000001</v>
      </c>
      <c r="U15" s="18" t="n">
        <v>46867.9</v>
      </c>
      <c r="V15" s="18" t="n">
        <v>20398.4</v>
      </c>
      <c r="W15" s="18" t="n">
        <v>145742.2</v>
      </c>
      <c r="X15" s="18" t="n">
        <v>1055101</v>
      </c>
      <c r="Y15" s="18" t="n">
        <v>1039937.7</v>
      </c>
      <c r="Z15" s="18" t="n">
        <v>755597.7</v>
      </c>
      <c r="AA15" s="18" t="n">
        <v>234978.5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258938.1</v>
      </c>
      <c r="K16" s="18" t="n">
        <v>252922.1</v>
      </c>
      <c r="L16" s="18" t="n">
        <v>255732.3</v>
      </c>
      <c r="M16" s="18" t="n">
        <v>243576.4</v>
      </c>
      <c r="N16" s="18" t="n">
        <v>210173.8</v>
      </c>
      <c r="O16" s="18" t="n">
        <v>191231.8</v>
      </c>
      <c r="P16" s="18" t="n">
        <v>191231.8</v>
      </c>
      <c r="Q16" s="18" t="n">
        <v>167597.7</v>
      </c>
      <c r="R16" s="18" t="n">
        <v>127790.8</v>
      </c>
      <c r="S16" s="18" t="n">
        <v>72241.3</v>
      </c>
      <c r="T16" s="18" t="n">
        <v>57023</v>
      </c>
      <c r="U16" s="18" t="n">
        <v>27325.3</v>
      </c>
      <c r="V16" s="18" t="n">
        <v>855.8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19572.8</v>
      </c>
      <c r="K17" s="18" t="n">
        <v>19117.7</v>
      </c>
      <c r="L17" s="18" t="n">
        <v>19330.2</v>
      </c>
      <c r="M17" s="18" t="n">
        <v>19542.6</v>
      </c>
      <c r="N17" s="18" t="n">
        <v>19542.6</v>
      </c>
      <c r="O17" s="18" t="n">
        <v>19330.2</v>
      </c>
      <c r="P17" s="18" t="n">
        <v>19330.2</v>
      </c>
      <c r="Q17" s="18" t="n">
        <v>19542.6</v>
      </c>
      <c r="R17" s="18" t="n">
        <v>19542.6</v>
      </c>
      <c r="S17" s="18" t="n">
        <v>19117.7</v>
      </c>
      <c r="T17" s="18" t="n">
        <v>19330.2</v>
      </c>
      <c r="U17" s="18" t="n">
        <v>19542.6</v>
      </c>
      <c r="V17" s="18" t="n">
        <v>19542.6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0.15</v>
      </c>
      <c r="F18" s="21" t="n">
        <v>0.15</v>
      </c>
      <c r="G18" s="21" t="n">
        <v>0.15</v>
      </c>
      <c r="H18" s="21" t="n">
        <v>0.15</v>
      </c>
      <c r="I18" s="21" t="n">
        <v>0.15</v>
      </c>
      <c r="J18" s="21" t="n">
        <v>0.15</v>
      </c>
      <c r="K18" s="21" t="n">
        <v>0.15</v>
      </c>
      <c r="L18" s="21" t="n">
        <v>0.15</v>
      </c>
      <c r="M18" s="21" t="n">
        <v>0.15</v>
      </c>
      <c r="N18" s="21" t="n">
        <v>0.15</v>
      </c>
      <c r="O18" s="21" t="n">
        <v>0.15</v>
      </c>
      <c r="P18" s="21" t="n">
        <v>0.15</v>
      </c>
      <c r="Q18" s="21" t="n">
        <v>0.15</v>
      </c>
      <c r="R18" s="21" t="n">
        <v>0.15</v>
      </c>
      <c r="S18" s="21" t="n">
        <v>0.15</v>
      </c>
      <c r="T18" s="21" t="n">
        <v>0.15</v>
      </c>
      <c r="U18" s="21" t="n">
        <v>0.15</v>
      </c>
      <c r="V18" s="21" t="n">
        <v>0.15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원/달러(평균)",환율,MATCH(J$1,변수H,0),0),1351.18)</f>
        <v/>
      </c>
      <c r="K23" s="13">
        <f>IFERROR(VLOOKUP(" 원/달러(평균)",환율,MATCH(K$1,변수H,0),0),1343.98)</f>
        <v/>
      </c>
      <c r="L23" s="13">
        <f>IFERROR(VLOOKUP(" 원/달러(평균)",환율,MATCH(L$1,변수H,0),0),1343.98)</f>
        <v/>
      </c>
      <c r="M23" s="13">
        <f>IFERROR(VLOOKUP(" 원/달러(평균)",환율,MATCH(M$1,변수H,0),0),1343.98)</f>
        <v/>
      </c>
      <c r="N23" s="13">
        <f>IFERROR(VLOOKUP(" 원/달러(평균)",환율,MATCH(N$1,변수H,0),0),1343.98)</f>
        <v/>
      </c>
      <c r="O23" s="13">
        <f>IFERROR(VLOOKUP(" 원/달러(평균)",환율,MATCH(O$1,변수H,0),0),1343.98)</f>
        <v/>
      </c>
      <c r="P23" s="13">
        <f>IFERROR(VLOOKUP(" 원/달러(평균)",환율,MATCH(P$1,변수H,0),0),1343.98)</f>
        <v/>
      </c>
      <c r="Q23" s="13">
        <f>IFERROR(VLOOKUP(" 원/달러(평균)",환율,MATCH(Q$1,변수H,0),0),1343.98)</f>
        <v/>
      </c>
      <c r="R23" s="13">
        <f>IFERROR(VLOOKUP(" 원/달러(평균)",환율,MATCH(R$1,변수H,0),0),1343.98)</f>
        <v/>
      </c>
      <c r="S23" s="13">
        <f>IFERROR(VLOOKUP(" 원/달러(평균)",환율,MATCH(S$1,변수H,0),0),1343.98)</f>
        <v/>
      </c>
      <c r="T23" s="13">
        <f>IFERROR(VLOOKUP(" 원/달러(평균)",환율,MATCH(T$1,변수H,0),0),1343.98)</f>
        <v/>
      </c>
      <c r="U23" s="13">
        <f>IFERROR(VLOOKUP(" 원/달러(평균)",환율,MATCH(U$1,변수H,0),0),1343.98)</f>
        <v/>
      </c>
      <c r="V23" s="13">
        <f>IFERROR(VLOOKUP(" 원/달러(평균)",환율,MATCH(V$1,변수H,0),0),1343.98)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44.89</v>
      </c>
      <c r="G18" s="20">
        <f>SUM(E18:F18)</f>
        <v/>
      </c>
      <c r="H18" s="34" t="n">
        <v>168.62</v>
      </c>
      <c r="I18" s="34" t="n">
        <v>354.76</v>
      </c>
      <c r="J18" s="34" t="n">
        <v>586.88</v>
      </c>
      <c r="K18" s="34" t="n">
        <v>848.54</v>
      </c>
      <c r="L18" s="20">
        <f>SUM(H18:K18)</f>
        <v/>
      </c>
      <c r="M18" s="34" t="n">
        <v>1123.33</v>
      </c>
      <c r="N18" s="34" t="n">
        <v>1394.82</v>
      </c>
      <c r="O18" s="34" t="n">
        <v>1646.57</v>
      </c>
      <c r="P18" s="34" t="n">
        <v>1862.15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132.51</v>
      </c>
      <c r="G24" s="20">
        <f>SUM(E24:F24)</f>
        <v/>
      </c>
      <c r="H24" s="34" t="n">
        <v>497.73</v>
      </c>
      <c r="I24" s="34" t="n">
        <v>1047.15</v>
      </c>
      <c r="J24" s="34" t="n">
        <v>1732.29</v>
      </c>
      <c r="K24" s="34" t="n">
        <v>2504.65</v>
      </c>
      <c r="L24" s="20">
        <f>SUM(H24:K24)</f>
        <v/>
      </c>
      <c r="M24" s="34" t="n">
        <v>3315.75</v>
      </c>
      <c r="N24" s="34" t="n">
        <v>4117.09</v>
      </c>
      <c r="O24" s="34" t="n">
        <v>4860.18</v>
      </c>
      <c r="P24" s="34" t="n">
        <v>5496.52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20261006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6525.6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7.34</v>
      </c>
    </row>
    <row r="32">
      <c r="C32" s="2" t="inlineStr">
        <is>
          <t>pbr_now</t>
        </is>
      </c>
      <c r="D32" t="n">
        <v>1.52</v>
      </c>
    </row>
    <row r="33">
      <c r="C33" s="2" t="inlineStr">
        <is>
          <t>roe_fwd</t>
        </is>
      </c>
      <c r="D33" t="n">
        <v>0.2073</v>
      </c>
    </row>
    <row r="34">
      <c r="C34" s="2" t="inlineStr">
        <is>
          <t>fair_pbr</t>
        </is>
      </c>
      <c r="D34" t="n">
        <v>2.3</v>
      </c>
    </row>
    <row r="35">
      <c r="C35" s="2" t="inlineStr">
        <is>
          <t>fair_value_pbr</t>
        </is>
      </c>
      <c r="D35" t="n">
        <v>72400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0.26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