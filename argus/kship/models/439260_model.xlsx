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변수!$C$1:$W$1</definedName>
    <definedName name="환율">변수!$C$6:$W$13</definedName>
    <definedName name="BS연결H">BS연결!$C$1:$W$1</definedName>
    <definedName name="BS연결">BS연결!$C$5:$W$86</definedName>
    <definedName name="BS별도H">BS별도!$C$1:$W$1</definedName>
    <definedName name="BS별도">BS별도!$C$5:$W$83</definedName>
    <definedName name="SUBQH">subQ!$A$1:$W$1</definedName>
    <definedName name="subQ">subQ!$A$5:$W$42</definedName>
    <definedName name="SLS_H">SLS!$A$1:$AA$1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K21" authorId="0" shapeId="0">
      <text>
        <t>모델값 역산(implied): v / 전년동기 − 1
매출조선 + 매출기타</t>
      </text>
    </comment>
    <comment ref="L21" authorId="0" shapeId="0">
      <text>
        <t>모델값 역산(implied): v / 전년동기 − 1
매출조선 + 매출기타</t>
      </text>
    </comment>
    <comment ref="N21" authorId="0" shapeId="0">
      <text>
        <t>모델값 역산(implied): v / 전년동기 − 1
매출조선 + 매출기타</t>
      </text>
    </comment>
    <comment ref="O21" authorId="0" shapeId="0">
      <text>
        <t>모델값 역산(implied): v / 전년동기 − 1
매출조선 + 매출기타</t>
      </text>
    </comment>
    <comment ref="P21" authorId="0" shapeId="0">
      <text>
        <t>모델값 역산(implied): v / 전년동기 − 1
매출조선 + 매출기타</t>
      </text>
    </comment>
    <comment ref="Q21" authorId="0" shapeId="0">
      <text>
        <t>모델값 역산(implied): v / 전년동기 − 1
매출조선 + 매출기타</t>
      </text>
    </comment>
    <comment ref="S21" authorId="0" shapeId="0">
      <text>
        <t>모델값 역산(implied): v / 전년동기 − 1
매출조선 + 매출기타</t>
      </text>
    </comment>
    <comment ref="T21" authorId="0" shapeId="0">
      <text>
        <t>모델값 역산(implied): v / 전년동기 − 1
매출조선 + 매출기타</t>
      </text>
    </comment>
    <comment ref="U21" authorId="0" shapeId="0">
      <text>
        <t>모델값 역산(implied): v / 전년동기 − 1
매출조선 + 매출기타</t>
      </text>
    </comment>
    <comment ref="V21" authorId="0" shapeId="0">
      <text>
        <t>모델값 역산(implied): v / 전년동기 − 1
매출조선 + 매출기타</t>
      </text>
    </comment>
    <comment ref="K22" authorId="0" shapeId="0">
      <text>
        <t>모델값 역산(implied): v / 매출액
매출액 × 판관비율 2.44%(최근 4분기 중위)</t>
      </text>
    </comment>
    <comment ref="L22" authorId="0" shapeId="0">
      <text>
        <t>모델값 역산(implied): v / 매출액
매출액 × 판관비율 2.44%(최근 4분기 중위)</t>
      </text>
    </comment>
    <comment ref="N22" authorId="0" shapeId="0">
      <text>
        <t>모델값 역산(implied): v / 매출액
매출액 × 판관비율 2.44%(최근 4분기 중위)</t>
      </text>
    </comment>
    <comment ref="O22" authorId="0" shapeId="0">
      <text>
        <t>모델값 역산(implied): v / 매출액
매출액 × 판관비율 2.44%(최근 4분기 중위)</t>
      </text>
    </comment>
    <comment ref="P22" authorId="0" shapeId="0">
      <text>
        <t>모델값 역산(implied): v / 매출액
매출액 × 판관비율 2.44%(최근 4분기 중위)</t>
      </text>
    </comment>
    <comment ref="Q22" authorId="0" shapeId="0">
      <text>
        <t>모델값 역산(implied): v / 매출액
매출액 × 판관비율 2.44%(최근 4분기 중위)</t>
      </text>
    </comment>
    <comment ref="S22" authorId="0" shapeId="0">
      <text>
        <t>모델값 역산(implied): v / 매출액
매출액 × 판관비율 2.44%(최근 4분기 중위)</t>
      </text>
    </comment>
    <comment ref="T22" authorId="0" shapeId="0">
      <text>
        <t>모델값 역산(implied): v / 매출액
매출액 × 판관비율 2.44%(최근 4분기 중위)</t>
      </text>
    </comment>
    <comment ref="U22" authorId="0" shapeId="0">
      <text>
        <t>모델값 역산(implied): v / 매출액
매출액 × 판관비율 2.44%(최근 4분기 중위)</t>
      </text>
    </comment>
    <comment ref="V22" authorId="0" shapeId="0">
      <text>
        <t>모델값 역산(implied): v / 매출액
매출액 × 판관비율 2.44%(최근 4분기 중위)</t>
      </text>
    </comment>
    <comment ref="K23" authorId="0" shapeId="0">
      <text>
        <t>모델값 역산(implied): v / 매출액
매출액 × OPM(SLS 코호트 타겟 4.5% + 회사 캘리브레이션 +22.5%p(최근 4분기 실측−타겟 중위))</t>
      </text>
    </comment>
    <comment ref="L23" authorId="0" shapeId="0">
      <text>
        <t>모델값 역산(implied): v / 매출액
매출액 × OPM(SLS 코호트 타겟 4.5% + 회사 캘리브레이션 +22.5%p(최근 4분기 실측−타겟 중위))</t>
      </text>
    </comment>
    <comment ref="N23" authorId="0" shapeId="0">
      <text>
        <t>모델값 역산(implied): v / 매출액
매출액 × OPM(SLS 코호트 타겟 4.5% + 회사 캘리브레이션 +22.5%p(최근 4분기 실측−타겟 중위))</t>
      </text>
    </comment>
    <comment ref="O23" authorId="0" shapeId="0">
      <text>
        <t>모델값 역산(implied): v / 매출액
매출액 × OPM(SLS 코호트 타겟 4.5% + 회사 캘리브레이션 +22.5%p(최근 4분기 실측−타겟 중위))</t>
      </text>
    </comment>
    <comment ref="P23" authorId="0" shapeId="0">
      <text>
        <t>모델값 역산(implied): v / 매출액
매출액 × OPM(SLS 코호트 타겟 4.5% + 회사 캘리브레이션 +22.5%p(최근 4분기 실측−타겟 중위))</t>
      </text>
    </comment>
    <comment ref="Q23" authorId="0" shapeId="0">
      <text>
        <t>모델값 역산(implied): v / 매출액
매출액 × OPM(SLS 코호트 타겟 4.4% + 회사 캘리브레이션 +22.5%p(최근 4분기 실측−타겟 중위))</t>
      </text>
    </comment>
    <comment ref="S23" authorId="0" shapeId="0">
      <text>
        <t>모델값 역산(implied): v / 매출액
매출액 × OPM(SLS 코호트 타겟 4.4% + 회사 캘리브레이션 +22.5%p(최근 4분기 실측−타겟 중위))</t>
      </text>
    </comment>
    <comment ref="T23" authorId="0" shapeId="0">
      <text>
        <t>모델값 역산(implied): v / 매출액
매출액 × OPM(SLS 코호트 타겟 4.4% + 회사 캘리브레이션 +22.5%p(최근 4분기 실측−타겟 중위))</t>
      </text>
    </comment>
    <comment ref="U23" authorId="0" shapeId="0">
      <text>
        <t>모델값 역산(implied): v / 매출액
매출액 × OPM(SLS 코호트 타겟 5.0% + 회사 캘리브레이션 +22.5%p(최근 4분기 실측−타겟 중위))</t>
      </text>
    </comment>
    <comment ref="V23" authorId="0" shapeId="0">
      <text>
        <t>모델값 역산(implied): v / 매출액
매출액 × OPM(SLS 코호트 타겟 5.0% + 회사 캘리브레이션 +22.5%p(최근 4분기 실측−타겟 중위))</t>
      </text>
    </comment>
    <comment ref="K24" authorId="0" shapeId="0">
      <text>
        <t>모델값 역산(implied): v / 전년동기 − 1
SLS 코호트 타겟 4.5% + 회사 캘리브레이션 +22.5%p(최근 4분기 실측−타겟 중위)</t>
      </text>
    </comment>
    <comment ref="L24" authorId="0" shapeId="0">
      <text>
        <t>모델값 역산(implied): v / 전년동기 − 1
SLS 코호트 타겟 4.5% + 회사 캘리브레이션 +22.5%p(최근 4분기 실측−타겟 중위)</t>
      </text>
    </comment>
    <comment ref="N24" authorId="0" shapeId="0">
      <text>
        <t>모델값 역산(implied): v / 전년동기 − 1
SLS 코호트 타겟 4.5% + 회사 캘리브레이션 +22.5%p(최근 4분기 실측−타겟 중위)</t>
      </text>
    </comment>
    <comment ref="O24" authorId="0" shapeId="0">
      <text>
        <t>모델값 역산(implied): v / 전년동기 − 1
SLS 코호트 타겟 4.5% + 회사 캘리브레이션 +22.5%p(최근 4분기 실측−타겟 중위)</t>
      </text>
    </comment>
    <comment ref="P24" authorId="0" shapeId="0">
      <text>
        <t>모델값 역산(implied): v / 전년동기 − 1
SLS 코호트 타겟 4.5% + 회사 캘리브레이션 +22.5%p(최근 4분기 실측−타겟 중위)</t>
      </text>
    </comment>
    <comment ref="Q24" authorId="0" shapeId="0">
      <text>
        <t>모델값 역산(implied): v / 전년동기 − 1
SLS 코호트 타겟 4.4% + 회사 캘리브레이션 +22.5%p(최근 4분기 실측−타겟 중위)</t>
      </text>
    </comment>
    <comment ref="S24" authorId="0" shapeId="0">
      <text>
        <t>모델값 역산(implied): v / 전년동기 − 1
SLS 코호트 타겟 4.4% + 회사 캘리브레이션 +22.5%p(최근 4분기 실측−타겟 중위)</t>
      </text>
    </comment>
    <comment ref="T24" authorId="0" shapeId="0">
      <text>
        <t>모델값 역산(implied): v / 전년동기 − 1
SLS 코호트 타겟 4.4% + 회사 캘리브레이션 +22.5%p(최근 4분기 실측−타겟 중위)</t>
      </text>
    </comment>
    <comment ref="U24" authorId="0" shapeId="0">
      <text>
        <t>모델값 역산(implied): v / 전년동기 − 1
SLS 코호트 타겟 5.0% + 회사 캘리브레이션 +22.5%p(최근 4분기 실측−타겟 중위)</t>
      </text>
    </comment>
    <comment ref="V24" authorId="0" shapeId="0">
      <text>
        <t>모델값 역산(implied): v / 전년동기 − 1
SLS 코호트 타겟 5.0% + 회사 캘리브레이션 +22.5%p(최근 4분기 실측−타겟 중위)</t>
      </text>
    </comment>
    <comment ref="K25" authorId="0" shapeId="0">
      <text>
        <t>모델값 역산(implied): 모델 v 그대로
이자손익 = 이자발생자산 5802억 × 1.76% − 총차입금 0억 × 0.00% (연율, CF 실측) ÷ 4; 환·평가손익 0 가정</t>
      </text>
    </comment>
    <comment ref="L25" authorId="0" shapeId="0">
      <text>
        <t>모델값 역산(implied): 모델 v 그대로
이자손익 = 이자발생자산 6498억 × 1.76% − 총차입금 0억 × 0.00% (연율, CF 실측) ÷ 4; 환·평가손익 0 가정</t>
      </text>
    </comment>
    <comment ref="N25" authorId="0" shapeId="0">
      <text>
        <t>모델값 역산(implied): 모델 v 그대로
이자손익 = 이자발생자산 7194억 × 1.76% − 총차입금 0억 × 0.00% (연율, CF 실측) ÷ 4; 환·평가손익 0 가정</t>
      </text>
    </comment>
    <comment ref="O25" authorId="0" shapeId="0">
      <text>
        <t>모델값 역산(implied): 모델 v 그대로
이자손익 = 이자발생자산 7877억 × 1.76% − 총차입금 0억 × 0.00% (연율, CF 실측) ÷ 4; 환·평가손익 0 가정</t>
      </text>
    </comment>
    <comment ref="P25" authorId="0" shapeId="0">
      <text>
        <t>모델값 역산(implied): 모델 v 그대로
이자손익 = 이자발생자산 8476억 × 1.76% − 총차입금 0억 × 0.00% (연율, CF 실측) ÷ 4; 환·평가손익 0 가정</t>
      </text>
    </comment>
    <comment ref="Q25" authorId="0" shapeId="0">
      <text>
        <t>모델값 역산(implied): 모델 v 그대로
이자손익 = 이자발생자산 9142억 × 1.76% − 총차입금 0억 × 0.00% (연율, CF 실측) ÷ 4; 환·평가손익 0 가정</t>
      </text>
    </comment>
    <comment ref="S25" authorId="0" shapeId="0">
      <text>
        <t>모델값 역산(implied): 모델 v 그대로
이자손익 = 이자발생자산 9727억 × 1.76% − 총차입금 0억 × 0.00% (연율, CF 실측) ÷ 4; 환·평가손익 0 가정</t>
      </text>
    </comment>
    <comment ref="T25" authorId="0" shapeId="0">
      <text>
        <t>모델값 역산(implied): 모델 v 그대로
이자손익 = 이자발생자산 10267억 × 1.76% − 총차입금 0억 × 0.00% (연율, CF 실측) ÷ 4; 환·평가손익 0 가정</t>
      </text>
    </comment>
    <comment ref="U25" authorId="0" shapeId="0">
      <text>
        <t>모델값 역산(implied): 모델 v 그대로
이자손익 = 이자발생자산 10714억 × 1.76% − 총차입금 0억 × 0.00% (연율, CF 실측) ÷ 4; 환·평가손익 0 가정</t>
      </text>
    </comment>
    <comment ref="V25" authorId="0" shapeId="0">
      <text>
        <t>모델값 역산(implied): 모델 v 그대로
이자손익 = 이자발생자산 11211억 × 1.76% − 총차입금 0억 × 0.00% (연율, CF 실측) ÷ 4; 환·평가손익 0 가정</t>
      </text>
    </comment>
    <comment ref="K26" authorId="0" shapeId="0">
      <text>
        <t>모델값 역산(implied): 모델 v 그대로
일회성 미가정 → 0</t>
      </text>
    </comment>
    <comment ref="L26" authorId="0" shapeId="0">
      <text>
        <t>모델값 역산(implied): 모델 v 그대로
일회성 미가정 → 0</t>
      </text>
    </comment>
    <comment ref="N26" authorId="0" shapeId="0">
      <text>
        <t>모델값 역산(implied): 모델 v 그대로
일회성 미가정 → 0</t>
      </text>
    </comment>
    <comment ref="O26" authorId="0" shapeId="0">
      <text>
        <t>모델값 역산(implied): 모델 v 그대로
일회성 미가정 → 0</t>
      </text>
    </comment>
    <comment ref="P26" authorId="0" shapeId="0">
      <text>
        <t>모델값 역산(implied): 모델 v 그대로
일회성 미가정 → 0</t>
      </text>
    </comment>
    <comment ref="Q26" authorId="0" shapeId="0">
      <text>
        <t>모델값 역산(implied): 모델 v 그대로
일회성 미가정 → 0</t>
      </text>
    </comment>
    <comment ref="S26" authorId="0" shapeId="0">
      <text>
        <t>모델값 역산(implied): 모델 v 그대로
일회성 미가정 → 0</t>
      </text>
    </comment>
    <comment ref="T26" authorId="0" shapeId="0">
      <text>
        <t>모델값 역산(implied): 모델 v 그대로
일회성 미가정 → 0</t>
      </text>
    </comment>
    <comment ref="U26" authorId="0" shapeId="0">
      <text>
        <t>모델값 역산(implied): 모델 v 그대로
일회성 미가정 → 0</t>
      </text>
    </comment>
    <comment ref="V26" authorId="0" shapeId="0">
      <text>
        <t>모델값 역산(implied): 모델 v 그대로
일회성 미가정 → 0</t>
      </text>
    </comment>
    <comment ref="K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L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N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O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P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Q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S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T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U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V27" authorId="0" shapeId="0">
      <text>
        <t>모델값 역산(implied): 모델 v 그대로
외화 순노출 -2백만$ × Δ기말 원/달러(가정 — 마지막 ECB 관측치를 2028Q4 까지 평평하게 둔다. 선도환율·컨센서스 아님.)</t>
      </text>
    </comment>
    <comment ref="K28" authorId="0" shapeId="0">
      <text>
        <t>모델값 역산(implied): v / 세전이익
max(세전, 0) × 세율 22.8%(최근 5분기 유효세율 22.8% → 5~27% 클립)</t>
      </text>
    </comment>
    <comment ref="L28" authorId="0" shapeId="0">
      <text>
        <t>모델값 역산(implied): v / 세전이익
max(세전, 0) × 세율 22.8%(최근 5분기 유효세율 22.8% → 5~27% 클립)</t>
      </text>
    </comment>
    <comment ref="N28" authorId="0" shapeId="0">
      <text>
        <t>모델값 역산(implied): v / 세전이익
max(세전, 0) × 세율 22.8%(최근 5분기 유효세율 22.8% → 5~27% 클립)</t>
      </text>
    </comment>
    <comment ref="O28" authorId="0" shapeId="0">
      <text>
        <t>모델값 역산(implied): v / 세전이익
max(세전, 0) × 세율 22.8%(최근 5분기 유효세율 22.8% → 5~27% 클립)</t>
      </text>
    </comment>
    <comment ref="P28" authorId="0" shapeId="0">
      <text>
        <t>모델값 역산(implied): v / 세전이익
max(세전, 0) × 세율 22.8%(최근 5분기 유효세율 22.8% → 5~27% 클립)</t>
      </text>
    </comment>
    <comment ref="Q28" authorId="0" shapeId="0">
      <text>
        <t>모델값 역산(implied): v / 세전이익
max(세전, 0) × 세율 22.8%(최근 5분기 유효세율 22.8% → 5~27% 클립)</t>
      </text>
    </comment>
    <comment ref="S28" authorId="0" shapeId="0">
      <text>
        <t>모델값 역산(implied): v / 세전이익
max(세전, 0) × 세율 22.8%(최근 5분기 유효세율 22.8% → 5~27% 클립)</t>
      </text>
    </comment>
    <comment ref="T28" authorId="0" shapeId="0">
      <text>
        <t>모델값 역산(implied): v / 세전이익
max(세전, 0) × 세율 22.8%(최근 5분기 유효세율 22.8% → 5~27% 클립)</t>
      </text>
    </comment>
    <comment ref="U28" authorId="0" shapeId="0">
      <text>
        <t>모델값 역산(implied): v / 세전이익
max(세전, 0) × 세율 22.8%(최근 5분기 유효세율 22.8% → 5~27% 클립)</t>
      </text>
    </comment>
    <comment ref="V28" authorId="0" shapeId="0">
      <text>
        <t>모델값 역산(implied): v / 세전이익
max(세전, 0) × 세율 22.8%(최근 5분기 유효세율 22.8% → 5~27% 클립)</t>
      </text>
    </comment>
    <comment ref="K29" authorId="0" shapeId="0">
      <text>
        <t>모델값 역산(implied): v / 당기순이익
당기순이익 × (1 − 비지배 비중 0.0%, 최근 8분기 실측)</t>
      </text>
    </comment>
    <comment ref="L29" authorId="0" shapeId="0">
      <text>
        <t>모델값 역산(implied): v / 당기순이익
당기순이익 × (1 − 비지배 비중 0.0%, 최근 8분기 실측)</t>
      </text>
    </comment>
    <comment ref="N29" authorId="0" shapeId="0">
      <text>
        <t>모델값 역산(implied): v / 당기순이익
당기순이익 × (1 − 비지배 비중 0.0%, 최근 8분기 실측)</t>
      </text>
    </comment>
    <comment ref="O29" authorId="0" shapeId="0">
      <text>
        <t>모델값 역산(implied): v / 당기순이익
당기순이익 × (1 − 비지배 비중 0.0%, 최근 8분기 실측)</t>
      </text>
    </comment>
    <comment ref="P29" authorId="0" shapeId="0">
      <text>
        <t>모델값 역산(implied): v / 당기순이익
당기순이익 × (1 − 비지배 비중 0.0%, 최근 8분기 실측)</t>
      </text>
    </comment>
    <comment ref="Q29" authorId="0" shapeId="0">
      <text>
        <t>모델값 역산(implied): v / 당기순이익
당기순이익 × (1 − 비지배 비중 0.0%, 최근 8분기 실측)</t>
      </text>
    </comment>
    <comment ref="S29" authorId="0" shapeId="0">
      <text>
        <t>모델값 역산(implied): v / 당기순이익
당기순이익 × (1 − 비지배 비중 0.0%, 최근 8분기 실측)</t>
      </text>
    </comment>
    <comment ref="T29" authorId="0" shapeId="0">
      <text>
        <t>모델값 역산(implied): v / 당기순이익
당기순이익 × (1 − 비지배 비중 0.0%, 최근 8분기 실측)</t>
      </text>
    </comment>
    <comment ref="U29" authorId="0" shapeId="0">
      <text>
        <t>모델값 역산(implied): v / 당기순이익
당기순이익 × (1 − 비지배 비중 0.0%, 최근 8분기 실측)</t>
      </text>
    </comment>
    <comment ref="V29" authorId="0" shapeId="0">
      <text>
        <t>모델값 역산(implied): v / 당기순이익
당기순이익 × (1 − 비지배 비중 0.0%, 최근 8분기 실측)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K31" authorId="0" shapeId="0">
      <text>
        <t>모델값 역산(implied): 전분기 + 당기순이익 − v
전분기 + 당기순이익 − 배당(Q2 지급 가정)</t>
      </text>
    </comment>
    <comment ref="L31" authorId="0" shapeId="0">
      <text>
        <t>모델값 역산(implied): 전분기 + 당기순이익 − v
전분기 + 당기순이익 − 배당(Q2 지급 가정)</t>
      </text>
    </comment>
    <comment ref="N31" authorId="0" shapeId="0">
      <text>
        <t>모델값 역산(implied): 전분기 + 당기순이익 − v
전분기 + 당기순이익 − 배당(Q2 지급 가정)</t>
      </text>
    </comment>
    <comment ref="O31" authorId="0" shapeId="0">
      <text>
        <t>모델값 역산(implied): 전분기 + 당기순이익 − v
전분기 + 당기순이익 − 배당(Q2 지급 가정)</t>
      </text>
    </comment>
    <comment ref="P31" authorId="0" shapeId="0">
      <text>
        <t>모델값 역산(implied): 전분기 + 당기순이익 − v
전분기 + 당기순이익 − 배당(Q2 지급 가정)</t>
      </text>
    </comment>
    <comment ref="Q31" authorId="0" shapeId="0">
      <text>
        <t>모델값 역산(implied): 전분기 + 당기순이익 − v
전분기 + 당기순이익 − 배당(Q2 지급 가정)</t>
      </text>
    </comment>
    <comment ref="S31" authorId="0" shapeId="0">
      <text>
        <t>모델값 역산(implied): 전분기 + 당기순이익 − v
전분기 + 당기순이익 − 배당(Q2 지급 가정)</t>
      </text>
    </comment>
    <comment ref="T31" authorId="0" shapeId="0">
      <text>
        <t>모델값 역산(implied): 전분기 + 당기순이익 − v
전분기 + 당기순이익 − 배당(Q2 지급 가정)</t>
      </text>
    </comment>
    <comment ref="U31" authorId="0" shapeId="0">
      <text>
        <t>모델값 역산(implied): 전분기 + 당기순이익 − v
전분기 + 당기순이익 − 배당(Q2 지급 가정)</t>
      </text>
    </comment>
    <comment ref="V31" authorId="0" shapeId="0">
      <text>
        <t>모델값 역산(implied): 전분기 + 당기순이익 − v
전분기 + 당기순이익 − 배당(Q2 지급 가정)</t>
      </text>
    </comment>
    <comment ref="K32" authorId="0" shapeId="0">
      <text>
        <t>모델값 역산(implied): 전분기 + 지배주주순이익 − v
전분기 + 지배주주순이익 − 배당</t>
      </text>
    </comment>
    <comment ref="L32" authorId="0" shapeId="0">
      <text>
        <t>모델값 역산(implied): 전분기 + 지배주주순이익 − v
전분기 + 지배주주순이익 − 배당</t>
      </text>
    </comment>
    <comment ref="N32" authorId="0" shapeId="0">
      <text>
        <t>모델값 역산(implied): 전분기 + 지배주주순이익 − v
전분기 + 지배주주순이익 − 배당</t>
      </text>
    </comment>
    <comment ref="O32" authorId="0" shapeId="0">
      <text>
        <t>모델값 역산(implied): 전분기 + 지배주주순이익 − v
전분기 + 지배주주순이익 − 배당</t>
      </text>
    </comment>
    <comment ref="P32" authorId="0" shapeId="0">
      <text>
        <t>모델값 역산(implied): 전분기 + 지배주주순이익 − v
전분기 + 지배주주순이익 − 배당</t>
      </text>
    </comment>
    <comment ref="Q32" authorId="0" shapeId="0">
      <text>
        <t>모델값 역산(implied): 전분기 + 지배주주순이익 − v
전분기 + 지배주주순이익 − 배당</t>
      </text>
    </comment>
    <comment ref="S32" authorId="0" shapeId="0">
      <text>
        <t>모델값 역산(implied): 전분기 + 지배주주순이익 − v
전분기 + 지배주주순이익 − 배당</t>
      </text>
    </comment>
    <comment ref="T32" authorId="0" shapeId="0">
      <text>
        <t>모델값 역산(implied): 전분기 + 지배주주순이익 − v
전분기 + 지배주주순이익 − 배당</t>
      </text>
    </comment>
    <comment ref="U32" authorId="0" shapeId="0">
      <text>
        <t>모델값 역산(implied): 전분기 + 지배주주순이익 − v
전분기 + 지배주주순이익 − 배당</t>
      </text>
    </comment>
    <comment ref="V32" authorId="0" shapeId="0">
      <text>
        <t>모델값 역산(implied): 전분기 + 지배주주순이익 − v
전분기 + 지배주주순이익 − 배당</t>
      </text>
    </comment>
    <comment ref="K35" authorId="0" shapeId="0">
      <text>
        <t>모델값 역산(implied): v / 전분기 − 1
전분기 + (순이익 − 배당) — 순차입금 롤과 같은 가정</t>
      </text>
    </comment>
    <comment ref="L35" authorId="0" shapeId="0">
      <text>
        <t>모델값 역산(implied): v / 전분기 − 1
전분기 + (순이익 − 배당) — 순차입금 롤과 같은 가정</t>
      </text>
    </comment>
    <comment ref="N35" authorId="0" shapeId="0">
      <text>
        <t>모델값 역산(implied): v / 전분기 − 1
전분기 + (순이익 − 배당) — 순차입금 롤과 같은 가정</t>
      </text>
    </comment>
    <comment ref="O35" authorId="0" shapeId="0">
      <text>
        <t>모델값 역산(implied): v / 전분기 − 1
전분기 + (순이익 − 배당) — 순차입금 롤과 같은 가정</t>
      </text>
    </comment>
    <comment ref="P35" authorId="0" shapeId="0">
      <text>
        <t>모델값 역산(implied): v / 전분기 − 1
전분기 + (순이익 − 배당) — 순차입금 롤과 같은 가정</t>
      </text>
    </comment>
    <comment ref="Q35" authorId="0" shapeId="0">
      <text>
        <t>모델값 역산(implied): v / 전분기 − 1
전분기 + (순이익 − 배당) — 순차입금 롤과 같은 가정</t>
      </text>
    </comment>
    <comment ref="S35" authorId="0" shapeId="0">
      <text>
        <t>모델값 역산(implied): v / 전분기 − 1
전분기 + (순이익 − 배당) — 순차입금 롤과 같은 가정</t>
      </text>
    </comment>
    <comment ref="T35" authorId="0" shapeId="0">
      <text>
        <t>모델값 역산(implied): v / 전분기 − 1
전분기 + (순이익 − 배당) — 순차입금 롤과 같은 가정</t>
      </text>
    </comment>
    <comment ref="U35" authorId="0" shapeId="0">
      <text>
        <t>모델값 역산(implied): v / 전분기 − 1
전분기 + (순이익 − 배당) — 순차입금 롤과 같은 가정</t>
      </text>
    </comment>
    <comment ref="V35" authorId="0" shapeId="0">
      <text>
        <t>모델값 역산(implied): v / 전분기 − 1
전분기 + (순이익 − 배당) — 순차입금 롤과 같은 가정</t>
      </text>
    </comment>
    <comment ref="K39" authorId="0" shapeId="0">
      <text>
        <t>모델값 역산(implied): v / 전분기 − 1
유통주식수 유지 — fin.shares.common_outstanding(2026Q2)</t>
      </text>
    </comment>
    <comment ref="L39" authorId="0" shapeId="0">
      <text>
        <t>모델값 역산(implied): v / 전분기 − 1
유통주식수 유지 — fin.shares.common_outstanding(2026Q2)</t>
      </text>
    </comment>
    <comment ref="N39" authorId="0" shapeId="0">
      <text>
        <t>모델값 역산(implied): v / 전분기 − 1
유통주식수 유지 — fin.shares.common_outstanding(2026Q2)</t>
      </text>
    </comment>
    <comment ref="O39" authorId="0" shapeId="0">
      <text>
        <t>모델값 역산(implied): v / 전분기 − 1
유통주식수 유지 — fin.shares.common_outstanding(2026Q2)</t>
      </text>
    </comment>
    <comment ref="P39" authorId="0" shapeId="0">
      <text>
        <t>모델값 역산(implied): v / 전분기 − 1
유통주식수 유지 — fin.shares.common_outstanding(2026Q2)</t>
      </text>
    </comment>
    <comment ref="Q39" authorId="0" shapeId="0">
      <text>
        <t>모델값 역산(implied): v / 전분기 − 1
유통주식수 유지 — fin.shares.common_outstanding(2026Q2)</t>
      </text>
    </comment>
    <comment ref="S39" authorId="0" shapeId="0">
      <text>
        <t>모델값 역산(implied): v / 전분기 − 1
유통주식수 유지 — fin.shares.common_outstanding(2026Q2)</t>
      </text>
    </comment>
    <comment ref="T39" authorId="0" shapeId="0">
      <text>
        <t>모델값 역산(implied): v / 전분기 − 1
유통주식수 유지 — fin.shares.common_outstanding(2026Q2)</t>
      </text>
    </comment>
    <comment ref="U39" authorId="0" shapeId="0">
      <text>
        <t>모델값 역산(implied): v / 전분기 − 1
유통주식수 유지 — fin.shares.common_outstanding(2026Q2)</t>
      </text>
    </comment>
    <comment ref="V39" authorId="0" shapeId="0">
      <text>
        <t>모델값 역산(implied): v / 전분기 − 1
유통주식수 유지 — fin.shares.common_outstanding(2026Q2)</t>
      </text>
    </comment>
    <comment ref="L40" authorId="0" shapeId="0">
      <text>
        <t>모델값 역산(implied): v / 전년동기 − 1
직전 결산 DPS 250원 유지</t>
      </text>
    </comment>
    <comment ref="Q40" authorId="0" shapeId="0">
      <text>
        <t>모델값 역산(implied): v / 전년동기 − 1
직전 결산 DPS 250원 유지</t>
      </text>
    </comment>
    <comment ref="V40" authorId="0" shapeId="0">
      <text>
        <t>모델값 역산(implied): v / 전년동기 − 1
직전 결산 DPS 250원 유지</t>
      </text>
    </comment>
    <comment ref="N41" authorId="0" shapeId="0">
      <text>
        <t>모델값 역산(implied): v / 전년동기 − 1
현재 종가 ÷ TTM EPS(추정 포함)</t>
      </text>
    </comment>
    <comment ref="O41" authorId="0" shapeId="0">
      <text>
        <t>모델값 역산(implied): v / 전년동기 − 1
현재 종가 ÷ TTM EPS(추정 포함)</t>
      </text>
    </comment>
    <comment ref="P41" authorId="0" shapeId="0">
      <text>
        <t>모델값 역산(implied): v / 전년동기 − 1
현재 종가 ÷ TTM EPS(추정 포함)</t>
      </text>
    </comment>
    <comment ref="Q41" authorId="0" shapeId="0">
      <text>
        <t>모델값 역산(implied): v / 전년동기 − 1
현재 종가 ÷ TTM EPS(추정 포함)</t>
      </text>
    </comment>
    <comment ref="S41" authorId="0" shapeId="0">
      <text>
        <t>모델값 역산(implied): v / 전년동기 − 1
현재 종가 ÷ TTM EPS(추정 포함)</t>
      </text>
    </comment>
    <comment ref="T41" authorId="0" shapeId="0">
      <text>
        <t>모델값 역산(implied): v / 전년동기 − 1
현재 종가 ÷ TTM EPS(추정 포함)</t>
      </text>
    </comment>
    <comment ref="U41" authorId="0" shapeId="0">
      <text>
        <t>모델값 역산(implied): v / 전년동기 − 1
현재 종가 ÷ TTM EPS(추정 포함)</t>
      </text>
    </comment>
    <comment ref="V41" authorId="0" shapeId="0">
      <text>
        <t>모델값 역산(implied): v / 전년동기 − 1
현재 종가 ÷ TTM EPS(추정 포함)</t>
      </text>
    </comment>
    <comment ref="K42" authorId="0" shapeId="0">
      <text>
        <t>모델값 역산(implied): v / 전년동기 − 1
현재 종가 ÷ BPS(추정 포함)</t>
      </text>
    </comment>
    <comment ref="L42" authorId="0" shapeId="0">
      <text>
        <t>모델값 역산(implied): v / 전년동기 − 1
현재 종가 ÷ BPS(추정 포함)</t>
      </text>
    </comment>
    <comment ref="N42" authorId="0" shapeId="0">
      <text>
        <t>모델값 역산(implied): v / 전년동기 − 1
현재 종가 ÷ BPS(추정 포함)</t>
      </text>
    </comment>
    <comment ref="O42" authorId="0" shapeId="0">
      <text>
        <t>모델값 역산(implied): v / 전년동기 − 1
현재 종가 ÷ BPS(추정 포함)</t>
      </text>
    </comment>
    <comment ref="P42" authorId="0" shapeId="0">
      <text>
        <t>모델값 역산(implied): v / 전년동기 − 1
현재 종가 ÷ BPS(추정 포함)</t>
      </text>
    </comment>
    <comment ref="Q42" authorId="0" shapeId="0">
      <text>
        <t>모델값 역산(implied): v / 전년동기 − 1
현재 종가 ÷ BPS(추정 포함)</t>
      </text>
    </comment>
    <comment ref="S42" authorId="0" shapeId="0">
      <text>
        <t>모델값 역산(implied): v / 전년동기 − 1
현재 종가 ÷ BPS(추정 포함)</t>
      </text>
    </comment>
    <comment ref="T42" authorId="0" shapeId="0">
      <text>
        <t>모델값 역산(implied): v / 전년동기 − 1
현재 종가 ÷ BPS(추정 포함)</t>
      </text>
    </comment>
    <comment ref="U42" authorId="0" shapeId="0">
      <text>
        <t>모델값 역산(implied): v / 전년동기 − 1
현재 종가 ÷ BPS(추정 포함)</t>
      </text>
    </comment>
    <comment ref="V42" authorId="0" shapeId="0">
      <text>
        <t>모델값 역산(implied): v / 전년동기 − 1
현재 종가 ÷ BPS(추정 포함)</t>
      </text>
    </comment>
    <comment ref="K43" authorId="0" shapeId="0">
      <text>
        <t>모델값 역산(implied): v / 매출액
SLS 해양 원화 3206억(sls.by_quarter.marine_hedged_krw_m(헤지 70% 적용)) + 원장 밖 잔고 소진 0억(최근 4분기 '부문매출−SLS' 중위 1540억/분기, 잔여 0억)</t>
      </text>
    </comment>
    <comment ref="L43" authorId="0" shapeId="0">
      <text>
        <t>모델값 역산(implied): v / 매출액
SLS 해양 원화 3211억(sls.by_quarter.marine_hedged_krw_m(헤지 70% 적용)) + 원장 밖 잔고 소진 0억(최근 4분기 '부문매출−SLS' 중위 1540억/분기, 잔여 0억)</t>
      </text>
    </comment>
    <comment ref="N43" authorId="0" shapeId="0">
      <text>
        <t>모델값 역산(implied): v / 매출액
SLS 해양 원화 3141억(sls.by_quarter.marine_hedged_krw_m(헤지 70% 적용)) + 원장 밖 잔고 소진 0억(최근 4분기 '부문매출−SLS' 중위 1540억/분기, 잔여 0억)</t>
      </text>
    </comment>
    <comment ref="O43" authorId="0" shapeId="0">
      <text>
        <t>모델값 역산(implied): v / 매출액
SLS 해양 원화 3176억(sls.by_quarter.marine_hedged_krw_m(헤지 70% 적용)) + 원장 밖 잔고 소진 0억(최근 4분기 '부문매출−SLS' 중위 1540억/분기, 잔여 0억)</t>
      </text>
    </comment>
    <comment ref="P43" authorId="0" shapeId="0">
      <text>
        <t>모델값 역산(implied): v / 매출액
SLS 해양 원화 3036억(sls.by_quarter.marine_hedged_krw_m(헤지 70% 적용)) + 원장 밖 잔고 소진 0억(최근 4분기 '부문매출−SLS' 중위 1540억/분기, 잔여 0억)</t>
      </text>
    </comment>
    <comment ref="Q43" authorId="0" shapeId="0">
      <text>
        <t>모델값 역산(implied): v / 매출액
SLS 해양 원화 2647억(sls.by_quarter.marine_hedged_krw_m(헤지 70% 적용)) + 원장 밖 잔고 소진 0억(최근 4분기 '부문매출−SLS' 중위 1540억/분기, 잔여 0억)</t>
      </text>
    </comment>
    <comment ref="S43" authorId="0" shapeId="0">
      <text>
        <t>모델값 역산(implied): v / 매출액
SLS 해양 원화 2424억(sls.by_quarter.marine_hedged_krw_m(헤지 70% 적용)) + 원장 밖 잔고 소진 0억(최근 4분기 '부문매출−SLS' 중위 1540억/분기, 잔여 0억)</t>
      </text>
    </comment>
    <comment ref="T43" authorId="0" shapeId="0">
      <text>
        <t>모델값 역산(implied): v / 매출액
SLS 해양 원화 2424억(sls.by_quarter.marine_hedged_krw_m(헤지 70% 적용)) + 원장 밖 잔고 소진 0억(최근 4분기 '부문매출−SLS' 중위 1540억/분기, 잔여 0억)</t>
      </text>
    </comment>
    <comment ref="U43" authorId="0" shapeId="0">
      <text>
        <t>모델값 역산(implied): v / 매출액
SLS 해양 원화 2150억(sls.by_quarter.marine_hedged_krw_m(헤지 70% 적용)) + 원장 밖 잔고 소진 0억(최근 4분기 '부문매출−SLS' 중위 1540억/분기, 잔여 0억)</t>
      </text>
    </comment>
    <comment ref="V43" authorId="0" shapeId="0">
      <text>
        <t>모델값 역산(implied): v / 매출액
SLS 해양 원화 1686억(sls.by_quarter.marine_hedged_krw_m(헤지 70% 적용)) + 원장 밖 잔고 소진 0억(최근 4분기 '부문매출−SLS' 중위 1540억/분기, 잔여 0억)</t>
      </text>
    </comment>
    <comment ref="K44" authorId="0" shapeId="0">
      <text>
        <t>모델값 역산(implied): v / 매출조선
매출조선 × 타겟 OPM(부문 OP 미공시 → 회사 OPM 적용)</t>
      </text>
    </comment>
    <comment ref="L44" authorId="0" shapeId="0">
      <text>
        <t>모델값 역산(implied): v / 매출조선
매출조선 × 타겟 OPM(부문 OP 미공시 → 회사 OPM 적용)</t>
      </text>
    </comment>
    <comment ref="N44" authorId="0" shapeId="0">
      <text>
        <t>모델값 역산(implied): v / 매출조선
매출조선 × 타겟 OPM(부문 OP 미공시 → 회사 OPM 적용)</t>
      </text>
    </comment>
    <comment ref="O44" authorId="0" shapeId="0">
      <text>
        <t>모델값 역산(implied): v / 매출조선
매출조선 × 타겟 OPM(부문 OP 미공시 → 회사 OPM 적용)</t>
      </text>
    </comment>
    <comment ref="P44" authorId="0" shapeId="0">
      <text>
        <t>모델값 역산(implied): v / 매출조선
매출조선 × 타겟 OPM(부문 OP 미공시 → 회사 OPM 적용)</t>
      </text>
    </comment>
    <comment ref="Q44" authorId="0" shapeId="0">
      <text>
        <t>모델값 역산(implied): v / 매출조선
매출조선 × 타겟 OPM(부문 OP 미공시 → 회사 OPM 적용)</t>
      </text>
    </comment>
    <comment ref="S44" authorId="0" shapeId="0">
      <text>
        <t>모델값 역산(implied): v / 매출조선
매출조선 × 타겟 OPM(부문 OP 미공시 → 회사 OPM 적용)</t>
      </text>
    </comment>
    <comment ref="T44" authorId="0" shapeId="0">
      <text>
        <t>모델값 역산(implied): v / 매출조선
매출조선 × 타겟 OPM(부문 OP 미공시 → 회사 OPM 적용)</t>
      </text>
    </comment>
    <comment ref="U44" authorId="0" shapeId="0">
      <text>
        <t>모델값 역산(implied): v / 매출조선
매출조선 × 타겟 OPM(부문 OP 미공시 → 회사 OPM 적용)</t>
      </text>
    </comment>
    <comment ref="V44" authorId="0" shapeId="0">
      <text>
        <t>모델값 역산(implied): v / 매출조선
매출조선 × 타겟 OPM(부문 OP 미공시 → 회사 OPM 적용)</t>
      </text>
    </comment>
    <comment ref="K45" authorId="0" shapeId="0">
      <text>
        <t>모델값 역산(implied): v / 매출액
기타 부문(연결 − 조선 부문) 최근 4분기 중위 22억 유지</t>
      </text>
    </comment>
    <comment ref="L45" authorId="0" shapeId="0">
      <text>
        <t>모델값 역산(implied): v / 매출액
기타 부문(연결 − 조선 부문) 최근 4분기 중위 22억 유지</t>
      </text>
    </comment>
    <comment ref="N45" authorId="0" shapeId="0">
      <text>
        <t>모델값 역산(implied): v / 매출액
기타 부문(연결 − 조선 부문) 최근 4분기 중위 22억 유지</t>
      </text>
    </comment>
    <comment ref="O45" authorId="0" shapeId="0">
      <text>
        <t>모델값 역산(implied): v / 매출액
기타 부문(연결 − 조선 부문) 최근 4분기 중위 22억 유지</t>
      </text>
    </comment>
    <comment ref="P45" authorId="0" shapeId="0">
      <text>
        <t>모델값 역산(implied): v / 매출액
기타 부문(연결 − 조선 부문) 최근 4분기 중위 22억 유지</t>
      </text>
    </comment>
    <comment ref="Q45" authorId="0" shapeId="0">
      <text>
        <t>모델값 역산(implied): v / 매출액
기타 부문(연결 − 조선 부문) 최근 4분기 중위 22억 유지</t>
      </text>
    </comment>
    <comment ref="S45" authorId="0" shapeId="0">
      <text>
        <t>모델값 역산(implied): v / 매출액
기타 부문(연결 − 조선 부문) 최근 4분기 중위 22억 유지</t>
      </text>
    </comment>
    <comment ref="T45" authorId="0" shapeId="0">
      <text>
        <t>모델값 역산(implied): v / 매출액
기타 부문(연결 − 조선 부문) 최근 4분기 중위 22억 유지</t>
      </text>
    </comment>
    <comment ref="U45" authorId="0" shapeId="0">
      <text>
        <t>모델값 역산(implied): v / 매출액
기타 부문(연결 − 조선 부문) 최근 4분기 중위 22억 유지</t>
      </text>
    </comment>
    <comment ref="V45" authorId="0" shapeId="0">
      <text>
        <t>모델값 역산(implied): v / 매출액
기타 부문(연결 − 조선 부문) 최근 4분기 중위 22억 유지</t>
      </text>
    </comment>
    <comment ref="K46" authorId="0" shapeId="0">
      <text>
        <t>모델값 역산(implied): v / 매출기타
매출기타 × 회사 OPM(부문 OP 미공시)</t>
      </text>
    </comment>
    <comment ref="L46" authorId="0" shapeId="0">
      <text>
        <t>모델값 역산(implied): v / 매출기타
매출기타 × 회사 OPM(부문 OP 미공시)</t>
      </text>
    </comment>
    <comment ref="N46" authorId="0" shapeId="0">
      <text>
        <t>모델값 역산(implied): v / 매출기타
매출기타 × 회사 OPM(부문 OP 미공시)</t>
      </text>
    </comment>
    <comment ref="O46" authorId="0" shapeId="0">
      <text>
        <t>모델값 역산(implied): v / 매출기타
매출기타 × 회사 OPM(부문 OP 미공시)</t>
      </text>
    </comment>
    <comment ref="P46" authorId="0" shapeId="0">
      <text>
        <t>모델값 역산(implied): v / 매출기타
매출기타 × 회사 OPM(부문 OP 미공시)</t>
      </text>
    </comment>
    <comment ref="Q46" authorId="0" shapeId="0">
      <text>
        <t>모델값 역산(implied): v / 매출기타
매출기타 × 회사 OPM(부문 OP 미공시)</t>
      </text>
    </comment>
    <comment ref="S46" authorId="0" shapeId="0">
      <text>
        <t>모델값 역산(implied): v / 매출기타
매출기타 × 회사 OPM(부문 OP 미공시)</t>
      </text>
    </comment>
    <comment ref="T46" authorId="0" shapeId="0">
      <text>
        <t>모델값 역산(implied): v / 매출기타
매출기타 × 회사 OPM(부문 OP 미공시)</t>
      </text>
    </comment>
    <comment ref="U46" authorId="0" shapeId="0">
      <text>
        <t>모델값 역산(implied): v / 매출기타
매출기타 × 회사 OPM(부문 OP 미공시)</t>
      </text>
    </comment>
    <comment ref="V46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매출조선 + 매출기타
[yoy]</t>
      </text>
    </comment>
    <comment ref="L5" authorId="0" shapeId="0">
      <text>
        <t>추정: 매출조선 + 매출기타
[yoy]</t>
      </text>
    </comment>
    <comment ref="N5" authorId="0" shapeId="0">
      <text>
        <t>추정: 매출조선 + 매출기타
[yoy]</t>
      </text>
    </comment>
    <comment ref="O5" authorId="0" shapeId="0">
      <text>
        <t>추정: 매출조선 + 매출기타
[yoy]</t>
      </text>
    </comment>
    <comment ref="P5" authorId="0" shapeId="0">
      <text>
        <t>추정: 매출조선 + 매출기타
[yoy]</t>
      </text>
    </comment>
    <comment ref="Q5" authorId="0" shapeId="0">
      <text>
        <t>추정: 매출조선 + 매출기타
[yoy]</t>
      </text>
    </comment>
    <comment ref="S5" authorId="0" shapeId="0">
      <text>
        <t>추정: 매출조선 + 매출기타
[yoy]</t>
      </text>
    </comment>
    <comment ref="T5" authorId="0" shapeId="0">
      <text>
        <t>추정: 매출조선 + 매출기타
[yoy]</t>
      </text>
    </comment>
    <comment ref="U5" authorId="0" shapeId="0">
      <text>
        <t>추정: 매출조선 + 매출기타
[yoy]</t>
      </text>
    </comment>
    <comment ref="V5" authorId="0" shapeId="0">
      <text>
        <t>추정: 매출조선 + 매출기타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2.44%(최근 4분기 중위)
[ratio]</t>
      </text>
    </comment>
    <comment ref="L8" authorId="0" shapeId="0">
      <text>
        <t>추정: 매출액 × 판관비율 2.44%(최근 4분기 중위)
[ratio]</t>
      </text>
    </comment>
    <comment ref="N8" authorId="0" shapeId="0">
      <text>
        <t>추정: 매출액 × 판관비율 2.44%(최근 4분기 중위)
[ratio]</t>
      </text>
    </comment>
    <comment ref="O8" authorId="0" shapeId="0">
      <text>
        <t>추정: 매출액 × 판관비율 2.44%(최근 4분기 중위)
[ratio]</t>
      </text>
    </comment>
    <comment ref="P8" authorId="0" shapeId="0">
      <text>
        <t>추정: 매출액 × 판관비율 2.44%(최근 4분기 중위)
[ratio]</t>
      </text>
    </comment>
    <comment ref="Q8" authorId="0" shapeId="0">
      <text>
        <t>추정: 매출액 × 판관비율 2.44%(최근 4분기 중위)
[ratio]</t>
      </text>
    </comment>
    <comment ref="S8" authorId="0" shapeId="0">
      <text>
        <t>추정: 매출액 × 판관비율 2.44%(최근 4분기 중위)
[ratio]</t>
      </text>
    </comment>
    <comment ref="T8" authorId="0" shapeId="0">
      <text>
        <t>추정: 매출액 × 판관비율 2.44%(최근 4분기 중위)
[ratio]</t>
      </text>
    </comment>
    <comment ref="U8" authorId="0" shapeId="0">
      <text>
        <t>추정: 매출액 × 판관비율 2.44%(최근 4분기 중위)
[ratio]</t>
      </text>
    </comment>
    <comment ref="V8" authorId="0" shapeId="0">
      <text>
        <t>추정: 매출액 × 판관비율 2.44%(최근 4분기 중위)
[ratio]</t>
      </text>
    </comment>
    <comment ref="K9" authorId="0" shapeId="0">
      <text>
        <t>추정: 매출액 × OPM(SLS 코호트 타겟 4.5% + 회사 캘리브레이션 +22.5%p(최근 4분기 실측−타겟 중위))
[ratio]</t>
      </text>
    </comment>
    <comment ref="L9" authorId="0" shapeId="0">
      <text>
        <t>추정: 매출액 × OPM(SLS 코호트 타겟 4.5% + 회사 캘리브레이션 +22.5%p(최근 4분기 실측−타겟 중위))
[ratio]</t>
      </text>
    </comment>
    <comment ref="N9" authorId="0" shapeId="0">
      <text>
        <t>추정: 매출액 × OPM(SLS 코호트 타겟 4.5% + 회사 캘리브레이션 +22.5%p(최근 4분기 실측−타겟 중위))
[ratio]</t>
      </text>
    </comment>
    <comment ref="O9" authorId="0" shapeId="0">
      <text>
        <t>추정: 매출액 × OPM(SLS 코호트 타겟 4.5% + 회사 캘리브레이션 +22.5%p(최근 4분기 실측−타겟 중위))
[ratio]</t>
      </text>
    </comment>
    <comment ref="P9" authorId="0" shapeId="0">
      <text>
        <t>추정: 매출액 × OPM(SLS 코호트 타겟 4.5% + 회사 캘리브레이션 +22.5%p(최근 4분기 실측−타겟 중위))
[ratio]</t>
      </text>
    </comment>
    <comment ref="Q9" authorId="0" shapeId="0">
      <text>
        <t>추정: 매출액 × OPM(SLS 코호트 타겟 4.4% + 회사 캘리브레이션 +22.5%p(최근 4분기 실측−타겟 중위))
[ratio]</t>
      </text>
    </comment>
    <comment ref="S9" authorId="0" shapeId="0">
      <text>
        <t>추정: 매출액 × OPM(SLS 코호트 타겟 4.4% + 회사 캘리브레이션 +22.5%p(최근 4분기 실측−타겟 중위))
[ratio]</t>
      </text>
    </comment>
    <comment ref="T9" authorId="0" shapeId="0">
      <text>
        <t>추정: 매출액 × OPM(SLS 코호트 타겟 4.4% + 회사 캘리브레이션 +22.5%p(최근 4분기 실측−타겟 중위))
[ratio]</t>
      </text>
    </comment>
    <comment ref="U9" authorId="0" shapeId="0">
      <text>
        <t>추정: 매출액 × OPM(SLS 코호트 타겟 5.0% + 회사 캘리브레이션 +22.5%p(최근 4분기 실측−타겟 중위))
[ratio]</t>
      </text>
    </comment>
    <comment ref="V9" authorId="0" shapeId="0">
      <text>
        <t>추정: 매출액 × OPM(SLS 코호트 타겟 5.0% + 회사 캘리브레이션 +22.5%p(최근 4분기 실측−타겟 중위))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K10" authorId="0" shapeId="0">
      <text>
        <t>추정: SLS 코호트 타겟 4.5% + 회사 캘리브레이션 +22.5%p(최근 4분기 실측−타겟 중위)
[yoy]</t>
      </text>
    </comment>
    <comment ref="L10" authorId="0" shapeId="0">
      <text>
        <t>추정: SLS 코호트 타겟 4.5% + 회사 캘리브레이션 +22.5%p(최근 4분기 실측−타겟 중위)
[yoy]</t>
      </text>
    </comment>
    <comment ref="N10" authorId="0" shapeId="0">
      <text>
        <t>추정: SLS 코호트 타겟 4.5% + 회사 캘리브레이션 +22.5%p(최근 4분기 실측−타겟 중위)
[yoy]</t>
      </text>
    </comment>
    <comment ref="O10" authorId="0" shapeId="0">
      <text>
        <t>추정: SLS 코호트 타겟 4.5% + 회사 캘리브레이션 +22.5%p(최근 4분기 실측−타겟 중위)
[yoy]</t>
      </text>
    </comment>
    <comment ref="P10" authorId="0" shapeId="0">
      <text>
        <t>추정: SLS 코호트 타겟 4.5% + 회사 캘리브레이션 +22.5%p(최근 4분기 실측−타겟 중위)
[yoy]</t>
      </text>
    </comment>
    <comment ref="Q10" authorId="0" shapeId="0">
      <text>
        <t>추정: SLS 코호트 타겟 4.4% + 회사 캘리브레이션 +22.5%p(최근 4분기 실측−타겟 중위)
[yoy]</t>
      </text>
    </comment>
    <comment ref="S10" authorId="0" shapeId="0">
      <text>
        <t>추정: SLS 코호트 타겟 4.4% + 회사 캘리브레이션 +22.5%p(최근 4분기 실측−타겟 중위)
[yoy]</t>
      </text>
    </comment>
    <comment ref="T10" authorId="0" shapeId="0">
      <text>
        <t>추정: SLS 코호트 타겟 4.4% + 회사 캘리브레이션 +22.5%p(최근 4분기 실측−타겟 중위)
[yoy]</t>
      </text>
    </comment>
    <comment ref="U10" authorId="0" shapeId="0">
      <text>
        <t>추정: SLS 코호트 타겟 5.0% + 회사 캘리브레이션 +22.5%p(최근 4분기 실측−타겟 중위)
[yoy]</t>
      </text>
    </comment>
    <comment ref="V10" authorId="0" shapeId="0">
      <text>
        <t>추정: SLS 코호트 타겟 5.0% + 회사 캘리브레이션 +22.5%p(최근 4분기 실측−타겟 중위)
[yoy]</t>
      </text>
    </comment>
    <comment ref="K11" authorId="0" shapeId="0">
      <text>
        <t>추정: 이자손익 = 이자발생자산 5802억 × 1.76% − 총차입금 0억 × 0.00% (연율, CF 실측) ÷ 4; 환·평가손익 0 가정
[abs]</t>
      </text>
    </comment>
    <comment ref="L11" authorId="0" shapeId="0">
      <text>
        <t>추정: 이자손익 = 이자발생자산 6498억 × 1.76% − 총차입금 0억 × 0.00% (연율, CF 실측) ÷ 4; 환·평가손익 0 가정
[abs]</t>
      </text>
    </comment>
    <comment ref="N11" authorId="0" shapeId="0">
      <text>
        <t>추정: 이자손익 = 이자발생자산 7194억 × 1.76% − 총차입금 0억 × 0.00% (연율, CF 실측) ÷ 4; 환·평가손익 0 가정
[abs]</t>
      </text>
    </comment>
    <comment ref="O11" authorId="0" shapeId="0">
      <text>
        <t>추정: 이자손익 = 이자발생자산 7877억 × 1.76% − 총차입금 0억 × 0.00% (연율, CF 실측) ÷ 4; 환·평가손익 0 가정
[abs]</t>
      </text>
    </comment>
    <comment ref="P11" authorId="0" shapeId="0">
      <text>
        <t>추정: 이자손익 = 이자발생자산 8476억 × 1.76% − 총차입금 0억 × 0.00% (연율, CF 실측) ÷ 4; 환·평가손익 0 가정
[abs]</t>
      </text>
    </comment>
    <comment ref="Q11" authorId="0" shapeId="0">
      <text>
        <t>추정: 이자손익 = 이자발생자산 9142억 × 1.76% − 총차입금 0억 × 0.00% (연율, CF 실측) ÷ 4; 환·평가손익 0 가정
[abs]</t>
      </text>
    </comment>
    <comment ref="S11" authorId="0" shapeId="0">
      <text>
        <t>추정: 이자손익 = 이자발생자산 9727억 × 1.76% − 총차입금 0억 × 0.00% (연율, CF 실측) ÷ 4; 환·평가손익 0 가정
[abs]</t>
      </text>
    </comment>
    <comment ref="T11" authorId="0" shapeId="0">
      <text>
        <t>추정: 이자손익 = 이자발생자산 10267억 × 1.76% − 총차입금 0억 × 0.00% (연율, CF 실측) ÷ 4; 환·평가손익 0 가정
[abs]</t>
      </text>
    </comment>
    <comment ref="U11" authorId="0" shapeId="0">
      <text>
        <t>추정: 이자손익 = 이자발생자산 10714억 × 1.76% − 총차입금 0억 × 0.00% (연율, CF 실측) ÷ 4; 환·평가손익 0 가정
[abs]</t>
      </text>
    </comment>
    <comment ref="V11" authorId="0" shapeId="0">
      <text>
        <t>추정: 이자손익 = 이자발생자산 11211억 × 1.76% − 총차입금 0억 × 0.00% (연율, CF 실측) ÷ 4; 환·평가손익 0 가정
[abs]</t>
      </text>
    </comment>
    <comment ref="K12" authorId="0" shapeId="0">
      <text>
        <t>추정: 일회성 미가정 → 0
[abs]</t>
      </text>
    </comment>
    <comment ref="L12" authorId="0" shapeId="0">
      <text>
        <t>추정: 일회성 미가정 → 0
[abs]</t>
      </text>
    </comment>
    <comment ref="N12" authorId="0" shapeId="0">
      <text>
        <t>추정: 일회성 미가정 → 0
[abs]</t>
      </text>
    </comment>
    <comment ref="O12" authorId="0" shapeId="0">
      <text>
        <t>추정: 일회성 미가정 → 0
[abs]</t>
      </text>
    </comment>
    <comment ref="P12" authorId="0" shapeId="0">
      <text>
        <t>추정: 일회성 미가정 → 0
[abs]</t>
      </text>
    </comment>
    <comment ref="Q12" authorId="0" shapeId="0">
      <text>
        <t>추정: 일회성 미가정 → 0
[abs]</t>
      </text>
    </comment>
    <comment ref="S12" authorId="0" shapeId="0">
      <text>
        <t>추정: 일회성 미가정 → 0
[abs]</t>
      </text>
    </comment>
    <comment ref="T12" authorId="0" shapeId="0">
      <text>
        <t>추정: 일회성 미가정 → 0
[abs]</t>
      </text>
    </comment>
    <comment ref="U12" authorId="0" shapeId="0">
      <text>
        <t>추정: 일회성 미가정 → 0
[abs]</t>
      </text>
    </comment>
    <comment ref="V12" authorId="0" shapeId="0">
      <text>
        <t>추정: 일회성 미가정 → 0
[abs]</t>
      </text>
    </comment>
    <comment ref="K13" authorId="0" shapeId="0">
      <text>
        <t>추정: 외화 순노출 -2백만$ × Δ기말 원/달러(가정 — 마지막 ECB 관측치를 2028Q4 까지 평평하게 둔다. 선도환율·컨센서스 아님.)
[abs]</t>
      </text>
    </comment>
    <comment ref="L13" authorId="0" shapeId="0">
      <text>
        <t>추정: 외화 순노출 -2백만$ × Δ기말 원/달러(가정 — 마지막 ECB 관측치를 2028Q4 까지 평평하게 둔다. 선도환율·컨센서스 아님.)
[abs]</t>
      </text>
    </comment>
    <comment ref="N13" authorId="0" shapeId="0">
      <text>
        <t>추정: 외화 순노출 -2백만$ × Δ기말 원/달러(가정 — 마지막 ECB 관측치를 2028Q4 까지 평평하게 둔다. 선도환율·컨센서스 아님.)
[abs]</t>
      </text>
    </comment>
    <comment ref="O13" authorId="0" shapeId="0">
      <text>
        <t>추정: 외화 순노출 -2백만$ × Δ기말 원/달러(가정 — 마지막 ECB 관측치를 2028Q4 까지 평평하게 둔다. 선도환율·컨센서스 아님.)
[abs]</t>
      </text>
    </comment>
    <comment ref="P13" authorId="0" shapeId="0">
      <text>
        <t>추정: 외화 순노출 -2백만$ × Δ기말 원/달러(가정 — 마지막 ECB 관측치를 2028Q4 까지 평평하게 둔다. 선도환율·컨센서스 아님.)
[abs]</t>
      </text>
    </comment>
    <comment ref="Q13" authorId="0" shapeId="0">
      <text>
        <t>추정: 외화 순노출 -2백만$ × Δ기말 원/달러(가정 — 마지막 ECB 관측치를 2028Q4 까지 평평하게 둔다. 선도환율·컨센서스 아님.)
[abs]</t>
      </text>
    </comment>
    <comment ref="S13" authorId="0" shapeId="0">
      <text>
        <t>추정: 외화 순노출 -2백만$ × Δ기말 원/달러(가정 — 마지막 ECB 관측치를 2028Q4 까지 평평하게 둔다. 선도환율·컨센서스 아님.)
[abs]</t>
      </text>
    </comment>
    <comment ref="T13" authorId="0" shapeId="0">
      <text>
        <t>추정: 외화 순노출 -2백만$ × Δ기말 원/달러(가정 — 마지막 ECB 관측치를 2028Q4 까지 평평하게 둔다. 선도환율·컨센서스 아님.)
[abs]</t>
      </text>
    </comment>
    <comment ref="U13" authorId="0" shapeId="0">
      <text>
        <t>추정: 외화 순노출 -2백만$ × Δ기말 원/달러(가정 — 마지막 ECB 관측치를 2028Q4 까지 평평하게 둔다. 선도환율·컨센서스 아님.)
[abs]</t>
      </text>
    </comment>
    <comment ref="V13" authorId="0" shapeId="0">
      <text>
        <t>추정: 외화 순노출 -2백만$ × Δ기말 원/달러(가정 — 마지막 ECB 관측치를 2028Q4 까지 평평하게 둔다. 선도환율·컨센서스 아님.)
[abs]</t>
      </text>
    </comment>
    <comment ref="K14" authorId="0" shapeId="0">
      <text>
        <t>추정: 영업이익 + 금융손익 + 기타영업외 + 지분법 + 환관련(항등식)
[identity]</t>
      </text>
    </comment>
    <comment ref="L14" authorId="0" shapeId="0">
      <text>
        <t>추정: 영업이익 + 금융손익 + 기타영업외 + 지분법 + 환관련(항등식)
[identity]</t>
      </text>
    </comment>
    <comment ref="N14" authorId="0" shapeId="0">
      <text>
        <t>추정: 영업이익 + 금융손익 + 기타영업외 + 지분법 + 환관련(항등식)
[identity]</t>
      </text>
    </comment>
    <comment ref="O14" authorId="0" shapeId="0">
      <text>
        <t>추정: 영업이익 + 금융손익 + 기타영업외 + 지분법 + 환관련(항등식)
[identity]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K15" authorId="0" shapeId="0">
      <text>
        <t>추정: max(세전, 0) × 세율 22.8%(최근 5분기 유효세율 22.8% → 5~27% 클립)
[ratio]</t>
      </text>
    </comment>
    <comment ref="L15" authorId="0" shapeId="0">
      <text>
        <t>추정: max(세전, 0) × 세율 22.8%(최근 5분기 유효세율 22.8% → 5~27% 클립)
[ratio]</t>
      </text>
    </comment>
    <comment ref="N15" authorId="0" shapeId="0">
      <text>
        <t>추정: max(세전, 0) × 세율 22.8%(최근 5분기 유효세율 22.8% → 5~27% 클립)
[ratio]</t>
      </text>
    </comment>
    <comment ref="O15" authorId="0" shapeId="0">
      <text>
        <t>추정: max(세전, 0) × 세율 22.8%(최근 5분기 유효세율 22.8% → 5~27% 클립)
[ratio]</t>
      </text>
    </comment>
    <comment ref="P15" authorId="0" shapeId="0">
      <text>
        <t>추정: max(세전, 0) × 세율 22.8%(최근 5분기 유효세율 22.8% → 5~27% 클립)
[ratio]</t>
      </text>
    </comment>
    <comment ref="Q15" authorId="0" shapeId="0">
      <text>
        <t>추정: max(세전, 0) × 세율 22.8%(최근 5분기 유효세율 22.8% → 5~27% 클립)
[ratio]</t>
      </text>
    </comment>
    <comment ref="S15" authorId="0" shapeId="0">
      <text>
        <t>추정: max(세전, 0) × 세율 22.8%(최근 5분기 유효세율 22.8% → 5~27% 클립)
[ratio]</t>
      </text>
    </comment>
    <comment ref="T15" authorId="0" shapeId="0">
      <text>
        <t>추정: max(세전, 0) × 세율 22.8%(최근 5분기 유효세율 22.8% → 5~27% 클립)
[ratio]</t>
      </text>
    </comment>
    <comment ref="U15" authorId="0" shapeId="0">
      <text>
        <t>추정: max(세전, 0) × 세율 22.8%(최근 5분기 유효세율 22.8% → 5~27% 클립)
[ratio]</t>
      </text>
    </comment>
    <comment ref="V15" authorId="0" shapeId="0">
      <text>
        <t>추정: max(세전, 0) × 세율 22.8%(최근 5분기 유효세율 22.8% → 5~27% 클립)
[ratio]</t>
      </text>
    </comment>
    <comment ref="K16" authorId="0" shapeId="0">
      <text>
        <t>추정: 세전이익 − 법인세비용(항등식)
[identity]</t>
      </text>
    </comment>
    <comment ref="L16" authorId="0" shapeId="0">
      <text>
        <t>추정: 세전이익 − 법인세비용(항등식)
[identity]</t>
      </text>
    </comment>
    <comment ref="N16" authorId="0" shapeId="0">
      <text>
        <t>추정: 세전이익 − 법인세비용(항등식)
[identity]</t>
      </text>
    </comment>
    <comment ref="O16" authorId="0" shapeId="0">
      <text>
        <t>추정: 세전이익 − 법인세비용(항등식)
[identity]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K17" authorId="0" shapeId="0">
      <text>
        <t>추정: 당기순이익 × (1 − 비지배 비중 0.0%, 최근 8분기 실측)
[ratio]</t>
      </text>
    </comment>
    <comment ref="L17" authorId="0" shapeId="0">
      <text>
        <t>추정: 당기순이익 × (1 − 비지배 비중 0.0%, 최근 8분기 실측)
[ratio]</t>
      </text>
    </comment>
    <comment ref="N17" authorId="0" shapeId="0">
      <text>
        <t>추정: 당기순이익 × (1 − 비지배 비중 0.0%, 최근 8분기 실측)
[ratio]</t>
      </text>
    </comment>
    <comment ref="O17" authorId="0" shapeId="0">
      <text>
        <t>추정: 당기순이익 × (1 − 비지배 비중 0.0%, 최근 8분기 실측)
[ratio]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K18" authorId="0" shapeId="0">
      <text>
        <t>추정: 부채총계 + 자본총계(항등식)
[identity]</t>
      </text>
    </comment>
    <comment ref="L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K19" authorId="0" shapeId="0">
      <text>
        <t>추정: 마지막 실적 유지(가정)
[qoq]</t>
      </text>
    </comment>
    <comment ref="L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K20" authorId="0" shapeId="0">
      <text>
        <t>추정: 전분기 + 당기순이익 − 배당(Q2 지급 가정)
[roll]</t>
      </text>
    </comment>
    <comment ref="L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K21" authorId="0" shapeId="0">
      <text>
        <t>추정: 전분기 + 지배주주순이익 − 배당
[roll]</t>
      </text>
    </comment>
    <comment ref="L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K24" authorId="0" shapeId="0">
      <text>
        <t>추정: 전분기 + (순이익 − 배당) — 순차입금 롤과 같은 가정
[qoq]</t>
      </text>
    </comment>
    <comment ref="L24" authorId="0" shapeId="0">
      <text>
        <t>추정: 전분기 + (순이익 − 배당) — 순차입금 롤과 같은 가정
[qoq]</t>
      </text>
    </comment>
    <comment ref="N24" authorId="0" shapeId="0">
      <text>
        <t>추정: 전분기 + (순이익 − 배당) — 순차입금 롤과 같은 가정
[qoq]</t>
      </text>
    </comment>
    <comment ref="O24" authorId="0" shapeId="0">
      <text>
        <t>추정: 전분기 + (순이익 − 배당) — 순차입금 롤과 같은 가정
[qoq]</t>
      </text>
    </comment>
    <comment ref="P24" authorId="0" shapeId="0">
      <text>
        <t>추정: 전분기 + (순이익 − 배당) — 순차입금 롤과 같은 가정
[qoq]</t>
      </text>
    </comment>
    <comment ref="Q24" authorId="0" shapeId="0">
      <text>
        <t>추정: 전분기 + (순이익 − 배당) — 순차입금 롤과 같은 가정
[qoq]</t>
      </text>
    </comment>
    <comment ref="S24" authorId="0" shapeId="0">
      <text>
        <t>추정: 전분기 + (순이익 − 배당) — 순차입금 롤과 같은 가정
[qoq]</t>
      </text>
    </comment>
    <comment ref="T24" authorId="0" shapeId="0">
      <text>
        <t>추정: 전분기 + (순이익 − 배당) — 순차입금 롤과 같은 가정
[qoq]</t>
      </text>
    </comment>
    <comment ref="U24" authorId="0" shapeId="0">
      <text>
        <t>추정: 전분기 + (순이익 − 배당) — 순차입금 롤과 같은 가정
[qoq]</t>
      </text>
    </comment>
    <comment ref="V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F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F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K28" authorId="0" shapeId="0">
      <text>
        <t>추정: 유통주식수 유지 — fin.shares.common_outstanding(2026Q2)
[qoq]</t>
      </text>
    </comment>
    <comment ref="L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K29" authorId="0" shapeId="0">
      <text>
        <t>추정: 지배주주순이익 ÷ 유통주식수
[per_share]</t>
      </text>
    </comment>
    <comment ref="L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K30" authorId="0" shapeId="0">
      <text>
        <t>추정: 지배주주지분 ÷ 유통주식수
[per_share]</t>
      </text>
    </comment>
    <comment ref="L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G31" authorId="0" shapeId="0">
      <text>
        <t>실측(계정 매핑 없음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추정: 직전 결산 DPS 250원 유지
[yoy]</t>
      </text>
    </comment>
    <comment ref="Q31" authorId="0" shapeId="0">
      <text>
        <t>추정: 직전 결산 DPS 250원 유지
[yoy]</t>
      </text>
    </comment>
    <comment ref="V31" authorId="0" shapeId="0">
      <text>
        <t>추정: 직전 결산 DPS 250원 유지
[yoy]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K32" authorId="0" shapeId="0">
      <text>
        <t>추정(가정 셀 참조 불가 — 기준값 없음, 모델값 직접): 현재 종가 ÷ TTM EPS(추정 포함)</t>
      </text>
    </comment>
    <comment ref="L32" authorId="0" shapeId="0">
      <text>
        <t>추정(가정 셀 참조 불가 — 기준값 없음, 모델값 직접): 현재 종가 ÷ TTM EPS(추정 포함)</t>
      </text>
    </comment>
    <comment ref="N32" authorId="0" shapeId="0">
      <text>
        <t>추정: 현재 종가 ÷ TTM EPS(추정 포함)
[yoy]</t>
      </text>
    </comment>
    <comment ref="O32" authorId="0" shapeId="0">
      <text>
        <t>추정: 현재 종가 ÷ TTM EPS(추정 포함)
[yoy]</t>
      </text>
    </comment>
    <comment ref="P32" authorId="0" shapeId="0">
      <text>
        <t>추정: 현재 종가 ÷ TTM EPS(추정 포함)
[yoy]</t>
      </text>
    </comment>
    <comment ref="Q32" authorId="0" shapeId="0">
      <text>
        <t>추정: 현재 종가 ÷ TTM EPS(추정 포함)
[yoy]</t>
      </text>
    </comment>
    <comment ref="S32" authorId="0" shapeId="0">
      <text>
        <t>추정: 현재 종가 ÷ TTM EPS(추정 포함)
[yoy]</t>
      </text>
    </comment>
    <comment ref="T32" authorId="0" shapeId="0">
      <text>
        <t>추정: 현재 종가 ÷ TTM EPS(추정 포함)
[yoy]</t>
      </text>
    </comment>
    <comment ref="U32" authorId="0" shapeId="0">
      <text>
        <t>추정: 현재 종가 ÷ TTM EPS(추정 포함)
[yoy]</t>
      </text>
    </comment>
    <comment ref="V32" authorId="0" shapeId="0">
      <text>
        <t>추정: 현재 종가 ÷ TTM EPS(추정 포함)
[yoy]</t>
      </text>
    </comment>
    <comment ref="F33" authorId="0" shapeId="0">
      <text>
        <t>실측(계정 매핑 없음 — 모델값 직접) — 토스 일봉 분기 평균 ÷ BPS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연간(actual) — 분기 미완 연도, 모델 a 값 직접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K33" authorId="0" shapeId="0">
      <text>
        <t>추정: 현재 종가 ÷ BPS(추정 포함)
[yoy]</t>
      </text>
    </comment>
    <comment ref="L33" authorId="0" shapeId="0">
      <text>
        <t>추정: 현재 종가 ÷ BPS(추정 포함)
[yoy]</t>
      </text>
    </comment>
    <comment ref="N33" authorId="0" shapeId="0">
      <text>
        <t>추정: 현재 종가 ÷ BPS(추정 포함)
[yoy]</t>
      </text>
    </comment>
    <comment ref="O33" authorId="0" shapeId="0">
      <text>
        <t>추정: 현재 종가 ÷ BPS(추정 포함)
[yoy]</t>
      </text>
    </comment>
    <comment ref="P33" authorId="0" shapeId="0">
      <text>
        <t>추정: 현재 종가 ÷ BPS(추정 포함)
[yoy]</t>
      </text>
    </comment>
    <comment ref="Q33" authorId="0" shapeId="0">
      <text>
        <t>추정: 현재 종가 ÷ BPS(추정 포함)
[yoy]</t>
      </text>
    </comment>
    <comment ref="S33" authorId="0" shapeId="0">
      <text>
        <t>추정: 현재 종가 ÷ BPS(추정 포함)
[yoy]</t>
      </text>
    </comment>
    <comment ref="T33" authorId="0" shapeId="0">
      <text>
        <t>추정: 현재 종가 ÷ BPS(추정 포함)
[yoy]</t>
      </text>
    </comment>
    <comment ref="U33" authorId="0" shapeId="0">
      <text>
        <t>추정: 현재 종가 ÷ BPS(추정 포함)
[yoy]</t>
      </text>
    </comment>
    <comment ref="V33" authorId="0" shapeId="0">
      <text>
        <t>추정: 현재 종가 ÷ BPS(추정 포함)
[yoy]</t>
      </text>
    </comment>
    <comment ref="F34" authorId="0" shapeId="0">
      <text>
        <t>실측(계정 매핑 없음 — 모델값 직접) — sls.reconcile.reported_segment_rev_m ← yards_cache 부문표(3개월분)</t>
      </text>
    </comment>
    <comment ref="G34" authorId="0" shapeId="0">
      <text>
        <t>실측(계정 매핑 없음 — 모델값 직접) — sls.reconcile.reported_segment_rev_m ← yards_cache 부문표(3개월분)</t>
      </text>
    </comment>
    <comment ref="I34" authorId="0" shapeId="0">
      <text>
        <t>실측(계정 매핑 없음 — 모델값 직접) — sls.reconcile.reported_segment_rev_m ← yards_cache 부문표(3개월분)</t>
      </text>
    </comment>
    <comment ref="J34" authorId="0" shapeId="0">
      <text>
        <t>실측(계정 매핑 없음 — 모델값 직접) — sls.reconcile.reported_segment_rev_m ← yards_cache 부문표(3개월분)</t>
      </text>
    </comment>
    <comment ref="K34" authorId="0" shapeId="0">
      <text>
        <t>추정: SLS 해양 원화 3206억(sls.by_quarter.marine_hedged_krw_m(헤지 70% 적용)) + 원장 밖 잔고 소진 0억(최근 4분기 '부문매출−SLS' 중위 1540억/분기, 잔여 0억)
[ratio]</t>
      </text>
    </comment>
    <comment ref="L34" authorId="0" shapeId="0">
      <text>
        <t>추정: SLS 해양 원화 3211억(sls.by_quarter.marine_hedged_krw_m(헤지 70% 적용)) + 원장 밖 잔고 소진 0억(최근 4분기 '부문매출−SLS' 중위 1540억/분기, 잔여 0억)
[ratio]</t>
      </text>
    </comment>
    <comment ref="N34" authorId="0" shapeId="0">
      <text>
        <t>추정: SLS 해양 원화 3141억(sls.by_quarter.marine_hedged_krw_m(헤지 70% 적용)) + 원장 밖 잔고 소진 0억(최근 4분기 '부문매출−SLS' 중위 1540억/분기, 잔여 0억)
[ratio]</t>
      </text>
    </comment>
    <comment ref="O34" authorId="0" shapeId="0">
      <text>
        <t>추정: SLS 해양 원화 3176억(sls.by_quarter.marine_hedged_krw_m(헤지 70% 적용)) + 원장 밖 잔고 소진 0억(최근 4분기 '부문매출−SLS' 중위 1540억/분기, 잔여 0억)
[ratio]</t>
      </text>
    </comment>
    <comment ref="P34" authorId="0" shapeId="0">
      <text>
        <t>추정: SLS 해양 원화 3036억(sls.by_quarter.marine_hedged_krw_m(헤지 70% 적용)) + 원장 밖 잔고 소진 0억(최근 4분기 '부문매출−SLS' 중위 1540억/분기, 잔여 0억)
[ratio]</t>
      </text>
    </comment>
    <comment ref="Q34" authorId="0" shapeId="0">
      <text>
        <t>추정: SLS 해양 원화 2647억(sls.by_quarter.marine_hedged_krw_m(헤지 70% 적용)) + 원장 밖 잔고 소진 0억(최근 4분기 '부문매출−SLS' 중위 1540억/분기, 잔여 0억)
[ratio]</t>
      </text>
    </comment>
    <comment ref="S34" authorId="0" shapeId="0">
      <text>
        <t>추정: SLS 해양 원화 2424억(sls.by_quarter.marine_hedged_krw_m(헤지 70% 적용)) + 원장 밖 잔고 소진 0억(최근 4분기 '부문매출−SLS' 중위 1540억/분기, 잔여 0억)
[ratio]</t>
      </text>
    </comment>
    <comment ref="T34" authorId="0" shapeId="0">
      <text>
        <t>추정: SLS 해양 원화 2424억(sls.by_quarter.marine_hedged_krw_m(헤지 70% 적용)) + 원장 밖 잔고 소진 0억(최근 4분기 '부문매출−SLS' 중위 1540억/분기, 잔여 0억)
[ratio]</t>
      </text>
    </comment>
    <comment ref="U34" authorId="0" shapeId="0">
      <text>
        <t>추정: SLS 해양 원화 2150억(sls.by_quarter.marine_hedged_krw_m(헤지 70% 적용)) + 원장 밖 잔고 소진 0억(최근 4분기 '부문매출−SLS' 중위 1540억/분기, 잔여 0억)
[ratio]</t>
      </text>
    </comment>
    <comment ref="V34" authorId="0" shapeId="0">
      <text>
        <t>추정: SLS 해양 원화 1686억(sls.by_quarter.marine_hedged_krw_m(헤지 70% 적용)) + 원장 밖 잔고 소진 0억(최근 4분기 '부문매출−SLS' 중위 1540억/분기, 잔여 0억)
[ratio]</t>
      </text>
    </comment>
    <comment ref="K35" authorId="0" shapeId="0">
      <text>
        <t>추정: 매출조선 × 타겟 OPM(부문 OP 미공시 → 회사 OPM 적용)
[ratio]</t>
      </text>
    </comment>
    <comment ref="L35" authorId="0" shapeId="0">
      <text>
        <t>추정: 매출조선 × 타겟 OPM(부문 OP 미공시 → 회사 OPM 적용)
[ratio]</t>
      </text>
    </comment>
    <comment ref="N35" authorId="0" shapeId="0">
      <text>
        <t>추정: 매출조선 × 타겟 OPM(부문 OP 미공시 → 회사 OPM 적용)
[ratio]</t>
      </text>
    </comment>
    <comment ref="O35" authorId="0" shapeId="0">
      <text>
        <t>추정: 매출조선 × 타겟 OPM(부문 OP 미공시 → 회사 OPM 적용)
[ratio]</t>
      </text>
    </comment>
    <comment ref="P35" authorId="0" shapeId="0">
      <text>
        <t>추정: 매출조선 × 타겟 OPM(부문 OP 미공시 → 회사 OPM 적용)
[ratio]</t>
      </text>
    </comment>
    <comment ref="Q35" authorId="0" shapeId="0">
      <text>
        <t>추정: 매출조선 × 타겟 OPM(부문 OP 미공시 → 회사 OPM 적용)
[ratio]</t>
      </text>
    </comment>
    <comment ref="S35" authorId="0" shapeId="0">
      <text>
        <t>추정: 매출조선 × 타겟 OPM(부문 OP 미공시 → 회사 OPM 적용)
[ratio]</t>
      </text>
    </comment>
    <comment ref="T35" authorId="0" shapeId="0">
      <text>
        <t>추정: 매출조선 × 타겟 OPM(부문 OP 미공시 → 회사 OPM 적용)
[ratio]</t>
      </text>
    </comment>
    <comment ref="U35" authorId="0" shapeId="0">
      <text>
        <t>추정: 매출조선 × 타겟 OPM(부문 OP 미공시 → 회사 OPM 적용)
[ratio]</t>
      </text>
    </comment>
    <comment ref="V35" authorId="0" shapeId="0">
      <text>
        <t>추정: 매출조선 × 타겟 OPM(부문 OP 미공시 → 회사 OPM 적용)
[ratio]</t>
      </text>
    </comment>
    <comment ref="F36" authorId="0" shapeId="0">
      <text>
        <t>실측(계정 매핑 없음 — 모델값 직접) — 연결 매출 − 조선 부문(파생)</t>
      </text>
    </comment>
    <comment ref="G36" authorId="0" shapeId="0">
      <text>
        <t>실측(계정 매핑 없음 — 모델값 직접) — 연결 매출 − 조선 부문(파생)</t>
      </text>
    </comment>
    <comment ref="I36" authorId="0" shapeId="0">
      <text>
        <t>실측(계정 매핑 없음 — 모델값 직접) — 연결 매출 − 조선 부문(파생)</t>
      </text>
    </comment>
    <comment ref="J36" authorId="0" shapeId="0">
      <text>
        <t>실측(계정 매핑 없음 — 모델값 직접) — 연결 매출 − 조선 부문(파생)</t>
      </text>
    </comment>
    <comment ref="K36" authorId="0" shapeId="0">
      <text>
        <t>추정: 기타 부문(연결 − 조선 부문) 최근 4분기 중위 22억 유지
[ratio]</t>
      </text>
    </comment>
    <comment ref="L36" authorId="0" shapeId="0">
      <text>
        <t>추정: 기타 부문(연결 − 조선 부문) 최근 4분기 중위 22억 유지
[ratio]</t>
      </text>
    </comment>
    <comment ref="N36" authorId="0" shapeId="0">
      <text>
        <t>추정: 기타 부문(연결 − 조선 부문) 최근 4분기 중위 22억 유지
[ratio]</t>
      </text>
    </comment>
    <comment ref="O36" authorId="0" shapeId="0">
      <text>
        <t>추정: 기타 부문(연결 − 조선 부문) 최근 4분기 중위 22억 유지
[ratio]</t>
      </text>
    </comment>
    <comment ref="P36" authorId="0" shapeId="0">
      <text>
        <t>추정: 기타 부문(연결 − 조선 부문) 최근 4분기 중위 22억 유지
[ratio]</t>
      </text>
    </comment>
    <comment ref="Q36" authorId="0" shapeId="0">
      <text>
        <t>추정: 기타 부문(연결 − 조선 부문) 최근 4분기 중위 22억 유지
[ratio]</t>
      </text>
    </comment>
    <comment ref="S36" authorId="0" shapeId="0">
      <text>
        <t>추정: 기타 부문(연결 − 조선 부문) 최근 4분기 중위 22억 유지
[ratio]</t>
      </text>
    </comment>
    <comment ref="T36" authorId="0" shapeId="0">
      <text>
        <t>추정: 기타 부문(연결 − 조선 부문) 최근 4분기 중위 22억 유지
[ratio]</t>
      </text>
    </comment>
    <comment ref="U36" authorId="0" shapeId="0">
      <text>
        <t>추정: 기타 부문(연결 − 조선 부문) 최근 4분기 중위 22억 유지
[ratio]</t>
      </text>
    </comment>
    <comment ref="V36" authorId="0" shapeId="0">
      <text>
        <t>추정: 기타 부문(연결 − 조선 부문) 최근 4분기 중위 22억 유지
[ratio]</t>
      </text>
    </comment>
    <comment ref="K37" authorId="0" shapeId="0">
      <text>
        <t>추정: 매출기타 × 회사 OPM(부문 OP 미공시)
[ratio]</t>
      </text>
    </comment>
    <comment ref="L37" authorId="0" shapeId="0">
      <text>
        <t>추정: 매출기타 × 회사 OPM(부문 OP 미공시)
[ratio]</t>
      </text>
    </comment>
    <comment ref="N37" authorId="0" shapeId="0">
      <text>
        <t>추정: 매출기타 × 회사 OPM(부문 OP 미공시)
[ratio]</t>
      </text>
    </comment>
    <comment ref="O37" authorId="0" shapeId="0">
      <text>
        <t>추정: 매출기타 × 회사 OPM(부문 OP 미공시)
[ratio]</t>
      </text>
    </comment>
    <comment ref="P37" authorId="0" shapeId="0">
      <text>
        <t>추정: 매출기타 × 회사 OPM(부문 OP 미공시)
[ratio]</t>
      </text>
    </comment>
    <comment ref="Q37" authorId="0" shapeId="0">
      <text>
        <t>추정: 매출기타 × 회사 OPM(부문 OP 미공시)
[ratio]</t>
      </text>
    </comment>
    <comment ref="S37" authorId="0" shapeId="0">
      <text>
        <t>추정: 매출기타 × 회사 OPM(부문 OP 미공시)
[ratio]</t>
      </text>
    </comment>
    <comment ref="T37" authorId="0" shapeId="0">
      <text>
        <t>추정: 매출기타 × 회사 OPM(부문 OP 미공시)
[ratio]</t>
      </text>
    </comment>
    <comment ref="U37" authorId="0" shapeId="0">
      <text>
        <t>추정: 매출기타 × 회사 OPM(부문 OP 미공시)
[ratio]</t>
      </text>
    </comment>
    <comment ref="V37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대한조선(439260)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assets/models/439260.json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원장 잔여가 공시 잔고를 넘음(커버리지 &gt; 1) → 원장 밖 소진분 0 (sls warnings 참고) / 추정 매출은 2026Q2 기준 잔고 소진분만 — 이후 신규 수주 매출 미포함(2028 감소는 이 한계). forecast_panel 모듈 참고 / 감가상각비가 face·CF 에 없음(주석 미파싱) → EBITDA·EV/EBITDA 미산출</t>
        </is>
      </c>
    </row>
    <row r="22">
      <c r="A22" t="inlineStr">
        <is>
          <t>백테스트: {"freeze": "2025Q2", "horizon": 4, "revenue_wape_pct": 11.4, "op_wape_pct": 26.4,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2960.48, "rev_act": 2739.73, "op_pred": 624.67, "op_act": 664.89}, {"q": "2025Q4", "rev_pred": 2960.48, "rev_act": 3504.05, "op_pred": 624.67, "op_act": 953.29}, {"q": "2026Q1", "rev_pred": 2960.48, "rev_act": 3082.71, "op_pred": 624.67, "op_act": 826.39}, {"q": "2026Q2", "rev_pred": 2960.48, "rev_act": 3544.35, "op_pred": 624.67, "op_act": 952.49}]}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1419.72</v>
      </c>
      <c r="L6" s="16" t="n">
        <v>1353.36</v>
      </c>
      <c r="M6" s="17" t="n">
        <v>1461.87</v>
      </c>
      <c r="N6" s="16" t="n">
        <v>1353.36</v>
      </c>
      <c r="O6" s="16" t="n">
        <v>1353.36</v>
      </c>
      <c r="P6" s="16" t="n">
        <v>1353.36</v>
      </c>
      <c r="Q6" s="16" t="n">
        <v>1353.36</v>
      </c>
      <c r="R6" s="11" t="n"/>
      <c r="S6" s="16" t="n">
        <v>1353.36</v>
      </c>
      <c r="T6" s="16" t="n">
        <v>1353.36</v>
      </c>
      <c r="U6" s="16" t="n">
        <v>1353.36</v>
      </c>
      <c r="V6" s="16" t="n">
        <v>1353.36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1353.36</v>
      </c>
      <c r="L7" s="16" t="n">
        <v>1353.36</v>
      </c>
      <c r="M7" s="17" t="n">
        <v>1353.36</v>
      </c>
      <c r="N7" s="16" t="n">
        <v>1353.36</v>
      </c>
      <c r="O7" s="16" t="n">
        <v>1353.36</v>
      </c>
      <c r="P7" s="16" t="n">
        <v>1353.36</v>
      </c>
      <c r="Q7" s="16" t="n">
        <v>1353.36</v>
      </c>
      <c r="R7" s="11" t="n"/>
      <c r="S7" s="16" t="n">
        <v>1353.36</v>
      </c>
      <c r="T7" s="16" t="n">
        <v>1353.36</v>
      </c>
      <c r="U7" s="16" t="n">
        <v>1353.36</v>
      </c>
      <c r="V7" s="16" t="n">
        <v>1353.36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890.83</v>
      </c>
      <c r="L8" s="16" t="n">
        <v>861.35</v>
      </c>
      <c r="M8" s="17" t="n">
        <v>922.02</v>
      </c>
      <c r="N8" s="16" t="n">
        <v>861.35</v>
      </c>
      <c r="O8" s="16" t="n">
        <v>861.35</v>
      </c>
      <c r="P8" s="16" t="n">
        <v>861.35</v>
      </c>
      <c r="Q8" s="16" t="n">
        <v>861.35</v>
      </c>
      <c r="R8" s="11" t="n"/>
      <c r="S8" s="16" t="n">
        <v>861.35</v>
      </c>
      <c r="T8" s="16" t="n">
        <v>861.35</v>
      </c>
      <c r="U8" s="16" t="n">
        <v>861.35</v>
      </c>
      <c r="V8" s="16" t="n">
        <v>861.35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861.35</v>
      </c>
      <c r="L9" s="16" t="n">
        <v>861.35</v>
      </c>
      <c r="M9" s="17" t="n">
        <v>861.35</v>
      </c>
      <c r="N9" s="16" t="n">
        <v>861.35</v>
      </c>
      <c r="O9" s="16" t="n">
        <v>861.35</v>
      </c>
      <c r="P9" s="16" t="n">
        <v>861.35</v>
      </c>
      <c r="Q9" s="16" t="n">
        <v>861.35</v>
      </c>
      <c r="R9" s="11" t="n"/>
      <c r="S9" s="16" t="n">
        <v>861.35</v>
      </c>
      <c r="T9" s="16" t="n">
        <v>861.35</v>
      </c>
      <c r="U9" s="16" t="n">
        <v>861.35</v>
      </c>
      <c r="V9" s="16" t="n">
        <v>861.35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1633.4</v>
      </c>
      <c r="L10" s="16" t="n">
        <v>1536.74</v>
      </c>
      <c r="M10" s="17" t="n">
        <v>1697.39</v>
      </c>
      <c r="N10" s="16" t="n">
        <v>1536.74</v>
      </c>
      <c r="O10" s="16" t="n">
        <v>1536.74</v>
      </c>
      <c r="P10" s="16" t="n">
        <v>1536.74</v>
      </c>
      <c r="Q10" s="16" t="n">
        <v>1536.74</v>
      </c>
      <c r="R10" s="11" t="n"/>
      <c r="S10" s="16" t="n">
        <v>1536.74</v>
      </c>
      <c r="T10" s="16" t="n">
        <v>1536.74</v>
      </c>
      <c r="U10" s="16" t="n">
        <v>1536.74</v>
      </c>
      <c r="V10" s="16" t="n">
        <v>1536.74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1536.74</v>
      </c>
      <c r="L11" s="16" t="n">
        <v>1536.74</v>
      </c>
      <c r="M11" s="17" t="n">
        <v>1536.74</v>
      </c>
      <c r="N11" s="16" t="n">
        <v>1536.74</v>
      </c>
      <c r="O11" s="16" t="n">
        <v>1536.74</v>
      </c>
      <c r="P11" s="16" t="n">
        <v>1536.74</v>
      </c>
      <c r="Q11" s="16" t="n">
        <v>1536.74</v>
      </c>
      <c r="R11" s="11" t="n"/>
      <c r="S11" s="16" t="n">
        <v>1536.74</v>
      </c>
      <c r="T11" s="16" t="n">
        <v>1536.74</v>
      </c>
      <c r="U11" s="16" t="n">
        <v>1536.74</v>
      </c>
      <c r="V11" s="16" t="n">
        <v>1536.74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210.55</v>
      </c>
      <c r="L12" s="16" t="n">
        <v>201.89</v>
      </c>
      <c r="M12" s="17" t="n">
        <v>214.29</v>
      </c>
      <c r="N12" s="16" t="n">
        <v>201.89</v>
      </c>
      <c r="O12" s="16" t="n">
        <v>201.89</v>
      </c>
      <c r="P12" s="16" t="n">
        <v>201.89</v>
      </c>
      <c r="Q12" s="16" t="n">
        <v>201.89</v>
      </c>
      <c r="R12" s="11" t="n"/>
      <c r="S12" s="16" t="n">
        <v>201.89</v>
      </c>
      <c r="T12" s="16" t="n">
        <v>201.89</v>
      </c>
      <c r="U12" s="16" t="n">
        <v>201.89</v>
      </c>
      <c r="V12" s="16" t="n">
        <v>201.89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201.89</v>
      </c>
      <c r="L13" s="16" t="n">
        <v>201.89</v>
      </c>
      <c r="M13" s="17" t="n">
        <v>201.89</v>
      </c>
      <c r="N13" s="16" t="n">
        <v>201.89</v>
      </c>
      <c r="O13" s="16" t="n">
        <v>201.89</v>
      </c>
      <c r="P13" s="16" t="n">
        <v>201.89</v>
      </c>
      <c r="Q13" s="16" t="n">
        <v>201.89</v>
      </c>
      <c r="R13" s="11" t="n"/>
      <c r="S13" s="16" t="n">
        <v>201.89</v>
      </c>
      <c r="T13" s="16" t="n">
        <v>201.89</v>
      </c>
      <c r="U13" s="16" t="n">
        <v>201.89</v>
      </c>
      <c r="V13" s="16" t="n">
        <v>201.89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80900</v>
      </c>
      <c r="G15" s="18" t="n">
        <v>67000</v>
      </c>
      <c r="H15" s="9" t="n"/>
      <c r="I15" s="18" t="n">
        <v>85500</v>
      </c>
      <c r="J15" s="19" t="n">
        <v>52100</v>
      </c>
      <c r="K15" s="20" t="n">
        <v>45700</v>
      </c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116300</v>
      </c>
      <c r="G16" s="18" t="n">
        <v>82500</v>
      </c>
      <c r="H16" s="9" t="n"/>
      <c r="I16" s="18" t="n">
        <v>109900</v>
      </c>
      <c r="J16" s="19" t="n">
        <v>98200</v>
      </c>
      <c r="K16" s="20" t="n">
        <v>57500</v>
      </c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77500</v>
      </c>
      <c r="G17" s="18" t="n">
        <v>57300</v>
      </c>
      <c r="H17" s="9" t="n"/>
      <c r="I17" s="18" t="n">
        <v>64400</v>
      </c>
      <c r="J17" s="19" t="n">
        <v>48800</v>
      </c>
      <c r="K17" s="20" t="n">
        <v>42100</v>
      </c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86316.7</v>
      </c>
      <c r="G18" s="18" t="n">
        <v>71403.39999999999</v>
      </c>
      <c r="H18" s="9" t="n"/>
      <c r="I18" s="18" t="n">
        <v>81408.5</v>
      </c>
      <c r="J18" s="19" t="n">
        <v>74892.60000000001</v>
      </c>
      <c r="K18" s="20" t="n">
        <v>48265.3</v>
      </c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0.178126</v>
      </c>
      <c r="L21" s="24" t="n">
        <v>-0.07758900000000001</v>
      </c>
      <c r="M21" s="25" t="n"/>
      <c r="N21" s="24" t="n">
        <v>0.025843</v>
      </c>
      <c r="O21" s="24" t="n">
        <v>-0.097922</v>
      </c>
      <c r="P21" s="24" t="n">
        <v>-0.052699</v>
      </c>
      <c r="Q21" s="24" t="n">
        <v>-0.174511</v>
      </c>
      <c r="R21" s="25" t="n"/>
      <c r="S21" s="24" t="n">
        <v>-0.22681</v>
      </c>
      <c r="T21" s="24" t="n">
        <v>-0.23525</v>
      </c>
      <c r="U21" s="24" t="n">
        <v>-0.289765</v>
      </c>
      <c r="V21" s="24" t="n">
        <v>-0.360057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4" t="n">
        <v>0.024438</v>
      </c>
      <c r="L22" s="24" t="n">
        <v>0.024436</v>
      </c>
      <c r="M22" s="25">
        <f>IFERROR(subQ!M8/subQ!M5,"")</f>
        <v/>
      </c>
      <c r="N22" s="24" t="n">
        <v>0.024437</v>
      </c>
      <c r="O22" s="24" t="n">
        <v>0.024436</v>
      </c>
      <c r="P22" s="24" t="n">
        <v>0.024437</v>
      </c>
      <c r="Q22" s="24" t="n">
        <v>0.024437</v>
      </c>
      <c r="R22" s="25">
        <f>IFERROR(subQ!R8/subQ!R5,"")</f>
        <v/>
      </c>
      <c r="S22" s="24" t="n">
        <v>0.024436</v>
      </c>
      <c r="T22" s="24" t="n">
        <v>0.024436</v>
      </c>
      <c r="U22" s="24" t="n">
        <v>0.024438</v>
      </c>
      <c r="V22" s="24" t="n">
        <v>0.024434</v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0.269903</v>
      </c>
      <c r="L23" s="24" t="n">
        <v>0.269905</v>
      </c>
      <c r="M23" s="25">
        <f>IFERROR(subQ!M9/subQ!M5,"")</f>
        <v/>
      </c>
      <c r="N23" s="24" t="n">
        <v>0.269904</v>
      </c>
      <c r="O23" s="24" t="n">
        <v>0.269904</v>
      </c>
      <c r="P23" s="24" t="n">
        <v>0.269704</v>
      </c>
      <c r="Q23" s="24" t="n">
        <v>0.268904</v>
      </c>
      <c r="R23" s="25">
        <f>IFERROR(subQ!R9/subQ!R5,"")</f>
        <v/>
      </c>
      <c r="S23" s="24" t="n">
        <v>0.268502</v>
      </c>
      <c r="T23" s="24" t="n">
        <v>0.268502</v>
      </c>
      <c r="U23" s="24" t="n">
        <v>0.274602</v>
      </c>
      <c r="V23" s="24" t="n">
        <v>0.274602</v>
      </c>
      <c r="W23" s="25">
        <f>IFERROR(subQ!W9/subQ!W5,"")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1" t="n"/>
      <c r="G24" s="21" t="n"/>
      <c r="H24" s="22" t="n"/>
      <c r="I24" s="21" t="n"/>
      <c r="J24" s="23">
        <f>IFERROR(subQ!J39/subQ!E39-1,"")</f>
        <v/>
      </c>
      <c r="K24" s="24" t="n">
        <v>0.112073</v>
      </c>
      <c r="L24" s="24" t="n">
        <v>-0.008085</v>
      </c>
      <c r="M24" s="25" t="n"/>
      <c r="N24" s="24" t="n">
        <v>0.006714</v>
      </c>
      <c r="O24" s="24" t="n">
        <v>0.004466</v>
      </c>
      <c r="P24" s="24" t="n">
        <v>-0.000741</v>
      </c>
      <c r="Q24" s="24" t="n">
        <v>-0.003705</v>
      </c>
      <c r="R24" s="25" t="n"/>
      <c r="S24" s="24" t="n">
        <v>-0.005187</v>
      </c>
      <c r="T24" s="24" t="n">
        <v>-0.005187</v>
      </c>
      <c r="U24" s="24" t="n">
        <v>0.018168</v>
      </c>
      <c r="V24" s="24" t="n">
        <v>0.021197</v>
      </c>
      <c r="W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6">
        <f>subQ!F11</f>
        <v/>
      </c>
      <c r="G25" s="26">
        <f>subQ!G11</f>
        <v/>
      </c>
      <c r="H25" s="27">
        <f>subQ!H11</f>
        <v/>
      </c>
      <c r="I25" s="26">
        <f>subQ!I11</f>
        <v/>
      </c>
      <c r="J25" s="28">
        <f>subQ!J11</f>
        <v/>
      </c>
      <c r="K25" s="29" t="n">
        <v>25.59</v>
      </c>
      <c r="L25" s="29" t="n">
        <v>28.66</v>
      </c>
      <c r="M25" s="30">
        <f>subQ!M11</f>
        <v/>
      </c>
      <c r="N25" s="29" t="n">
        <v>31.73</v>
      </c>
      <c r="O25" s="29" t="n">
        <v>34.74</v>
      </c>
      <c r="P25" s="29" t="n">
        <v>37.38</v>
      </c>
      <c r="Q25" s="29" t="n">
        <v>40.32</v>
      </c>
      <c r="R25" s="30">
        <f>subQ!R11</f>
        <v/>
      </c>
      <c r="S25" s="29" t="n">
        <v>42.9</v>
      </c>
      <c r="T25" s="29" t="n">
        <v>45.28</v>
      </c>
      <c r="U25" s="29" t="n">
        <v>47.25</v>
      </c>
      <c r="V25" s="29" t="n">
        <v>49.44</v>
      </c>
      <c r="W25" s="30">
        <f>subQ!W11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6">
        <f>subQ!F12</f>
        <v/>
      </c>
      <c r="G26" s="26">
        <f>subQ!G12</f>
        <v/>
      </c>
      <c r="H26" s="27">
        <f>subQ!H12</f>
        <v/>
      </c>
      <c r="I26" s="26">
        <f>subQ!I12</f>
        <v/>
      </c>
      <c r="J26" s="28">
        <f>subQ!J12</f>
        <v/>
      </c>
      <c r="K26" s="29" t="n">
        <v>0</v>
      </c>
      <c r="L26" s="29" t="n">
        <v>0</v>
      </c>
      <c r="M26" s="30">
        <f>subQ!M12</f>
        <v/>
      </c>
      <c r="N26" s="29" t="n">
        <v>0</v>
      </c>
      <c r="O26" s="29" t="n">
        <v>0</v>
      </c>
      <c r="P26" s="29" t="n">
        <v>0</v>
      </c>
      <c r="Q26" s="29" t="n">
        <v>0</v>
      </c>
      <c r="R26" s="30">
        <f>subQ!R12</f>
        <v/>
      </c>
      <c r="S26" s="29" t="n">
        <v>0</v>
      </c>
      <c r="T26" s="29" t="n">
        <v>0</v>
      </c>
      <c r="U26" s="29" t="n">
        <v>0</v>
      </c>
      <c r="V26" s="29" t="n">
        <v>0</v>
      </c>
      <c r="W26" s="30">
        <f>subQ!W12</f>
        <v/>
      </c>
    </row>
    <row r="27">
      <c r="A27" s="12" t="inlineStr">
        <is>
          <t>drv:환관련손익</t>
        </is>
      </c>
      <c r="B27" s="2" t="inlineStr">
        <is>
          <t>abs</t>
        </is>
      </c>
      <c r="C27" t="inlineStr">
        <is>
          <t>환관련손익 (가정, 억원)</t>
        </is>
      </c>
      <c r="E27" s="26">
        <f>subQ!E13</f>
        <v/>
      </c>
      <c r="F27" s="26">
        <f>subQ!F13</f>
        <v/>
      </c>
      <c r="G27" s="26">
        <f>subQ!G13</f>
        <v/>
      </c>
      <c r="H27" s="27">
        <f>subQ!H13</f>
        <v/>
      </c>
      <c r="I27" s="26">
        <f>subQ!I13</f>
        <v/>
      </c>
      <c r="J27" s="28">
        <f>subQ!J13</f>
        <v/>
      </c>
      <c r="K27" s="29" t="n">
        <v>4.52</v>
      </c>
      <c r="L27" s="29" t="n">
        <v>-0</v>
      </c>
      <c r="M27" s="30">
        <f>subQ!M13</f>
        <v/>
      </c>
      <c r="N27" s="29" t="n">
        <v>-0</v>
      </c>
      <c r="O27" s="29" t="n">
        <v>-0</v>
      </c>
      <c r="P27" s="29" t="n">
        <v>-0</v>
      </c>
      <c r="Q27" s="29" t="n">
        <v>-0</v>
      </c>
      <c r="R27" s="30">
        <f>subQ!R13</f>
        <v/>
      </c>
      <c r="S27" s="29" t="n">
        <v>-0</v>
      </c>
      <c r="T27" s="29" t="n">
        <v>-0</v>
      </c>
      <c r="U27" s="29" t="n">
        <v>-0</v>
      </c>
      <c r="V27" s="29" t="n">
        <v>-0</v>
      </c>
      <c r="W27" s="30">
        <f>subQ!W13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1">
        <f>IFERROR(subQ!F15/subQ!F14,"")</f>
        <v/>
      </c>
      <c r="G28" s="21">
        <f>IFERROR(subQ!G15/subQ!G14,"")</f>
        <v/>
      </c>
      <c r="H28" s="22">
        <f>IFERROR(subQ!H15/subQ!H14,"")</f>
        <v/>
      </c>
      <c r="I28" s="21">
        <f>IFERROR(subQ!I15/subQ!I14,"")</f>
        <v/>
      </c>
      <c r="J28" s="23">
        <f>IFERROR(subQ!J15/subQ!J14,"")</f>
        <v/>
      </c>
      <c r="K28" s="24" t="n">
        <v>0.227596</v>
      </c>
      <c r="L28" s="24" t="n">
        <v>0.227595</v>
      </c>
      <c r="M28" s="25">
        <f>IFERROR(subQ!M15/subQ!M14,"")</f>
        <v/>
      </c>
      <c r="N28" s="24" t="n">
        <v>0.227594</v>
      </c>
      <c r="O28" s="24" t="n">
        <v>0.227593</v>
      </c>
      <c r="P28" s="24" t="n">
        <v>0.2276</v>
      </c>
      <c r="Q28" s="24" t="n">
        <v>0.227596</v>
      </c>
      <c r="R28" s="25">
        <f>IFERROR(subQ!R15/subQ!R14,"")</f>
        <v/>
      </c>
      <c r="S28" s="24" t="n">
        <v>0.227589</v>
      </c>
      <c r="T28" s="24" t="n">
        <v>0.2276</v>
      </c>
      <c r="U28" s="24" t="n">
        <v>0.227595</v>
      </c>
      <c r="V28" s="24" t="n">
        <v>0.227601</v>
      </c>
      <c r="W28" s="25">
        <f>IFERROR(subQ!W15/subQ!W14,"")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1">
        <f>IFERROR(subQ!F17/subQ!F16,"")</f>
        <v/>
      </c>
      <c r="G29" s="21">
        <f>IFERROR(subQ!G17/subQ!G16,"")</f>
        <v/>
      </c>
      <c r="H29" s="22">
        <f>IFERROR(subQ!H17/subQ!H16,"")</f>
        <v/>
      </c>
      <c r="I29" s="21">
        <f>IFERROR(subQ!I17/subQ!I16,"")</f>
        <v/>
      </c>
      <c r="J29" s="23">
        <f>IFERROR(subQ!J17/subQ!J16,"")</f>
        <v/>
      </c>
      <c r="K29" s="24" t="n">
        <v>1</v>
      </c>
      <c r="L29" s="24" t="n">
        <v>1</v>
      </c>
      <c r="M29" s="25">
        <f>IFERROR(subQ!M17/subQ!M16,"")</f>
        <v/>
      </c>
      <c r="N29" s="24" t="n">
        <v>1</v>
      </c>
      <c r="O29" s="24" t="n">
        <v>1</v>
      </c>
      <c r="P29" s="24" t="n">
        <v>1</v>
      </c>
      <c r="Q29" s="24" t="n">
        <v>1</v>
      </c>
      <c r="R29" s="25">
        <f>IFERROR(subQ!R17/subQ!R16,"")</f>
        <v/>
      </c>
      <c r="S29" s="24" t="n">
        <v>1</v>
      </c>
      <c r="T29" s="24" t="n">
        <v>1</v>
      </c>
      <c r="U29" s="24" t="n">
        <v>1</v>
      </c>
      <c r="V29" s="24" t="n">
        <v>1</v>
      </c>
      <c r="W29" s="25">
        <f>IFERROR(subQ!W17/subQ!W16,"")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1">
        <f>IFERROR(subQ!F19/subQ!E19-1,"")</f>
        <v/>
      </c>
      <c r="G30" s="21">
        <f>IFERROR(subQ!G19/subQ!F19-1,"")</f>
        <v/>
      </c>
      <c r="H30" s="22" t="n"/>
      <c r="I30" s="21">
        <f>IFERROR(subQ!I19/subQ!G19-1,"")</f>
        <v/>
      </c>
      <c r="J30" s="23">
        <f>IFERROR(subQ!J19/subQ!I19-1,"")</f>
        <v/>
      </c>
      <c r="K30" s="24" t="n">
        <v>1e-06</v>
      </c>
      <c r="L30" s="24" t="n">
        <v>0</v>
      </c>
      <c r="M30" s="25" t="n"/>
      <c r="N30" s="24" t="n">
        <v>0</v>
      </c>
      <c r="O30" s="24" t="n">
        <v>0</v>
      </c>
      <c r="P30" s="24" t="n">
        <v>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6">
        <f>IFERROR(subQ!E20+subQ!F16-subQ!F20,"")</f>
        <v/>
      </c>
      <c r="G31" s="26">
        <f>IFERROR(subQ!F20+subQ!G16-subQ!G20,"")</f>
        <v/>
      </c>
      <c r="H31" s="27" t="n"/>
      <c r="I31" s="26">
        <f>IFERROR(subQ!G20+subQ!I16-subQ!I20,"")</f>
        <v/>
      </c>
      <c r="J31" s="28">
        <f>IFERROR(subQ!I20+subQ!J16-subQ!J20,"")</f>
        <v/>
      </c>
      <c r="K31" s="29" t="n">
        <v>0.0016</v>
      </c>
      <c r="L31" s="29" t="n">
        <v>-0.01</v>
      </c>
      <c r="M31" s="30" t="n"/>
      <c r="N31" s="29" t="n">
        <v>0</v>
      </c>
      <c r="O31" s="29" t="n">
        <v>95.23</v>
      </c>
      <c r="P31" s="29" t="n">
        <v>-0.01</v>
      </c>
      <c r="Q31" s="29" t="n">
        <v>0</v>
      </c>
      <c r="R31" s="30" t="n"/>
      <c r="S31" s="29" t="n">
        <v>0.01</v>
      </c>
      <c r="T31" s="29" t="n">
        <v>95.22</v>
      </c>
      <c r="U31" s="29" t="n">
        <v>0.01</v>
      </c>
      <c r="V31" s="29" t="n">
        <v>0</v>
      </c>
      <c r="W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6">
        <f>IFERROR(subQ!E21+subQ!F17-subQ!F21,"")</f>
        <v/>
      </c>
      <c r="G32" s="26">
        <f>IFERROR(subQ!F21+subQ!G17-subQ!G21,"")</f>
        <v/>
      </c>
      <c r="H32" s="27" t="n"/>
      <c r="I32" s="26">
        <f>IFERROR(subQ!G21+subQ!I17-subQ!I21,"")</f>
        <v/>
      </c>
      <c r="J32" s="28">
        <f>IFERROR(subQ!I21+subQ!J17-subQ!J21,"")</f>
        <v/>
      </c>
      <c r="K32" s="29" t="n">
        <v>0.0016</v>
      </c>
      <c r="L32" s="29" t="n">
        <v>-0.01</v>
      </c>
      <c r="M32" s="30" t="n"/>
      <c r="N32" s="29" t="n">
        <v>0</v>
      </c>
      <c r="O32" s="29" t="n">
        <v>95.23</v>
      </c>
      <c r="P32" s="29" t="n">
        <v>-0.01</v>
      </c>
      <c r="Q32" s="29" t="n">
        <v>0</v>
      </c>
      <c r="R32" s="30" t="n"/>
      <c r="S32" s="29" t="n">
        <v>0.01</v>
      </c>
      <c r="T32" s="29" t="n">
        <v>95.22</v>
      </c>
      <c r="U32" s="29" t="n">
        <v>0.01</v>
      </c>
      <c r="V32" s="29" t="n">
        <v>0</v>
      </c>
      <c r="W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1">
        <f>IFERROR(subQ!F22/subQ!E22-1,"")</f>
        <v/>
      </c>
      <c r="G33" s="21">
        <f>IFERROR(subQ!G22/subQ!F22-1,"")</f>
        <v/>
      </c>
      <c r="H33" s="22" t="n"/>
      <c r="I33" s="21">
        <f>IFERROR(subQ!I22/subQ!G22-1,"")</f>
        <v/>
      </c>
      <c r="J33" s="23">
        <f>IFERROR(subQ!J22/subQ!I22-1,"")</f>
        <v/>
      </c>
      <c r="K33" s="31" t="n"/>
      <c r="L33" s="31" t="n"/>
      <c r="M33" s="25" t="n"/>
      <c r="N33" s="31" t="n"/>
      <c r="O33" s="31" t="n"/>
      <c r="P33" s="31" t="n"/>
      <c r="Q33" s="31" t="n"/>
      <c r="R33" s="25" t="n"/>
      <c r="S33" s="31" t="n"/>
      <c r="T33" s="31" t="n"/>
      <c r="U33" s="31" t="n"/>
      <c r="V33" s="31" t="n"/>
      <c r="W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1">
        <f>IFERROR(subQ!F23/subQ!E23-1,"")</f>
        <v/>
      </c>
      <c r="G34" s="21">
        <f>IFERROR(subQ!G23/subQ!F23-1,"")</f>
        <v/>
      </c>
      <c r="H34" s="22" t="n"/>
      <c r="I34" s="21">
        <f>IFERROR(subQ!I23/subQ!G23-1,"")</f>
        <v/>
      </c>
      <c r="J34" s="23">
        <f>IFERROR(subQ!J23/subQ!I23-1,"")</f>
        <v/>
      </c>
      <c r="K34" s="31" t="n"/>
      <c r="L34" s="31" t="n"/>
      <c r="M34" s="25" t="n"/>
      <c r="N34" s="31" t="n"/>
      <c r="O34" s="31" t="n"/>
      <c r="P34" s="31" t="n"/>
      <c r="Q34" s="31" t="n"/>
      <c r="R34" s="25" t="n"/>
      <c r="S34" s="31" t="n"/>
      <c r="T34" s="31" t="n"/>
      <c r="U34" s="31" t="n"/>
      <c r="V34" s="31" t="n"/>
      <c r="W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1">
        <f>IFERROR(subQ!F24/subQ!E24-1,"")</f>
        <v/>
      </c>
      <c r="G35" s="21">
        <f>IFERROR(subQ!G24/subQ!F24-1,"")</f>
        <v/>
      </c>
      <c r="H35" s="22" t="n"/>
      <c r="I35" s="21">
        <f>IFERROR(subQ!I24/subQ!G24-1,"")</f>
        <v/>
      </c>
      <c r="J35" s="23">
        <f>IFERROR(subQ!J24/subQ!I24-1,"")</f>
        <v/>
      </c>
      <c r="K35" s="24" t="n">
        <v>0.119994</v>
      </c>
      <c r="L35" s="24" t="n">
        <v>0.107109</v>
      </c>
      <c r="M35" s="25" t="n"/>
      <c r="N35" s="24" t="n">
        <v>0.095052</v>
      </c>
      <c r="O35" s="24" t="n">
        <v>0.075933</v>
      </c>
      <c r="P35" s="24" t="n">
        <v>0.07856</v>
      </c>
      <c r="Q35" s="24" t="n">
        <v>0.064029</v>
      </c>
      <c r="R35" s="25" t="n"/>
      <c r="S35" s="24" t="n">
        <v>0.05554</v>
      </c>
      <c r="T35" s="24" t="n">
        <v>0.043524</v>
      </c>
      <c r="U35" s="24" t="n">
        <v>0.046399</v>
      </c>
      <c r="V35" s="24" t="n">
        <v>0.03571</v>
      </c>
      <c r="W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1">
        <f>IFERROR(subQ!F25/subQ!E25-1,"")</f>
        <v/>
      </c>
      <c r="G36" s="21">
        <f>IFERROR(subQ!G25/subQ!F25-1,"")</f>
        <v/>
      </c>
      <c r="H36" s="22" t="n"/>
      <c r="I36" s="21">
        <f>IFERROR(subQ!I25/subQ!G25-1,"")</f>
        <v/>
      </c>
      <c r="J36" s="23">
        <f>IFERROR(subQ!J25/subQ!I25-1,"")</f>
        <v/>
      </c>
      <c r="K36" s="31" t="n"/>
      <c r="L36" s="31" t="n"/>
      <c r="M36" s="25" t="n"/>
      <c r="N36" s="31" t="n"/>
      <c r="O36" s="31" t="n"/>
      <c r="P36" s="31" t="n"/>
      <c r="Q36" s="31" t="n"/>
      <c r="R36" s="25" t="n"/>
      <c r="S36" s="31" t="n"/>
      <c r="T36" s="31" t="n"/>
      <c r="U36" s="31" t="n"/>
      <c r="V36" s="31" t="n"/>
      <c r="W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1" t="n"/>
      <c r="G37" s="21" t="n"/>
      <c r="H37" s="22" t="n"/>
      <c r="I37" s="21" t="n"/>
      <c r="J37" s="23">
        <f>IFERROR(subQ!J26/subQ!E26-1,"")</f>
        <v/>
      </c>
      <c r="K37" s="31" t="n"/>
      <c r="L37" s="31" t="n"/>
      <c r="M37" s="25" t="n"/>
      <c r="N37" s="31" t="n"/>
      <c r="O37" s="31" t="n"/>
      <c r="P37" s="31" t="n"/>
      <c r="Q37" s="31" t="n"/>
      <c r="R37" s="25" t="n"/>
      <c r="S37" s="31" t="n"/>
      <c r="T37" s="31" t="n"/>
      <c r="U37" s="31" t="n"/>
      <c r="V37" s="31" t="n"/>
      <c r="W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1" t="n"/>
      <c r="G38" s="21" t="n"/>
      <c r="H38" s="22" t="n"/>
      <c r="I38" s="21" t="n"/>
      <c r="J38" s="23">
        <f>IFERROR(subQ!J27/subQ!E27-1,"")</f>
        <v/>
      </c>
      <c r="K38" s="31" t="n"/>
      <c r="L38" s="31" t="n"/>
      <c r="M38" s="25" t="n"/>
      <c r="N38" s="31" t="n"/>
      <c r="O38" s="31" t="n"/>
      <c r="P38" s="31" t="n"/>
      <c r="Q38" s="31" t="n"/>
      <c r="R38" s="25" t="n"/>
      <c r="S38" s="31" t="n"/>
      <c r="T38" s="31" t="n"/>
      <c r="U38" s="31" t="n"/>
      <c r="V38" s="31" t="n"/>
      <c r="W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1">
        <f>IFERROR(subQ!F28/subQ!E28-1,"")</f>
        <v/>
      </c>
      <c r="G39" s="21">
        <f>IFERROR(subQ!G28/subQ!F28-1,"")</f>
        <v/>
      </c>
      <c r="H39" s="22" t="n"/>
      <c r="I39" s="21">
        <f>IFERROR(subQ!I28/subQ!G28-1,"")</f>
        <v/>
      </c>
      <c r="J39" s="23">
        <f>IFERROR(subQ!J28/subQ!I28-1,"")</f>
        <v/>
      </c>
      <c r="K39" s="24" t="n">
        <v>0</v>
      </c>
      <c r="L39" s="24" t="n">
        <v>0</v>
      </c>
      <c r="M39" s="25" t="n"/>
      <c r="N39" s="24" t="n">
        <v>0</v>
      </c>
      <c r="O39" s="24" t="n">
        <v>0</v>
      </c>
      <c r="P39" s="24" t="n">
        <v>0</v>
      </c>
      <c r="Q39" s="24" t="n">
        <v>0</v>
      </c>
      <c r="R39" s="25" t="n"/>
      <c r="S39" s="24" t="n">
        <v>0</v>
      </c>
      <c r="T39" s="24" t="n">
        <v>0</v>
      </c>
      <c r="U39" s="24" t="n">
        <v>0</v>
      </c>
      <c r="V39" s="24" t="n">
        <v>0</v>
      </c>
      <c r="W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1" t="n"/>
      <c r="G40" s="21" t="n"/>
      <c r="H40" s="22" t="n"/>
      <c r="I40" s="21" t="n"/>
      <c r="J40" s="23">
        <f>IFERROR(subQ!J31/subQ!E31-1,"")</f>
        <v/>
      </c>
      <c r="K40" s="31" t="n"/>
      <c r="L40" s="24" t="n">
        <v>0</v>
      </c>
      <c r="M40" s="25" t="n"/>
      <c r="N40" s="31" t="n"/>
      <c r="O40" s="31" t="n"/>
      <c r="P40" s="31" t="n"/>
      <c r="Q40" s="24" t="n">
        <v>0</v>
      </c>
      <c r="R40" s="25" t="n"/>
      <c r="S40" s="31" t="n"/>
      <c r="T40" s="31" t="n"/>
      <c r="U40" s="31" t="n"/>
      <c r="V40" s="24" t="n">
        <v>0</v>
      </c>
      <c r="W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1" t="n"/>
      <c r="G41" s="21" t="n"/>
      <c r="H41" s="22" t="n"/>
      <c r="I41" s="21" t="n"/>
      <c r="J41" s="23">
        <f>IFERROR(subQ!J32/subQ!E32-1,"")</f>
        <v/>
      </c>
      <c r="K41" s="31" t="n"/>
      <c r="L41" s="31" t="n"/>
      <c r="M41" s="25" t="n"/>
      <c r="N41" s="24" t="n">
        <v>-0.470848</v>
      </c>
      <c r="O41" s="24" t="n">
        <v>-0.352142</v>
      </c>
      <c r="P41" s="24" t="n">
        <v>0.104056</v>
      </c>
      <c r="Q41" s="24" t="n">
        <v>0.120069</v>
      </c>
      <c r="R41" s="25" t="n"/>
      <c r="S41" s="24" t="n">
        <v>0.153589</v>
      </c>
      <c r="T41" s="24" t="n">
        <v>0.185484</v>
      </c>
      <c r="U41" s="24" t="n">
        <v>0.266773</v>
      </c>
      <c r="V41" s="24" t="n">
        <v>0.327718</v>
      </c>
      <c r="W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1" t="n"/>
      <c r="G42" s="21" t="n"/>
      <c r="H42" s="22" t="n"/>
      <c r="I42" s="21" t="n"/>
      <c r="J42" s="23">
        <f>IFERROR(subQ!J33/subQ!E33-1,"")</f>
        <v/>
      </c>
      <c r="K42" s="24" t="n">
        <v>-0.587156</v>
      </c>
      <c r="L42" s="24" t="n">
        <v>-0.492063</v>
      </c>
      <c r="M42" s="25" t="n"/>
      <c r="N42" s="24" t="n">
        <v>-0.559567</v>
      </c>
      <c r="O42" s="24" t="n">
        <v>-0.508403</v>
      </c>
      <c r="P42" s="24" t="n">
        <v>-0.17037</v>
      </c>
      <c r="Q42" s="24" t="n">
        <v>-0.15625</v>
      </c>
      <c r="R42" s="25" t="n"/>
      <c r="S42" s="24" t="n">
        <v>-0.147541</v>
      </c>
      <c r="T42" s="24" t="n">
        <v>-0.128205</v>
      </c>
      <c r="U42" s="24" t="n">
        <v>-0.116071</v>
      </c>
      <c r="V42" s="24" t="n">
        <v>-0.111111</v>
      </c>
      <c r="W42" s="25" t="n"/>
    </row>
    <row r="43">
      <c r="A43" s="12" t="inlineStr">
        <is>
          <t>drv:매출조선</t>
        </is>
      </c>
      <c r="B43" s="2" t="inlineStr">
        <is>
          <t>ratio</t>
        </is>
      </c>
      <c r="C43" t="inlineStr">
        <is>
          <t>매출조선 비중(/매출액)</t>
        </is>
      </c>
      <c r="E43" s="21">
        <f>IFERROR(subQ!E34/subQ!E5,"")</f>
        <v/>
      </c>
      <c r="F43" s="21">
        <f>IFERROR(subQ!F34/subQ!F5,"")</f>
        <v/>
      </c>
      <c r="G43" s="21">
        <f>IFERROR(subQ!G34/subQ!G5,"")</f>
        <v/>
      </c>
      <c r="H43" s="22">
        <f>IFERROR(subQ!H34/subQ!H5,"")</f>
        <v/>
      </c>
      <c r="I43" s="21">
        <f>IFERROR(subQ!I34/subQ!I5,"")</f>
        <v/>
      </c>
      <c r="J43" s="23">
        <f>IFERROR(subQ!J34/subQ!J5,"")</f>
        <v/>
      </c>
      <c r="K43" s="24" t="n">
        <v>0.993324</v>
      </c>
      <c r="L43" s="24" t="n">
        <v>0.99333</v>
      </c>
      <c r="M43" s="25">
        <f>IFERROR(subQ!M34/subQ!M5,"")</f>
        <v/>
      </c>
      <c r="N43" s="24" t="n">
        <v>0.993182</v>
      </c>
      <c r="O43" s="24" t="n">
        <v>0.9932569999999999</v>
      </c>
      <c r="P43" s="24" t="n">
        <v>0.992949</v>
      </c>
      <c r="Q43" s="24" t="n">
        <v>0.991919</v>
      </c>
      <c r="R43" s="25">
        <f>IFERROR(subQ!R34/subQ!R5,"")</f>
        <v/>
      </c>
      <c r="S43" s="24" t="n">
        <v>0.991182</v>
      </c>
      <c r="T43" s="24" t="n">
        <v>0.991182</v>
      </c>
      <c r="U43" s="24" t="n">
        <v>0.990072</v>
      </c>
      <c r="V43" s="24" t="n">
        <v>0.9873729999999999</v>
      </c>
      <c r="W43" s="25">
        <f>IFERROR(subQ!W34/subQ!W5,"")</f>
        <v/>
      </c>
    </row>
    <row r="44">
      <c r="A44" s="12" t="inlineStr">
        <is>
          <t>drv:OP조선</t>
        </is>
      </c>
      <c r="B44" s="2" t="inlineStr">
        <is>
          <t>ratio</t>
        </is>
      </c>
      <c r="C44" t="inlineStr">
        <is>
          <t>OP조선 마진(/매출조선)</t>
        </is>
      </c>
      <c r="E44" s="21">
        <f>IFERROR(subQ!E35/subQ!E34,"")</f>
        <v/>
      </c>
      <c r="F44" s="21">
        <f>IFERROR(subQ!F35/subQ!F34,"")</f>
        <v/>
      </c>
      <c r="G44" s="21">
        <f>IFERROR(subQ!G35/subQ!G34,"")</f>
        <v/>
      </c>
      <c r="H44" s="22">
        <f>IFERROR(subQ!H35/subQ!H34,"")</f>
        <v/>
      </c>
      <c r="I44" s="21">
        <f>IFERROR(subQ!I35/subQ!I34,"")</f>
        <v/>
      </c>
      <c r="J44" s="23">
        <f>IFERROR(subQ!J35/subQ!J34,"")</f>
        <v/>
      </c>
      <c r="K44" s="24" t="n">
        <v>0.269902</v>
      </c>
      <c r="L44" s="24" t="n">
        <v>0.269904</v>
      </c>
      <c r="M44" s="25">
        <f>IFERROR(subQ!M35/subQ!M34,"")</f>
        <v/>
      </c>
      <c r="N44" s="24" t="n">
        <v>0.269904</v>
      </c>
      <c r="O44" s="24" t="n">
        <v>0.269904</v>
      </c>
      <c r="P44" s="24" t="n">
        <v>0.269702</v>
      </c>
      <c r="Q44" s="24" t="n">
        <v>0.268903</v>
      </c>
      <c r="R44" s="25">
        <f>IFERROR(subQ!R35/subQ!R34,"")</f>
        <v/>
      </c>
      <c r="S44" s="24" t="n">
        <v>0.268502</v>
      </c>
      <c r="T44" s="24" t="n">
        <v>0.268502</v>
      </c>
      <c r="U44" s="24" t="n">
        <v>0.274602</v>
      </c>
      <c r="V44" s="24" t="n">
        <v>0.274603</v>
      </c>
      <c r="W44" s="25">
        <f>IFERROR(subQ!W35/subQ!W34,"")</f>
        <v/>
      </c>
    </row>
    <row r="45">
      <c r="A45" s="12" t="inlineStr">
        <is>
          <t>drv:매출기타</t>
        </is>
      </c>
      <c r="B45" s="2" t="inlineStr">
        <is>
          <t>ratio</t>
        </is>
      </c>
      <c r="C45" t="inlineStr">
        <is>
          <t>매출기타 비중(/매출액)</t>
        </is>
      </c>
      <c r="E45" s="21">
        <f>IFERROR(subQ!E36/subQ!E5,"")</f>
        <v/>
      </c>
      <c r="F45" s="21">
        <f>IFERROR(subQ!F36/subQ!F5,"")</f>
        <v/>
      </c>
      <c r="G45" s="21">
        <f>IFERROR(subQ!G36/subQ!G5,"")</f>
        <v/>
      </c>
      <c r="H45" s="22">
        <f>IFERROR(subQ!H36/subQ!H5,"")</f>
        <v/>
      </c>
      <c r="I45" s="21">
        <f>IFERROR(subQ!I36/subQ!I5,"")</f>
        <v/>
      </c>
      <c r="J45" s="23">
        <f>IFERROR(subQ!J36/subQ!J5,"")</f>
        <v/>
      </c>
      <c r="K45" s="24" t="n">
        <v>0.00668</v>
      </c>
      <c r="L45" s="24" t="n">
        <v>0.00667</v>
      </c>
      <c r="M45" s="25">
        <f>IFERROR(subQ!M36/subQ!M5,"")</f>
        <v/>
      </c>
      <c r="N45" s="24" t="n">
        <v>0.006818</v>
      </c>
      <c r="O45" s="24" t="n">
        <v>0.006743</v>
      </c>
      <c r="P45" s="24" t="n">
        <v>0.007051</v>
      </c>
      <c r="Q45" s="24" t="n">
        <v>0.008081</v>
      </c>
      <c r="R45" s="25">
        <f>IFERROR(subQ!R36/subQ!R5,"")</f>
        <v/>
      </c>
      <c r="S45" s="24" t="n">
        <v>0.008817999999999999</v>
      </c>
      <c r="T45" s="24" t="n">
        <v>0.008817999999999999</v>
      </c>
      <c r="U45" s="24" t="n">
        <v>0.009927999999999999</v>
      </c>
      <c r="V45" s="24" t="n">
        <v>0.012627</v>
      </c>
      <c r="W45" s="25">
        <f>IFERROR(subQ!W36/subQ!W5,"")</f>
        <v/>
      </c>
    </row>
    <row r="46">
      <c r="A46" s="12" t="inlineStr">
        <is>
          <t>drv:OP기타</t>
        </is>
      </c>
      <c r="B46" s="2" t="inlineStr">
        <is>
          <t>ratio</t>
        </is>
      </c>
      <c r="C46" t="inlineStr">
        <is>
          <t>OP기타 마진(/매출기타)</t>
        </is>
      </c>
      <c r="E46" s="21">
        <f>IFERROR(subQ!E37/subQ!E36,"")</f>
        <v/>
      </c>
      <c r="F46" s="21">
        <f>IFERROR(subQ!F37/subQ!F36,"")</f>
        <v/>
      </c>
      <c r="G46" s="21">
        <f>IFERROR(subQ!G37/subQ!G36,"")</f>
        <v/>
      </c>
      <c r="H46" s="22">
        <f>IFERROR(subQ!H37/subQ!H36,"")</f>
        <v/>
      </c>
      <c r="I46" s="21">
        <f>IFERROR(subQ!I37/subQ!I36,"")</f>
        <v/>
      </c>
      <c r="J46" s="23">
        <f>IFERROR(subQ!J37/subQ!J36,"")</f>
        <v/>
      </c>
      <c r="K46" s="24" t="n">
        <v>0.269944</v>
      </c>
      <c r="L46" s="24" t="n">
        <v>0.269944</v>
      </c>
      <c r="M46" s="25">
        <f>IFERROR(subQ!M37/subQ!M36,"")</f>
        <v/>
      </c>
      <c r="N46" s="24" t="n">
        <v>0.269944</v>
      </c>
      <c r="O46" s="24" t="n">
        <v>0.269944</v>
      </c>
      <c r="P46" s="24" t="n">
        <v>0.269481</v>
      </c>
      <c r="Q46" s="24" t="n">
        <v>0.269017</v>
      </c>
      <c r="R46" s="25">
        <f>IFERROR(subQ!R37/subQ!R36,"")</f>
        <v/>
      </c>
      <c r="S46" s="24" t="n">
        <v>0.268553</v>
      </c>
      <c r="T46" s="24" t="n">
        <v>0.268553</v>
      </c>
      <c r="U46" s="24" t="n">
        <v>0.274583</v>
      </c>
      <c r="V46" s="24" t="n">
        <v>0.274583</v>
      </c>
      <c r="W46" s="25">
        <f>IFERROR(subQ!W37/subQ!W36,"")</f>
        <v/>
      </c>
    </row>
    <row r="47"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B48" s="1" t="inlineStr">
        <is>
          <t>3. 밸류에이션·스칼라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sc:종가</t>
        </is>
      </c>
      <c r="C49" t="inlineStr">
        <is>
          <t>종가</t>
        </is>
      </c>
      <c r="D49" s="32" t="n">
        <v>45050</v>
      </c>
      <c r="E49" s="2" t="inlineStr">
        <is>
          <t>원 — aikstockdata(금융위 T+1)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sc:기준일</t>
        </is>
      </c>
      <c r="C50" t="inlineStr">
        <is>
          <t>기준일</t>
        </is>
      </c>
      <c r="D50" s="33" t="inlineStr">
        <is>
          <t>20260929</t>
        </is>
      </c>
      <c r="E50" s="2" t="inlineStr">
        <is>
          <t>종가 기준일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sc:COE</t>
        </is>
      </c>
      <c r="C51" t="inlineStr">
        <is>
          <t>COE</t>
        </is>
      </c>
      <c r="D51" s="24" t="n">
        <v>0.09</v>
      </c>
      <c r="E51" s="2" t="inlineStr">
        <is>
          <t>자기자본비용(가정)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sc:PER_lo</t>
        </is>
      </c>
      <c r="C52" t="inlineStr">
        <is>
          <t>PER_lo</t>
        </is>
      </c>
      <c r="D52" s="29" t="n">
        <v>10</v>
      </c>
      <c r="E52" s="2" t="inlineStr">
        <is>
          <t>PER 밴드 하단(배) — sector_default(레퍼런스 TP_PE PB 예시 10/15/20배; 과거 양(+)EPS 분기 2개 &lt; 4)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sc:PER_mid</t>
        </is>
      </c>
      <c r="C53" t="inlineStr">
        <is>
          <t>PER_mid</t>
        </is>
      </c>
      <c r="D53" s="29" t="n">
        <v>15</v>
      </c>
      <c r="E53" s="2" t="inlineStr">
        <is>
          <t>PER 밴드 중단(배)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sc:PER_hi</t>
        </is>
      </c>
      <c r="C54" t="inlineStr">
        <is>
          <t>PER_hi</t>
        </is>
      </c>
      <c r="D54" s="29" t="n">
        <v>20</v>
      </c>
      <c r="E54" s="2" t="inlineStr">
        <is>
          <t>PER 밴드 상단(배)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sc:EPS_Y1가중</t>
        </is>
      </c>
      <c r="C55" t="inlineStr">
        <is>
          <t>EPS_Y1가중</t>
        </is>
      </c>
      <c r="D55" s="24" t="n">
        <v>0.5</v>
      </c>
      <c r="E55" s="2" t="inlineStr">
        <is>
          <t>12M fwd EPS = FY(last_actual연도)E × w + FY+1E × (1−w) — 기준 분기 2Q 이면 0.5(가정)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sc:세율</t>
        </is>
      </c>
      <c r="C56" t="inlineStr">
        <is>
          <t>세율</t>
        </is>
      </c>
      <c r="D56" s="24" t="n">
        <v>0.2276</v>
      </c>
      <c r="E56" s="2" t="inlineStr">
        <is>
          <t>법인세율 가정(참고 — 추정 수식은 드라이버 행 참조)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s="12" t="inlineStr">
        <is>
          <t>sc:판관비율</t>
        </is>
      </c>
      <c r="C57" t="inlineStr">
        <is>
          <t>판관비율</t>
        </is>
      </c>
      <c r="D57" s="24" t="n">
        <v>0.0244</v>
      </c>
      <c r="E57" s="2" t="inlineStr">
        <is>
          <t>판관비율 가정(참고)</t>
        </is>
      </c>
      <c r="H57" s="9" t="n"/>
      <c r="J57" s="5" t="n"/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0.0506</v>
      </c>
      <c r="E58" s="2" t="inlineStr">
        <is>
          <t>배당성향 가정(참고)</t>
        </is>
      </c>
      <c r="H58" s="9" t="n"/>
      <c r="J58" s="5" t="n"/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>
        <v>-2.29</v>
      </c>
      <c r="E59" s="2" t="inlineStr">
        <is>
          <t>외화 순노출 × Δ기말환율 (외화 시트 방식)</t>
        </is>
      </c>
      <c r="H59" s="9" t="n"/>
      <c r="J59" s="5" t="n"/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대한조선(연)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827551.8100000001</v>
      </c>
      <c r="F5" s="18" t="n">
        <v>1049562.46</v>
      </c>
      <c r="G5" s="18" t="n">
        <v>1123261.92</v>
      </c>
      <c r="H5" s="34" t="n">
        <v>1123261.92</v>
      </c>
      <c r="I5" s="18" t="n">
        <v>1218967.09</v>
      </c>
      <c r="J5" s="19" t="n">
        <v>1197597.33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376409.64</v>
      </c>
      <c r="F6" s="18" t="n">
        <v>296925.16</v>
      </c>
      <c r="G6" s="18" t="n">
        <v>215303.78</v>
      </c>
      <c r="H6" s="34" t="n">
        <v>215303.78</v>
      </c>
      <c r="I6" s="18" t="n">
        <v>290133.13</v>
      </c>
      <c r="J6" s="19" t="n">
        <v>325886.41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4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4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77272.88</v>
      </c>
      <c r="F9" s="18" t="n">
        <v>85223.92</v>
      </c>
      <c r="G9" s="18" t="n">
        <v>102458.4</v>
      </c>
      <c r="H9" s="34" t="n">
        <v>102458.4</v>
      </c>
      <c r="I9" s="18" t="n">
        <v>93121.98</v>
      </c>
      <c r="J9" s="19" t="n">
        <v>101413.78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4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23812.21</v>
      </c>
      <c r="F11" s="18" t="n">
        <v>34357.59</v>
      </c>
      <c r="G11" s="18" t="n">
        <v>35906.45</v>
      </c>
      <c r="H11" s="34" t="n">
        <v>35906.45</v>
      </c>
      <c r="I11" s="18" t="n">
        <v>54649.14</v>
      </c>
      <c r="J11" s="19" t="n">
        <v>36216.55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73463.28</v>
      </c>
      <c r="G12" s="18" t="n">
        <v>72357.36</v>
      </c>
      <c r="H12" s="34" t="n">
        <v>72357.36</v>
      </c>
      <c r="I12" s="18" t="n">
        <v>70491.14999999999</v>
      </c>
      <c r="J12" s="19" t="n">
        <v>74134.28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634.6900000000001</v>
      </c>
      <c r="F13" s="18" t="n">
        <v>2923.65</v>
      </c>
      <c r="G13" s="18" t="n">
        <v>0.02</v>
      </c>
      <c r="H13" s="34" t="n">
        <v>0.02</v>
      </c>
      <c r="I13" s="18" t="n">
        <v>0</v>
      </c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385560.42</v>
      </c>
      <c r="F14" s="18" t="n">
        <v>379621.13</v>
      </c>
      <c r="G14" s="18" t="n">
        <v>414791.45</v>
      </c>
      <c r="H14" s="34" t="n">
        <v>414791.45</v>
      </c>
      <c r="I14" s="18" t="n">
        <v>424772.01</v>
      </c>
      <c r="J14" s="19" t="n">
        <v>565065.39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투자부동산</t>
        </is>
      </c>
      <c r="E15" s="18" t="n">
        <v>913.14</v>
      </c>
      <c r="F15" s="18" t="n">
        <v>901.38</v>
      </c>
      <c r="G15" s="18" t="n">
        <v>889.62</v>
      </c>
      <c r="H15" s="34" t="n">
        <v>889.62</v>
      </c>
      <c r="I15" s="18" t="n">
        <v>877.86</v>
      </c>
      <c r="J15" s="19" t="n">
        <v>866.11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353138.77</v>
      </c>
      <c r="F16" s="18" t="n">
        <v>353958.01</v>
      </c>
      <c r="G16" s="18" t="n">
        <v>353759.76</v>
      </c>
      <c r="H16" s="34" t="n">
        <v>353759.76</v>
      </c>
      <c r="I16" s="18" t="n">
        <v>349024.77</v>
      </c>
      <c r="J16" s="19" t="n">
        <v>354783.81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무형자산</t>
        </is>
      </c>
      <c r="E17" s="18" t="n">
        <v>1361.16</v>
      </c>
      <c r="F17" s="18" t="n">
        <v>1332.41</v>
      </c>
      <c r="G17" s="18" t="n">
        <v>1462.83</v>
      </c>
      <c r="H17" s="34" t="n">
        <v>1462.83</v>
      </c>
      <c r="I17" s="18" t="n">
        <v>5710.78</v>
      </c>
      <c r="J17" s="19" t="n">
        <v>5468.79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457.83</v>
      </c>
      <c r="F18" s="18" t="n">
        <v>400.84</v>
      </c>
      <c r="G18" s="18" t="n">
        <v>333.21</v>
      </c>
      <c r="H18" s="34" t="n">
        <v>333.21</v>
      </c>
      <c r="I18" s="18" t="n">
        <v>279.77</v>
      </c>
      <c r="J18" s="19" t="n">
        <v>246.64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457.83</v>
      </c>
      <c r="F19" s="18" t="n">
        <v>400.84</v>
      </c>
      <c r="G19" s="18" t="n">
        <v>13017.91</v>
      </c>
      <c r="H19" s="34" t="n">
        <v>13017.91</v>
      </c>
      <c r="I19" s="18" t="n">
        <v>13516.28</v>
      </c>
      <c r="J19" s="19" t="n">
        <v>26437.34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장기매출채권및기타채권</t>
        </is>
      </c>
      <c r="E20" s="18" t="n">
        <v>7702.32</v>
      </c>
      <c r="F20" s="18" t="n">
        <v>7672.17</v>
      </c>
      <c r="G20" s="18" t="n">
        <v>7376.09</v>
      </c>
      <c r="H20" s="34" t="n">
        <v>7376.09</v>
      </c>
      <c r="I20" s="18" t="n">
        <v>7377.29</v>
      </c>
      <c r="J20" s="19" t="n">
        <v>8006.54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이연법인세자산</t>
        </is>
      </c>
      <c r="E21" s="18" t="n">
        <v>13160.88</v>
      </c>
      <c r="H21" s="9" t="n"/>
      <c r="J21" s="5" t="n"/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자산총계</t>
        </is>
      </c>
      <c r="E22" s="18" t="n">
        <v>1213112.23</v>
      </c>
      <c r="F22" s="18" t="n">
        <v>1429183.58</v>
      </c>
      <c r="G22" s="18" t="n">
        <v>1538053.38</v>
      </c>
      <c r="H22" s="34" t="n">
        <v>1538053.38</v>
      </c>
      <c r="I22" s="18" t="n">
        <v>1643739.1</v>
      </c>
      <c r="J22" s="19" t="n">
        <v>1762662.72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유동부채</t>
        </is>
      </c>
      <c r="E23" s="18" t="n">
        <v>630345.17</v>
      </c>
      <c r="F23" s="18" t="n">
        <v>376126.54</v>
      </c>
      <c r="G23" s="18" t="n">
        <v>410566.45</v>
      </c>
      <c r="H23" s="34" t="n">
        <v>410566.45</v>
      </c>
      <c r="I23" s="18" t="n">
        <v>462209.34</v>
      </c>
      <c r="J23" s="19" t="n">
        <v>512495.74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매입채무및기타채무</t>
        </is>
      </c>
      <c r="E24" s="18" t="n">
        <v>103892.27</v>
      </c>
      <c r="F24" s="18" t="n">
        <v>94836.7</v>
      </c>
      <c r="G24" s="18" t="n">
        <v>127630.93</v>
      </c>
      <c r="H24" s="34" t="n">
        <v>127630.93</v>
      </c>
      <c r="I24" s="18" t="n">
        <v>132017.33</v>
      </c>
      <c r="J24" s="19" t="n">
        <v>130803.16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단기차입금</t>
        </is>
      </c>
      <c r="E25" s="18" t="n">
        <v>187365.85</v>
      </c>
      <c r="F25" s="18" t="n">
        <v>23739.99</v>
      </c>
      <c r="H25" s="9" t="n"/>
      <c r="J25" s="5" t="n"/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단기사채</t>
        </is>
      </c>
      <c r="E26" s="18" t="n">
        <v>40989.41</v>
      </c>
      <c r="H26" s="9" t="n"/>
      <c r="J26" s="5" t="n"/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280517.02</v>
      </c>
      <c r="F27" s="18" t="n">
        <v>230107.11</v>
      </c>
      <c r="G27" s="18" t="n">
        <v>215414.72</v>
      </c>
      <c r="H27" s="34" t="n">
        <v>215414.72</v>
      </c>
      <c r="I27" s="18" t="n">
        <v>210986.68</v>
      </c>
      <c r="J27" s="19" t="n">
        <v>261230.99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단기충당부채</t>
        </is>
      </c>
      <c r="E28" s="18" t="n">
        <v>2975.68</v>
      </c>
      <c r="F28" s="18" t="n">
        <v>2272.59</v>
      </c>
      <c r="G28" s="18" t="n">
        <v>2168.34</v>
      </c>
      <c r="H28" s="34" t="n">
        <v>2168.34</v>
      </c>
      <c r="I28" s="18" t="n">
        <v>2318.93</v>
      </c>
      <c r="J28" s="19" t="n">
        <v>2385.39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당기법인세부채(미지급법인세)</t>
        </is>
      </c>
      <c r="E29" s="18" t="n">
        <v>0</v>
      </c>
      <c r="G29" s="18" t="n">
        <v>21598.7</v>
      </c>
      <c r="H29" s="34" t="n">
        <v>21598.7</v>
      </c>
      <c r="I29" s="18" t="n">
        <v>32589.33</v>
      </c>
      <c r="J29" s="19" t="n">
        <v>41733.34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기타유동부채</t>
        </is>
      </c>
      <c r="E30" s="18" t="n">
        <v>817.0599999999999</v>
      </c>
      <c r="F30" s="18" t="n">
        <v>647.97</v>
      </c>
      <c r="G30" s="18" t="n">
        <v>608.78</v>
      </c>
      <c r="H30" s="34" t="n">
        <v>608.78</v>
      </c>
      <c r="I30" s="18" t="n">
        <v>10300.6</v>
      </c>
      <c r="J30" s="19" t="n">
        <v>595.0599999999999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비유동부채</t>
        </is>
      </c>
      <c r="E31" s="18" t="n">
        <v>25089.73</v>
      </c>
      <c r="F31" s="18" t="n">
        <v>34667.36</v>
      </c>
      <c r="G31" s="18" t="n">
        <v>35102.86</v>
      </c>
      <c r="H31" s="34" t="n">
        <v>35102.86</v>
      </c>
      <c r="I31" s="18" t="n">
        <v>47243.89</v>
      </c>
      <c r="J31" s="19" t="n">
        <v>51304.83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장기매입채무및기타채무</t>
        </is>
      </c>
      <c r="E32" s="18" t="n">
        <v>3743.58</v>
      </c>
      <c r="F32" s="18" t="n">
        <v>4096.32</v>
      </c>
      <c r="G32" s="18" t="n">
        <v>4579.13</v>
      </c>
      <c r="H32" s="34" t="n">
        <v>4579.13</v>
      </c>
      <c r="I32" s="18" t="n">
        <v>4935.5</v>
      </c>
      <c r="J32" s="19" t="n">
        <v>5045.69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확정급여부채</t>
        </is>
      </c>
      <c r="E33" s="18" t="n">
        <v>12052.14</v>
      </c>
      <c r="F33" s="18" t="n">
        <v>12869.68</v>
      </c>
      <c r="G33" s="18" t="n">
        <v>8501.950000000001</v>
      </c>
      <c r="H33" s="34" t="n">
        <v>8501.950000000001</v>
      </c>
      <c r="I33" s="18" t="n">
        <v>9480.969999999999</v>
      </c>
      <c r="J33" s="19" t="n">
        <v>7937.2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장기충당부채</t>
        </is>
      </c>
      <c r="E34" s="18" t="n">
        <v>271.02</v>
      </c>
      <c r="F34" s="18" t="n">
        <v>301.78</v>
      </c>
      <c r="G34" s="18" t="n">
        <v>363.1</v>
      </c>
      <c r="H34" s="34" t="n">
        <v>363.1</v>
      </c>
      <c r="I34" s="18" t="n">
        <v>355.88</v>
      </c>
      <c r="J34" s="19" t="n">
        <v>351.76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부채총계</t>
        </is>
      </c>
      <c r="E35" s="18" t="n">
        <v>655434.9</v>
      </c>
      <c r="F35" s="18" t="n">
        <v>410793.91</v>
      </c>
      <c r="G35" s="18" t="n">
        <v>445669.31</v>
      </c>
      <c r="H35" s="34" t="n">
        <v>445669.31</v>
      </c>
      <c r="I35" s="18" t="n">
        <v>509453.23</v>
      </c>
      <c r="J35" s="19" t="n">
        <v>563800.5600000001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지배주주지분</t>
        </is>
      </c>
      <c r="E36" s="18" t="n">
        <v>557677.33</v>
      </c>
      <c r="F36" s="18" t="n">
        <v>1018389.68</v>
      </c>
      <c r="G36" s="18" t="n">
        <v>1092384.07</v>
      </c>
      <c r="H36" s="34" t="n">
        <v>1092384.07</v>
      </c>
      <c r="I36" s="18" t="n">
        <v>1134285.87</v>
      </c>
      <c r="J36" s="19" t="n">
        <v>1198862.16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152631.56</v>
      </c>
      <c r="F37" s="18" t="n">
        <v>192631.56</v>
      </c>
      <c r="G37" s="18" t="n">
        <v>192631.56</v>
      </c>
      <c r="H37" s="34" t="n">
        <v>192631.56</v>
      </c>
      <c r="I37" s="18" t="n">
        <v>192631.56</v>
      </c>
      <c r="J37" s="19" t="n">
        <v>192631.56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47947.23</v>
      </c>
      <c r="F38" s="18" t="n">
        <v>402861.42</v>
      </c>
      <c r="G38" s="18" t="n">
        <v>398917.63</v>
      </c>
      <c r="H38" s="34" t="n">
        <v>398917.63</v>
      </c>
      <c r="I38" s="18" t="n">
        <v>398917.63</v>
      </c>
      <c r="J38" s="19" t="n">
        <v>398917.63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기타포괄이익누계액</t>
        </is>
      </c>
      <c r="E39" s="18" t="n">
        <v>40823.25</v>
      </c>
      <c r="F39" s="18" t="n">
        <v>40804.12</v>
      </c>
      <c r="G39" s="18" t="n">
        <v>40029.25</v>
      </c>
      <c r="H39" s="34" t="n">
        <v>40029.25</v>
      </c>
      <c r="I39" s="18" t="n">
        <v>40051.07</v>
      </c>
      <c r="J39" s="19" t="n">
        <v>40020.6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316275.29</v>
      </c>
      <c r="F40" s="18" t="n">
        <v>382092.58</v>
      </c>
      <c r="G40" s="18" t="n">
        <v>460805.63</v>
      </c>
      <c r="H40" s="34" t="n">
        <v>460805.63</v>
      </c>
      <c r="I40" s="18" t="n">
        <v>528568.63</v>
      </c>
      <c r="J40" s="19" t="n">
        <v>567292.37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557677.33</v>
      </c>
      <c r="F41" s="18" t="n">
        <v>1018389.68</v>
      </c>
      <c r="G41" s="18" t="n">
        <v>1092384.07</v>
      </c>
      <c r="H41" s="34" t="n">
        <v>1092384.07</v>
      </c>
      <c r="I41" s="18" t="n">
        <v>1134285.87</v>
      </c>
      <c r="J41" s="19" t="n">
        <v>1198862.16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1213112.23</v>
      </c>
      <c r="F42" s="18" t="n">
        <v>1429183.58</v>
      </c>
      <c r="G42" s="18" t="n">
        <v>1538053.38</v>
      </c>
      <c r="H42" s="34" t="n">
        <v>1538053.38</v>
      </c>
      <c r="I42" s="18" t="n">
        <v>1643739.1</v>
      </c>
      <c r="J42" s="19" t="n">
        <v>1762662.72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총차입금</t>
        </is>
      </c>
      <c r="E43" s="18" t="n">
        <v>228355.26</v>
      </c>
      <c r="F43" s="18" t="n">
        <v>23739.99</v>
      </c>
      <c r="H43" s="9" t="n"/>
      <c r="J43" s="5" t="n"/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순차입금</t>
        </is>
      </c>
      <c r="E44" s="18" t="n">
        <v>-149542.88</v>
      </c>
      <c r="F44" s="18" t="n">
        <v>-273185.17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이자발생자산</t>
        </is>
      </c>
      <c r="E45" s="18" t="n">
        <v>377898.14</v>
      </c>
      <c r="F45" s="18" t="n">
        <v>296925.16</v>
      </c>
      <c r="G45" s="18" t="n">
        <v>252829.02</v>
      </c>
      <c r="H45" s="34" t="n">
        <v>252829.02</v>
      </c>
      <c r="I45" s="18" t="n">
        <v>391996.26</v>
      </c>
      <c r="J45" s="19" t="n">
        <v>580159.1800000001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단기투자자산(공정가치)</t>
        </is>
      </c>
      <c r="F46" s="18" t="n">
        <v>273171.3</v>
      </c>
      <c r="G46" s="18" t="n">
        <v>281830.52</v>
      </c>
      <c r="H46" s="34" t="n">
        <v>281830.52</v>
      </c>
      <c r="I46" s="18" t="n">
        <v>239917.66</v>
      </c>
      <c r="J46" s="19" t="n">
        <v>195467.08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이연법인세부채</t>
        </is>
      </c>
      <c r="F47" s="18" t="n">
        <v>1813.46</v>
      </c>
      <c r="G47" s="18" t="n">
        <v>7775.4</v>
      </c>
      <c r="H47" s="34" t="n">
        <v>7775.4</v>
      </c>
      <c r="I47" s="18" t="n">
        <v>13688.81</v>
      </c>
      <c r="J47" s="19" t="n">
        <v>14711.02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장기금융자산</t>
        </is>
      </c>
      <c r="G48" s="18" t="n">
        <v>24625.75</v>
      </c>
      <c r="H48" s="34" t="n">
        <v>24625.75</v>
      </c>
      <c r="I48" s="18" t="n">
        <v>29585.62</v>
      </c>
      <c r="J48" s="19" t="n">
        <v>145505.48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투자자산</t>
        </is>
      </c>
      <c r="G49" s="18" t="n">
        <v>24625.75</v>
      </c>
      <c r="H49" s="34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단기파생상품부채</t>
        </is>
      </c>
      <c r="H50" s="9" t="n"/>
      <c r="I50" s="18" t="n">
        <v>0</v>
      </c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단기금융부채</t>
        </is>
      </c>
      <c r="H51" s="9" t="n"/>
      <c r="I51" s="18" t="n">
        <v>0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기타자본</t>
        </is>
      </c>
      <c r="H52" s="9" t="n"/>
      <c r="I52" s="18" t="n">
        <v>-25883.02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비지배주주지분</t>
        </is>
      </c>
      <c r="H53" s="9" t="n"/>
      <c r="I53" s="18" t="n">
        <v>0</v>
      </c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매출액(수익)</t>
        </is>
      </c>
      <c r="E54" s="18" t="n">
        <v>296047.84</v>
      </c>
      <c r="F54" s="18" t="n">
        <v>273973.27</v>
      </c>
      <c r="G54" s="18" t="n">
        <v>350405.47</v>
      </c>
      <c r="H54" s="9" t="n"/>
      <c r="I54" s="18" t="n">
        <v>308271.46</v>
      </c>
      <c r="J54" s="19" t="n">
        <v>354435.07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매출원가</t>
        </is>
      </c>
      <c r="E55" s="18" t="n">
        <v>226711.65</v>
      </c>
      <c r="F55" s="18" t="n">
        <v>200951.47</v>
      </c>
      <c r="G55" s="18" t="n">
        <v>246306.98</v>
      </c>
      <c r="H55" s="9" t="n"/>
      <c r="I55" s="18" t="n">
        <v>217494.6</v>
      </c>
      <c r="J55" s="19" t="n">
        <v>251561.61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매출총이익</t>
        </is>
      </c>
      <c r="E56" s="18" t="n">
        <v>69336.2</v>
      </c>
      <c r="F56" s="18" t="n">
        <v>73021.8</v>
      </c>
      <c r="G56" s="18" t="n">
        <v>104098.48</v>
      </c>
      <c r="H56" s="9" t="n"/>
      <c r="I56" s="18" t="n">
        <v>90776.86</v>
      </c>
      <c r="J56" s="19" t="n">
        <v>102873.46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판관비</t>
        </is>
      </c>
      <c r="E57" s="18" t="n">
        <v>6869.41</v>
      </c>
      <c r="F57" s="18" t="n">
        <v>6533.15</v>
      </c>
      <c r="G57" s="18" t="n">
        <v>8769.82</v>
      </c>
      <c r="H57" s="9" t="n"/>
      <c r="I57" s="18" t="n">
        <v>8137.57</v>
      </c>
      <c r="J57" s="19" t="n">
        <v>7624.97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영업이익</t>
        </is>
      </c>
      <c r="E58" s="18" t="n">
        <v>62466.79</v>
      </c>
      <c r="F58" s="18" t="n">
        <v>66488.64999999999</v>
      </c>
      <c r="G58" s="18" t="n">
        <v>95328.67</v>
      </c>
      <c r="H58" s="9" t="n"/>
      <c r="I58" s="18" t="n">
        <v>82639.28999999999</v>
      </c>
      <c r="J58" s="19" t="n">
        <v>95248.5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기타영업외수익</t>
        </is>
      </c>
      <c r="E59" s="18" t="n">
        <v>1808.9</v>
      </c>
      <c r="F59" s="18" t="n">
        <v>5567.29</v>
      </c>
      <c r="G59" s="18" t="n">
        <v>16125.11</v>
      </c>
      <c r="H59" s="9" t="n"/>
      <c r="I59" s="18" t="n">
        <v>71023.96000000001</v>
      </c>
      <c r="J59" s="19" t="n">
        <v>37040.54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기타영업외비용</t>
        </is>
      </c>
      <c r="E60" s="18" t="n">
        <v>78200.94</v>
      </c>
      <c r="F60" s="18" t="n">
        <v>-37815.7</v>
      </c>
      <c r="G60" s="18" t="n">
        <v>-16900.44</v>
      </c>
      <c r="H60" s="9" t="n"/>
      <c r="I60" s="18" t="n">
        <v>6049.02</v>
      </c>
      <c r="J60" s="19" t="n">
        <v>2988.87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금융수익</t>
        </is>
      </c>
      <c r="E61" s="18" t="n">
        <v>76842.72</v>
      </c>
      <c r="F61" s="18" t="n">
        <v>-32157.26</v>
      </c>
      <c r="G61" s="18" t="n">
        <v>-15416.39</v>
      </c>
      <c r="H61" s="9" t="n"/>
      <c r="I61" s="18" t="n">
        <v>12147.33</v>
      </c>
      <c r="J61" s="19" t="n">
        <v>8203.77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금융비용</t>
        </is>
      </c>
      <c r="E62" s="18" t="n">
        <v>9879.639999999999</v>
      </c>
      <c r="F62" s="18" t="n">
        <v>-3082.31</v>
      </c>
      <c r="G62" s="18" t="n">
        <v>6836.07</v>
      </c>
      <c r="H62" s="9" t="n"/>
      <c r="I62" s="18" t="n">
        <v>57803.13</v>
      </c>
      <c r="J62" s="19" t="n">
        <v>33607.24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법인세비용차감전계속사업이익</t>
        </is>
      </c>
      <c r="E63" s="18" t="n">
        <v>53037.83</v>
      </c>
      <c r="F63" s="18" t="n">
        <v>80796.67999999999</v>
      </c>
      <c r="G63" s="18" t="n">
        <v>106101.76</v>
      </c>
      <c r="H63" s="9" t="n"/>
      <c r="I63" s="18" t="n">
        <v>101958.44</v>
      </c>
      <c r="J63" s="19" t="n">
        <v>103896.68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법인세비용</t>
        </is>
      </c>
      <c r="E64" s="18" t="n">
        <v>9354.74</v>
      </c>
      <c r="F64" s="18" t="n">
        <v>14979.4</v>
      </c>
      <c r="G64" s="18" t="n">
        <v>27388.7</v>
      </c>
      <c r="H64" s="9" t="n"/>
      <c r="I64" s="18" t="n">
        <v>24563.86</v>
      </c>
      <c r="J64" s="19" t="n">
        <v>25172.98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당기순이익</t>
        </is>
      </c>
      <c r="E65" s="18" t="n">
        <v>43683.09</v>
      </c>
      <c r="F65" s="18" t="n">
        <v>65817.28999999999</v>
      </c>
      <c r="G65" s="18" t="n">
        <v>78713.05</v>
      </c>
      <c r="H65" s="9" t="n"/>
      <c r="I65" s="18" t="n">
        <v>77394.58</v>
      </c>
      <c r="J65" s="19" t="n">
        <v>78723.7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(지배주주지분)당기순이익</t>
        </is>
      </c>
      <c r="E66" s="18" t="n">
        <v>43683.09</v>
      </c>
      <c r="F66" s="18" t="n">
        <v>65817.28999999999</v>
      </c>
      <c r="G66" s="18" t="n">
        <v>78713.05</v>
      </c>
      <c r="H66" s="9" t="n"/>
      <c r="I66" s="18" t="n">
        <v>77394.58</v>
      </c>
      <c r="J66" s="19" t="n">
        <v>78723.7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금융손익</t>
        </is>
      </c>
      <c r="E67" s="18" t="n">
        <v>66963.08</v>
      </c>
      <c r="F67" s="18" t="n">
        <v>-29074.95</v>
      </c>
      <c r="G67" s="18" t="n">
        <v>-22252.46</v>
      </c>
      <c r="H67" s="9" t="n"/>
      <c r="I67" s="18" t="n">
        <v>-45655.8</v>
      </c>
      <c r="J67" s="19" t="n">
        <v>-25403.47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기타영업외손익</t>
        </is>
      </c>
      <c r="E68" s="18" t="n">
        <v>-76392.03999999999</v>
      </c>
      <c r="F68" s="18" t="n">
        <v>43382.99</v>
      </c>
      <c r="G68" s="18" t="n">
        <v>33025.55</v>
      </c>
      <c r="H68" s="9" t="n"/>
      <c r="I68" s="18" t="n">
        <v>64974.94</v>
      </c>
      <c r="J68" s="19" t="n">
        <v>34051.67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계속사업이익</t>
        </is>
      </c>
      <c r="E69" s="18" t="n">
        <v>43683.09</v>
      </c>
      <c r="F69" s="18" t="n">
        <v>65817.28999999999</v>
      </c>
      <c r="G69" s="18" t="n">
        <v>78713.05</v>
      </c>
      <c r="H69" s="9" t="n"/>
      <c r="I69" s="18" t="n">
        <v>77394.58</v>
      </c>
      <c r="J69" s="19" t="n">
        <v>78723.7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총포괄손익</t>
        </is>
      </c>
      <c r="E70" s="18" t="n">
        <v>43681.3</v>
      </c>
      <c r="F70" s="18" t="n">
        <v>65798.16</v>
      </c>
      <c r="G70" s="18" t="n">
        <v>77938.17999999999</v>
      </c>
      <c r="H70" s="9" t="n"/>
      <c r="I70" s="18" t="n">
        <v>77416.39999999999</v>
      </c>
      <c r="J70" s="19" t="n">
        <v>78693.23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(비지배주주지분)당기순이익</t>
        </is>
      </c>
      <c r="H71" s="9" t="n"/>
      <c r="I71" s="18" t="n">
        <v>0</v>
      </c>
      <c r="J71" s="5" t="n"/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영업활동으로인한현금흐름</t>
        </is>
      </c>
      <c r="E72" s="18" t="n">
        <v>42623.28</v>
      </c>
      <c r="F72" s="18" t="n">
        <v>-1016.39</v>
      </c>
      <c r="G72" s="18" t="n">
        <v>-13065.17</v>
      </c>
      <c r="H72" s="9" t="n"/>
      <c r="I72" s="18" t="n">
        <v>118064.13</v>
      </c>
      <c r="J72" s="19" t="n">
        <v>169860.18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이자수취(CF)</t>
        </is>
      </c>
      <c r="E73" s="18" t="n">
        <v>2258.48</v>
      </c>
      <c r="F73" s="18" t="n">
        <v>1866.48</v>
      </c>
      <c r="G73" s="18" t="n">
        <v>1454.4</v>
      </c>
      <c r="H73" s="9" t="n"/>
      <c r="I73" s="18" t="n">
        <v>1669.98</v>
      </c>
      <c r="J73" s="19" t="n">
        <v>1721.35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이자지급(CF)</t>
        </is>
      </c>
      <c r="E74" s="18" t="n">
        <v>-4172.35</v>
      </c>
      <c r="F74" s="18" t="n">
        <v>-2978.26</v>
      </c>
      <c r="G74" s="18" t="n">
        <v>-202.05</v>
      </c>
      <c r="H74" s="9" t="n"/>
      <c r="I74" s="18" t="n">
        <v>-6.35</v>
      </c>
      <c r="J74" s="19" t="n">
        <v>-5.8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법인세납부(CF)</t>
        </is>
      </c>
      <c r="E75" s="18" t="n">
        <v>-3007.12</v>
      </c>
      <c r="F75" s="18" t="n">
        <v>-2288.96</v>
      </c>
      <c r="G75" s="18" t="n">
        <v>-503.47</v>
      </c>
      <c r="H75" s="9" t="n"/>
      <c r="I75" s="18" t="n">
        <v>-7574.23</v>
      </c>
      <c r="J75" s="19" t="n">
        <v>-15296.51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투자활동으로인한현금흐름</t>
        </is>
      </c>
      <c r="E76" s="18" t="n">
        <v>5984.42</v>
      </c>
      <c r="F76" s="18" t="n">
        <v>-273488.49</v>
      </c>
      <c r="G76" s="18" t="n">
        <v>-47383.78</v>
      </c>
      <c r="H76" s="9" t="n"/>
      <c r="I76" s="18" t="n">
        <v>-24852.15</v>
      </c>
      <c r="J76" s="19" t="n">
        <v>-111821.84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유형자산의감소</t>
        </is>
      </c>
      <c r="E77" s="18" t="n">
        <v>0</v>
      </c>
      <c r="F77" s="18" t="n">
        <v>11.18</v>
      </c>
      <c r="G77" s="18" t="n">
        <v>138.43</v>
      </c>
      <c r="H77" s="9" t="n"/>
      <c r="I77" s="18" t="n">
        <v>120</v>
      </c>
      <c r="J77" s="19" t="n">
        <v>6.94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유형자산의증가</t>
        </is>
      </c>
      <c r="E78" s="18" t="n">
        <v>2791.63</v>
      </c>
      <c r="F78" s="18" t="n">
        <v>3523.49</v>
      </c>
      <c r="G78" s="18" t="n">
        <v>1897.06</v>
      </c>
      <c r="H78" s="9" t="n"/>
      <c r="I78" s="18" t="n">
        <v>2097.87</v>
      </c>
      <c r="J78" s="19" t="n">
        <v>6409.19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CAPEX</t>
        </is>
      </c>
      <c r="E79" s="18" t="n">
        <v>2791.63</v>
      </c>
      <c r="F79" s="18" t="n">
        <v>3530.99</v>
      </c>
      <c r="G79" s="18" t="n">
        <v>2072.06</v>
      </c>
      <c r="H79" s="9" t="n"/>
      <c r="I79" s="18" t="n">
        <v>2102.03</v>
      </c>
      <c r="J79" s="19" t="n">
        <v>7231.59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무형자산의증가</t>
        </is>
      </c>
      <c r="E80" s="18" t="n">
        <v>0</v>
      </c>
      <c r="F80" s="18" t="n">
        <v>7.5</v>
      </c>
      <c r="G80" s="18" t="n">
        <v>175</v>
      </c>
      <c r="H80" s="9" t="n"/>
      <c r="I80" s="18" t="n">
        <v>4.16</v>
      </c>
      <c r="J80" s="19" t="n">
        <v>822.4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재무활동으로인한현금흐름</t>
        </is>
      </c>
      <c r="E81" s="18" t="n">
        <v>-35478.63</v>
      </c>
      <c r="F81" s="18" t="n">
        <v>188321.79</v>
      </c>
      <c r="G81" s="18" t="n">
        <v>-23696.36</v>
      </c>
      <c r="H81" s="9" t="n"/>
      <c r="I81" s="18" t="n">
        <v>-24948.67</v>
      </c>
      <c r="J81" s="19" t="n">
        <v>-24769.83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단기차입금의증가</t>
        </is>
      </c>
      <c r="E82" s="18" t="n">
        <v>126468.73</v>
      </c>
      <c r="F82" s="18" t="n">
        <v>69339.03</v>
      </c>
      <c r="G82" s="18" t="n">
        <v>20859.87</v>
      </c>
      <c r="H82" s="9" t="n"/>
      <c r="I82" s="18" t="n">
        <v>1037.52</v>
      </c>
      <c r="J82" s="5" t="n"/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단기차입금의감소</t>
        </is>
      </c>
      <c r="E83" s="18" t="n">
        <v>161905.38</v>
      </c>
      <c r="F83" s="18" t="n">
        <v>234849.35</v>
      </c>
      <c r="G83" s="18" t="n">
        <v>44512.19</v>
      </c>
      <c r="H83" s="9" t="n"/>
      <c r="I83" s="18" t="n">
        <v>58.26</v>
      </c>
      <c r="J83" s="19" t="n">
        <v>0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리스부채의상환</t>
        </is>
      </c>
      <c r="E84" s="18" t="n">
        <v>41.98</v>
      </c>
      <c r="F84" s="18" t="n">
        <v>82.08</v>
      </c>
      <c r="G84" s="18" t="n">
        <v>44.04</v>
      </c>
      <c r="H84" s="9" t="n"/>
      <c r="I84" s="18" t="n">
        <v>44.91</v>
      </c>
      <c r="J84" s="19" t="n">
        <v>42.05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  <row r="85">
      <c r="A85" t="n">
        <v>1</v>
      </c>
      <c r="C85" t="inlineStr">
        <is>
          <t>현금및현금성자산의증감</t>
        </is>
      </c>
      <c r="E85" s="18" t="n">
        <v>652.24</v>
      </c>
      <c r="F85" s="18" t="n">
        <v>-79484.48</v>
      </c>
      <c r="G85" s="18" t="n">
        <v>-81621.38</v>
      </c>
      <c r="H85" s="9" t="n"/>
      <c r="I85" s="18" t="n">
        <v>74829.36</v>
      </c>
      <c r="J85" s="19" t="n">
        <v>35753.27</v>
      </c>
      <c r="K85" s="10" t="n"/>
      <c r="L85" s="10" t="n"/>
      <c r="M85" s="11" t="n"/>
      <c r="N85" s="10" t="n"/>
      <c r="O85" s="10" t="n"/>
      <c r="P85" s="10" t="n"/>
      <c r="Q85" s="10" t="n"/>
      <c r="R85" s="11" t="n"/>
      <c r="S85" s="10" t="n"/>
      <c r="T85" s="10" t="n"/>
      <c r="U85" s="10" t="n"/>
      <c r="V85" s="10" t="n"/>
      <c r="W85" s="11" t="n"/>
    </row>
    <row r="86">
      <c r="A86" t="n">
        <v>1</v>
      </c>
      <c r="C86" t="inlineStr">
        <is>
          <t>기말현금및현금성자산</t>
        </is>
      </c>
      <c r="E86" s="18" t="n">
        <v>652.25</v>
      </c>
      <c r="F86" s="18" t="n">
        <v>-79484.48</v>
      </c>
      <c r="G86" s="18" t="n">
        <v>-81621.38</v>
      </c>
      <c r="H86" s="9" t="n"/>
      <c r="I86" s="18" t="n">
        <v>290133.13</v>
      </c>
      <c r="J86" s="19" t="n">
        <v>35753.28</v>
      </c>
      <c r="K86" s="10" t="n"/>
      <c r="L86" s="10" t="n"/>
      <c r="M86" s="11" t="n"/>
      <c r="N86" s="10" t="n"/>
      <c r="O86" s="10" t="n"/>
      <c r="P86" s="10" t="n"/>
      <c r="Q86" s="10" t="n"/>
      <c r="R86" s="11" t="n"/>
      <c r="S86" s="10" t="n"/>
      <c r="T86" s="10" t="n"/>
      <c r="U86" s="10" t="n"/>
      <c r="V86" s="10" t="n"/>
      <c r="W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대한조선(별)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829391.23</v>
      </c>
      <c r="F5" s="18" t="n">
        <v>1051424.67</v>
      </c>
      <c r="G5" s="18" t="n">
        <v>1125162.69</v>
      </c>
      <c r="H5" s="34" t="n">
        <v>1125162.69</v>
      </c>
      <c r="I5" s="18" t="n">
        <v>1221806.17</v>
      </c>
      <c r="J5" s="19" t="n">
        <v>1200778.72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376281.41</v>
      </c>
      <c r="F6" s="18" t="n">
        <v>296802.23</v>
      </c>
      <c r="G6" s="18" t="n">
        <v>215179.11</v>
      </c>
      <c r="H6" s="34" t="n">
        <v>215179.11</v>
      </c>
      <c r="I6" s="18" t="n">
        <v>289943.57</v>
      </c>
      <c r="J6" s="19" t="n">
        <v>323277.24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4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4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79278.81</v>
      </c>
      <c r="F9" s="18" t="n">
        <v>87232.83</v>
      </c>
      <c r="G9" s="18" t="n">
        <v>104502.3</v>
      </c>
      <c r="H9" s="34" t="n">
        <v>104502.3</v>
      </c>
      <c r="I9" s="18" t="n">
        <v>96172.60000000001</v>
      </c>
      <c r="J9" s="19" t="n">
        <v>107196.98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4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23773.93</v>
      </c>
      <c r="F11" s="18" t="n">
        <v>34326.11</v>
      </c>
      <c r="G11" s="18" t="n">
        <v>35874.49</v>
      </c>
      <c r="H11" s="34" t="n">
        <v>35874.49</v>
      </c>
      <c r="I11" s="18" t="n">
        <v>54617.84</v>
      </c>
      <c r="J11" s="19" t="n">
        <v>36183.86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73471</v>
      </c>
      <c r="G12" s="18" t="n">
        <v>72370.88</v>
      </c>
      <c r="H12" s="34" t="n">
        <v>72370.88</v>
      </c>
      <c r="I12" s="18" t="n">
        <v>70500.48</v>
      </c>
      <c r="J12" s="19" t="n">
        <v>74174.34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634.6799999999999</v>
      </c>
      <c r="F13" s="18" t="n">
        <v>2923.64</v>
      </c>
      <c r="H13" s="9" t="n"/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383370.26</v>
      </c>
      <c r="F14" s="18" t="n">
        <v>377438</v>
      </c>
      <c r="G14" s="18" t="n">
        <v>412126.84</v>
      </c>
      <c r="H14" s="34" t="n">
        <v>412126.84</v>
      </c>
      <c r="I14" s="18" t="n">
        <v>421592.05</v>
      </c>
      <c r="J14" s="19" t="n">
        <v>558306.11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종속기업및관계기업투자</t>
        </is>
      </c>
      <c r="E15" s="18" t="n">
        <v>50</v>
      </c>
      <c r="F15" s="18" t="n">
        <v>50</v>
      </c>
      <c r="G15" s="18" t="n">
        <v>50</v>
      </c>
      <c r="H15" s="34" t="n">
        <v>50</v>
      </c>
      <c r="I15" s="18" t="n">
        <v>50</v>
      </c>
      <c r="J15" s="19" t="n">
        <v>50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투자자산</t>
        </is>
      </c>
      <c r="E16" s="18" t="n">
        <v>50</v>
      </c>
      <c r="F16" s="18" t="n">
        <v>50</v>
      </c>
      <c r="G16" s="18" t="n">
        <v>24675.75</v>
      </c>
      <c r="H16" s="34" t="n">
        <v>24675.75</v>
      </c>
      <c r="I16" s="18" t="n">
        <v>29635.62</v>
      </c>
      <c r="J16" s="19" t="n">
        <v>145555.48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913.14</v>
      </c>
      <c r="F17" s="18" t="n">
        <v>901.38</v>
      </c>
      <c r="G17" s="18" t="n">
        <v>889.62</v>
      </c>
      <c r="H17" s="34" t="n">
        <v>889.62</v>
      </c>
      <c r="I17" s="18" t="n">
        <v>877.86</v>
      </c>
      <c r="J17" s="19" t="n">
        <v>866.11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유형자산</t>
        </is>
      </c>
      <c r="E18" s="18" t="n">
        <v>350898.62</v>
      </c>
      <c r="F18" s="18" t="n">
        <v>351724.88</v>
      </c>
      <c r="G18" s="18" t="n">
        <v>351045.15</v>
      </c>
      <c r="H18" s="34" t="n">
        <v>351045.15</v>
      </c>
      <c r="I18" s="18" t="n">
        <v>345794.8</v>
      </c>
      <c r="J18" s="19" t="n">
        <v>347974.52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무형자산</t>
        </is>
      </c>
      <c r="E19" s="18" t="n">
        <v>1361.16</v>
      </c>
      <c r="F19" s="18" t="n">
        <v>1332.41</v>
      </c>
      <c r="G19" s="18" t="n">
        <v>1462.83</v>
      </c>
      <c r="H19" s="34" t="n">
        <v>1462.83</v>
      </c>
      <c r="I19" s="18" t="n">
        <v>5710.78</v>
      </c>
      <c r="J19" s="19" t="n">
        <v>5468.79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사용권자산</t>
        </is>
      </c>
      <c r="E20" s="18" t="n">
        <v>457.83</v>
      </c>
      <c r="F20" s="18" t="n">
        <v>400.84</v>
      </c>
      <c r="G20" s="18" t="n">
        <v>333.21</v>
      </c>
      <c r="H20" s="34" t="n">
        <v>333.21</v>
      </c>
      <c r="I20" s="18" t="n">
        <v>279.77</v>
      </c>
      <c r="J20" s="19" t="n">
        <v>246.64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기타비유동자산</t>
        </is>
      </c>
      <c r="E21" s="18" t="n">
        <v>457.83</v>
      </c>
      <c r="F21" s="18" t="n">
        <v>400.84</v>
      </c>
      <c r="G21" s="18" t="n">
        <v>13017.91</v>
      </c>
      <c r="H21" s="34" t="n">
        <v>13017.91</v>
      </c>
      <c r="I21" s="18" t="n">
        <v>13516.28</v>
      </c>
      <c r="J21" s="19" t="n">
        <v>26437.34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장기매출채권및기타채권</t>
        </is>
      </c>
      <c r="E22" s="18" t="n">
        <v>7702.32</v>
      </c>
      <c r="F22" s="18" t="n">
        <v>7672.17</v>
      </c>
      <c r="G22" s="18" t="n">
        <v>7376.09</v>
      </c>
      <c r="H22" s="34" t="n">
        <v>7376.09</v>
      </c>
      <c r="I22" s="18" t="n">
        <v>7377.29</v>
      </c>
      <c r="J22" s="19" t="n">
        <v>8006.54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이연법인세자산</t>
        </is>
      </c>
      <c r="E23" s="18" t="n">
        <v>13160.88</v>
      </c>
      <c r="H23" s="9" t="n"/>
      <c r="J23" s="5" t="n"/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자산총계</t>
        </is>
      </c>
      <c r="E24" s="18" t="n">
        <v>1212761.49</v>
      </c>
      <c r="F24" s="18" t="n">
        <v>1428862.66</v>
      </c>
      <c r="G24" s="18" t="n">
        <v>1537289.53</v>
      </c>
      <c r="H24" s="34" t="n">
        <v>1537289.53</v>
      </c>
      <c r="I24" s="18" t="n">
        <v>1643398.21</v>
      </c>
      <c r="J24" s="19" t="n">
        <v>1759084.83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유동부채</t>
        </is>
      </c>
      <c r="E25" s="18" t="n">
        <v>630274.7</v>
      </c>
      <c r="F25" s="18" t="n">
        <v>376058.99</v>
      </c>
      <c r="G25" s="18" t="n">
        <v>410081.13</v>
      </c>
      <c r="H25" s="34" t="n">
        <v>410081.13</v>
      </c>
      <c r="I25" s="18" t="n">
        <v>462138.03</v>
      </c>
      <c r="J25" s="19" t="n">
        <v>509427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매입채무및기타채무</t>
        </is>
      </c>
      <c r="E26" s="18" t="n">
        <v>103834.76</v>
      </c>
      <c r="F26" s="18" t="n">
        <v>94770.91</v>
      </c>
      <c r="G26" s="18" t="n">
        <v>127151.18</v>
      </c>
      <c r="H26" s="34" t="n">
        <v>127151.18</v>
      </c>
      <c r="I26" s="18" t="n">
        <v>131954.79</v>
      </c>
      <c r="J26" s="19" t="n">
        <v>127776.35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단기차입금</t>
        </is>
      </c>
      <c r="E27" s="18" t="n">
        <v>187365.85</v>
      </c>
      <c r="F27" s="18" t="n">
        <v>23739.99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단기사채</t>
        </is>
      </c>
      <c r="E28" s="18" t="n">
        <v>40989.41</v>
      </c>
      <c r="H28" s="9" t="n"/>
      <c r="J28" s="5" t="n"/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계약부채</t>
        </is>
      </c>
      <c r="E29" s="18" t="n">
        <v>280517.02</v>
      </c>
      <c r="F29" s="18" t="n">
        <v>230107.11</v>
      </c>
      <c r="G29" s="18" t="n">
        <v>215414.72</v>
      </c>
      <c r="H29" s="34" t="n">
        <v>215414.72</v>
      </c>
      <c r="I29" s="18" t="n">
        <v>210986.68</v>
      </c>
      <c r="J29" s="19" t="n">
        <v>261230.99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단기충당부채</t>
        </is>
      </c>
      <c r="E30" s="18" t="n">
        <v>2975.68</v>
      </c>
      <c r="F30" s="18" t="n">
        <v>2272.59</v>
      </c>
      <c r="G30" s="18" t="n">
        <v>2168.34</v>
      </c>
      <c r="H30" s="34" t="n">
        <v>2168.34</v>
      </c>
      <c r="I30" s="18" t="n">
        <v>2318.93</v>
      </c>
      <c r="J30" s="19" t="n">
        <v>2385.39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기타유동부채</t>
        </is>
      </c>
      <c r="E31" s="18" t="n">
        <v>804.11</v>
      </c>
      <c r="F31" s="18" t="n">
        <v>646.2</v>
      </c>
      <c r="G31" s="18" t="n">
        <v>603.21</v>
      </c>
      <c r="H31" s="34" t="n">
        <v>603.21</v>
      </c>
      <c r="I31" s="18" t="n">
        <v>10291.85</v>
      </c>
      <c r="J31" s="19" t="n">
        <v>592.96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25057.08</v>
      </c>
      <c r="F32" s="18" t="n">
        <v>34627.97</v>
      </c>
      <c r="G32" s="18" t="n">
        <v>35054.45</v>
      </c>
      <c r="H32" s="34" t="n">
        <v>35054.45</v>
      </c>
      <c r="I32" s="18" t="n">
        <v>47187.81</v>
      </c>
      <c r="J32" s="19" t="n">
        <v>51241.08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장기매입채무및기타채무</t>
        </is>
      </c>
      <c r="E33" s="18" t="n">
        <v>3743.58</v>
      </c>
      <c r="F33" s="18" t="n">
        <v>4096.32</v>
      </c>
      <c r="G33" s="18" t="n">
        <v>4579.13</v>
      </c>
      <c r="H33" s="34" t="n">
        <v>4579.13</v>
      </c>
      <c r="I33" s="18" t="n">
        <v>4935.5</v>
      </c>
      <c r="J33" s="19" t="n">
        <v>5045.69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확정급여부채</t>
        </is>
      </c>
      <c r="E34" s="18" t="n">
        <v>12019.49</v>
      </c>
      <c r="F34" s="18" t="n">
        <v>12830.28</v>
      </c>
      <c r="G34" s="18" t="n">
        <v>8453.540000000001</v>
      </c>
      <c r="H34" s="34" t="n">
        <v>8453.540000000001</v>
      </c>
      <c r="I34" s="18" t="n">
        <v>9424.889999999999</v>
      </c>
      <c r="J34" s="19" t="n">
        <v>7873.45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장기충당부채</t>
        </is>
      </c>
      <c r="E35" s="18" t="n">
        <v>271.02</v>
      </c>
      <c r="F35" s="18" t="n">
        <v>301.78</v>
      </c>
      <c r="G35" s="18" t="n">
        <v>363.1</v>
      </c>
      <c r="H35" s="34" t="n">
        <v>363.1</v>
      </c>
      <c r="I35" s="18" t="n">
        <v>355.88</v>
      </c>
      <c r="J35" s="19" t="n">
        <v>351.76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655331.78</v>
      </c>
      <c r="F36" s="18" t="n">
        <v>410686.96</v>
      </c>
      <c r="G36" s="18" t="n">
        <v>445135.58</v>
      </c>
      <c r="H36" s="34" t="n">
        <v>445135.58</v>
      </c>
      <c r="I36" s="18" t="n">
        <v>509325.84</v>
      </c>
      <c r="J36" s="19" t="n">
        <v>560668.08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152631.56</v>
      </c>
      <c r="F37" s="18" t="n">
        <v>192631.56</v>
      </c>
      <c r="G37" s="18" t="n">
        <v>192631.56</v>
      </c>
      <c r="H37" s="34" t="n">
        <v>192631.56</v>
      </c>
      <c r="I37" s="18" t="n">
        <v>192631.56</v>
      </c>
      <c r="J37" s="19" t="n">
        <v>192631.56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47947.23</v>
      </c>
      <c r="F38" s="18" t="n">
        <v>402861.42</v>
      </c>
      <c r="G38" s="18" t="n">
        <v>398917.63</v>
      </c>
      <c r="H38" s="34" t="n">
        <v>398917.63</v>
      </c>
      <c r="I38" s="18" t="n">
        <v>398917.63</v>
      </c>
      <c r="J38" s="19" t="n">
        <v>398917.63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기타포괄이익누계액</t>
        </is>
      </c>
      <c r="E39" s="18" t="n">
        <v>40832.26</v>
      </c>
      <c r="F39" s="18" t="n">
        <v>40813.13</v>
      </c>
      <c r="G39" s="18" t="n">
        <v>40037.22</v>
      </c>
      <c r="H39" s="34" t="n">
        <v>40037.22</v>
      </c>
      <c r="I39" s="18" t="n">
        <v>40059.04</v>
      </c>
      <c r="J39" s="19" t="n">
        <v>40028.56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316018.66</v>
      </c>
      <c r="F40" s="18" t="n">
        <v>381869.6</v>
      </c>
      <c r="G40" s="18" t="n">
        <v>460567.55</v>
      </c>
      <c r="H40" s="34" t="n">
        <v>460567.55</v>
      </c>
      <c r="I40" s="18" t="n">
        <v>528347.16</v>
      </c>
      <c r="J40" s="19" t="n">
        <v>566839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557429.71</v>
      </c>
      <c r="F41" s="18" t="n">
        <v>1018175.71</v>
      </c>
      <c r="G41" s="18" t="n">
        <v>1092153.95</v>
      </c>
      <c r="H41" s="34" t="n">
        <v>1092153.95</v>
      </c>
      <c r="I41" s="18" t="n">
        <v>1134072.37</v>
      </c>
      <c r="J41" s="19" t="n">
        <v>1198416.75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1212761.49</v>
      </c>
      <c r="F42" s="18" t="n">
        <v>1428862.66</v>
      </c>
      <c r="G42" s="18" t="n">
        <v>1537289.53</v>
      </c>
      <c r="H42" s="34" t="n">
        <v>1537289.53</v>
      </c>
      <c r="I42" s="18" t="n">
        <v>1643398.21</v>
      </c>
      <c r="J42" s="19" t="n">
        <v>1759084.83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557429.71</v>
      </c>
      <c r="F43" s="18" t="n">
        <v>1018175.71</v>
      </c>
      <c r="G43" s="18" t="n">
        <v>1092153.95</v>
      </c>
      <c r="H43" s="34" t="n">
        <v>1092153.95</v>
      </c>
      <c r="I43" s="18" t="n">
        <v>1134072.37</v>
      </c>
      <c r="J43" s="19" t="n">
        <v>1198416.75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228355.26</v>
      </c>
      <c r="F44" s="18" t="n">
        <v>23739.99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-149414.65</v>
      </c>
      <c r="F45" s="18" t="n">
        <v>-273062.24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377769.91</v>
      </c>
      <c r="F46" s="18" t="n">
        <v>296802.23</v>
      </c>
      <c r="G46" s="18" t="n">
        <v>252704.35</v>
      </c>
      <c r="H46" s="34" t="n">
        <v>252704.35</v>
      </c>
      <c r="I46" s="18" t="n">
        <v>391806.7</v>
      </c>
      <c r="J46" s="19" t="n">
        <v>577550.01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단기투자자산(공정가치)</t>
        </is>
      </c>
      <c r="F47" s="18" t="n">
        <v>273171.3</v>
      </c>
      <c r="G47" s="18" t="n">
        <v>281830.52</v>
      </c>
      <c r="H47" s="34" t="n">
        <v>281830.52</v>
      </c>
      <c r="I47" s="18" t="n">
        <v>239917.66</v>
      </c>
      <c r="J47" s="19" t="n">
        <v>195467.08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이연법인세부채</t>
        </is>
      </c>
      <c r="F48" s="18" t="n">
        <v>1813.46</v>
      </c>
      <c r="G48" s="18" t="n">
        <v>7775.4</v>
      </c>
      <c r="H48" s="34" t="n">
        <v>7775.4</v>
      </c>
      <c r="I48" s="18" t="n">
        <v>13688.81</v>
      </c>
      <c r="J48" s="19" t="n">
        <v>14711.02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장기금융자산</t>
        </is>
      </c>
      <c r="G49" s="18" t="n">
        <v>24625.75</v>
      </c>
      <c r="H49" s="34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당기법인세부채(미지급법인세)</t>
        </is>
      </c>
      <c r="G50" s="18" t="n">
        <v>21598.7</v>
      </c>
      <c r="H50" s="34" t="n">
        <v>21598.7</v>
      </c>
      <c r="I50" s="18" t="n">
        <v>32589.31</v>
      </c>
      <c r="J50" s="19" t="n">
        <v>41693.52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기타자본</t>
        </is>
      </c>
      <c r="H51" s="9" t="n"/>
      <c r="I51" s="18" t="n">
        <v>-25883.02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매출액(수익)</t>
        </is>
      </c>
      <c r="E52" s="18" t="n">
        <v>295855.49</v>
      </c>
      <c r="F52" s="18" t="n">
        <v>273782.19</v>
      </c>
      <c r="G52" s="18" t="n">
        <v>350231.29</v>
      </c>
      <c r="H52" s="9" t="n"/>
      <c r="I52" s="18" t="n">
        <v>308112.18</v>
      </c>
      <c r="J52" s="19" t="n">
        <v>354224.11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매출원가</t>
        </is>
      </c>
      <c r="E53" s="18" t="n">
        <v>226524.93</v>
      </c>
      <c r="F53" s="18" t="n">
        <v>200775.05</v>
      </c>
      <c r="G53" s="18" t="n">
        <v>246130.67</v>
      </c>
      <c r="H53" s="9" t="n"/>
      <c r="I53" s="18" t="n">
        <v>217336.54</v>
      </c>
      <c r="J53" s="19" t="n">
        <v>251362.88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매출총이익</t>
        </is>
      </c>
      <c r="E54" s="18" t="n">
        <v>69330.56</v>
      </c>
      <c r="F54" s="18" t="n">
        <v>73007.13</v>
      </c>
      <c r="G54" s="18" t="n">
        <v>104100.62</v>
      </c>
      <c r="H54" s="9" t="n"/>
      <c r="I54" s="18" t="n">
        <v>90775.64</v>
      </c>
      <c r="J54" s="19" t="n">
        <v>102861.23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판관비</t>
        </is>
      </c>
      <c r="E55" s="18" t="n">
        <v>6840.16</v>
      </c>
      <c r="F55" s="18" t="n">
        <v>6508.17</v>
      </c>
      <c r="G55" s="18" t="n">
        <v>8736.780000000001</v>
      </c>
      <c r="H55" s="9" t="n"/>
      <c r="I55" s="18" t="n">
        <v>8107.28</v>
      </c>
      <c r="J55" s="19" t="n">
        <v>7599.27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영업이익</t>
        </is>
      </c>
      <c r="E56" s="18" t="n">
        <v>62490.4</v>
      </c>
      <c r="F56" s="18" t="n">
        <v>66498.97</v>
      </c>
      <c r="G56" s="18" t="n">
        <v>95363.84</v>
      </c>
      <c r="H56" s="9" t="n"/>
      <c r="I56" s="18" t="n">
        <v>82668.36</v>
      </c>
      <c r="J56" s="19" t="n">
        <v>95261.96000000001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기타영업외수익</t>
        </is>
      </c>
      <c r="E57" s="18" t="n">
        <v>1771.33</v>
      </c>
      <c r="F57" s="18" t="n">
        <v>5567.67</v>
      </c>
      <c r="G57" s="18" t="n">
        <v>16051.88</v>
      </c>
      <c r="H57" s="9" t="n"/>
      <c r="I57" s="18" t="n">
        <v>70982.95</v>
      </c>
      <c r="J57" s="19" t="n">
        <v>36721.02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기타영업외비용</t>
        </is>
      </c>
      <c r="E58" s="18" t="n">
        <v>78200.94</v>
      </c>
      <c r="F58" s="18" t="n">
        <v>-37815.7</v>
      </c>
      <c r="G58" s="18" t="n">
        <v>-16900.44</v>
      </c>
      <c r="H58" s="9" t="n"/>
      <c r="I58" s="18" t="n">
        <v>6048.91</v>
      </c>
      <c r="J58" s="19" t="n">
        <v>2988.87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금융수익</t>
        </is>
      </c>
      <c r="E59" s="18" t="n">
        <v>76865.41</v>
      </c>
      <c r="F59" s="18" t="n">
        <v>-32134.31</v>
      </c>
      <c r="G59" s="18" t="n">
        <v>-15393.43</v>
      </c>
      <c r="H59" s="9" t="n"/>
      <c r="I59" s="18" t="n">
        <v>12175.44</v>
      </c>
      <c r="J59" s="19" t="n">
        <v>8238.07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금융비용</t>
        </is>
      </c>
      <c r="E60" s="18" t="n">
        <v>9879.639999999999</v>
      </c>
      <c r="F60" s="18" t="n">
        <v>-3082.31</v>
      </c>
      <c r="G60" s="18" t="n">
        <v>6836.07</v>
      </c>
      <c r="H60" s="9" t="n"/>
      <c r="I60" s="18" t="n">
        <v>57803.13</v>
      </c>
      <c r="J60" s="19" t="n">
        <v>33607.24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법인세비용차감전계속사업이익</t>
        </is>
      </c>
      <c r="E61" s="18" t="n">
        <v>53046.56</v>
      </c>
      <c r="F61" s="18" t="n">
        <v>80830.33</v>
      </c>
      <c r="G61" s="18" t="n">
        <v>106086.65</v>
      </c>
      <c r="H61" s="9" t="n"/>
      <c r="I61" s="18" t="n">
        <v>101974.71</v>
      </c>
      <c r="J61" s="19" t="n">
        <v>103624.94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법인세비용</t>
        </is>
      </c>
      <c r="E62" s="18" t="n">
        <v>9354.74</v>
      </c>
      <c r="F62" s="18" t="n">
        <v>14979.4</v>
      </c>
      <c r="G62" s="18" t="n">
        <v>27388.7</v>
      </c>
      <c r="H62" s="9" t="n"/>
      <c r="I62" s="18" t="n">
        <v>24563.51</v>
      </c>
      <c r="J62" s="19" t="n">
        <v>25133.14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당기순이익</t>
        </is>
      </c>
      <c r="E63" s="18" t="n">
        <v>43691.82</v>
      </c>
      <c r="F63" s="18" t="n">
        <v>65850.94</v>
      </c>
      <c r="G63" s="18" t="n">
        <v>78697.94</v>
      </c>
      <c r="H63" s="9" t="n"/>
      <c r="I63" s="18" t="n">
        <v>77411.2</v>
      </c>
      <c r="J63" s="19" t="n">
        <v>78491.8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금융손익</t>
        </is>
      </c>
      <c r="E64" s="18" t="n">
        <v>66985.77</v>
      </c>
      <c r="F64" s="18" t="n">
        <v>-29052</v>
      </c>
      <c r="G64" s="18" t="n">
        <v>-22229.5</v>
      </c>
      <c r="H64" s="9" t="n"/>
      <c r="I64" s="18" t="n">
        <v>-45627.69</v>
      </c>
      <c r="J64" s="19" t="n">
        <v>-25369.17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기타영업외손익</t>
        </is>
      </c>
      <c r="E65" s="18" t="n">
        <v>-76429.61</v>
      </c>
      <c r="F65" s="18" t="n">
        <v>43383.37</v>
      </c>
      <c r="G65" s="18" t="n">
        <v>32952.32</v>
      </c>
      <c r="H65" s="9" t="n"/>
      <c r="I65" s="18" t="n">
        <v>64934.04</v>
      </c>
      <c r="J65" s="19" t="n">
        <v>33732.15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(지배주주지분)당기순이익</t>
        </is>
      </c>
      <c r="E66" s="18" t="n">
        <v>43691.82</v>
      </c>
      <c r="F66" s="18" t="n">
        <v>65850.94</v>
      </c>
      <c r="G66" s="18" t="n">
        <v>78697.94</v>
      </c>
      <c r="H66" s="9" t="n"/>
      <c r="I66" s="18" t="n">
        <v>77411.2</v>
      </c>
      <c r="J66" s="19" t="n">
        <v>78491.8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계속사업이익</t>
        </is>
      </c>
      <c r="E67" s="18" t="n">
        <v>43691.82</v>
      </c>
      <c r="F67" s="18" t="n">
        <v>65850.94</v>
      </c>
      <c r="G67" s="18" t="n">
        <v>78697.94</v>
      </c>
      <c r="H67" s="9" t="n"/>
      <c r="I67" s="18" t="n">
        <v>77411.2</v>
      </c>
      <c r="J67" s="19" t="n">
        <v>78491.8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총포괄손익</t>
        </is>
      </c>
      <c r="E68" s="18" t="n">
        <v>43690.03</v>
      </c>
      <c r="F68" s="18" t="n">
        <v>65831.81</v>
      </c>
      <c r="G68" s="18" t="n">
        <v>77922.03</v>
      </c>
      <c r="H68" s="9" t="n"/>
      <c r="I68" s="18" t="n">
        <v>77433.02</v>
      </c>
      <c r="J68" s="19" t="n">
        <v>78461.32000000001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영업활동으로인한현금흐름</t>
        </is>
      </c>
      <c r="E69" s="18" t="n">
        <v>42580.47</v>
      </c>
      <c r="F69" s="18" t="n">
        <v>-1011.08</v>
      </c>
      <c r="G69" s="18" t="n">
        <v>-13146.8</v>
      </c>
      <c r="H69" s="9" t="n"/>
      <c r="I69" s="18" t="n">
        <v>118456.02</v>
      </c>
      <c r="J69" s="19" t="n">
        <v>169098.03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이자수취(CF)</t>
        </is>
      </c>
      <c r="E70" s="18" t="n">
        <v>2258.45</v>
      </c>
      <c r="F70" s="18" t="n">
        <v>1866.47</v>
      </c>
      <c r="G70" s="18" t="n">
        <v>1454.39</v>
      </c>
      <c r="H70" s="9" t="n"/>
      <c r="I70" s="18" t="n">
        <v>1669.94</v>
      </c>
      <c r="J70" s="19" t="n">
        <v>1721.32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이자지급(CF)</t>
        </is>
      </c>
      <c r="E71" s="18" t="n">
        <v>-4172.35</v>
      </c>
      <c r="F71" s="18" t="n">
        <v>-2978.26</v>
      </c>
      <c r="G71" s="18" t="n">
        <v>-202.05</v>
      </c>
      <c r="H71" s="9" t="n"/>
      <c r="I71" s="18" t="n">
        <v>-6.35</v>
      </c>
      <c r="J71" s="19" t="n">
        <v>-5.8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법인세납부(CF)</t>
        </is>
      </c>
      <c r="E72" s="18" t="n">
        <v>-3007.12</v>
      </c>
      <c r="F72" s="18" t="n">
        <v>-2288.95</v>
      </c>
      <c r="G72" s="18" t="n">
        <v>-503.47</v>
      </c>
      <c r="H72" s="9" t="n"/>
      <c r="I72" s="18" t="n">
        <v>-7573.92</v>
      </c>
      <c r="J72" s="19" t="n">
        <v>-15296.48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투자활동으로인한현금흐름</t>
        </is>
      </c>
      <c r="E73" s="18" t="n">
        <v>6026.22</v>
      </c>
      <c r="F73" s="18" t="n">
        <v>-273488.48</v>
      </c>
      <c r="G73" s="18" t="n">
        <v>-47303.91</v>
      </c>
      <c r="H73" s="9" t="n"/>
      <c r="I73" s="18" t="n">
        <v>-24329.67</v>
      </c>
      <c r="J73" s="19" t="n">
        <v>-114458.55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유형자산의감소</t>
        </is>
      </c>
      <c r="E74" s="18" t="n">
        <v>0</v>
      </c>
      <c r="F74" s="18" t="n">
        <v>11.18</v>
      </c>
      <c r="G74" s="18" t="n">
        <v>138.43</v>
      </c>
      <c r="H74" s="9" t="n"/>
      <c r="I74" s="18" t="n">
        <v>120</v>
      </c>
      <c r="J74" s="19" t="n">
        <v>6.94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유형자산의증가</t>
        </is>
      </c>
      <c r="E75" s="18" t="n">
        <v>2749.83</v>
      </c>
      <c r="F75" s="18" t="n">
        <v>3523.48</v>
      </c>
      <c r="G75" s="18" t="n">
        <v>1817.18</v>
      </c>
      <c r="H75" s="9" t="n"/>
      <c r="I75" s="18" t="n">
        <v>1575.39</v>
      </c>
      <c r="J75" s="19" t="n">
        <v>5366.63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CAPEX</t>
        </is>
      </c>
      <c r="E76" s="18" t="n">
        <v>2749.83</v>
      </c>
      <c r="F76" s="18" t="n">
        <v>3530.98</v>
      </c>
      <c r="G76" s="18" t="n">
        <v>1992.18</v>
      </c>
      <c r="H76" s="9" t="n"/>
      <c r="I76" s="18" t="n">
        <v>1579.55</v>
      </c>
      <c r="J76" s="19" t="n">
        <v>6189.03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무형자산의증가</t>
        </is>
      </c>
      <c r="E77" s="18" t="n">
        <v>0</v>
      </c>
      <c r="F77" s="18" t="n">
        <v>7.5</v>
      </c>
      <c r="G77" s="18" t="n">
        <v>175</v>
      </c>
      <c r="H77" s="9" t="n"/>
      <c r="I77" s="18" t="n">
        <v>4.16</v>
      </c>
      <c r="J77" s="19" t="n">
        <v>822.4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재무활동으로인한현금흐름</t>
        </is>
      </c>
      <c r="E78" s="18" t="n">
        <v>-35478.63</v>
      </c>
      <c r="F78" s="18" t="n">
        <v>188321.79</v>
      </c>
      <c r="G78" s="18" t="n">
        <v>-23696.36</v>
      </c>
      <c r="H78" s="9" t="n"/>
      <c r="I78" s="18" t="n">
        <v>-25927.93</v>
      </c>
      <c r="J78" s="19" t="n">
        <v>-23790.57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단기차입금의증가</t>
        </is>
      </c>
      <c r="E79" s="18" t="n">
        <v>126468.73</v>
      </c>
      <c r="F79" s="18" t="n">
        <v>69339.03</v>
      </c>
      <c r="G79" s="18" t="n">
        <v>20859.87</v>
      </c>
      <c r="H79" s="9" t="n"/>
      <c r="I79" s="18" t="n">
        <v>58.26</v>
      </c>
      <c r="J79" s="19" t="n">
        <v>0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단기차입금의감소</t>
        </is>
      </c>
      <c r="E80" s="18" t="n">
        <v>161905.38</v>
      </c>
      <c r="F80" s="18" t="n">
        <v>234849.35</v>
      </c>
      <c r="G80" s="18" t="n">
        <v>44512.19</v>
      </c>
      <c r="H80" s="9" t="n"/>
      <c r="I80" s="18" t="n">
        <v>58.26</v>
      </c>
      <c r="J80" s="19" t="n">
        <v>0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리스부채의상환</t>
        </is>
      </c>
      <c r="E81" s="18" t="n">
        <v>41.98</v>
      </c>
      <c r="F81" s="18" t="n">
        <v>82.08</v>
      </c>
      <c r="G81" s="18" t="n">
        <v>44.04</v>
      </c>
      <c r="H81" s="9" t="n"/>
      <c r="I81" s="18" t="n">
        <v>44.91</v>
      </c>
      <c r="J81" s="19" t="n">
        <v>42.05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현금및현금성자산의증감</t>
        </is>
      </c>
      <c r="E82" s="18" t="n">
        <v>651.25</v>
      </c>
      <c r="F82" s="18" t="n">
        <v>-79479.17999999999</v>
      </c>
      <c r="G82" s="18" t="n">
        <v>-81623.12</v>
      </c>
      <c r="H82" s="9" t="n"/>
      <c r="I82" s="18" t="n">
        <v>74764.46000000001</v>
      </c>
      <c r="J82" s="19" t="n">
        <v>33333.68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기말현금및현금성자산</t>
        </is>
      </c>
      <c r="E83" s="18" t="n">
        <v>651.25</v>
      </c>
      <c r="F83" s="18" t="n">
        <v>-79479.17999999999</v>
      </c>
      <c r="G83" s="18" t="n">
        <v>-81623.12</v>
      </c>
      <c r="H83" s="9" t="n"/>
      <c r="I83" s="18" t="n">
        <v>289943.57</v>
      </c>
      <c r="J83" s="19" t="n">
        <v>33333.67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4" t="n"/>
      <c r="I5" s="18">
        <f>IFERROR(VLOOKUP($D5,BS연결,MATCH(I$1,BS연결H,0),0)/100,"")</f>
        <v/>
      </c>
      <c r="J5" s="19">
        <f>IFERROR(VLOOKUP($D5,BS연결,MATCH(J$1,BS연결H,0),0)/100,"")</f>
        <v/>
      </c>
      <c r="K5" s="20">
        <f>IFERROR(F5*(1+변수!K21),"")</f>
        <v/>
      </c>
      <c r="L5" s="20">
        <f>IFERROR(G5*(1+변수!L21),"")</f>
        <v/>
      </c>
      <c r="M5" s="35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5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5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4" t="n"/>
      <c r="I6" s="18">
        <f>IFERROR(VLOOKUP($D6,BS연결,MATCH(I$1,BS연결H,0),0)/100,"")</f>
        <v/>
      </c>
      <c r="J6" s="19">
        <f>IFERROR(VLOOKUP($D6,BS연결,MATCH(J$1,BS연결H,0),0)/100,"")</f>
        <v/>
      </c>
      <c r="K6" s="20">
        <f>IFERROR(K5-K7,"")</f>
        <v/>
      </c>
      <c r="L6" s="20">
        <f>IFERROR(L5-L7,"")</f>
        <v/>
      </c>
      <c r="M6" s="35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5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5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4" t="n"/>
      <c r="I7" s="18">
        <f>IFERROR(VLOOKUP($D7,BS연결,MATCH(I$1,BS연결H,0),0)/100,"")</f>
        <v/>
      </c>
      <c r="J7" s="19">
        <f>IFERROR(VLOOKUP($D7,BS연결,MATCH(J$1,BS연결H,0),0)/100,"")</f>
        <v/>
      </c>
      <c r="K7" s="20">
        <f>IFERROR(K9+K8,"")</f>
        <v/>
      </c>
      <c r="L7" s="20">
        <f>IFERROR(L9+L8,"")</f>
        <v/>
      </c>
      <c r="M7" s="35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5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5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4" t="n"/>
      <c r="I8" s="18">
        <f>IFERROR(VLOOKUP($D8,BS연결,MATCH(I$1,BS연결H,0),0)/100,"")</f>
        <v/>
      </c>
      <c r="J8" s="19">
        <f>IFERROR(VLOOKUP($D8,BS연결,MATCH(J$1,BS연결H,0),0)/100,"")</f>
        <v/>
      </c>
      <c r="K8" s="20">
        <f>IFERROR(K5*변수!K22,"")</f>
        <v/>
      </c>
      <c r="L8" s="20">
        <f>IFERROR(L5*변수!L22,"")</f>
        <v/>
      </c>
      <c r="M8" s="35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5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5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4" t="n"/>
      <c r="I9" s="18">
        <f>IFERROR(VLOOKUP($D9,BS연결,MATCH(I$1,BS연결H,0),0)/100,"")</f>
        <v/>
      </c>
      <c r="J9" s="19">
        <f>IFERROR(VLOOKUP($D9,BS연결,MATCH(J$1,BS연결H,0),0)/100,"")</f>
        <v/>
      </c>
      <c r="K9" s="20">
        <f>IFERROR(K5*변수!K23,"")</f>
        <v/>
      </c>
      <c r="L9" s="20">
        <f>IFERROR(L5*변수!L23,"")</f>
        <v/>
      </c>
      <c r="M9" s="35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5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5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0.211</v>
      </c>
      <c r="F10" s="18" t="n">
        <v>0.2427</v>
      </c>
      <c r="G10" s="18" t="n">
        <v>0.2721</v>
      </c>
      <c r="H10" s="34" t="n"/>
      <c r="I10" s="18" t="n">
        <v>0.2681</v>
      </c>
      <c r="J10" s="19" t="n">
        <v>0.2687</v>
      </c>
      <c r="K10" s="20">
        <f>IFERROR(F10*(1+변수!K24),"")</f>
        <v/>
      </c>
      <c r="L10" s="20">
        <f>IFERROR(G10*(1+변수!L24),"")</f>
        <v/>
      </c>
      <c r="M10" s="35">
        <f>SUM(I10:L10)</f>
        <v/>
      </c>
      <c r="N10" s="20">
        <f>IFERROR(I10*(1+변수!N24),"")</f>
        <v/>
      </c>
      <c r="O10" s="20">
        <f>IFERROR(J10*(1+변수!O24),"")</f>
        <v/>
      </c>
      <c r="P10" s="20">
        <f>IFERROR(K10*(1+변수!P24),"")</f>
        <v/>
      </c>
      <c r="Q10" s="20">
        <f>IFERROR(L10*(1+변수!Q24),"")</f>
        <v/>
      </c>
      <c r="R10" s="35">
        <f>SUM(N10:Q10)</f>
        <v/>
      </c>
      <c r="S10" s="20">
        <f>IFERROR(N10*(1+변수!S24),"")</f>
        <v/>
      </c>
      <c r="T10" s="20">
        <f>IFERROR(O10*(1+변수!T24),"")</f>
        <v/>
      </c>
      <c r="U10" s="20">
        <f>IFERROR(P10*(1+변수!U24),"")</f>
        <v/>
      </c>
      <c r="V10" s="20">
        <f>IFERROR(Q10*(1+변수!V24),"")</f>
        <v/>
      </c>
      <c r="W10" s="35">
        <f>SUM(S10:V10)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4" t="n"/>
      <c r="I11" s="18">
        <f>IFERROR(VLOOKUP($D11,BS연결,MATCH(I$1,BS연결H,0),0)/100,"")</f>
        <v/>
      </c>
      <c r="J11" s="19">
        <f>IFERROR(VLOOKUP($D11,BS연결,MATCH(J$1,BS연결H,0),0)/100,"")</f>
        <v/>
      </c>
      <c r="K11" s="20">
        <f>변수!K25</f>
        <v/>
      </c>
      <c r="L11" s="20">
        <f>변수!L25</f>
        <v/>
      </c>
      <c r="M11" s="35">
        <f>SUM(I11:L11)</f>
        <v/>
      </c>
      <c r="N11" s="20">
        <f>변수!N25</f>
        <v/>
      </c>
      <c r="O11" s="20">
        <f>변수!O25</f>
        <v/>
      </c>
      <c r="P11" s="20">
        <f>변수!P25</f>
        <v/>
      </c>
      <c r="Q11" s="20">
        <f>변수!Q25</f>
        <v/>
      </c>
      <c r="R11" s="35">
        <f>SUM(N11:Q11)</f>
        <v/>
      </c>
      <c r="S11" s="20">
        <f>변수!S25</f>
        <v/>
      </c>
      <c r="T11" s="20">
        <f>변수!T25</f>
        <v/>
      </c>
      <c r="U11" s="20">
        <f>변수!U25</f>
        <v/>
      </c>
      <c r="V11" s="20">
        <f>변수!V25</f>
        <v/>
      </c>
      <c r="W11" s="35">
        <f>SUM(S11:V11)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4" t="n"/>
      <c r="I12" s="18">
        <f>IFERROR(VLOOKUP($D12,BS연결,MATCH(I$1,BS연결H,0),0)/100,"")</f>
        <v/>
      </c>
      <c r="J12" s="19">
        <f>IFERROR(VLOOKUP($D12,BS연결,MATCH(J$1,BS연결H,0),0)/100,"")</f>
        <v/>
      </c>
      <c r="K12" s="20">
        <f>변수!K26</f>
        <v/>
      </c>
      <c r="L12" s="20">
        <f>변수!L26</f>
        <v/>
      </c>
      <c r="M12" s="35">
        <f>SUM(I12:L12)</f>
        <v/>
      </c>
      <c r="N12" s="20">
        <f>변수!N26</f>
        <v/>
      </c>
      <c r="O12" s="20">
        <f>변수!O26</f>
        <v/>
      </c>
      <c r="P12" s="20">
        <f>변수!P26</f>
        <v/>
      </c>
      <c r="Q12" s="20">
        <f>변수!Q26</f>
        <v/>
      </c>
      <c r="R12" s="35">
        <f>SUM(N12:Q12)</f>
        <v/>
      </c>
      <c r="S12" s="20">
        <f>변수!S26</f>
        <v/>
      </c>
      <c r="T12" s="20">
        <f>변수!T26</f>
        <v/>
      </c>
      <c r="U12" s="20">
        <f>변수!U26</f>
        <v/>
      </c>
      <c r="V12" s="20">
        <f>변수!V26</f>
        <v/>
      </c>
      <c r="W12" s="35">
        <f>SUM(S12:V12)</f>
        <v/>
      </c>
    </row>
    <row r="13">
      <c r="A13" s="12" t="inlineStr">
        <is>
          <t>환관련손익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환관련손익(모델 추정분)</t>
        </is>
      </c>
      <c r="E13" s="18" t="n"/>
      <c r="F13" s="18" t="n"/>
      <c r="G13" s="18" t="n"/>
      <c r="H13" s="34" t="n"/>
      <c r="I13" s="18" t="n"/>
      <c r="J13" s="19" t="n"/>
      <c r="K13" s="20">
        <f>변수!K27</f>
        <v/>
      </c>
      <c r="L13" s="20">
        <f>변수!L27</f>
        <v/>
      </c>
      <c r="M13" s="35">
        <f>SUM(I13:L13)</f>
        <v/>
      </c>
      <c r="N13" s="20">
        <f>변수!N27</f>
        <v/>
      </c>
      <c r="O13" s="20">
        <f>변수!O27</f>
        <v/>
      </c>
      <c r="P13" s="20">
        <f>변수!P27</f>
        <v/>
      </c>
      <c r="Q13" s="20">
        <f>변수!Q27</f>
        <v/>
      </c>
      <c r="R13" s="35">
        <f>SUM(N13:Q13)</f>
        <v/>
      </c>
      <c r="S13" s="20">
        <f>변수!S27</f>
        <v/>
      </c>
      <c r="T13" s="20">
        <f>변수!T27</f>
        <v/>
      </c>
      <c r="U13" s="20">
        <f>변수!U27</f>
        <v/>
      </c>
      <c r="V13" s="20">
        <f>변수!V27</f>
        <v/>
      </c>
      <c r="W13" s="35">
        <f>SUM(S13:V13)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18">
        <f>IFERROR(VLOOKUP($D14,BS연결,MATCH(F$1,BS연결H,0),0)/100,"")</f>
        <v/>
      </c>
      <c r="G14" s="18">
        <f>IFERROR(VLOOKUP($D14,BS연결,MATCH(G$1,BS연결H,0),0)/100,"")</f>
        <v/>
      </c>
      <c r="H14" s="34" t="n"/>
      <c r="I14" s="18">
        <f>IFERROR(VLOOKUP($D14,BS연결,MATCH(I$1,BS연결H,0),0)/100,"")</f>
        <v/>
      </c>
      <c r="J14" s="19">
        <f>IFERROR(VLOOKUP($D14,BS연결,MATCH(J$1,BS연결H,0),0)/100,"")</f>
        <v/>
      </c>
      <c r="K14" s="20">
        <f>IFERROR(K9+K11+K12+K13,"")</f>
        <v/>
      </c>
      <c r="L14" s="20">
        <f>IFERROR(L9+L11+L12+L13,"")</f>
        <v/>
      </c>
      <c r="M14" s="35">
        <f>SUM(I14:L14)</f>
        <v/>
      </c>
      <c r="N14" s="20">
        <f>IFERROR(N9+N11+N12+N13,"")</f>
        <v/>
      </c>
      <c r="O14" s="20">
        <f>IFERROR(O9+O11+O12+O13,"")</f>
        <v/>
      </c>
      <c r="P14" s="20">
        <f>IFERROR(P9+P11+P12+P13,"")</f>
        <v/>
      </c>
      <c r="Q14" s="20">
        <f>IFERROR(Q9+Q11+Q12+Q13,"")</f>
        <v/>
      </c>
      <c r="R14" s="35">
        <f>SUM(N14:Q14)</f>
        <v/>
      </c>
      <c r="S14" s="20">
        <f>IFERROR(S9+S11+S12+S13,"")</f>
        <v/>
      </c>
      <c r="T14" s="20">
        <f>IFERROR(T9+T11+T12+T13,"")</f>
        <v/>
      </c>
      <c r="U14" s="20">
        <f>IFERROR(U9+U11+U12+U13,"")</f>
        <v/>
      </c>
      <c r="V14" s="20">
        <f>IFERROR(V9+V11+V12+V13,"")</f>
        <v/>
      </c>
      <c r="W14" s="35">
        <f>SUM(S14:V14)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18">
        <f>IFERROR(VLOOKUP($D15,BS연결,MATCH(F$1,BS연결H,0),0)/100,"")</f>
        <v/>
      </c>
      <c r="G15" s="18">
        <f>IFERROR(VLOOKUP($D15,BS연결,MATCH(G$1,BS연결H,0),0)/100,"")</f>
        <v/>
      </c>
      <c r="H15" s="34" t="n"/>
      <c r="I15" s="18">
        <f>IFERROR(VLOOKUP($D15,BS연결,MATCH(I$1,BS연결H,0),0)/100,"")</f>
        <v/>
      </c>
      <c r="J15" s="19">
        <f>IFERROR(VLOOKUP($D15,BS연결,MATCH(J$1,BS연결H,0),0)/100,"")</f>
        <v/>
      </c>
      <c r="K15" s="20">
        <f>IFERROR(K14*변수!K28,"")</f>
        <v/>
      </c>
      <c r="L15" s="20">
        <f>IFERROR(L14*변수!L28,"")</f>
        <v/>
      </c>
      <c r="M15" s="35">
        <f>SUM(I15:L15)</f>
        <v/>
      </c>
      <c r="N15" s="20">
        <f>IFERROR(N14*변수!N28,"")</f>
        <v/>
      </c>
      <c r="O15" s="20">
        <f>IFERROR(O14*변수!O28,"")</f>
        <v/>
      </c>
      <c r="P15" s="20">
        <f>IFERROR(P14*변수!P28,"")</f>
        <v/>
      </c>
      <c r="Q15" s="20">
        <f>IFERROR(Q14*변수!Q28,"")</f>
        <v/>
      </c>
      <c r="R15" s="35">
        <f>SUM(N15:Q15)</f>
        <v/>
      </c>
      <c r="S15" s="20">
        <f>IFERROR(S14*변수!S28,"")</f>
        <v/>
      </c>
      <c r="T15" s="20">
        <f>IFERROR(T14*변수!T28,"")</f>
        <v/>
      </c>
      <c r="U15" s="20">
        <f>IFERROR(U14*변수!U28,"")</f>
        <v/>
      </c>
      <c r="V15" s="20">
        <f>IFERROR(V14*변수!V28,"")</f>
        <v/>
      </c>
      <c r="W15" s="35">
        <f>SUM(S15:V15)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4" t="n"/>
      <c r="I16" s="18">
        <f>IFERROR(VLOOKUP($D16,BS연결,MATCH(I$1,BS연결H,0),0)/100,"")</f>
        <v/>
      </c>
      <c r="J16" s="19">
        <f>IFERROR(VLOOKUP($D16,BS연결,MATCH(J$1,BS연결H,0),0)/100,"")</f>
        <v/>
      </c>
      <c r="K16" s="20">
        <f>IFERROR(K14-K15,"")</f>
        <v/>
      </c>
      <c r="L16" s="20">
        <f>IFERROR(L14-L15,"")</f>
        <v/>
      </c>
      <c r="M16" s="35">
        <f>SUM(I16:L16)</f>
        <v/>
      </c>
      <c r="N16" s="20">
        <f>IFERROR(N14-N15,"")</f>
        <v/>
      </c>
      <c r="O16" s="20">
        <f>IFERROR(O14-O15,"")</f>
        <v/>
      </c>
      <c r="P16" s="20">
        <f>IFERROR(P14-P15,"")</f>
        <v/>
      </c>
      <c r="Q16" s="20">
        <f>IFERROR(Q14-Q15,"")</f>
        <v/>
      </c>
      <c r="R16" s="35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5">
        <f>SUM(S16:V16)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18">
        <f>IFERROR(VLOOKUP($D17,BS연결,MATCH(G$1,BS연결H,0),0)/100,"")</f>
        <v/>
      </c>
      <c r="H17" s="34" t="n"/>
      <c r="I17" s="18">
        <f>IFERROR(VLOOKUP($D17,BS연결,MATCH(I$1,BS연결H,0),0)/100,"")</f>
        <v/>
      </c>
      <c r="J17" s="19">
        <f>IFERROR(VLOOKUP($D17,BS연결,MATCH(J$1,BS연결H,0),0)/100,"")</f>
        <v/>
      </c>
      <c r="K17" s="20">
        <f>IFERROR(K16*변수!K29,"")</f>
        <v/>
      </c>
      <c r="L17" s="20">
        <f>IFERROR(L16*변수!L29,"")</f>
        <v/>
      </c>
      <c r="M17" s="35">
        <f>SUM(I17:L17)</f>
        <v/>
      </c>
      <c r="N17" s="20">
        <f>IFERROR(N16*변수!N29,"")</f>
        <v/>
      </c>
      <c r="O17" s="20">
        <f>IFERROR(O16*변수!O29,"")</f>
        <v/>
      </c>
      <c r="P17" s="20">
        <f>IFERROR(P16*변수!P29,"")</f>
        <v/>
      </c>
      <c r="Q17" s="20">
        <f>IFERROR(Q16*변수!Q29,"")</f>
        <v/>
      </c>
      <c r="R17" s="35">
        <f>SUM(N17:Q17)</f>
        <v/>
      </c>
      <c r="S17" s="20">
        <f>IFERROR(S16*변수!S29,"")</f>
        <v/>
      </c>
      <c r="T17" s="20">
        <f>IFERROR(T16*변수!T29,"")</f>
        <v/>
      </c>
      <c r="U17" s="20">
        <f>IFERROR(U16*변수!U29,"")</f>
        <v/>
      </c>
      <c r="V17" s="20">
        <f>IFERROR(V16*변수!V29,"")</f>
        <v/>
      </c>
      <c r="W17" s="35">
        <f>SUM(S17:V17)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4">
        <f>IFERROR(VLOOKUP($D18,BS연결,MATCH(H$1,BS연결H,0),0)/100,"")</f>
        <v/>
      </c>
      <c r="I18" s="18">
        <f>IFERROR(VLOOKUP($D18,BS연결,MATCH(I$1,BS연결H,0),0)/100,"")</f>
        <v/>
      </c>
      <c r="J18" s="19">
        <f>IFERROR(VLOOKUP($D18,BS연결,MATCH(J$1,BS연결H,0),0)/100,"")</f>
        <v/>
      </c>
      <c r="K18" s="20">
        <f>IFERROR(K19+K20,"")</f>
        <v/>
      </c>
      <c r="L18" s="20">
        <f>IFERROR(L19+L20,"")</f>
        <v/>
      </c>
      <c r="M18" s="35">
        <f>L18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20">
        <f>IFERROR(Q19+Q20,"")</f>
        <v/>
      </c>
      <c r="R18" s="35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5">
        <f>V18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4">
        <f>IFERROR(VLOOKUP($D19,BS연결,MATCH(H$1,BS연결H,0),0)/100,"")</f>
        <v/>
      </c>
      <c r="I19" s="18">
        <f>IFERROR(VLOOKUP($D19,BS연결,MATCH(I$1,BS연결H,0),0)/100,"")</f>
        <v/>
      </c>
      <c r="J19" s="19">
        <f>IFERROR(VLOOKUP($D19,BS연결,MATCH(J$1,BS연결H,0),0)/100,"")</f>
        <v/>
      </c>
      <c r="K19" s="20">
        <f>IFERROR(J19*(1+변수!K30),"")</f>
        <v/>
      </c>
      <c r="L19" s="20">
        <f>IFERROR(K19*(1+변수!L30),"")</f>
        <v/>
      </c>
      <c r="M19" s="35">
        <f>L19</f>
        <v/>
      </c>
      <c r="N19" s="20">
        <f>IFERROR(L19*(1+변수!N30),"")</f>
        <v/>
      </c>
      <c r="O19" s="20">
        <f>IFERROR(N19*(1+변수!O30),"")</f>
        <v/>
      </c>
      <c r="P19" s="20">
        <f>IFERROR(O19*(1+변수!P30),"")</f>
        <v/>
      </c>
      <c r="Q19" s="20">
        <f>IFERROR(P19*(1+변수!Q30),"")</f>
        <v/>
      </c>
      <c r="R19" s="35">
        <f>Q19</f>
        <v/>
      </c>
      <c r="S19" s="20">
        <f>IFERROR(Q19*(1+변수!S30),"")</f>
        <v/>
      </c>
      <c r="T19" s="20">
        <f>IFERROR(S19*(1+변수!T30),"")</f>
        <v/>
      </c>
      <c r="U19" s="20">
        <f>IFERROR(T19*(1+변수!U30),"")</f>
        <v/>
      </c>
      <c r="V19" s="20">
        <f>IFERROR(U19*(1+변수!V30),"")</f>
        <v/>
      </c>
      <c r="W19" s="35">
        <f>V19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4">
        <f>IFERROR(VLOOKUP($D20,BS연결,MATCH(H$1,BS연결H,0),0)/100,"")</f>
        <v/>
      </c>
      <c r="I20" s="18">
        <f>IFERROR(VLOOKUP($D20,BS연결,MATCH(I$1,BS연결H,0),0)/100,"")</f>
        <v/>
      </c>
      <c r="J20" s="19">
        <f>IFERROR(VLOOKUP($D20,BS연결,MATCH(J$1,BS연결H,0),0)/100,"")</f>
        <v/>
      </c>
      <c r="K20" s="20">
        <f>IFERROR(J20+K16-변수!K31,"")</f>
        <v/>
      </c>
      <c r="L20" s="20">
        <f>IFERROR(K20+L16-변수!L31,"")</f>
        <v/>
      </c>
      <c r="M20" s="35">
        <f>L20</f>
        <v/>
      </c>
      <c r="N20" s="20">
        <f>IFERROR(L20+N16-변수!N31,"")</f>
        <v/>
      </c>
      <c r="O20" s="20">
        <f>IFERROR(N20+O16-변수!O31,"")</f>
        <v/>
      </c>
      <c r="P20" s="20">
        <f>IFERROR(O20+P16-변수!P31,"")</f>
        <v/>
      </c>
      <c r="Q20" s="20">
        <f>IFERROR(P20+Q16-변수!Q31,"")</f>
        <v/>
      </c>
      <c r="R20" s="35">
        <f>Q20</f>
        <v/>
      </c>
      <c r="S20" s="20">
        <f>IFERROR(Q20+S16-변수!S31,"")</f>
        <v/>
      </c>
      <c r="T20" s="20">
        <f>IFERROR(S20+T16-변수!T31,"")</f>
        <v/>
      </c>
      <c r="U20" s="20">
        <f>IFERROR(T20+U16-변수!U31,"")</f>
        <v/>
      </c>
      <c r="V20" s="20">
        <f>IFERROR(U20+V16-변수!V31,"")</f>
        <v/>
      </c>
      <c r="W20" s="35">
        <f>V20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4">
        <f>IFERROR(VLOOKUP($D21,BS연결,MATCH(H$1,BS연결H,0),0)/100,"")</f>
        <v/>
      </c>
      <c r="I21" s="18">
        <f>IFERROR(VLOOKUP($D21,BS연결,MATCH(I$1,BS연결H,0),0)/100,"")</f>
        <v/>
      </c>
      <c r="J21" s="19">
        <f>IFERROR(VLOOKUP($D21,BS연결,MATCH(J$1,BS연결H,0),0)/100,"")</f>
        <v/>
      </c>
      <c r="K21" s="20">
        <f>IFERROR(J21+K17-변수!K32,"")</f>
        <v/>
      </c>
      <c r="L21" s="20">
        <f>IFERROR(K21+L17-변수!L32,"")</f>
        <v/>
      </c>
      <c r="M21" s="35">
        <f>L21</f>
        <v/>
      </c>
      <c r="N21" s="20">
        <f>IFERROR(L21+N17-변수!N32,"")</f>
        <v/>
      </c>
      <c r="O21" s="20">
        <f>IFERROR(N21+O17-변수!O32,"")</f>
        <v/>
      </c>
      <c r="P21" s="20">
        <f>IFERROR(O21+P17-변수!P32,"")</f>
        <v/>
      </c>
      <c r="Q21" s="20">
        <f>IFERROR(P21+Q17-변수!Q32,"")</f>
        <v/>
      </c>
      <c r="R21" s="35">
        <f>Q21</f>
        <v/>
      </c>
      <c r="S21" s="20">
        <f>IFERROR(Q21+S17-변수!S32,"")</f>
        <v/>
      </c>
      <c r="T21" s="20">
        <f>IFERROR(S21+T17-변수!T32,"")</f>
        <v/>
      </c>
      <c r="U21" s="20">
        <f>IFERROR(T21+U17-변수!U32,"")</f>
        <v/>
      </c>
      <c r="V21" s="20">
        <f>IFERROR(U21+V17-변수!V32,"")</f>
        <v/>
      </c>
      <c r="W21" s="35">
        <f>V21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 t="n"/>
      <c r="H22" s="34">
        <f>G22</f>
        <v/>
      </c>
      <c r="I22" s="18" t="n"/>
      <c r="J22" s="19" t="n"/>
      <c r="K22" s="20" t="n"/>
      <c r="L22" s="20" t="n"/>
      <c r="M22" s="35">
        <f>L22</f>
        <v/>
      </c>
      <c r="N22" s="20" t="n"/>
      <c r="O22" s="20" t="n"/>
      <c r="P22" s="20" t="n"/>
      <c r="Q22" s="20" t="n"/>
      <c r="R22" s="35">
        <f>Q22</f>
        <v/>
      </c>
      <c r="S22" s="20" t="n"/>
      <c r="T22" s="20" t="n"/>
      <c r="U22" s="20" t="n"/>
      <c r="V22" s="20" t="n"/>
      <c r="W22" s="35">
        <f>V22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 t="n"/>
      <c r="H23" s="34">
        <f>G23</f>
        <v/>
      </c>
      <c r="I23" s="18" t="n"/>
      <c r="J23" s="19" t="n"/>
      <c r="K23" s="20" t="n"/>
      <c r="L23" s="20" t="n"/>
      <c r="M23" s="35">
        <f>L23</f>
        <v/>
      </c>
      <c r="N23" s="20" t="n"/>
      <c r="O23" s="20" t="n"/>
      <c r="P23" s="20" t="n"/>
      <c r="Q23" s="20" t="n"/>
      <c r="R23" s="35">
        <f>Q23</f>
        <v/>
      </c>
      <c r="S23" s="20" t="n"/>
      <c r="T23" s="20" t="n"/>
      <c r="U23" s="20" t="n"/>
      <c r="V23" s="20" t="n"/>
      <c r="W23" s="35">
        <f>V23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4">
        <f>IFERROR(VLOOKUP($D24,BS연결,MATCH(H$1,BS연결H,0),0)/100,"")</f>
        <v/>
      </c>
      <c r="I24" s="18">
        <f>IFERROR(VLOOKUP($D24,BS연결,MATCH(I$1,BS연결H,0),0)/100,"")</f>
        <v/>
      </c>
      <c r="J24" s="19">
        <f>IFERROR(VLOOKUP($D24,BS연결,MATCH(J$1,BS연결H,0),0)/100,"")</f>
        <v/>
      </c>
      <c r="K24" s="20">
        <f>IFERROR(J24*(1+변수!K35),"")</f>
        <v/>
      </c>
      <c r="L24" s="20">
        <f>IFERROR(K24*(1+변수!L35),"")</f>
        <v/>
      </c>
      <c r="M24" s="35">
        <f>L24</f>
        <v/>
      </c>
      <c r="N24" s="20">
        <f>IFERROR(L24*(1+변수!N35),"")</f>
        <v/>
      </c>
      <c r="O24" s="20">
        <f>IFERROR(N24*(1+변수!O35),"")</f>
        <v/>
      </c>
      <c r="P24" s="20">
        <f>IFERROR(O24*(1+변수!P35),"")</f>
        <v/>
      </c>
      <c r="Q24" s="20">
        <f>IFERROR(P24*(1+변수!Q35),"")</f>
        <v/>
      </c>
      <c r="R24" s="35">
        <f>Q24</f>
        <v/>
      </c>
      <c r="S24" s="20">
        <f>IFERROR(Q24*(1+변수!S35),"")</f>
        <v/>
      </c>
      <c r="T24" s="20">
        <f>IFERROR(S24*(1+변수!T35),"")</f>
        <v/>
      </c>
      <c r="U24" s="20">
        <f>IFERROR(T24*(1+변수!U35),"")</f>
        <v/>
      </c>
      <c r="V24" s="20">
        <f>IFERROR(U24*(1+변수!V35),"")</f>
        <v/>
      </c>
      <c r="W24" s="35">
        <f>V24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4">
        <f>IFERROR(VLOOKUP($D25,BS연결,MATCH(H$1,BS연결H,0),0)/100,"")</f>
        <v/>
      </c>
      <c r="I25" s="18">
        <f>IFERROR(VLOOKUP($D25,BS연결,MATCH(I$1,BS연결H,0),0)/100,"")</f>
        <v/>
      </c>
      <c r="J25" s="19">
        <f>IFERROR(VLOOKUP($D25,BS연결,MATCH(J$1,BS연결H,0),0)/100,"")</f>
        <v/>
      </c>
      <c r="K25" s="20" t="n"/>
      <c r="L25" s="20" t="n"/>
      <c r="M25" s="35">
        <f>L25</f>
        <v/>
      </c>
      <c r="N25" s="20" t="n"/>
      <c r="O25" s="20" t="n"/>
      <c r="P25" s="20" t="n"/>
      <c r="Q25" s="20" t="n"/>
      <c r="R25" s="35">
        <f>Q25</f>
        <v/>
      </c>
      <c r="S25" s="20" t="n"/>
      <c r="T25" s="20" t="n"/>
      <c r="U25" s="20" t="n"/>
      <c r="V25" s="20" t="n"/>
      <c r="W25" s="35">
        <f>V25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>
        <f>IFERROR(VLOOKUP($D26,BS연결,MATCH(G$1,BS연결H,0),0)/100,"")</f>
        <v/>
      </c>
      <c r="H26" s="34" t="n"/>
      <c r="I26" s="18">
        <f>IFERROR(VLOOKUP($D26,BS연결,MATCH(I$1,BS연결H,0),0)/100,"")</f>
        <v/>
      </c>
      <c r="J26" s="19">
        <f>IFERROR(VLOOKUP($D26,BS연결,MATCH(J$1,BS연결H,0),0)/100,"")</f>
        <v/>
      </c>
      <c r="K26" s="20" t="n"/>
      <c r="L26" s="20" t="n"/>
      <c r="M26" s="35">
        <f>SUM(I26:L26)</f>
        <v/>
      </c>
      <c r="N26" s="20" t="n"/>
      <c r="O26" s="20" t="n"/>
      <c r="P26" s="20" t="n"/>
      <c r="Q26" s="20" t="n"/>
      <c r="R26" s="35">
        <f>SUM(N26:Q26)</f>
        <v/>
      </c>
      <c r="S26" s="20" t="n"/>
      <c r="T26" s="20" t="n"/>
      <c r="U26" s="20" t="n"/>
      <c r="V26" s="20" t="n"/>
      <c r="W26" s="35">
        <f>SUM(S26:V26)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426.23</v>
      </c>
      <c r="F27" s="18" t="n">
        <v>-10.16</v>
      </c>
      <c r="G27" s="18" t="n">
        <v>-130.65</v>
      </c>
      <c r="H27" s="34" t="n"/>
      <c r="I27" s="18" t="n">
        <v>1180.64</v>
      </c>
      <c r="J27" s="19" t="n">
        <v>1698.6</v>
      </c>
      <c r="K27" s="20" t="n"/>
      <c r="L27" s="20" t="n"/>
      <c r="M27" s="35">
        <f>SUM(I27:L27)</f>
        <v/>
      </c>
      <c r="N27" s="20" t="n"/>
      <c r="O27" s="20" t="n"/>
      <c r="P27" s="20" t="n"/>
      <c r="Q27" s="20" t="n"/>
      <c r="R27" s="35">
        <f>SUM(N27:Q27)</f>
        <v/>
      </c>
      <c r="S27" s="20" t="n"/>
      <c r="T27" s="20" t="n"/>
      <c r="U27" s="20" t="n"/>
      <c r="V27" s="20" t="n"/>
      <c r="W27" s="35">
        <f>SUM(S27:V27)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30.526</v>
      </c>
      <c r="F28" s="26" t="n">
        <v>38.526</v>
      </c>
      <c r="G28" s="26" t="n">
        <v>38.526</v>
      </c>
      <c r="H28" s="27">
        <f>G28</f>
        <v/>
      </c>
      <c r="I28" s="26" t="n">
        <v>38.526</v>
      </c>
      <c r="J28" s="28" t="n">
        <v>38.089</v>
      </c>
      <c r="K28" s="36">
        <f>IFERROR(J28*(1+변수!K39),"")</f>
        <v/>
      </c>
      <c r="L28" s="36">
        <f>IFERROR(K28*(1+변수!L39),"")</f>
        <v/>
      </c>
      <c r="M28" s="30">
        <f>L28</f>
        <v/>
      </c>
      <c r="N28" s="36">
        <f>IFERROR(L28*(1+변수!N39),"")</f>
        <v/>
      </c>
      <c r="O28" s="36">
        <f>IFERROR(N28*(1+변수!O39),"")</f>
        <v/>
      </c>
      <c r="P28" s="36">
        <f>IFERROR(O28*(1+변수!P39),"")</f>
        <v/>
      </c>
      <c r="Q28" s="36">
        <f>IFERROR(P28*(1+변수!Q39),"")</f>
        <v/>
      </c>
      <c r="R28" s="30">
        <f>Q28</f>
        <v/>
      </c>
      <c r="S28" s="36">
        <f>IFERROR(Q28*(1+변수!S39),"")</f>
        <v/>
      </c>
      <c r="T28" s="36">
        <f>IFERROR(S28*(1+변수!T39),"")</f>
        <v/>
      </c>
      <c r="U28" s="36">
        <f>IFERROR(T28*(1+변수!U39),"")</f>
        <v/>
      </c>
      <c r="V28" s="36">
        <f>IFERROR(U28*(1+변수!V39),"")</f>
        <v/>
      </c>
      <c r="W28" s="30">
        <f>V28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4" t="n"/>
      <c r="I29" s="18">
        <f>IFERROR(I17*100/I28,"")</f>
        <v/>
      </c>
      <c r="J29" s="19">
        <f>IFERROR(J17*100/J28,"")</f>
        <v/>
      </c>
      <c r="K29" s="20">
        <f>IFERROR(K17*100/K28,"")</f>
        <v/>
      </c>
      <c r="L29" s="20">
        <f>IFERROR(L17*100/L28,"")</f>
        <v/>
      </c>
      <c r="M29" s="35">
        <f>SUM(I29:L29)</f>
        <v/>
      </c>
      <c r="N29" s="20">
        <f>IFERROR(N17*100/N28,"")</f>
        <v/>
      </c>
      <c r="O29" s="20">
        <f>IFERROR(O17*100/O28,"")</f>
        <v/>
      </c>
      <c r="P29" s="20">
        <f>IFERROR(P17*100/P28,"")</f>
        <v/>
      </c>
      <c r="Q29" s="20">
        <f>IFERROR(Q17*100/Q28,"")</f>
        <v/>
      </c>
      <c r="R29" s="35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5">
        <f>SUM(S29:V29)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4">
        <f>G30</f>
        <v/>
      </c>
      <c r="I30" s="18">
        <f>IFERROR(I21*100/I28,"")</f>
        <v/>
      </c>
      <c r="J30" s="19">
        <f>IFERROR(J21*100/J28,"")</f>
        <v/>
      </c>
      <c r="K30" s="20">
        <f>IFERROR(K21*100/K28,"")</f>
        <v/>
      </c>
      <c r="L30" s="20">
        <f>IFERROR(L21*100/L28,"")</f>
        <v/>
      </c>
      <c r="M30" s="35">
        <f>L30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20">
        <f>IFERROR(Q21*100/Q28,"")</f>
        <v/>
      </c>
      <c r="R30" s="35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5">
        <f>V30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250</v>
      </c>
      <c r="H31" s="34" t="n">
        <v>250</v>
      </c>
      <c r="I31" s="18" t="n"/>
      <c r="J31" s="19" t="n"/>
      <c r="K31" s="20" t="n"/>
      <c r="L31" s="20">
        <f>IFERROR(G31*(1+변수!L40),"")</f>
        <v/>
      </c>
      <c r="M31" s="35">
        <f>SUM(I31:L31)</f>
        <v/>
      </c>
      <c r="N31" s="20" t="n"/>
      <c r="O31" s="20" t="n"/>
      <c r="P31" s="20" t="n"/>
      <c r="Q31" s="20">
        <f>IFERROR(L31*(1+변수!Q40),"")</f>
        <v/>
      </c>
      <c r="R31" s="35">
        <f>SUM(N31:Q31)</f>
        <v/>
      </c>
      <c r="S31" s="20" t="n"/>
      <c r="T31" s="20" t="n"/>
      <c r="U31" s="20" t="n"/>
      <c r="V31" s="20">
        <f>IFERROR(Q31*(1+변수!V40),"")</f>
        <v/>
      </c>
      <c r="W31" s="35">
        <f>SUM(S31:V31)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18" t="n"/>
      <c r="G32" s="18" t="n"/>
      <c r="H32" s="34" t="n"/>
      <c r="I32" s="18" t="n">
        <v>11.32</v>
      </c>
      <c r="J32" s="19" t="n">
        <v>9.57</v>
      </c>
      <c r="K32" s="20" t="n">
        <v>5.67</v>
      </c>
      <c r="L32" s="20" t="n">
        <v>5.83</v>
      </c>
      <c r="M32" s="35">
        <f>SUM(I32:L32)</f>
        <v/>
      </c>
      <c r="N32" s="20">
        <f>IFERROR(I32*(1+변수!N41),"")</f>
        <v/>
      </c>
      <c r="O32" s="20">
        <f>IFERROR(J32*(1+변수!O41),"")</f>
        <v/>
      </c>
      <c r="P32" s="20">
        <f>IFERROR(K32*(1+변수!P41),"")</f>
        <v/>
      </c>
      <c r="Q32" s="20">
        <f>IFERROR(L32*(1+변수!Q41),"")</f>
        <v/>
      </c>
      <c r="R32" s="35">
        <f>SUM(N32:Q32)</f>
        <v/>
      </c>
      <c r="S32" s="20">
        <f>IFERROR(N32*(1+변수!S41),"")</f>
        <v/>
      </c>
      <c r="T32" s="20">
        <f>IFERROR(O32*(1+변수!T41),"")</f>
        <v/>
      </c>
      <c r="U32" s="20">
        <f>IFERROR(P32*(1+변수!U41),"")</f>
        <v/>
      </c>
      <c r="V32" s="20">
        <f>IFERROR(Q32*(1+변수!V41),"")</f>
        <v/>
      </c>
      <c r="W32" s="35">
        <f>SUM(S32:V32)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/>
      <c r="F33" s="18" t="n">
        <v>3.27</v>
      </c>
      <c r="G33" s="18" t="n">
        <v>2.52</v>
      </c>
      <c r="H33" s="34" t="n">
        <v>2.36</v>
      </c>
      <c r="I33" s="18" t="n">
        <v>2.77</v>
      </c>
      <c r="J33" s="19" t="n">
        <v>2.38</v>
      </c>
      <c r="K33" s="20">
        <f>IFERROR(F33*(1+변수!K42),"")</f>
        <v/>
      </c>
      <c r="L33" s="20">
        <f>IFERROR(G33*(1+변수!L42),"")</f>
        <v/>
      </c>
      <c r="M33" s="35">
        <f>SUM(I33:L33)</f>
        <v/>
      </c>
      <c r="N33" s="20">
        <f>IFERROR(I33*(1+변수!N42),"")</f>
        <v/>
      </c>
      <c r="O33" s="20">
        <f>IFERROR(J33*(1+변수!O42),"")</f>
        <v/>
      </c>
      <c r="P33" s="20">
        <f>IFERROR(K33*(1+변수!P42),"")</f>
        <v/>
      </c>
      <c r="Q33" s="20">
        <f>IFERROR(L33*(1+변수!Q42),"")</f>
        <v/>
      </c>
      <c r="R33" s="35">
        <f>SUM(N33:Q33)</f>
        <v/>
      </c>
      <c r="S33" s="20">
        <f>IFERROR(N33*(1+변수!S42),"")</f>
        <v/>
      </c>
      <c r="T33" s="20">
        <f>IFERROR(O33*(1+변수!T42),"")</f>
        <v/>
      </c>
      <c r="U33" s="20">
        <f>IFERROR(P33*(1+변수!U42),"")</f>
        <v/>
      </c>
      <c r="V33" s="20">
        <f>IFERROR(Q33*(1+변수!V42),"")</f>
        <v/>
      </c>
      <c r="W33" s="35">
        <f>SUM(S33:V33)</f>
        <v/>
      </c>
    </row>
    <row r="34">
      <c r="A34" s="12" t="inlineStr">
        <is>
          <t>매출조선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조선·해양(선박)</t>
        </is>
      </c>
      <c r="E34" s="18" t="n"/>
      <c r="F34" s="18" t="n">
        <v>2720.35</v>
      </c>
      <c r="G34" s="18" t="n">
        <v>3481.49</v>
      </c>
      <c r="H34" s="34" t="n"/>
      <c r="I34" s="18" t="n">
        <v>3062.16</v>
      </c>
      <c r="J34" s="19" t="n">
        <v>3514.02</v>
      </c>
      <c r="K34" s="20">
        <f>IFERROR(K5*변수!K43,"")</f>
        <v/>
      </c>
      <c r="L34" s="20">
        <f>IFERROR(L5*변수!L43,"")</f>
        <v/>
      </c>
      <c r="M34" s="35">
        <f>SUM(I34:L34)</f>
        <v/>
      </c>
      <c r="N34" s="20">
        <f>IFERROR(N5*변수!N43,"")</f>
        <v/>
      </c>
      <c r="O34" s="20">
        <f>IFERROR(O5*변수!O43,"")</f>
        <v/>
      </c>
      <c r="P34" s="20">
        <f>IFERROR(P5*변수!P43,"")</f>
        <v/>
      </c>
      <c r="Q34" s="20">
        <f>IFERROR(Q5*변수!Q43,"")</f>
        <v/>
      </c>
      <c r="R34" s="35">
        <f>SUM(N34:Q34)</f>
        <v/>
      </c>
      <c r="S34" s="20">
        <f>IFERROR(S5*변수!S43,"")</f>
        <v/>
      </c>
      <c r="T34" s="20">
        <f>IFERROR(T5*변수!T43,"")</f>
        <v/>
      </c>
      <c r="U34" s="20">
        <f>IFERROR(U5*변수!U43,"")</f>
        <v/>
      </c>
      <c r="V34" s="20">
        <f>IFERROR(V5*변수!V43,"")</f>
        <v/>
      </c>
      <c r="W34" s="35">
        <f>SUM(S34:V34)</f>
        <v/>
      </c>
    </row>
    <row r="35">
      <c r="A35" s="12" t="inlineStr">
        <is>
          <t>OP조선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조선·해양(선박)</t>
        </is>
      </c>
      <c r="E35" s="18" t="n"/>
      <c r="F35" s="18" t="n"/>
      <c r="G35" s="18" t="n"/>
      <c r="H35" s="34" t="n"/>
      <c r="I35" s="18" t="n"/>
      <c r="J35" s="19" t="n"/>
      <c r="K35" s="20">
        <f>IFERROR(K34*변수!K44,"")</f>
        <v/>
      </c>
      <c r="L35" s="20">
        <f>IFERROR(L34*변수!L44,"")</f>
        <v/>
      </c>
      <c r="M35" s="35">
        <f>SUM(I35:L35)</f>
        <v/>
      </c>
      <c r="N35" s="20">
        <f>IFERROR(N34*변수!N44,"")</f>
        <v/>
      </c>
      <c r="O35" s="20">
        <f>IFERROR(O34*변수!O44,"")</f>
        <v/>
      </c>
      <c r="P35" s="20">
        <f>IFERROR(P34*변수!P44,"")</f>
        <v/>
      </c>
      <c r="Q35" s="20">
        <f>IFERROR(Q34*변수!Q44,"")</f>
        <v/>
      </c>
      <c r="R35" s="35">
        <f>SUM(N35:Q35)</f>
        <v/>
      </c>
      <c r="S35" s="20">
        <f>IFERROR(S34*변수!S44,"")</f>
        <v/>
      </c>
      <c r="T35" s="20">
        <f>IFERROR(T34*변수!T44,"")</f>
        <v/>
      </c>
      <c r="U35" s="20">
        <f>IFERROR(U34*변수!U44,"")</f>
        <v/>
      </c>
      <c r="V35" s="20">
        <f>IFERROR(V34*변수!V44,"")</f>
        <v/>
      </c>
      <c r="W35" s="35">
        <f>SUM(S35:V35)</f>
        <v/>
      </c>
    </row>
    <row r="36">
      <c r="A36" s="12" t="inlineStr">
        <is>
          <t>매출기타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기타 부문(총매출 − 조선)</t>
        </is>
      </c>
      <c r="E36" s="18" t="n"/>
      <c r="F36" s="18" t="n">
        <v>19.38</v>
      </c>
      <c r="G36" s="18" t="n">
        <v>22.56</v>
      </c>
      <c r="H36" s="34" t="n"/>
      <c r="I36" s="18" t="n">
        <v>20.55</v>
      </c>
      <c r="J36" s="19" t="n">
        <v>30.33</v>
      </c>
      <c r="K36" s="20">
        <f>IFERROR(K5*변수!K45,"")</f>
        <v/>
      </c>
      <c r="L36" s="20">
        <f>IFERROR(L5*변수!L45,"")</f>
        <v/>
      </c>
      <c r="M36" s="35">
        <f>SUM(I36:L36)</f>
        <v/>
      </c>
      <c r="N36" s="20">
        <f>IFERROR(N5*변수!N45,"")</f>
        <v/>
      </c>
      <c r="O36" s="20">
        <f>IFERROR(O5*변수!O45,"")</f>
        <v/>
      </c>
      <c r="P36" s="20">
        <f>IFERROR(P5*변수!P45,"")</f>
        <v/>
      </c>
      <c r="Q36" s="20">
        <f>IFERROR(Q5*변수!Q45,"")</f>
        <v/>
      </c>
      <c r="R36" s="35">
        <f>SUM(N36:Q36)</f>
        <v/>
      </c>
      <c r="S36" s="20">
        <f>IFERROR(S5*변수!S45,"")</f>
        <v/>
      </c>
      <c r="T36" s="20">
        <f>IFERROR(T5*변수!T45,"")</f>
        <v/>
      </c>
      <c r="U36" s="20">
        <f>IFERROR(U5*변수!U45,"")</f>
        <v/>
      </c>
      <c r="V36" s="20">
        <f>IFERROR(V5*변수!V45,"")</f>
        <v/>
      </c>
      <c r="W36" s="35">
        <f>SUM(S36:V36)</f>
        <v/>
      </c>
    </row>
    <row r="37">
      <c r="A37" s="12" t="inlineStr">
        <is>
          <t>OP기타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기타 부문(총매출 − 조선)</t>
        </is>
      </c>
      <c r="E37" s="18" t="n"/>
      <c r="F37" s="18" t="n"/>
      <c r="G37" s="18" t="n"/>
      <c r="H37" s="34" t="n"/>
      <c r="I37" s="18" t="n"/>
      <c r="J37" s="19" t="n"/>
      <c r="K37" s="20">
        <f>IFERROR(K36*변수!K46,"")</f>
        <v/>
      </c>
      <c r="L37" s="20">
        <f>IFERROR(L36*변수!L46,"")</f>
        <v/>
      </c>
      <c r="M37" s="35">
        <f>SUM(I37:L37)</f>
        <v/>
      </c>
      <c r="N37" s="20">
        <f>IFERROR(N36*변수!N46,"")</f>
        <v/>
      </c>
      <c r="O37" s="20">
        <f>IFERROR(O36*변수!O46,"")</f>
        <v/>
      </c>
      <c r="P37" s="20">
        <f>IFERROR(P36*변수!P46,"")</f>
        <v/>
      </c>
      <c r="Q37" s="20">
        <f>IFERROR(Q36*변수!Q46,"")</f>
        <v/>
      </c>
      <c r="R37" s="35">
        <f>SUM(N37:Q37)</f>
        <v/>
      </c>
      <c r="S37" s="20">
        <f>IFERROR(S36*변수!S46,"")</f>
        <v/>
      </c>
      <c r="T37" s="20">
        <f>IFERROR(T36*변수!T46,"")</f>
        <v/>
      </c>
      <c r="U37" s="20">
        <f>IFERROR(U36*변수!U46,"")</f>
        <v/>
      </c>
      <c r="V37" s="20">
        <f>IFERROR(V36*변수!V46,"")</f>
        <v/>
      </c>
      <c r="W37" s="35">
        <f>SUM(S37:V37)</f>
        <v/>
      </c>
    </row>
    <row r="38">
      <c r="B38" s="2" t="inlineStr">
        <is>
          <t>비율(참고)</t>
        </is>
      </c>
      <c r="H38" s="9" t="n"/>
      <c r="J38" s="5" t="n"/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s="12" t="inlineStr">
        <is>
          <t>OPM</t>
        </is>
      </c>
      <c r="C39" t="inlineStr">
        <is>
          <t>%</t>
        </is>
      </c>
      <c r="D39" t="inlineStr">
        <is>
          <t>영업이익 / 매출액</t>
        </is>
      </c>
      <c r="E39" s="21">
        <f>IFERROR(E9/E5,"")</f>
        <v/>
      </c>
      <c r="F39" s="21">
        <f>IFERROR(F9/F5,"")</f>
        <v/>
      </c>
      <c r="G39" s="21">
        <f>IFERROR(G9/G5,"")</f>
        <v/>
      </c>
      <c r="H39" s="22">
        <f>IFERROR(H9/H5,"")</f>
        <v/>
      </c>
      <c r="I39" s="21">
        <f>IFERROR(I9/I5,"")</f>
        <v/>
      </c>
      <c r="J39" s="23">
        <f>IFERROR(J9/J5,"")</f>
        <v/>
      </c>
      <c r="K39" s="31">
        <f>IFERROR(K9/K5,"")</f>
        <v/>
      </c>
      <c r="L39" s="31">
        <f>IFERROR(L9/L5,"")</f>
        <v/>
      </c>
      <c r="M39" s="25">
        <f>IFERROR(M9/M5,"")</f>
        <v/>
      </c>
      <c r="N39" s="31">
        <f>IFERROR(N9/N5,"")</f>
        <v/>
      </c>
      <c r="O39" s="31">
        <f>IFERROR(O9/O5,"")</f>
        <v/>
      </c>
      <c r="P39" s="31">
        <f>IFERROR(P9/P5,"")</f>
        <v/>
      </c>
      <c r="Q39" s="31">
        <f>IFERROR(Q9/Q5,"")</f>
        <v/>
      </c>
      <c r="R39" s="25">
        <f>IFERROR(R9/R5,"")</f>
        <v/>
      </c>
      <c r="S39" s="31">
        <f>IFERROR(S9/S5,"")</f>
        <v/>
      </c>
      <c r="T39" s="31">
        <f>IFERROR(T9/T5,"")</f>
        <v/>
      </c>
      <c r="U39" s="31">
        <f>IFERROR(U9/U5,"")</f>
        <v/>
      </c>
      <c r="V39" s="31">
        <f>IFERROR(V9/V5,"")</f>
        <v/>
      </c>
      <c r="W39" s="25">
        <f>IFERROR(W9/W5,"")</f>
        <v/>
      </c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IFERROR(E17/E5,"")</f>
        <v/>
      </c>
      <c r="F40" s="21">
        <f>IFERROR(F17/F5,"")</f>
        <v/>
      </c>
      <c r="G40" s="21">
        <f>IFERROR(G17/G5,"")</f>
        <v/>
      </c>
      <c r="H40" s="22">
        <f>IFERROR(H17/H5,"")</f>
        <v/>
      </c>
      <c r="I40" s="21">
        <f>IFERROR(I17/I5,"")</f>
        <v/>
      </c>
      <c r="J40" s="23">
        <f>IFERROR(J17/J5,"")</f>
        <v/>
      </c>
      <c r="K40" s="31">
        <f>IFERROR(K17/K5,"")</f>
        <v/>
      </c>
      <c r="L40" s="31">
        <f>IFERROR(L17/L5,"")</f>
        <v/>
      </c>
      <c r="M40" s="25">
        <f>IFERROR(M17/M5,"")</f>
        <v/>
      </c>
      <c r="N40" s="31">
        <f>IFERROR(N17/N5,"")</f>
        <v/>
      </c>
      <c r="O40" s="31">
        <f>IFERROR(O17/O5,"")</f>
        <v/>
      </c>
      <c r="P40" s="31">
        <f>IFERROR(P17/P5,"")</f>
        <v/>
      </c>
      <c r="Q40" s="31">
        <f>IFERROR(Q17/Q5,"")</f>
        <v/>
      </c>
      <c r="R40" s="25">
        <f>IFERROR(R17/R5,"")</f>
        <v/>
      </c>
      <c r="S40" s="31">
        <f>IFERROR(S17/S5,"")</f>
        <v/>
      </c>
      <c r="T40" s="31">
        <f>IFERROR(T17/T5,"")</f>
        <v/>
      </c>
      <c r="U40" s="31">
        <f>IFERROR(U17/U5,"")</f>
        <v/>
      </c>
      <c r="V40" s="31">
        <f>IFERROR(V17/V5,"")</f>
        <v/>
      </c>
      <c r="W40" s="25">
        <f>IFERROR(W17/W5,"")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1">
        <f>IFERROR(F6/F5,"")</f>
        <v/>
      </c>
      <c r="G41" s="21">
        <f>IFERROR(G6/G5,"")</f>
        <v/>
      </c>
      <c r="H41" s="22">
        <f>IFERROR(H6/H5,"")</f>
        <v/>
      </c>
      <c r="I41" s="21">
        <f>IFERROR(I6/I5,"")</f>
        <v/>
      </c>
      <c r="J41" s="23">
        <f>IFERROR(J6/J5,"")</f>
        <v/>
      </c>
      <c r="K41" s="31">
        <f>IFERROR(K6/K5,"")</f>
        <v/>
      </c>
      <c r="L41" s="31">
        <f>IFERROR(L6/L5,"")</f>
        <v/>
      </c>
      <c r="M41" s="25">
        <f>IFERROR(M6/M5,"")</f>
        <v/>
      </c>
      <c r="N41" s="31">
        <f>IFERROR(N6/N5,"")</f>
        <v/>
      </c>
      <c r="O41" s="31">
        <f>IFERROR(O6/O5,"")</f>
        <v/>
      </c>
      <c r="P41" s="31">
        <f>IFERROR(P6/P5,"")</f>
        <v/>
      </c>
      <c r="Q41" s="31">
        <f>IFERROR(Q6/Q5,"")</f>
        <v/>
      </c>
      <c r="R41" s="25">
        <f>IFERROR(R6/R5,"")</f>
        <v/>
      </c>
      <c r="S41" s="31">
        <f>IFERROR(S6/S5,"")</f>
        <v/>
      </c>
      <c r="T41" s="31">
        <f>IFERROR(T6/T5,"")</f>
        <v/>
      </c>
      <c r="U41" s="31">
        <f>IFERROR(U6/U5,"")</f>
        <v/>
      </c>
      <c r="V41" s="31">
        <f>IFERROR(V6/V5,"")</f>
        <v/>
      </c>
      <c r="W41" s="25">
        <f>IFERROR(W6/W5,"")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1">
        <f>IFERROR(F8/F5,"")</f>
        <v/>
      </c>
      <c r="G42" s="21">
        <f>IFERROR(G8/G5,"")</f>
        <v/>
      </c>
      <c r="H42" s="22">
        <f>IFERROR(H8/H5,"")</f>
        <v/>
      </c>
      <c r="I42" s="21">
        <f>IFERROR(I8/I5,"")</f>
        <v/>
      </c>
      <c r="J42" s="23">
        <f>IFERROR(J8/J5,"")</f>
        <v/>
      </c>
      <c r="K42" s="31">
        <f>IFERROR(K8/K5,"")</f>
        <v/>
      </c>
      <c r="L42" s="31">
        <f>IFERROR(L8/L5,"")</f>
        <v/>
      </c>
      <c r="M42" s="25">
        <f>IFERROR(M8/M5,"")</f>
        <v/>
      </c>
      <c r="N42" s="31">
        <f>IFERROR(N8/N5,"")</f>
        <v/>
      </c>
      <c r="O42" s="31">
        <f>IFERROR(O8/O5,"")</f>
        <v/>
      </c>
      <c r="P42" s="31">
        <f>IFERROR(P8/P5,"")</f>
        <v/>
      </c>
      <c r="Q42" s="31">
        <f>IFERROR(Q8/Q5,"")</f>
        <v/>
      </c>
      <c r="R42" s="25">
        <f>IFERROR(R8/R5,"")</f>
        <v/>
      </c>
      <c r="S42" s="31">
        <f>IFERROR(S8/S5,"")</f>
        <v/>
      </c>
      <c r="T42" s="31">
        <f>IFERROR(T8/T5,"")</f>
        <v/>
      </c>
      <c r="U42" s="31">
        <f>IFERROR(U8/U5,"")</f>
        <v/>
      </c>
      <c r="V42" s="31">
        <f>IFERROR(V8/V5,"")</f>
        <v/>
      </c>
      <c r="W42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</cols>
  <sheetData>
    <row r="1">
      <c r="C1" s="2" t="inlineStr">
        <is>
          <t>이름: SLS_H · 선표 매출인식(백만$) — sls json origin 2026Q2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  <c r="S1" s="3" t="inlineStr">
        <is>
          <t>1Q29</t>
        </is>
      </c>
      <c r="T1" s="3" t="inlineStr">
        <is>
          <t>2Q29</t>
        </is>
      </c>
      <c r="U1" s="3" t="inlineStr">
        <is>
          <t>3Q29</t>
        </is>
      </c>
      <c r="V1" s="3" t="inlineStr">
        <is>
          <t>4Q29</t>
        </is>
      </c>
      <c r="W1" s="3" t="n">
        <v>2025</v>
      </c>
      <c r="X1" s="3" t="n">
        <v>2026</v>
      </c>
      <c r="Y1" s="3" t="n">
        <v>2027</v>
      </c>
      <c r="Z1" s="3" t="n">
        <v>2028</v>
      </c>
      <c r="AA1" s="3" t="n">
        <v>2029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  <c r="S4" s="7" t="inlineStr">
        <is>
          <t>2029.03</t>
        </is>
      </c>
      <c r="T4" s="7" t="inlineStr">
        <is>
          <t>2029.06</t>
        </is>
      </c>
      <c r="U4" s="7" t="inlineStr">
        <is>
          <t>2029.09</t>
        </is>
      </c>
      <c r="V4" s="7" t="inlineStr">
        <is>
          <t>2029.12</t>
        </is>
      </c>
      <c r="W4" s="7" t="inlineStr">
        <is>
          <t>2025.12A</t>
        </is>
      </c>
      <c r="X4" s="7" t="inlineStr">
        <is>
          <t>2026.12A</t>
        </is>
      </c>
      <c r="Y4" s="7" t="inlineStr">
        <is>
          <t>2027.12A</t>
        </is>
      </c>
      <c r="Z4" s="7" t="inlineStr">
        <is>
          <t>2028.12A</t>
        </is>
      </c>
      <c r="AA4" s="7" t="inlineStr">
        <is>
          <t>2029.12A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6.893</v>
      </c>
      <c r="F5" s="26" t="n">
        <v>96.164</v>
      </c>
      <c r="G5" s="26" t="n">
        <v>146.311</v>
      </c>
      <c r="H5" s="26" t="n">
        <v>198.344</v>
      </c>
      <c r="I5" s="26" t="n">
        <v>223.627</v>
      </c>
      <c r="J5" s="26" t="n">
        <v>227.123</v>
      </c>
      <c r="K5" s="26" t="n">
        <v>222.186</v>
      </c>
      <c r="L5" s="26" t="n">
        <v>224.655</v>
      </c>
      <c r="M5" s="26" t="n">
        <v>214.448</v>
      </c>
      <c r="N5" s="26" t="n">
        <v>186.157</v>
      </c>
      <c r="O5" s="26" t="n">
        <v>170.353</v>
      </c>
      <c r="P5" s="26" t="n">
        <v>170.353</v>
      </c>
      <c r="Q5" s="26" t="n">
        <v>151.098</v>
      </c>
      <c r="R5" s="26" t="n">
        <v>117.587</v>
      </c>
      <c r="S5" s="26" t="n">
        <v>72.38</v>
      </c>
      <c r="T5" s="26" t="n">
        <v>60.141</v>
      </c>
      <c r="U5" s="26" t="n">
        <v>36.193</v>
      </c>
      <c r="V5" s="26" t="n">
        <v>14.683</v>
      </c>
      <c r="W5" s="26" t="n">
        <v>103.057</v>
      </c>
      <c r="X5" s="26" t="n">
        <v>795.405</v>
      </c>
      <c r="Y5" s="26" t="n">
        <v>847.446</v>
      </c>
      <c r="Z5" s="26" t="n">
        <v>609.391</v>
      </c>
      <c r="AA5" s="26" t="n">
        <v>183.397</v>
      </c>
    </row>
    <row r="6">
      <c r="A6" s="12" t="inlineStr">
        <is>
          <t>type:VLCC</t>
        </is>
      </c>
      <c r="D6" t="inlineStr">
        <is>
          <t>선종 VLCC</t>
        </is>
      </c>
      <c r="E6" s="26" t="n">
        <v>6.893</v>
      </c>
      <c r="F6" s="26" t="n">
        <v>78.02200000000001</v>
      </c>
      <c r="G6" s="26" t="n">
        <v>125.644</v>
      </c>
      <c r="H6" s="26" t="n">
        <v>177.447</v>
      </c>
      <c r="I6" s="26" t="n">
        <v>202.5</v>
      </c>
      <c r="J6" s="26" t="n">
        <v>205.996</v>
      </c>
      <c r="K6" s="26" t="n">
        <v>201.518</v>
      </c>
      <c r="L6" s="26" t="n">
        <v>203.757</v>
      </c>
      <c r="M6" s="26" t="n">
        <v>193.321</v>
      </c>
      <c r="N6" s="26" t="n">
        <v>165.03</v>
      </c>
      <c r="O6" s="26" t="n">
        <v>149.455</v>
      </c>
      <c r="P6" s="26" t="n">
        <v>149.455</v>
      </c>
      <c r="Q6" s="26" t="n">
        <v>151.098</v>
      </c>
      <c r="R6" s="26" t="n">
        <v>117.587</v>
      </c>
      <c r="S6" s="26" t="n">
        <v>72.38</v>
      </c>
      <c r="T6" s="26" t="n">
        <v>60.141</v>
      </c>
      <c r="U6" s="26" t="n">
        <v>36.193</v>
      </c>
      <c r="V6" s="26" t="n">
        <v>14.683</v>
      </c>
      <c r="W6" s="26" t="n">
        <v>84.91500000000001</v>
      </c>
      <c r="X6" s="26" t="n">
        <v>711.587</v>
      </c>
      <c r="Y6" s="26" t="n">
        <v>763.626</v>
      </c>
      <c r="Z6" s="26" t="n">
        <v>567.595</v>
      </c>
      <c r="AA6" s="26" t="n">
        <v>183.397</v>
      </c>
    </row>
    <row r="7">
      <c r="A7" s="12" t="inlineStr">
        <is>
          <t>type:CONT</t>
        </is>
      </c>
      <c r="D7" t="inlineStr">
        <is>
          <t>선종 CONT</t>
        </is>
      </c>
      <c r="F7" s="26" t="n">
        <v>18.142</v>
      </c>
      <c r="G7" s="26" t="n">
        <v>20.668</v>
      </c>
      <c r="H7" s="26" t="n">
        <v>20.897</v>
      </c>
      <c r="I7" s="26" t="n">
        <v>21.127</v>
      </c>
      <c r="J7" s="26" t="n">
        <v>21.127</v>
      </c>
      <c r="K7" s="26" t="n">
        <v>20.668</v>
      </c>
      <c r="L7" s="26" t="n">
        <v>20.897</v>
      </c>
      <c r="M7" s="26" t="n">
        <v>21.127</v>
      </c>
      <c r="N7" s="26" t="n">
        <v>21.127</v>
      </c>
      <c r="O7" s="26" t="n">
        <v>20.897</v>
      </c>
      <c r="P7" s="26" t="n">
        <v>20.897</v>
      </c>
      <c r="W7" s="26" t="n">
        <v>18.142</v>
      </c>
      <c r="X7" s="26" t="n">
        <v>83.819</v>
      </c>
      <c r="Y7" s="26" t="n">
        <v>83.819</v>
      </c>
      <c r="Z7" s="26" t="n">
        <v>41.794</v>
      </c>
    </row>
    <row r="8">
      <c r="A8" s="12" t="inlineStr">
        <is>
          <t>cohort:③중마진</t>
        </is>
      </c>
      <c r="D8" t="inlineStr">
        <is>
          <t>코호트 ③중마진</t>
        </is>
      </c>
      <c r="E8" s="26" t="n">
        <v>6.893</v>
      </c>
      <c r="F8" s="26" t="n">
        <v>78.02200000000001</v>
      </c>
      <c r="G8" s="26" t="n">
        <v>125.644</v>
      </c>
      <c r="H8" s="26" t="n">
        <v>177.447</v>
      </c>
      <c r="I8" s="26" t="n">
        <v>202.5</v>
      </c>
      <c r="J8" s="26" t="n">
        <v>205.996</v>
      </c>
      <c r="K8" s="26" t="n">
        <v>201.518</v>
      </c>
      <c r="L8" s="26" t="n">
        <v>203.757</v>
      </c>
      <c r="M8" s="26" t="n">
        <v>193.321</v>
      </c>
      <c r="N8" s="26" t="n">
        <v>165.03</v>
      </c>
      <c r="O8" s="26" t="n">
        <v>149.455</v>
      </c>
      <c r="P8" s="26" t="n">
        <v>149.455</v>
      </c>
      <c r="Q8" s="26" t="n">
        <v>151.098</v>
      </c>
      <c r="R8" s="26" t="n">
        <v>117.587</v>
      </c>
      <c r="S8" s="26" t="n">
        <v>72.38</v>
      </c>
      <c r="T8" s="26" t="n">
        <v>60.141</v>
      </c>
      <c r="U8" s="26" t="n">
        <v>36.193</v>
      </c>
      <c r="V8" s="26" t="n">
        <v>14.683</v>
      </c>
      <c r="W8" s="26" t="n">
        <v>84.91500000000001</v>
      </c>
      <c r="X8" s="26" t="n">
        <v>711.587</v>
      </c>
      <c r="Y8" s="26" t="n">
        <v>763.626</v>
      </c>
      <c r="Z8" s="26" t="n">
        <v>567.595</v>
      </c>
      <c r="AA8" s="26" t="n">
        <v>183.397</v>
      </c>
    </row>
    <row r="9">
      <c r="A9" s="12" t="inlineStr">
        <is>
          <t>cohort:②BEP</t>
        </is>
      </c>
      <c r="D9" t="inlineStr">
        <is>
          <t>코호트 ②BEP</t>
        </is>
      </c>
      <c r="F9" s="26" t="n">
        <v>18.142</v>
      </c>
      <c r="G9" s="26" t="n">
        <v>20.668</v>
      </c>
      <c r="H9" s="26" t="n">
        <v>20.897</v>
      </c>
      <c r="I9" s="26" t="n">
        <v>21.127</v>
      </c>
      <c r="J9" s="26" t="n">
        <v>21.127</v>
      </c>
      <c r="K9" s="26" t="n">
        <v>20.668</v>
      </c>
      <c r="L9" s="26" t="n">
        <v>20.897</v>
      </c>
      <c r="M9" s="26" t="n">
        <v>21.127</v>
      </c>
      <c r="N9" s="26" t="n">
        <v>21.127</v>
      </c>
      <c r="O9" s="26" t="n">
        <v>20.897</v>
      </c>
      <c r="P9" s="26" t="n">
        <v>20.897</v>
      </c>
      <c r="W9" s="26" t="n">
        <v>18.142</v>
      </c>
      <c r="X9" s="26" t="n">
        <v>83.819</v>
      </c>
      <c r="Y9" s="26" t="n">
        <v>83.819</v>
      </c>
      <c r="Z9" s="26" t="n">
        <v>41.794</v>
      </c>
    </row>
    <row r="10">
      <c r="A10" s="12" t="inlineStr">
        <is>
          <t>hedge_ratio</t>
        </is>
      </c>
      <c r="D10" t="inlineStr">
        <is>
          <t>헤지비율</t>
        </is>
      </c>
      <c r="E10" s="21" t="n">
        <v>0.7</v>
      </c>
      <c r="F10" s="21" t="n">
        <v>0.7</v>
      </c>
      <c r="G10" s="21" t="n">
        <v>0.7</v>
      </c>
      <c r="H10" s="21" t="n">
        <v>0.7</v>
      </c>
      <c r="I10" s="21" t="n">
        <v>0.7</v>
      </c>
      <c r="J10" s="21" t="n">
        <v>0.7</v>
      </c>
      <c r="K10" s="21" t="n">
        <v>0.7</v>
      </c>
      <c r="L10" s="21" t="n">
        <v>0.7</v>
      </c>
      <c r="M10" s="21" t="n">
        <v>0.7</v>
      </c>
      <c r="N10" s="21" t="n">
        <v>0.7</v>
      </c>
      <c r="O10" s="21" t="n">
        <v>0.7</v>
      </c>
      <c r="P10" s="21" t="n">
        <v>0.7</v>
      </c>
      <c r="Q10" s="21" t="n">
        <v>0.7</v>
      </c>
      <c r="R10" s="21" t="n">
        <v>0.7</v>
      </c>
      <c r="S10" s="21" t="n">
        <v>0.7</v>
      </c>
      <c r="T10" s="21" t="n">
        <v>0.7</v>
      </c>
      <c r="U10" s="21" t="n">
        <v>0.7</v>
      </c>
      <c r="V10" s="21" t="n">
        <v>0.7</v>
      </c>
    </row>
    <row r="11">
      <c r="A11" s="12" t="inlineStr">
        <is>
          <t>hedge_rate</t>
        </is>
      </c>
      <c r="D11" t="inlineStr">
        <is>
          <t>헤지환율</t>
        </is>
      </c>
      <c r="E11" s="13" t="n">
        <v>1386.95</v>
      </c>
      <c r="F11" s="13" t="n">
        <v>1402</v>
      </c>
      <c r="G11" s="13" t="n">
        <v>1423.95</v>
      </c>
      <c r="H11" s="13" t="n">
        <v>1436.87</v>
      </c>
      <c r="I11" s="13" t="n">
        <v>1439.73</v>
      </c>
      <c r="J11" s="13" t="n">
        <v>1439.42</v>
      </c>
      <c r="K11" s="13" t="n">
        <v>1439.42</v>
      </c>
      <c r="L11" s="13" t="n">
        <v>1439.42</v>
      </c>
      <c r="M11" s="13" t="n">
        <v>1442.52</v>
      </c>
      <c r="N11" s="13" t="n">
        <v>1450.97</v>
      </c>
      <c r="O11" s="13" t="n">
        <v>1452.37</v>
      </c>
      <c r="P11" s="13" t="n">
        <v>1452.37</v>
      </c>
      <c r="Q11" s="13" t="n">
        <v>1452.82</v>
      </c>
      <c r="R11" s="13" t="n">
        <v>1468.19</v>
      </c>
      <c r="S11" s="13" t="n">
        <v>1460.6</v>
      </c>
      <c r="T11" s="13" t="n">
        <v>1459.41</v>
      </c>
      <c r="U11" s="13" t="n">
        <v>1450.43</v>
      </c>
      <c r="V11" s="13" t="n">
        <v>1421.92</v>
      </c>
    </row>
    <row r="12">
      <c r="A12" s="12" t="inlineStr">
        <is>
          <t>spot_assumed</t>
        </is>
      </c>
      <c r="D12" t="inlineStr">
        <is>
          <t>건조시점 환율(가정)</t>
        </is>
      </c>
      <c r="E12" s="13" t="n">
        <v>1386.95</v>
      </c>
      <c r="F12" s="13" t="n">
        <v>1449.19</v>
      </c>
      <c r="G12" s="13" t="n">
        <v>1466.12</v>
      </c>
      <c r="H12" s="13" t="n">
        <v>1501.75</v>
      </c>
      <c r="I12" s="13" t="n">
        <v>1419.72</v>
      </c>
      <c r="J12" s="13" t="n">
        <v>1353.36</v>
      </c>
      <c r="K12" s="13" t="n">
        <v>1353.36</v>
      </c>
      <c r="L12" s="13" t="n">
        <v>1353.36</v>
      </c>
      <c r="M12" s="13" t="n">
        <v>1353.36</v>
      </c>
      <c r="N12" s="13" t="n">
        <v>1353.36</v>
      </c>
      <c r="O12" s="13" t="n">
        <v>1353.36</v>
      </c>
      <c r="P12" s="13" t="n">
        <v>1353.36</v>
      </c>
      <c r="Q12" s="13" t="n">
        <v>1353.36</v>
      </c>
      <c r="R12" s="13" t="n">
        <v>1353.36</v>
      </c>
      <c r="S12" s="13" t="n">
        <v>1353.36</v>
      </c>
      <c r="T12" s="13" t="n">
        <v>1353.36</v>
      </c>
      <c r="U12" s="13" t="n">
        <v>1353.36</v>
      </c>
      <c r="V12" s="13" t="n">
        <v>1353.36</v>
      </c>
    </row>
    <row r="13">
      <c r="A13" s="12" t="inlineStr">
        <is>
          <t>applied_rate</t>
        </is>
      </c>
      <c r="D13" t="inlineStr">
        <is>
          <t>적용환율</t>
        </is>
      </c>
      <c r="E13" s="13" t="n">
        <v>1386.95</v>
      </c>
      <c r="F13" s="13" t="n">
        <v>1416.15</v>
      </c>
      <c r="G13" s="13" t="n">
        <v>1436.6</v>
      </c>
      <c r="H13" s="13" t="n">
        <v>1456.34</v>
      </c>
      <c r="I13" s="13" t="n">
        <v>1433.73</v>
      </c>
      <c r="J13" s="13" t="n">
        <v>1413.6</v>
      </c>
      <c r="K13" s="13" t="n">
        <v>1413.6</v>
      </c>
      <c r="L13" s="13" t="n">
        <v>1413.6</v>
      </c>
      <c r="M13" s="13" t="n">
        <v>1415.77</v>
      </c>
      <c r="N13" s="13" t="n">
        <v>1421.68</v>
      </c>
      <c r="O13" s="13" t="n">
        <v>1422.67</v>
      </c>
      <c r="P13" s="13" t="n">
        <v>1422.67</v>
      </c>
      <c r="Q13" s="13" t="n">
        <v>1422.98</v>
      </c>
      <c r="R13" s="13" t="n">
        <v>1433.74</v>
      </c>
      <c r="S13" s="13" t="n">
        <v>1428.43</v>
      </c>
      <c r="T13" s="13" t="n">
        <v>1427.59</v>
      </c>
      <c r="U13" s="13" t="n">
        <v>1421.31</v>
      </c>
      <c r="V13" s="13" t="n">
        <v>1401.35</v>
      </c>
    </row>
    <row r="14">
      <c r="A14" s="12" t="inlineStr">
        <is>
          <t>hedged_krw_m</t>
        </is>
      </c>
      <c r="D14" t="inlineStr">
        <is>
          <t>헤지적용 원화매출(백만원)</t>
        </is>
      </c>
      <c r="E14" s="18" t="n">
        <v>9559.6</v>
      </c>
      <c r="F14" s="18" t="n">
        <v>136182.6</v>
      </c>
      <c r="G14" s="18" t="n">
        <v>210190.8</v>
      </c>
      <c r="H14" s="18" t="n">
        <v>288856.2</v>
      </c>
      <c r="I14" s="18" t="n">
        <v>320619.5</v>
      </c>
      <c r="J14" s="18" t="n">
        <v>321062.1</v>
      </c>
      <c r="K14" s="18" t="n">
        <v>314082.5</v>
      </c>
      <c r="L14" s="18" t="n">
        <v>317572.3</v>
      </c>
      <c r="M14" s="18" t="n">
        <v>303609.2</v>
      </c>
      <c r="N14" s="18" t="n">
        <v>264656.6</v>
      </c>
      <c r="O14" s="18" t="n">
        <v>242355.7</v>
      </c>
      <c r="P14" s="18" t="n">
        <v>242355.7</v>
      </c>
      <c r="Q14" s="18" t="n">
        <v>215009.2</v>
      </c>
      <c r="R14" s="18" t="n">
        <v>168588.8</v>
      </c>
      <c r="S14" s="18" t="n">
        <v>103390</v>
      </c>
      <c r="T14" s="18" t="n">
        <v>85857.2</v>
      </c>
      <c r="U14" s="18" t="n">
        <v>51440.9</v>
      </c>
      <c r="V14" s="18" t="n">
        <v>20575.9</v>
      </c>
      <c r="W14" s="18" t="n">
        <v>145742.2</v>
      </c>
      <c r="X14" s="18" t="n">
        <v>1140728.6</v>
      </c>
      <c r="Y14" s="18" t="n">
        <v>1199920.6</v>
      </c>
      <c r="Z14" s="18" t="n">
        <v>868309.4</v>
      </c>
      <c r="AA14" s="18" t="n">
        <v>261264</v>
      </c>
    </row>
    <row r="15">
      <c r="A15" s="12" t="inlineStr">
        <is>
          <t>target_opm</t>
        </is>
      </c>
      <c r="D15" t="inlineStr">
        <is>
          <t>타겟 OPM(코호트)</t>
        </is>
      </c>
      <c r="E15" s="21" t="n">
        <v>0.05</v>
      </c>
      <c r="F15" s="21" t="n">
        <v>0.0406</v>
      </c>
      <c r="G15" s="21" t="n">
        <v>0.0429</v>
      </c>
      <c r="H15" s="21" t="n">
        <v>0.0447</v>
      </c>
      <c r="I15" s="21" t="n">
        <v>0.0453</v>
      </c>
      <c r="J15" s="21" t="n">
        <v>0.0453</v>
      </c>
      <c r="K15" s="21" t="n">
        <v>0.0453</v>
      </c>
      <c r="L15" s="21" t="n">
        <v>0.0453</v>
      </c>
      <c r="M15" s="21" t="n">
        <v>0.0451</v>
      </c>
      <c r="N15" s="21" t="n">
        <v>0.0443</v>
      </c>
      <c r="O15" s="21" t="n">
        <v>0.0439</v>
      </c>
      <c r="P15" s="21" t="n">
        <v>0.0439</v>
      </c>
      <c r="Q15" s="21" t="n">
        <v>0.05</v>
      </c>
      <c r="R15" s="21" t="n">
        <v>0.05</v>
      </c>
      <c r="S15" s="21" t="n">
        <v>0.05</v>
      </c>
      <c r="T15" s="21" t="n">
        <v>0.05</v>
      </c>
      <c r="U15" s="21" t="n">
        <v>0.05</v>
      </c>
      <c r="V15" s="21" t="n">
        <v>0.05</v>
      </c>
    </row>
    <row r="17">
      <c r="A17" s="1" t="inlineStr">
        <is>
          <t>계약 원장(contracts.json 기반)</t>
        </is>
      </c>
    </row>
    <row r="18">
      <c r="A18" s="1" t="inlineStr">
        <is>
          <t>rcp</t>
        </is>
      </c>
      <c r="B18" s="1" t="inlineStr">
        <is>
          <t>type</t>
        </is>
      </c>
      <c r="C18" s="1" t="inlineStr">
        <is>
          <t>ships</t>
        </is>
      </c>
      <c r="D18" s="1" t="inlineStr">
        <is>
          <t>amt_krw_m</t>
        </is>
      </c>
      <c r="E18" s="1" t="inlineStr">
        <is>
          <t>amt_usd_m</t>
        </is>
      </c>
      <c r="F18" s="1" t="inlineStr">
        <is>
          <t>fx_at_sign</t>
        </is>
      </c>
      <c r="G18" s="1" t="inlineStr">
        <is>
          <t>signed</t>
        </is>
      </c>
      <c r="H18" s="1" t="inlineStr">
        <is>
          <t>start</t>
        </is>
      </c>
      <c r="I18" s="1" t="inlineStr">
        <is>
          <t>end</t>
        </is>
      </c>
      <c r="J18" s="1" t="inlineStr">
        <is>
          <t>cohort</t>
        </is>
      </c>
      <c r="K18" s="1" t="inlineStr">
        <is>
          <t>curve</t>
        </is>
      </c>
      <c r="L18" s="1" t="inlineStr">
        <is>
          <t>estimated_series</t>
        </is>
      </c>
    </row>
    <row r="19">
      <c r="A19" t="inlineStr">
        <is>
          <t>20250922800050</t>
        </is>
      </c>
      <c r="B19" t="inlineStr">
        <is>
          <t>VLCC</t>
        </is>
      </c>
      <c r="C19" t="n">
        <v>4</v>
      </c>
      <c r="D19" t="n">
        <v>475300</v>
      </c>
      <c r="E19" t="n">
        <v>342.694</v>
      </c>
      <c r="F19" t="n">
        <v>1386.95</v>
      </c>
      <c r="G19" t="inlineStr">
        <is>
          <t>2025-09-19</t>
        </is>
      </c>
      <c r="H19" t="inlineStr">
        <is>
          <t>2025-09-19</t>
        </is>
      </c>
      <c r="I19" t="inlineStr">
        <is>
          <t>2028-09-30</t>
        </is>
      </c>
      <c r="J19" t="inlineStr">
        <is>
          <t>③중마진</t>
        </is>
      </c>
      <c r="K19" t="inlineStr">
        <is>
          <t>linear_progress</t>
        </is>
      </c>
      <c r="L19" t="b">
        <v>1</v>
      </c>
    </row>
    <row r="20">
      <c r="A20" t="inlineStr">
        <is>
          <t>20250922800051</t>
        </is>
      </c>
      <c r="B20" t="inlineStr">
        <is>
          <t>VLCC</t>
        </is>
      </c>
      <c r="C20" t="n">
        <v>2</v>
      </c>
      <c r="D20" t="n">
        <v>239500</v>
      </c>
      <c r="E20" t="n">
        <v>172.681</v>
      </c>
      <c r="F20" t="n">
        <v>1386.95</v>
      </c>
      <c r="G20" t="inlineStr">
        <is>
          <t>2025-09-19</t>
        </is>
      </c>
      <c r="H20" t="inlineStr">
        <is>
          <t>2025-09-19</t>
        </is>
      </c>
      <c r="I20" t="inlineStr">
        <is>
          <t>2027-09-30</t>
        </is>
      </c>
      <c r="J20" t="inlineStr">
        <is>
          <t>③중마진</t>
        </is>
      </c>
      <c r="K20" t="inlineStr">
        <is>
          <t>linear_progress</t>
        </is>
      </c>
      <c r="L20" t="b">
        <v>1</v>
      </c>
    </row>
    <row r="21">
      <c r="A21" t="inlineStr">
        <is>
          <t>20250930800053</t>
        </is>
      </c>
      <c r="B21" t="inlineStr">
        <is>
          <t>VLCC</t>
        </is>
      </c>
      <c r="C21" t="n">
        <v>1</v>
      </c>
      <c r="D21" t="n">
        <v>122300</v>
      </c>
      <c r="E21" t="n">
        <v>88.179</v>
      </c>
      <c r="F21" t="n">
        <v>1386.95</v>
      </c>
      <c r="G21" t="inlineStr">
        <is>
          <t>2025-09-29</t>
        </is>
      </c>
      <c r="H21" t="inlineStr">
        <is>
          <t>2025-09-29</t>
        </is>
      </c>
      <c r="I21" t="inlineStr">
        <is>
          <t>2027-06-30</t>
        </is>
      </c>
      <c r="J21" t="inlineStr">
        <is>
          <t>③중마진</t>
        </is>
      </c>
      <c r="K21" t="inlineStr">
        <is>
          <t>linear_progress</t>
        </is>
      </c>
      <c r="L21" t="b">
        <v>1</v>
      </c>
    </row>
    <row r="22">
      <c r="A22" t="inlineStr">
        <is>
          <t>20251001800065</t>
        </is>
      </c>
      <c r="B22" t="inlineStr">
        <is>
          <t>VLCC</t>
        </is>
      </c>
      <c r="C22" t="n">
        <v>1</v>
      </c>
      <c r="D22" t="n">
        <v>119200</v>
      </c>
      <c r="E22" t="n">
        <v>85.944</v>
      </c>
      <c r="F22" t="n">
        <v>1386.95</v>
      </c>
      <c r="G22" t="inlineStr">
        <is>
          <t>2025-09-30</t>
        </is>
      </c>
      <c r="H22" t="inlineStr">
        <is>
          <t>2025-09-30</t>
        </is>
      </c>
      <c r="I22" t="inlineStr">
        <is>
          <t>2027-10-31</t>
        </is>
      </c>
      <c r="J22" t="inlineStr">
        <is>
          <t>③중마진</t>
        </is>
      </c>
      <c r="K22" t="inlineStr">
        <is>
          <t>linear_progress</t>
        </is>
      </c>
      <c r="L22" t="b">
        <v>1</v>
      </c>
    </row>
    <row r="23">
      <c r="A23" t="inlineStr">
        <is>
          <t>20251015800073</t>
        </is>
      </c>
      <c r="B23" t="inlineStr">
        <is>
          <t>CONT</t>
        </is>
      </c>
      <c r="C23" t="n">
        <v>2</v>
      </c>
      <c r="D23" t="n">
        <v>329800</v>
      </c>
      <c r="E23" t="n">
        <v>227.575</v>
      </c>
      <c r="F23" t="n">
        <v>1449.19</v>
      </c>
      <c r="G23" t="inlineStr">
        <is>
          <t>2025-10-14</t>
        </is>
      </c>
      <c r="H23" t="inlineStr">
        <is>
          <t>2025-10-14</t>
        </is>
      </c>
      <c r="I23" t="inlineStr">
        <is>
          <t>2028-06-30</t>
        </is>
      </c>
      <c r="J23" t="inlineStr">
        <is>
          <t>②BEP</t>
        </is>
      </c>
      <c r="K23" t="inlineStr">
        <is>
          <t>linear_progress</t>
        </is>
      </c>
      <c r="L23" t="b">
        <v>0</v>
      </c>
    </row>
    <row r="24">
      <c r="A24" t="inlineStr">
        <is>
          <t>20251118800028</t>
        </is>
      </c>
      <c r="B24" t="inlineStr">
        <is>
          <t>VLCC</t>
        </is>
      </c>
      <c r="C24" t="n">
        <v>1</v>
      </c>
      <c r="D24" t="n">
        <v>127400</v>
      </c>
      <c r="E24" t="n">
        <v>87.911</v>
      </c>
      <c r="F24" t="n">
        <v>1449.19</v>
      </c>
      <c r="G24" t="inlineStr">
        <is>
          <t>2025-11-17</t>
        </is>
      </c>
      <c r="H24" t="inlineStr">
        <is>
          <t>2025-11-17</t>
        </is>
      </c>
      <c r="I24" t="inlineStr">
        <is>
          <t>2027-12-31</t>
        </is>
      </c>
      <c r="J24" t="inlineStr">
        <is>
          <t>③중마진</t>
        </is>
      </c>
      <c r="K24" t="inlineStr">
        <is>
          <t>linear_progress</t>
        </is>
      </c>
      <c r="L24" t="b">
        <v>1</v>
      </c>
    </row>
    <row r="25">
      <c r="A25" t="inlineStr">
        <is>
          <t>20260114800029</t>
        </is>
      </c>
      <c r="B25" t="inlineStr">
        <is>
          <t>VLCC</t>
        </is>
      </c>
      <c r="C25" t="n">
        <v>2</v>
      </c>
      <c r="D25" t="n">
        <v>251800</v>
      </c>
      <c r="E25" t="n">
        <v>171.746</v>
      </c>
      <c r="F25" t="n">
        <v>1466.12</v>
      </c>
      <c r="G25" t="inlineStr">
        <is>
          <t>2026-01-13</t>
        </is>
      </c>
      <c r="H25" t="inlineStr">
        <is>
          <t>2026-01-13</t>
        </is>
      </c>
      <c r="I25" t="inlineStr">
        <is>
          <t>2028-11-30</t>
        </is>
      </c>
      <c r="J25" t="inlineStr">
        <is>
          <t>③중마진</t>
        </is>
      </c>
      <c r="K25" t="inlineStr">
        <is>
          <t>linear_progress</t>
        </is>
      </c>
      <c r="L25" t="b">
        <v>0</v>
      </c>
    </row>
    <row r="26">
      <c r="A26" t="inlineStr">
        <is>
          <t>20260115800029</t>
        </is>
      </c>
      <c r="B26" t="inlineStr">
        <is>
          <t>VLCC</t>
        </is>
      </c>
      <c r="C26" t="n">
        <v>2</v>
      </c>
      <c r="D26" t="n">
        <v>253900</v>
      </c>
      <c r="E26" t="n">
        <v>173.178</v>
      </c>
      <c r="F26" t="n">
        <v>1466.12</v>
      </c>
      <c r="G26" t="inlineStr">
        <is>
          <t>2026-01-14</t>
        </is>
      </c>
      <c r="H26" t="inlineStr">
        <is>
          <t>2026-01-14</t>
        </is>
      </c>
      <c r="I26" t="inlineStr">
        <is>
          <t>2029-04-30</t>
        </is>
      </c>
      <c r="J26" t="inlineStr">
        <is>
          <t>③중마진</t>
        </is>
      </c>
      <c r="K26" t="inlineStr">
        <is>
          <t>linear_progress</t>
        </is>
      </c>
      <c r="L26" t="b">
        <v>1</v>
      </c>
    </row>
    <row r="27">
      <c r="A27" t="inlineStr">
        <is>
          <t>20260129800084</t>
        </is>
      </c>
      <c r="B27" t="inlineStr">
        <is>
          <t>VLCC</t>
        </is>
      </c>
      <c r="C27" t="n">
        <v>2</v>
      </c>
      <c r="D27" t="n">
        <v>254100</v>
      </c>
      <c r="E27" t="n">
        <v>173.315</v>
      </c>
      <c r="F27" t="n">
        <v>1466.12</v>
      </c>
      <c r="G27" t="inlineStr">
        <is>
          <t>2026-01-28</t>
        </is>
      </c>
      <c r="H27" t="inlineStr">
        <is>
          <t>2026-01-28</t>
        </is>
      </c>
      <c r="I27" t="inlineStr">
        <is>
          <t>2029-05-31</t>
        </is>
      </c>
      <c r="J27" t="inlineStr">
        <is>
          <t>③중마진</t>
        </is>
      </c>
      <c r="K27" t="inlineStr">
        <is>
          <t>linear_progress</t>
        </is>
      </c>
      <c r="L27" t="b">
        <v>1</v>
      </c>
    </row>
    <row r="28">
      <c r="A28" t="inlineStr">
        <is>
          <t>20260209800078</t>
        </is>
      </c>
      <c r="B28" t="inlineStr">
        <is>
          <t>VLCC</t>
        </is>
      </c>
      <c r="C28" t="n">
        <v>2</v>
      </c>
      <c r="D28" t="n">
        <v>259700</v>
      </c>
      <c r="E28" t="n">
        <v>177.134</v>
      </c>
      <c r="F28" t="n">
        <v>1466.12</v>
      </c>
      <c r="G28" t="inlineStr">
        <is>
          <t>2026-02-06</t>
        </is>
      </c>
      <c r="H28" t="inlineStr">
        <is>
          <t>2026-02-06</t>
        </is>
      </c>
      <c r="I28" t="inlineStr">
        <is>
          <t>2028-12-31</t>
        </is>
      </c>
      <c r="J28" t="inlineStr">
        <is>
          <t>③중마진</t>
        </is>
      </c>
      <c r="K28" t="inlineStr">
        <is>
          <t>linear_progress</t>
        </is>
      </c>
      <c r="L28" t="b">
        <v>1</v>
      </c>
    </row>
    <row r="29">
      <c r="A29" t="inlineStr">
        <is>
          <t>20260317800064</t>
        </is>
      </c>
      <c r="B29" t="inlineStr">
        <is>
          <t>VLCC</t>
        </is>
      </c>
      <c r="C29" t="n">
        <v>1</v>
      </c>
      <c r="D29" t="n">
        <v>133300</v>
      </c>
      <c r="E29" t="n">
        <v>90.92</v>
      </c>
      <c r="F29" t="n">
        <v>1466.12</v>
      </c>
      <c r="G29" t="inlineStr">
        <is>
          <t>2026-03-16</t>
        </is>
      </c>
      <c r="H29" t="inlineStr">
        <is>
          <t>2026-03-16</t>
        </is>
      </c>
      <c r="I29" t="inlineStr">
        <is>
          <t>2029-10-10</t>
        </is>
      </c>
      <c r="J29" t="inlineStr">
        <is>
          <t>③중마진</t>
        </is>
      </c>
      <c r="K29" t="inlineStr">
        <is>
          <t>linear_progress</t>
        </is>
      </c>
      <c r="L29" t="b">
        <v>1</v>
      </c>
    </row>
    <row r="30">
      <c r="A30" t="inlineStr">
        <is>
          <t>20260323800069</t>
        </is>
      </c>
      <c r="B30" t="inlineStr">
        <is>
          <t>VLCC</t>
        </is>
      </c>
      <c r="C30" t="n">
        <v>1</v>
      </c>
      <c r="D30" t="n">
        <v>133800</v>
      </c>
      <c r="E30" t="n">
        <v>91.261</v>
      </c>
      <c r="F30" t="n">
        <v>1466.12</v>
      </c>
      <c r="G30" t="inlineStr">
        <is>
          <t>2026-03-20</t>
        </is>
      </c>
      <c r="H30" t="inlineStr">
        <is>
          <t>2026-03-20</t>
        </is>
      </c>
      <c r="I30" t="inlineStr">
        <is>
          <t>2029-06-30</t>
        </is>
      </c>
      <c r="J30" t="inlineStr">
        <is>
          <t>③중마진</t>
        </is>
      </c>
      <c r="K30" t="inlineStr">
        <is>
          <t>linear_progress</t>
        </is>
      </c>
      <c r="L30" t="b">
        <v>1</v>
      </c>
    </row>
    <row r="31">
      <c r="A31" t="inlineStr">
        <is>
          <t>20260331800063</t>
        </is>
      </c>
      <c r="B31" t="inlineStr">
        <is>
          <t>VLCC</t>
        </is>
      </c>
      <c r="C31" t="n">
        <v>2</v>
      </c>
      <c r="D31" t="n">
        <v>276000</v>
      </c>
      <c r="E31" t="n">
        <v>188.252</v>
      </c>
      <c r="F31" t="n">
        <v>1466.12</v>
      </c>
      <c r="G31" t="inlineStr">
        <is>
          <t>2026-03-30</t>
        </is>
      </c>
      <c r="H31" t="inlineStr">
        <is>
          <t>2026-03-30</t>
        </is>
      </c>
      <c r="I31" t="inlineStr">
        <is>
          <t>2029-09-30</t>
        </is>
      </c>
      <c r="J31" t="inlineStr">
        <is>
          <t>③중마진</t>
        </is>
      </c>
      <c r="K31" t="inlineStr">
        <is>
          <t>linear_progress</t>
        </is>
      </c>
      <c r="L31" t="b">
        <v>1</v>
      </c>
    </row>
    <row r="32">
      <c r="A32" t="inlineStr">
        <is>
          <t>20260416800003</t>
        </is>
      </c>
      <c r="B32" t="inlineStr">
        <is>
          <t>VLCC</t>
        </is>
      </c>
      <c r="C32" t="n">
        <v>1</v>
      </c>
      <c r="D32" t="n">
        <v>132900</v>
      </c>
      <c r="E32" t="n">
        <v>88.497</v>
      </c>
      <c r="F32" t="n">
        <v>1501.75</v>
      </c>
      <c r="G32" t="inlineStr">
        <is>
          <t>2026-04-14</t>
        </is>
      </c>
      <c r="H32" t="inlineStr">
        <is>
          <t>2026-04-14</t>
        </is>
      </c>
      <c r="I32" t="inlineStr">
        <is>
          <t>2029-07-31</t>
        </is>
      </c>
      <c r="J32" t="inlineStr">
        <is>
          <t>③중마진</t>
        </is>
      </c>
      <c r="K32" t="inlineStr">
        <is>
          <t>linear_progress</t>
        </is>
      </c>
      <c r="L32" t="b">
        <v>1</v>
      </c>
    </row>
    <row r="33">
      <c r="A33" t="inlineStr">
        <is>
          <t>20260601800013</t>
        </is>
      </c>
      <c r="B33" t="inlineStr">
        <is>
          <t>VLCC</t>
        </is>
      </c>
      <c r="C33" t="n">
        <v>2</v>
      </c>
      <c r="D33" t="n">
        <v>282800</v>
      </c>
      <c r="E33" t="n">
        <v>188.314</v>
      </c>
      <c r="F33" t="n">
        <v>1501.75</v>
      </c>
      <c r="G33" t="inlineStr">
        <is>
          <t>2026-05-29</t>
        </is>
      </c>
      <c r="H33" t="inlineStr">
        <is>
          <t>2026-05-29</t>
        </is>
      </c>
      <c r="I33" t="inlineStr">
        <is>
          <t>2028-12-31</t>
        </is>
      </c>
      <c r="J33" t="inlineStr">
        <is>
          <t>③중마진</t>
        </is>
      </c>
      <c r="K33" t="inlineStr">
        <is>
          <t>linear_progress</t>
        </is>
      </c>
      <c r="L33" t="b">
        <v>1</v>
      </c>
    </row>
    <row r="34">
      <c r="A34" t="inlineStr">
        <is>
          <t>20260727800063</t>
        </is>
      </c>
      <c r="B34" t="inlineStr">
        <is>
          <t>VLCC</t>
        </is>
      </c>
      <c r="C34" t="n">
        <v>2</v>
      </c>
      <c r="D34" t="n">
        <v>271300</v>
      </c>
      <c r="E34" t="n">
        <v>191.094</v>
      </c>
      <c r="F34" t="n">
        <v>1419.72</v>
      </c>
      <c r="G34" t="inlineStr">
        <is>
          <t>2026-07-24</t>
        </is>
      </c>
      <c r="H34" t="inlineStr">
        <is>
          <t>2026-07-24</t>
        </is>
      </c>
      <c r="I34" t="inlineStr">
        <is>
          <t>2029-12-31</t>
        </is>
      </c>
      <c r="J34" t="inlineStr">
        <is>
          <t>③중마진</t>
        </is>
      </c>
      <c r="K34" t="inlineStr">
        <is>
          <t>linear_progress</t>
        </is>
      </c>
      <c r="L34" t="b">
        <v>0</v>
      </c>
    </row>
    <row r="35">
      <c r="A35" s="2" t="inlineStr">
        <is>
          <t>⚠ 종료일 = 마지막 호선 인도 예정; 진행률 매출 분기는 계약기간 안에 선형 배분(가정)</t>
        </is>
      </c>
    </row>
    <row r="36">
      <c r="A36" s="2" t="inlineStr">
        <is>
          <t>⚠ 헤지비율 0.7 은 가정(통화선도 공시 없음 → 레퍼런스 SLS 시트의 HEDGE 70% 가정. hedge_rate 는 계약별 수주시점 환율로 대체)</t>
        </is>
      </c>
    </row>
    <row r="37">
      <c r="A37" s="2" t="inlineStr">
        <is>
          <t>⚠ 코호트는 원장 내부 상대 등급(신조선가 지수 없음): 2025~ 수주 물량(백만$) 판정 ②BEP 9%, ③중마진 91% — 최다 ③중마진. 레퍼런스 HD현대미포 SLS 는 2025~ 물량을 100% ⑤초호황으로 두어 방향이 다르다(2021 이후 절대 호황 수준 미반영). 타겟 OPM 은 회사 calibrated_shift 로 실측 OPM 에 맞추고, 외부 지수 도입은 사용자 결정</t>
        </is>
      </c>
    </row>
    <row r="38">
      <c r="A38" s="2" t="inlineStr">
        <is>
          <t>⚠ 원장 잔여(27541억) &gt; 공시 해양 기말잔고(23665억), 커버리지 1.16 — 선형 진행 가정이 실제 진행보다 느리거나 공시 잔고 범위(환율·취소·범위)가 다르다. 모델은 배율 1 을 상한으로 볼 것</t>
        </is>
      </c>
    </row>
    <row r="39">
      <c r="A39" s="2" t="inlineStr">
        <is>
          <t>⚠ 원장 신규 19783억 vs 수주표 신규증감 13010억(2026Q2 연초 누계) — 비율 1.52: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7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변수!D49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0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  <c r="M10" s="31">
        <f>IFERROR(VLOOKUP($A10,subQ,MATCH(M$1,SUBQH,0),0),"")</f>
        <v/>
      </c>
      <c r="N10" s="31">
        <f>IFERROR(VLOOKUP($A10,subQ,MATCH(N$1,SUBQH,0),0),"")</f>
        <v/>
      </c>
      <c r="O10" s="31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  <c r="S10" s="31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환관련손익</t>
        </is>
      </c>
      <c r="D13" t="inlineStr">
        <is>
          <t>환관련손익(모델 추정분)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  <c r="M28" s="36">
        <f>IFERROR(VLOOKUP($A28,subQ,MATCH(M$1,SUBQH,0),0),"")</f>
        <v/>
      </c>
      <c r="N28" s="36">
        <f>IFERROR(VLOOKUP($A28,subQ,MATCH(N$1,SUBQH,0),0),"")</f>
        <v/>
      </c>
      <c r="O28" s="36">
        <f>IFERROR(VLOOKUP($A28,subQ,MATCH(O$1,SUBQH,0),0),"")</f>
        <v/>
      </c>
      <c r="P28" s="36">
        <f>IFERROR(VLOOKUP($A28,subQ,MATCH(P$1,SUBQH,0),0),"")</f>
        <v/>
      </c>
      <c r="Q28" s="36">
        <f>IFERROR(VLOOKUP($A28,subQ,MATCH(Q$1,SUBQH,0),0),"")</f>
        <v/>
      </c>
      <c r="R28" s="36">
        <f>IFERROR(VLOOKUP($A28,subQ,MATCH(R$1,SUBQH,0),0),"")</f>
        <v/>
      </c>
      <c r="S28" s="36">
        <f>IFERROR(VLOOKUP($A28,subQ,MATCH(S$1,SUBQH,0),0),"")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  <c r="M32" s="20">
        <f>IFERROR(VLOOKUP($A32,subQ,MATCH(M$1,SUBQH,0),0),"")</f>
        <v/>
      </c>
      <c r="N32" s="20">
        <f>IFERROR(VLOOKUP($A32,subQ,MATCH(N$1,SUBQH,0),0),"")</f>
        <v/>
      </c>
      <c r="O32" s="20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매출조선</t>
        </is>
      </c>
      <c r="D34" t="inlineStr">
        <is>
          <t>매출 조선·해양(선박)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OP조선</t>
        </is>
      </c>
      <c r="D35" t="inlineStr">
        <is>
          <t>OP 조선·해양(선박)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매출기타</t>
        </is>
      </c>
      <c r="D36" t="inlineStr">
        <is>
          <t>매출 기타 부문(총매출 − 조선)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  <c r="M36" s="20">
        <f>IFERROR(VLOOKUP($A36,subQ,MATCH(M$1,SUBQH,0),0),"")</f>
        <v/>
      </c>
      <c r="N36" s="20">
        <f>IFERROR(VLOOKUP($A36,subQ,MATCH(N$1,SUBQH,0),0),"")</f>
        <v/>
      </c>
      <c r="O36" s="20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</row>
    <row r="37">
      <c r="A37" s="12" t="inlineStr">
        <is>
          <t>OP기타</t>
        </is>
      </c>
      <c r="D37" t="inlineStr">
        <is>
          <t>OP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  <c r="M37" s="20">
        <f>IFERROR(VLOOKUP($A37,subQ,MATCH(M$1,SUBQH,0),0),"")</f>
        <v/>
      </c>
      <c r="N37" s="20">
        <f>IFERROR(VLOOKUP($A37,subQ,MATCH(N$1,SUBQH,0),0),"")</f>
        <v/>
      </c>
      <c r="O37" s="20">
        <f>IFERROR(VLOOKUP($A37,subQ,MATCH(O$1,SUBQH,0),0),"")</f>
        <v/>
      </c>
      <c r="P37" s="20">
        <f>IFERROR(VLOOKUP($A37,subQ,MATCH(P$1,SUBQH,0),0),"")</f>
        <v/>
      </c>
      <c r="Q37" s="20">
        <f>IFERROR(VLOOKUP($A37,subQ,MATCH(Q$1,SUBQH,0),0),"")</f>
        <v/>
      </c>
      <c r="R37" s="20">
        <f>IFERROR(VLOOKUP($A37,subQ,MATCH(R$1,SUBQH,0),0),"")</f>
        <v/>
      </c>
      <c r="S37" s="20">
        <f>IFERROR(VLOOKUP($A37,subQ,MATCH(S$1,SUBQH,0),0),"")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  <c r="M38" s="31">
        <f>IFERROR(VLOOKUP($A38,subQ,MATCH(M$1,SUBQH,0),0),"")</f>
        <v/>
      </c>
      <c r="N38" s="31">
        <f>IFERROR(VLOOKUP($A38,subQ,MATCH(N$1,SUBQH,0),0),"")</f>
        <v/>
      </c>
      <c r="O38" s="31">
        <f>IFERROR(VLOOKUP($A38,subQ,MATCH(O$1,SUBQH,0),0),"")</f>
        <v/>
      </c>
      <c r="P38" s="31">
        <f>IFERROR(VLOOKUP($A38,subQ,MATCH(P$1,SUBQH,0),0),"")</f>
        <v/>
      </c>
      <c r="Q38" s="31">
        <f>IFERROR(VLOOKUP($A38,subQ,MATCH(Q$1,SUBQH,0),0),"")</f>
        <v/>
      </c>
      <c r="R38" s="31">
        <f>IFERROR(VLOOKUP($A38,subQ,MATCH(R$1,SUBQH,0),0),"")</f>
        <v/>
      </c>
      <c r="S38" s="31">
        <f>IFERROR(VLOOKUP($A38,subQ,MATCH(S$1,SUBQH,0),0),"")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  <c r="M39" s="31">
        <f>IFERROR(VLOOKUP($A39,subQ,MATCH(M$1,SUBQH,0),0),"")</f>
        <v/>
      </c>
      <c r="N39" s="31">
        <f>IFERROR(VLOOKUP($A39,subQ,MATCH(N$1,SUBQH,0),0),"")</f>
        <v/>
      </c>
      <c r="O39" s="31">
        <f>IFERROR(VLOOKUP($A39,subQ,MATCH(O$1,SUBQH,0),0),"")</f>
        <v/>
      </c>
      <c r="P39" s="31">
        <f>IFERROR(VLOOKUP($A39,subQ,MATCH(P$1,SUBQH,0),0),"")</f>
        <v/>
      </c>
      <c r="Q39" s="31">
        <f>IFERROR(VLOOKUP($A39,subQ,MATCH(Q$1,SUBQH,0),0),"")</f>
        <v/>
      </c>
      <c r="R39" s="31">
        <f>IFERROR(VLOOKUP($A39,subQ,MATCH(R$1,SUBQH,0),0),"")</f>
        <v/>
      </c>
      <c r="S39" s="31">
        <f>IFERROR(VLOOKUP($A39,subQ,MATCH(S$1,SUBQH,0),0),"")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42">
        <f>IFERROR(I5/E5-1,"")</f>
        <v/>
      </c>
      <c r="J40" s="31">
        <f>IFERROR(J5/F5-1,"")</f>
        <v/>
      </c>
      <c r="K40" s="31">
        <f>IFERROR(K5/G5-1,"")</f>
        <v/>
      </c>
      <c r="L40" s="31">
        <f>IFERROR(L5/H5-1,"")</f>
        <v/>
      </c>
      <c r="M40" s="31">
        <f>IFERROR(M5/I5-1,"")</f>
        <v/>
      </c>
      <c r="N40" s="31">
        <f>IFERROR(N5/J5-1,"")</f>
        <v/>
      </c>
      <c r="O40" s="31">
        <f>IFERROR(O5/K5-1,"")</f>
        <v/>
      </c>
      <c r="P40" s="31">
        <f>IFERROR(P5/L5-1,"")</f>
        <v/>
      </c>
      <c r="Q40" s="31">
        <f>IFERROR(Q5/M5-1,"")</f>
        <v/>
      </c>
      <c r="R40" s="31">
        <f>IFERROR(R5/N5-1,"")</f>
        <v/>
      </c>
      <c r="S40" s="31">
        <f>IFERROR(S5/O5-1,"")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42">
        <f>IFERROR(I9/E9-1,"")</f>
        <v/>
      </c>
      <c r="J41" s="31">
        <f>IFERROR(J9/F9-1,"")</f>
        <v/>
      </c>
      <c r="K41" s="31">
        <f>IFERROR(K9/G9-1,"")</f>
        <v/>
      </c>
      <c r="L41" s="31">
        <f>IFERROR(L9/H9-1,"")</f>
        <v/>
      </c>
      <c r="M41" s="31">
        <f>IFERROR(M9/I9-1,"")</f>
        <v/>
      </c>
      <c r="N41" s="31">
        <f>IFERROR(N9/J9-1,"")</f>
        <v/>
      </c>
      <c r="O41" s="31">
        <f>IFERROR(O9/K9-1,"")</f>
        <v/>
      </c>
      <c r="P41" s="31">
        <f>IFERROR(P9/L9-1,"")</f>
        <v/>
      </c>
      <c r="Q41" s="31">
        <f>IFERROR(Q9/M9-1,"")</f>
        <v/>
      </c>
      <c r="R41" s="31">
        <f>IFERROR(R9/N9-1,"")</f>
        <v/>
      </c>
      <c r="S41" s="31">
        <f>IFERROR(S9/O9-1,"")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42">
        <f>IFERROR(I17/E17-1,"")</f>
        <v/>
      </c>
      <c r="J42" s="31">
        <f>IFERROR(J17/F17-1,"")</f>
        <v/>
      </c>
      <c r="K42" s="31">
        <f>IFERROR(K17/G17-1,"")</f>
        <v/>
      </c>
      <c r="L42" s="31">
        <f>IFERROR(L17/H17-1,"")</f>
        <v/>
      </c>
      <c r="M42" s="31">
        <f>IFERROR(M17/I17-1,"")</f>
        <v/>
      </c>
      <c r="N42" s="31">
        <f>IFERROR(N17/J17-1,"")</f>
        <v/>
      </c>
      <c r="O42" s="31">
        <f>IFERROR(O17/K17-1,"")</f>
        <v/>
      </c>
      <c r="P42" s="31">
        <f>IFERROR(P17/L17-1,"")</f>
        <v/>
      </c>
      <c r="Q42" s="31">
        <f>IFERROR(Q17/M17-1,"")</f>
        <v/>
      </c>
      <c r="R42" s="31">
        <f>IFERROR(R17/N17-1,"")</f>
        <v/>
      </c>
      <c r="S42" s="31">
        <f>IFERROR(S17/O17-1,"")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37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변수!D49</f>
        <v/>
      </c>
      <c r="E2" s="38" t="n"/>
    </row>
    <row r="3">
      <c r="C3" t="inlineStr">
        <is>
          <t>기준일:</t>
        </is>
      </c>
      <c r="D3" t="inlineStr">
        <is>
          <t>20260929</t>
        </is>
      </c>
      <c r="E3" s="39" t="n">
        <v>1</v>
      </c>
      <c r="F3" s="2" t="n">
        <v>2</v>
      </c>
      <c r="G3" s="2" t="n">
        <v>3</v>
      </c>
      <c r="H3" s="2" t="n">
        <v>4</v>
      </c>
    </row>
    <row r="4">
      <c r="E4" s="40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1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1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1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1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1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2">
        <f>IFERROR(VLOOKUP($A10,subQ,MATCH(E$1,SUBQH,0),0),"")</f>
        <v/>
      </c>
      <c r="F10" s="31">
        <f>IFERROR(VLOOKUP($A10,subQ,MATCH(F$1,SUBQH,0),0),"")</f>
        <v/>
      </c>
      <c r="G10" s="31">
        <f>IFERROR(VLOOKUP($A10,subQ,MATCH(G$1,SUBQH,0),0),"")</f>
        <v/>
      </c>
      <c r="H10" s="31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1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41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환관련손익</t>
        </is>
      </c>
      <c r="D13" t="inlineStr">
        <is>
          <t>환관련손익(모델 추정분)</t>
        </is>
      </c>
      <c r="E13" s="41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41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41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41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41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1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1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1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1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1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1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1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1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1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1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3">
        <f>IFERROR(VLOOKUP($A28,subQ,MATCH(E$1,SUBQH,0),0),"")</f>
        <v/>
      </c>
      <c r="F28" s="36">
        <f>IFERROR(VLOOKUP($A28,subQ,MATCH(F$1,SUBQH,0),0),"")</f>
        <v/>
      </c>
      <c r="G28" s="36">
        <f>IFERROR(VLOOKUP($A28,subQ,MATCH(G$1,SUBQH,0),0),"")</f>
        <v/>
      </c>
      <c r="H28" s="36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1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1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1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1">
        <f>IFERROR(VLOOKUP($A32,subQ,MATCH(E$1,SUBQH,0),0),"")</f>
        <v/>
      </c>
      <c r="F32" s="20">
        <f>IFERROR(VLOOKUP($A32,subQ,MATCH(F$1,SUBQH,0),0),"")</f>
        <v/>
      </c>
      <c r="G32" s="20">
        <f>IFERROR(VLOOKUP($A32,subQ,MATCH(G$1,SUBQH,0),0),"")</f>
        <v/>
      </c>
      <c r="H32" s="20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1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매출조선</t>
        </is>
      </c>
      <c r="D34" t="inlineStr">
        <is>
          <t>매출 조선·해양(선박)</t>
        </is>
      </c>
      <c r="E34" s="41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OP조선</t>
        </is>
      </c>
      <c r="D35" t="inlineStr">
        <is>
          <t>OP 조선·해양(선박)</t>
        </is>
      </c>
      <c r="E35" s="41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매출기타</t>
        </is>
      </c>
      <c r="D36" t="inlineStr">
        <is>
          <t>매출 기타 부문(총매출 − 조선)</t>
        </is>
      </c>
      <c r="E36" s="41">
        <f>IFERROR(VLOOKUP($A36,subQ,MATCH(E$1,SUBQH,0),0),"")</f>
        <v/>
      </c>
      <c r="F36" s="20">
        <f>IFERROR(VLOOKUP($A36,subQ,MATCH(F$1,SUBQH,0),0),"")</f>
        <v/>
      </c>
      <c r="G36" s="20">
        <f>IFERROR(VLOOKUP($A36,subQ,MATCH(G$1,SUBQH,0),0),"")</f>
        <v/>
      </c>
      <c r="H36" s="20">
        <f>IFERROR(VLOOKUP($A36,subQ,MATCH(H$1,SUBQH,0),0),"")</f>
        <v/>
      </c>
    </row>
    <row r="37">
      <c r="A37" s="12" t="inlineStr">
        <is>
          <t>OP기타</t>
        </is>
      </c>
      <c r="D37" t="inlineStr">
        <is>
          <t>OP 기타 부문(총매출 − 조선)</t>
        </is>
      </c>
      <c r="E37" s="41">
        <f>IFERROR(VLOOKUP($A37,subQ,MATCH(E$1,SUBQH,0),0),"")</f>
        <v/>
      </c>
      <c r="F37" s="20">
        <f>IFERROR(VLOOKUP($A37,subQ,MATCH(F$1,SUBQH,0),0),"")</f>
        <v/>
      </c>
      <c r="G37" s="20">
        <f>IFERROR(VLOOKUP($A37,subQ,MATCH(G$1,SUBQH,0),0),"")</f>
        <v/>
      </c>
      <c r="H37" s="20">
        <f>IFERROR(VLOOKUP($A37,subQ,MATCH(H$1,SUBQH,0),0),"")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42">
        <f>IFERROR(VLOOKUP($A38,subQ,MATCH(E$1,SUBQH,0),0),"")</f>
        <v/>
      </c>
      <c r="F38" s="31">
        <f>IFERROR(VLOOKUP($A38,subQ,MATCH(F$1,SUBQH,0),0),"")</f>
        <v/>
      </c>
      <c r="G38" s="31">
        <f>IFERROR(VLOOKUP($A38,subQ,MATCH(G$1,SUBQH,0),0),"")</f>
        <v/>
      </c>
      <c r="H38" s="31">
        <f>IFERROR(VLOOKUP($A38,subQ,MATCH(H$1,SUBQH,0),0),"")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42">
        <f>IFERROR(VLOOKUP($A39,subQ,MATCH(E$1,SUBQH,0),0),"")</f>
        <v/>
      </c>
      <c r="F39" s="31">
        <f>IFERROR(VLOOKUP($A39,subQ,MATCH(F$1,SUBQH,0),0),"")</f>
        <v/>
      </c>
      <c r="G39" s="31">
        <f>IFERROR(VLOOKUP($A39,subQ,MATCH(G$1,SUBQH,0),0),"")</f>
        <v/>
      </c>
      <c r="H39" s="31">
        <f>IFERROR(VLOOKUP($A39,subQ,MATCH(H$1,SUBQH,0),0),"")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E40" s="38" t="n"/>
      <c r="F40" s="31">
        <f>IFERROR(F5/E5-1,"")</f>
        <v/>
      </c>
      <c r="G40" s="31">
        <f>IFERROR(G5/F5-1,"")</f>
        <v/>
      </c>
      <c r="H40" s="31">
        <f>IFERROR(H5/G5-1,"")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E41" s="38" t="n"/>
      <c r="F41" s="31">
        <f>IFERROR(F9/E9-1,"")</f>
        <v/>
      </c>
      <c r="G41" s="31">
        <f>IFERROR(G9/F9-1,"")</f>
        <v/>
      </c>
      <c r="H41" s="31">
        <f>IFERROR(H9/G9-1,"")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E42" s="38" t="n"/>
      <c r="F42" s="31">
        <f>IFERROR(F17/E17-1,"")</f>
        <v/>
      </c>
      <c r="G42" s="31">
        <f>IFERROR(G17/F17-1,"")</f>
        <v/>
      </c>
      <c r="H42" s="31">
        <f>IFERROR(H17/G17-1,"")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변수!D49</f>
        <v/>
      </c>
    </row>
    <row r="2">
      <c r="B2" s="1" t="inlineStr">
        <is>
          <t>기준일</t>
        </is>
      </c>
      <c r="C2">
        <f>변수!D50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IFERROR(E7*변수!D55+F7*(1-변수!D55),"")</f>
        <v/>
      </c>
    </row>
    <row r="15">
      <c r="C15" t="inlineStr">
        <is>
          <t>적정가치 @PER_lo</t>
        </is>
      </c>
      <c r="D15" s="26">
        <f>변수!D52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7270.6</v>
      </c>
    </row>
    <row r="30">
      <c r="C30" s="2" t="inlineStr">
        <is>
          <t>bps_latest</t>
        </is>
      </c>
      <c r="D30" t="n">
        <v>31475.5</v>
      </c>
    </row>
    <row r="31">
      <c r="C31" s="2" t="inlineStr">
        <is>
          <t>per_now</t>
        </is>
      </c>
      <c r="D31" t="n">
        <v>6.2</v>
      </c>
    </row>
    <row r="32">
      <c r="C32" s="2" t="inlineStr">
        <is>
          <t>pbr_now</t>
        </is>
      </c>
      <c r="D32" t="n">
        <v>1.43</v>
      </c>
    </row>
    <row r="33">
      <c r="C33" s="2" t="inlineStr">
        <is>
          <t>roe_fwd</t>
        </is>
      </c>
      <c r="D33" t="n">
        <v>0.231</v>
      </c>
    </row>
    <row r="34">
      <c r="C34" s="2" t="inlineStr">
        <is>
          <t>fair_pbr</t>
        </is>
      </c>
      <c r="D34" t="n">
        <v>2.57</v>
      </c>
    </row>
    <row r="35">
      <c r="C35" s="2" t="inlineStr">
        <is>
          <t>fair_value_pbr</t>
        </is>
      </c>
      <c r="D35" t="n">
        <v>80900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45">
        <f>IFERROR(VLOOKUP($D5,환율,MATCH(J$1,변수H,0),0),"")</f>
        <v/>
      </c>
      <c r="K5" s="45">
        <f>IFERROR(VLOOKUP($D5,환율,MATCH(K$1,변수H,0),0),"")</f>
        <v/>
      </c>
      <c r="L5" s="45">
        <f>IFERROR(VLOOKUP($D5,환율,MATCH(L$1,변수H,0),0),"")</f>
        <v/>
      </c>
      <c r="M5" s="45">
        <f>IFERROR(VLOOKUP($D5,환율,MATCH(M$1,변수H,0),0),"")</f>
        <v/>
      </c>
      <c r="N5" s="45">
        <f>IFERROR(VLOOKUP($D5,환율,MATCH(N$1,변수H,0),0),"")</f>
        <v/>
      </c>
      <c r="O5" s="45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  <c r="S5" s="45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1">
        <f>IFERROR(J5/I5-1,"")</f>
        <v/>
      </c>
      <c r="K6" s="31">
        <f>IFERROR(K5/J5-1,"")</f>
        <v/>
      </c>
      <c r="L6" s="31">
        <f>IFERROR(L5/K5-1,"")</f>
        <v/>
      </c>
      <c r="M6" s="31">
        <f>IFERROR(M5/L5-1,"")</f>
        <v/>
      </c>
      <c r="N6" s="31">
        <f>IFERROR(N5/M5-1,"")</f>
        <v/>
      </c>
      <c r="O6" s="3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  <c r="S6" s="31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45">
        <f>IFERROR(VLOOKUP($D7,환율,MATCH(J$1,변수H,0),0),"")</f>
        <v/>
      </c>
      <c r="K7" s="45">
        <f>IFERROR(VLOOKUP($D7,환율,MATCH(K$1,변수H,0),0),"")</f>
        <v/>
      </c>
      <c r="L7" s="45">
        <f>IFERROR(VLOOKUP($D7,환율,MATCH(L$1,변수H,0),0),"")</f>
        <v/>
      </c>
      <c r="M7" s="45">
        <f>IFERROR(VLOOKUP($D7,환율,MATCH(M$1,변수H,0),0),"")</f>
        <v/>
      </c>
      <c r="N7" s="45">
        <f>IFERROR(VLOOKUP($D7,환율,MATCH(N$1,변수H,0),0),"")</f>
        <v/>
      </c>
      <c r="O7" s="45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  <c r="S7" s="45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1">
        <f>IFERROR(J7/I7-1,"")</f>
        <v/>
      </c>
      <c r="K8" s="31">
        <f>IFERROR(K7/J7-1,"")</f>
        <v/>
      </c>
      <c r="L8" s="31">
        <f>IFERROR(L7/K7-1,"")</f>
        <v/>
      </c>
      <c r="M8" s="31">
        <f>IFERROR(M7/L7-1,"")</f>
        <v/>
      </c>
      <c r="N8" s="31">
        <f>IFERROR(N7/M7-1,"")</f>
        <v/>
      </c>
      <c r="O8" s="3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  <c r="S8" s="31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45">
        <f>IFERROR(VLOOKUP($D9,환율,MATCH(J$1,변수H,0),0),"")</f>
        <v/>
      </c>
      <c r="K9" s="45">
        <f>IFERROR(VLOOKUP($D9,환율,MATCH(K$1,변수H,0),0),"")</f>
        <v/>
      </c>
      <c r="L9" s="45">
        <f>IFERROR(VLOOKUP($D9,환율,MATCH(L$1,변수H,0),0),"")</f>
        <v/>
      </c>
      <c r="M9" s="45">
        <f>IFERROR(VLOOKUP($D9,환율,MATCH(M$1,변수H,0),0),"")</f>
        <v/>
      </c>
      <c r="N9" s="45">
        <f>IFERROR(VLOOKUP($D9,환율,MATCH(N$1,변수H,0),0),"")</f>
        <v/>
      </c>
      <c r="O9" s="45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  <c r="S9" s="45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1">
        <f>IFERROR(J9/I9-1,"")</f>
        <v/>
      </c>
      <c r="K10" s="31">
        <f>IFERROR(K9/J9-1,"")</f>
        <v/>
      </c>
      <c r="L10" s="31">
        <f>IFERROR(L9/K9-1,"")</f>
        <v/>
      </c>
      <c r="M10" s="31">
        <f>IFERROR(M9/L9-1,"")</f>
        <v/>
      </c>
      <c r="N10" s="31">
        <f>IFERROR(N9/M9-1,"")</f>
        <v/>
      </c>
      <c r="O10" s="3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  <c r="S10" s="31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45">
        <f>IFERROR(VLOOKUP($D11,환율,MATCH(J$1,변수H,0),0),"")</f>
        <v/>
      </c>
      <c r="K11" s="45">
        <f>IFERROR(VLOOKUP($D11,환율,MATCH(K$1,변수H,0),0),"")</f>
        <v/>
      </c>
      <c r="L11" s="45">
        <f>IFERROR(VLOOKUP($D11,환율,MATCH(L$1,변수H,0),0),"")</f>
        <v/>
      </c>
      <c r="M11" s="45">
        <f>IFERROR(VLOOKUP($D11,환율,MATCH(M$1,변수H,0),0),"")</f>
        <v/>
      </c>
      <c r="N11" s="45">
        <f>IFERROR(VLOOKUP($D11,환율,MATCH(N$1,변수H,0),0),"")</f>
        <v/>
      </c>
      <c r="O11" s="45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  <c r="S11" s="45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1">
        <f>IFERROR(J11/I11-1,"")</f>
        <v/>
      </c>
      <c r="K12" s="31">
        <f>IFERROR(K11/J11-1,"")</f>
        <v/>
      </c>
      <c r="L12" s="31">
        <f>IFERROR(L11/K11-1,"")</f>
        <v/>
      </c>
      <c r="M12" s="31">
        <f>IFERROR(M11/L11-1,"")</f>
        <v/>
      </c>
      <c r="N12" s="31">
        <f>IFERROR(N11/M11-1,"")</f>
        <v/>
      </c>
      <c r="O12" s="3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  <c r="S12" s="31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45">
        <f>IFERROR(VLOOKUP($D13,환율,MATCH(J$1,변수H,0),0),"")</f>
        <v/>
      </c>
      <c r="K13" s="45">
        <f>IFERROR(VLOOKUP($D13,환율,MATCH(K$1,변수H,0),0),"")</f>
        <v/>
      </c>
      <c r="L13" s="45">
        <f>IFERROR(VLOOKUP($D13,환율,MATCH(L$1,변수H,0),0),"")</f>
        <v/>
      </c>
      <c r="M13" s="45">
        <f>IFERROR(VLOOKUP($D13,환율,MATCH(M$1,변수H,0),0),"")</f>
        <v/>
      </c>
      <c r="N13" s="45">
        <f>IFERROR(VLOOKUP($D13,환율,MATCH(N$1,변수H,0),0),"")</f>
        <v/>
      </c>
      <c r="O13" s="45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  <c r="S13" s="45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1">
        <f>IFERROR(J13/I13-1,"")</f>
        <v/>
      </c>
      <c r="K14" s="31">
        <f>IFERROR(K13/J13-1,"")</f>
        <v/>
      </c>
      <c r="L14" s="31">
        <f>IFERROR(L13/K13-1,"")</f>
        <v/>
      </c>
      <c r="M14" s="31">
        <f>IFERROR(M13/L13-1,"")</f>
        <v/>
      </c>
      <c r="N14" s="31">
        <f>IFERROR(N13/M13-1,"")</f>
        <v/>
      </c>
      <c r="O14" s="3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  <c r="S14" s="31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20" t="n">
        <v>4.52</v>
      </c>
      <c r="K18" s="20" t="n">
        <v>-0</v>
      </c>
      <c r="L18" s="20" t="n">
        <v>-0</v>
      </c>
      <c r="M18" s="20" t="n">
        <v>-0</v>
      </c>
      <c r="N18" s="20" t="n">
        <v>-0</v>
      </c>
      <c r="O18" s="20" t="n">
        <v>-0</v>
      </c>
      <c r="P18" s="20" t="n">
        <v>-0</v>
      </c>
      <c r="Q18" s="20" t="n">
        <v>-0</v>
      </c>
      <c r="R18" s="20" t="n">
        <v>-0</v>
      </c>
      <c r="S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