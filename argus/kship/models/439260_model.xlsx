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196억 유지(패널 신규수주 체결 분기별 상계, net_panel)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2720억(sls.by_quarter.marine_hedged_krw_m(헤지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2750억(sls.by_quarter.marine_hedged_krw_m(헤지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2631억(sls.by_quarter.marine_hedged_krw_m(헤지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2297억(sls.by_quarter.marine_hedged_krw_m(헤지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1871억(sls.by_quarter.marine_hedged_krw_m(헤지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</t>
      </text>
    </comment>
    <comment ref="K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6410억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7023억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7653억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8249억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8995억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9764억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10598억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11443억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12439억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6410억 × 2.21%(주석 이자수익 ÷ 평균 이자발생자산(2025Q3~2026Q2)) − 총차입금 0억 × 0.00%(없음) (연율) ÷ 4
[interest]</t>
      </text>
    </comment>
    <comment ref="N12" authorId="0" shapeId="0">
      <text>
        <t>추정: 이자발생자산 7023억 × 2.21%(주석 이자수익 ÷ 평균 이자발생자산(2025Q3~2026Q2)) − 총차입금 0억 × 0.00%(없음) (연율) ÷ 4
[interest]</t>
      </text>
    </comment>
    <comment ref="O12" authorId="0" shapeId="0">
      <text>
        <t>추정: 이자발생자산 7653억 × 2.21%(주석 이자수익 ÷ 평균 이자발생자산(2025Q3~2026Q2)) − 총차입금 0억 × 0.00%(없음) (연율) ÷ 4
[interest]</t>
      </text>
    </comment>
    <comment ref="P12" authorId="0" shapeId="0">
      <text>
        <t>추정: 이자발생자산 8249억 × 2.21%(주석 이자수익 ÷ 평균 이자발생자산(2025Q3~2026Q2)) − 총차입금 0억 × 0.00%(없음) (연율) ÷ 4
[interest]</t>
      </text>
    </comment>
    <comment ref="Q12" authorId="0" shapeId="0">
      <text>
        <t>추정: 이자발생자산 8995억 × 2.21%(주석 이자수익 ÷ 평균 이자발생자산(2025Q3~2026Q2)) − 총차입금 0억 × 0.00%(없음) (연율) ÷ 4
[interest]</t>
      </text>
    </comment>
    <comment ref="S12" authorId="0" shapeId="0">
      <text>
        <t>추정: 이자발생자산 9764억 × 2.21%(주석 이자수익 ÷ 평균 이자발생자산(2025Q3~2026Q2)) − 총차입금 0억 × 0.00%(없음) (연율) ÷ 4
[interest]</t>
      </text>
    </comment>
    <comment ref="T12" authorId="0" shapeId="0">
      <text>
        <t>추정: 이자발생자산 10598억 × 2.21%(주석 이자수익 ÷ 평균 이자발생자산(2025Q3~2026Q2)) − 총차입금 0억 × 0.00%(없음) (연율) ÷ 4
[interest]</t>
      </text>
    </comment>
    <comment ref="U12" authorId="0" shapeId="0">
      <text>
        <t>추정: 이자발생자산 11443억 × 2.21%(주석 이자수익 ÷ 평균 이자발생자산(2025Q3~2026Q2)) − 총차입금 0억 × 0.00%(없음) (연율) ÷ 4
[interest]</t>
      </text>
    </comment>
    <comment ref="V12" authorId="0" shapeId="0">
      <text>
        <t>추정: 이자발생자산 12439억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2775억(sls.by_quarter.marine_hedged_krw_m(헤지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149억 유지(패널 신규수주 체결 분기별 상계, net_panel)
[sls_link]</t>
      </text>
    </comment>
    <comment ref="L38" authorId="0" shapeId="0">
      <text>
        <t>추정: SLS 해양 원화 2782억(sls.by_quarter.marine_hedged_krw_m(헤지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196억 유지(패널 신규수주 체결 분기별 상계, net_panel)
[sls_link]</t>
      </text>
    </comment>
    <comment ref="N38" authorId="0" shapeId="0">
      <text>
        <t>추정: SLS 해양 원화 2720억(sls.by_quarter.marine_hedged_krw_m(헤지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149억(forecast_panel.json.gz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191억 유지(패널 신규수주 체결 분기별 상계, net_panel)
[sls_link]</t>
      </text>
    </comment>
    <comment ref="O38" authorId="0" shapeId="0">
      <text>
        <t>추정: SLS 해양 원화 2750억(sls.by_quarter.marine_hedged_krw_m(헤지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408억(forecast_panel.json.gz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P38" authorId="0" shapeId="0">
      <text>
        <t>추정: SLS 해양 원화 2631억(sls.by_quarter.marine_hedged_krw_m(헤지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772억(forecast_panel.json.gz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Q38" authorId="0" shapeId="0">
      <text>
        <t>추정: SLS 해양 원화 2297억(sls.by_quarter.marine_hedged_krw_m(헤지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1210억(forecast_panel.json.gz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S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1693억(forecast_panel.json.gz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T38" authorId="0" shapeId="0">
      <text>
        <t>추정: SLS 해양 원화 2105억(sls.by_quarter.marine_hedged_krw_m(헤지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2191억(forecast_panel.json.gz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193억 유지(패널 신규수주 체결 분기별 상계, net_panel)
[sls_link]</t>
      </text>
    </comment>
    <comment ref="U38" authorId="0" shapeId="0">
      <text>
        <t>추정: SLS 해양 원화 1871억(sls.by_quarter.marine_hedged_krw_m(헤지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2673억(forecast_panel.json.gz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V38" authorId="0" shapeId="0">
      <text>
        <t>추정: SLS 해양 원화 1473억(sls.by_quarter.marine_hedged_krw_m(헤지 70% 적용; origin 2026Q2 이후 체결 1건 SLS 유지 — 패널 신규수주와 체결 분기별 상계(net_panel))) + 원장 밖 잔고 소진 0억(최근 4분기 '부문매출−SLS' 중위 1540억/분기, 잔여 0억) + 신규수주 매출 3111억(forecast_panel.json.gz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1,169억)) · origin 이후 공시 수주 SLS 195억 유지(패널 신규수주 체결 분기별 상계, net_panel)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3,882억 − 공시 2,713억 = 1,169억)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new_order_revenue 신규수주 매출(미보정 book-value proxy, status partial; FY합 12,233억) — 보수/낙관은 scenarios 블록(합산 안 함) / origin 이후 공시 수주 1건 2,713억은 SLS 일정으로 전부 유지, 패널 신규수주에서 체결 분기별 상계(2026Q3 패널 3,882억 − 공시 2,713억 = 1,169억) — 패널 base 신규 매출 −2,366억(2026 57억 · 2027 1,021억 · 2028 1,288억)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유지 SLS(공시) vs 패널 base 신규 매출(상계 후): 2026 344억 vs 25억 · 2027 775억 vs 2,540억 · 2028 777억 vs 9,669억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1345.74</v>
      </c>
      <c r="M6" s="17" t="n">
        <v>1457.79</v>
      </c>
      <c r="N6" s="16" t="n">
        <v>1343.46</v>
      </c>
      <c r="O6" s="16" t="n">
        <v>1343.46</v>
      </c>
      <c r="P6" s="16" t="n">
        <v>1343.46</v>
      </c>
      <c r="Q6" s="16" t="n">
        <v>1343.46</v>
      </c>
      <c r="R6" s="11" t="n"/>
      <c r="S6" s="16" t="n">
        <v>1343.46</v>
      </c>
      <c r="T6" s="16" t="n">
        <v>1343.46</v>
      </c>
      <c r="U6" s="16" t="n">
        <v>1343.46</v>
      </c>
      <c r="V6" s="16" t="n">
        <v>1343.46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1343.46</v>
      </c>
      <c r="M7" s="17" t="n">
        <v>1343.46</v>
      </c>
      <c r="N7" s="16" t="n">
        <v>1343.46</v>
      </c>
      <c r="O7" s="16" t="n">
        <v>1343.46</v>
      </c>
      <c r="P7" s="16" t="n">
        <v>1343.46</v>
      </c>
      <c r="Q7" s="16" t="n">
        <v>1343.46</v>
      </c>
      <c r="R7" s="11" t="n"/>
      <c r="S7" s="16" t="n">
        <v>1343.46</v>
      </c>
      <c r="T7" s="16" t="n">
        <v>1343.46</v>
      </c>
      <c r="U7" s="16" t="n">
        <v>1343.46</v>
      </c>
      <c r="V7" s="16" t="n">
        <v>1343.46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851.3099999999999</v>
      </c>
      <c r="M8" s="17" t="n">
        <v>919.5700000000001</v>
      </c>
      <c r="N8" s="16" t="n">
        <v>848.79</v>
      </c>
      <c r="O8" s="16" t="n">
        <v>848.79</v>
      </c>
      <c r="P8" s="16" t="n">
        <v>848.79</v>
      </c>
      <c r="Q8" s="16" t="n">
        <v>848.79</v>
      </c>
      <c r="R8" s="11" t="n"/>
      <c r="S8" s="16" t="n">
        <v>848.79</v>
      </c>
      <c r="T8" s="16" t="n">
        <v>848.79</v>
      </c>
      <c r="U8" s="16" t="n">
        <v>848.79</v>
      </c>
      <c r="V8" s="16" t="n">
        <v>848.79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848.79</v>
      </c>
      <c r="M9" s="17" t="n">
        <v>848.79</v>
      </c>
      <c r="N9" s="16" t="n">
        <v>848.79</v>
      </c>
      <c r="O9" s="16" t="n">
        <v>848.79</v>
      </c>
      <c r="P9" s="16" t="n">
        <v>848.79</v>
      </c>
      <c r="Q9" s="16" t="n">
        <v>848.79</v>
      </c>
      <c r="R9" s="11" t="n"/>
      <c r="S9" s="16" t="n">
        <v>848.79</v>
      </c>
      <c r="T9" s="16" t="n">
        <v>848.79</v>
      </c>
      <c r="U9" s="16" t="n">
        <v>848.79</v>
      </c>
      <c r="V9" s="16" t="n">
        <v>848.79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1510.82</v>
      </c>
      <c r="M10" s="17" t="n">
        <v>1690.9</v>
      </c>
      <c r="N10" s="16" t="n">
        <v>1502.8</v>
      </c>
      <c r="O10" s="16" t="n">
        <v>1502.8</v>
      </c>
      <c r="P10" s="16" t="n">
        <v>1502.8</v>
      </c>
      <c r="Q10" s="16" t="n">
        <v>1502.8</v>
      </c>
      <c r="R10" s="11" t="n"/>
      <c r="S10" s="16" t="n">
        <v>1502.8</v>
      </c>
      <c r="T10" s="16" t="n">
        <v>1502.8</v>
      </c>
      <c r="U10" s="16" t="n">
        <v>1502.8</v>
      </c>
      <c r="V10" s="16" t="n">
        <v>1502.8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1502.8</v>
      </c>
      <c r="M11" s="17" t="n">
        <v>1502.8</v>
      </c>
      <c r="N11" s="16" t="n">
        <v>1502.8</v>
      </c>
      <c r="O11" s="16" t="n">
        <v>1502.8</v>
      </c>
      <c r="P11" s="16" t="n">
        <v>1502.8</v>
      </c>
      <c r="Q11" s="16" t="n">
        <v>1502.8</v>
      </c>
      <c r="R11" s="11" t="n"/>
      <c r="S11" s="16" t="n">
        <v>1502.8</v>
      </c>
      <c r="T11" s="16" t="n">
        <v>1502.8</v>
      </c>
      <c r="U11" s="16" t="n">
        <v>1502.8</v>
      </c>
      <c r="V11" s="16" t="n">
        <v>1502.8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200.73</v>
      </c>
      <c r="M12" s="17" t="n">
        <v>213.82</v>
      </c>
      <c r="N12" s="16" t="n">
        <v>200.45</v>
      </c>
      <c r="O12" s="16" t="n">
        <v>200.45</v>
      </c>
      <c r="P12" s="16" t="n">
        <v>200.45</v>
      </c>
      <c r="Q12" s="16" t="n">
        <v>200.45</v>
      </c>
      <c r="R12" s="11" t="n"/>
      <c r="S12" s="16" t="n">
        <v>200.45</v>
      </c>
      <c r="T12" s="16" t="n">
        <v>200.45</v>
      </c>
      <c r="U12" s="16" t="n">
        <v>200.45</v>
      </c>
      <c r="V12" s="16" t="n">
        <v>200.45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200.45</v>
      </c>
      <c r="M13" s="17" t="n">
        <v>200.45</v>
      </c>
      <c r="N13" s="16" t="n">
        <v>200.45</v>
      </c>
      <c r="O13" s="16" t="n">
        <v>200.45</v>
      </c>
      <c r="P13" s="16" t="n">
        <v>200.45</v>
      </c>
      <c r="Q13" s="16" t="n">
        <v>200.45</v>
      </c>
      <c r="R13" s="11" t="n"/>
      <c r="S13" s="16" t="n">
        <v>200.45</v>
      </c>
      <c r="T13" s="16" t="n">
        <v>200.45</v>
      </c>
      <c r="U13" s="16" t="n">
        <v>200.45</v>
      </c>
      <c r="V13" s="16" t="n">
        <v>200.45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44800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44550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46340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-0.004723878</v>
      </c>
      <c r="L29" s="29" t="n">
        <v>0.010373768</v>
      </c>
      <c r="M29" s="30" t="n"/>
      <c r="N29" s="29" t="n">
        <v>-0.001095476</v>
      </c>
      <c r="O29" s="29" t="n">
        <v>95.22586449000001</v>
      </c>
      <c r="P29" s="29" t="n">
        <v>0.007064316</v>
      </c>
      <c r="Q29" s="29" t="n">
        <v>-0.000905154</v>
      </c>
      <c r="R29" s="30" t="n"/>
      <c r="S29" s="29" t="n">
        <v>0.002346298</v>
      </c>
      <c r="T29" s="29" t="n">
        <v>95.230492422</v>
      </c>
      <c r="U29" s="29" t="n">
        <v>-0.000727811</v>
      </c>
      <c r="V29" s="29" t="n">
        <v>0.008779009000000001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-0.004723878</v>
      </c>
      <c r="L30" s="29" t="n">
        <v>0.010373768</v>
      </c>
      <c r="M30" s="30" t="n"/>
      <c r="N30" s="29" t="n">
        <v>-0.001095476</v>
      </c>
      <c r="O30" s="29" t="n">
        <v>95.22586449000001</v>
      </c>
      <c r="P30" s="29" t="n">
        <v>0.007064316</v>
      </c>
      <c r="Q30" s="29" t="n">
        <v>-0.000905154</v>
      </c>
      <c r="R30" s="30" t="n"/>
      <c r="S30" s="29" t="n">
        <v>0.002346298</v>
      </c>
      <c r="T30" s="29" t="n">
        <v>95.230492422</v>
      </c>
      <c r="U30" s="29" t="n">
        <v>-0.000727811</v>
      </c>
      <c r="V30" s="29" t="n">
        <v>0.008779009000000001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0.104807132</v>
      </c>
      <c r="L33" s="31" t="n">
        <v>0.095765129</v>
      </c>
      <c r="M33" s="25" t="n"/>
      <c r="N33" s="31" t="n">
        <v>0.089598289</v>
      </c>
      <c r="O33" s="31" t="n">
        <v>0.07797589100000001</v>
      </c>
      <c r="P33" s="31" t="n">
        <v>0.090320844</v>
      </c>
      <c r="Q33" s="31" t="n">
        <v>0.085593769</v>
      </c>
      <c r="R33" s="25" t="n"/>
      <c r="S33" s="31" t="n">
        <v>0.085366728</v>
      </c>
      <c r="T33" s="31" t="n">
        <v>0.079738479</v>
      </c>
      <c r="U33" s="31" t="n">
        <v>0.08698961600000001</v>
      </c>
      <c r="V33" s="31" t="n">
        <v>0.081032149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148.90116</v>
      </c>
      <c r="L39" s="29" t="n">
        <v>195.47546</v>
      </c>
      <c r="M39" s="30" t="n"/>
      <c r="N39" s="29" t="n">
        <v>191.145885</v>
      </c>
      <c r="O39" s="29" t="n">
        <v>193.297155</v>
      </c>
      <c r="P39" s="29" t="n">
        <v>195.409807</v>
      </c>
      <c r="Q39" s="29" t="n">
        <v>195.37715</v>
      </c>
      <c r="R39" s="30" t="n"/>
      <c r="S39" s="29" t="n">
        <v>193.288299</v>
      </c>
      <c r="T39" s="29" t="n">
        <v>193.276119</v>
      </c>
      <c r="U39" s="29" t="n">
        <v>195.376558</v>
      </c>
      <c r="V39" s="29" t="n">
        <v>195.37185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· 공시 상계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24.58</v>
      </c>
      <c r="M40" s="30">
        <f>subQ!M39</f>
        <v/>
      </c>
      <c r="N40" s="29" t="n">
        <v>149.36</v>
      </c>
      <c r="O40" s="29" t="n">
        <v>408.45</v>
      </c>
      <c r="P40" s="29" t="n">
        <v>772.01</v>
      </c>
      <c r="Q40" s="29" t="n">
        <v>1210.15</v>
      </c>
      <c r="R40" s="30">
        <f>subQ!R39</f>
        <v/>
      </c>
      <c r="S40" s="29" t="n">
        <v>1693.02</v>
      </c>
      <c r="T40" s="29" t="n">
        <v>2190.75</v>
      </c>
      <c r="U40" s="29" t="n">
        <v>2673.48</v>
      </c>
      <c r="V40" s="29" t="n">
        <v>3111.34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0.268401653</v>
      </c>
      <c r="L41" s="31" t="n">
        <v>0.268404793</v>
      </c>
      <c r="M41" s="25">
        <f>IFERROR(subQ!M40/subQ!M38,"")</f>
        <v/>
      </c>
      <c r="N41" s="31" t="n">
        <v>0.268403353</v>
      </c>
      <c r="O41" s="31" t="n">
        <v>0.268405107</v>
      </c>
      <c r="P41" s="31" t="n">
        <v>0.268402632</v>
      </c>
      <c r="Q41" s="31" t="n">
        <v>0.268404304</v>
      </c>
      <c r="R41" s="25">
        <f>IFERROR(subQ!R40/subQ!R38,"")</f>
        <v/>
      </c>
      <c r="S41" s="31" t="n">
        <v>0.268404411</v>
      </c>
      <c r="T41" s="31" t="n">
        <v>0.26840373</v>
      </c>
      <c r="U41" s="31" t="n">
        <v>0.268403936</v>
      </c>
      <c r="V41" s="31" t="n">
        <v>0.268403821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44800</v>
      </c>
      <c r="E46" s="2" t="inlineStr">
        <is>
          <t>원 — 네이버 정규장 종가(aik 확정종가 대조 · aik 46,600원)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0.227595398663842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0.02443698356731461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0.02207121794200281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base(공시 상계)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1345.74</v>
      </c>
      <c r="K12" s="13" t="n">
        <v>1343.46</v>
      </c>
      <c r="L12" s="13" t="n">
        <v>1343.46</v>
      </c>
      <c r="M12" s="13" t="n">
        <v>1343.46</v>
      </c>
      <c r="N12" s="13" t="n">
        <v>1343.46</v>
      </c>
      <c r="O12" s="13" t="n">
        <v>1343.46</v>
      </c>
      <c r="P12" s="13" t="n">
        <v>1343.46</v>
      </c>
      <c r="Q12" s="13" t="n">
        <v>1343.46</v>
      </c>
      <c r="R12" s="13" t="n">
        <v>1343.46</v>
      </c>
      <c r="S12" s="13" t="n">
        <v>1343.46</v>
      </c>
      <c r="T12" s="13" t="n">
        <v>1343.46</v>
      </c>
      <c r="U12" s="13" t="n">
        <v>1343.46</v>
      </c>
      <c r="V12" s="13" t="n">
        <v>1343.46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1411.13</v>
      </c>
      <c r="K13" s="13" t="n">
        <v>1410.45</v>
      </c>
      <c r="L13" s="13" t="n">
        <v>1410.45</v>
      </c>
      <c r="M13" s="13" t="n">
        <v>1412.58</v>
      </c>
      <c r="N13" s="13" t="n">
        <v>1418.39</v>
      </c>
      <c r="O13" s="13" t="n">
        <v>1419.33</v>
      </c>
      <c r="P13" s="13" t="n">
        <v>1419.33</v>
      </c>
      <c r="Q13" s="13" t="n">
        <v>1419.59</v>
      </c>
      <c r="R13" s="13" t="n">
        <v>1430.02</v>
      </c>
      <c r="S13" s="13" t="n">
        <v>1424.45</v>
      </c>
      <c r="T13" s="13" t="n">
        <v>1423.43</v>
      </c>
      <c r="U13" s="13" t="n">
        <v>1416.77</v>
      </c>
      <c r="V13" s="13" t="n">
        <v>1397.52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278189.2</v>
      </c>
      <c r="K14" s="18" t="n">
        <v>272009.7</v>
      </c>
      <c r="L14" s="18" t="n">
        <v>275032.1</v>
      </c>
      <c r="M14" s="18" t="n">
        <v>263089.9</v>
      </c>
      <c r="N14" s="18" t="n">
        <v>229691.1</v>
      </c>
      <c r="O14" s="18" t="n">
        <v>210538.9</v>
      </c>
      <c r="P14" s="18" t="n">
        <v>210538.9</v>
      </c>
      <c r="Q14" s="18" t="n">
        <v>187119.8</v>
      </c>
      <c r="R14" s="18" t="n">
        <v>147317.3</v>
      </c>
      <c r="S14" s="18" t="n">
        <v>91349.10000000001</v>
      </c>
      <c r="T14" s="18" t="n">
        <v>76344.7</v>
      </c>
      <c r="U14" s="18" t="n">
        <v>46862.7</v>
      </c>
      <c r="V14" s="18" t="n">
        <v>20396.1</v>
      </c>
      <c r="W14" s="18" t="n">
        <v>145742.2</v>
      </c>
      <c r="X14" s="18" t="n">
        <v>1054779.2</v>
      </c>
      <c r="Y14" s="18" t="n">
        <v>1039822.8</v>
      </c>
      <c r="Z14" s="18" t="n">
        <v>755514.9</v>
      </c>
      <c r="AA14" s="18" t="n">
        <v>234952.6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278189.2</v>
      </c>
      <c r="K15" s="18" t="n">
        <v>272009.7</v>
      </c>
      <c r="L15" s="18" t="n">
        <v>275032.1</v>
      </c>
      <c r="M15" s="18" t="n">
        <v>263089.9</v>
      </c>
      <c r="N15" s="18" t="n">
        <v>229691.1</v>
      </c>
      <c r="O15" s="18" t="n">
        <v>210538.9</v>
      </c>
      <c r="P15" s="18" t="n">
        <v>210538.9</v>
      </c>
      <c r="Q15" s="18" t="n">
        <v>187119.8</v>
      </c>
      <c r="R15" s="18" t="n">
        <v>147317.3</v>
      </c>
      <c r="S15" s="18" t="n">
        <v>91349.10000000001</v>
      </c>
      <c r="T15" s="18" t="n">
        <v>76344.7</v>
      </c>
      <c r="U15" s="18" t="n">
        <v>46862.7</v>
      </c>
      <c r="V15" s="18" t="n">
        <v>20396.1</v>
      </c>
      <c r="W15" s="18" t="n">
        <v>145742.2</v>
      </c>
      <c r="X15" s="18" t="n">
        <v>1054779.2</v>
      </c>
      <c r="Y15" s="18" t="n">
        <v>1039822.8</v>
      </c>
      <c r="Z15" s="18" t="n">
        <v>755514.9</v>
      </c>
      <c r="AA15" s="18" t="n">
        <v>234952.6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258639.3</v>
      </c>
      <c r="K16" s="18" t="n">
        <v>252894.1</v>
      </c>
      <c r="L16" s="18" t="n">
        <v>255704.1</v>
      </c>
      <c r="M16" s="18" t="n">
        <v>243549.5</v>
      </c>
      <c r="N16" s="18" t="n">
        <v>210150.7</v>
      </c>
      <c r="O16" s="18" t="n">
        <v>191210.9</v>
      </c>
      <c r="P16" s="18" t="n">
        <v>191210.9</v>
      </c>
      <c r="Q16" s="18" t="n">
        <v>167579.4</v>
      </c>
      <c r="R16" s="18" t="n">
        <v>127776.9</v>
      </c>
      <c r="S16" s="18" t="n">
        <v>72233.5</v>
      </c>
      <c r="T16" s="18" t="n">
        <v>57016.7</v>
      </c>
      <c r="U16" s="18" t="n">
        <v>27322.3</v>
      </c>
      <c r="V16" s="18" t="n">
        <v>855.7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19550</v>
      </c>
      <c r="K17" s="18" t="n">
        <v>19115.6</v>
      </c>
      <c r="L17" s="18" t="n">
        <v>19328</v>
      </c>
      <c r="M17" s="18" t="n">
        <v>19540.4</v>
      </c>
      <c r="N17" s="18" t="n">
        <v>19540.4</v>
      </c>
      <c r="O17" s="18" t="n">
        <v>19328</v>
      </c>
      <c r="P17" s="18" t="n">
        <v>19328</v>
      </c>
      <c r="Q17" s="18" t="n">
        <v>19540.4</v>
      </c>
      <c r="R17" s="18" t="n">
        <v>19540.4</v>
      </c>
      <c r="S17" s="18" t="n">
        <v>19115.6</v>
      </c>
      <c r="T17" s="18" t="n">
        <v>19328</v>
      </c>
      <c r="U17" s="18" t="n">
        <v>19540.4</v>
      </c>
      <c r="V17" s="18" t="n">
        <v>19540.4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원/달러(평균)",환율,MATCH(J$1,변수H,0),0),1345.74)</f>
        <v/>
      </c>
      <c r="K23" s="13">
        <f>IFERROR(VLOOKUP(" 원/달러(평균)",환율,MATCH(K$1,변수H,0),0),1343.46)</f>
        <v/>
      </c>
      <c r="L23" s="13">
        <f>IFERROR(VLOOKUP(" 원/달러(평균)",환율,MATCH(L$1,변수H,0),0),1343.46)</f>
        <v/>
      </c>
      <c r="M23" s="13">
        <f>IFERROR(VLOOKUP(" 원/달러(평균)",환율,MATCH(M$1,변수H,0),0),1343.46)</f>
        <v/>
      </c>
      <c r="N23" s="13">
        <f>IFERROR(VLOOKUP(" 원/달러(평균)",환율,MATCH(N$1,변수H,0),0),1343.46)</f>
        <v/>
      </c>
      <c r="O23" s="13">
        <f>IFERROR(VLOOKUP(" 원/달러(평균)",환율,MATCH(O$1,변수H,0),0),1343.46)</f>
        <v/>
      </c>
      <c r="P23" s="13">
        <f>IFERROR(VLOOKUP(" 원/달러(평균)",환율,MATCH(P$1,변수H,0),0),1343.46)</f>
        <v/>
      </c>
      <c r="Q23" s="13">
        <f>IFERROR(VLOOKUP(" 원/달러(평균)",환율,MATCH(Q$1,변수H,0),0),1343.46)</f>
        <v/>
      </c>
      <c r="R23" s="13">
        <f>IFERROR(VLOOKUP(" 원/달러(평균)",환율,MATCH(R$1,변수H,0),0),1343.46)</f>
        <v/>
      </c>
      <c r="S23" s="13">
        <f>IFERROR(VLOOKUP(" 원/달러(평균)",환율,MATCH(S$1,변수H,0),0),1343.46)</f>
        <v/>
      </c>
      <c r="T23" s="13">
        <f>IFERROR(VLOOKUP(" 원/달러(평균)",환율,MATCH(T$1,변수H,0),0),1343.46)</f>
        <v/>
      </c>
      <c r="U23" s="13">
        <f>IFERROR(VLOOKUP(" 원/달러(평균)",환율,MATCH(U$1,변수H,0),0),1343.46)</f>
        <v/>
      </c>
      <c r="V23" s="13">
        <f>IFERROR(VLOOKUP(" 원/달러(평균)",환율,MATCH(V$1,변수H,0),0),1343.46)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44.89</v>
      </c>
      <c r="I18" s="34" t="n">
        <v>168.62</v>
      </c>
      <c r="J18" s="34" t="n">
        <v>354.76</v>
      </c>
      <c r="K18" s="34" t="n">
        <v>586.88</v>
      </c>
      <c r="L18" s="20">
        <f>SUM(H18:K18)</f>
        <v/>
      </c>
      <c r="M18" s="34" t="n">
        <v>848.54</v>
      </c>
      <c r="N18" s="34" t="n">
        <v>1123.33</v>
      </c>
      <c r="O18" s="34" t="n">
        <v>1394.82</v>
      </c>
      <c r="P18" s="34" t="n">
        <v>1646.57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75.48</v>
      </c>
      <c r="G24" s="20">
        <f>SUM(E24:F24)</f>
        <v/>
      </c>
      <c r="H24" s="34" t="n">
        <v>340.54</v>
      </c>
      <c r="I24" s="34" t="n">
        <v>810.6799999999999</v>
      </c>
      <c r="J24" s="34" t="n">
        <v>1437.41</v>
      </c>
      <c r="K24" s="34" t="n">
        <v>2172.23</v>
      </c>
      <c r="L24" s="20">
        <f>SUM(H24:K24)</f>
        <v/>
      </c>
      <c r="M24" s="34" t="n">
        <v>2966.65</v>
      </c>
      <c r="N24" s="34" t="n">
        <v>3772.19</v>
      </c>
      <c r="O24" s="34" t="n">
        <v>4540.35</v>
      </c>
      <c r="P24" s="34" t="n">
        <v>5222.64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20261008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base(공시 상계)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6676.9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6.71</v>
      </c>
    </row>
    <row r="32">
      <c r="C32" s="2" t="inlineStr">
        <is>
          <t>pbr_now</t>
        </is>
      </c>
      <c r="D32" t="n">
        <v>1.42</v>
      </c>
    </row>
    <row r="33">
      <c r="C33" s="2" t="inlineStr">
        <is>
          <t>roe_fwd</t>
        </is>
      </c>
      <c r="D33" t="n">
        <v>0.2121</v>
      </c>
    </row>
    <row r="34">
      <c r="C34" s="2" t="inlineStr">
        <is>
          <t>fair_pbr</t>
        </is>
      </c>
      <c r="D34" t="n">
        <v>2.36</v>
      </c>
    </row>
    <row r="35">
      <c r="C35" s="2" t="inlineStr">
        <is>
          <t>fair_value_pbr</t>
        </is>
      </c>
      <c r="D35" t="n">
        <v>74300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0.27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