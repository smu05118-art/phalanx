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변수!$C$1:$W$1</definedName>
    <definedName name="환율">변수!$C$6:$W$13</definedName>
    <definedName name="BS연결H">BS연결!$C$1:$W$1</definedName>
    <definedName name="BS연결">BS연결!$C$5:$W$95</definedName>
    <definedName name="BS별도H">BS별도!$C$1:$W$1</definedName>
    <definedName name="BS별도">BS별도!$C$5:$W$83</definedName>
    <definedName name="SUBQH">subQ!$A$1:$W$1</definedName>
    <definedName name="subQ">subQ!$A$5:$W$48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3" fontId="0" fillId="5" borderId="1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K21" authorId="0" shapeId="0">
      <text>
        <t>모델값 역산(implied): v / 전년동기 − 1
매출조선 + 매출기타</t>
      </text>
    </comment>
    <comment ref="L21" authorId="0" shapeId="0">
      <text>
        <t>모델값 역산(implied): v / 전년동기 − 1
매출조선 + 매출기타</t>
      </text>
    </comment>
    <comment ref="N21" authorId="0" shapeId="0">
      <text>
        <t>모델값 역산(implied): v / 전년동기 − 1
매출조선 + 매출기타</t>
      </text>
    </comment>
    <comment ref="O21" authorId="0" shapeId="0">
      <text>
        <t>모델값 역산(implied): v / 전년동기 − 1
매출조선 + 매출기타</t>
      </text>
    </comment>
    <comment ref="P21" authorId="0" shapeId="0">
      <text>
        <t>모델값 역산(implied): v / 전년동기 − 1
매출조선 + 매출기타</t>
      </text>
    </comment>
    <comment ref="Q21" authorId="0" shapeId="0">
      <text>
        <t>모델값 역산(implied): v / 전년동기 − 1
매출조선 + 매출기타</t>
      </text>
    </comment>
    <comment ref="S21" authorId="0" shapeId="0">
      <text>
        <t>모델값 역산(implied): v / 전년동기 − 1
매출조선 + 매출기타</t>
      </text>
    </comment>
    <comment ref="T21" authorId="0" shapeId="0">
      <text>
        <t>모델값 역산(implied): v / 전년동기 − 1
매출조선 + 매출기타</t>
      </text>
    </comment>
    <comment ref="U21" authorId="0" shapeId="0">
      <text>
        <t>모델값 역산(implied): v / 전년동기 − 1
매출조선 + 매출기타</t>
      </text>
    </comment>
    <comment ref="V21" authorId="0" shapeId="0">
      <text>
        <t>모델값 역산(implied): v / 전년동기 − 1
매출조선 + 매출기타</t>
      </text>
    </comment>
    <comment ref="K22" authorId="0" shapeId="0">
      <text>
        <t>모델값 역산(implied): v / 매출액
매출액 × 판관비율 2.44%(최근 4분기 중위)</t>
      </text>
    </comment>
    <comment ref="L22" authorId="0" shapeId="0">
      <text>
        <t>모델값 역산(implied): v / 매출액
매출액 × 판관비율 2.44%(최근 4분기 중위)</t>
      </text>
    </comment>
    <comment ref="N22" authorId="0" shapeId="0">
      <text>
        <t>모델값 역산(implied): v / 매출액
매출액 × 판관비율 2.44%(최근 4분기 중위)</t>
      </text>
    </comment>
    <comment ref="O22" authorId="0" shapeId="0">
      <text>
        <t>모델값 역산(implied): v / 매출액
매출액 × 판관비율 2.44%(최근 4분기 중위)</t>
      </text>
    </comment>
    <comment ref="P22" authorId="0" shapeId="0">
      <text>
        <t>모델값 역산(implied): v / 매출액
매출액 × 판관비율 2.44%(최근 4분기 중위)</t>
      </text>
    </comment>
    <comment ref="Q22" authorId="0" shapeId="0">
      <text>
        <t>모델값 역산(implied): v / 매출액
매출액 × 판관비율 2.44%(최근 4분기 중위)</t>
      </text>
    </comment>
    <comment ref="S22" authorId="0" shapeId="0">
      <text>
        <t>모델값 역산(implied): v / 매출액
매출액 × 판관비율 2.44%(최근 4분기 중위)</t>
      </text>
    </comment>
    <comment ref="T22" authorId="0" shapeId="0">
      <text>
        <t>모델값 역산(implied): v / 매출액
매출액 × 판관비율 2.44%(최근 4분기 중위)</t>
      </text>
    </comment>
    <comment ref="U22" authorId="0" shapeId="0">
      <text>
        <t>모델값 역산(implied): v / 매출액
매출액 × 판관비율 2.44%(최근 4분기 중위)</t>
      </text>
    </comment>
    <comment ref="V22" authorId="0" shapeId="0">
      <text>
        <t>모델값 역산(implied): v / 매출액
매출액 × 판관비율 2.44%(최근 4분기 중위)</t>
      </text>
    </comment>
    <comment ref="K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L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N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O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P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Q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S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T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U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V23" authorId="0" shapeId="0">
      <text>
        <t>모델값 역산(implied): v / 매출액
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</t>
      </text>
    </comment>
    <comment ref="K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L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N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O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P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Q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S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T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U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V24" authorId="0" shapeId="0">
      <text>
        <t>모델값 역산(implied): v / 전년동기 − 1
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</t>
      </text>
    </comment>
    <comment ref="K25" authorId="0" shapeId="0">
      <text>
        <t>모델값 역산(implied): 모델 v 그대로
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</t>
      </text>
    </comment>
    <comment ref="L25" authorId="0" shapeId="0">
      <text>
        <t>모델값 역산(implied): 모델 v 그대로
이자손익 + 외환손익 0 + 파생상품손익 0 + 기타금융손익 +0.00억(잔차 실측 3분기 &lt; 4 → 0) (항등식); 이자손익 = 이자발생자산 6379억 × 2.21%(주석 이자수익 ÷ 평균 이자발생자산(2025Q3~2026Q2)) − 총차입금 0억 × 0.00%(없음) (연율) ÷ 4; 환율 효과는 환관련손익 행 별도</t>
      </text>
    </comment>
    <comment ref="N25" authorId="0" shapeId="0">
      <text>
        <t>모델값 역산(implied): 모델 v 그대로
이자손익 + 외환손익 0 + 파생상품손익 0 + 기타금융손익 +0.00억(잔차 실측 3분기 &lt; 4 → 0) (항등식); 이자손익 = 이자발생자산 6965억 × 2.21%(주석 이자수익 ÷ 평균 이자발생자산(2025Q3~2026Q2)) − 총차입금 0억 × 0.00%(없음) (연율) ÷ 4; 환율 효과는 환관련손익 행 별도</t>
      </text>
    </comment>
    <comment ref="O25" authorId="0" shapeId="0">
      <text>
        <t>모델값 역산(implied): 모델 v 그대로
이자손익 + 외환손익 0 + 파생상품손익 0 + 기타금융손익 +0.00억(잔차 실측 3분기 &lt; 4 → 0) (항등식); 이자손익 = 이자발생자산 7588억 × 2.21%(주석 이자수익 ÷ 평균 이자발생자산(2025Q3~2026Q2)) − 총차입금 0억 × 0.00%(없음) (연율) ÷ 4; 환율 효과는 환관련손익 행 별도</t>
      </text>
    </comment>
    <comment ref="P25" authorId="0" shapeId="0">
      <text>
        <t>모델값 역산(implied): 모델 v 그대로
이자손익 + 외환손익 0 + 파생상품손익 0 + 기타금융손익 +0.00억(잔차 실측 3분기 &lt; 4 → 0) (항등식); 이자손익 = 이자발생자산 8195억 × 2.21%(주석 이자수익 ÷ 평균 이자발생자산(2025Q3~2026Q2)) − 총차입금 0억 × 0.00%(없음) (연율) ÷ 4; 환율 효과는 환관련손익 행 별도</t>
      </text>
    </comment>
    <comment ref="Q25" authorId="0" shapeId="0">
      <text>
        <t>모델값 역산(implied): 모델 v 그대로
이자손익 + 외환손익 0 + 파생상품손익 0 + 기타금융손익 +0.00억(잔차 실측 3분기 &lt; 4 → 0) (항등식); 이자손익 = 이자발생자산 8961억 × 2.21%(주석 이자수익 ÷ 평균 이자발생자산(2025Q3~2026Q2)) − 총차입금 0억 × 0.00%(없음) (연율) ÷ 4; 환율 효과는 환관련손익 행 별도</t>
      </text>
    </comment>
    <comment ref="S25" authorId="0" shapeId="0">
      <text>
        <t>모델값 역산(implied): 모델 v 그대로
이자손익 + 외환손익 0 + 파생상품손익 0 + 기타금융손익 +0.00억(잔차 실측 3분기 &lt; 4 → 0) (항등식); 이자손익 = 이자발생자산 9761억 × 2.21%(주석 이자수익 ÷ 평균 이자발생자산(2025Q3~2026Q2)) − 총차입금 0억 × 0.00%(없음) (연율) ÷ 4; 환율 효과는 환관련손익 행 별도</t>
      </text>
    </comment>
    <comment ref="T25" authorId="0" shapeId="0">
      <text>
        <t>모델값 역산(implied): 모델 v 그대로
이자손익 + 외환손익 0 + 파생상품손익 0 + 기타금융손익 +0.00억(잔차 실측 3분기 &lt; 4 → 0) (항등식); 이자손익 = 이자발생자산 10628억 × 2.21%(주석 이자수익 ÷ 평균 이자발생자산(2025Q3~2026Q2)) − 총차입금 0억 × 0.00%(없음) (연율) ÷ 4; 환율 효과는 환관련손익 행 별도</t>
      </text>
    </comment>
    <comment ref="U25" authorId="0" shapeId="0">
      <text>
        <t>모델값 역산(implied): 모델 v 그대로
이자손익 + 외환손익 0 + 파생상품손익 0 + 기타금융손익 +0.00억(잔차 실측 3분기 &lt; 4 → 0) (항등식); 이자손익 = 이자발생자산 11505억 × 2.21%(주석 이자수익 ÷ 평균 이자발생자산(2025Q3~2026Q2)) − 총차입금 0억 × 0.00%(없음) (연율) ÷ 4; 환율 효과는 환관련손익 행 별도</t>
      </text>
    </comment>
    <comment ref="V25" authorId="0" shapeId="0">
      <text>
        <t>모델값 역산(implied): 모델 v 그대로
이자손익 + 외환손익 0 + 파생상품손익 0 + 기타금융손익 +0.00억(잔차 실측 3분기 &lt; 4 → 0) (항등식); 이자손익 = 이자발생자산 12528억 × 2.21%(주석 이자수익 ÷ 평균 이자발생자산(2025Q3~2026Q2)) − 총차입금 0억 × 0.00%(없음) (연율) ÷ 4; 환율 효과는 환관련손익 행 별도</t>
      </text>
    </comment>
    <comment ref="K26" authorId="0" shapeId="0">
      <text>
        <t>모델값 역산(implied): 모델 v 그대로
이자발생자산 5802억 × 2.21%(주석 이자수익 ÷ 평균 이자발생자산(2025Q3~2026Q2)) − 총차입금 0억 × 0.00%(없음) (연율) ÷ 4</t>
      </text>
    </comment>
    <comment ref="L26" authorId="0" shapeId="0">
      <text>
        <t>모델값 역산(implied): 모델 v 그대로
이자발생자산 6379억 × 2.21%(주석 이자수익 ÷ 평균 이자발생자산(2025Q3~2026Q2)) − 총차입금 0억 × 0.00%(없음) (연율) ÷ 4</t>
      </text>
    </comment>
    <comment ref="N26" authorId="0" shapeId="0">
      <text>
        <t>모델값 역산(implied): 모델 v 그대로
이자발생자산 6965억 × 2.21%(주석 이자수익 ÷ 평균 이자발생자산(2025Q3~2026Q2)) − 총차입금 0억 × 0.00%(없음) (연율) ÷ 4</t>
      </text>
    </comment>
    <comment ref="O26" authorId="0" shapeId="0">
      <text>
        <t>모델값 역산(implied): 모델 v 그대로
이자발생자산 7588억 × 2.21%(주석 이자수익 ÷ 평균 이자발생자산(2025Q3~2026Q2)) − 총차입금 0억 × 0.00%(없음) (연율) ÷ 4</t>
      </text>
    </comment>
    <comment ref="P26" authorId="0" shapeId="0">
      <text>
        <t>모델값 역산(implied): 모델 v 그대로
이자발생자산 8195억 × 2.21%(주석 이자수익 ÷ 평균 이자발생자산(2025Q3~2026Q2)) − 총차입금 0억 × 0.00%(없음) (연율) ÷ 4</t>
      </text>
    </comment>
    <comment ref="Q26" authorId="0" shapeId="0">
      <text>
        <t>모델값 역산(implied): 모델 v 그대로
이자발생자산 8961억 × 2.21%(주석 이자수익 ÷ 평균 이자발생자산(2025Q3~2026Q2)) − 총차입금 0억 × 0.00%(없음) (연율) ÷ 4</t>
      </text>
    </comment>
    <comment ref="S26" authorId="0" shapeId="0">
      <text>
        <t>모델값 역산(implied): 모델 v 그대로
이자발생자산 9761억 × 2.21%(주석 이자수익 ÷ 평균 이자발생자산(2025Q3~2026Q2)) − 총차입금 0억 × 0.00%(없음) (연율) ÷ 4</t>
      </text>
    </comment>
    <comment ref="T26" authorId="0" shapeId="0">
      <text>
        <t>모델값 역산(implied): 모델 v 그대로
이자발생자산 10628억 × 2.21%(주석 이자수익 ÷ 평균 이자발생자산(2025Q3~2026Q2)) − 총차입금 0억 × 0.00%(없음) (연율) ÷ 4</t>
      </text>
    </comment>
    <comment ref="U26" authorId="0" shapeId="0">
      <text>
        <t>모델값 역산(implied): 모델 v 그대로
이자발생자산 11505억 × 2.21%(주석 이자수익 ÷ 평균 이자발생자산(2025Q3~2026Q2)) − 총차입금 0억 × 0.00%(없음) (연율) ÷ 4</t>
      </text>
    </comment>
    <comment ref="V26" authorId="0" shapeId="0">
      <text>
        <t>모델값 역산(implied): 모델 v 그대로
이자발생자산 12528억 × 2.21%(주석 이자수익 ÷ 평균 이자발생자산(2025Q3~2026Q2)) − 총차입금 0억 × 0.00%(없음) (연율) ÷ 4</t>
      </text>
    </comment>
    <comment ref="K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L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K28" authorId="0" shapeId="0">
      <text>
        <t>모델값 역산(implied): 모델 v 그대로
파생상품 평가·거래손익 0 가정</t>
      </text>
    </comment>
    <comment ref="L28" authorId="0" shapeId="0">
      <text>
        <t>모델값 역산(implied): 모델 v 그대로
파생상품 평가·거래손익 0 가정</t>
      </text>
    </comment>
    <comment ref="N28" authorId="0" shapeId="0">
      <text>
        <t>모델값 역산(implied): 모델 v 그대로
파생상품 평가·거래손익 0 가정</t>
      </text>
    </comment>
    <comment ref="O28" authorId="0" shapeId="0">
      <text>
        <t>모델값 역산(implied): 모델 v 그대로
파생상품 평가·거래손익 0 가정</t>
      </text>
    </comment>
    <comment ref="P28" authorId="0" shapeId="0">
      <text>
        <t>모델값 역산(implied): 모델 v 그대로
파생상품 평가·거래손익 0 가정</t>
      </text>
    </comment>
    <comment ref="Q28" authorId="0" shapeId="0">
      <text>
        <t>모델값 역산(implied): 모델 v 그대로
파생상품 평가·거래손익 0 가정</t>
      </text>
    </comment>
    <comment ref="S28" authorId="0" shapeId="0">
      <text>
        <t>모델값 역산(implied): 모델 v 그대로
파생상품 평가·거래손익 0 가정</t>
      </text>
    </comment>
    <comment ref="T28" authorId="0" shapeId="0">
      <text>
        <t>모델값 역산(implied): 모델 v 그대로
파생상품 평가·거래손익 0 가정</t>
      </text>
    </comment>
    <comment ref="U28" authorId="0" shapeId="0">
      <text>
        <t>모델값 역산(implied): 모델 v 그대로
파생상품 평가·거래손익 0 가정</t>
      </text>
    </comment>
    <comment ref="V28" authorId="0" shapeId="0">
      <text>
        <t>모델값 역산(implied): 모델 v 그대로
파생상품 평가·거래손익 0 가정</t>
      </text>
    </comment>
    <comment ref="K29" authorId="0" shapeId="0">
      <text>
        <t>모델값 역산(implied): v / 전년동기 − 1
잔차 실측 3분기 &lt; 4 → 0</t>
      </text>
    </comment>
    <comment ref="L29" authorId="0" shapeId="0">
      <text>
        <t>모델값 역산(implied): v / 전년동기 − 1
잔차 실측 3분기 &lt; 4 → 0</t>
      </text>
    </comment>
    <comment ref="K30" authorId="0" shapeId="0">
      <text>
        <t>모델값 역산(implied): 모델 v 그대로
일회성 미가정 → 0</t>
      </text>
    </comment>
    <comment ref="L30" authorId="0" shapeId="0">
      <text>
        <t>모델값 역산(implied): 모델 v 그대로
일회성 미가정 → 0</t>
      </text>
    </comment>
    <comment ref="N30" authorId="0" shapeId="0">
      <text>
        <t>모델값 역산(implied): 모델 v 그대로
일회성 미가정 → 0</t>
      </text>
    </comment>
    <comment ref="O30" authorId="0" shapeId="0">
      <text>
        <t>모델값 역산(implied): 모델 v 그대로
일회성 미가정 → 0</t>
      </text>
    </comment>
    <comment ref="P30" authorId="0" shapeId="0">
      <text>
        <t>모델값 역산(implied): 모델 v 그대로
일회성 미가정 → 0</t>
      </text>
    </comment>
    <comment ref="Q30" authorId="0" shapeId="0">
      <text>
        <t>모델값 역산(implied): 모델 v 그대로
일회성 미가정 → 0</t>
      </text>
    </comment>
    <comment ref="S30" authorId="0" shapeId="0">
      <text>
        <t>모델값 역산(implied): 모델 v 그대로
일회성 미가정 → 0</t>
      </text>
    </comment>
    <comment ref="T30" authorId="0" shapeId="0">
      <text>
        <t>모델값 역산(implied): 모델 v 그대로
일회성 미가정 → 0</t>
      </text>
    </comment>
    <comment ref="U30" authorId="0" shapeId="0">
      <text>
        <t>모델값 역산(implied): 모델 v 그대로
일회성 미가정 → 0</t>
      </text>
    </comment>
    <comment ref="V30" authorId="0" shapeId="0">
      <text>
        <t>모델값 역산(implied): 모델 v 그대로
일회성 미가정 → 0</t>
      </text>
    </comment>
    <comment ref="K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L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N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O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P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Q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S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T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U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V31" authorId="0" shapeId="0">
      <text>
        <t>모델값 역산(implied): 모델 v 그대로
외화 순노출 -2백만$ × Δ기말 원/달러(가정 — 마지막 ECB 관측치를 2028Q4 까지 평평하게 둔다. 선도환율·컨센서스 아님.) — 실적 외환손익(금융손익 안)과 별개, 추정 외환손익은 0</t>
      </text>
    </comment>
    <comment ref="K32" authorId="0" shapeId="0">
      <text>
        <t>모델값 역산(implied): v / 세전이익
max(세전, 0) × 세율 22.8%(최근 5분기 유효세율 22.8%(5~27% 안 — 그대로))</t>
      </text>
    </comment>
    <comment ref="L32" authorId="0" shapeId="0">
      <text>
        <t>모델값 역산(implied): v / 세전이익
max(세전, 0) × 세율 22.8%(최근 5분기 유효세율 22.8%(5~27% 안 — 그대로))</t>
      </text>
    </comment>
    <comment ref="N32" authorId="0" shapeId="0">
      <text>
        <t>모델값 역산(implied): v / 세전이익
max(세전, 0) × 세율 22.8%(최근 5분기 유효세율 22.8%(5~27% 안 — 그대로))</t>
      </text>
    </comment>
    <comment ref="O32" authorId="0" shapeId="0">
      <text>
        <t>모델값 역산(implied): v / 세전이익
max(세전, 0) × 세율 22.8%(최근 5분기 유효세율 22.8%(5~27% 안 — 그대로))</t>
      </text>
    </comment>
    <comment ref="P32" authorId="0" shapeId="0">
      <text>
        <t>모델값 역산(implied): v / 세전이익
max(세전, 0) × 세율 22.8%(최근 5분기 유효세율 22.8%(5~27% 안 — 그대로))</t>
      </text>
    </comment>
    <comment ref="Q32" authorId="0" shapeId="0">
      <text>
        <t>모델값 역산(implied): v / 세전이익
max(세전, 0) × 세율 22.8%(최근 5분기 유효세율 22.8%(5~27% 안 — 그대로))</t>
      </text>
    </comment>
    <comment ref="S32" authorId="0" shapeId="0">
      <text>
        <t>모델값 역산(implied): v / 세전이익
max(세전, 0) × 세율 22.8%(최근 5분기 유효세율 22.8%(5~27% 안 — 그대로))</t>
      </text>
    </comment>
    <comment ref="T32" authorId="0" shapeId="0">
      <text>
        <t>모델값 역산(implied): v / 세전이익
max(세전, 0) × 세율 22.8%(최근 5분기 유효세율 22.8%(5~27% 안 — 그대로))</t>
      </text>
    </comment>
    <comment ref="U32" authorId="0" shapeId="0">
      <text>
        <t>모델값 역산(implied): v / 세전이익
max(세전, 0) × 세율 22.8%(최근 5분기 유효세율 22.8%(5~27% 안 — 그대로))</t>
      </text>
    </comment>
    <comment ref="V32" authorId="0" shapeId="0">
      <text>
        <t>모델값 역산(implied): v / 세전이익
max(세전, 0) × 세율 22.8%(최근 5분기 유효세율 22.8%(5~27% 안 — 그대로))</t>
      </text>
    </comment>
    <comment ref="K33" authorId="0" shapeId="0">
      <text>
        <t>모델값 역산(implied): v / 당기순이익
당기순이익 × (1 − 비지배 비중 0.0%, 최근 8분기 실측)</t>
      </text>
    </comment>
    <comment ref="L33" authorId="0" shapeId="0">
      <text>
        <t>모델값 역산(implied): v / 당기순이익
당기순이익 × (1 − 비지배 비중 0.0%, 최근 8분기 실측)</t>
      </text>
    </comment>
    <comment ref="N33" authorId="0" shapeId="0">
      <text>
        <t>모델값 역산(implied): v / 당기순이익
당기순이익 × (1 − 비지배 비중 0.0%, 최근 8분기 실측)</t>
      </text>
    </comment>
    <comment ref="O33" authorId="0" shapeId="0">
      <text>
        <t>모델값 역산(implied): v / 당기순이익
당기순이익 × (1 − 비지배 비중 0.0%, 최근 8분기 실측)</t>
      </text>
    </comment>
    <comment ref="P33" authorId="0" shapeId="0">
      <text>
        <t>모델값 역산(implied): v / 당기순이익
당기순이익 × (1 − 비지배 비중 0.0%, 최근 8분기 실측)</t>
      </text>
    </comment>
    <comment ref="Q33" authorId="0" shapeId="0">
      <text>
        <t>모델값 역산(implied): v / 당기순이익
당기순이익 × (1 − 비지배 비중 0.0%, 최근 8분기 실측)</t>
      </text>
    </comment>
    <comment ref="S33" authorId="0" shapeId="0">
      <text>
        <t>모델값 역산(implied): v / 당기순이익
당기순이익 × (1 − 비지배 비중 0.0%, 최근 8분기 실측)</t>
      </text>
    </comment>
    <comment ref="T33" authorId="0" shapeId="0">
      <text>
        <t>모델값 역산(implied): v / 당기순이익
당기순이익 × (1 − 비지배 비중 0.0%, 최근 8분기 실측)</t>
      </text>
    </comment>
    <comment ref="U33" authorId="0" shapeId="0">
      <text>
        <t>모델값 역산(implied): v / 당기순이익
당기순이익 × (1 − 비지배 비중 0.0%, 최근 8분기 실측)</t>
      </text>
    </comment>
    <comment ref="V33" authorId="0" shapeId="0">
      <text>
        <t>모델값 역산(implied): v / 당기순이익
당기순이익 × (1 − 비지배 비중 0.0%, 최근 8분기 실측)</t>
      </text>
    </comment>
    <comment ref="K34" authorId="0" shapeId="0">
      <text>
        <t>모델값 역산(implied): v / 전분기 − 1
마지막 실적 유지(가정)</t>
      </text>
    </comment>
    <comment ref="L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Q34" authorId="0" shapeId="0">
      <text>
        <t>모델값 역산(implied): v / 전분기 − 1
마지막 실적 유지(가정)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U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K35" authorId="0" shapeId="0">
      <text>
        <t>모델값 역산(implied): 전분기 + 당기순이익 − v
전분기 + 당기순이익 − 배당(Q2 지급 가정)</t>
      </text>
    </comment>
    <comment ref="L35" authorId="0" shapeId="0">
      <text>
        <t>모델값 역산(implied): 전분기 + 당기순이익 − v
전분기 + 당기순이익 − 배당(Q2 지급 가정)</t>
      </text>
    </comment>
    <comment ref="N35" authorId="0" shapeId="0">
      <text>
        <t>모델값 역산(implied): 전분기 + 당기순이익 − v
전분기 + 당기순이익 − 배당(Q2 지급 가정)</t>
      </text>
    </comment>
    <comment ref="O35" authorId="0" shapeId="0">
      <text>
        <t>모델값 역산(implied): 전분기 + 당기순이익 − v
전분기 + 당기순이익 − 배당(Q2 지급 가정)</t>
      </text>
    </comment>
    <comment ref="P35" authorId="0" shapeId="0">
      <text>
        <t>모델값 역산(implied): 전분기 + 당기순이익 − v
전분기 + 당기순이익 − 배당(Q2 지급 가정)</t>
      </text>
    </comment>
    <comment ref="Q35" authorId="0" shapeId="0">
      <text>
        <t>모델값 역산(implied): 전분기 + 당기순이익 − v
전분기 + 당기순이익 − 배당(Q2 지급 가정)</t>
      </text>
    </comment>
    <comment ref="S35" authorId="0" shapeId="0">
      <text>
        <t>모델값 역산(implied): 전분기 + 당기순이익 − v
전분기 + 당기순이익 − 배당(Q2 지급 가정)</t>
      </text>
    </comment>
    <comment ref="T35" authorId="0" shapeId="0">
      <text>
        <t>모델값 역산(implied): 전분기 + 당기순이익 − v
전분기 + 당기순이익 − 배당(Q2 지급 가정)</t>
      </text>
    </comment>
    <comment ref="U35" authorId="0" shapeId="0">
      <text>
        <t>모델값 역산(implied): 전분기 + 당기순이익 − v
전분기 + 당기순이익 − 배당(Q2 지급 가정)</t>
      </text>
    </comment>
    <comment ref="V35" authorId="0" shapeId="0">
      <text>
        <t>모델값 역산(implied): 전분기 + 당기순이익 − v
전분기 + 당기순이익 − 배당(Q2 지급 가정)</t>
      </text>
    </comment>
    <comment ref="K36" authorId="0" shapeId="0">
      <text>
        <t>모델값 역산(implied): 전분기 + 지배주주순이익 − v
전분기 + 지배주주순이익 − 배당</t>
      </text>
    </comment>
    <comment ref="L36" authorId="0" shapeId="0">
      <text>
        <t>모델값 역산(implied): 전분기 + 지배주주순이익 − v
전분기 + 지배주주순이익 − 배당</t>
      </text>
    </comment>
    <comment ref="N36" authorId="0" shapeId="0">
      <text>
        <t>모델값 역산(implied): 전분기 + 지배주주순이익 − v
전분기 + 지배주주순이익 − 배당</t>
      </text>
    </comment>
    <comment ref="O36" authorId="0" shapeId="0">
      <text>
        <t>모델값 역산(implied): 전분기 + 지배주주순이익 − v
전분기 + 지배주주순이익 − 배당</t>
      </text>
    </comment>
    <comment ref="P36" authorId="0" shapeId="0">
      <text>
        <t>모델값 역산(implied): 전분기 + 지배주주순이익 − v
전분기 + 지배주주순이익 − 배당</t>
      </text>
    </comment>
    <comment ref="Q36" authorId="0" shapeId="0">
      <text>
        <t>모델값 역산(implied): 전분기 + 지배주주순이익 − v
전분기 + 지배주주순이익 − 배당</t>
      </text>
    </comment>
    <comment ref="S36" authorId="0" shapeId="0">
      <text>
        <t>모델값 역산(implied): 전분기 + 지배주주순이익 − v
전분기 + 지배주주순이익 − 배당</t>
      </text>
    </comment>
    <comment ref="T36" authorId="0" shapeId="0">
      <text>
        <t>모델값 역산(implied): 전분기 + 지배주주순이익 − v
전분기 + 지배주주순이익 − 배당</t>
      </text>
    </comment>
    <comment ref="U36" authorId="0" shapeId="0">
      <text>
        <t>모델값 역산(implied): 전분기 + 지배주주순이익 − v
전분기 + 지배주주순이익 − 배당</t>
      </text>
    </comment>
    <comment ref="V36" authorId="0" shapeId="0">
      <text>
        <t>모델값 역산(implied): 전분기 + 지배주주순이익 − v
전분기 + 지배주주순이익 − 배당</t>
      </text>
    </comment>
    <comment ref="K39" authorId="0" shapeId="0">
      <text>
        <t>모델값 역산(implied): v / 전분기 − 1
전분기 + (순이익 − 배당) — 순차입금 롤과 같은 가정</t>
      </text>
    </comment>
    <comment ref="L39" authorId="0" shapeId="0">
      <text>
        <t>모델값 역산(implied): v / 전분기 − 1
전분기 + (순이익 − 배당) — 순차입금 롤과 같은 가정</t>
      </text>
    </comment>
    <comment ref="N39" authorId="0" shapeId="0">
      <text>
        <t>모델값 역산(implied): v / 전분기 − 1
전분기 + (순이익 − 배당) — 순차입금 롤과 같은 가정</t>
      </text>
    </comment>
    <comment ref="O39" authorId="0" shapeId="0">
      <text>
        <t>모델값 역산(implied): v / 전분기 − 1
전분기 + (순이익 − 배당) — 순차입금 롤과 같은 가정</t>
      </text>
    </comment>
    <comment ref="P39" authorId="0" shapeId="0">
      <text>
        <t>모델값 역산(implied): v / 전분기 − 1
전분기 + (순이익 − 배당) — 순차입금 롤과 같은 가정</t>
      </text>
    </comment>
    <comment ref="Q39" authorId="0" shapeId="0">
      <text>
        <t>모델값 역산(implied): v / 전분기 − 1
전분기 + (순이익 − 배당) — 순차입금 롤과 같은 가정</t>
      </text>
    </comment>
    <comment ref="S39" authorId="0" shapeId="0">
      <text>
        <t>모델값 역산(implied): v / 전분기 − 1
전분기 + (순이익 − 배당) — 순차입금 롤과 같은 가정</t>
      </text>
    </comment>
    <comment ref="T39" authorId="0" shapeId="0">
      <text>
        <t>모델값 역산(implied): v / 전분기 − 1
전분기 + (순이익 − 배당) — 순차입금 롤과 같은 가정</t>
      </text>
    </comment>
    <comment ref="U39" authorId="0" shapeId="0">
      <text>
        <t>모델값 역산(implied): v / 전분기 − 1
전분기 + (순이익 − 배당) — 순차입금 롤과 같은 가정</t>
      </text>
    </comment>
    <comment ref="V39" authorId="0" shapeId="0">
      <text>
        <t>모델값 역산(implied): v / 전분기 − 1
전분기 + (순이익 − 배당) — 순차입금 롤과 같은 가정</t>
      </text>
    </comment>
    <comment ref="K43" authorId="0" shapeId="0">
      <text>
        <t>모델값 역산(implied): v / 전분기 − 1
유통주식수 유지 — fin.shares.common_outstanding(2026Q2)</t>
      </text>
    </comment>
    <comment ref="L43" authorId="0" shapeId="0">
      <text>
        <t>모델값 역산(implied): v / 전분기 − 1
유통주식수 유지 — fin.shares.common_outstanding(2026Q2)</t>
      </text>
    </comment>
    <comment ref="N43" authorId="0" shapeId="0">
      <text>
        <t>모델값 역산(implied): v / 전분기 − 1
유통주식수 유지 — fin.shares.common_outstanding(2026Q2)</t>
      </text>
    </comment>
    <comment ref="O43" authorId="0" shapeId="0">
      <text>
        <t>모델값 역산(implied): v / 전분기 − 1
유통주식수 유지 — fin.shares.common_outstanding(2026Q2)</t>
      </text>
    </comment>
    <comment ref="P43" authorId="0" shapeId="0">
      <text>
        <t>모델값 역산(implied): v / 전분기 − 1
유통주식수 유지 — fin.shares.common_outstanding(2026Q2)</t>
      </text>
    </comment>
    <comment ref="Q43" authorId="0" shapeId="0">
      <text>
        <t>모델값 역산(implied): v / 전분기 − 1
유통주식수 유지 — fin.shares.common_outstanding(2026Q2)</t>
      </text>
    </comment>
    <comment ref="S43" authorId="0" shapeId="0">
      <text>
        <t>모델값 역산(implied): v / 전분기 − 1
유통주식수 유지 — fin.shares.common_outstanding(2026Q2)</t>
      </text>
    </comment>
    <comment ref="T43" authorId="0" shapeId="0">
      <text>
        <t>모델값 역산(implied): v / 전분기 − 1
유통주식수 유지 — fin.shares.common_outstanding(2026Q2)</t>
      </text>
    </comment>
    <comment ref="U43" authorId="0" shapeId="0">
      <text>
        <t>모델값 역산(implied): v / 전분기 − 1
유통주식수 유지 — fin.shares.common_outstanding(2026Q2)</t>
      </text>
    </comment>
    <comment ref="V43" authorId="0" shapeId="0">
      <text>
        <t>모델값 역산(implied): v / 전분기 − 1
유통주식수 유지 — fin.shares.common_outstanding(2026Q2)</t>
      </text>
    </comment>
    <comment ref="L44" authorId="0" shapeId="0">
      <text>
        <t>모델값 역산(implied): v / 전년동기 − 1
직전 결산 DPS 250원 유지</t>
      </text>
    </comment>
    <comment ref="Q44" authorId="0" shapeId="0">
      <text>
        <t>모델값 역산(implied): v / 전년동기 − 1
직전 결산 DPS 250원 유지</t>
      </text>
    </comment>
    <comment ref="V44" authorId="0" shapeId="0">
      <text>
        <t>모델값 역산(implied): v / 전년동기 − 1
직전 결산 DPS 250원 유지</t>
      </text>
    </comment>
    <comment ref="N45" authorId="0" shapeId="0">
      <text>
        <t>모델값 역산(implied): v / 전년동기 − 1
현재 종가 ÷ TTM EPS(추정 포함)</t>
      </text>
    </comment>
    <comment ref="O45" authorId="0" shapeId="0">
      <text>
        <t>모델값 역산(implied): v / 전년동기 − 1
현재 종가 ÷ TTM EPS(추정 포함)</t>
      </text>
    </comment>
    <comment ref="P45" authorId="0" shapeId="0">
      <text>
        <t>모델값 역산(implied): v / 전년동기 − 1
현재 종가 ÷ TTM EPS(추정 포함)</t>
      </text>
    </comment>
    <comment ref="Q45" authorId="0" shapeId="0">
      <text>
        <t>모델값 역산(implied): v / 전년동기 − 1
현재 종가 ÷ TTM EPS(추정 포함)</t>
      </text>
    </comment>
    <comment ref="S45" authorId="0" shapeId="0">
      <text>
        <t>모델값 역산(implied): v / 전년동기 − 1
현재 종가 ÷ TTM EPS(추정 포함)</t>
      </text>
    </comment>
    <comment ref="T45" authorId="0" shapeId="0">
      <text>
        <t>모델값 역산(implied): v / 전년동기 − 1
현재 종가 ÷ TTM EPS(추정 포함)</t>
      </text>
    </comment>
    <comment ref="U45" authorId="0" shapeId="0">
      <text>
        <t>모델값 역산(implied): v / 전년동기 − 1
현재 종가 ÷ TTM EPS(추정 포함)</t>
      </text>
    </comment>
    <comment ref="V45" authorId="0" shapeId="0">
      <text>
        <t>모델값 역산(implied): v / 전년동기 − 1
현재 종가 ÷ TTM EPS(추정 포함)</t>
      </text>
    </comment>
    <comment ref="K46" authorId="0" shapeId="0">
      <text>
        <t>모델값 역산(implied): v / 전년동기 − 1
현재 종가 ÷ BPS(추정 포함)</t>
      </text>
    </comment>
    <comment ref="L46" authorId="0" shapeId="0">
      <text>
        <t>모델값 역산(implied): v / 전년동기 − 1
현재 종가 ÷ BPS(추정 포함)</t>
      </text>
    </comment>
    <comment ref="N46" authorId="0" shapeId="0">
      <text>
        <t>모델값 역산(implied): v / 전년동기 − 1
현재 종가 ÷ BPS(추정 포함)</t>
      </text>
    </comment>
    <comment ref="O46" authorId="0" shapeId="0">
      <text>
        <t>모델값 역산(implied): v / 전년동기 − 1
현재 종가 ÷ BPS(추정 포함)</t>
      </text>
    </comment>
    <comment ref="P46" authorId="0" shapeId="0">
      <text>
        <t>모델값 역산(implied): v / 전년동기 − 1
현재 종가 ÷ BPS(추정 포함)</t>
      </text>
    </comment>
    <comment ref="Q46" authorId="0" shapeId="0">
      <text>
        <t>모델값 역산(implied): v / 전년동기 − 1
현재 종가 ÷ BPS(추정 포함)</t>
      </text>
    </comment>
    <comment ref="S46" authorId="0" shapeId="0">
      <text>
        <t>모델값 역산(implied): v / 전년동기 − 1
현재 종가 ÷ BPS(추정 포함)</t>
      </text>
    </comment>
    <comment ref="T46" authorId="0" shapeId="0">
      <text>
        <t>모델값 역산(implied): v / 전년동기 − 1
현재 종가 ÷ BPS(추정 포함)</t>
      </text>
    </comment>
    <comment ref="U46" authorId="0" shapeId="0">
      <text>
        <t>모델값 역산(implied): v / 전년동기 − 1
현재 종가 ÷ BPS(추정 포함)</t>
      </text>
    </comment>
    <comment ref="V46" authorId="0" shapeId="0">
      <text>
        <t>모델값 역산(implied): v / 전년동기 − 1
현재 종가 ÷ BPS(추정 포함)</t>
      </text>
    </comment>
    <comment ref="K47" authorId="0" shapeId="0">
      <text>
        <t>모델값 역산(implied): v / 매출액
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</t>
      </text>
    </comment>
    <comment ref="L47" authorId="0" shapeId="0">
      <text>
        <t>모델값 역산(implied): v / 매출액
SLS 해양 원화 2592억(sls.by_quarter.marine_hedged_krw_m_signed_by_origin(헤지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</t>
      </text>
    </comment>
    <comment ref="N47" authorId="0" shapeId="0">
      <text>
        <t>모델값 역산(implied): v / 매출액
SLS 해양 원화 2535억(sls.by_quarter.marine_hedged_krw_m_signed_by_origin(헤지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192억 제외(패널 신규에 포함으로 봄)</t>
      </text>
    </comment>
    <comment ref="O47" authorId="0" shapeId="0">
      <text>
        <t>모델값 역산(implied): v / 매출액
SLS 해양 원화 2564억(sls.by_quarter.marine_hedged_krw_m_signed_by_origin(헤지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194억 제외(패널 신규에 포함으로 봄)</t>
      </text>
    </comment>
    <comment ref="P47" authorId="0" shapeId="0">
      <text>
        <t>모델값 역산(implied): v / 매출액
SLS 해양 원화 2442억(sls.by_quarter.marine_hedged_krw_m_signed_by_origin(헤지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196억 제외(패널 신규에 포함으로 봄)</t>
      </text>
    </comment>
    <comment ref="Q47" authorId="0" shapeId="0">
      <text>
        <t>모델값 역산(implied): v / 매출액
SLS 해양 원화 2107억(sls.by_quarter.marine_hedged_krw_m_signed_by_origin(헤지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196억 제외(패널 신규에 포함으로 봄)</t>
      </text>
    </comment>
    <comment ref="S47" authorId="0" shapeId="0">
      <text>
        <t>모델값 역산(implied): v / 매출액
SLS 해양 원화 1917억(sls.by_quarter.marine_hedged_krw_m_signed_by_origin(헤지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194억 제외(패널 신규에 포함으로 봄)</t>
      </text>
    </comment>
    <comment ref="T47" authorId="0" shapeId="0">
      <text>
        <t>모델값 역산(implied): v / 매출액
SLS 해양 원화 1917억(sls.by_quarter.marine_hedged_krw_m_signed_by_origin(헤지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194억 제외(패널 신규에 포함으로 봄)</t>
      </text>
    </comment>
    <comment ref="U47" authorId="0" shapeId="0">
      <text>
        <t>모델값 역산(implied): v / 매출액
SLS 해양 원화 1680억(sls.by_quarter.marine_hedged_krw_m_signed_by_origin(헤지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196억 제외(패널 신규에 포함으로 봄)</t>
      </text>
    </comment>
    <comment ref="V47" authorId="0" shapeId="0">
      <text>
        <t>모델값 역산(implied): v / 매출액
SLS 해양 원화 1281억(sls.by_quarter.marine_hedged_krw_m_signed_by_origin(헤지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196억 제외(패널 신규에 포함으로 봄)</t>
      </text>
    </comment>
    <comment ref="K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L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N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O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P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Q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S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T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U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V48" authorId="0" shapeId="0">
      <text>
        <t>모델값 역산(implied): v / 매출액
forecast_panel.json.gz scenarios.base new_order_revenue(KRW_million÷100), status partial, calibrated=false, book-value proxy — 매출조선에 포함(합산 금지)</t>
      </text>
    </comment>
    <comment ref="K49" authorId="0" shapeId="0">
      <text>
        <t>모델값 역산(implied): v / 매출조선
매출조선 × 타겟 OPM(부문 OP 미공시 → 회사 OPM 적용; 신규수주분 포함)</t>
      </text>
    </comment>
    <comment ref="L49" authorId="0" shapeId="0">
      <text>
        <t>모델값 역산(implied): v / 매출조선
매출조선 × 타겟 OPM(부문 OP 미공시 → 회사 OPM 적용; 신규수주분 포함)</t>
      </text>
    </comment>
    <comment ref="N49" authorId="0" shapeId="0">
      <text>
        <t>모델값 역산(implied): v / 매출조선
매출조선 × 타겟 OPM(부문 OP 미공시 → 회사 OPM 적용; 신규수주분 포함)</t>
      </text>
    </comment>
    <comment ref="O49" authorId="0" shapeId="0">
      <text>
        <t>모델값 역산(implied): v / 매출조선
매출조선 × 타겟 OPM(부문 OP 미공시 → 회사 OPM 적용; 신규수주분 포함)</t>
      </text>
    </comment>
    <comment ref="P49" authorId="0" shapeId="0">
      <text>
        <t>모델값 역산(implied): v / 매출조선
매출조선 × 타겟 OPM(부문 OP 미공시 → 회사 OPM 적용; 신규수주분 포함)</t>
      </text>
    </comment>
    <comment ref="Q49" authorId="0" shapeId="0">
      <text>
        <t>모델값 역산(implied): v / 매출조선
매출조선 × 타겟 OPM(부문 OP 미공시 → 회사 OPM 적용; 신규수주분 포함)</t>
      </text>
    </comment>
    <comment ref="S49" authorId="0" shapeId="0">
      <text>
        <t>모델값 역산(implied): v / 매출조선
매출조선 × 타겟 OPM(부문 OP 미공시 → 회사 OPM 적용; 신규수주분 포함)</t>
      </text>
    </comment>
    <comment ref="T49" authorId="0" shapeId="0">
      <text>
        <t>모델값 역산(implied): v / 매출조선
매출조선 × 타겟 OPM(부문 OP 미공시 → 회사 OPM 적용; 신규수주분 포함)</t>
      </text>
    </comment>
    <comment ref="U49" authorId="0" shapeId="0">
      <text>
        <t>모델값 역산(implied): v / 매출조선
매출조선 × 타겟 OPM(부문 OP 미공시 → 회사 OPM 적용; 신규수주분 포함)</t>
      </text>
    </comment>
    <comment ref="V49" authorId="0" shapeId="0">
      <text>
        <t>모델값 역산(implied): v / 매출조선
매출조선 × 타겟 OPM(부문 OP 미공시 → 회사 OPM 적용; 신규수주분 포함)</t>
      </text>
    </comment>
    <comment ref="L50" authorId="0" shapeId="0">
      <text>
        <t>모델값 역산(implied): v / 매출조선신규
매출조선신규 × 타겟 OPM(신규분에도 같은 타겟) — OP조선에 포함</t>
      </text>
    </comment>
    <comment ref="N50" authorId="0" shapeId="0">
      <text>
        <t>모델값 역산(implied): v / 매출조선신규
매출조선신규 × 타겟 OPM(신규분에도 같은 타겟) — OP조선에 포함</t>
      </text>
    </comment>
    <comment ref="O50" authorId="0" shapeId="0">
      <text>
        <t>모델값 역산(implied): v / 매출조선신규
매출조선신규 × 타겟 OPM(신규분에도 같은 타겟) — OP조선에 포함</t>
      </text>
    </comment>
    <comment ref="P50" authorId="0" shapeId="0">
      <text>
        <t>모델값 역산(implied): v / 매출조선신규
매출조선신규 × 타겟 OPM(신규분에도 같은 타겟) — OP조선에 포함</t>
      </text>
    </comment>
    <comment ref="Q50" authorId="0" shapeId="0">
      <text>
        <t>모델값 역산(implied): v / 매출조선신규
매출조선신규 × 타겟 OPM(신규분에도 같은 타겟) — OP조선에 포함</t>
      </text>
    </comment>
    <comment ref="S50" authorId="0" shapeId="0">
      <text>
        <t>모델값 역산(implied): v / 매출조선신규
매출조선신규 × 타겟 OPM(신규분에도 같은 타겟) — OP조선에 포함</t>
      </text>
    </comment>
    <comment ref="T50" authorId="0" shapeId="0">
      <text>
        <t>모델값 역산(implied): v / 매출조선신규
매출조선신규 × 타겟 OPM(신규분에도 같은 타겟) — OP조선에 포함</t>
      </text>
    </comment>
    <comment ref="U50" authorId="0" shapeId="0">
      <text>
        <t>모델값 역산(implied): v / 매출조선신규
매출조선신규 × 타겟 OPM(신규분에도 같은 타겟) — OP조선에 포함</t>
      </text>
    </comment>
    <comment ref="V50" authorId="0" shapeId="0">
      <text>
        <t>모델값 역산(implied): v / 매출조선신규
매출조선신규 × 타겟 OPM(신규분에도 같은 타겟) — OP조선에 포함</t>
      </text>
    </comment>
    <comment ref="K51" authorId="0" shapeId="0">
      <text>
        <t>모델값 역산(implied): v / 매출액
기타 부문(연결 − 조선 부문) 최근 4분기 중위 22억 유지</t>
      </text>
    </comment>
    <comment ref="L51" authorId="0" shapeId="0">
      <text>
        <t>모델값 역산(implied): v / 매출액
기타 부문(연결 − 조선 부문) 최근 4분기 중위 22억 유지</t>
      </text>
    </comment>
    <comment ref="N51" authorId="0" shapeId="0">
      <text>
        <t>모델값 역산(implied): v / 매출액
기타 부문(연결 − 조선 부문) 최근 4분기 중위 22억 유지</t>
      </text>
    </comment>
    <comment ref="O51" authorId="0" shapeId="0">
      <text>
        <t>모델값 역산(implied): v / 매출액
기타 부문(연결 − 조선 부문) 최근 4분기 중위 22억 유지</t>
      </text>
    </comment>
    <comment ref="P51" authorId="0" shapeId="0">
      <text>
        <t>모델값 역산(implied): v / 매출액
기타 부문(연결 − 조선 부문) 최근 4분기 중위 22억 유지</t>
      </text>
    </comment>
    <comment ref="Q51" authorId="0" shapeId="0">
      <text>
        <t>모델값 역산(implied): v / 매출액
기타 부문(연결 − 조선 부문) 최근 4분기 중위 22억 유지</t>
      </text>
    </comment>
    <comment ref="S51" authorId="0" shapeId="0">
      <text>
        <t>모델값 역산(implied): v / 매출액
기타 부문(연결 − 조선 부문) 최근 4분기 중위 22억 유지</t>
      </text>
    </comment>
    <comment ref="T51" authorId="0" shapeId="0">
      <text>
        <t>모델값 역산(implied): v / 매출액
기타 부문(연결 − 조선 부문) 최근 4분기 중위 22억 유지</t>
      </text>
    </comment>
    <comment ref="U51" authorId="0" shapeId="0">
      <text>
        <t>모델값 역산(implied): v / 매출액
기타 부문(연결 − 조선 부문) 최근 4분기 중위 22억 유지</t>
      </text>
    </comment>
    <comment ref="V51" authorId="0" shapeId="0">
      <text>
        <t>모델값 역산(implied): v / 매출액
기타 부문(연결 − 조선 부문) 최근 4분기 중위 22억 유지</t>
      </text>
    </comment>
    <comment ref="K52" authorId="0" shapeId="0">
      <text>
        <t>모델값 역산(implied): v / 매출기타
매출기타 × 회사 OPM(부문 OP 미공시)</t>
      </text>
    </comment>
    <comment ref="L52" authorId="0" shapeId="0">
      <text>
        <t>모델값 역산(implied): v / 매출기타
매출기타 × 회사 OPM(부문 OP 미공시)</t>
      </text>
    </comment>
    <comment ref="N52" authorId="0" shapeId="0">
      <text>
        <t>모델값 역산(implied): v / 매출기타
매출기타 × 회사 OPM(부문 OP 미공시)</t>
      </text>
    </comment>
    <comment ref="O52" authorId="0" shapeId="0">
      <text>
        <t>모델값 역산(implied): v / 매출기타
매출기타 × 회사 OPM(부문 OP 미공시)</t>
      </text>
    </comment>
    <comment ref="P52" authorId="0" shapeId="0">
      <text>
        <t>모델값 역산(implied): v / 매출기타
매출기타 × 회사 OPM(부문 OP 미공시)</t>
      </text>
    </comment>
    <comment ref="Q52" authorId="0" shapeId="0">
      <text>
        <t>모델값 역산(implied): v / 매출기타
매출기타 × 회사 OPM(부문 OP 미공시)</t>
      </text>
    </comment>
    <comment ref="S52" authorId="0" shapeId="0">
      <text>
        <t>모델값 역산(implied): v / 매출기타
매출기타 × 회사 OPM(부문 OP 미공시)</t>
      </text>
    </comment>
    <comment ref="T52" authorId="0" shapeId="0">
      <text>
        <t>모델값 역산(implied): v / 매출기타
매출기타 × 회사 OPM(부문 OP 미공시)</t>
      </text>
    </comment>
    <comment ref="U52" authorId="0" shapeId="0">
      <text>
        <t>모델값 역산(implied): v / 매출기타
매출기타 × 회사 OPM(부문 OP 미공시)</t>
      </text>
    </comment>
    <comment ref="V5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[yoy]</t>
      </text>
    </comment>
    <comment ref="L5" authorId="0" shapeId="0">
      <text>
        <t>추정: 매출조선 + 매출기타
[yoy]</t>
      </text>
    </comment>
    <comment ref="N5" authorId="0" shapeId="0">
      <text>
        <t>추정: 매출조선 + 매출기타
[yoy]</t>
      </text>
    </comment>
    <comment ref="O5" authorId="0" shapeId="0">
      <text>
        <t>추정: 매출조선 + 매출기타
[yoy]</t>
      </text>
    </comment>
    <comment ref="P5" authorId="0" shapeId="0">
      <text>
        <t>추정: 매출조선 + 매출기타
[yoy]</t>
      </text>
    </comment>
    <comment ref="Q5" authorId="0" shapeId="0">
      <text>
        <t>추정: 매출조선 + 매출기타
[yoy]</t>
      </text>
    </comment>
    <comment ref="S5" authorId="0" shapeId="0">
      <text>
        <t>추정: 매출조선 + 매출기타
[yoy]</t>
      </text>
    </comment>
    <comment ref="T5" authorId="0" shapeId="0">
      <text>
        <t>추정: 매출조선 + 매출기타
[yoy]</t>
      </text>
    </comment>
    <comment ref="U5" authorId="0" shapeId="0">
      <text>
        <t>추정: 매출조선 + 매출기타
[yoy]</t>
      </text>
    </comment>
    <comment ref="V5" authorId="0" shapeId="0">
      <text>
        <t>추정: 매출조선 + 매출기타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L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N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O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P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Q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S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T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U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V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L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N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O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P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Q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S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T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U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V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[yoy]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[abs]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6379억 × 2.21%(주석 이자수익 ÷ 평균 이자발생자산(2025Q3~2026Q2)) − 총차입금 0억 × 0.00%(없음) (연율) ÷ 4; 환율 효과는 환관련손익 행 별도
[abs]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6965억 × 2.21%(주석 이자수익 ÷ 평균 이자발생자산(2025Q3~2026Q2)) − 총차입금 0억 × 0.00%(없음) (연율) ÷ 4; 환율 효과는 환관련손익 행 별도
[abs]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7588억 × 2.21%(주석 이자수익 ÷ 평균 이자발생자산(2025Q3~2026Q2)) − 총차입금 0억 × 0.00%(없음) (연율) ÷ 4; 환율 효과는 환관련손익 행 별도
[abs]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8195억 × 2.21%(주석 이자수익 ÷ 평균 이자발생자산(2025Q3~2026Q2)) − 총차입금 0억 × 0.00%(없음) (연율) ÷ 4; 환율 효과는 환관련손익 행 별도
[abs]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8961억 × 2.21%(주석 이자수익 ÷ 평균 이자발생자산(2025Q3~2026Q2)) − 총차입금 0억 × 0.00%(없음) (연율) ÷ 4; 환율 효과는 환관련손익 행 별도
[abs]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9761억 × 2.21%(주석 이자수익 ÷ 평균 이자발생자산(2025Q3~2026Q2)) − 총차입금 0억 × 0.00%(없음) (연율) ÷ 4; 환율 효과는 환관련손익 행 별도
[abs]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10628억 × 2.21%(주석 이자수익 ÷ 평균 이자발생자산(2025Q3~2026Q2)) − 총차입금 0억 × 0.00%(없음) (연율) ÷ 4; 환율 효과는 환관련손익 행 별도
[abs]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11505억 × 2.21%(주석 이자수익 ÷ 평균 이자발생자산(2025Q3~2026Q2)) − 총차입금 0억 × 0.00%(없음) (연율) ÷ 4; 환율 효과는 환관련손익 행 별도
[abs]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12528억 × 2.21%(주석 이자수익 ÷ 평균 이자발생자산(2025Q3~2026Q2)) − 총차입금 0억 × 0.00%(없음) (연율) ÷ 4; 환율 효과는 환관련손익 행 별도
[abs]</t>
      </text>
    </comment>
    <comment ref="K12" authorId="0" shapeId="0">
      <text>
        <t>추정: 이자발생자산 5802억 × 2.21%(주석 이자수익 ÷ 평균 이자발생자산(2025Q3~2026Q2)) − 총차입금 0억 × 0.00%(없음) (연율) ÷ 4
[abs]</t>
      </text>
    </comment>
    <comment ref="L12" authorId="0" shapeId="0">
      <text>
        <t>추정: 이자발생자산 6379억 × 2.21%(주석 이자수익 ÷ 평균 이자발생자산(2025Q3~2026Q2)) − 총차입금 0억 × 0.00%(없음) (연율) ÷ 4
[abs]</t>
      </text>
    </comment>
    <comment ref="N12" authorId="0" shapeId="0">
      <text>
        <t>추정: 이자발생자산 6965억 × 2.21%(주석 이자수익 ÷ 평균 이자발생자산(2025Q3~2026Q2)) − 총차입금 0억 × 0.00%(없음) (연율) ÷ 4
[abs]</t>
      </text>
    </comment>
    <comment ref="O12" authorId="0" shapeId="0">
      <text>
        <t>추정: 이자발생자산 7588억 × 2.21%(주석 이자수익 ÷ 평균 이자발생자산(2025Q3~2026Q2)) − 총차입금 0억 × 0.00%(없음) (연율) ÷ 4
[abs]</t>
      </text>
    </comment>
    <comment ref="P12" authorId="0" shapeId="0">
      <text>
        <t>추정: 이자발생자산 8195억 × 2.21%(주석 이자수익 ÷ 평균 이자발생자산(2025Q3~2026Q2)) − 총차입금 0억 × 0.00%(없음) (연율) ÷ 4
[abs]</t>
      </text>
    </comment>
    <comment ref="Q12" authorId="0" shapeId="0">
      <text>
        <t>추정: 이자발생자산 8961억 × 2.21%(주석 이자수익 ÷ 평균 이자발생자산(2025Q3~2026Q2)) − 총차입금 0억 × 0.00%(없음) (연율) ÷ 4
[abs]</t>
      </text>
    </comment>
    <comment ref="S12" authorId="0" shapeId="0">
      <text>
        <t>추정: 이자발생자산 9761억 × 2.21%(주석 이자수익 ÷ 평균 이자발생자산(2025Q3~2026Q2)) − 총차입금 0억 × 0.00%(없음) (연율) ÷ 4
[abs]</t>
      </text>
    </comment>
    <comment ref="T12" authorId="0" shapeId="0">
      <text>
        <t>추정: 이자발생자산 10628억 × 2.21%(주석 이자수익 ÷ 평균 이자발생자산(2025Q3~2026Q2)) − 총차입금 0억 × 0.00%(없음) (연율) ÷ 4
[abs]</t>
      </text>
    </comment>
    <comment ref="U12" authorId="0" shapeId="0">
      <text>
        <t>추정: 이자발생자산 11505억 × 2.21%(주석 이자수익 ÷ 평균 이자발생자산(2025Q3~2026Q2)) − 총차입금 0억 × 0.00%(없음) (연율) ÷ 4
[abs]</t>
      </text>
    </comment>
    <comment ref="V12" authorId="0" shapeId="0">
      <text>
        <t>추정: 이자발생자산 12528억 × 2.21%(주석 이자수익 ÷ 평균 이자발생자산(2025Q3~2026Q2)) − 총차입금 0억 × 0.00%(없음) (연율) ÷ 4
[abs]</t>
      </text>
    </comment>
    <comment ref="E13" authorId="0" shapeId="0">
      <text>
        <t>실측(계정 매핑 없음 — 모델값 직접) — fin.cons.is.외환차익 − fin.cons.is.외환차손 + fin.cons.is.외화환산이익 − fin.cons.is.외화환산손실(음수 저장 → 부호 반전)</t>
      </text>
    </comment>
    <comment ref="F13" authorId="0" shapeId="0">
      <text>
        <t>실측(계정 매핑 없음 — 모델값 직접) — fin.cons.is.외환차익 − fin.cons.is.외환차손 + fin.cons.is.외화환산이익 − fin.cons.is.외화환산손실(음수 저장 → 부호 반전)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fin.cons.is.외화환산손실(음수 저장 → 부호 반전)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O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P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Q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S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T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U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V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E14" authorId="0" shapeId="0">
      <text>
        <t>실측(계정 매핑 없음 — 모델값 직접) — fin.cons.is.파생상품이익 − fin.cons.is.파생상품손실</t>
      </text>
    </comment>
    <comment ref="F14" authorId="0" shapeId="0">
      <text>
        <t>실측(계정 매핑 없음 — 모델값 직접) — fin.cons.is.파생상품이익 − fin.cons.is.파생상품손실</t>
      </text>
    </comment>
    <comment ref="G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E15" authorId="0" shapeId="0">
      <text>
        <t>실측(계정 매핑 없음 — 모델값 직접) — fin.cons.is.금융손익 − 이자손익 − 외환손익 − 파생상품손익(잔차)</t>
      </text>
    </comment>
    <comment ref="F15" authorId="0" shapeId="0">
      <text>
        <t>실측(계정 매핑 없음 — 모델값 직접) — fin.cons.is.금융손익 − 이자손익 − 외환손익 − 파생상품손익(잔차)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K15" authorId="0" shapeId="0">
      <text>
        <t>추정: 잔차 실측 3분기 &lt; 4 → 0
[yoy]</t>
      </text>
    </comment>
    <comment ref="L15" authorId="0" shapeId="0">
      <text>
        <t>추정: 잔차 실측 3분기 &lt; 4 → 0
[yoy]</t>
      </text>
    </comment>
    <comment ref="N15" authorId="0" shapeId="0">
      <text>
        <t>추정(가정 셀 참조 불가 — 기준값 없음, 모델값 직접): 잔차 실측 3분기 &lt; 4 → 0</t>
      </text>
    </comment>
    <comment ref="O15" authorId="0" shapeId="0">
      <text>
        <t>추정(가정 셀 참조 불가 — 기준값 없음, 모델값 직접): 잔차 실측 3분기 &lt; 4 → 0</t>
      </text>
    </comment>
    <comment ref="P15" authorId="0" shapeId="0">
      <text>
        <t>추정(가정 셀 참조 불가 — 기준값 없음, 모델값 직접): 잔차 실측 3분기 &lt; 4 → 0</t>
      </text>
    </comment>
    <comment ref="Q15" authorId="0" shapeId="0">
      <text>
        <t>추정(가정 셀 참조 불가 — 기준값 없음, 모델값 직접): 잔차 실측 3분기 &lt; 4 → 0</t>
      </text>
    </comment>
    <comment ref="S15" authorId="0" shapeId="0">
      <text>
        <t>추정(가정 셀 참조 불가 — 기준값 없음, 모델값 직접): 잔차 실측 3분기 &lt; 4 → 0</t>
      </text>
    </comment>
    <comment ref="T15" authorId="0" shapeId="0">
      <text>
        <t>추정(가정 셀 참조 불가 — 기준값 없음, 모델값 직접): 잔차 실측 3분기 &lt; 4 → 0</t>
      </text>
    </comment>
    <comment ref="U15" authorId="0" shapeId="0">
      <text>
        <t>추정(가정 셀 참조 불가 — 기준값 없음, 모델값 직접): 잔차 실측 3분기 &lt; 4 → 0</t>
      </text>
    </comment>
    <comment ref="V15" authorId="0" shapeId="0">
      <text>
        <t>추정(가정 셀 참조 불가 — 기준값 없음, 모델값 직접): 잔차 실측 3분기 &lt; 4 → 0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[abs]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[ratio]</t>
      </text>
    </comment>
    <comment ref="L19" authorId="0" shapeId="0">
      <text>
        <t>추정: max(세전, 0) × 세율 22.8%(최근 5분기 유효세율 22.8%(5~27% 안 — 그대로))
[ratio]</t>
      </text>
    </comment>
    <comment ref="N19" authorId="0" shapeId="0">
      <text>
        <t>추정: max(세전, 0) × 세율 22.8%(최근 5분기 유효세율 22.8%(5~27% 안 — 그대로))
[ratio]</t>
      </text>
    </comment>
    <comment ref="O19" authorId="0" shapeId="0">
      <text>
        <t>추정: max(세전, 0) × 세율 22.8%(최근 5분기 유효세율 22.8%(5~27% 안 — 그대로))
[ratio]</t>
      </text>
    </comment>
    <comment ref="P19" authorId="0" shapeId="0">
      <text>
        <t>추정: max(세전, 0) × 세율 22.8%(최근 5분기 유효세율 22.8%(5~27% 안 — 그대로))
[ratio]</t>
      </text>
    </comment>
    <comment ref="Q19" authorId="0" shapeId="0">
      <text>
        <t>추정: max(세전, 0) × 세율 22.8%(최근 5분기 유효세율 22.8%(5~27% 안 — 그대로))
[ratio]</t>
      </text>
    </comment>
    <comment ref="S19" authorId="0" shapeId="0">
      <text>
        <t>추정: max(세전, 0) × 세율 22.8%(최근 5분기 유효세율 22.8%(5~27% 안 — 그대로))
[ratio]</t>
      </text>
    </comment>
    <comment ref="T19" authorId="0" shapeId="0">
      <text>
        <t>추정: max(세전, 0) × 세율 22.8%(최근 5분기 유효세율 22.8%(5~27% 안 — 그대로))
[ratio]</t>
      </text>
    </comment>
    <comment ref="U19" authorId="0" shapeId="0">
      <text>
        <t>추정: max(세전, 0) × 세율 22.8%(최근 5분기 유효세율 22.8%(5~27% 안 — 그대로))
[ratio]</t>
      </text>
    </comment>
    <comment ref="V19" authorId="0" shapeId="0">
      <text>
        <t>추정: max(세전, 0) × 세율 22.8%(최근 5분기 유효세율 22.8%(5~27% 안 — 그대로))
[ratio]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(순이익 − 배당) — 순차입금 롤과 같은 가정
[qoq]</t>
      </text>
    </comment>
    <comment ref="L28" authorId="0" shapeId="0">
      <text>
        <t>추정: 전분기 + (순이익 − 배당) — 순차입금 롤과 같은 가정
[qoq]</t>
      </text>
    </comment>
    <comment ref="N28" authorId="0" shapeId="0">
      <text>
        <t>추정: 전분기 + (순이익 − 배당) — 순차입금 롤과 같은 가정
[qoq]</t>
      </text>
    </comment>
    <comment ref="O28" authorId="0" shapeId="0">
      <text>
        <t>추정: 전분기 + (순이익 − 배당) — 순차입금 롤과 같은 가정
[qoq]</t>
      </text>
    </comment>
    <comment ref="P28" authorId="0" shapeId="0">
      <text>
        <t>추정: 전분기 + (순이익 − 배당) — 순차입금 롤과 같은 가정
[qoq]</t>
      </text>
    </comment>
    <comment ref="Q28" authorId="0" shapeId="0">
      <text>
        <t>추정: 전분기 + (순이익 − 배당) — 순차입금 롤과 같은 가정
[qoq]</t>
      </text>
    </comment>
    <comment ref="S28" authorId="0" shapeId="0">
      <text>
        <t>추정: 전분기 + (순이익 − 배당) — 순차입금 롤과 같은 가정
[qoq]</t>
      </text>
    </comment>
    <comment ref="T28" authorId="0" shapeId="0">
      <text>
        <t>추정: 전분기 + (순이익 − 배당) — 순차입금 롤과 같은 가정
[qoq]</t>
      </text>
    </comment>
    <comment ref="U28" authorId="0" shapeId="0">
      <text>
        <t>추정: 전분기 + (순이익 − 배당) — 순차입금 롤과 같은 가정
[qoq]</t>
      </text>
    </comment>
    <comment ref="V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F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F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[yoy]</t>
      </text>
    </comment>
    <comment ref="Q35" authorId="0" shapeId="0">
      <text>
        <t>추정: 직전 결산 DPS 250원 유지
[yoy]</t>
      </text>
    </comment>
    <comment ref="V35" authorId="0" shapeId="0">
      <text>
        <t>추정: 직전 결산 DPS 250원 유지
[yoy]</t>
      </text>
    </comment>
    <comment ref="I36" authorId="0" shapeId="0">
      <text>
        <t>실측(계정 매핑 없음 — 모델값 직접) — 토스 일봉 분기 평균 ÷ TTM EPS</t>
      </text>
    </comment>
    <comment ref="J36" authorId="0" shapeId="0">
      <text>
        <t>실측(계정 매핑 없음 — 모델값 직접) — 토스 일봉 분기 평균 ÷ TTM EPS</t>
      </text>
    </comment>
    <comment ref="K36" authorId="0" shapeId="0">
      <text>
        <t>추정(가정 셀 참조 불가 — 기준값 없음, 모델값 직접): 현재 종가 ÷ TTM EPS(추정 포함)</t>
      </text>
    </comment>
    <comment ref="L36" authorId="0" shapeId="0">
      <text>
        <t>추정(가정 셀 참조 불가 — 기준값 없음, 모델값 직접): 현재 종가 ÷ TTM EPS(추정 포함)</t>
      </text>
    </comment>
    <comment ref="N36" authorId="0" shapeId="0">
      <text>
        <t>추정: 현재 종가 ÷ TTM EPS(추정 포함)
[yoy]</t>
      </text>
    </comment>
    <comment ref="O36" authorId="0" shapeId="0">
      <text>
        <t>추정: 현재 종가 ÷ TTM EPS(추정 포함)
[yoy]</t>
      </text>
    </comment>
    <comment ref="P36" authorId="0" shapeId="0">
      <text>
        <t>추정: 현재 종가 ÷ TTM EPS(추정 포함)
[yoy]</t>
      </text>
    </comment>
    <comment ref="Q36" authorId="0" shapeId="0">
      <text>
        <t>추정: 현재 종가 ÷ TTM EPS(추정 포함)
[yoy]</t>
      </text>
    </comment>
    <comment ref="S36" authorId="0" shapeId="0">
      <text>
        <t>추정: 현재 종가 ÷ TTM EPS(추정 포함)
[yoy]</t>
      </text>
    </comment>
    <comment ref="T36" authorId="0" shapeId="0">
      <text>
        <t>추정: 현재 종가 ÷ TTM EPS(추정 포함)
[yoy]</t>
      </text>
    </comment>
    <comment ref="U36" authorId="0" shapeId="0">
      <text>
        <t>추정: 현재 종가 ÷ TTM EPS(추정 포함)
[yoy]</t>
      </text>
    </comment>
    <comment ref="V36" authorId="0" shapeId="0">
      <text>
        <t>추정: 현재 종가 ÷ TTM EPS(추정 포함)
[yoy]</t>
      </text>
    </comment>
    <comment ref="F37" authorId="0" shapeId="0">
      <text>
        <t>실측(계정 매핑 없음 — 모델값 직접) — 토스 일봉 분기 평균 ÷ BPS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연간(actual) — 분기 미완 연도, 모델 a 값 직접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K37" authorId="0" shapeId="0">
      <text>
        <t>추정: 현재 종가 ÷ BPS(추정 포함)
[yoy]</t>
      </text>
    </comment>
    <comment ref="L37" authorId="0" shapeId="0">
      <text>
        <t>추정: 현재 종가 ÷ BPS(추정 포함)
[yoy]</t>
      </text>
    </comment>
    <comment ref="N37" authorId="0" shapeId="0">
      <text>
        <t>추정: 현재 종가 ÷ BPS(추정 포함)
[yoy]</t>
      </text>
    </comment>
    <comment ref="O37" authorId="0" shapeId="0">
      <text>
        <t>추정: 현재 종가 ÷ BPS(추정 포함)
[yoy]</t>
      </text>
    </comment>
    <comment ref="P37" authorId="0" shapeId="0">
      <text>
        <t>추정: 현재 종가 ÷ BPS(추정 포함)
[yoy]</t>
      </text>
    </comment>
    <comment ref="Q37" authorId="0" shapeId="0">
      <text>
        <t>추정: 현재 종가 ÷ BPS(추정 포함)
[yoy]</t>
      </text>
    </comment>
    <comment ref="S37" authorId="0" shapeId="0">
      <text>
        <t>추정: 현재 종가 ÷ BPS(추정 포함)
[yoy]</t>
      </text>
    </comment>
    <comment ref="T37" authorId="0" shapeId="0">
      <text>
        <t>추정: 현재 종가 ÷ BPS(추정 포함)
[yoy]</t>
      </text>
    </comment>
    <comment ref="U37" authorId="0" shapeId="0">
      <text>
        <t>추정: 현재 종가 ÷ BPS(추정 포함)
[yoy]</t>
      </text>
    </comment>
    <comment ref="V37" authorId="0" shapeId="0">
      <text>
        <t>추정: 현재 종가 ÷ BPS(추정 포함)
[yoy]</t>
      </text>
    </comment>
    <comment ref="F38" authorId="0" shapeId="0">
      <text>
        <t>실측(계정 매핑 없음 — 모델값 직접) — sls.reconcile.reported_segment_rev_m ← yards_cache 부문표(3개월분)</t>
      </text>
    </comment>
    <comment ref="G38" authorId="0" shapeId="0">
      <text>
        <t>실측(계정 매핑 없음 — 모델값 직접) — sls.reconcile.reported_segment_rev_m ← yards_cache 부문표(3개월분)</t>
      </text>
    </comment>
    <comment ref="I38" authorId="0" shapeId="0">
      <text>
        <t>실측(계정 매핑 없음 — 모델값 직접) — sls.reconcile.reported_segment_rev_m ← yards_cache 부문표(3개월분)</t>
      </text>
    </comment>
    <comment ref="J38" authorId="0" shapeId="0">
      <text>
        <t>실측(계정 매핑 없음 — 모델값 직접) — sls.reconcile.reported_segment_rev_m ← yards_cache 부문표(3개월분)</t>
      </text>
    </comment>
    <comment ref="K38" authorId="0" shapeId="0">
      <text>
        <t>추정: 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
[ratio]</t>
      </text>
    </comment>
    <comment ref="L38" authorId="0" shapeId="0">
      <text>
        <t>추정: SLS 해양 원화 2592억(sls.by_quarter.marine_hedged_krw_m_signed_by_origin(헤지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
[ratio]</t>
      </text>
    </comment>
    <comment ref="N38" authorId="0" shapeId="0">
      <text>
        <t>추정: SLS 해양 원화 2535억(sls.by_quarter.marine_hedged_krw_m_signed_by_origin(헤지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192억 제외(패널 신규에 포함으로 봄)
[ratio]</t>
      </text>
    </comment>
    <comment ref="O38" authorId="0" shapeId="0">
      <text>
        <t>추정: SLS 해양 원화 2564억(sls.by_quarter.marine_hedged_krw_m_signed_by_origin(헤지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194억 제외(패널 신규에 포함으로 봄)
[ratio]</t>
      </text>
    </comment>
    <comment ref="P38" authorId="0" shapeId="0">
      <text>
        <t>추정: SLS 해양 원화 2442억(sls.by_quarter.marine_hedged_krw_m_signed_by_origin(헤지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196억 제외(패널 신규에 포함으로 봄)
[ratio]</t>
      </text>
    </comment>
    <comment ref="Q38" authorId="0" shapeId="0">
      <text>
        <t>추정: SLS 해양 원화 2107억(sls.by_quarter.marine_hedged_krw_m_signed_by_origin(헤지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196억 제외(패널 신규에 포함으로 봄)
[ratio]</t>
      </text>
    </comment>
    <comment ref="S38" authorId="0" shapeId="0">
      <text>
        <t>추정: SLS 해양 원화 1917억(sls.by_quarter.marine_hedged_krw_m_signed_by_origin(헤지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194억 제외(패널 신규에 포함으로 봄)
[ratio]</t>
      </text>
    </comment>
    <comment ref="T38" authorId="0" shapeId="0">
      <text>
        <t>추정: SLS 해양 원화 1917억(sls.by_quarter.marine_hedged_krw_m_signed_by_origin(헤지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194억 제외(패널 신규에 포함으로 봄)
[ratio]</t>
      </text>
    </comment>
    <comment ref="U38" authorId="0" shapeId="0">
      <text>
        <t>추정: SLS 해양 원화 1680억(sls.by_quarter.marine_hedged_krw_m_signed_by_origin(헤지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196억 제외(패널 신규에 포함으로 봄)
[ratio]</t>
      </text>
    </comment>
    <comment ref="V38" authorId="0" shapeId="0">
      <text>
        <t>추정: SLS 해양 원화 1281억(sls.by_quarter.marine_hedged_krw_m_signed_by_origin(헤지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196억 제외(패널 신규에 포함으로 봄)
[ratio]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L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N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O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P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Q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S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T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U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V39" authorId="0" shapeId="0">
      <text>
        <t>추정: forecast_panel.json.gz scenarios.base new_order_revenue(KRW_million÷100), status partial, calibrated=false, book-value proxy — 매출조선에 포함(합산 금지)
[ratio]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추정(가정 셀 참조 불가 — 기준값 없음, 모델값 직접): 매출조선신규 × 타겟 OPM(신규분에도 같은 타겟) — OP조선에 포함</t>
      </text>
    </comment>
    <comment ref="L41" authorId="0" shapeId="0">
      <text>
        <t>추정: 매출조선신규 × 타겟 OPM(신규분에도 같은 타겟) — OP조선에 포함
[ratio]</t>
      </text>
    </comment>
    <comment ref="N41" authorId="0" shapeId="0">
      <text>
        <t>추정: 매출조선신규 × 타겟 OPM(신규분에도 같은 타겟) — OP조선에 포함
[ratio]</t>
      </text>
    </comment>
    <comment ref="O41" authorId="0" shapeId="0">
      <text>
        <t>추정: 매출조선신규 × 타겟 OPM(신규분에도 같은 타겟) — OP조선에 포함
[ratio]</t>
      </text>
    </comment>
    <comment ref="P41" authorId="0" shapeId="0">
      <text>
        <t>추정: 매출조선신규 × 타겟 OPM(신규분에도 같은 타겟) — OP조선에 포함
[ratio]</t>
      </text>
    </comment>
    <comment ref="Q41" authorId="0" shapeId="0">
      <text>
        <t>추정: 매출조선신규 × 타겟 OPM(신규분에도 같은 타겟) — OP조선에 포함
[ratio]</t>
      </text>
    </comment>
    <comment ref="S41" authorId="0" shapeId="0">
      <text>
        <t>추정: 매출조선신규 × 타겟 OPM(신규분에도 같은 타겟) — OP조선에 포함
[ratio]</t>
      </text>
    </comment>
    <comment ref="T41" authorId="0" shapeId="0">
      <text>
        <t>추정: 매출조선신규 × 타겟 OPM(신규분에도 같은 타겟) — OP조선에 포함
[ratio]</t>
      </text>
    </comment>
    <comment ref="U41" authorId="0" shapeId="0">
      <text>
        <t>추정: 매출조선신규 × 타겟 OPM(신규분에도 같은 타겟) — OP조선에 포함
[ratio]</t>
      </text>
    </comment>
    <comment ref="V41" authorId="0" shapeId="0">
      <text>
        <t>추정: 매출조선신규 × 타겟 OPM(신규분에도 같은 타겟) — OP조선에 포함
[ratio]</t>
      </text>
    </comment>
    <comment ref="F42" authorId="0" shapeId="0">
      <text>
        <t>실측(계정 매핑 없음 — 모델값 직접) — 연결 매출 − 조선 부문(파생)</t>
      </text>
    </comment>
    <comment ref="G42" authorId="0" shapeId="0">
      <text>
        <t>실측(계정 매핑 없음 — 모델값 직접) — 연결 매출 − 조선 부문(파생)</t>
      </text>
    </comment>
    <comment ref="I42" authorId="0" shapeId="0">
      <text>
        <t>실측(계정 매핑 없음 — 모델값 직접) — 연결 매출 − 조선 부문(파생)</t>
      </text>
    </comment>
    <comment ref="J42" authorId="0" shapeId="0">
      <text>
        <t>실측(계정 매핑 없음 — 모델값 직접) — 연결 매출 − 조선 부문(파생)</t>
      </text>
    </comment>
    <comment ref="K42" authorId="0" shapeId="0">
      <text>
        <t>추정: 기타 부문(연결 − 조선 부문) 최근 4분기 중위 22억 유지
[ratio]</t>
      </text>
    </comment>
    <comment ref="L42" authorId="0" shapeId="0">
      <text>
        <t>추정: 기타 부문(연결 − 조선 부문) 최근 4분기 중위 22억 유지
[ratio]</t>
      </text>
    </comment>
    <comment ref="N42" authorId="0" shapeId="0">
      <text>
        <t>추정: 기타 부문(연결 − 조선 부문) 최근 4분기 중위 22억 유지
[ratio]</t>
      </text>
    </comment>
    <comment ref="O42" authorId="0" shapeId="0">
      <text>
        <t>추정: 기타 부문(연결 − 조선 부문) 최근 4분기 중위 22억 유지
[ratio]</t>
      </text>
    </comment>
    <comment ref="P42" authorId="0" shapeId="0">
      <text>
        <t>추정: 기타 부문(연결 − 조선 부문) 최근 4분기 중위 22억 유지
[ratio]</t>
      </text>
    </comment>
    <comment ref="Q42" authorId="0" shapeId="0">
      <text>
        <t>추정: 기타 부문(연결 − 조선 부문) 최근 4분기 중위 22억 유지
[ratio]</t>
      </text>
    </comment>
    <comment ref="S42" authorId="0" shapeId="0">
      <text>
        <t>추정: 기타 부문(연결 − 조선 부문) 최근 4분기 중위 22억 유지
[ratio]</t>
      </text>
    </comment>
    <comment ref="T42" authorId="0" shapeId="0">
      <text>
        <t>추정: 기타 부문(연결 − 조선 부문) 최근 4분기 중위 22억 유지
[ratio]</t>
      </text>
    </comment>
    <comment ref="U42" authorId="0" shapeId="0">
      <text>
        <t>추정: 기타 부문(연결 − 조선 부문) 최근 4분기 중위 22억 유지
[ratio]</t>
      </text>
    </comment>
    <comment ref="V42" authorId="0" shapeId="0">
      <text>
        <t>추정: 기타 부문(연결 − 조선 부문) 최근 4분기 중위 22억 유지
[ratio]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assets/models/439260.json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주석 비용 계정을 음수로 저장(0 아닌 분기 과반) → 금융손익 세부 계산에서 부호 반전: 외화환산손실 — kship_fin 부호 규약 확인 필요 / 원장 잔여가 공시 잔고를 넘음(커버리지 &gt; 1) → 원장 밖 소진분 0 (sls warnings 참고) / OPM 경로: 코호트 경로 없음 → 실측 중위 고정(원 타겟 전 분기 15.0% 상수(코호트 모드 reference_anchor); 경로 변화는 등급 없는 비중의 실측 중위 26.8% 채움에서만, 추정 구간 타겟 15.00%→15.00%) / 추정 매출조선 = 2026Q2 기준 잔고 소진분 + forecast_panel base 신규수주 매출(미보정 book-value proxy, status partial; FY합 14,599억) — 보수/낙관은 scenarios 블록(합산 안 함) / origin 이후 공시 수주 1건 2,713억은 패널 신규에 포함된 것으로 보아 기존 SLS 에서 제외 — 추정 창 SLS −1,901억(2026 345억 · 2027 777억 · 2028 779억)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제외 SLS vs 패널 base 신규 매출: 2026 345억 vs 82억 · 2027 777억 vs 3,561억 · 2028 779억 vs 10,956억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1355.4</v>
      </c>
      <c r="M6" s="17" t="n">
        <v>1461.31</v>
      </c>
      <c r="N6" s="16" t="n">
        <v>1355.4</v>
      </c>
      <c r="O6" s="16" t="n">
        <v>1355.4</v>
      </c>
      <c r="P6" s="16" t="n">
        <v>1355.4</v>
      </c>
      <c r="Q6" s="16" t="n">
        <v>1355.4</v>
      </c>
      <c r="R6" s="11" t="n"/>
      <c r="S6" s="16" t="n">
        <v>1355.4</v>
      </c>
      <c r="T6" s="16" t="n">
        <v>1355.4</v>
      </c>
      <c r="U6" s="16" t="n">
        <v>1355.4</v>
      </c>
      <c r="V6" s="16" t="n">
        <v>1355.4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1355.4</v>
      </c>
      <c r="M7" s="17" t="n">
        <v>1355.4</v>
      </c>
      <c r="N7" s="16" t="n">
        <v>1355.4</v>
      </c>
      <c r="O7" s="16" t="n">
        <v>1355.4</v>
      </c>
      <c r="P7" s="16" t="n">
        <v>1355.4</v>
      </c>
      <c r="Q7" s="16" t="n">
        <v>1355.4</v>
      </c>
      <c r="R7" s="11" t="n"/>
      <c r="S7" s="16" t="n">
        <v>1355.4</v>
      </c>
      <c r="T7" s="16" t="n">
        <v>1355.4</v>
      </c>
      <c r="U7" s="16" t="n">
        <v>1355.4</v>
      </c>
      <c r="V7" s="16" t="n">
        <v>1355.4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863.3099999999999</v>
      </c>
      <c r="M8" s="17" t="n">
        <v>921.71</v>
      </c>
      <c r="N8" s="16" t="n">
        <v>863.3099999999999</v>
      </c>
      <c r="O8" s="16" t="n">
        <v>863.3099999999999</v>
      </c>
      <c r="P8" s="16" t="n">
        <v>863.3099999999999</v>
      </c>
      <c r="Q8" s="16" t="n">
        <v>863.3099999999999</v>
      </c>
      <c r="R8" s="11" t="n"/>
      <c r="S8" s="16" t="n">
        <v>863.3099999999999</v>
      </c>
      <c r="T8" s="16" t="n">
        <v>863.3099999999999</v>
      </c>
      <c r="U8" s="16" t="n">
        <v>863.3099999999999</v>
      </c>
      <c r="V8" s="16" t="n">
        <v>863.3099999999999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863.3099999999999</v>
      </c>
      <c r="M9" s="17" t="n">
        <v>863.3099999999999</v>
      </c>
      <c r="N9" s="16" t="n">
        <v>863.3099999999999</v>
      </c>
      <c r="O9" s="16" t="n">
        <v>863.3099999999999</v>
      </c>
      <c r="P9" s="16" t="n">
        <v>863.3099999999999</v>
      </c>
      <c r="Q9" s="16" t="n">
        <v>863.3099999999999</v>
      </c>
      <c r="R9" s="11" t="n"/>
      <c r="S9" s="16" t="n">
        <v>863.3099999999999</v>
      </c>
      <c r="T9" s="16" t="n">
        <v>863.3099999999999</v>
      </c>
      <c r="U9" s="16" t="n">
        <v>863.3099999999999</v>
      </c>
      <c r="V9" s="16" t="n">
        <v>863.3099999999999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1539.06</v>
      </c>
      <c r="M10" s="17" t="n">
        <v>1696.56</v>
      </c>
      <c r="N10" s="16" t="n">
        <v>1539.06</v>
      </c>
      <c r="O10" s="16" t="n">
        <v>1539.06</v>
      </c>
      <c r="P10" s="16" t="n">
        <v>1539.06</v>
      </c>
      <c r="Q10" s="16" t="n">
        <v>1539.06</v>
      </c>
      <c r="R10" s="11" t="n"/>
      <c r="S10" s="16" t="n">
        <v>1539.06</v>
      </c>
      <c r="T10" s="16" t="n">
        <v>1539.06</v>
      </c>
      <c r="U10" s="16" t="n">
        <v>1539.06</v>
      </c>
      <c r="V10" s="16" t="n">
        <v>1539.06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1539.06</v>
      </c>
      <c r="M11" s="17" t="n">
        <v>1539.06</v>
      </c>
      <c r="N11" s="16" t="n">
        <v>1539.06</v>
      </c>
      <c r="O11" s="16" t="n">
        <v>1539.06</v>
      </c>
      <c r="P11" s="16" t="n">
        <v>1539.06</v>
      </c>
      <c r="Q11" s="16" t="n">
        <v>1539.06</v>
      </c>
      <c r="R11" s="11" t="n"/>
      <c r="S11" s="16" t="n">
        <v>1539.06</v>
      </c>
      <c r="T11" s="16" t="n">
        <v>1539.06</v>
      </c>
      <c r="U11" s="16" t="n">
        <v>1539.06</v>
      </c>
      <c r="V11" s="16" t="n">
        <v>1539.06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202.16</v>
      </c>
      <c r="M12" s="17" t="n">
        <v>214.23</v>
      </c>
      <c r="N12" s="16" t="n">
        <v>202.16</v>
      </c>
      <c r="O12" s="16" t="n">
        <v>202.16</v>
      </c>
      <c r="P12" s="16" t="n">
        <v>202.16</v>
      </c>
      <c r="Q12" s="16" t="n">
        <v>202.16</v>
      </c>
      <c r="R12" s="11" t="n"/>
      <c r="S12" s="16" t="n">
        <v>202.16</v>
      </c>
      <c r="T12" s="16" t="n">
        <v>202.16</v>
      </c>
      <c r="U12" s="16" t="n">
        <v>202.16</v>
      </c>
      <c r="V12" s="16" t="n">
        <v>202.16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202.16</v>
      </c>
      <c r="M13" s="17" t="n">
        <v>202.16</v>
      </c>
      <c r="N13" s="16" t="n">
        <v>202.16</v>
      </c>
      <c r="O13" s="16" t="n">
        <v>202.16</v>
      </c>
      <c r="P13" s="16" t="n">
        <v>202.16</v>
      </c>
      <c r="Q13" s="16" t="n">
        <v>202.16</v>
      </c>
      <c r="R13" s="11" t="n"/>
      <c r="S13" s="16" t="n">
        <v>202.16</v>
      </c>
      <c r="T13" s="16" t="n">
        <v>202.16</v>
      </c>
      <c r="U13" s="16" t="n">
        <v>202.16</v>
      </c>
      <c r="V13" s="16" t="n">
        <v>202.16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85500</v>
      </c>
      <c r="J15" s="19" t="n">
        <v>52100</v>
      </c>
      <c r="K15" s="20" t="n">
        <v>45700</v>
      </c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116300</v>
      </c>
      <c r="G16" s="18" t="n">
        <v>82500</v>
      </c>
      <c r="H16" s="9" t="n"/>
      <c r="I16" s="18" t="n">
        <v>109900</v>
      </c>
      <c r="J16" s="19" t="n">
        <v>98200</v>
      </c>
      <c r="K16" s="20" t="n">
        <v>57500</v>
      </c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86316.7</v>
      </c>
      <c r="G18" s="18" t="n">
        <v>71403.39999999999</v>
      </c>
      <c r="H18" s="9" t="n"/>
      <c r="I18" s="18" t="n">
        <v>81408.5</v>
      </c>
      <c r="J18" s="19" t="n">
        <v>74892.60000000001</v>
      </c>
      <c r="K18" s="20" t="n">
        <v>48265.3</v>
      </c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-0.033457</v>
      </c>
      <c r="L21" s="24" t="n">
        <v>-0.230928</v>
      </c>
      <c r="M21" s="25" t="n"/>
      <c r="N21" s="24" t="n">
        <v>-0.07112400000000001</v>
      </c>
      <c r="O21" s="24" t="n">
        <v>-0.088688</v>
      </c>
      <c r="P21" s="24" t="n">
        <v>0.333088</v>
      </c>
      <c r="Q21" s="24" t="n">
        <v>0.362196</v>
      </c>
      <c r="R21" s="25" t="n"/>
      <c r="S21" s="24" t="n">
        <v>0.390136</v>
      </c>
      <c r="T21" s="24" t="n">
        <v>0.385175</v>
      </c>
      <c r="U21" s="24" t="n">
        <v>0.329953</v>
      </c>
      <c r="V21" s="24" t="n">
        <v>0.276986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4" t="n">
        <v>0.024437</v>
      </c>
      <c r="L22" s="24" t="n">
        <v>0.024435</v>
      </c>
      <c r="M22" s="25">
        <f>IFERROR(subQ!M8/subQ!M5,"")</f>
        <v/>
      </c>
      <c r="N22" s="24" t="n">
        <v>0.024435</v>
      </c>
      <c r="O22" s="24" t="n">
        <v>0.024436</v>
      </c>
      <c r="P22" s="24" t="n">
        <v>0.024435</v>
      </c>
      <c r="Q22" s="24" t="n">
        <v>0.024438</v>
      </c>
      <c r="R22" s="25">
        <f>IFERROR(subQ!R8/subQ!R5,"")</f>
        <v/>
      </c>
      <c r="S22" s="24" t="n">
        <v>0.024436</v>
      </c>
      <c r="T22" s="24" t="n">
        <v>0.024436</v>
      </c>
      <c r="U22" s="24" t="n">
        <v>0.024437</v>
      </c>
      <c r="V22" s="24" t="n">
        <v>0.024436</v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0.268403</v>
      </c>
      <c r="L23" s="24" t="n">
        <v>0.268403</v>
      </c>
      <c r="M23" s="25">
        <f>IFERROR(subQ!M9/subQ!M5,"")</f>
        <v/>
      </c>
      <c r="N23" s="24" t="n">
        <v>0.268403</v>
      </c>
      <c r="O23" s="24" t="n">
        <v>0.268405</v>
      </c>
      <c r="P23" s="24" t="n">
        <v>0.268402</v>
      </c>
      <c r="Q23" s="24" t="n">
        <v>0.268403</v>
      </c>
      <c r="R23" s="25">
        <f>IFERROR(subQ!R9/subQ!R5,"")</f>
        <v/>
      </c>
      <c r="S23" s="24" t="n">
        <v>0.268404</v>
      </c>
      <c r="T23" s="24" t="n">
        <v>0.268403</v>
      </c>
      <c r="U23" s="24" t="n">
        <v>0.268403</v>
      </c>
      <c r="V23" s="24" t="n">
        <v>0.268402</v>
      </c>
      <c r="W23" s="25">
        <f>IFERROR(subQ!W9/subQ!W5,"")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3">
        <f>IFERROR(subQ!J45/subQ!E45-1,"")</f>
        <v/>
      </c>
      <c r="K24" s="24" t="n">
        <v>0.105892</v>
      </c>
      <c r="L24" s="24" t="n">
        <v>-0.013598</v>
      </c>
      <c r="M24" s="25" t="n"/>
      <c r="N24" s="24" t="n">
        <v>0.001119</v>
      </c>
      <c r="O24" s="24" t="n">
        <v>-0.001116</v>
      </c>
      <c r="P24" s="24" t="n">
        <v>0</v>
      </c>
      <c r="Q24" s="24" t="n">
        <v>0</v>
      </c>
      <c r="R24" s="25" t="n"/>
      <c r="S24" s="24" t="n">
        <v>0</v>
      </c>
      <c r="T24" s="24" t="n">
        <v>0</v>
      </c>
      <c r="U24" s="24" t="n">
        <v>0</v>
      </c>
      <c r="V24" s="24" t="n">
        <v>0</v>
      </c>
      <c r="W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8">
        <f>subQ!J11</f>
        <v/>
      </c>
      <c r="K25" s="29" t="n">
        <v>32.01</v>
      </c>
      <c r="L25" s="29" t="n">
        <v>35.2</v>
      </c>
      <c r="M25" s="30">
        <f>subQ!M11</f>
        <v/>
      </c>
      <c r="N25" s="29" t="n">
        <v>38.43</v>
      </c>
      <c r="O25" s="29" t="n">
        <v>41.87</v>
      </c>
      <c r="P25" s="29" t="n">
        <v>45.22</v>
      </c>
      <c r="Q25" s="29" t="n">
        <v>49.45</v>
      </c>
      <c r="R25" s="30">
        <f>subQ!R11</f>
        <v/>
      </c>
      <c r="S25" s="29" t="n">
        <v>53.86</v>
      </c>
      <c r="T25" s="29" t="n">
        <v>58.64</v>
      </c>
      <c r="U25" s="29" t="n">
        <v>63.48</v>
      </c>
      <c r="V25" s="29" t="n">
        <v>69.12</v>
      </c>
      <c r="W25" s="30">
        <f>subQ!W11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8">
        <f>subQ!J12</f>
        <v/>
      </c>
      <c r="K26" s="29" t="n">
        <v>32.01</v>
      </c>
      <c r="L26" s="29" t="n">
        <v>35.2</v>
      </c>
      <c r="M26" s="30">
        <f>subQ!M12</f>
        <v/>
      </c>
      <c r="N26" s="29" t="n">
        <v>38.43</v>
      </c>
      <c r="O26" s="29" t="n">
        <v>41.87</v>
      </c>
      <c r="P26" s="29" t="n">
        <v>45.22</v>
      </c>
      <c r="Q26" s="29" t="n">
        <v>49.45</v>
      </c>
      <c r="R26" s="30">
        <f>subQ!R12</f>
        <v/>
      </c>
      <c r="S26" s="29" t="n">
        <v>53.86</v>
      </c>
      <c r="T26" s="29" t="n">
        <v>58.64</v>
      </c>
      <c r="U26" s="29" t="n">
        <v>63.48</v>
      </c>
      <c r="V26" s="29" t="n">
        <v>69.12</v>
      </c>
      <c r="W26" s="30">
        <f>subQ!W12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1" t="n"/>
      <c r="G27" s="21" t="n"/>
      <c r="H27" s="22" t="n"/>
      <c r="I27" s="21" t="n"/>
      <c r="J27" s="23">
        <f>IFERROR(subQ!J13/subQ!E13-1,"")</f>
        <v/>
      </c>
      <c r="K27" s="24" t="n">
        <v>-1</v>
      </c>
      <c r="L27" s="24" t="n">
        <v>-1</v>
      </c>
      <c r="M27" s="25" t="n"/>
      <c r="N27" s="31" t="n"/>
      <c r="O27" s="31" t="n"/>
      <c r="P27" s="31" t="n"/>
      <c r="Q27" s="31" t="n"/>
      <c r="R27" s="25" t="n"/>
      <c r="S27" s="31" t="n"/>
      <c r="T27" s="31" t="n"/>
      <c r="U27" s="31" t="n"/>
      <c r="V27" s="31" t="n"/>
      <c r="W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6">
        <f>subQ!F14</f>
        <v/>
      </c>
      <c r="G28" s="26">
        <f>subQ!G14</f>
        <v/>
      </c>
      <c r="H28" s="27">
        <f>subQ!H14</f>
        <v/>
      </c>
      <c r="I28" s="26">
        <f>subQ!I14</f>
        <v/>
      </c>
      <c r="J28" s="28">
        <f>subQ!J14</f>
        <v/>
      </c>
      <c r="K28" s="29" t="n">
        <v>0</v>
      </c>
      <c r="L28" s="29" t="n">
        <v>0</v>
      </c>
      <c r="M28" s="30">
        <f>subQ!M14</f>
        <v/>
      </c>
      <c r="N28" s="29" t="n">
        <v>0</v>
      </c>
      <c r="O28" s="29" t="n">
        <v>0</v>
      </c>
      <c r="P28" s="29" t="n">
        <v>0</v>
      </c>
      <c r="Q28" s="29" t="n">
        <v>0</v>
      </c>
      <c r="R28" s="30">
        <f>subQ!R14</f>
        <v/>
      </c>
      <c r="S28" s="29" t="n">
        <v>0</v>
      </c>
      <c r="T28" s="29" t="n">
        <v>0</v>
      </c>
      <c r="U28" s="29" t="n">
        <v>0</v>
      </c>
      <c r="V28" s="29" t="n">
        <v>0</v>
      </c>
      <c r="W28" s="30">
        <f>subQ!W14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1" t="n"/>
      <c r="G29" s="21" t="n"/>
      <c r="H29" s="22" t="n"/>
      <c r="I29" s="21" t="n"/>
      <c r="J29" s="23">
        <f>IFERROR(subQ!J15/subQ!E15-1,"")</f>
        <v/>
      </c>
      <c r="K29" s="24" t="n">
        <v>-1</v>
      </c>
      <c r="L29" s="24" t="n">
        <v>-1</v>
      </c>
      <c r="M29" s="25" t="n"/>
      <c r="N29" s="31" t="n"/>
      <c r="O29" s="31" t="n"/>
      <c r="P29" s="31" t="n"/>
      <c r="Q29" s="31" t="n"/>
      <c r="R29" s="25" t="n"/>
      <c r="S29" s="31" t="n"/>
      <c r="T29" s="31" t="n"/>
      <c r="U29" s="31" t="n"/>
      <c r="V29" s="31" t="n"/>
      <c r="W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6">
        <f>subQ!F16</f>
        <v/>
      </c>
      <c r="G30" s="26">
        <f>subQ!G16</f>
        <v/>
      </c>
      <c r="H30" s="27">
        <f>subQ!H16</f>
        <v/>
      </c>
      <c r="I30" s="26">
        <f>subQ!I16</f>
        <v/>
      </c>
      <c r="J30" s="28">
        <f>subQ!J16</f>
        <v/>
      </c>
      <c r="K30" s="29" t="n">
        <v>0</v>
      </c>
      <c r="L30" s="29" t="n">
        <v>0</v>
      </c>
      <c r="M30" s="30">
        <f>subQ!M16</f>
        <v/>
      </c>
      <c r="N30" s="29" t="n">
        <v>0</v>
      </c>
      <c r="O30" s="29" t="n">
        <v>0</v>
      </c>
      <c r="P30" s="29" t="n">
        <v>0</v>
      </c>
      <c r="Q30" s="29" t="n">
        <v>0</v>
      </c>
      <c r="R30" s="30">
        <f>subQ!R16</f>
        <v/>
      </c>
      <c r="S30" s="29" t="n">
        <v>0</v>
      </c>
      <c r="T30" s="29" t="n">
        <v>0</v>
      </c>
      <c r="U30" s="29" t="n">
        <v>0</v>
      </c>
      <c r="V30" s="29" t="n">
        <v>0</v>
      </c>
      <c r="W30" s="30">
        <f>subQ!W16</f>
        <v/>
      </c>
    </row>
    <row r="31">
      <c r="A31" s="12" t="inlineStr">
        <is>
          <t>drv:환관련손익</t>
        </is>
      </c>
      <c r="B31" s="2" t="inlineStr">
        <is>
          <t>abs</t>
        </is>
      </c>
      <c r="C31" t="inlineStr">
        <is>
          <t>환관련손익 (가정, 억원)</t>
        </is>
      </c>
      <c r="E31" s="26">
        <f>subQ!E17</f>
        <v/>
      </c>
      <c r="F31" s="26">
        <f>subQ!F17</f>
        <v/>
      </c>
      <c r="G31" s="26">
        <f>subQ!G17</f>
        <v/>
      </c>
      <c r="H31" s="27">
        <f>subQ!H17</f>
        <v/>
      </c>
      <c r="I31" s="26">
        <f>subQ!I17</f>
        <v/>
      </c>
      <c r="J31" s="28">
        <f>subQ!J17</f>
        <v/>
      </c>
      <c r="K31" s="29" t="n">
        <v>4.48</v>
      </c>
      <c r="L31" s="29" t="n">
        <v>-0</v>
      </c>
      <c r="M31" s="30">
        <f>subQ!M17</f>
        <v/>
      </c>
      <c r="N31" s="29" t="n">
        <v>-0</v>
      </c>
      <c r="O31" s="29" t="n">
        <v>-0</v>
      </c>
      <c r="P31" s="29" t="n">
        <v>-0</v>
      </c>
      <c r="Q31" s="29" t="n">
        <v>-0</v>
      </c>
      <c r="R31" s="30">
        <f>subQ!R17</f>
        <v/>
      </c>
      <c r="S31" s="29" t="n">
        <v>-0</v>
      </c>
      <c r="T31" s="29" t="n">
        <v>-0</v>
      </c>
      <c r="U31" s="29" t="n">
        <v>-0</v>
      </c>
      <c r="V31" s="29" t="n">
        <v>-0</v>
      </c>
      <c r="W31" s="30">
        <f>subQ!W17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1">
        <f>IFERROR(subQ!F19/subQ!F18,"")</f>
        <v/>
      </c>
      <c r="G32" s="21">
        <f>IFERROR(subQ!G19/subQ!G18,"")</f>
        <v/>
      </c>
      <c r="H32" s="22">
        <f>IFERROR(subQ!H19/subQ!H18,"")</f>
        <v/>
      </c>
      <c r="I32" s="21">
        <f>IFERROR(subQ!I19/subQ!I18,"")</f>
        <v/>
      </c>
      <c r="J32" s="23">
        <f>IFERROR(subQ!J19/subQ!J18,"")</f>
        <v/>
      </c>
      <c r="K32" s="24" t="n">
        <v>0.227598</v>
      </c>
      <c r="L32" s="24" t="n">
        <v>0.227591</v>
      </c>
      <c r="M32" s="25">
        <f>IFERROR(subQ!M19/subQ!M18,"")</f>
        <v/>
      </c>
      <c r="N32" s="24" t="n">
        <v>0.227599</v>
      </c>
      <c r="O32" s="24" t="n">
        <v>0.227594</v>
      </c>
      <c r="P32" s="24" t="n">
        <v>0.227599</v>
      </c>
      <c r="Q32" s="24" t="n">
        <v>0.227593</v>
      </c>
      <c r="R32" s="25">
        <f>IFERROR(subQ!R19/subQ!R18,"")</f>
        <v/>
      </c>
      <c r="S32" s="24" t="n">
        <v>0.227594</v>
      </c>
      <c r="T32" s="24" t="n">
        <v>0.227596</v>
      </c>
      <c r="U32" s="24" t="n">
        <v>0.227591</v>
      </c>
      <c r="V32" s="24" t="n">
        <v>0.227592</v>
      </c>
      <c r="W32" s="25">
        <f>IFERROR(subQ!W19/subQ!W18,"")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1">
        <f>IFERROR(subQ!F21/subQ!F20,"")</f>
        <v/>
      </c>
      <c r="G33" s="21">
        <f>IFERROR(subQ!G21/subQ!G20,"")</f>
        <v/>
      </c>
      <c r="H33" s="22">
        <f>IFERROR(subQ!H21/subQ!H20,"")</f>
        <v/>
      </c>
      <c r="I33" s="21">
        <f>IFERROR(subQ!I21/subQ!I20,"")</f>
        <v/>
      </c>
      <c r="J33" s="23">
        <f>IFERROR(subQ!J21/subQ!J20,"")</f>
        <v/>
      </c>
      <c r="K33" s="24" t="n">
        <v>1</v>
      </c>
      <c r="L33" s="24" t="n">
        <v>1</v>
      </c>
      <c r="M33" s="25">
        <f>IFERROR(subQ!M21/subQ!M20,"")</f>
        <v/>
      </c>
      <c r="N33" s="24" t="n">
        <v>1</v>
      </c>
      <c r="O33" s="24" t="n">
        <v>1</v>
      </c>
      <c r="P33" s="24" t="n">
        <v>1</v>
      </c>
      <c r="Q33" s="24" t="n">
        <v>1</v>
      </c>
      <c r="R33" s="25">
        <f>IFERROR(subQ!R21/subQ!R20,"")</f>
        <v/>
      </c>
      <c r="S33" s="24" t="n">
        <v>1</v>
      </c>
      <c r="T33" s="24" t="n">
        <v>1</v>
      </c>
      <c r="U33" s="24" t="n">
        <v>1</v>
      </c>
      <c r="V33" s="24" t="n">
        <v>1</v>
      </c>
      <c r="W33" s="25">
        <f>IFERROR(subQ!W21/subQ!W20,"")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3">
        <f>IFERROR(subQ!J23/subQ!I23-1,"")</f>
        <v/>
      </c>
      <c r="K34" s="24" t="n">
        <v>1e-06</v>
      </c>
      <c r="L34" s="24" t="n">
        <v>0</v>
      </c>
      <c r="M34" s="25" t="n"/>
      <c r="N34" s="24" t="n">
        <v>0</v>
      </c>
      <c r="O34" s="24" t="n">
        <v>0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6">
        <f>IFERROR(subQ!E24+subQ!F20-subQ!F24,"")</f>
        <v/>
      </c>
      <c r="G35" s="26">
        <f>IFERROR(subQ!F24+subQ!G20-subQ!G24,"")</f>
        <v/>
      </c>
      <c r="H35" s="27" t="n"/>
      <c r="I35" s="26">
        <f>IFERROR(subQ!G24+subQ!I20-subQ!I24,"")</f>
        <v/>
      </c>
      <c r="J35" s="28">
        <f>IFERROR(subQ!I24+subQ!J20-subQ!J24,"")</f>
        <v/>
      </c>
      <c r="K35" s="29" t="n">
        <v>-0.008399999999999999</v>
      </c>
      <c r="L35" s="29" t="n">
        <v>0.01</v>
      </c>
      <c r="M35" s="30" t="n"/>
      <c r="N35" s="29" t="n">
        <v>-0.01</v>
      </c>
      <c r="O35" s="29" t="n">
        <v>95.22</v>
      </c>
      <c r="P35" s="29" t="n">
        <v>0</v>
      </c>
      <c r="Q35" s="29" t="n">
        <v>0</v>
      </c>
      <c r="R35" s="30" t="n"/>
      <c r="S35" s="29" t="n">
        <v>0</v>
      </c>
      <c r="T35" s="29" t="n">
        <v>95.20999999999999</v>
      </c>
      <c r="U35" s="29" t="n">
        <v>0.01</v>
      </c>
      <c r="V35" s="29" t="n">
        <v>0</v>
      </c>
      <c r="W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6">
        <f>IFERROR(subQ!E25+subQ!F21-subQ!F25,"")</f>
        <v/>
      </c>
      <c r="G36" s="26">
        <f>IFERROR(subQ!F25+subQ!G21-subQ!G25,"")</f>
        <v/>
      </c>
      <c r="H36" s="27" t="n"/>
      <c r="I36" s="26">
        <f>IFERROR(subQ!G25+subQ!I21-subQ!I25,"")</f>
        <v/>
      </c>
      <c r="J36" s="28">
        <f>IFERROR(subQ!I25+subQ!J21-subQ!J25,"")</f>
        <v/>
      </c>
      <c r="K36" s="29" t="n">
        <v>-0.008399999999999999</v>
      </c>
      <c r="L36" s="29" t="n">
        <v>0.01</v>
      </c>
      <c r="M36" s="30" t="n"/>
      <c r="N36" s="29" t="n">
        <v>-0.01</v>
      </c>
      <c r="O36" s="29" t="n">
        <v>95.22</v>
      </c>
      <c r="P36" s="29" t="n">
        <v>0</v>
      </c>
      <c r="Q36" s="29" t="n">
        <v>0</v>
      </c>
      <c r="R36" s="30" t="n"/>
      <c r="S36" s="29" t="n">
        <v>0</v>
      </c>
      <c r="T36" s="29" t="n">
        <v>95.20999999999999</v>
      </c>
      <c r="U36" s="29" t="n">
        <v>0.01</v>
      </c>
      <c r="V36" s="29" t="n">
        <v>0</v>
      </c>
      <c r="W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1">
        <f>IFERROR(subQ!F26/subQ!E26-1,"")</f>
        <v/>
      </c>
      <c r="G37" s="21">
        <f>IFERROR(subQ!G26/subQ!F26-1,"")</f>
        <v/>
      </c>
      <c r="H37" s="22" t="n"/>
      <c r="I37" s="21">
        <f>IFERROR(subQ!I26/subQ!G26-1,"")</f>
        <v/>
      </c>
      <c r="J37" s="23">
        <f>IFERROR(subQ!J26/subQ!I26-1,"")</f>
        <v/>
      </c>
      <c r="K37" s="31" t="n"/>
      <c r="L37" s="31" t="n"/>
      <c r="M37" s="25" t="n"/>
      <c r="N37" s="31" t="n"/>
      <c r="O37" s="31" t="n"/>
      <c r="P37" s="31" t="n"/>
      <c r="Q37" s="31" t="n"/>
      <c r="R37" s="25" t="n"/>
      <c r="S37" s="31" t="n"/>
      <c r="T37" s="31" t="n"/>
      <c r="U37" s="31" t="n"/>
      <c r="V37" s="31" t="n"/>
      <c r="W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1">
        <f>IFERROR(subQ!F27/subQ!E27-1,"")</f>
        <v/>
      </c>
      <c r="G38" s="21">
        <f>IFERROR(subQ!G27/subQ!F27-1,"")</f>
        <v/>
      </c>
      <c r="H38" s="22" t="n"/>
      <c r="I38" s="21">
        <f>IFERROR(subQ!I27/subQ!G27-1,"")</f>
        <v/>
      </c>
      <c r="J38" s="23">
        <f>IFERROR(subQ!J27/subQ!I27-1,"")</f>
        <v/>
      </c>
      <c r="K38" s="31" t="n"/>
      <c r="L38" s="31" t="n"/>
      <c r="M38" s="25" t="n"/>
      <c r="N38" s="31" t="n"/>
      <c r="O38" s="31" t="n"/>
      <c r="P38" s="31" t="n"/>
      <c r="Q38" s="31" t="n"/>
      <c r="R38" s="25" t="n"/>
      <c r="S38" s="31" t="n"/>
      <c r="T38" s="31" t="n"/>
      <c r="U38" s="31" t="n"/>
      <c r="V38" s="31" t="n"/>
      <c r="W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3">
        <f>IFERROR(subQ!J28/subQ!I28-1,"")</f>
        <v/>
      </c>
      <c r="K39" s="24" t="n">
        <v>0.099486</v>
      </c>
      <c r="L39" s="24" t="n">
        <v>0.091847</v>
      </c>
      <c r="M39" s="25" t="n"/>
      <c r="N39" s="24" t="n">
        <v>0.089499</v>
      </c>
      <c r="O39" s="24" t="n">
        <v>0.07996200000000001</v>
      </c>
      <c r="P39" s="24" t="n">
        <v>0.093569</v>
      </c>
      <c r="Q39" s="24" t="n">
        <v>0.089186</v>
      </c>
      <c r="R39" s="25" t="n"/>
      <c r="S39" s="24" t="n">
        <v>0.088809</v>
      </c>
      <c r="T39" s="24" t="n">
        <v>0.082581</v>
      </c>
      <c r="U39" s="24" t="n">
        <v>0.08885999999999999</v>
      </c>
      <c r="V39" s="24" t="n">
        <v>0.081839</v>
      </c>
      <c r="W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1">
        <f>IFERROR(subQ!F29/subQ!E29-1,"")</f>
        <v/>
      </c>
      <c r="G40" s="21">
        <f>IFERROR(subQ!G29/subQ!F29-1,"")</f>
        <v/>
      </c>
      <c r="H40" s="22" t="n"/>
      <c r="I40" s="21">
        <f>IFERROR(subQ!I29/subQ!G29-1,"")</f>
        <v/>
      </c>
      <c r="J40" s="23">
        <f>IFERROR(subQ!J29/subQ!I29-1,"")</f>
        <v/>
      </c>
      <c r="K40" s="31" t="n"/>
      <c r="L40" s="31" t="n"/>
      <c r="M40" s="25" t="n"/>
      <c r="N40" s="31" t="n"/>
      <c r="O40" s="31" t="n"/>
      <c r="P40" s="31" t="n"/>
      <c r="Q40" s="31" t="n"/>
      <c r="R40" s="25" t="n"/>
      <c r="S40" s="31" t="n"/>
      <c r="T40" s="31" t="n"/>
      <c r="U40" s="31" t="n"/>
      <c r="V40" s="31" t="n"/>
      <c r="W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1" t="n"/>
      <c r="G41" s="21" t="n"/>
      <c r="H41" s="22" t="n"/>
      <c r="I41" s="21" t="n"/>
      <c r="J41" s="23">
        <f>IFERROR(subQ!J30/subQ!E30-1,"")</f>
        <v/>
      </c>
      <c r="K41" s="31" t="n"/>
      <c r="L41" s="31" t="n"/>
      <c r="M41" s="25" t="n"/>
      <c r="N41" s="31" t="n"/>
      <c r="O41" s="31" t="n"/>
      <c r="P41" s="31" t="n"/>
      <c r="Q41" s="31" t="n"/>
      <c r="R41" s="25" t="n"/>
      <c r="S41" s="31" t="n"/>
      <c r="T41" s="31" t="n"/>
      <c r="U41" s="31" t="n"/>
      <c r="V41" s="31" t="n"/>
      <c r="W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1" t="n"/>
      <c r="G42" s="21" t="n"/>
      <c r="H42" s="22" t="n"/>
      <c r="I42" s="21" t="n"/>
      <c r="J42" s="23">
        <f>IFERROR(subQ!J31/subQ!E31-1,"")</f>
        <v/>
      </c>
      <c r="K42" s="31" t="n"/>
      <c r="L42" s="31" t="n"/>
      <c r="M42" s="25" t="n"/>
      <c r="N42" s="31" t="n"/>
      <c r="O42" s="31" t="n"/>
      <c r="P42" s="31" t="n"/>
      <c r="Q42" s="31" t="n"/>
      <c r="R42" s="25" t="n"/>
      <c r="S42" s="31" t="n"/>
      <c r="T42" s="31" t="n"/>
      <c r="U42" s="31" t="n"/>
      <c r="V42" s="31" t="n"/>
      <c r="W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1">
        <f>IFERROR(subQ!F32/subQ!E32-1,"")</f>
        <v/>
      </c>
      <c r="G43" s="21">
        <f>IFERROR(subQ!G32/subQ!F32-1,"")</f>
        <v/>
      </c>
      <c r="H43" s="22" t="n"/>
      <c r="I43" s="21">
        <f>IFERROR(subQ!I32/subQ!G32-1,"")</f>
        <v/>
      </c>
      <c r="J43" s="23">
        <f>IFERROR(subQ!J32/subQ!I32-1,"")</f>
        <v/>
      </c>
      <c r="K43" s="24" t="n">
        <v>0</v>
      </c>
      <c r="L43" s="24" t="n">
        <v>0</v>
      </c>
      <c r="M43" s="25" t="n"/>
      <c r="N43" s="24" t="n">
        <v>0</v>
      </c>
      <c r="O43" s="24" t="n">
        <v>0</v>
      </c>
      <c r="P43" s="24" t="n">
        <v>0</v>
      </c>
      <c r="Q43" s="24" t="n">
        <v>0</v>
      </c>
      <c r="R43" s="25" t="n"/>
      <c r="S43" s="24" t="n">
        <v>0</v>
      </c>
      <c r="T43" s="24" t="n">
        <v>0</v>
      </c>
      <c r="U43" s="24" t="n">
        <v>0</v>
      </c>
      <c r="V43" s="24" t="n">
        <v>0</v>
      </c>
      <c r="W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1" t="n"/>
      <c r="G44" s="21" t="n"/>
      <c r="H44" s="22" t="n"/>
      <c r="I44" s="21" t="n"/>
      <c r="J44" s="23">
        <f>IFERROR(subQ!J35/subQ!E35-1,"")</f>
        <v/>
      </c>
      <c r="K44" s="31" t="n"/>
      <c r="L44" s="24" t="n">
        <v>0</v>
      </c>
      <c r="M44" s="25" t="n"/>
      <c r="N44" s="31" t="n"/>
      <c r="O44" s="31" t="n"/>
      <c r="P44" s="31" t="n"/>
      <c r="Q44" s="24" t="n">
        <v>0</v>
      </c>
      <c r="R44" s="25" t="n"/>
      <c r="S44" s="31" t="n"/>
      <c r="T44" s="31" t="n"/>
      <c r="U44" s="31" t="n"/>
      <c r="V44" s="24" t="n">
        <v>0</v>
      </c>
      <c r="W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1" t="n"/>
      <c r="G45" s="21" t="n"/>
      <c r="H45" s="22" t="n"/>
      <c r="I45" s="21" t="n"/>
      <c r="J45" s="23">
        <f>IFERROR(subQ!J36/subQ!E36-1,"")</f>
        <v/>
      </c>
      <c r="K45" s="31" t="n"/>
      <c r="L45" s="31" t="n"/>
      <c r="M45" s="25" t="n"/>
      <c r="N45" s="24" t="n">
        <v>-0.410777</v>
      </c>
      <c r="O45" s="24" t="n">
        <v>-0.278997</v>
      </c>
      <c r="P45" s="24" t="n">
        <v>0.086441</v>
      </c>
      <c r="Q45" s="24" t="n">
        <v>-0.061709</v>
      </c>
      <c r="R45" s="25" t="n"/>
      <c r="S45" s="24" t="n">
        <v>-0.17991</v>
      </c>
      <c r="T45" s="24" t="n">
        <v>-0.269565</v>
      </c>
      <c r="U45" s="24" t="n">
        <v>-0.268331</v>
      </c>
      <c r="V45" s="24" t="n">
        <v>-0.256324</v>
      </c>
      <c r="W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1" t="n"/>
      <c r="G46" s="21" t="n"/>
      <c r="H46" s="22" t="n"/>
      <c r="I46" s="21" t="n"/>
      <c r="J46" s="23">
        <f>IFERROR(subQ!J37/subQ!E37-1,"")</f>
        <v/>
      </c>
      <c r="K46" s="24" t="n">
        <v>-0.58104</v>
      </c>
      <c r="L46" s="24" t="n">
        <v>-0.484127</v>
      </c>
      <c r="M46" s="25" t="n"/>
      <c r="N46" s="24" t="n">
        <v>-0.548736</v>
      </c>
      <c r="O46" s="24" t="n">
        <v>-0.5</v>
      </c>
      <c r="P46" s="24" t="n">
        <v>-0.175182</v>
      </c>
      <c r="Q46" s="24" t="n">
        <v>-0.169231</v>
      </c>
      <c r="R46" s="25" t="n"/>
      <c r="S46" s="24" t="n">
        <v>-0.184</v>
      </c>
      <c r="T46" s="24" t="n">
        <v>-0.184874</v>
      </c>
      <c r="U46" s="24" t="n">
        <v>-0.185841</v>
      </c>
      <c r="V46" s="24" t="n">
        <v>-0.194444</v>
      </c>
      <c r="W46" s="25" t="n"/>
    </row>
    <row r="47">
      <c r="A47" s="12" t="inlineStr">
        <is>
          <t>drv:매출조선</t>
        </is>
      </c>
      <c r="B47" s="2" t="inlineStr">
        <is>
          <t>ratio</t>
        </is>
      </c>
      <c r="C47" t="inlineStr">
        <is>
          <t>매출조선 비중(/매출액)</t>
        </is>
      </c>
      <c r="E47" s="21">
        <f>IFERROR(subQ!E38/subQ!E5,"")</f>
        <v/>
      </c>
      <c r="F47" s="21">
        <f>IFERROR(subQ!F38/subQ!F5,"")</f>
        <v/>
      </c>
      <c r="G47" s="21">
        <f>IFERROR(subQ!G38/subQ!G5,"")</f>
        <v/>
      </c>
      <c r="H47" s="22">
        <f>IFERROR(subQ!H38/subQ!H5,"")</f>
        <v/>
      </c>
      <c r="I47" s="21">
        <f>IFERROR(subQ!I38/subQ!I5,"")</f>
        <v/>
      </c>
      <c r="J47" s="23">
        <f>IFERROR(subQ!J38/subQ!J5,"")</f>
        <v/>
      </c>
      <c r="K47" s="24" t="n">
        <v>0.991858</v>
      </c>
      <c r="L47" s="24" t="n">
        <v>0.992</v>
      </c>
      <c r="M47" s="25">
        <f>IFERROR(subQ!M38/subQ!M5,"")</f>
        <v/>
      </c>
      <c r="N47" s="24" t="n">
        <v>0.992471</v>
      </c>
      <c r="O47" s="24" t="n">
        <v>0.993325</v>
      </c>
      <c r="P47" s="24" t="n">
        <v>0.993893</v>
      </c>
      <c r="Q47" s="24" t="n">
        <v>0.994127</v>
      </c>
      <c r="R47" s="25">
        <f>IFERROR(subQ!R38/subQ!R5,"")</f>
        <v/>
      </c>
      <c r="S47" s="24" t="n">
        <v>0.994584</v>
      </c>
      <c r="T47" s="24" t="n">
        <v>0.995181</v>
      </c>
      <c r="U47" s="24" t="n">
        <v>0.995408</v>
      </c>
      <c r="V47" s="24" t="n">
        <v>0.995401</v>
      </c>
      <c r="W47" s="25">
        <f>IFERROR(subQ!W38/subQ!W5,"")</f>
        <v/>
      </c>
    </row>
    <row r="48">
      <c r="A48" s="12" t="inlineStr">
        <is>
          <t>drv:매출조선신규</t>
        </is>
      </c>
      <c r="B48" s="2" t="inlineStr">
        <is>
          <t>ratio</t>
        </is>
      </c>
      <c r="C48" t="inlineStr">
        <is>
          <t>매출조선신규 비중(/매출액)</t>
        </is>
      </c>
      <c r="E48" s="21">
        <f>IFERROR(subQ!E39/subQ!E5,"")</f>
        <v/>
      </c>
      <c r="F48" s="21">
        <f>IFERROR(subQ!F39/subQ!F5,"")</f>
        <v/>
      </c>
      <c r="G48" s="21">
        <f>IFERROR(subQ!G39/subQ!G5,"")</f>
        <v/>
      </c>
      <c r="H48" s="22">
        <f>IFERROR(subQ!H39/subQ!H5,"")</f>
        <v/>
      </c>
      <c r="I48" s="21">
        <f>IFERROR(subQ!I39/subQ!I5,"")</f>
        <v/>
      </c>
      <c r="J48" s="23">
        <f>IFERROR(subQ!J39/subQ!J5,"")</f>
        <v/>
      </c>
      <c r="K48" s="24" t="n">
        <v>0</v>
      </c>
      <c r="L48" s="24" t="n">
        <v>0.030283</v>
      </c>
      <c r="M48" s="25">
        <f>IFERROR(subQ!M39/subQ!M5,"")</f>
        <v/>
      </c>
      <c r="N48" s="24" t="n">
        <v>0.107052</v>
      </c>
      <c r="O48" s="24" t="n">
        <v>0.199665</v>
      </c>
      <c r="P48" s="24" t="n">
        <v>0.302226</v>
      </c>
      <c r="Q48" s="24" t="n">
        <v>0.420211</v>
      </c>
      <c r="R48" s="25">
        <f>IFERROR(subQ!R39/subQ!R5,"")</f>
        <v/>
      </c>
      <c r="S48" s="24" t="n">
        <v>0.513016</v>
      </c>
      <c r="T48" s="24" t="n">
        <v>0.566736</v>
      </c>
      <c r="U48" s="24" t="n">
        <v>0.637567</v>
      </c>
      <c r="V48" s="24" t="n">
        <v>0.722143</v>
      </c>
      <c r="W48" s="25">
        <f>IFERROR(subQ!W39/subQ!W5,"")</f>
        <v/>
      </c>
    </row>
    <row r="49">
      <c r="A49" s="12" t="inlineStr">
        <is>
          <t>drv:OP조선</t>
        </is>
      </c>
      <c r="B49" s="2" t="inlineStr">
        <is>
          <t>ratio</t>
        </is>
      </c>
      <c r="C49" t="inlineStr">
        <is>
          <t>OP조선 마진(/매출조선)</t>
        </is>
      </c>
      <c r="E49" s="21">
        <f>IFERROR(subQ!E40/subQ!E38,"")</f>
        <v/>
      </c>
      <c r="F49" s="21">
        <f>IFERROR(subQ!F40/subQ!F38,"")</f>
        <v/>
      </c>
      <c r="G49" s="21">
        <f>IFERROR(subQ!G40/subQ!G38,"")</f>
        <v/>
      </c>
      <c r="H49" s="22">
        <f>IFERROR(subQ!H40/subQ!H38,"")</f>
        <v/>
      </c>
      <c r="I49" s="21">
        <f>IFERROR(subQ!I40/subQ!I38,"")</f>
        <v/>
      </c>
      <c r="J49" s="23">
        <f>IFERROR(subQ!J40/subQ!J38,"")</f>
        <v/>
      </c>
      <c r="K49" s="24" t="n">
        <v>0.268402</v>
      </c>
      <c r="L49" s="24" t="n">
        <v>0.268405</v>
      </c>
      <c r="M49" s="25">
        <f>IFERROR(subQ!M40/subQ!M38,"")</f>
        <v/>
      </c>
      <c r="N49" s="24" t="n">
        <v>0.268405</v>
      </c>
      <c r="O49" s="24" t="n">
        <v>0.268404</v>
      </c>
      <c r="P49" s="24" t="n">
        <v>0.268404</v>
      </c>
      <c r="Q49" s="24" t="n">
        <v>0.268404</v>
      </c>
      <c r="R49" s="25">
        <f>IFERROR(subQ!R40/subQ!R38,"")</f>
        <v/>
      </c>
      <c r="S49" s="24" t="n">
        <v>0.268403</v>
      </c>
      <c r="T49" s="24" t="n">
        <v>0.268402</v>
      </c>
      <c r="U49" s="24" t="n">
        <v>0.268402</v>
      </c>
      <c r="V49" s="24" t="n">
        <v>0.268404</v>
      </c>
      <c r="W49" s="25">
        <f>IFERROR(subQ!W40/subQ!W38,"")</f>
        <v/>
      </c>
    </row>
    <row r="50">
      <c r="A50" s="12" t="inlineStr">
        <is>
          <t>drv:OP조선신규</t>
        </is>
      </c>
      <c r="B50" s="2" t="inlineStr">
        <is>
          <t>ratio</t>
        </is>
      </c>
      <c r="C50" t="inlineStr">
        <is>
          <t>OP조선신규 마진(/매출조선신규)</t>
        </is>
      </c>
      <c r="E50" s="21">
        <f>IFERROR(subQ!E41/subQ!E39,"")</f>
        <v/>
      </c>
      <c r="F50" s="21">
        <f>IFERROR(subQ!F41/subQ!F39,"")</f>
        <v/>
      </c>
      <c r="G50" s="21">
        <f>IFERROR(subQ!G41/subQ!G39,"")</f>
        <v/>
      </c>
      <c r="H50" s="22">
        <f>IFERROR(subQ!H41/subQ!H39,"")</f>
        <v/>
      </c>
      <c r="I50" s="21">
        <f>IFERROR(subQ!I41/subQ!I39,"")</f>
        <v/>
      </c>
      <c r="J50" s="23">
        <f>IFERROR(subQ!J41/subQ!J39,"")</f>
        <v/>
      </c>
      <c r="K50" s="31" t="n"/>
      <c r="L50" s="24" t="n">
        <v>0.268472</v>
      </c>
      <c r="M50" s="25">
        <f>IFERROR(subQ!M41/subQ!M39,"")</f>
        <v/>
      </c>
      <c r="N50" s="24" t="n">
        <v>0.268415</v>
      </c>
      <c r="O50" s="24" t="n">
        <v>0.268405</v>
      </c>
      <c r="P50" s="24" t="n">
        <v>0.268406</v>
      </c>
      <c r="Q50" s="24" t="n">
        <v>0.268403</v>
      </c>
      <c r="R50" s="25">
        <f>IFERROR(subQ!R41/subQ!R39,"")</f>
        <v/>
      </c>
      <c r="S50" s="24" t="n">
        <v>0.268404</v>
      </c>
      <c r="T50" s="24" t="n">
        <v>0.268405</v>
      </c>
      <c r="U50" s="24" t="n">
        <v>0.268403</v>
      </c>
      <c r="V50" s="24" t="n">
        <v>0.268402</v>
      </c>
      <c r="W50" s="25">
        <f>IFERROR(subQ!W41/subQ!W39,"")</f>
        <v/>
      </c>
    </row>
    <row r="51">
      <c r="A51" s="12" t="inlineStr">
        <is>
          <t>drv:매출기타</t>
        </is>
      </c>
      <c r="B51" s="2" t="inlineStr">
        <is>
          <t>ratio</t>
        </is>
      </c>
      <c r="C51" t="inlineStr">
        <is>
          <t>매출기타 비중(/매출액)</t>
        </is>
      </c>
      <c r="E51" s="21">
        <f>IFERROR(subQ!E42/subQ!E5,"")</f>
        <v/>
      </c>
      <c r="F51" s="21">
        <f>IFERROR(subQ!F42/subQ!F5,"")</f>
        <v/>
      </c>
      <c r="G51" s="21">
        <f>IFERROR(subQ!G42/subQ!G5,"")</f>
        <v/>
      </c>
      <c r="H51" s="22">
        <f>IFERROR(subQ!H42/subQ!H5,"")</f>
        <v/>
      </c>
      <c r="I51" s="21">
        <f>IFERROR(subQ!I42/subQ!I5,"")</f>
        <v/>
      </c>
      <c r="J51" s="23">
        <f>IFERROR(subQ!J42/subQ!J5,"")</f>
        <v/>
      </c>
      <c r="K51" s="24" t="n">
        <v>0.008142</v>
      </c>
      <c r="L51" s="24" t="n">
        <v>0.008</v>
      </c>
      <c r="M51" s="25">
        <f>IFERROR(subQ!M42/subQ!M5,"")</f>
        <v/>
      </c>
      <c r="N51" s="24" t="n">
        <v>0.007529</v>
      </c>
      <c r="O51" s="24" t="n">
        <v>0.006675</v>
      </c>
      <c r="P51" s="24" t="n">
        <v>0.006107</v>
      </c>
      <c r="Q51" s="24" t="n">
        <v>0.005873</v>
      </c>
      <c r="R51" s="25">
        <f>IFERROR(subQ!R42/subQ!R5,"")</f>
        <v/>
      </c>
      <c r="S51" s="24" t="n">
        <v>0.005416</v>
      </c>
      <c r="T51" s="24" t="n">
        <v>0.004819</v>
      </c>
      <c r="U51" s="24" t="n">
        <v>0.004592</v>
      </c>
      <c r="V51" s="24" t="n">
        <v>0.004599</v>
      </c>
      <c r="W51" s="25">
        <f>IFERROR(subQ!W42/subQ!W5,"")</f>
        <v/>
      </c>
    </row>
    <row r="52">
      <c r="A52" s="12" t="inlineStr">
        <is>
          <t>drv:OP기타</t>
        </is>
      </c>
      <c r="B52" s="2" t="inlineStr">
        <is>
          <t>ratio</t>
        </is>
      </c>
      <c r="C52" t="inlineStr">
        <is>
          <t>OP기타 마진(/매출기타)</t>
        </is>
      </c>
      <c r="E52" s="21">
        <f>IFERROR(subQ!E43/subQ!E42,"")</f>
        <v/>
      </c>
      <c r="F52" s="21">
        <f>IFERROR(subQ!F43/subQ!F42,"")</f>
        <v/>
      </c>
      <c r="G52" s="21">
        <f>IFERROR(subQ!G43/subQ!G42,"")</f>
        <v/>
      </c>
      <c r="H52" s="22">
        <f>IFERROR(subQ!H43/subQ!H42,"")</f>
        <v/>
      </c>
      <c r="I52" s="21">
        <f>IFERROR(subQ!I43/subQ!I42,"")</f>
        <v/>
      </c>
      <c r="J52" s="23">
        <f>IFERROR(subQ!J43/subQ!J42,"")</f>
        <v/>
      </c>
      <c r="K52" s="24" t="n">
        <v>0.268553</v>
      </c>
      <c r="L52" s="24" t="n">
        <v>0.268553</v>
      </c>
      <c r="M52" s="25">
        <f>IFERROR(subQ!M43/subQ!M42,"")</f>
        <v/>
      </c>
      <c r="N52" s="24" t="n">
        <v>0.268553</v>
      </c>
      <c r="O52" s="24" t="n">
        <v>0.268553</v>
      </c>
      <c r="P52" s="24" t="n">
        <v>0.268553</v>
      </c>
      <c r="Q52" s="24" t="n">
        <v>0.268553</v>
      </c>
      <c r="R52" s="25">
        <f>IFERROR(subQ!R43/subQ!R42,"")</f>
        <v/>
      </c>
      <c r="S52" s="24" t="n">
        <v>0.268553</v>
      </c>
      <c r="T52" s="24" t="n">
        <v>0.268553</v>
      </c>
      <c r="U52" s="24" t="n">
        <v>0.268553</v>
      </c>
      <c r="V52" s="24" t="n">
        <v>0.268553</v>
      </c>
      <c r="W52" s="25">
        <f>IFERROR(subQ!W43/subQ!W42,"")</f>
        <v/>
      </c>
    </row>
    <row r="53"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B54" s="1" t="inlineStr">
        <is>
          <t>3. 밸류에이션·스칼라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sc:종가</t>
        </is>
      </c>
      <c r="C55" t="inlineStr">
        <is>
          <t>종가</t>
        </is>
      </c>
      <c r="D55" s="32" t="n">
        <v>45050</v>
      </c>
      <c r="E55" s="2" t="inlineStr">
        <is>
          <t>원 — aikstockdata(금융위 T+1)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sc:기준일</t>
        </is>
      </c>
      <c r="C56" t="inlineStr">
        <is>
          <t>기준일</t>
        </is>
      </c>
      <c r="D56" s="33" t="inlineStr">
        <is>
          <t>20260929</t>
        </is>
      </c>
      <c r="E56" s="2" t="inlineStr">
        <is>
          <t>종가 기준일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sc:COE</t>
        </is>
      </c>
      <c r="C57" t="inlineStr">
        <is>
          <t>COE</t>
        </is>
      </c>
      <c r="D57" s="24" t="n">
        <v>0.09</v>
      </c>
      <c r="E57" s="2" t="inlineStr">
        <is>
          <t>자기자본비용(가정)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sc:PER_lo</t>
        </is>
      </c>
      <c r="C58" t="inlineStr">
        <is>
          <t>PER_lo</t>
        </is>
      </c>
      <c r="D58" s="29" t="n">
        <v>10</v>
      </c>
      <c r="E58" s="2" t="inlineStr">
        <is>
          <t>PER 밴드 하단(배) — sector_default(레퍼런스 TP_PE PB 예시 10/15/20배; 과거 양(+)EPS 분기 2개 &lt; 4)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sc:PER_mid</t>
        </is>
      </c>
      <c r="C59" t="inlineStr">
        <is>
          <t>PER_mid</t>
        </is>
      </c>
      <c r="D59" s="29" t="n">
        <v>15</v>
      </c>
      <c r="E59" s="2" t="inlineStr">
        <is>
          <t>PER 밴드 중단(배)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sc:PER_hi</t>
        </is>
      </c>
      <c r="C60" t="inlineStr">
        <is>
          <t>PER_hi</t>
        </is>
      </c>
      <c r="D60" s="29" t="n">
        <v>20</v>
      </c>
      <c r="E60" s="2" t="inlineStr">
        <is>
          <t>PER 밴드 상단(배)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sc:EPS_Y1가중</t>
        </is>
      </c>
      <c r="C61" t="inlineStr">
        <is>
          <t>EPS_Y1가중</t>
        </is>
      </c>
      <c r="D61" s="24" t="n">
        <v>0.5</v>
      </c>
      <c r="E61" s="2" t="inlineStr">
        <is>
          <t>12M fwd EPS = FY(last_actual연도)E × w + FY+1E × (1−w) — 기준 분기 2Q 이면 0.5(가정)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s="12" t="inlineStr">
        <is>
          <t>sc:세율</t>
        </is>
      </c>
      <c r="C62" t="inlineStr">
        <is>
          <t>세율</t>
        </is>
      </c>
      <c r="D62" s="24" t="n">
        <v>0.2276</v>
      </c>
      <c r="E62" s="2" t="inlineStr">
        <is>
          <t>법인세율 가정(참고 — 추정 수식은 드라이버 행 참조)</t>
        </is>
      </c>
      <c r="H62" s="9" t="n"/>
      <c r="J62" s="5" t="n"/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s="12" t="inlineStr">
        <is>
          <t>sc:판관비율</t>
        </is>
      </c>
      <c r="C63" t="inlineStr">
        <is>
          <t>판관비율</t>
        </is>
      </c>
      <c r="D63" s="24" t="n">
        <v>0.0244</v>
      </c>
      <c r="E63" s="2" t="inlineStr">
        <is>
          <t>판관비율 가정(참고)</t>
        </is>
      </c>
      <c r="H63" s="9" t="n"/>
      <c r="J63" s="5" t="n"/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s="12" t="inlineStr">
        <is>
          <t>sc:배당성향</t>
        </is>
      </c>
      <c r="C64" t="inlineStr">
        <is>
          <t>배당성향</t>
        </is>
      </c>
      <c r="D64" s="24" t="n">
        <v>0.0506</v>
      </c>
      <c r="E64" s="2" t="inlineStr">
        <is>
          <t>배당성향 가정(참고)</t>
        </is>
      </c>
      <c r="H64" s="9" t="n"/>
      <c r="J64" s="5" t="n"/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s="12" t="inlineStr">
        <is>
          <t>sc:외화순노출_백만$</t>
        </is>
      </c>
      <c r="C65" t="inlineStr">
        <is>
          <t>외화순노출_백만$</t>
        </is>
      </c>
      <c r="D65" s="29" t="n">
        <v>-2.29</v>
      </c>
      <c r="E65" s="2" t="inlineStr">
        <is>
          <t>외화 순노출 × Δ기말환율 (외화 시트 방식)</t>
        </is>
      </c>
      <c r="H65" s="9" t="n"/>
      <c r="J65" s="5" t="n"/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4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4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4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4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4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4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4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4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4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4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4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4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4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4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4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4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4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4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4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40989.41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280517.02</v>
      </c>
      <c r="F27" s="18" t="n">
        <v>230107.11</v>
      </c>
      <c r="G27" s="18" t="n">
        <v>215414.72</v>
      </c>
      <c r="H27" s="34" t="n">
        <v>215414.72</v>
      </c>
      <c r="I27" s="18" t="n">
        <v>210986.68</v>
      </c>
      <c r="J27" s="19" t="n">
        <v>261230.99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단기충당부채</t>
        </is>
      </c>
      <c r="E28" s="18" t="n">
        <v>2975.68</v>
      </c>
      <c r="F28" s="18" t="n">
        <v>2272.59</v>
      </c>
      <c r="G28" s="18" t="n">
        <v>2168.34</v>
      </c>
      <c r="H28" s="34" t="n">
        <v>2168.34</v>
      </c>
      <c r="I28" s="18" t="n">
        <v>2318.93</v>
      </c>
      <c r="J28" s="19" t="n">
        <v>2385.39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당기법인세부채(미지급법인세)</t>
        </is>
      </c>
      <c r="E29" s="18" t="n">
        <v>0</v>
      </c>
      <c r="G29" s="18" t="n">
        <v>21598.7</v>
      </c>
      <c r="H29" s="34" t="n">
        <v>21598.7</v>
      </c>
      <c r="I29" s="18" t="n">
        <v>32589.33</v>
      </c>
      <c r="J29" s="19" t="n">
        <v>41733.34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기타유동부채</t>
        </is>
      </c>
      <c r="E30" s="18" t="n">
        <v>817.0599999999999</v>
      </c>
      <c r="F30" s="18" t="n">
        <v>647.97</v>
      </c>
      <c r="G30" s="18" t="n">
        <v>608.78</v>
      </c>
      <c r="H30" s="34" t="n">
        <v>608.78</v>
      </c>
      <c r="I30" s="18" t="n">
        <v>10300.6</v>
      </c>
      <c r="J30" s="19" t="n">
        <v>595.0599999999999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비유동부채</t>
        </is>
      </c>
      <c r="E31" s="18" t="n">
        <v>25089.73</v>
      </c>
      <c r="F31" s="18" t="n">
        <v>34667.36</v>
      </c>
      <c r="G31" s="18" t="n">
        <v>35102.86</v>
      </c>
      <c r="H31" s="34" t="n">
        <v>35102.86</v>
      </c>
      <c r="I31" s="18" t="n">
        <v>47243.89</v>
      </c>
      <c r="J31" s="19" t="n">
        <v>51304.83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장기매입채무및기타채무</t>
        </is>
      </c>
      <c r="E32" s="18" t="n">
        <v>3743.58</v>
      </c>
      <c r="F32" s="18" t="n">
        <v>4096.32</v>
      </c>
      <c r="G32" s="18" t="n">
        <v>4579.13</v>
      </c>
      <c r="H32" s="34" t="n">
        <v>4579.13</v>
      </c>
      <c r="I32" s="18" t="n">
        <v>4935.5</v>
      </c>
      <c r="J32" s="19" t="n">
        <v>5045.69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확정급여부채</t>
        </is>
      </c>
      <c r="E33" s="18" t="n">
        <v>12052.14</v>
      </c>
      <c r="F33" s="18" t="n">
        <v>12869.68</v>
      </c>
      <c r="G33" s="18" t="n">
        <v>8501.950000000001</v>
      </c>
      <c r="H33" s="34" t="n">
        <v>8501.950000000001</v>
      </c>
      <c r="I33" s="18" t="n">
        <v>9480.969999999999</v>
      </c>
      <c r="J33" s="19" t="n">
        <v>7937.2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장기충당부채</t>
        </is>
      </c>
      <c r="E34" s="18" t="n">
        <v>271.02</v>
      </c>
      <c r="F34" s="18" t="n">
        <v>301.78</v>
      </c>
      <c r="G34" s="18" t="n">
        <v>363.1</v>
      </c>
      <c r="H34" s="34" t="n">
        <v>363.1</v>
      </c>
      <c r="I34" s="18" t="n">
        <v>355.88</v>
      </c>
      <c r="J34" s="19" t="n">
        <v>351.76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부채총계</t>
        </is>
      </c>
      <c r="E35" s="18" t="n">
        <v>655434.9</v>
      </c>
      <c r="F35" s="18" t="n">
        <v>410793.91</v>
      </c>
      <c r="G35" s="18" t="n">
        <v>445669.31</v>
      </c>
      <c r="H35" s="34" t="n">
        <v>445669.31</v>
      </c>
      <c r="I35" s="18" t="n">
        <v>509453.23</v>
      </c>
      <c r="J35" s="19" t="n">
        <v>563800.5600000001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지배주주지분</t>
        </is>
      </c>
      <c r="E36" s="18" t="n">
        <v>557677.33</v>
      </c>
      <c r="F36" s="18" t="n">
        <v>1018389.68</v>
      </c>
      <c r="G36" s="18" t="n">
        <v>1092384.07</v>
      </c>
      <c r="H36" s="34" t="n">
        <v>1092384.07</v>
      </c>
      <c r="I36" s="18" t="n">
        <v>1134285.87</v>
      </c>
      <c r="J36" s="19" t="n">
        <v>1198862.16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152631.56</v>
      </c>
      <c r="F37" s="18" t="n">
        <v>192631.56</v>
      </c>
      <c r="G37" s="18" t="n">
        <v>192631.56</v>
      </c>
      <c r="H37" s="34" t="n">
        <v>192631.56</v>
      </c>
      <c r="I37" s="18" t="n">
        <v>192631.56</v>
      </c>
      <c r="J37" s="19" t="n">
        <v>192631.56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47947.23</v>
      </c>
      <c r="F38" s="18" t="n">
        <v>402861.42</v>
      </c>
      <c r="G38" s="18" t="n">
        <v>398917.63</v>
      </c>
      <c r="H38" s="34" t="n">
        <v>398917.63</v>
      </c>
      <c r="I38" s="18" t="n">
        <v>398917.63</v>
      </c>
      <c r="J38" s="19" t="n">
        <v>398917.63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기타포괄이익누계액</t>
        </is>
      </c>
      <c r="E39" s="18" t="n">
        <v>40823.25</v>
      </c>
      <c r="F39" s="18" t="n">
        <v>40804.12</v>
      </c>
      <c r="G39" s="18" t="n">
        <v>40029.25</v>
      </c>
      <c r="H39" s="34" t="n">
        <v>40029.25</v>
      </c>
      <c r="I39" s="18" t="n">
        <v>40051.07</v>
      </c>
      <c r="J39" s="19" t="n">
        <v>40020.6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316275.29</v>
      </c>
      <c r="F40" s="18" t="n">
        <v>382092.58</v>
      </c>
      <c r="G40" s="18" t="n">
        <v>460805.63</v>
      </c>
      <c r="H40" s="34" t="n">
        <v>460805.63</v>
      </c>
      <c r="I40" s="18" t="n">
        <v>528568.63</v>
      </c>
      <c r="J40" s="19" t="n">
        <v>567292.37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557677.33</v>
      </c>
      <c r="F41" s="18" t="n">
        <v>1018389.68</v>
      </c>
      <c r="G41" s="18" t="n">
        <v>1092384.07</v>
      </c>
      <c r="H41" s="34" t="n">
        <v>1092384.07</v>
      </c>
      <c r="I41" s="18" t="n">
        <v>1134285.87</v>
      </c>
      <c r="J41" s="19" t="n">
        <v>1198862.16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1213112.23</v>
      </c>
      <c r="F42" s="18" t="n">
        <v>1429183.58</v>
      </c>
      <c r="G42" s="18" t="n">
        <v>1538053.38</v>
      </c>
      <c r="H42" s="34" t="n">
        <v>1538053.38</v>
      </c>
      <c r="I42" s="18" t="n">
        <v>1643739.1</v>
      </c>
      <c r="J42" s="19" t="n">
        <v>1762662.72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총차입금</t>
        </is>
      </c>
      <c r="E43" s="18" t="n">
        <v>228355.26</v>
      </c>
      <c r="F43" s="18" t="n">
        <v>23739.99</v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순차입금</t>
        </is>
      </c>
      <c r="E44" s="18" t="n">
        <v>-149542.88</v>
      </c>
      <c r="F44" s="18" t="n">
        <v>-273185.17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이자발생자산</t>
        </is>
      </c>
      <c r="E45" s="18" t="n">
        <v>377898.14</v>
      </c>
      <c r="F45" s="18" t="n">
        <v>296925.16</v>
      </c>
      <c r="G45" s="18" t="n">
        <v>252829.02</v>
      </c>
      <c r="H45" s="34" t="n">
        <v>252829.02</v>
      </c>
      <c r="I45" s="18" t="n">
        <v>391996.26</v>
      </c>
      <c r="J45" s="19" t="n">
        <v>580159.1800000001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단기투자자산(공정가치)</t>
        </is>
      </c>
      <c r="F46" s="18" t="n">
        <v>273171.3</v>
      </c>
      <c r="G46" s="18" t="n">
        <v>281830.52</v>
      </c>
      <c r="H46" s="34" t="n">
        <v>281830.52</v>
      </c>
      <c r="I46" s="18" t="n">
        <v>239917.66</v>
      </c>
      <c r="J46" s="19" t="n">
        <v>195467.08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이연법인세부채</t>
        </is>
      </c>
      <c r="F47" s="18" t="n">
        <v>1813.46</v>
      </c>
      <c r="G47" s="18" t="n">
        <v>7775.4</v>
      </c>
      <c r="H47" s="34" t="n">
        <v>7775.4</v>
      </c>
      <c r="I47" s="18" t="n">
        <v>13688.81</v>
      </c>
      <c r="J47" s="19" t="n">
        <v>14711.02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장기금융자산</t>
        </is>
      </c>
      <c r="G48" s="18" t="n">
        <v>24625.75</v>
      </c>
      <c r="H48" s="34" t="n">
        <v>24625.75</v>
      </c>
      <c r="I48" s="18" t="n">
        <v>29585.62</v>
      </c>
      <c r="J48" s="19" t="n">
        <v>145505.48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투자자산</t>
        </is>
      </c>
      <c r="G49" s="18" t="n">
        <v>24625.75</v>
      </c>
      <c r="H49" s="34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단기파생상품부채</t>
        </is>
      </c>
      <c r="H50" s="9" t="n"/>
      <c r="I50" s="18" t="n">
        <v>0</v>
      </c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단기금융부채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비지배주주지분</t>
        </is>
      </c>
      <c r="H53" s="9" t="n"/>
      <c r="I53" s="18" t="n">
        <v>0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매출액(수익)</t>
        </is>
      </c>
      <c r="E54" s="18" t="n">
        <v>296047.84</v>
      </c>
      <c r="F54" s="18" t="n">
        <v>273973.27</v>
      </c>
      <c r="G54" s="18" t="n">
        <v>350405.47</v>
      </c>
      <c r="H54" s="9" t="n"/>
      <c r="I54" s="18" t="n">
        <v>308271.46</v>
      </c>
      <c r="J54" s="19" t="n">
        <v>354435.07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매출원가</t>
        </is>
      </c>
      <c r="E55" s="18" t="n">
        <v>226711.65</v>
      </c>
      <c r="F55" s="18" t="n">
        <v>200951.47</v>
      </c>
      <c r="G55" s="18" t="n">
        <v>246306.98</v>
      </c>
      <c r="H55" s="9" t="n"/>
      <c r="I55" s="18" t="n">
        <v>217494.6</v>
      </c>
      <c r="J55" s="19" t="n">
        <v>251561.61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매출총이익</t>
        </is>
      </c>
      <c r="E56" s="18" t="n">
        <v>69336.2</v>
      </c>
      <c r="F56" s="18" t="n">
        <v>73021.8</v>
      </c>
      <c r="G56" s="18" t="n">
        <v>104098.48</v>
      </c>
      <c r="H56" s="9" t="n"/>
      <c r="I56" s="18" t="n">
        <v>90776.86</v>
      </c>
      <c r="J56" s="19" t="n">
        <v>102873.46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판관비</t>
        </is>
      </c>
      <c r="E57" s="18" t="n">
        <v>6869.41</v>
      </c>
      <c r="F57" s="18" t="n">
        <v>6533.15</v>
      </c>
      <c r="G57" s="18" t="n">
        <v>8769.82</v>
      </c>
      <c r="H57" s="9" t="n"/>
      <c r="I57" s="18" t="n">
        <v>8137.57</v>
      </c>
      <c r="J57" s="19" t="n">
        <v>7624.97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영업이익</t>
        </is>
      </c>
      <c r="E58" s="18" t="n">
        <v>62466.79</v>
      </c>
      <c r="F58" s="18" t="n">
        <v>66488.64999999999</v>
      </c>
      <c r="G58" s="18" t="n">
        <v>95328.67</v>
      </c>
      <c r="H58" s="9" t="n"/>
      <c r="I58" s="18" t="n">
        <v>82639.28999999999</v>
      </c>
      <c r="J58" s="19" t="n">
        <v>95248.5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기타영업외수익</t>
        </is>
      </c>
      <c r="E59" s="18" t="n">
        <v>1808.9</v>
      </c>
      <c r="F59" s="18" t="n">
        <v>5567.29</v>
      </c>
      <c r="G59" s="18" t="n">
        <v>16125.11</v>
      </c>
      <c r="H59" s="9" t="n"/>
      <c r="I59" s="18" t="n">
        <v>71023.96000000001</v>
      </c>
      <c r="J59" s="19" t="n">
        <v>37040.54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기타영업외비용</t>
        </is>
      </c>
      <c r="E60" s="18" t="n">
        <v>78200.94</v>
      </c>
      <c r="F60" s="18" t="n">
        <v>-37815.7</v>
      </c>
      <c r="G60" s="18" t="n">
        <v>-16900.44</v>
      </c>
      <c r="H60" s="9" t="n"/>
      <c r="I60" s="18" t="n">
        <v>6049.02</v>
      </c>
      <c r="J60" s="19" t="n">
        <v>2988.87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금융수익</t>
        </is>
      </c>
      <c r="E61" s="18" t="n">
        <v>76842.72</v>
      </c>
      <c r="F61" s="18" t="n">
        <v>-32157.26</v>
      </c>
      <c r="G61" s="18" t="n">
        <v>-15416.39</v>
      </c>
      <c r="H61" s="9" t="n"/>
      <c r="I61" s="18" t="n">
        <v>12147.33</v>
      </c>
      <c r="J61" s="19" t="n">
        <v>8203.77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금융비용</t>
        </is>
      </c>
      <c r="E62" s="18" t="n">
        <v>9879.639999999999</v>
      </c>
      <c r="F62" s="18" t="n">
        <v>-3082.31</v>
      </c>
      <c r="G62" s="18" t="n">
        <v>6836.07</v>
      </c>
      <c r="H62" s="9" t="n"/>
      <c r="I62" s="18" t="n">
        <v>57803.13</v>
      </c>
      <c r="J62" s="19" t="n">
        <v>33607.24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법인세비용차감전계속사업이익</t>
        </is>
      </c>
      <c r="E63" s="18" t="n">
        <v>53037.83</v>
      </c>
      <c r="F63" s="18" t="n">
        <v>80796.67999999999</v>
      </c>
      <c r="G63" s="18" t="n">
        <v>106101.76</v>
      </c>
      <c r="H63" s="9" t="n"/>
      <c r="I63" s="18" t="n">
        <v>101958.44</v>
      </c>
      <c r="J63" s="19" t="n">
        <v>103896.68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</t>
        </is>
      </c>
      <c r="E64" s="18" t="n">
        <v>9354.74</v>
      </c>
      <c r="F64" s="18" t="n">
        <v>14979.4</v>
      </c>
      <c r="G64" s="18" t="n">
        <v>27388.7</v>
      </c>
      <c r="H64" s="9" t="n"/>
      <c r="I64" s="18" t="n">
        <v>24563.86</v>
      </c>
      <c r="J64" s="19" t="n">
        <v>25172.98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당기순이익</t>
        </is>
      </c>
      <c r="E65" s="18" t="n">
        <v>43683.09</v>
      </c>
      <c r="F65" s="18" t="n">
        <v>65817.28999999999</v>
      </c>
      <c r="G65" s="18" t="n">
        <v>78713.05</v>
      </c>
      <c r="H65" s="9" t="n"/>
      <c r="I65" s="18" t="n">
        <v>77394.58</v>
      </c>
      <c r="J65" s="19" t="n">
        <v>78723.7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(지배주주지분)당기순이익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금융손익</t>
        </is>
      </c>
      <c r="E67" s="18" t="n">
        <v>66963.08</v>
      </c>
      <c r="F67" s="18" t="n">
        <v>-29074.95</v>
      </c>
      <c r="G67" s="18" t="n">
        <v>-22252.46</v>
      </c>
      <c r="H67" s="9" t="n"/>
      <c r="I67" s="18" t="n">
        <v>-45655.8</v>
      </c>
      <c r="J67" s="19" t="n">
        <v>-25403.47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기타영업외손익</t>
        </is>
      </c>
      <c r="E68" s="18" t="n">
        <v>-76392.03999999999</v>
      </c>
      <c r="F68" s="18" t="n">
        <v>43382.99</v>
      </c>
      <c r="G68" s="18" t="n">
        <v>33025.55</v>
      </c>
      <c r="H68" s="9" t="n"/>
      <c r="I68" s="18" t="n">
        <v>64974.94</v>
      </c>
      <c r="J68" s="19" t="n">
        <v>34051.67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계속사업이익</t>
        </is>
      </c>
      <c r="E69" s="18" t="n">
        <v>43683.09</v>
      </c>
      <c r="F69" s="18" t="n">
        <v>65817.28999999999</v>
      </c>
      <c r="G69" s="18" t="n">
        <v>78713.05</v>
      </c>
      <c r="H69" s="9" t="n"/>
      <c r="I69" s="18" t="n">
        <v>77394.58</v>
      </c>
      <c r="J69" s="19" t="n">
        <v>78723.7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총포괄손익</t>
        </is>
      </c>
      <c r="E70" s="18" t="n">
        <v>43681.3</v>
      </c>
      <c r="F70" s="18" t="n">
        <v>65798.16</v>
      </c>
      <c r="G70" s="18" t="n">
        <v>77938.17999999999</v>
      </c>
      <c r="H70" s="9" t="n"/>
      <c r="I70" s="18" t="n">
        <v>77416.39999999999</v>
      </c>
      <c r="J70" s="19" t="n">
        <v>78693.23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이자수익</t>
        </is>
      </c>
      <c r="E71" s="18" t="n">
        <v>2114.83</v>
      </c>
      <c r="F71" s="18" t="n">
        <v>1882.76</v>
      </c>
      <c r="G71" s="18" t="n">
        <v>1433</v>
      </c>
      <c r="H71" s="9" t="n"/>
      <c r="I71" s="18" t="n">
        <v>2174.68</v>
      </c>
      <c r="J71" s="19" t="n">
        <v>2907.16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이자비용</t>
        </is>
      </c>
      <c r="E72" s="18" t="n">
        <v>2942.13</v>
      </c>
      <c r="F72" s="18" t="n">
        <v>1631.27</v>
      </c>
      <c r="G72" s="18" t="n">
        <v>165</v>
      </c>
      <c r="H72" s="9" t="n"/>
      <c r="I72" s="18" t="n">
        <v>6.35</v>
      </c>
      <c r="J72" s="19" t="n">
        <v>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외환차익</t>
        </is>
      </c>
      <c r="E73" s="18" t="n">
        <v>2614.11</v>
      </c>
      <c r="F73" s="18" t="n">
        <v>1129.45</v>
      </c>
      <c r="G73" s="18" t="n">
        <v>22.81</v>
      </c>
      <c r="H73" s="9" t="n"/>
      <c r="I73" s="18" t="n">
        <v>563.91</v>
      </c>
      <c r="J73" s="19" t="n">
        <v>130.68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외환차손</t>
        </is>
      </c>
      <c r="E74" s="18" t="n">
        <v>437.01</v>
      </c>
      <c r="F74" s="18" t="n">
        <v>1404.05</v>
      </c>
      <c r="G74" s="18" t="n">
        <v>980.11</v>
      </c>
      <c r="H74" s="9" t="n"/>
      <c r="I74" s="18" t="n">
        <v>1.48</v>
      </c>
      <c r="J74" s="19" t="n">
        <v>15.45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외화환산이익</t>
        </is>
      </c>
      <c r="E75" s="18" t="n">
        <v>752.37</v>
      </c>
      <c r="F75" s="18" t="n">
        <v>-1763.38</v>
      </c>
      <c r="G75" s="18" t="n">
        <v>-23.2</v>
      </c>
      <c r="H75" s="9" t="n"/>
      <c r="I75" s="18" t="n">
        <v>7913.26</v>
      </c>
      <c r="J75" s="19" t="n">
        <v>3102.6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외화환산손실</t>
        </is>
      </c>
      <c r="E76" s="18" t="n">
        <v>11317.13</v>
      </c>
      <c r="F76" s="18" t="n">
        <v>-6383.08</v>
      </c>
      <c r="G76" s="18" t="n">
        <v>-2074.13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파생상품이익</t>
        </is>
      </c>
      <c r="E77" s="18" t="n">
        <v>71361.41</v>
      </c>
      <c r="F77" s="18" t="n">
        <v>-34967.9</v>
      </c>
      <c r="G77" s="18" t="n">
        <v>-17898.82</v>
      </c>
      <c r="H77" s="9" t="n"/>
      <c r="I77" s="18" t="n">
        <v>17.12</v>
      </c>
      <c r="J77" s="19" t="n">
        <v>34.32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파생상품손실</t>
        </is>
      </c>
      <c r="E78" s="18" t="n">
        <v>-4816.63</v>
      </c>
      <c r="F78" s="18" t="n">
        <v>265.45</v>
      </c>
      <c r="G78" s="18" t="n">
        <v>7760.15</v>
      </c>
      <c r="H78" s="9" t="n"/>
      <c r="I78" s="18" t="n">
        <v>55428.32</v>
      </c>
      <c r="J78" s="19" t="n">
        <v>33094.33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이자손익</t>
        </is>
      </c>
      <c r="E79" s="18" t="n">
        <v>-827.3</v>
      </c>
      <c r="F79" s="18" t="n">
        <v>251.49</v>
      </c>
      <c r="G79" s="18" t="n">
        <v>1268</v>
      </c>
      <c r="H79" s="9" t="n"/>
      <c r="I79" s="18" t="n">
        <v>2168.33</v>
      </c>
      <c r="J79" s="19" t="n">
        <v>2901.36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(비지배주주지분)당기순이익</t>
        </is>
      </c>
      <c r="H80" s="9" t="n"/>
      <c r="I80" s="18" t="n">
        <v>0</v>
      </c>
      <c r="J80" s="5" t="n"/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영업활동으로인한현금흐름</t>
        </is>
      </c>
      <c r="E81" s="18" t="n">
        <v>42623.28</v>
      </c>
      <c r="F81" s="18" t="n">
        <v>-1016.39</v>
      </c>
      <c r="G81" s="18" t="n">
        <v>-13065.17</v>
      </c>
      <c r="H81" s="9" t="n"/>
      <c r="I81" s="18" t="n">
        <v>118064.13</v>
      </c>
      <c r="J81" s="19" t="n">
        <v>169860.18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이자수취(CF)</t>
        </is>
      </c>
      <c r="E82" s="18" t="n">
        <v>2258.48</v>
      </c>
      <c r="F82" s="18" t="n">
        <v>1866.48</v>
      </c>
      <c r="G82" s="18" t="n">
        <v>1454.4</v>
      </c>
      <c r="H82" s="9" t="n"/>
      <c r="I82" s="18" t="n">
        <v>1669.98</v>
      </c>
      <c r="J82" s="19" t="n">
        <v>1721.35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이자지급(CF)</t>
        </is>
      </c>
      <c r="E83" s="18" t="n">
        <v>-4172.35</v>
      </c>
      <c r="F83" s="18" t="n">
        <v>-2978.26</v>
      </c>
      <c r="G83" s="18" t="n">
        <v>-202.05</v>
      </c>
      <c r="H83" s="9" t="n"/>
      <c r="I83" s="18" t="n">
        <v>-6.35</v>
      </c>
      <c r="J83" s="19" t="n">
        <v>-5.8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법인세납부(CF)</t>
        </is>
      </c>
      <c r="E84" s="18" t="n">
        <v>-3007.12</v>
      </c>
      <c r="F84" s="18" t="n">
        <v>-2288.96</v>
      </c>
      <c r="G84" s="18" t="n">
        <v>-503.47</v>
      </c>
      <c r="H84" s="9" t="n"/>
      <c r="I84" s="18" t="n">
        <v>-7574.23</v>
      </c>
      <c r="J84" s="19" t="n">
        <v>-15296.51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투자활동으로인한현금흐름</t>
        </is>
      </c>
      <c r="E85" s="18" t="n">
        <v>5984.42</v>
      </c>
      <c r="F85" s="18" t="n">
        <v>-273488.49</v>
      </c>
      <c r="G85" s="18" t="n">
        <v>-47383.78</v>
      </c>
      <c r="H85" s="9" t="n"/>
      <c r="I85" s="18" t="n">
        <v>-24852.15</v>
      </c>
      <c r="J85" s="19" t="n">
        <v>-111821.84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18" t="n">
        <v>11.18</v>
      </c>
      <c r="G86" s="18" t="n">
        <v>138.43</v>
      </c>
      <c r="H86" s="9" t="n"/>
      <c r="I86" s="18" t="n">
        <v>120</v>
      </c>
      <c r="J86" s="19" t="n">
        <v>6.94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유형자산의증가</t>
        </is>
      </c>
      <c r="E87" s="18" t="n">
        <v>2791.63</v>
      </c>
      <c r="F87" s="18" t="n">
        <v>3523.49</v>
      </c>
      <c r="G87" s="18" t="n">
        <v>1897.06</v>
      </c>
      <c r="H87" s="9" t="n"/>
      <c r="I87" s="18" t="n">
        <v>2097.87</v>
      </c>
      <c r="J87" s="19" t="n">
        <v>6409.19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CAPEX</t>
        </is>
      </c>
      <c r="E88" s="18" t="n">
        <v>2791.63</v>
      </c>
      <c r="F88" s="18" t="n">
        <v>3530.99</v>
      </c>
      <c r="G88" s="18" t="n">
        <v>2072.06</v>
      </c>
      <c r="H88" s="9" t="n"/>
      <c r="I88" s="18" t="n">
        <v>2102.03</v>
      </c>
      <c r="J88" s="19" t="n">
        <v>7231.59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무형자산의증가</t>
        </is>
      </c>
      <c r="E89" s="18" t="n">
        <v>0</v>
      </c>
      <c r="F89" s="18" t="n">
        <v>7.5</v>
      </c>
      <c r="G89" s="18" t="n">
        <v>175</v>
      </c>
      <c r="H89" s="9" t="n"/>
      <c r="I89" s="18" t="n">
        <v>4.16</v>
      </c>
      <c r="J89" s="19" t="n">
        <v>822.4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재무활동으로인한현금흐름</t>
        </is>
      </c>
      <c r="E90" s="18" t="n">
        <v>-35478.63</v>
      </c>
      <c r="F90" s="18" t="n">
        <v>188321.79</v>
      </c>
      <c r="G90" s="18" t="n">
        <v>-23696.36</v>
      </c>
      <c r="H90" s="9" t="n"/>
      <c r="I90" s="18" t="n">
        <v>-24948.67</v>
      </c>
      <c r="J90" s="19" t="n">
        <v>-24769.83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단기차입금의증가</t>
        </is>
      </c>
      <c r="E91" s="18" t="n">
        <v>126468.73</v>
      </c>
      <c r="F91" s="18" t="n">
        <v>69339.03</v>
      </c>
      <c r="G91" s="18" t="n">
        <v>20859.87</v>
      </c>
      <c r="H91" s="9" t="n"/>
      <c r="I91" s="18" t="n">
        <v>1037.52</v>
      </c>
      <c r="J91" s="5" t="n"/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단기차입금의감소</t>
        </is>
      </c>
      <c r="E92" s="18" t="n">
        <v>161905.38</v>
      </c>
      <c r="F92" s="18" t="n">
        <v>234849.35</v>
      </c>
      <c r="G92" s="18" t="n">
        <v>44512.19</v>
      </c>
      <c r="H92" s="9" t="n"/>
      <c r="I92" s="18" t="n">
        <v>58.26</v>
      </c>
      <c r="J92" s="19" t="n">
        <v>0</v>
      </c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리스부채의상환</t>
        </is>
      </c>
      <c r="E93" s="18" t="n">
        <v>41.98</v>
      </c>
      <c r="F93" s="18" t="n">
        <v>82.08</v>
      </c>
      <c r="G93" s="18" t="n">
        <v>44.04</v>
      </c>
      <c r="H93" s="9" t="n"/>
      <c r="I93" s="18" t="n">
        <v>44.91</v>
      </c>
      <c r="J93" s="19" t="n">
        <v>42.05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현금및현금성자산의증감</t>
        </is>
      </c>
      <c r="E94" s="18" t="n">
        <v>652.24</v>
      </c>
      <c r="F94" s="18" t="n">
        <v>-79484.48</v>
      </c>
      <c r="G94" s="18" t="n">
        <v>-81621.38</v>
      </c>
      <c r="H94" s="9" t="n"/>
      <c r="I94" s="18" t="n">
        <v>74829.36</v>
      </c>
      <c r="J94" s="19" t="n">
        <v>35753.27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기말현금및현금성자산</t>
        </is>
      </c>
      <c r="E95" s="18" t="n">
        <v>652.25</v>
      </c>
      <c r="F95" s="18" t="n">
        <v>-79484.48</v>
      </c>
      <c r="G95" s="18" t="n">
        <v>-81621.38</v>
      </c>
      <c r="H95" s="9" t="n"/>
      <c r="I95" s="18" t="n">
        <v>290133.13</v>
      </c>
      <c r="J95" s="19" t="n">
        <v>35753.28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4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4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4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4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4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4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4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4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4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4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4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4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4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4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4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4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4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4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4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4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40989.41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계약부채</t>
        </is>
      </c>
      <c r="E29" s="18" t="n">
        <v>280517.02</v>
      </c>
      <c r="F29" s="18" t="n">
        <v>230107.11</v>
      </c>
      <c r="G29" s="18" t="n">
        <v>215414.72</v>
      </c>
      <c r="H29" s="34" t="n">
        <v>215414.72</v>
      </c>
      <c r="I29" s="18" t="n">
        <v>210986.68</v>
      </c>
      <c r="J29" s="19" t="n">
        <v>261230.99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단기충당부채</t>
        </is>
      </c>
      <c r="E30" s="18" t="n">
        <v>2975.68</v>
      </c>
      <c r="F30" s="18" t="n">
        <v>2272.59</v>
      </c>
      <c r="G30" s="18" t="n">
        <v>2168.34</v>
      </c>
      <c r="H30" s="34" t="n">
        <v>2168.34</v>
      </c>
      <c r="I30" s="18" t="n">
        <v>2318.93</v>
      </c>
      <c r="J30" s="19" t="n">
        <v>2385.39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804.11</v>
      </c>
      <c r="F31" s="18" t="n">
        <v>646.2</v>
      </c>
      <c r="G31" s="18" t="n">
        <v>603.21</v>
      </c>
      <c r="H31" s="34" t="n">
        <v>603.21</v>
      </c>
      <c r="I31" s="18" t="n">
        <v>10291.85</v>
      </c>
      <c r="J31" s="19" t="n">
        <v>592.96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25057.08</v>
      </c>
      <c r="F32" s="18" t="n">
        <v>34627.97</v>
      </c>
      <c r="G32" s="18" t="n">
        <v>35054.45</v>
      </c>
      <c r="H32" s="34" t="n">
        <v>35054.45</v>
      </c>
      <c r="I32" s="18" t="n">
        <v>47187.81</v>
      </c>
      <c r="J32" s="19" t="n">
        <v>51241.08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4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12019.49</v>
      </c>
      <c r="F34" s="18" t="n">
        <v>12830.28</v>
      </c>
      <c r="G34" s="18" t="n">
        <v>8453.540000000001</v>
      </c>
      <c r="H34" s="34" t="n">
        <v>8453.540000000001</v>
      </c>
      <c r="I34" s="18" t="n">
        <v>9424.889999999999</v>
      </c>
      <c r="J34" s="19" t="n">
        <v>7873.45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4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655331.78</v>
      </c>
      <c r="F36" s="18" t="n">
        <v>410686.96</v>
      </c>
      <c r="G36" s="18" t="n">
        <v>445135.58</v>
      </c>
      <c r="H36" s="34" t="n">
        <v>445135.58</v>
      </c>
      <c r="I36" s="18" t="n">
        <v>509325.84</v>
      </c>
      <c r="J36" s="19" t="n">
        <v>560668.08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152631.56</v>
      </c>
      <c r="F37" s="18" t="n">
        <v>192631.56</v>
      </c>
      <c r="G37" s="18" t="n">
        <v>192631.56</v>
      </c>
      <c r="H37" s="34" t="n">
        <v>192631.56</v>
      </c>
      <c r="I37" s="18" t="n">
        <v>192631.56</v>
      </c>
      <c r="J37" s="19" t="n">
        <v>192631.56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47947.23</v>
      </c>
      <c r="F38" s="18" t="n">
        <v>402861.42</v>
      </c>
      <c r="G38" s="18" t="n">
        <v>398917.63</v>
      </c>
      <c r="H38" s="34" t="n">
        <v>398917.63</v>
      </c>
      <c r="I38" s="18" t="n">
        <v>398917.63</v>
      </c>
      <c r="J38" s="19" t="n">
        <v>398917.63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기타포괄이익누계액</t>
        </is>
      </c>
      <c r="E39" s="18" t="n">
        <v>40832.26</v>
      </c>
      <c r="F39" s="18" t="n">
        <v>40813.13</v>
      </c>
      <c r="G39" s="18" t="n">
        <v>40037.22</v>
      </c>
      <c r="H39" s="34" t="n">
        <v>40037.22</v>
      </c>
      <c r="I39" s="18" t="n">
        <v>40059.04</v>
      </c>
      <c r="J39" s="19" t="n">
        <v>40028.56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316018.66</v>
      </c>
      <c r="F40" s="18" t="n">
        <v>381869.6</v>
      </c>
      <c r="G40" s="18" t="n">
        <v>460567.55</v>
      </c>
      <c r="H40" s="34" t="n">
        <v>460567.55</v>
      </c>
      <c r="I40" s="18" t="n">
        <v>528347.16</v>
      </c>
      <c r="J40" s="19" t="n">
        <v>566839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557429.71</v>
      </c>
      <c r="F41" s="18" t="n">
        <v>1018175.71</v>
      </c>
      <c r="G41" s="18" t="n">
        <v>1092153.95</v>
      </c>
      <c r="H41" s="34" t="n">
        <v>1092153.95</v>
      </c>
      <c r="I41" s="18" t="n">
        <v>1134072.37</v>
      </c>
      <c r="J41" s="19" t="n">
        <v>1198416.75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1212761.49</v>
      </c>
      <c r="F42" s="18" t="n">
        <v>1428862.66</v>
      </c>
      <c r="G42" s="18" t="n">
        <v>1537289.53</v>
      </c>
      <c r="H42" s="34" t="n">
        <v>1537289.53</v>
      </c>
      <c r="I42" s="18" t="n">
        <v>1643398.21</v>
      </c>
      <c r="J42" s="19" t="n">
        <v>1759084.83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557429.71</v>
      </c>
      <c r="F43" s="18" t="n">
        <v>1018175.71</v>
      </c>
      <c r="G43" s="18" t="n">
        <v>1092153.95</v>
      </c>
      <c r="H43" s="34" t="n">
        <v>1092153.95</v>
      </c>
      <c r="I43" s="18" t="n">
        <v>1134072.37</v>
      </c>
      <c r="J43" s="19" t="n">
        <v>1198416.75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-149414.65</v>
      </c>
      <c r="F45" s="18" t="n">
        <v>-273062.24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377769.91</v>
      </c>
      <c r="F46" s="18" t="n">
        <v>296802.23</v>
      </c>
      <c r="G46" s="18" t="n">
        <v>252704.35</v>
      </c>
      <c r="H46" s="34" t="n">
        <v>252704.35</v>
      </c>
      <c r="I46" s="18" t="n">
        <v>391806.7</v>
      </c>
      <c r="J46" s="19" t="n">
        <v>577550.01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4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4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4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당기법인세부채(미지급법인세)</t>
        </is>
      </c>
      <c r="G50" s="18" t="n">
        <v>21598.7</v>
      </c>
      <c r="H50" s="34" t="n">
        <v>21598.7</v>
      </c>
      <c r="I50" s="18" t="n">
        <v>32589.31</v>
      </c>
      <c r="J50" s="19" t="n">
        <v>41693.52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기타자본</t>
        </is>
      </c>
      <c r="H51" s="9" t="n"/>
      <c r="I51" s="18" t="n">
        <v>-25883.02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매출액(수익)</t>
        </is>
      </c>
      <c r="E52" s="18" t="n">
        <v>295855.49</v>
      </c>
      <c r="F52" s="18" t="n">
        <v>273782.19</v>
      </c>
      <c r="G52" s="18" t="n">
        <v>350231.29</v>
      </c>
      <c r="H52" s="9" t="n"/>
      <c r="I52" s="18" t="n">
        <v>308112.18</v>
      </c>
      <c r="J52" s="19" t="n">
        <v>354224.11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매출원가</t>
        </is>
      </c>
      <c r="E53" s="18" t="n">
        <v>226524.93</v>
      </c>
      <c r="F53" s="18" t="n">
        <v>200775.05</v>
      </c>
      <c r="G53" s="18" t="n">
        <v>246130.67</v>
      </c>
      <c r="H53" s="9" t="n"/>
      <c r="I53" s="18" t="n">
        <v>217336.54</v>
      </c>
      <c r="J53" s="19" t="n">
        <v>251362.88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매출총이익</t>
        </is>
      </c>
      <c r="E54" s="18" t="n">
        <v>69330.56</v>
      </c>
      <c r="F54" s="18" t="n">
        <v>73007.13</v>
      </c>
      <c r="G54" s="18" t="n">
        <v>104100.62</v>
      </c>
      <c r="H54" s="9" t="n"/>
      <c r="I54" s="18" t="n">
        <v>90775.64</v>
      </c>
      <c r="J54" s="19" t="n">
        <v>102861.23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판관비</t>
        </is>
      </c>
      <c r="E55" s="18" t="n">
        <v>6840.16</v>
      </c>
      <c r="F55" s="18" t="n">
        <v>6508.17</v>
      </c>
      <c r="G55" s="18" t="n">
        <v>8736.780000000001</v>
      </c>
      <c r="H55" s="9" t="n"/>
      <c r="I55" s="18" t="n">
        <v>8107.28</v>
      </c>
      <c r="J55" s="19" t="n">
        <v>7599.27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영업이익</t>
        </is>
      </c>
      <c r="E56" s="18" t="n">
        <v>62490.4</v>
      </c>
      <c r="F56" s="18" t="n">
        <v>66498.97</v>
      </c>
      <c r="G56" s="18" t="n">
        <v>95363.84</v>
      </c>
      <c r="H56" s="9" t="n"/>
      <c r="I56" s="18" t="n">
        <v>82668.36</v>
      </c>
      <c r="J56" s="19" t="n">
        <v>95261.96000000001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기타영업외수익</t>
        </is>
      </c>
      <c r="E57" s="18" t="n">
        <v>1771.33</v>
      </c>
      <c r="F57" s="18" t="n">
        <v>5567.67</v>
      </c>
      <c r="G57" s="18" t="n">
        <v>16051.88</v>
      </c>
      <c r="H57" s="9" t="n"/>
      <c r="I57" s="18" t="n">
        <v>70982.95</v>
      </c>
      <c r="J57" s="19" t="n">
        <v>36721.02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기타영업외비용</t>
        </is>
      </c>
      <c r="E58" s="18" t="n">
        <v>78200.94</v>
      </c>
      <c r="F58" s="18" t="n">
        <v>-37815.7</v>
      </c>
      <c r="G58" s="18" t="n">
        <v>-16900.44</v>
      </c>
      <c r="H58" s="9" t="n"/>
      <c r="I58" s="18" t="n">
        <v>6048.91</v>
      </c>
      <c r="J58" s="19" t="n">
        <v>2988.87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금융수익</t>
        </is>
      </c>
      <c r="E59" s="18" t="n">
        <v>76865.41</v>
      </c>
      <c r="F59" s="18" t="n">
        <v>-32134.31</v>
      </c>
      <c r="G59" s="18" t="n">
        <v>-15393.43</v>
      </c>
      <c r="H59" s="9" t="n"/>
      <c r="I59" s="18" t="n">
        <v>12175.44</v>
      </c>
      <c r="J59" s="19" t="n">
        <v>8238.07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금융비용</t>
        </is>
      </c>
      <c r="E60" s="18" t="n">
        <v>9879.639999999999</v>
      </c>
      <c r="F60" s="18" t="n">
        <v>-3082.31</v>
      </c>
      <c r="G60" s="18" t="n">
        <v>6836.07</v>
      </c>
      <c r="H60" s="9" t="n"/>
      <c r="I60" s="18" t="n">
        <v>57803.13</v>
      </c>
      <c r="J60" s="19" t="n">
        <v>33607.24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법인세비용차감전계속사업이익</t>
        </is>
      </c>
      <c r="E61" s="18" t="n">
        <v>53046.56</v>
      </c>
      <c r="F61" s="18" t="n">
        <v>80830.33</v>
      </c>
      <c r="G61" s="18" t="n">
        <v>106086.65</v>
      </c>
      <c r="H61" s="9" t="n"/>
      <c r="I61" s="18" t="n">
        <v>101974.71</v>
      </c>
      <c r="J61" s="19" t="n">
        <v>103624.94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</t>
        </is>
      </c>
      <c r="E62" s="18" t="n">
        <v>9354.74</v>
      </c>
      <c r="F62" s="18" t="n">
        <v>14979.4</v>
      </c>
      <c r="G62" s="18" t="n">
        <v>27388.7</v>
      </c>
      <c r="H62" s="9" t="n"/>
      <c r="I62" s="18" t="n">
        <v>24563.51</v>
      </c>
      <c r="J62" s="19" t="n">
        <v>25133.14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당기순이익</t>
        </is>
      </c>
      <c r="E63" s="18" t="n">
        <v>43691.82</v>
      </c>
      <c r="F63" s="18" t="n">
        <v>65850.94</v>
      </c>
      <c r="G63" s="18" t="n">
        <v>78697.94</v>
      </c>
      <c r="H63" s="9" t="n"/>
      <c r="I63" s="18" t="n">
        <v>77411.2</v>
      </c>
      <c r="J63" s="19" t="n">
        <v>78491.8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금융손익</t>
        </is>
      </c>
      <c r="E64" s="18" t="n">
        <v>66985.77</v>
      </c>
      <c r="F64" s="18" t="n">
        <v>-29052</v>
      </c>
      <c r="G64" s="18" t="n">
        <v>-22229.5</v>
      </c>
      <c r="H64" s="9" t="n"/>
      <c r="I64" s="18" t="n">
        <v>-45627.69</v>
      </c>
      <c r="J64" s="19" t="n">
        <v>-25369.17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기타영업외손익</t>
        </is>
      </c>
      <c r="E65" s="18" t="n">
        <v>-76429.61</v>
      </c>
      <c r="F65" s="18" t="n">
        <v>43383.37</v>
      </c>
      <c r="G65" s="18" t="n">
        <v>32952.32</v>
      </c>
      <c r="H65" s="9" t="n"/>
      <c r="I65" s="18" t="n">
        <v>64934.04</v>
      </c>
      <c r="J65" s="19" t="n">
        <v>33732.15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(지배주주지분)당기순이익</t>
        </is>
      </c>
      <c r="E66" s="18" t="n">
        <v>43691.82</v>
      </c>
      <c r="F66" s="18" t="n">
        <v>65850.94</v>
      </c>
      <c r="G66" s="18" t="n">
        <v>78697.94</v>
      </c>
      <c r="H66" s="9" t="n"/>
      <c r="I66" s="18" t="n">
        <v>77411.2</v>
      </c>
      <c r="J66" s="19" t="n">
        <v>78491.8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계속사업이익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총포괄손익</t>
        </is>
      </c>
      <c r="E68" s="18" t="n">
        <v>43690.03</v>
      </c>
      <c r="F68" s="18" t="n">
        <v>65831.81</v>
      </c>
      <c r="G68" s="18" t="n">
        <v>77922.03</v>
      </c>
      <c r="H68" s="9" t="n"/>
      <c r="I68" s="18" t="n">
        <v>77433.02</v>
      </c>
      <c r="J68" s="19" t="n">
        <v>78461.32000000001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영업활동으로인한현금흐름</t>
        </is>
      </c>
      <c r="E69" s="18" t="n">
        <v>42580.47</v>
      </c>
      <c r="F69" s="18" t="n">
        <v>-1011.08</v>
      </c>
      <c r="G69" s="18" t="n">
        <v>-13146.8</v>
      </c>
      <c r="H69" s="9" t="n"/>
      <c r="I69" s="18" t="n">
        <v>118456.02</v>
      </c>
      <c r="J69" s="19" t="n">
        <v>169098.03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이자수취(CF)</t>
        </is>
      </c>
      <c r="E70" s="18" t="n">
        <v>2258.45</v>
      </c>
      <c r="F70" s="18" t="n">
        <v>1866.47</v>
      </c>
      <c r="G70" s="18" t="n">
        <v>1454.39</v>
      </c>
      <c r="H70" s="9" t="n"/>
      <c r="I70" s="18" t="n">
        <v>1669.94</v>
      </c>
      <c r="J70" s="19" t="n">
        <v>1721.32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이자지급(CF)</t>
        </is>
      </c>
      <c r="E71" s="18" t="n">
        <v>-4172.35</v>
      </c>
      <c r="F71" s="18" t="n">
        <v>-2978.26</v>
      </c>
      <c r="G71" s="18" t="n">
        <v>-202.05</v>
      </c>
      <c r="H71" s="9" t="n"/>
      <c r="I71" s="18" t="n">
        <v>-6.35</v>
      </c>
      <c r="J71" s="19" t="n">
        <v>-5.8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법인세납부(CF)</t>
        </is>
      </c>
      <c r="E72" s="18" t="n">
        <v>-3007.12</v>
      </c>
      <c r="F72" s="18" t="n">
        <v>-2288.95</v>
      </c>
      <c r="G72" s="18" t="n">
        <v>-503.47</v>
      </c>
      <c r="H72" s="9" t="n"/>
      <c r="I72" s="18" t="n">
        <v>-7573.92</v>
      </c>
      <c r="J72" s="19" t="n">
        <v>-15296.48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투자활동으로인한현금흐름</t>
        </is>
      </c>
      <c r="E73" s="18" t="n">
        <v>6026.22</v>
      </c>
      <c r="F73" s="18" t="n">
        <v>-273488.48</v>
      </c>
      <c r="G73" s="18" t="n">
        <v>-47303.91</v>
      </c>
      <c r="H73" s="9" t="n"/>
      <c r="I73" s="18" t="n">
        <v>-24329.67</v>
      </c>
      <c r="J73" s="19" t="n">
        <v>-114458.55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유형자산의감소</t>
        </is>
      </c>
      <c r="E74" s="18" t="n">
        <v>0</v>
      </c>
      <c r="F74" s="18" t="n">
        <v>11.18</v>
      </c>
      <c r="G74" s="18" t="n">
        <v>138.43</v>
      </c>
      <c r="H74" s="9" t="n"/>
      <c r="I74" s="18" t="n">
        <v>120</v>
      </c>
      <c r="J74" s="19" t="n">
        <v>6.94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유형자산의증가</t>
        </is>
      </c>
      <c r="E75" s="18" t="n">
        <v>2749.83</v>
      </c>
      <c r="F75" s="18" t="n">
        <v>3523.48</v>
      </c>
      <c r="G75" s="18" t="n">
        <v>1817.18</v>
      </c>
      <c r="H75" s="9" t="n"/>
      <c r="I75" s="18" t="n">
        <v>1575.39</v>
      </c>
      <c r="J75" s="19" t="n">
        <v>5366.63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CAPEX</t>
        </is>
      </c>
      <c r="E76" s="18" t="n">
        <v>2749.83</v>
      </c>
      <c r="F76" s="18" t="n">
        <v>3530.98</v>
      </c>
      <c r="G76" s="18" t="n">
        <v>1992.18</v>
      </c>
      <c r="H76" s="9" t="n"/>
      <c r="I76" s="18" t="n">
        <v>1579.55</v>
      </c>
      <c r="J76" s="19" t="n">
        <v>6189.03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무형자산의증가</t>
        </is>
      </c>
      <c r="E77" s="18" t="n">
        <v>0</v>
      </c>
      <c r="F77" s="18" t="n">
        <v>7.5</v>
      </c>
      <c r="G77" s="18" t="n">
        <v>175</v>
      </c>
      <c r="H77" s="9" t="n"/>
      <c r="I77" s="18" t="n">
        <v>4.16</v>
      </c>
      <c r="J77" s="19" t="n">
        <v>822.4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재무활동으로인한현금흐름</t>
        </is>
      </c>
      <c r="E78" s="18" t="n">
        <v>-35478.63</v>
      </c>
      <c r="F78" s="18" t="n">
        <v>188321.79</v>
      </c>
      <c r="G78" s="18" t="n">
        <v>-23696.36</v>
      </c>
      <c r="H78" s="9" t="n"/>
      <c r="I78" s="18" t="n">
        <v>-25927.93</v>
      </c>
      <c r="J78" s="19" t="n">
        <v>-23790.57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단기차입금의증가</t>
        </is>
      </c>
      <c r="E79" s="18" t="n">
        <v>126468.73</v>
      </c>
      <c r="F79" s="18" t="n">
        <v>69339.03</v>
      </c>
      <c r="G79" s="18" t="n">
        <v>20859.87</v>
      </c>
      <c r="H79" s="9" t="n"/>
      <c r="I79" s="18" t="n">
        <v>58.26</v>
      </c>
      <c r="J79" s="19" t="n">
        <v>0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단기차입금의감소</t>
        </is>
      </c>
      <c r="E80" s="18" t="n">
        <v>161905.38</v>
      </c>
      <c r="F80" s="18" t="n">
        <v>234849.35</v>
      </c>
      <c r="G80" s="18" t="n">
        <v>44512.19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리스부채의상환</t>
        </is>
      </c>
      <c r="E81" s="18" t="n">
        <v>41.98</v>
      </c>
      <c r="F81" s="18" t="n">
        <v>82.08</v>
      </c>
      <c r="G81" s="18" t="n">
        <v>44.04</v>
      </c>
      <c r="H81" s="9" t="n"/>
      <c r="I81" s="18" t="n">
        <v>44.91</v>
      </c>
      <c r="J81" s="19" t="n">
        <v>42.05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현금및현금성자산의증감</t>
        </is>
      </c>
      <c r="E82" s="18" t="n">
        <v>651.25</v>
      </c>
      <c r="F82" s="18" t="n">
        <v>-79479.17999999999</v>
      </c>
      <c r="G82" s="18" t="n">
        <v>-81623.12</v>
      </c>
      <c r="H82" s="9" t="n"/>
      <c r="I82" s="18" t="n">
        <v>74764.46000000001</v>
      </c>
      <c r="J82" s="19" t="n">
        <v>33333.68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기말현금및현금성자산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289943.57</v>
      </c>
      <c r="J83" s="19" t="n">
        <v>33333.67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4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IFERROR(F5*(1+변수!K21),"")</f>
        <v/>
      </c>
      <c r="L5" s="20">
        <f>IFERROR(G5*(1+변수!L21),"")</f>
        <v/>
      </c>
      <c r="M5" s="35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4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5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4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5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4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IFERROR(K5*변수!K22,"")</f>
        <v/>
      </c>
      <c r="L8" s="20">
        <f>IFERROR(L5*변수!L22,"")</f>
        <v/>
      </c>
      <c r="M8" s="35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4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IFERROR(K5*변수!K23,"")</f>
        <v/>
      </c>
      <c r="L9" s="20">
        <f>IFERROR(L5*변수!L23,"")</f>
        <v/>
      </c>
      <c r="M9" s="35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0.211</v>
      </c>
      <c r="F10" s="18" t="n">
        <v>0.2427</v>
      </c>
      <c r="G10" s="18" t="n">
        <v>0.2721</v>
      </c>
      <c r="H10" s="34" t="n"/>
      <c r="I10" s="18" t="n">
        <v>0.2681</v>
      </c>
      <c r="J10" s="19" t="n">
        <v>0.2687</v>
      </c>
      <c r="K10" s="20">
        <f>IFERROR(F10*(1+변수!K24),"")</f>
        <v/>
      </c>
      <c r="L10" s="20">
        <f>IFERROR(G10*(1+변수!L24),"")</f>
        <v/>
      </c>
      <c r="M10" s="35">
        <f>SUM(I10:L10)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4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변수!K25</f>
        <v/>
      </c>
      <c r="L11" s="20">
        <f>변수!L25</f>
        <v/>
      </c>
      <c r="M11" s="35">
        <f>SUM(I11:L11)</f>
        <v/>
      </c>
      <c r="N11" s="20">
        <f>변수!N25</f>
        <v/>
      </c>
      <c r="O11" s="20">
        <f>변수!O25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4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변수!K26</f>
        <v/>
      </c>
      <c r="L12" s="20">
        <f>변수!L26</f>
        <v/>
      </c>
      <c r="M12" s="35">
        <f>SUM(I12:L12)</f>
        <v/>
      </c>
      <c r="N12" s="20">
        <f>변수!N26</f>
        <v/>
      </c>
      <c r="O12" s="20">
        <f>변수!O26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>
        <v>142.47</v>
      </c>
      <c r="F13" s="18" t="n">
        <v>-84.20999999999999</v>
      </c>
      <c r="G13" s="18" t="n">
        <v>-30.55</v>
      </c>
      <c r="H13" s="34" t="n"/>
      <c r="I13" s="18" t="n"/>
      <c r="J13" s="19" t="n"/>
      <c r="K13" s="20">
        <f>IFERROR(F13*(1+변수!K27),"")</f>
        <v/>
      </c>
      <c r="L13" s="20">
        <f>IFERROR(G13*(1+변수!L27),"")</f>
        <v/>
      </c>
      <c r="M13" s="35">
        <f>SUM(I13:L13)</f>
        <v/>
      </c>
      <c r="N13" s="20" t="n">
        <v>0</v>
      </c>
      <c r="O13" s="20" t="n">
        <v>0</v>
      </c>
      <c r="P13" s="20" t="n">
        <v>0</v>
      </c>
      <c r="Q13" s="20" t="n">
        <v>0</v>
      </c>
      <c r="R13" s="35">
        <f>SUM(N13:Q13)</f>
        <v/>
      </c>
      <c r="S13" s="20" t="n">
        <v>0</v>
      </c>
      <c r="T13" s="20" t="n">
        <v>0</v>
      </c>
      <c r="U13" s="20" t="n">
        <v>0</v>
      </c>
      <c r="V13" s="20" t="n">
        <v>0</v>
      </c>
      <c r="W13" s="35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>
        <v>761.78</v>
      </c>
      <c r="F14" s="18" t="n">
        <v>-352.33</v>
      </c>
      <c r="G14" s="18" t="n">
        <v>-256.59</v>
      </c>
      <c r="H14" s="34" t="n"/>
      <c r="I14" s="18" t="n">
        <v>-554.11</v>
      </c>
      <c r="J14" s="19" t="n">
        <v>-330.6</v>
      </c>
      <c r="K14" s="20">
        <f>변수!K28</f>
        <v/>
      </c>
      <c r="L14" s="20">
        <f>변수!L28</f>
        <v/>
      </c>
      <c r="M14" s="35">
        <f>SUM(I14:L14)</f>
        <v/>
      </c>
      <c r="N14" s="20">
        <f>변수!N28</f>
        <v/>
      </c>
      <c r="O14" s="20">
        <f>변수!O28</f>
        <v/>
      </c>
      <c r="P14" s="20">
        <f>변수!P28</f>
        <v/>
      </c>
      <c r="Q14" s="20">
        <f>변수!Q28</f>
        <v/>
      </c>
      <c r="R14" s="35">
        <f>SUM(N14:Q14)</f>
        <v/>
      </c>
      <c r="S14" s="20">
        <f>변수!S28</f>
        <v/>
      </c>
      <c r="T14" s="20">
        <f>변수!T28</f>
        <v/>
      </c>
      <c r="U14" s="20">
        <f>변수!U28</f>
        <v/>
      </c>
      <c r="V14" s="20">
        <f>변수!V28</f>
        <v/>
      </c>
      <c r="W14" s="35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>
        <v>-226.35</v>
      </c>
      <c r="F15" s="18" t="n">
        <v>143.28</v>
      </c>
      <c r="G15" s="18" t="n">
        <v>51.94</v>
      </c>
      <c r="H15" s="34" t="n"/>
      <c r="I15" s="18" t="n"/>
      <c r="J15" s="19" t="n"/>
      <c r="K15" s="20">
        <f>IFERROR(F15*(1+변수!K29),"")</f>
        <v/>
      </c>
      <c r="L15" s="20">
        <f>IFERROR(G15*(1+변수!L29),"")</f>
        <v/>
      </c>
      <c r="M15" s="35">
        <f>SUM(I15:L15)</f>
        <v/>
      </c>
      <c r="N15" s="20" t="n">
        <v>0</v>
      </c>
      <c r="O15" s="20" t="n">
        <v>0</v>
      </c>
      <c r="P15" s="20" t="n">
        <v>0</v>
      </c>
      <c r="Q15" s="20" t="n">
        <v>0</v>
      </c>
      <c r="R15" s="35">
        <f>SUM(N15:Q15)</f>
        <v/>
      </c>
      <c r="S15" s="20" t="n">
        <v>0</v>
      </c>
      <c r="T15" s="20" t="n">
        <v>0</v>
      </c>
      <c r="U15" s="20" t="n">
        <v>0</v>
      </c>
      <c r="V15" s="20" t="n">
        <v>0</v>
      </c>
      <c r="W15" s="35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4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변수!K30</f>
        <v/>
      </c>
      <c r="L16" s="20">
        <f>변수!L30</f>
        <v/>
      </c>
      <c r="M16" s="35">
        <f>SUM(I16:L16)</f>
        <v/>
      </c>
      <c r="N16" s="20">
        <f>변수!N30</f>
        <v/>
      </c>
      <c r="O16" s="20">
        <f>변수!O30</f>
        <v/>
      </c>
      <c r="P16" s="20">
        <f>변수!P30</f>
        <v/>
      </c>
      <c r="Q16" s="20">
        <f>변수!Q30</f>
        <v/>
      </c>
      <c r="R16" s="35">
        <f>SUM(N16:Q16)</f>
        <v/>
      </c>
      <c r="S16" s="20">
        <f>변수!S30</f>
        <v/>
      </c>
      <c r="T16" s="20">
        <f>변수!T30</f>
        <v/>
      </c>
      <c r="U16" s="20">
        <f>변수!U30</f>
        <v/>
      </c>
      <c r="V16" s="20">
        <f>변수!V30</f>
        <v/>
      </c>
      <c r="W16" s="35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4" t="n"/>
      <c r="I17" s="18" t="n"/>
      <c r="J17" s="19" t="n"/>
      <c r="K17" s="20">
        <f>변수!K31</f>
        <v/>
      </c>
      <c r="L17" s="20">
        <f>변수!L31</f>
        <v/>
      </c>
      <c r="M17" s="35">
        <f>SUM(I17:L17)</f>
        <v/>
      </c>
      <c r="N17" s="20">
        <f>변수!N31</f>
        <v/>
      </c>
      <c r="O17" s="20">
        <f>변수!O31</f>
        <v/>
      </c>
      <c r="P17" s="20">
        <f>변수!P31</f>
        <v/>
      </c>
      <c r="Q17" s="20">
        <f>변수!Q31</f>
        <v/>
      </c>
      <c r="R17" s="35">
        <f>SUM(N17:Q17)</f>
        <v/>
      </c>
      <c r="S17" s="20">
        <f>변수!S31</f>
        <v/>
      </c>
      <c r="T17" s="20">
        <f>변수!T31</f>
        <v/>
      </c>
      <c r="U17" s="20">
        <f>변수!U31</f>
        <v/>
      </c>
      <c r="V17" s="20">
        <f>변수!V31</f>
        <v/>
      </c>
      <c r="W17" s="35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4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5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5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5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4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IFERROR(K18*변수!K32,"")</f>
        <v/>
      </c>
      <c r="L19" s="20">
        <f>IFERROR(L18*변수!L32,"")</f>
        <v/>
      </c>
      <c r="M19" s="35">
        <f>SUM(I19:L19)</f>
        <v/>
      </c>
      <c r="N19" s="20">
        <f>IFERROR(N18*변수!N32,"")</f>
        <v/>
      </c>
      <c r="O19" s="20">
        <f>IFERROR(O18*변수!O32,"")</f>
        <v/>
      </c>
      <c r="P19" s="20">
        <f>IFERROR(P18*변수!P32,"")</f>
        <v/>
      </c>
      <c r="Q19" s="20">
        <f>IFERROR(Q18*변수!Q32,"")</f>
        <v/>
      </c>
      <c r="R19" s="35">
        <f>SUM(N19:Q19)</f>
        <v/>
      </c>
      <c r="S19" s="20">
        <f>IFERROR(S18*변수!S32,"")</f>
        <v/>
      </c>
      <c r="T19" s="20">
        <f>IFERROR(T18*변수!T32,"")</f>
        <v/>
      </c>
      <c r="U19" s="20">
        <f>IFERROR(U18*변수!U32,"")</f>
        <v/>
      </c>
      <c r="V19" s="20">
        <f>IFERROR(V18*변수!V32,"")</f>
        <v/>
      </c>
      <c r="W19" s="35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4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5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5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5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4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IFERROR(K20*변수!K33,"")</f>
        <v/>
      </c>
      <c r="L21" s="20">
        <f>IFERROR(L20*변수!L33,"")</f>
        <v/>
      </c>
      <c r="M21" s="35">
        <f>SUM(I21:L21)</f>
        <v/>
      </c>
      <c r="N21" s="20">
        <f>IFERROR(N20*변수!N33,"")</f>
        <v/>
      </c>
      <c r="O21" s="20">
        <f>IFERROR(O20*변수!O33,"")</f>
        <v/>
      </c>
      <c r="P21" s="20">
        <f>IFERROR(P20*변수!P33,"")</f>
        <v/>
      </c>
      <c r="Q21" s="20">
        <f>IFERROR(Q20*변수!Q33,"")</f>
        <v/>
      </c>
      <c r="R21" s="35">
        <f>SUM(N21:Q21)</f>
        <v/>
      </c>
      <c r="S21" s="20">
        <f>IFERROR(S20*변수!S33,"")</f>
        <v/>
      </c>
      <c r="T21" s="20">
        <f>IFERROR(T20*변수!T33,"")</f>
        <v/>
      </c>
      <c r="U21" s="20">
        <f>IFERROR(U20*변수!U33,"")</f>
        <v/>
      </c>
      <c r="V21" s="20">
        <f>IFERROR(V20*변수!V33,"")</f>
        <v/>
      </c>
      <c r="W21" s="35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4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5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5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5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4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IFERROR(J23*(1+변수!K34),"")</f>
        <v/>
      </c>
      <c r="L23" s="20">
        <f>IFERROR(K23*(1+변수!L34),"")</f>
        <v/>
      </c>
      <c r="M23" s="35">
        <f>L23</f>
        <v/>
      </c>
      <c r="N23" s="20">
        <f>IFERROR(L23*(1+변수!N34),"")</f>
        <v/>
      </c>
      <c r="O23" s="20">
        <f>IFERROR(N23*(1+변수!O34),"")</f>
        <v/>
      </c>
      <c r="P23" s="20">
        <f>IFERROR(O23*(1+변수!P34),"")</f>
        <v/>
      </c>
      <c r="Q23" s="20">
        <f>IFERROR(P23*(1+변수!Q34),"")</f>
        <v/>
      </c>
      <c r="R23" s="35">
        <f>Q23</f>
        <v/>
      </c>
      <c r="S23" s="20">
        <f>IFERROR(Q23*(1+변수!S34),"")</f>
        <v/>
      </c>
      <c r="T23" s="20">
        <f>IFERROR(S23*(1+변수!T34),"")</f>
        <v/>
      </c>
      <c r="U23" s="20">
        <f>IFERROR(T23*(1+변수!U34),"")</f>
        <v/>
      </c>
      <c r="V23" s="20">
        <f>IFERROR(U23*(1+변수!V34),"")</f>
        <v/>
      </c>
      <c r="W23" s="35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4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IFERROR(J24+K20-변수!K35,"")</f>
        <v/>
      </c>
      <c r="L24" s="20">
        <f>IFERROR(K24+L20-변수!L35,"")</f>
        <v/>
      </c>
      <c r="M24" s="35">
        <f>L24</f>
        <v/>
      </c>
      <c r="N24" s="20">
        <f>IFERROR(L24+N20-변수!N35,"")</f>
        <v/>
      </c>
      <c r="O24" s="20">
        <f>IFERROR(N24+O20-변수!O35,"")</f>
        <v/>
      </c>
      <c r="P24" s="20">
        <f>IFERROR(O24+P20-변수!P35,"")</f>
        <v/>
      </c>
      <c r="Q24" s="20">
        <f>IFERROR(P24+Q20-변수!Q35,"")</f>
        <v/>
      </c>
      <c r="R24" s="35">
        <f>Q24</f>
        <v/>
      </c>
      <c r="S24" s="20">
        <f>IFERROR(Q24+S20-변수!S35,"")</f>
        <v/>
      </c>
      <c r="T24" s="20">
        <f>IFERROR(S24+T20-변수!T35,"")</f>
        <v/>
      </c>
      <c r="U24" s="20">
        <f>IFERROR(T24+U20-변수!U35,"")</f>
        <v/>
      </c>
      <c r="V24" s="20">
        <f>IFERROR(U24+V20-변수!V35,"")</f>
        <v/>
      </c>
      <c r="W24" s="35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4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IFERROR(J25+K21-변수!K36,"")</f>
        <v/>
      </c>
      <c r="L25" s="20">
        <f>IFERROR(K25+L21-변수!L36,"")</f>
        <v/>
      </c>
      <c r="M25" s="35">
        <f>L25</f>
        <v/>
      </c>
      <c r="N25" s="20">
        <f>IFERROR(L25+N21-변수!N36,"")</f>
        <v/>
      </c>
      <c r="O25" s="20">
        <f>IFERROR(N25+O21-변수!O36,"")</f>
        <v/>
      </c>
      <c r="P25" s="20">
        <f>IFERROR(O25+P21-변수!P36,"")</f>
        <v/>
      </c>
      <c r="Q25" s="20">
        <f>IFERROR(P25+Q21-변수!Q36,"")</f>
        <v/>
      </c>
      <c r="R25" s="35">
        <f>Q25</f>
        <v/>
      </c>
      <c r="S25" s="20">
        <f>IFERROR(Q25+S21-변수!S36,"")</f>
        <v/>
      </c>
      <c r="T25" s="20">
        <f>IFERROR(S25+T21-변수!T36,"")</f>
        <v/>
      </c>
      <c r="U25" s="20">
        <f>IFERROR(T25+U21-변수!U36,"")</f>
        <v/>
      </c>
      <c r="V25" s="20">
        <f>IFERROR(U25+V21-변수!V36,"")</f>
        <v/>
      </c>
      <c r="W25" s="35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4">
        <f>G26</f>
        <v/>
      </c>
      <c r="I26" s="18" t="n"/>
      <c r="J26" s="19" t="n"/>
      <c r="K26" s="20" t="n"/>
      <c r="L26" s="20" t="n"/>
      <c r="M26" s="35">
        <f>L26</f>
        <v/>
      </c>
      <c r="N26" s="20" t="n"/>
      <c r="O26" s="20" t="n"/>
      <c r="P26" s="20" t="n"/>
      <c r="Q26" s="20" t="n"/>
      <c r="R26" s="35">
        <f>Q26</f>
        <v/>
      </c>
      <c r="S26" s="20" t="n"/>
      <c r="T26" s="20" t="n"/>
      <c r="U26" s="20" t="n"/>
      <c r="V26" s="20" t="n"/>
      <c r="W26" s="35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4">
        <f>G27</f>
        <v/>
      </c>
      <c r="I27" s="18" t="n"/>
      <c r="J27" s="19" t="n"/>
      <c r="K27" s="20" t="n"/>
      <c r="L27" s="20" t="n"/>
      <c r="M27" s="35">
        <f>L27</f>
        <v/>
      </c>
      <c r="N27" s="20" t="n"/>
      <c r="O27" s="20" t="n"/>
      <c r="P27" s="20" t="n"/>
      <c r="Q27" s="20" t="n"/>
      <c r="R27" s="35">
        <f>Q27</f>
        <v/>
      </c>
      <c r="S27" s="20" t="n"/>
      <c r="T27" s="20" t="n"/>
      <c r="U27" s="20" t="n"/>
      <c r="V27" s="20" t="n"/>
      <c r="W27" s="35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4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IFERROR(J28*(1+변수!K39),"")</f>
        <v/>
      </c>
      <c r="L28" s="20">
        <f>IFERROR(K28*(1+변수!L39),"")</f>
        <v/>
      </c>
      <c r="M28" s="35">
        <f>L28</f>
        <v/>
      </c>
      <c r="N28" s="20">
        <f>IFERROR(L28*(1+변수!N39),"")</f>
        <v/>
      </c>
      <c r="O28" s="20">
        <f>IFERROR(N28*(1+변수!O39),"")</f>
        <v/>
      </c>
      <c r="P28" s="20">
        <f>IFERROR(O28*(1+변수!P39),"")</f>
        <v/>
      </c>
      <c r="Q28" s="20">
        <f>IFERROR(P28*(1+변수!Q39),"")</f>
        <v/>
      </c>
      <c r="R28" s="35">
        <f>Q28</f>
        <v/>
      </c>
      <c r="S28" s="20">
        <f>IFERROR(Q28*(1+변수!S39),"")</f>
        <v/>
      </c>
      <c r="T28" s="20">
        <f>IFERROR(S28*(1+변수!T39),"")</f>
        <v/>
      </c>
      <c r="U28" s="20">
        <f>IFERROR(T28*(1+변수!U39),"")</f>
        <v/>
      </c>
      <c r="V28" s="20">
        <f>IFERROR(U28*(1+변수!V39),"")</f>
        <v/>
      </c>
      <c r="W28" s="35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4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5">
        <f>L29</f>
        <v/>
      </c>
      <c r="N29" s="20" t="n"/>
      <c r="O29" s="20" t="n"/>
      <c r="P29" s="20" t="n"/>
      <c r="Q29" s="20" t="n"/>
      <c r="R29" s="35">
        <f>Q29</f>
        <v/>
      </c>
      <c r="S29" s="20" t="n"/>
      <c r="T29" s="20" t="n"/>
      <c r="U29" s="20" t="n"/>
      <c r="V29" s="20" t="n"/>
      <c r="W29" s="35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4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 t="n"/>
      <c r="L30" s="20" t="n"/>
      <c r="M30" s="35">
        <f>SUM(I30:L30)</f>
        <v/>
      </c>
      <c r="N30" s="20" t="n"/>
      <c r="O30" s="20" t="n"/>
      <c r="P30" s="20" t="n"/>
      <c r="Q30" s="20" t="n"/>
      <c r="R30" s="35">
        <f>SUM(N30:Q30)</f>
        <v/>
      </c>
      <c r="S30" s="20" t="n"/>
      <c r="T30" s="20" t="n"/>
      <c r="U30" s="20" t="n"/>
      <c r="V30" s="20" t="n"/>
      <c r="W30" s="35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426.23</v>
      </c>
      <c r="F31" s="18" t="n">
        <v>-10.16</v>
      </c>
      <c r="G31" s="18" t="n">
        <v>-130.65</v>
      </c>
      <c r="H31" s="34" t="n"/>
      <c r="I31" s="18" t="n">
        <v>1180.64</v>
      </c>
      <c r="J31" s="19" t="n">
        <v>1698.6</v>
      </c>
      <c r="K31" s="20" t="n"/>
      <c r="L31" s="20" t="n"/>
      <c r="M31" s="35">
        <f>SUM(I31:L31)</f>
        <v/>
      </c>
      <c r="N31" s="20" t="n"/>
      <c r="O31" s="20" t="n"/>
      <c r="P31" s="20" t="n"/>
      <c r="Q31" s="20" t="n"/>
      <c r="R31" s="35">
        <f>SUM(N31:Q31)</f>
        <v/>
      </c>
      <c r="S31" s="20" t="n"/>
      <c r="T31" s="20" t="n"/>
      <c r="U31" s="20" t="n"/>
      <c r="V31" s="20" t="n"/>
      <c r="W31" s="35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6">
        <f>IFERROR(J32*(1+변수!K43),"")</f>
        <v/>
      </c>
      <c r="L32" s="36">
        <f>IFERROR(K32*(1+변수!L43),"")</f>
        <v/>
      </c>
      <c r="M32" s="30">
        <f>L32</f>
        <v/>
      </c>
      <c r="N32" s="36">
        <f>IFERROR(L32*(1+변수!N43),"")</f>
        <v/>
      </c>
      <c r="O32" s="36">
        <f>IFERROR(N32*(1+변수!O43),"")</f>
        <v/>
      </c>
      <c r="P32" s="36">
        <f>IFERROR(O32*(1+변수!P43),"")</f>
        <v/>
      </c>
      <c r="Q32" s="36">
        <f>IFERROR(P32*(1+변수!Q43),"")</f>
        <v/>
      </c>
      <c r="R32" s="30">
        <f>Q32</f>
        <v/>
      </c>
      <c r="S32" s="36">
        <f>IFERROR(Q32*(1+변수!S43),"")</f>
        <v/>
      </c>
      <c r="T32" s="36">
        <f>IFERROR(S32*(1+변수!T43),"")</f>
        <v/>
      </c>
      <c r="U32" s="36">
        <f>IFERROR(T32*(1+변수!U43),"")</f>
        <v/>
      </c>
      <c r="V32" s="36">
        <f>IFERROR(U32*(1+변수!V43),"")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4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5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5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5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4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5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5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5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4" t="n">
        <v>250</v>
      </c>
      <c r="I35" s="18" t="n"/>
      <c r="J35" s="19" t="n"/>
      <c r="K35" s="20" t="n"/>
      <c r="L35" s="20">
        <f>IFERROR(G35*(1+변수!L44),"")</f>
        <v/>
      </c>
      <c r="M35" s="35">
        <f>SUM(I35:L35)</f>
        <v/>
      </c>
      <c r="N35" s="20" t="n"/>
      <c r="O35" s="20" t="n"/>
      <c r="P35" s="20" t="n"/>
      <c r="Q35" s="20">
        <f>IFERROR(L35*(1+변수!Q44),"")</f>
        <v/>
      </c>
      <c r="R35" s="35">
        <f>SUM(N35:Q35)</f>
        <v/>
      </c>
      <c r="S35" s="20" t="n"/>
      <c r="T35" s="20" t="n"/>
      <c r="U35" s="20" t="n"/>
      <c r="V35" s="20">
        <f>IFERROR(Q35*(1+변수!V44),"")</f>
        <v/>
      </c>
      <c r="W35" s="35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18" t="n"/>
      <c r="G36" s="18" t="n"/>
      <c r="H36" s="34" t="n"/>
      <c r="I36" s="18" t="n">
        <v>11.32</v>
      </c>
      <c r="J36" s="19" t="n">
        <v>9.57</v>
      </c>
      <c r="K36" s="20" t="n">
        <v>5.9</v>
      </c>
      <c r="L36" s="20" t="n">
        <v>6.32</v>
      </c>
      <c r="M36" s="35">
        <f>SUM(I36:L36)</f>
        <v/>
      </c>
      <c r="N36" s="20">
        <f>IFERROR(I36*(1+변수!N45),"")</f>
        <v/>
      </c>
      <c r="O36" s="20">
        <f>IFERROR(J36*(1+변수!O45),"")</f>
        <v/>
      </c>
      <c r="P36" s="20">
        <f>IFERROR(K36*(1+변수!P45),"")</f>
        <v/>
      </c>
      <c r="Q36" s="20">
        <f>IFERROR(L36*(1+변수!Q45),"")</f>
        <v/>
      </c>
      <c r="R36" s="35">
        <f>SUM(N36:Q36)</f>
        <v/>
      </c>
      <c r="S36" s="20">
        <f>IFERROR(N36*(1+변수!S45),"")</f>
        <v/>
      </c>
      <c r="T36" s="20">
        <f>IFERROR(O36*(1+변수!T45),"")</f>
        <v/>
      </c>
      <c r="U36" s="20">
        <f>IFERROR(P36*(1+변수!U45),"")</f>
        <v/>
      </c>
      <c r="V36" s="20">
        <f>IFERROR(Q36*(1+변수!V45),"")</f>
        <v/>
      </c>
      <c r="W36" s="35">
        <f>SUM(S36:V36)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/>
      <c r="F37" s="18" t="n">
        <v>3.27</v>
      </c>
      <c r="G37" s="18" t="n">
        <v>2.52</v>
      </c>
      <c r="H37" s="34" t="n">
        <v>2.36</v>
      </c>
      <c r="I37" s="18" t="n">
        <v>2.77</v>
      </c>
      <c r="J37" s="19" t="n">
        <v>2.38</v>
      </c>
      <c r="K37" s="20">
        <f>IFERROR(F37*(1+변수!K46),"")</f>
        <v/>
      </c>
      <c r="L37" s="20">
        <f>IFERROR(G37*(1+변수!L46),"")</f>
        <v/>
      </c>
      <c r="M37" s="35">
        <f>SUM(I37:L37)</f>
        <v/>
      </c>
      <c r="N37" s="20">
        <f>IFERROR(I37*(1+변수!N46),"")</f>
        <v/>
      </c>
      <c r="O37" s="20">
        <f>IFERROR(J37*(1+변수!O46),"")</f>
        <v/>
      </c>
      <c r="P37" s="20">
        <f>IFERROR(K37*(1+변수!P46),"")</f>
        <v/>
      </c>
      <c r="Q37" s="20">
        <f>IFERROR(L37*(1+변수!Q46),"")</f>
        <v/>
      </c>
      <c r="R37" s="35">
        <f>SUM(N37:Q37)</f>
        <v/>
      </c>
      <c r="S37" s="20">
        <f>IFERROR(N37*(1+변수!S46),"")</f>
        <v/>
      </c>
      <c r="T37" s="20">
        <f>IFERROR(O37*(1+변수!T46),"")</f>
        <v/>
      </c>
      <c r="U37" s="20">
        <f>IFERROR(P37*(1+변수!U46),"")</f>
        <v/>
      </c>
      <c r="V37" s="20">
        <f>IFERROR(Q37*(1+변수!V46),"")</f>
        <v/>
      </c>
      <c r="W37" s="35">
        <f>SUM(S37:V37)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4" t="n"/>
      <c r="I38" s="18" t="n">
        <v>3062.16</v>
      </c>
      <c r="J38" s="19" t="n">
        <v>3514.02</v>
      </c>
      <c r="K38" s="20">
        <f>IFERROR(K5*변수!K47,"")</f>
        <v/>
      </c>
      <c r="L38" s="20">
        <f>IFERROR(L5*변수!L47,"")</f>
        <v/>
      </c>
      <c r="M38" s="35">
        <f>SUM(I38:L38)</f>
        <v/>
      </c>
      <c r="N38" s="20">
        <f>IFERROR(N5*변수!N47,"")</f>
        <v/>
      </c>
      <c r="O38" s="20">
        <f>IFERROR(O5*변수!O47,"")</f>
        <v/>
      </c>
      <c r="P38" s="20">
        <f>IFERROR(P5*변수!P47,"")</f>
        <v/>
      </c>
      <c r="Q38" s="20">
        <f>IFERROR(Q5*변수!Q47,"")</f>
        <v/>
      </c>
      <c r="R38" s="35">
        <f>SUM(N38:Q38)</f>
        <v/>
      </c>
      <c r="S38" s="20">
        <f>IFERROR(S5*변수!S47,"")</f>
        <v/>
      </c>
      <c r="T38" s="20">
        <f>IFERROR(T5*변수!T47,"")</f>
        <v/>
      </c>
      <c r="U38" s="20">
        <f>IFERROR(U5*변수!U47,"")</f>
        <v/>
      </c>
      <c r="V38" s="20">
        <f>IFERROR(V5*변수!V47,"")</f>
        <v/>
      </c>
      <c r="W38" s="35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 — 매출조선에 포함)</t>
        </is>
      </c>
      <c r="E39" s="18" t="n"/>
      <c r="F39" s="18" t="n"/>
      <c r="G39" s="18" t="n"/>
      <c r="H39" s="34" t="n"/>
      <c r="I39" s="20" t="n">
        <v>0</v>
      </c>
      <c r="J39" s="37" t="n">
        <v>0</v>
      </c>
      <c r="K39" s="20">
        <f>IFERROR(K5*변수!K48,"")</f>
        <v/>
      </c>
      <c r="L39" s="20">
        <f>IFERROR(L5*변수!L48,"")</f>
        <v/>
      </c>
      <c r="M39" s="35">
        <f>SUM(I39:L39)</f>
        <v/>
      </c>
      <c r="N39" s="20">
        <f>IFERROR(N5*변수!N48,"")</f>
        <v/>
      </c>
      <c r="O39" s="20">
        <f>IFERROR(O5*변수!O48,"")</f>
        <v/>
      </c>
      <c r="P39" s="20">
        <f>IFERROR(P5*변수!P48,"")</f>
        <v/>
      </c>
      <c r="Q39" s="20">
        <f>IFERROR(Q5*변수!Q48,"")</f>
        <v/>
      </c>
      <c r="R39" s="35">
        <f>SUM(N39:Q39)</f>
        <v/>
      </c>
      <c r="S39" s="20">
        <f>IFERROR(S5*변수!S48,"")</f>
        <v/>
      </c>
      <c r="T39" s="20">
        <f>IFERROR(T5*변수!T48,"")</f>
        <v/>
      </c>
      <c r="U39" s="20">
        <f>IFERROR(U5*변수!U48,"")</f>
        <v/>
      </c>
      <c r="V39" s="20">
        <f>IFERROR(V5*변수!V48,"")</f>
        <v/>
      </c>
      <c r="W39" s="35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4" t="n"/>
      <c r="I40" s="18" t="n"/>
      <c r="J40" s="19" t="n"/>
      <c r="K40" s="20">
        <f>IFERROR(K38*변수!K49,"")</f>
        <v/>
      </c>
      <c r="L40" s="20">
        <f>IFERROR(L38*변수!L49,"")</f>
        <v/>
      </c>
      <c r="M40" s="35">
        <f>SUM(I40:L40)</f>
        <v/>
      </c>
      <c r="N40" s="20">
        <f>IFERROR(N38*변수!N49,"")</f>
        <v/>
      </c>
      <c r="O40" s="20">
        <f>IFERROR(O38*변수!O49,"")</f>
        <v/>
      </c>
      <c r="P40" s="20">
        <f>IFERROR(P38*변수!P49,"")</f>
        <v/>
      </c>
      <c r="Q40" s="20">
        <f>IFERROR(Q38*변수!Q49,"")</f>
        <v/>
      </c>
      <c r="R40" s="35">
        <f>SUM(N40:Q40)</f>
        <v/>
      </c>
      <c r="S40" s="20">
        <f>IFERROR(S38*변수!S49,"")</f>
        <v/>
      </c>
      <c r="T40" s="20">
        <f>IFERROR(T38*변수!T49,"")</f>
        <v/>
      </c>
      <c r="U40" s="20">
        <f>IFERROR(U38*변수!U49,"")</f>
        <v/>
      </c>
      <c r="V40" s="20">
        <f>IFERROR(V38*변수!V49,"")</f>
        <v/>
      </c>
      <c r="W40" s="35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4" t="n"/>
      <c r="I41" s="20" t="n">
        <v>0</v>
      </c>
      <c r="J41" s="37" t="n">
        <v>0</v>
      </c>
      <c r="K41" s="20" t="n">
        <v>0</v>
      </c>
      <c r="L41" s="20">
        <f>IFERROR(L39*변수!L50,"")</f>
        <v/>
      </c>
      <c r="M41" s="35">
        <f>SUM(I41:L41)</f>
        <v/>
      </c>
      <c r="N41" s="20">
        <f>IFERROR(N39*변수!N50,"")</f>
        <v/>
      </c>
      <c r="O41" s="20">
        <f>IFERROR(O39*변수!O50,"")</f>
        <v/>
      </c>
      <c r="P41" s="20">
        <f>IFERROR(P39*변수!P50,"")</f>
        <v/>
      </c>
      <c r="Q41" s="20">
        <f>IFERROR(Q39*변수!Q50,"")</f>
        <v/>
      </c>
      <c r="R41" s="35">
        <f>SUM(N41:Q41)</f>
        <v/>
      </c>
      <c r="S41" s="20">
        <f>IFERROR(S39*변수!S50,"")</f>
        <v/>
      </c>
      <c r="T41" s="20">
        <f>IFERROR(T39*변수!T50,"")</f>
        <v/>
      </c>
      <c r="U41" s="20">
        <f>IFERROR(U39*변수!U50,"")</f>
        <v/>
      </c>
      <c r="V41" s="20">
        <f>IFERROR(V39*변수!V50,"")</f>
        <v/>
      </c>
      <c r="W41" s="35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4" t="n"/>
      <c r="I42" s="18" t="n">
        <v>20.55</v>
      </c>
      <c r="J42" s="19" t="n">
        <v>30.33</v>
      </c>
      <c r="K42" s="20">
        <f>IFERROR(K5*변수!K51,"")</f>
        <v/>
      </c>
      <c r="L42" s="20">
        <f>IFERROR(L5*변수!L51,"")</f>
        <v/>
      </c>
      <c r="M42" s="35">
        <f>SUM(I42:L42)</f>
        <v/>
      </c>
      <c r="N42" s="20">
        <f>IFERROR(N5*변수!N51,"")</f>
        <v/>
      </c>
      <c r="O42" s="20">
        <f>IFERROR(O5*변수!O51,"")</f>
        <v/>
      </c>
      <c r="P42" s="20">
        <f>IFERROR(P5*변수!P51,"")</f>
        <v/>
      </c>
      <c r="Q42" s="20">
        <f>IFERROR(Q5*변수!Q51,"")</f>
        <v/>
      </c>
      <c r="R42" s="35">
        <f>SUM(N42:Q42)</f>
        <v/>
      </c>
      <c r="S42" s="20">
        <f>IFERROR(S5*변수!S51,"")</f>
        <v/>
      </c>
      <c r="T42" s="20">
        <f>IFERROR(T5*변수!T51,"")</f>
        <v/>
      </c>
      <c r="U42" s="20">
        <f>IFERROR(U5*변수!U51,"")</f>
        <v/>
      </c>
      <c r="V42" s="20">
        <f>IFERROR(V5*변수!V51,"")</f>
        <v/>
      </c>
      <c r="W42" s="35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4" t="n"/>
      <c r="I43" s="18" t="n"/>
      <c r="J43" s="19" t="n"/>
      <c r="K43" s="20">
        <f>IFERROR(K42*변수!K52,"")</f>
        <v/>
      </c>
      <c r="L43" s="20">
        <f>IFERROR(L42*변수!L52,"")</f>
        <v/>
      </c>
      <c r="M43" s="35">
        <f>SUM(I43:L43)</f>
        <v/>
      </c>
      <c r="N43" s="20">
        <f>IFERROR(N42*변수!N52,"")</f>
        <v/>
      </c>
      <c r="O43" s="20">
        <f>IFERROR(O42*변수!O52,"")</f>
        <v/>
      </c>
      <c r="P43" s="20">
        <f>IFERROR(P42*변수!P52,"")</f>
        <v/>
      </c>
      <c r="Q43" s="20">
        <f>IFERROR(Q42*변수!Q52,"")</f>
        <v/>
      </c>
      <c r="R43" s="35">
        <f>SUM(N43:Q43)</f>
        <v/>
      </c>
      <c r="S43" s="20">
        <f>IFERROR(S42*변수!S52,"")</f>
        <v/>
      </c>
      <c r="T43" s="20">
        <f>IFERROR(T42*변수!T52,"")</f>
        <v/>
      </c>
      <c r="U43" s="20">
        <f>IFERROR(U42*변수!U52,"")</f>
        <v/>
      </c>
      <c r="V43" s="20">
        <f>IFERROR(V42*변수!V52,"")</f>
        <v/>
      </c>
      <c r="W43" s="35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OPM</t>
        </is>
      </c>
      <c r="C45" t="inlineStr">
        <is>
          <t>%</t>
        </is>
      </c>
      <c r="D45" t="inlineStr">
        <is>
          <t>영업이익 / 매출액</t>
        </is>
      </c>
      <c r="E45" s="21">
        <f>IFERROR(E9/E5,"")</f>
        <v/>
      </c>
      <c r="F45" s="21">
        <f>IFERROR(F9/F5,"")</f>
        <v/>
      </c>
      <c r="G45" s="21">
        <f>IFERROR(G9/G5,"")</f>
        <v/>
      </c>
      <c r="H45" s="22">
        <f>IFERROR(H9/H5,"")</f>
        <v/>
      </c>
      <c r="I45" s="21">
        <f>IFERROR(I9/I5,"")</f>
        <v/>
      </c>
      <c r="J45" s="23">
        <f>IFERROR(J9/J5,"")</f>
        <v/>
      </c>
      <c r="K45" s="31">
        <f>IFERROR(K9/K5,"")</f>
        <v/>
      </c>
      <c r="L45" s="31">
        <f>IFERROR(L9/L5,"")</f>
        <v/>
      </c>
      <c r="M45" s="25">
        <f>IFERROR(M9/M5,"")</f>
        <v/>
      </c>
      <c r="N45" s="31">
        <f>IFERROR(N9/N5,"")</f>
        <v/>
      </c>
      <c r="O45" s="31">
        <f>IFERROR(O9/O5,"")</f>
        <v/>
      </c>
      <c r="P45" s="31">
        <f>IFERROR(P9/P5,"")</f>
        <v/>
      </c>
      <c r="Q45" s="31">
        <f>IFERROR(Q9/Q5,"")</f>
        <v/>
      </c>
      <c r="R45" s="25">
        <f>IFERROR(R9/R5,"")</f>
        <v/>
      </c>
      <c r="S45" s="31">
        <f>IFERROR(S9/S5,"")</f>
        <v/>
      </c>
      <c r="T45" s="31">
        <f>IFERROR(T9/T5,"")</f>
        <v/>
      </c>
      <c r="U45" s="31">
        <f>IFERROR(U9/U5,"")</f>
        <v/>
      </c>
      <c r="V45" s="31">
        <f>IFERROR(V9/V5,"")</f>
        <v/>
      </c>
      <c r="W45" s="25">
        <f>IFERROR(W9/W5,"")</f>
        <v/>
      </c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IFERROR(E21/E5,"")</f>
        <v/>
      </c>
      <c r="F46" s="21">
        <f>IFERROR(F21/F5,"")</f>
        <v/>
      </c>
      <c r="G46" s="21">
        <f>IFERROR(G21/G5,"")</f>
        <v/>
      </c>
      <c r="H46" s="22">
        <f>IFERROR(H21/H5,"")</f>
        <v/>
      </c>
      <c r="I46" s="21">
        <f>IFERROR(I21/I5,"")</f>
        <v/>
      </c>
      <c r="J46" s="23">
        <f>IFERROR(J21/J5,"")</f>
        <v/>
      </c>
      <c r="K46" s="31">
        <f>IFERROR(K21/K5,"")</f>
        <v/>
      </c>
      <c r="L46" s="31">
        <f>IFERROR(L21/L5,"")</f>
        <v/>
      </c>
      <c r="M46" s="25">
        <f>IFERROR(M21/M5,"")</f>
        <v/>
      </c>
      <c r="N46" s="31">
        <f>IFERROR(N21/N5,"")</f>
        <v/>
      </c>
      <c r="O46" s="31">
        <f>IFERROR(O21/O5,"")</f>
        <v/>
      </c>
      <c r="P46" s="31">
        <f>IFERROR(P21/P5,"")</f>
        <v/>
      </c>
      <c r="Q46" s="31">
        <f>IFERROR(Q21/Q5,"")</f>
        <v/>
      </c>
      <c r="R46" s="25">
        <f>IFERROR(R21/R5,"")</f>
        <v/>
      </c>
      <c r="S46" s="31">
        <f>IFERROR(S21/S5,"")</f>
        <v/>
      </c>
      <c r="T46" s="31">
        <f>IFERROR(T21/T5,"")</f>
        <v/>
      </c>
      <c r="U46" s="31">
        <f>IFERROR(U21/U5,"")</f>
        <v/>
      </c>
      <c r="V46" s="31">
        <f>IFERROR(V21/V5,"")</f>
        <v/>
      </c>
      <c r="W46" s="25">
        <f>IFERROR(W21/W5,"")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1">
        <f>IFERROR(F6/F5,"")</f>
        <v/>
      </c>
      <c r="G47" s="21">
        <f>IFERROR(G6/G5,"")</f>
        <v/>
      </c>
      <c r="H47" s="22">
        <f>IFERROR(H6/H5,"")</f>
        <v/>
      </c>
      <c r="I47" s="21">
        <f>IFERROR(I6/I5,"")</f>
        <v/>
      </c>
      <c r="J47" s="23">
        <f>IFERROR(J6/J5,"")</f>
        <v/>
      </c>
      <c r="K47" s="31">
        <f>IFERROR(K6/K5,"")</f>
        <v/>
      </c>
      <c r="L47" s="31">
        <f>IFERROR(L6/L5,"")</f>
        <v/>
      </c>
      <c r="M47" s="25">
        <f>IFERROR(M6/M5,"")</f>
        <v/>
      </c>
      <c r="N47" s="31">
        <f>IFERROR(N6/N5,"")</f>
        <v/>
      </c>
      <c r="O47" s="31">
        <f>IFERROR(O6/O5,"")</f>
        <v/>
      </c>
      <c r="P47" s="31">
        <f>IFERROR(P6/P5,"")</f>
        <v/>
      </c>
      <c r="Q47" s="31">
        <f>IFERROR(Q6/Q5,"")</f>
        <v/>
      </c>
      <c r="R47" s="25">
        <f>IFERROR(R6/R5,"")</f>
        <v/>
      </c>
      <c r="S47" s="31">
        <f>IFERROR(S6/S5,"")</f>
        <v/>
      </c>
      <c r="T47" s="31">
        <f>IFERROR(T6/T5,"")</f>
        <v/>
      </c>
      <c r="U47" s="31">
        <f>IFERROR(U6/U5,"")</f>
        <v/>
      </c>
      <c r="V47" s="31">
        <f>IFERROR(V6/V5,"")</f>
        <v/>
      </c>
      <c r="W47" s="25">
        <f>IFERROR(W6/W5,"")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1">
        <f>IFERROR(F8/F5,"")</f>
        <v/>
      </c>
      <c r="G48" s="21">
        <f>IFERROR(G8/G5,"")</f>
        <v/>
      </c>
      <c r="H48" s="22">
        <f>IFERROR(H8/H5,"")</f>
        <v/>
      </c>
      <c r="I48" s="21">
        <f>IFERROR(I8/I5,"")</f>
        <v/>
      </c>
      <c r="J48" s="23">
        <f>IFERROR(J8/J5,"")</f>
        <v/>
      </c>
      <c r="K48" s="31">
        <f>IFERROR(K8/K5,"")</f>
        <v/>
      </c>
      <c r="L48" s="31">
        <f>IFERROR(L8/L5,"")</f>
        <v/>
      </c>
      <c r="M48" s="25">
        <f>IFERROR(M8/M5,"")</f>
        <v/>
      </c>
      <c r="N48" s="31">
        <f>IFERROR(N8/N5,"")</f>
        <v/>
      </c>
      <c r="O48" s="31">
        <f>IFERROR(O8/O5,"")</f>
        <v/>
      </c>
      <c r="P48" s="31">
        <f>IFERROR(P8/P5,"")</f>
        <v/>
      </c>
      <c r="Q48" s="31">
        <f>IFERROR(Q8/Q5,"")</f>
        <v/>
      </c>
      <c r="R48" s="25">
        <f>IFERROR(R8/R5,"")</f>
        <v/>
      </c>
      <c r="S48" s="31">
        <f>IFERROR(S8/S5,"")</f>
        <v/>
      </c>
      <c r="T48" s="31">
        <f>IFERROR(T8/T5,"")</f>
        <v/>
      </c>
      <c r="U48" s="31">
        <f>IFERROR(U8/U5,"")</f>
        <v/>
      </c>
      <c r="V48" s="31">
        <f>IFERROR(V8/V5,"")</f>
        <v/>
      </c>
      <c r="W48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type:VLCC</t>
        </is>
      </c>
      <c r="D6" t="inlineStr">
        <is>
          <t>선종 VLCC</t>
        </is>
      </c>
      <c r="E6" s="26" t="n">
        <v>6.893</v>
      </c>
      <c r="F6" s="26" t="n">
        <v>78.02200000000001</v>
      </c>
      <c r="G6" s="26" t="n">
        <v>125.644</v>
      </c>
      <c r="H6" s="26" t="n">
        <v>177.447</v>
      </c>
      <c r="I6" s="26" t="n">
        <v>175.487</v>
      </c>
      <c r="J6" s="26" t="n">
        <v>178.986</v>
      </c>
      <c r="K6" s="26" t="n">
        <v>175.095</v>
      </c>
      <c r="L6" s="26" t="n">
        <v>177.04</v>
      </c>
      <c r="M6" s="26" t="n">
        <v>168.094</v>
      </c>
      <c r="N6" s="26" t="n">
        <v>143.784</v>
      </c>
      <c r="O6" s="26" t="n">
        <v>130.38</v>
      </c>
      <c r="P6" s="26" t="n">
        <v>130.38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84.91500000000001</v>
      </c>
      <c r="X6" s="26" t="n">
        <v>657.564</v>
      </c>
      <c r="Y6" s="26" t="n">
        <v>664.013</v>
      </c>
      <c r="Z6" s="26" t="n">
        <v>495.589</v>
      </c>
      <c r="AA6" s="26" t="n">
        <v>165.434</v>
      </c>
    </row>
    <row r="7">
      <c r="A7" s="12" t="inlineStr">
        <is>
          <t>type:CONT</t>
        </is>
      </c>
      <c r="D7" t="inlineStr">
        <is>
          <t>선종 CONT</t>
        </is>
      </c>
      <c r="F7" s="26" t="n">
        <v>18.142</v>
      </c>
      <c r="G7" s="26" t="n">
        <v>20.668</v>
      </c>
      <c r="H7" s="26" t="n">
        <v>20.897</v>
      </c>
      <c r="I7" s="26" t="n">
        <v>18.154</v>
      </c>
      <c r="J7" s="26" t="n">
        <v>18.154</v>
      </c>
      <c r="K7" s="26" t="n">
        <v>17.759</v>
      </c>
      <c r="L7" s="26" t="n">
        <v>17.957</v>
      </c>
      <c r="M7" s="26" t="n">
        <v>18.154</v>
      </c>
      <c r="N7" s="26" t="n">
        <v>18.154</v>
      </c>
      <c r="O7" s="26" t="n">
        <v>17.957</v>
      </c>
      <c r="P7" s="26" t="n">
        <v>17.957</v>
      </c>
      <c r="W7" s="26" t="n">
        <v>18.142</v>
      </c>
      <c r="X7" s="26" t="n">
        <v>77.873</v>
      </c>
      <c r="Y7" s="26" t="n">
        <v>72.024</v>
      </c>
      <c r="Z7" s="26" t="n">
        <v>35.914</v>
      </c>
    </row>
    <row r="8">
      <c r="A8" s="12" t="inlineStr">
        <is>
          <t>cohort:⑤초호황</t>
        </is>
      </c>
      <c r="D8" t="inlineStr">
        <is>
          <t>코호트 ⑤초호황</t>
        </is>
      </c>
      <c r="E8" s="26" t="n">
        <v>6.893</v>
      </c>
      <c r="F8" s="26" t="n">
        <v>96.164</v>
      </c>
      <c r="G8" s="26" t="n">
        <v>146.311</v>
      </c>
      <c r="H8" s="26" t="n">
        <v>198.344</v>
      </c>
      <c r="I8" s="26" t="n">
        <v>193.641</v>
      </c>
      <c r="J8" s="26" t="n">
        <v>197.139</v>
      </c>
      <c r="K8" s="26" t="n">
        <v>192.854</v>
      </c>
      <c r="L8" s="26" t="n">
        <v>194.997</v>
      </c>
      <c r="M8" s="26" t="n">
        <v>186.248</v>
      </c>
      <c r="N8" s="26" t="n">
        <v>161.938</v>
      </c>
      <c r="O8" s="26" t="n">
        <v>148.336</v>
      </c>
      <c r="P8" s="26" t="n">
        <v>148.336</v>
      </c>
      <c r="Q8" s="26" t="n">
        <v>131.812</v>
      </c>
      <c r="R8" s="26" t="n">
        <v>103.017</v>
      </c>
      <c r="S8" s="26" t="n">
        <v>64.129</v>
      </c>
      <c r="T8" s="26" t="n">
        <v>53.634</v>
      </c>
      <c r="U8" s="26" t="n">
        <v>33.077</v>
      </c>
      <c r="V8" s="26" t="n">
        <v>14.594</v>
      </c>
      <c r="W8" s="26" t="n">
        <v>103.057</v>
      </c>
      <c r="X8" s="26" t="n">
        <v>735.4349999999999</v>
      </c>
      <c r="Y8" s="26" t="n">
        <v>736.037</v>
      </c>
      <c r="Z8" s="26" t="n">
        <v>531.501</v>
      </c>
      <c r="AA8" s="26" t="n">
        <v>165.434</v>
      </c>
    </row>
    <row r="9">
      <c r="A9" s="12" t="inlineStr">
        <is>
          <t>hedge_ratio</t>
        </is>
      </c>
      <c r="D9" t="inlineStr">
        <is>
          <t>헤지비율</t>
        </is>
      </c>
      <c r="E9" s="21" t="n">
        <v>0.7</v>
      </c>
      <c r="F9" s="21" t="n">
        <v>0.7</v>
      </c>
      <c r="G9" s="21" t="n">
        <v>0.7</v>
      </c>
      <c r="H9" s="21" t="n">
        <v>0.7</v>
      </c>
      <c r="I9" s="21" t="n">
        <v>0.7</v>
      </c>
      <c r="J9" s="21" t="n">
        <v>0.7</v>
      </c>
      <c r="K9" s="21" t="n">
        <v>0.7</v>
      </c>
      <c r="L9" s="21" t="n">
        <v>0.7</v>
      </c>
      <c r="M9" s="21" t="n">
        <v>0.7</v>
      </c>
      <c r="N9" s="21" t="n">
        <v>0.7</v>
      </c>
      <c r="O9" s="21" t="n">
        <v>0.7</v>
      </c>
      <c r="P9" s="21" t="n">
        <v>0.7</v>
      </c>
      <c r="Q9" s="21" t="n">
        <v>0.7</v>
      </c>
      <c r="R9" s="21" t="n">
        <v>0.7</v>
      </c>
      <c r="S9" s="21" t="n">
        <v>0.7</v>
      </c>
      <c r="T9" s="21" t="n">
        <v>0.7</v>
      </c>
      <c r="U9" s="21" t="n">
        <v>0.7</v>
      </c>
      <c r="V9" s="21" t="n">
        <v>0.7</v>
      </c>
    </row>
    <row r="10">
      <c r="A10" s="12" t="inlineStr">
        <is>
          <t>hedge_rate</t>
        </is>
      </c>
      <c r="D10" t="inlineStr">
        <is>
          <t>헤지환율</t>
        </is>
      </c>
      <c r="E10" s="13" t="n">
        <v>1386.95</v>
      </c>
      <c r="F10" s="13" t="n">
        <v>1402</v>
      </c>
      <c r="G10" s="13" t="n">
        <v>1423.95</v>
      </c>
      <c r="H10" s="13" t="n">
        <v>1436.87</v>
      </c>
      <c r="I10" s="13" t="n">
        <v>1439.52</v>
      </c>
      <c r="J10" s="13" t="n">
        <v>1439.15</v>
      </c>
      <c r="K10" s="13" t="n">
        <v>1439.15</v>
      </c>
      <c r="L10" s="13" t="n">
        <v>1439.15</v>
      </c>
      <c r="M10" s="13" t="n">
        <v>1442.21</v>
      </c>
      <c r="N10" s="13" t="n">
        <v>1450.5</v>
      </c>
      <c r="O10" s="13" t="n">
        <v>1451.85</v>
      </c>
      <c r="P10" s="13" t="n">
        <v>1451.85</v>
      </c>
      <c r="Q10" s="13" t="n">
        <v>1452.22</v>
      </c>
      <c r="R10" s="13" t="n">
        <v>1467.12</v>
      </c>
      <c r="S10" s="13" t="n">
        <v>1459.16</v>
      </c>
      <c r="T10" s="13" t="n">
        <v>1457.71</v>
      </c>
      <c r="U10" s="13" t="n">
        <v>1448.18</v>
      </c>
      <c r="V10" s="13" t="n">
        <v>1420.69</v>
      </c>
    </row>
    <row r="11">
      <c r="A11" s="12" t="inlineStr">
        <is>
          <t>spot_assumed</t>
        </is>
      </c>
      <c r="D11" t="inlineStr">
        <is>
          <t>건조시점 환율(가정)</t>
        </is>
      </c>
      <c r="E11" s="13" t="n">
        <v>1386.95</v>
      </c>
      <c r="F11" s="13" t="n">
        <v>1449.19</v>
      </c>
      <c r="G11" s="13" t="n">
        <v>1466.12</v>
      </c>
      <c r="H11" s="13" t="n">
        <v>1501.75</v>
      </c>
      <c r="I11" s="13" t="n">
        <v>1418.75</v>
      </c>
      <c r="J11" s="13" t="n">
        <v>1355.4</v>
      </c>
      <c r="K11" s="13" t="n">
        <v>1355.4</v>
      </c>
      <c r="L11" s="13" t="n">
        <v>1355.4</v>
      </c>
      <c r="M11" s="13" t="n">
        <v>1355.4</v>
      </c>
      <c r="N11" s="13" t="n">
        <v>1355.4</v>
      </c>
      <c r="O11" s="13" t="n">
        <v>1355.4</v>
      </c>
      <c r="P11" s="13" t="n">
        <v>1355.4</v>
      </c>
      <c r="Q11" s="13" t="n">
        <v>1355.4</v>
      </c>
      <c r="R11" s="13" t="n">
        <v>1355.4</v>
      </c>
      <c r="S11" s="13" t="n">
        <v>1355.4</v>
      </c>
      <c r="T11" s="13" t="n">
        <v>1355.4</v>
      </c>
      <c r="U11" s="13" t="n">
        <v>1355.4</v>
      </c>
      <c r="V11" s="13" t="n">
        <v>1355.4</v>
      </c>
    </row>
    <row r="12">
      <c r="A12" s="12" t="inlineStr">
        <is>
          <t>applied_rate</t>
        </is>
      </c>
      <c r="D12" t="inlineStr">
        <is>
          <t>적용환율</t>
        </is>
      </c>
      <c r="E12" s="13" t="n">
        <v>1386.95</v>
      </c>
      <c r="F12" s="13" t="n">
        <v>1416.15</v>
      </c>
      <c r="G12" s="13" t="n">
        <v>1436.6</v>
      </c>
      <c r="H12" s="13" t="n">
        <v>1456.34</v>
      </c>
      <c r="I12" s="13" t="n">
        <v>1433.29</v>
      </c>
      <c r="J12" s="13" t="n">
        <v>1414.03</v>
      </c>
      <c r="K12" s="13" t="n">
        <v>1414.03</v>
      </c>
      <c r="L12" s="13" t="n">
        <v>1414.03</v>
      </c>
      <c r="M12" s="13" t="n">
        <v>1416.16</v>
      </c>
      <c r="N12" s="13" t="n">
        <v>1421.97</v>
      </c>
      <c r="O12" s="13" t="n">
        <v>1422.92</v>
      </c>
      <c r="P12" s="13" t="n">
        <v>1422.92</v>
      </c>
      <c r="Q12" s="13" t="n">
        <v>1423.17</v>
      </c>
      <c r="R12" s="13" t="n">
        <v>1433.61</v>
      </c>
      <c r="S12" s="13" t="n">
        <v>1428.03</v>
      </c>
      <c r="T12" s="13" t="n">
        <v>1427.02</v>
      </c>
      <c r="U12" s="13" t="n">
        <v>1420.35</v>
      </c>
      <c r="V12" s="13" t="n">
        <v>1401.11</v>
      </c>
    </row>
    <row r="13">
      <c r="A13" s="12" t="inlineStr">
        <is>
          <t>hedged_krw_m</t>
        </is>
      </c>
      <c r="D13" t="inlineStr">
        <is>
          <t>헤지적용 원화매출(백만원)</t>
        </is>
      </c>
      <c r="E13" s="18" t="n">
        <v>9559.6</v>
      </c>
      <c r="F13" s="18" t="n">
        <v>136182.6</v>
      </c>
      <c r="G13" s="18" t="n">
        <v>210190.8</v>
      </c>
      <c r="H13" s="18" t="n">
        <v>288856.2</v>
      </c>
      <c r="I13" s="18" t="n">
        <v>277543</v>
      </c>
      <c r="J13" s="18" t="n">
        <v>278760.5</v>
      </c>
      <c r="K13" s="18" t="n">
        <v>272700.5</v>
      </c>
      <c r="L13" s="18" t="n">
        <v>275730.5</v>
      </c>
      <c r="M13" s="18" t="n">
        <v>263757</v>
      </c>
      <c r="N13" s="18" t="n">
        <v>230271.2</v>
      </c>
      <c r="O13" s="18" t="n">
        <v>211070.2</v>
      </c>
      <c r="P13" s="18" t="n">
        <v>211070.2</v>
      </c>
      <c r="Q13" s="18" t="n">
        <v>187591.9</v>
      </c>
      <c r="R13" s="18" t="n">
        <v>147686.3</v>
      </c>
      <c r="S13" s="18" t="n">
        <v>91578.8</v>
      </c>
      <c r="T13" s="18" t="n">
        <v>76536.89999999999</v>
      </c>
      <c r="U13" s="18" t="n">
        <v>46981.2</v>
      </c>
      <c r="V13" s="18" t="n">
        <v>20448.4</v>
      </c>
      <c r="W13" s="18" t="n">
        <v>145742.2</v>
      </c>
      <c r="X13" s="18" t="n">
        <v>1055350.5</v>
      </c>
      <c r="Y13" s="18" t="n">
        <v>1042459.2</v>
      </c>
      <c r="Z13" s="18" t="n">
        <v>757418.6</v>
      </c>
      <c r="AA13" s="18" t="n">
        <v>235545.3</v>
      </c>
    </row>
    <row r="14">
      <c r="A14" s="12" t="inlineStr">
        <is>
          <t>target_opm</t>
        </is>
      </c>
      <c r="D14" t="inlineStr">
        <is>
          <t>타겟 OPM(코호트)</t>
        </is>
      </c>
      <c r="E14" s="21" t="n">
        <v>0.15</v>
      </c>
      <c r="F14" s="21" t="n">
        <v>0.15</v>
      </c>
      <c r="G14" s="21" t="n">
        <v>0.15</v>
      </c>
      <c r="H14" s="21" t="n">
        <v>0.15</v>
      </c>
      <c r="I14" s="21" t="n">
        <v>0.15</v>
      </c>
      <c r="J14" s="21" t="n">
        <v>0.15</v>
      </c>
      <c r="K14" s="21" t="n">
        <v>0.15</v>
      </c>
      <c r="L14" s="21" t="n">
        <v>0.15</v>
      </c>
      <c r="M14" s="21" t="n">
        <v>0.15</v>
      </c>
      <c r="N14" s="21" t="n">
        <v>0.15</v>
      </c>
      <c r="O14" s="21" t="n">
        <v>0.15</v>
      </c>
      <c r="P14" s="21" t="n">
        <v>0.15</v>
      </c>
      <c r="Q14" s="21" t="n">
        <v>0.15</v>
      </c>
      <c r="R14" s="21" t="n">
        <v>0.15</v>
      </c>
      <c r="S14" s="21" t="n">
        <v>0.15</v>
      </c>
      <c r="T14" s="21" t="n">
        <v>0.15</v>
      </c>
      <c r="U14" s="21" t="n">
        <v>0.15</v>
      </c>
      <c r="V14" s="21" t="n">
        <v>0.15</v>
      </c>
    </row>
    <row r="16">
      <c r="A16" s="1" t="inlineStr">
        <is>
          <t>계약 원장(contracts.json 기반)</t>
        </is>
      </c>
    </row>
    <row r="17">
      <c r="A17" s="1" t="inlineStr">
        <is>
          <t>rcp</t>
        </is>
      </c>
      <c r="B17" s="1" t="inlineStr">
        <is>
          <t>type</t>
        </is>
      </c>
      <c r="C17" s="1" t="inlineStr">
        <is>
          <t>ships</t>
        </is>
      </c>
      <c r="D17" s="1" t="inlineStr">
        <is>
          <t>amt_krw_m</t>
        </is>
      </c>
      <c r="E17" s="1" t="inlineStr">
        <is>
          <t>amt_usd_m</t>
        </is>
      </c>
      <c r="F17" s="1" t="inlineStr">
        <is>
          <t>fx_at_sign</t>
        </is>
      </c>
      <c r="G17" s="1" t="inlineStr">
        <is>
          <t>signed</t>
        </is>
      </c>
      <c r="H17" s="1" t="inlineStr">
        <is>
          <t>start</t>
        </is>
      </c>
      <c r="I17" s="1" t="inlineStr">
        <is>
          <t>end</t>
        </is>
      </c>
      <c r="J17" s="1" t="inlineStr">
        <is>
          <t>cohort</t>
        </is>
      </c>
      <c r="K17" s="1" t="inlineStr">
        <is>
          <t>curve</t>
        </is>
      </c>
      <c r="L17" s="1" t="inlineStr">
        <is>
          <t>estimated_series</t>
        </is>
      </c>
    </row>
    <row r="18">
      <c r="A18" t="inlineStr">
        <is>
          <t>20250922800050</t>
        </is>
      </c>
      <c r="B18" t="inlineStr">
        <is>
          <t>VLCC</t>
        </is>
      </c>
      <c r="C18" t="n">
        <v>4</v>
      </c>
      <c r="D18" t="n">
        <v>475300</v>
      </c>
      <c r="E18" t="n">
        <v>342.694</v>
      </c>
      <c r="F18" t="n">
        <v>1386.95</v>
      </c>
      <c r="G18" t="inlineStr">
        <is>
          <t>2025-09-19</t>
        </is>
      </c>
      <c r="H18" t="inlineStr">
        <is>
          <t>2025-09-19</t>
        </is>
      </c>
      <c r="I18" t="inlineStr">
        <is>
          <t>2028-09-30</t>
        </is>
      </c>
      <c r="J18" t="inlineStr">
        <is>
          <t>⑤초호황</t>
        </is>
      </c>
      <c r="K18" t="inlineStr">
        <is>
          <t>linear_progress</t>
        </is>
      </c>
      <c r="L18" t="b">
        <v>1</v>
      </c>
    </row>
    <row r="19">
      <c r="A19" t="inlineStr">
        <is>
          <t>20250922800051</t>
        </is>
      </c>
      <c r="B19" t="inlineStr">
        <is>
          <t>VLCC</t>
        </is>
      </c>
      <c r="C19" t="n">
        <v>2</v>
      </c>
      <c r="D19" t="n">
        <v>239500</v>
      </c>
      <c r="E19" t="n">
        <v>172.681</v>
      </c>
      <c r="F19" t="n">
        <v>1386.95</v>
      </c>
      <c r="G19" t="inlineStr">
        <is>
          <t>2025-09-19</t>
        </is>
      </c>
      <c r="H19" t="inlineStr">
        <is>
          <t>2025-09-19</t>
        </is>
      </c>
      <c r="I19" t="inlineStr">
        <is>
          <t>2027-09-30</t>
        </is>
      </c>
      <c r="J19" t="inlineStr">
        <is>
          <t>⑤초호황</t>
        </is>
      </c>
      <c r="K19" t="inlineStr">
        <is>
          <t>linear_progress</t>
        </is>
      </c>
      <c r="L19" t="b">
        <v>1</v>
      </c>
    </row>
    <row r="20">
      <c r="A20" t="inlineStr">
        <is>
          <t>20250930800053</t>
        </is>
      </c>
      <c r="B20" t="inlineStr">
        <is>
          <t>VLCC</t>
        </is>
      </c>
      <c r="C20" t="n">
        <v>1</v>
      </c>
      <c r="D20" t="n">
        <v>122300</v>
      </c>
      <c r="E20" t="n">
        <v>88.179</v>
      </c>
      <c r="F20" t="n">
        <v>1386.95</v>
      </c>
      <c r="G20" t="inlineStr">
        <is>
          <t>2025-09-29</t>
        </is>
      </c>
      <c r="H20" t="inlineStr">
        <is>
          <t>2025-09-29</t>
        </is>
      </c>
      <c r="I20" t="inlineStr">
        <is>
          <t>2027-06-30</t>
        </is>
      </c>
      <c r="J20" t="inlineStr">
        <is>
          <t>⑤초호황</t>
        </is>
      </c>
      <c r="K20" t="inlineStr">
        <is>
          <t>linear_progress</t>
        </is>
      </c>
      <c r="L20" t="b">
        <v>1</v>
      </c>
    </row>
    <row r="21">
      <c r="A21" t="inlineStr">
        <is>
          <t>20251001800065</t>
        </is>
      </c>
      <c r="B21" t="inlineStr">
        <is>
          <t>VLCC</t>
        </is>
      </c>
      <c r="C21" t="n">
        <v>1</v>
      </c>
      <c r="D21" t="n">
        <v>119200</v>
      </c>
      <c r="E21" t="n">
        <v>85.944</v>
      </c>
      <c r="F21" t="n">
        <v>1386.95</v>
      </c>
      <c r="G21" t="inlineStr">
        <is>
          <t>2025-09-30</t>
        </is>
      </c>
      <c r="H21" t="inlineStr">
        <is>
          <t>2025-09-30</t>
        </is>
      </c>
      <c r="I21" t="inlineStr">
        <is>
          <t>2027-10-31</t>
        </is>
      </c>
      <c r="J21" t="inlineStr">
        <is>
          <t>⑤초호황</t>
        </is>
      </c>
      <c r="K21" t="inlineStr">
        <is>
          <t>linear_progress</t>
        </is>
      </c>
      <c r="L21" t="b">
        <v>1</v>
      </c>
    </row>
    <row r="22">
      <c r="A22" t="inlineStr">
        <is>
          <t>20251015800073</t>
        </is>
      </c>
      <c r="B22" t="inlineStr">
        <is>
          <t>CONT</t>
        </is>
      </c>
      <c r="C22" t="n">
        <v>2</v>
      </c>
      <c r="D22" t="n">
        <v>329800</v>
      </c>
      <c r="E22" t="n">
        <v>227.575</v>
      </c>
      <c r="F22" t="n">
        <v>1449.19</v>
      </c>
      <c r="G22" t="inlineStr">
        <is>
          <t>2025-10-14</t>
        </is>
      </c>
      <c r="H22" t="inlineStr">
        <is>
          <t>2025-10-14</t>
        </is>
      </c>
      <c r="I22" t="inlineStr">
        <is>
          <t>2028-06-30</t>
        </is>
      </c>
      <c r="J22" t="inlineStr">
        <is>
          <t>⑤초호황</t>
        </is>
      </c>
      <c r="K22" t="inlineStr">
        <is>
          <t>linear_progress</t>
        </is>
      </c>
      <c r="L22" t="b">
        <v>0</v>
      </c>
    </row>
    <row r="23">
      <c r="A23" t="inlineStr">
        <is>
          <t>20251118800028</t>
        </is>
      </c>
      <c r="B23" t="inlineStr">
        <is>
          <t>VLCC</t>
        </is>
      </c>
      <c r="C23" t="n">
        <v>1</v>
      </c>
      <c r="D23" t="n">
        <v>127400</v>
      </c>
      <c r="E23" t="n">
        <v>87.911</v>
      </c>
      <c r="F23" t="n">
        <v>1449.19</v>
      </c>
      <c r="G23" t="inlineStr">
        <is>
          <t>2025-11-17</t>
        </is>
      </c>
      <c r="H23" t="inlineStr">
        <is>
          <t>2025-11-17</t>
        </is>
      </c>
      <c r="I23" t="inlineStr">
        <is>
          <t>2027-12-31</t>
        </is>
      </c>
      <c r="J23" t="inlineStr">
        <is>
          <t>⑤초호황</t>
        </is>
      </c>
      <c r="K23" t="inlineStr">
        <is>
          <t>linear_progress</t>
        </is>
      </c>
      <c r="L23" t="b">
        <v>1</v>
      </c>
    </row>
    <row r="24">
      <c r="A24" t="inlineStr">
        <is>
          <t>20260114800029</t>
        </is>
      </c>
      <c r="B24" t="inlineStr">
        <is>
          <t>VLCC</t>
        </is>
      </c>
      <c r="C24" t="n">
        <v>2</v>
      </c>
      <c r="D24" t="n">
        <v>251800</v>
      </c>
      <c r="E24" t="n">
        <v>171.746</v>
      </c>
      <c r="F24" t="n">
        <v>1466.12</v>
      </c>
      <c r="G24" t="inlineStr">
        <is>
          <t>2026-01-13</t>
        </is>
      </c>
      <c r="H24" t="inlineStr">
        <is>
          <t>2026-01-13</t>
        </is>
      </c>
      <c r="I24" t="inlineStr">
        <is>
          <t>2028-11-30</t>
        </is>
      </c>
      <c r="J24" t="inlineStr">
        <is>
          <t>⑤초호황</t>
        </is>
      </c>
      <c r="K24" t="inlineStr">
        <is>
          <t>linear_progress</t>
        </is>
      </c>
      <c r="L24" t="b">
        <v>0</v>
      </c>
    </row>
    <row r="25">
      <c r="A25" t="inlineStr">
        <is>
          <t>20260115800029</t>
        </is>
      </c>
      <c r="B25" t="inlineStr">
        <is>
          <t>VLCC</t>
        </is>
      </c>
      <c r="C25" t="n">
        <v>2</v>
      </c>
      <c r="D25" t="n">
        <v>253900</v>
      </c>
      <c r="E25" t="n">
        <v>173.178</v>
      </c>
      <c r="F25" t="n">
        <v>1466.12</v>
      </c>
      <c r="G25" t="inlineStr">
        <is>
          <t>2026-01-14</t>
        </is>
      </c>
      <c r="H25" t="inlineStr">
        <is>
          <t>2026-01-14</t>
        </is>
      </c>
      <c r="I25" t="inlineStr">
        <is>
          <t>2029-04-30</t>
        </is>
      </c>
      <c r="J25" t="inlineStr">
        <is>
          <t>⑤초호황</t>
        </is>
      </c>
      <c r="K25" t="inlineStr">
        <is>
          <t>linear_progress</t>
        </is>
      </c>
      <c r="L25" t="b">
        <v>1</v>
      </c>
    </row>
    <row r="26">
      <c r="A26" t="inlineStr">
        <is>
          <t>20260129800084</t>
        </is>
      </c>
      <c r="B26" t="inlineStr">
        <is>
          <t>VLCC</t>
        </is>
      </c>
      <c r="C26" t="n">
        <v>2</v>
      </c>
      <c r="D26" t="n">
        <v>254100</v>
      </c>
      <c r="E26" t="n">
        <v>173.315</v>
      </c>
      <c r="F26" t="n">
        <v>1466.12</v>
      </c>
      <c r="G26" t="inlineStr">
        <is>
          <t>2026-01-28</t>
        </is>
      </c>
      <c r="H26" t="inlineStr">
        <is>
          <t>2026-01-28</t>
        </is>
      </c>
      <c r="I26" t="inlineStr">
        <is>
          <t>2029-05-31</t>
        </is>
      </c>
      <c r="J26" t="inlineStr">
        <is>
          <t>⑤초호황</t>
        </is>
      </c>
      <c r="K26" t="inlineStr">
        <is>
          <t>linear_progress</t>
        </is>
      </c>
      <c r="L26" t="b">
        <v>1</v>
      </c>
    </row>
    <row r="27">
      <c r="A27" t="inlineStr">
        <is>
          <t>20260209800078</t>
        </is>
      </c>
      <c r="B27" t="inlineStr">
        <is>
          <t>VLCC</t>
        </is>
      </c>
      <c r="C27" t="n">
        <v>2</v>
      </c>
      <c r="D27" t="n">
        <v>259700</v>
      </c>
      <c r="E27" t="n">
        <v>177.134</v>
      </c>
      <c r="F27" t="n">
        <v>1466.12</v>
      </c>
      <c r="G27" t="inlineStr">
        <is>
          <t>2026-02-06</t>
        </is>
      </c>
      <c r="H27" t="inlineStr">
        <is>
          <t>2026-02-06</t>
        </is>
      </c>
      <c r="I27" t="inlineStr">
        <is>
          <t>2028-12-31</t>
        </is>
      </c>
      <c r="J27" t="inlineStr">
        <is>
          <t>⑤초호황</t>
        </is>
      </c>
      <c r="K27" t="inlineStr">
        <is>
          <t>linear_progress</t>
        </is>
      </c>
      <c r="L27" t="b">
        <v>1</v>
      </c>
    </row>
    <row r="28">
      <c r="A28" t="inlineStr">
        <is>
          <t>20260317800064</t>
        </is>
      </c>
      <c r="B28" t="inlineStr">
        <is>
          <t>VLCC</t>
        </is>
      </c>
      <c r="C28" t="n">
        <v>1</v>
      </c>
      <c r="D28" t="n">
        <v>133300</v>
      </c>
      <c r="E28" t="n">
        <v>90.92</v>
      </c>
      <c r="F28" t="n">
        <v>1466.12</v>
      </c>
      <c r="G28" t="inlineStr">
        <is>
          <t>2026-03-16</t>
        </is>
      </c>
      <c r="H28" t="inlineStr">
        <is>
          <t>2026-03-16</t>
        </is>
      </c>
      <c r="I28" t="inlineStr">
        <is>
          <t>2029-10-10</t>
        </is>
      </c>
      <c r="J28" t="inlineStr">
        <is>
          <t>⑤초호황</t>
        </is>
      </c>
      <c r="K28" t="inlineStr">
        <is>
          <t>linear_progress</t>
        </is>
      </c>
      <c r="L28" t="b">
        <v>1</v>
      </c>
    </row>
    <row r="29">
      <c r="A29" t="inlineStr">
        <is>
          <t>20260323800069</t>
        </is>
      </c>
      <c r="B29" t="inlineStr">
        <is>
          <t>VLCC</t>
        </is>
      </c>
      <c r="C29" t="n">
        <v>1</v>
      </c>
      <c r="D29" t="n">
        <v>133800</v>
      </c>
      <c r="E29" t="n">
        <v>91.261</v>
      </c>
      <c r="F29" t="n">
        <v>1466.12</v>
      </c>
      <c r="G29" t="inlineStr">
        <is>
          <t>2026-03-20</t>
        </is>
      </c>
      <c r="H29" t="inlineStr">
        <is>
          <t>2026-03-20</t>
        </is>
      </c>
      <c r="I29" t="inlineStr">
        <is>
          <t>2029-06-30</t>
        </is>
      </c>
      <c r="J29" t="inlineStr">
        <is>
          <t>⑤초호황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20260331800063</t>
        </is>
      </c>
      <c r="B30" t="inlineStr">
        <is>
          <t>VLCC</t>
        </is>
      </c>
      <c r="C30" t="n">
        <v>2</v>
      </c>
      <c r="D30" t="n">
        <v>276000</v>
      </c>
      <c r="E30" t="n">
        <v>188.252</v>
      </c>
      <c r="F30" t="n">
        <v>1466.12</v>
      </c>
      <c r="G30" t="inlineStr">
        <is>
          <t>2026-03-30</t>
        </is>
      </c>
      <c r="H30" t="inlineStr">
        <is>
          <t>2026-03-30</t>
        </is>
      </c>
      <c r="I30" t="inlineStr">
        <is>
          <t>2029-09-30</t>
        </is>
      </c>
      <c r="J30" t="inlineStr">
        <is>
          <t>⑤초호황</t>
        </is>
      </c>
      <c r="K30" t="inlineStr">
        <is>
          <t>linear_progress</t>
        </is>
      </c>
      <c r="L30" t="b">
        <v>1</v>
      </c>
    </row>
    <row r="31">
      <c r="A31" t="inlineStr">
        <is>
          <t>20260416800003</t>
        </is>
      </c>
      <c r="B31" t="inlineStr">
        <is>
          <t>VLCC</t>
        </is>
      </c>
      <c r="C31" t="n">
        <v>1</v>
      </c>
      <c r="D31" t="n">
        <v>132900</v>
      </c>
      <c r="E31" t="n">
        <v>88.497</v>
      </c>
      <c r="F31" t="n">
        <v>1501.75</v>
      </c>
      <c r="G31" t="inlineStr">
        <is>
          <t>2026-04-14</t>
        </is>
      </c>
      <c r="H31" t="inlineStr">
        <is>
          <t>2026-04-14</t>
        </is>
      </c>
      <c r="I31" t="inlineStr">
        <is>
          <t>2029-07-31</t>
        </is>
      </c>
      <c r="J31" t="inlineStr">
        <is>
          <t>⑤초호황</t>
        </is>
      </c>
      <c r="K31" t="inlineStr">
        <is>
          <t>linear_progress</t>
        </is>
      </c>
      <c r="L31" t="b">
        <v>1</v>
      </c>
    </row>
    <row r="32">
      <c r="A32" t="inlineStr">
        <is>
          <t>20260601800013</t>
        </is>
      </c>
      <c r="B32" t="inlineStr">
        <is>
          <t>VLCC</t>
        </is>
      </c>
      <c r="C32" t="n">
        <v>2</v>
      </c>
      <c r="D32" t="n">
        <v>282800</v>
      </c>
      <c r="E32" t="n">
        <v>188.314</v>
      </c>
      <c r="F32" t="n">
        <v>1501.75</v>
      </c>
      <c r="G32" t="inlineStr">
        <is>
          <t>2026-05-29</t>
        </is>
      </c>
      <c r="H32" t="inlineStr">
        <is>
          <t>2026-05-29</t>
        </is>
      </c>
      <c r="I32" t="inlineStr">
        <is>
          <t>2028-12-31</t>
        </is>
      </c>
      <c r="J32" t="inlineStr">
        <is>
          <t>⑤초호황</t>
        </is>
      </c>
      <c r="K32" t="inlineStr">
        <is>
          <t>linear_progress</t>
        </is>
      </c>
      <c r="L32" t="b">
        <v>1</v>
      </c>
    </row>
    <row r="33">
      <c r="A33" t="inlineStr">
        <is>
          <t>20260727800063</t>
        </is>
      </c>
      <c r="B33" t="inlineStr">
        <is>
          <t>VLCC</t>
        </is>
      </c>
      <c r="C33" t="n">
        <v>2</v>
      </c>
      <c r="D33" t="n">
        <v>271300</v>
      </c>
      <c r="E33" t="n">
        <v>191.225</v>
      </c>
      <c r="F33" t="n">
        <v>1418.75</v>
      </c>
      <c r="G33" t="inlineStr">
        <is>
          <t>2026-07-24</t>
        </is>
      </c>
      <c r="H33" t="inlineStr">
        <is>
          <t>2026-07-24</t>
        </is>
      </c>
      <c r="I33" t="inlineStr">
        <is>
          <t>2029-12-31</t>
        </is>
      </c>
      <c r="J33" t="inlineStr">
        <is>
          <t>⑤초호황</t>
        </is>
      </c>
      <c r="K33" t="inlineStr">
        <is>
          <t>linear_progress</t>
        </is>
      </c>
      <c r="L33" t="b">
        <v>0</v>
      </c>
    </row>
    <row r="34">
      <c r="A34" s="2" t="inlineStr">
        <is>
          <t>⚠ 종료일 = 마지막 호선 인도 예정; 진행률 매출 분기는 계약기간 안에 선형 배분(가정)</t>
        </is>
      </c>
    </row>
    <row r="35">
      <c r="A35" s="2" t="inlineStr">
        <is>
          <t>⚠ 헤지비율 0.7 은 가정(통화선도 공시 없음 → 레퍼런스 SLS 시트의 HEDGE 70% 가정. hedge_rate 는 계약별 수주시점 환율로 대체)</t>
        </is>
      </c>
    </row>
    <row r="36">
      <c r="A3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37">
      <c r="A37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38">
      <c r="A38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8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변수!D55</f>
        <v/>
      </c>
      <c r="I2" s="39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40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1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2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2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2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2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2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3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2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2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2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2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2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2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2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2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2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2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2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2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2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2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2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2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2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2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2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2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2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4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  <c r="M32" s="36">
        <f>IFERROR(VLOOKUP($A32,subQ,MATCH(M$1,SUBQH,0),0),"")</f>
        <v/>
      </c>
      <c r="N32" s="36">
        <f>IFERROR(VLOOKUP($A32,subQ,MATCH(N$1,SUBQH,0),0),"")</f>
        <v/>
      </c>
      <c r="O32" s="36">
        <f>IFERROR(VLOOKUP($A32,subQ,MATCH(O$1,SUBQH,0),0),"")</f>
        <v/>
      </c>
      <c r="P32" s="36">
        <f>IFERROR(VLOOKUP($A32,subQ,MATCH(P$1,SUBQH,0),0),"")</f>
        <v/>
      </c>
      <c r="Q32" s="36">
        <f>IFERROR(VLOOKUP($A32,subQ,MATCH(Q$1,SUBQH,0),0),"")</f>
        <v/>
      </c>
      <c r="R32" s="36">
        <f>IFERROR(VLOOKUP($A32,subQ,MATCH(R$1,SUBQH,0),0),"")</f>
        <v/>
      </c>
      <c r="S32" s="36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2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2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2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2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  <c r="M36" s="20">
        <f>IFERROR(VLOOKUP($A36,subQ,MATCH(M$1,SUBQH,0),0),"")</f>
        <v/>
      </c>
      <c r="N36" s="20">
        <f>IFERROR(VLOOKUP($A36,subQ,MATCH(N$1,SUBQH,0),0),"")</f>
        <v/>
      </c>
      <c r="O36" s="20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2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  <c r="M37" s="20">
        <f>IFERROR(VLOOKUP($A37,subQ,MATCH(M$1,SUBQH,0),0),"")</f>
        <v/>
      </c>
      <c r="N37" s="20">
        <f>IFERROR(VLOOKUP($A37,subQ,MATCH(N$1,SUBQH,0),0),"")</f>
        <v/>
      </c>
      <c r="O37" s="20">
        <f>IFERROR(VLOOKUP($A37,subQ,MATCH(O$1,SUBQH,0),0),"")</f>
        <v/>
      </c>
      <c r="P37" s="20">
        <f>IFERROR(VLOOKUP($A37,subQ,MATCH(P$1,SUBQH,0),0),"")</f>
        <v/>
      </c>
      <c r="Q37" s="20">
        <f>IFERROR(VLOOKUP($A37,subQ,MATCH(Q$1,SUBQH,0),0),"")</f>
        <v/>
      </c>
      <c r="R37" s="20">
        <f>IFERROR(VLOOKUP($A37,subQ,MATCH(R$1,SUBQH,0),0),"")</f>
        <v/>
      </c>
      <c r="S37" s="20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2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2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2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2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2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2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OPM</t>
        </is>
      </c>
      <c r="D44" t="inlineStr">
        <is>
          <t>영업이익률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3">
        <f>IFERROR(VLOOKUP($A44,subQ,MATCH(I$1,SUBQH,0),0),"")</f>
        <v/>
      </c>
      <c r="J44" s="31">
        <f>IFERROR(VLOOKUP($A44,subQ,MATCH(J$1,SUBQH,0),0),"")</f>
        <v/>
      </c>
      <c r="K44" s="31">
        <f>IFERROR(VLOOKUP($A44,subQ,MATCH(K$1,SUBQH,0),0),"")</f>
        <v/>
      </c>
      <c r="L44" s="31">
        <f>IFERROR(VLOOKUP($A44,subQ,MATCH(L$1,SUBQH,0),0),"")</f>
        <v/>
      </c>
      <c r="M44" s="31">
        <f>IFERROR(VLOOKUP($A44,subQ,MATCH(M$1,SUBQH,0),0),"")</f>
        <v/>
      </c>
      <c r="N44" s="31">
        <f>IFERROR(VLOOKUP($A44,subQ,MATCH(N$1,SUBQH,0),0),"")</f>
        <v/>
      </c>
      <c r="O44" s="31">
        <f>IFERROR(VLOOKUP($A44,subQ,MATCH(O$1,SUBQH,0),0),"")</f>
        <v/>
      </c>
      <c r="P44" s="31">
        <f>IFERROR(VLOOKUP($A44,subQ,MATCH(P$1,SUBQH,0),0),"")</f>
        <v/>
      </c>
      <c r="Q44" s="31">
        <f>IFERROR(VLOOKUP($A44,subQ,MATCH(Q$1,SUBQH,0),0),"")</f>
        <v/>
      </c>
      <c r="R44" s="31">
        <f>IFERROR(VLOOKUP($A44,subQ,MATCH(R$1,SUBQH,0),0),"")</f>
        <v/>
      </c>
      <c r="S44" s="31">
        <f>IFERROR(VLOOKUP($A44,subQ,MATCH(S$1,SUBQH,0),0),"")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3">
        <f>IFERROR(VLOOKUP($A45,subQ,MATCH(I$1,SUBQH,0),0),"")</f>
        <v/>
      </c>
      <c r="J45" s="31">
        <f>IFERROR(VLOOKUP($A45,subQ,MATCH(J$1,SUBQH,0),0),"")</f>
        <v/>
      </c>
      <c r="K45" s="31">
        <f>IFERROR(VLOOKUP($A45,subQ,MATCH(K$1,SUBQH,0),0),"")</f>
        <v/>
      </c>
      <c r="L45" s="31">
        <f>IFERROR(VLOOKUP($A45,subQ,MATCH(L$1,SUBQH,0),0),"")</f>
        <v/>
      </c>
      <c r="M45" s="31">
        <f>IFERROR(VLOOKUP($A45,subQ,MATCH(M$1,SUBQH,0),0),"")</f>
        <v/>
      </c>
      <c r="N45" s="31">
        <f>IFERROR(VLOOKUP($A45,subQ,MATCH(N$1,SUBQH,0),0),"")</f>
        <v/>
      </c>
      <c r="O45" s="31">
        <f>IFERROR(VLOOKUP($A45,subQ,MATCH(O$1,SUBQH,0),0),"")</f>
        <v/>
      </c>
      <c r="P45" s="31">
        <f>IFERROR(VLOOKUP($A45,subQ,MATCH(P$1,SUBQH,0),0),"")</f>
        <v/>
      </c>
      <c r="Q45" s="31">
        <f>IFERROR(VLOOKUP($A45,subQ,MATCH(Q$1,SUBQH,0),0),"")</f>
        <v/>
      </c>
      <c r="R45" s="31">
        <f>IFERROR(VLOOKUP($A45,subQ,MATCH(R$1,SUBQH,0),0),"")</f>
        <v/>
      </c>
      <c r="S45" s="31">
        <f>IFERROR(VLOOKUP($A45,subQ,MATCH(S$1,SUBQH,0),0),"")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43">
        <f>IFERROR(I5/E5-1,"")</f>
        <v/>
      </c>
      <c r="J46" s="31">
        <f>IFERROR(J5/F5-1,"")</f>
        <v/>
      </c>
      <c r="K46" s="31">
        <f>IFERROR(K5/G5-1,"")</f>
        <v/>
      </c>
      <c r="L46" s="31">
        <f>IFERROR(L5/H5-1,"")</f>
        <v/>
      </c>
      <c r="M46" s="31">
        <f>IFERROR(M5/I5-1,"")</f>
        <v/>
      </c>
      <c r="N46" s="31">
        <f>IFERROR(N5/J5-1,"")</f>
        <v/>
      </c>
      <c r="O46" s="31">
        <f>IFERROR(O5/K5-1,"")</f>
        <v/>
      </c>
      <c r="P46" s="31">
        <f>IFERROR(P5/L5-1,"")</f>
        <v/>
      </c>
      <c r="Q46" s="31">
        <f>IFERROR(Q5/M5-1,"")</f>
        <v/>
      </c>
      <c r="R46" s="31">
        <f>IFERROR(R5/N5-1,"")</f>
        <v/>
      </c>
      <c r="S46" s="31">
        <f>IFERROR(S5/O5-1,"")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43">
        <f>IFERROR(I9/E9-1,"")</f>
        <v/>
      </c>
      <c r="J47" s="31">
        <f>IFERROR(J9/F9-1,"")</f>
        <v/>
      </c>
      <c r="K47" s="31">
        <f>IFERROR(K9/G9-1,"")</f>
        <v/>
      </c>
      <c r="L47" s="31">
        <f>IFERROR(L9/H9-1,"")</f>
        <v/>
      </c>
      <c r="M47" s="31">
        <f>IFERROR(M9/I9-1,"")</f>
        <v/>
      </c>
      <c r="N47" s="31">
        <f>IFERROR(N9/J9-1,"")</f>
        <v/>
      </c>
      <c r="O47" s="31">
        <f>IFERROR(O9/K9-1,"")</f>
        <v/>
      </c>
      <c r="P47" s="31">
        <f>IFERROR(P9/L9-1,"")</f>
        <v/>
      </c>
      <c r="Q47" s="31">
        <f>IFERROR(Q9/M9-1,"")</f>
        <v/>
      </c>
      <c r="R47" s="31">
        <f>IFERROR(R9/N9-1,"")</f>
        <v/>
      </c>
      <c r="S47" s="31">
        <f>IFERROR(S9/O9-1,"")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43">
        <f>IFERROR(I21/E21-1,"")</f>
        <v/>
      </c>
      <c r="J48" s="31">
        <f>IFERROR(J21/F21-1,"")</f>
        <v/>
      </c>
      <c r="K48" s="31">
        <f>IFERROR(K21/G21-1,"")</f>
        <v/>
      </c>
      <c r="L48" s="31">
        <f>IFERROR(L21/H21-1,"")</f>
        <v/>
      </c>
      <c r="M48" s="31">
        <f>IFERROR(M21/I21-1,"")</f>
        <v/>
      </c>
      <c r="N48" s="31">
        <f>IFERROR(N21/J21-1,"")</f>
        <v/>
      </c>
      <c r="O48" s="31">
        <f>IFERROR(O21/K21-1,"")</f>
        <v/>
      </c>
      <c r="P48" s="31">
        <f>IFERROR(P21/L21-1,"")</f>
        <v/>
      </c>
      <c r="Q48" s="31">
        <f>IFERROR(Q21/M21-1,"")</f>
        <v/>
      </c>
      <c r="R48" s="31">
        <f>IFERROR(R21/N21-1,"")</f>
        <v/>
      </c>
      <c r="S48" s="31">
        <f>IFERROR(S21/O21-1,"")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8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변수!D55</f>
        <v/>
      </c>
      <c r="E2" s="39" t="n"/>
    </row>
    <row r="3">
      <c r="C3" t="inlineStr">
        <is>
          <t>기준일:</t>
        </is>
      </c>
      <c r="D3" t="inlineStr">
        <is>
          <t>20260929</t>
        </is>
      </c>
      <c r="E3" s="40" t="n">
        <v>1</v>
      </c>
      <c r="F3" s="2" t="n">
        <v>2</v>
      </c>
      <c r="G3" s="2" t="n">
        <v>3</v>
      </c>
      <c r="H3" s="2" t="n">
        <v>4</v>
      </c>
    </row>
    <row r="4">
      <c r="E4" s="41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2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2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2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2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2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3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2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2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2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2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2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2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2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2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2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2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2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2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2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2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2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2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2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2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2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2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2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44">
        <f>IFERROR(VLOOKUP($A32,subQ,MATCH(E$1,SUBQH,0),0),"")</f>
        <v/>
      </c>
      <c r="F32" s="36">
        <f>IFERROR(VLOOKUP($A32,subQ,MATCH(F$1,SUBQH,0),0),"")</f>
        <v/>
      </c>
      <c r="G32" s="36">
        <f>IFERROR(VLOOKUP($A32,subQ,MATCH(G$1,SUBQH,0),0),"")</f>
        <v/>
      </c>
      <c r="H32" s="36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2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2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2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42">
        <f>IFERROR(VLOOKUP($A36,subQ,MATCH(E$1,SUBQH,0),0),"")</f>
        <v/>
      </c>
      <c r="F36" s="20">
        <f>IFERROR(VLOOKUP($A36,subQ,MATCH(F$1,SUBQH,0),0),"")</f>
        <v/>
      </c>
      <c r="G36" s="20">
        <f>IFERROR(VLOOKUP($A36,subQ,MATCH(G$1,SUBQH,0),0),"")</f>
        <v/>
      </c>
      <c r="H36" s="20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42">
        <f>IFERROR(VLOOKUP($A37,subQ,MATCH(E$1,SUBQH,0),0),"")</f>
        <v/>
      </c>
      <c r="F37" s="20">
        <f>IFERROR(VLOOKUP($A37,subQ,MATCH(F$1,SUBQH,0),0),"")</f>
        <v/>
      </c>
      <c r="G37" s="20">
        <f>IFERROR(VLOOKUP($A37,subQ,MATCH(G$1,SUBQH,0),0),"")</f>
        <v/>
      </c>
      <c r="H37" s="20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2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42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2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2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2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2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OPM</t>
        </is>
      </c>
      <c r="D44" t="inlineStr">
        <is>
          <t>영업이익률</t>
        </is>
      </c>
      <c r="E44" s="43">
        <f>IFERROR(VLOOKUP($A44,subQ,MATCH(E$1,SUBQH,0),0),"")</f>
        <v/>
      </c>
      <c r="F44" s="31">
        <f>IFERROR(VLOOKUP($A44,subQ,MATCH(F$1,SUBQH,0),0),"")</f>
        <v/>
      </c>
      <c r="G44" s="31">
        <f>IFERROR(VLOOKUP($A44,subQ,MATCH(G$1,SUBQH,0),0),"")</f>
        <v/>
      </c>
      <c r="H44" s="31">
        <f>IFERROR(VLOOKUP($A44,subQ,MATCH(H$1,SUBQH,0),0),"")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43">
        <f>IFERROR(VLOOKUP($A45,subQ,MATCH(E$1,SUBQH,0),0),"")</f>
        <v/>
      </c>
      <c r="F45" s="31">
        <f>IFERROR(VLOOKUP($A45,subQ,MATCH(F$1,SUBQH,0),0),"")</f>
        <v/>
      </c>
      <c r="G45" s="31">
        <f>IFERROR(VLOOKUP($A45,subQ,MATCH(G$1,SUBQH,0),0),"")</f>
        <v/>
      </c>
      <c r="H45" s="31">
        <f>IFERROR(VLOOKUP($A45,subQ,MATCH(H$1,SUBQH,0),0),"")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E46" s="39" t="n"/>
      <c r="F46" s="31">
        <f>IFERROR(F5/E5-1,"")</f>
        <v/>
      </c>
      <c r="G46" s="31">
        <f>IFERROR(G5/F5-1,"")</f>
        <v/>
      </c>
      <c r="H46" s="31">
        <f>IFERROR(H5/G5-1,"")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E47" s="39" t="n"/>
      <c r="F47" s="31">
        <f>IFERROR(F9/E9-1,"")</f>
        <v/>
      </c>
      <c r="G47" s="31">
        <f>IFERROR(G9/F9-1,"")</f>
        <v/>
      </c>
      <c r="H47" s="31">
        <f>IFERROR(H9/G9-1,"")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E48" s="39" t="n"/>
      <c r="F48" s="31">
        <f>IFERROR(F21/E21-1,"")</f>
        <v/>
      </c>
      <c r="G48" s="31">
        <f>IFERROR(G21/F21-1,"")</f>
        <v/>
      </c>
      <c r="H48" s="31">
        <f>IFERROR(H21/G21-1,"")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변수!D55</f>
        <v/>
      </c>
    </row>
    <row r="2">
      <c r="B2" s="1" t="inlineStr">
        <is>
          <t>기준일</t>
        </is>
      </c>
      <c r="C2">
        <f>변수!D56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5" t="n">
        <v>2025</v>
      </c>
      <c r="E5" s="45" t="n">
        <v>2026</v>
      </c>
      <c r="F5" s="45" t="n">
        <v>2027</v>
      </c>
      <c r="G5" s="45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IFERROR(E7*변수!D61+F7*(1-변수!D61),"")</f>
        <v/>
      </c>
    </row>
    <row r="15">
      <c r="C15" t="inlineStr">
        <is>
          <t>적정가치 @PER_lo</t>
        </is>
      </c>
      <c r="D15" s="26">
        <f>변수!D58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변수!D60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6533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6.9</v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0.2076</v>
      </c>
    </row>
    <row r="34">
      <c r="C34" s="2" t="inlineStr">
        <is>
          <t>fair_pbr</t>
        </is>
      </c>
      <c r="D34" t="n">
        <v>2.31</v>
      </c>
    </row>
    <row r="35">
      <c r="C35" s="2" t="inlineStr">
        <is>
          <t>fair_value_pbr</t>
        </is>
      </c>
      <c r="D35" t="n">
        <v>72700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46">
        <f>IFERROR(VLOOKUP($D5,환율,MATCH(J$1,변수H,0),0),"")</f>
        <v/>
      </c>
      <c r="K5" s="46">
        <f>IFERROR(VLOOKUP($D5,환율,MATCH(K$1,변수H,0),0),"")</f>
        <v/>
      </c>
      <c r="L5" s="46">
        <f>IFERROR(VLOOKUP($D5,환율,MATCH(L$1,변수H,0),0),"")</f>
        <v/>
      </c>
      <c r="M5" s="46">
        <f>IFERROR(VLOOKUP($D5,환율,MATCH(M$1,변수H,0),0),"")</f>
        <v/>
      </c>
      <c r="N5" s="46">
        <f>IFERROR(VLOOKUP($D5,환율,MATCH(N$1,변수H,0),0),"")</f>
        <v/>
      </c>
      <c r="O5" s="46">
        <f>IFERROR(VLOOKUP($D5,환율,MATCH(O$1,변수H,0),0),"")</f>
        <v/>
      </c>
      <c r="P5" s="46">
        <f>IFERROR(VLOOKUP($D5,환율,MATCH(P$1,변수H,0),0),"")</f>
        <v/>
      </c>
      <c r="Q5" s="46">
        <f>IFERROR(VLOOKUP($D5,환율,MATCH(Q$1,변수H,0),0),"")</f>
        <v/>
      </c>
      <c r="R5" s="46">
        <f>IFERROR(VLOOKUP($D5,환율,MATCH(R$1,변수H,0),0),"")</f>
        <v/>
      </c>
      <c r="S5" s="46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46">
        <f>IFERROR(VLOOKUP($D7,환율,MATCH(J$1,변수H,0),0),"")</f>
        <v/>
      </c>
      <c r="K7" s="46">
        <f>IFERROR(VLOOKUP($D7,환율,MATCH(K$1,변수H,0),0),"")</f>
        <v/>
      </c>
      <c r="L7" s="46">
        <f>IFERROR(VLOOKUP($D7,환율,MATCH(L$1,변수H,0),0),"")</f>
        <v/>
      </c>
      <c r="M7" s="46">
        <f>IFERROR(VLOOKUP($D7,환율,MATCH(M$1,변수H,0),0),"")</f>
        <v/>
      </c>
      <c r="N7" s="46">
        <f>IFERROR(VLOOKUP($D7,환율,MATCH(N$1,변수H,0),0),"")</f>
        <v/>
      </c>
      <c r="O7" s="46">
        <f>IFERROR(VLOOKUP($D7,환율,MATCH(O$1,변수H,0),0),"")</f>
        <v/>
      </c>
      <c r="P7" s="46">
        <f>IFERROR(VLOOKUP($D7,환율,MATCH(P$1,변수H,0),0),"")</f>
        <v/>
      </c>
      <c r="Q7" s="46">
        <f>IFERROR(VLOOKUP($D7,환율,MATCH(Q$1,변수H,0),0),"")</f>
        <v/>
      </c>
      <c r="R7" s="46">
        <f>IFERROR(VLOOKUP($D7,환율,MATCH(R$1,변수H,0),0),"")</f>
        <v/>
      </c>
      <c r="S7" s="46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46">
        <f>IFERROR(VLOOKUP($D9,환율,MATCH(J$1,변수H,0),0),"")</f>
        <v/>
      </c>
      <c r="K9" s="46">
        <f>IFERROR(VLOOKUP($D9,환율,MATCH(K$1,변수H,0),0),"")</f>
        <v/>
      </c>
      <c r="L9" s="46">
        <f>IFERROR(VLOOKUP($D9,환율,MATCH(L$1,변수H,0),0),"")</f>
        <v/>
      </c>
      <c r="M9" s="46">
        <f>IFERROR(VLOOKUP($D9,환율,MATCH(M$1,변수H,0),0),"")</f>
        <v/>
      </c>
      <c r="N9" s="46">
        <f>IFERROR(VLOOKUP($D9,환율,MATCH(N$1,변수H,0),0),"")</f>
        <v/>
      </c>
      <c r="O9" s="46">
        <f>IFERROR(VLOOKUP($D9,환율,MATCH(O$1,변수H,0),0),"")</f>
        <v/>
      </c>
      <c r="P9" s="46">
        <f>IFERROR(VLOOKUP($D9,환율,MATCH(P$1,변수H,0),0),"")</f>
        <v/>
      </c>
      <c r="Q9" s="46">
        <f>IFERROR(VLOOKUP($D9,환율,MATCH(Q$1,변수H,0),0),"")</f>
        <v/>
      </c>
      <c r="R9" s="46">
        <f>IFERROR(VLOOKUP($D9,환율,MATCH(R$1,변수H,0),0),"")</f>
        <v/>
      </c>
      <c r="S9" s="46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46">
        <f>IFERROR(VLOOKUP($D11,환율,MATCH(J$1,변수H,0),0),"")</f>
        <v/>
      </c>
      <c r="K11" s="46">
        <f>IFERROR(VLOOKUP($D11,환율,MATCH(K$1,변수H,0),0),"")</f>
        <v/>
      </c>
      <c r="L11" s="46">
        <f>IFERROR(VLOOKUP($D11,환율,MATCH(L$1,변수H,0),0),"")</f>
        <v/>
      </c>
      <c r="M11" s="46">
        <f>IFERROR(VLOOKUP($D11,환율,MATCH(M$1,변수H,0),0),"")</f>
        <v/>
      </c>
      <c r="N11" s="46">
        <f>IFERROR(VLOOKUP($D11,환율,MATCH(N$1,변수H,0),0),"")</f>
        <v/>
      </c>
      <c r="O11" s="46">
        <f>IFERROR(VLOOKUP($D11,환율,MATCH(O$1,변수H,0),0),"")</f>
        <v/>
      </c>
      <c r="P11" s="46">
        <f>IFERROR(VLOOKUP($D11,환율,MATCH(P$1,변수H,0),0),"")</f>
        <v/>
      </c>
      <c r="Q11" s="46">
        <f>IFERROR(VLOOKUP($D11,환율,MATCH(Q$1,변수H,0),0),"")</f>
        <v/>
      </c>
      <c r="R11" s="46">
        <f>IFERROR(VLOOKUP($D11,환율,MATCH(R$1,변수H,0),0),"")</f>
        <v/>
      </c>
      <c r="S11" s="46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46">
        <f>IFERROR(VLOOKUP($D13,환율,MATCH(J$1,변수H,0),0),"")</f>
        <v/>
      </c>
      <c r="K13" s="46">
        <f>IFERROR(VLOOKUP($D13,환율,MATCH(K$1,변수H,0),0),"")</f>
        <v/>
      </c>
      <c r="L13" s="46">
        <f>IFERROR(VLOOKUP($D13,환율,MATCH(L$1,변수H,0),0),"")</f>
        <v/>
      </c>
      <c r="M13" s="46">
        <f>IFERROR(VLOOKUP($D13,환율,MATCH(M$1,변수H,0),0),"")</f>
        <v/>
      </c>
      <c r="N13" s="46">
        <f>IFERROR(VLOOKUP($D13,환율,MATCH(N$1,변수H,0),0),"")</f>
        <v/>
      </c>
      <c r="O13" s="46">
        <f>IFERROR(VLOOKUP($D13,환율,MATCH(O$1,변수H,0),0),"")</f>
        <v/>
      </c>
      <c r="P13" s="46">
        <f>IFERROR(VLOOKUP($D13,환율,MATCH(P$1,변수H,0),0),"")</f>
        <v/>
      </c>
      <c r="Q13" s="46">
        <f>IFERROR(VLOOKUP($D13,환율,MATCH(Q$1,변수H,0),0),"")</f>
        <v/>
      </c>
      <c r="R13" s="46">
        <f>IFERROR(VLOOKUP($D13,환율,MATCH(R$1,변수H,0),0),"")</f>
        <v/>
      </c>
      <c r="S13" s="46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변수!D65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-0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