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2719억(sls.by_quarter.marine_hedged_krw_m(헤지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2749억(sls.by_quarter.marine_hedged_krw_m(헤지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2630억(sls.by_quarter.marine_hedged_krw_m(헤지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2296억(sls.by_quarter.marine_hedged_krw_m(헤지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7023억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7652억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8249억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8994억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9764억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10597억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11442억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12437억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7023억 × 2.21%(주석 이자수익 ÷ 평균 이자발생자산(2025Q3~2026Q2)) − 총차입금 0억 × 0.00%(없음) (연율) ÷ 4
[interest]</t>
      </text>
    </comment>
    <comment ref="O12" authorId="0" shapeId="0">
      <text>
        <t>추정: 이자발생자산 7652억 × 2.21%(주석 이자수익 ÷ 평균 이자발생자산(2025Q3~2026Q2)) − 총차입금 0억 × 0.00%(없음) (연율) ÷ 4
[interest]</t>
      </text>
    </comment>
    <comment ref="P12" authorId="0" shapeId="0">
      <text>
        <t>추정: 이자발생자산 8249억 × 2.21%(주석 이자수익 ÷ 평균 이자발생자산(2025Q3~2026Q2)) − 총차입금 0억 × 0.00%(없음) (연율) ÷ 4
[interest]</t>
      </text>
    </comment>
    <comment ref="Q12" authorId="0" shapeId="0">
      <text>
        <t>추정: 이자발생자산 8994억 × 2.21%(주석 이자수익 ÷ 평균 이자발생자산(2025Q3~2026Q2)) − 총차입금 0억 × 0.00%(없음) (연율) ÷ 4
[interest]</t>
      </text>
    </comment>
    <comment ref="S12" authorId="0" shapeId="0">
      <text>
        <t>추정: 이자발생자산 9764억 × 2.21%(주석 이자수익 ÷ 평균 이자발생자산(2025Q3~2026Q2)) − 총차입금 0억 × 0.00%(없음) (연율) ÷ 4
[interest]</t>
      </text>
    </comment>
    <comment ref="T12" authorId="0" shapeId="0">
      <text>
        <t>추정: 이자발생자산 10597억 × 2.21%(주석 이자수익 ÷ 평균 이자발생자산(2025Q3~2026Q2)) − 총차입금 0억 × 0.00%(없음) (연율) ÷ 4
[interest]</t>
      </text>
    </comment>
    <comment ref="U12" authorId="0" shapeId="0">
      <text>
        <t>추정: 이자발생자산 11442억 × 2.21%(주석 이자수익 ÷ 평균 이자발생자산(2025Q3~2026Q2)) − 총차입금 0억 × 0.00%(없음) (연율) ÷ 4
[interest]</t>
      </text>
    </comment>
    <comment ref="V12" authorId="0" shapeId="0">
      <text>
        <t>추정: 이자발생자산 12437억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N38" authorId="0" shapeId="0">
      <text>
        <t>추정: SLS 해양 원화 2719억(sls.by_quarter.marine_hedged_krw_m(헤지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
[sls_link]</t>
      </text>
    </comment>
    <comment ref="O38" authorId="0" shapeId="0">
      <text>
        <t>추정: SLS 해양 원화 2749억(sls.by_quarter.marine_hedged_krw_m(헤지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P38" authorId="0" shapeId="0">
      <text>
        <t>추정: SLS 해양 원화 2630억(sls.by_quarter.marine_hedged_krw_m(헤지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2296억(sls.by_quarter.marine_hedged_krw_m(헤지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T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U38" authorId="0" shapeId="0">
      <text>
        <t>추정: SLS 해양 원화 1870억(sls.by_quarter.marine_hedged_krw_m(헤지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3.0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775억 vs 2,540억 · 2028 777억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1345.14</v>
      </c>
      <c r="M6" s="17" t="n">
        <v>1457.21</v>
      </c>
      <c r="N6" s="16" t="n">
        <v>1341.49</v>
      </c>
      <c r="O6" s="16" t="n">
        <v>1341.49</v>
      </c>
      <c r="P6" s="16" t="n">
        <v>1341.49</v>
      </c>
      <c r="Q6" s="16" t="n">
        <v>1341.49</v>
      </c>
      <c r="R6" s="11" t="n"/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1341.49</v>
      </c>
      <c r="M7" s="17" t="n">
        <v>1341.49</v>
      </c>
      <c r="N7" s="16" t="n">
        <v>1341.49</v>
      </c>
      <c r="O7" s="16" t="n">
        <v>1341.49</v>
      </c>
      <c r="P7" s="16" t="n">
        <v>1341.49</v>
      </c>
      <c r="Q7" s="16" t="n">
        <v>1341.49</v>
      </c>
      <c r="R7" s="11" t="n"/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850.79</v>
      </c>
      <c r="M8" s="17" t="n">
        <v>919.21</v>
      </c>
      <c r="N8" s="16" t="n">
        <v>847.7</v>
      </c>
      <c r="O8" s="16" t="n">
        <v>847.7</v>
      </c>
      <c r="P8" s="16" t="n">
        <v>847.7</v>
      </c>
      <c r="Q8" s="16" t="n">
        <v>847.7</v>
      </c>
      <c r="R8" s="11" t="n"/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847.7</v>
      </c>
      <c r="M9" s="17" t="n">
        <v>847.7</v>
      </c>
      <c r="N9" s="16" t="n">
        <v>847.7</v>
      </c>
      <c r="O9" s="16" t="n">
        <v>847.7</v>
      </c>
      <c r="P9" s="16" t="n">
        <v>847.7</v>
      </c>
      <c r="Q9" s="16" t="n">
        <v>847.7</v>
      </c>
      <c r="R9" s="11" t="n"/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1509.74</v>
      </c>
      <c r="M10" s="17" t="n">
        <v>1689.95</v>
      </c>
      <c r="N10" s="16" t="n">
        <v>1503.27</v>
      </c>
      <c r="O10" s="16" t="n">
        <v>1503.27</v>
      </c>
      <c r="P10" s="16" t="n">
        <v>1503.27</v>
      </c>
      <c r="Q10" s="16" t="n">
        <v>1503.27</v>
      </c>
      <c r="R10" s="11" t="n"/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1503.27</v>
      </c>
      <c r="M11" s="17" t="n">
        <v>1503.27</v>
      </c>
      <c r="N11" s="16" t="n">
        <v>1503.27</v>
      </c>
      <c r="O11" s="16" t="n">
        <v>1503.27</v>
      </c>
      <c r="P11" s="16" t="n">
        <v>1503.27</v>
      </c>
      <c r="Q11" s="16" t="n">
        <v>1503.27</v>
      </c>
      <c r="R11" s="11" t="n"/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200.69</v>
      </c>
      <c r="M12" s="17" t="n">
        <v>213.75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42500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41950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45700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-0.004498833</v>
      </c>
      <c r="L29" s="29" t="n">
        <v>-0.001804744</v>
      </c>
      <c r="M29" s="30" t="n"/>
      <c r="N29" s="29" t="n">
        <v>-0.000456426</v>
      </c>
      <c r="O29" s="29" t="n">
        <v>95.225505591</v>
      </c>
      <c r="P29" s="29" t="n">
        <v>0.011146861</v>
      </c>
      <c r="Q29" s="29" t="n">
        <v>-0.004629097</v>
      </c>
      <c r="R29" s="30" t="n"/>
      <c r="S29" s="29" t="n">
        <v>0.003239036</v>
      </c>
      <c r="T29" s="29" t="n">
        <v>95.220615184</v>
      </c>
      <c r="U29" s="29" t="n">
        <v>0.011815084</v>
      </c>
      <c r="V29" s="29" t="n">
        <v>-0.008562327999999999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-0.004498833</v>
      </c>
      <c r="L30" s="29" t="n">
        <v>-0.001804744</v>
      </c>
      <c r="M30" s="30" t="n"/>
      <c r="N30" s="29" t="n">
        <v>-0.000456426</v>
      </c>
      <c r="O30" s="29" t="n">
        <v>95.225505591</v>
      </c>
      <c r="P30" s="29" t="n">
        <v>0.011146861</v>
      </c>
      <c r="Q30" s="29" t="n">
        <v>-0.004629097</v>
      </c>
      <c r="R30" s="30" t="n"/>
      <c r="S30" s="29" t="n">
        <v>0.003239036</v>
      </c>
      <c r="T30" s="29" t="n">
        <v>95.220615184</v>
      </c>
      <c r="U30" s="29" t="n">
        <v>0.011815084</v>
      </c>
      <c r="V30" s="29" t="n">
        <v>-0.008562327999999999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0.095760448</v>
      </c>
      <c r="M33" s="25" t="n"/>
      <c r="N33" s="31" t="n">
        <v>0.089564501</v>
      </c>
      <c r="O33" s="31" t="n">
        <v>0.07794727999999999</v>
      </c>
      <c r="P33" s="31" t="n">
        <v>0.09029854599999999</v>
      </c>
      <c r="Q33" s="31" t="n">
        <v>0.085578574</v>
      </c>
      <c r="R33" s="25" t="n"/>
      <c r="S33" s="31" t="n">
        <v>0.08535548699999999</v>
      </c>
      <c r="T33" s="31" t="n">
        <v>0.079729996</v>
      </c>
      <c r="U33" s="31" t="n">
        <v>0.08698384300000001</v>
      </c>
      <c r="V33" s="31" t="n">
        <v>0.08103220799999999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195.455121</v>
      </c>
      <c r="M39" s="30" t="n"/>
      <c r="N39" s="29" t="n">
        <v>191.064735</v>
      </c>
      <c r="O39" s="29" t="n">
        <v>193.217762</v>
      </c>
      <c r="P39" s="29" t="n">
        <v>195.317813</v>
      </c>
      <c r="Q39" s="29" t="n">
        <v>195.3015</v>
      </c>
      <c r="R39" s="30" t="n"/>
      <c r="S39" s="29" t="n">
        <v>193.203148</v>
      </c>
      <c r="T39" s="29" t="n">
        <v>193.200973</v>
      </c>
      <c r="U39" s="29" t="n">
        <v>195.292867</v>
      </c>
      <c r="V39" s="29" t="n">
        <v>195.287979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0.268402634</v>
      </c>
      <c r="M41" s="25">
        <f>IFERROR(subQ!M40/subQ!M38,"")</f>
        <v/>
      </c>
      <c r="N41" s="31" t="n">
        <v>0.268401951</v>
      </c>
      <c r="O41" s="31" t="n">
        <v>0.268404685</v>
      </c>
      <c r="P41" s="31" t="n">
        <v>0.268404962</v>
      </c>
      <c r="Q41" s="31" t="n">
        <v>0.268402874</v>
      </c>
      <c r="R41" s="25">
        <f>IFERROR(subQ!R40/subQ!R38,"")</f>
        <v/>
      </c>
      <c r="S41" s="31" t="n">
        <v>0.26840341</v>
      </c>
      <c r="T41" s="31" t="n">
        <v>0.268402219</v>
      </c>
      <c r="U41" s="31" t="n">
        <v>0.268403794</v>
      </c>
      <c r="V41" s="31" t="n">
        <v>0.268402452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42500</v>
      </c>
      <c r="E46" s="2" t="inlineStr">
        <is>
          <t>원 — 네이버 정규장 종가(aik 확정종가 대조 · aik 46,600원)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20261012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0.2275949721551738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0.02443703447803963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0.02207111912335032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1345.14</v>
      </c>
      <c r="K12" s="13" t="n">
        <v>1341.49</v>
      </c>
      <c r="L12" s="13" t="n">
        <v>1341.49</v>
      </c>
      <c r="M12" s="13" t="n">
        <v>1341.49</v>
      </c>
      <c r="N12" s="13" t="n">
        <v>1341.49</v>
      </c>
      <c r="O12" s="13" t="n">
        <v>1341.49</v>
      </c>
      <c r="P12" s="13" t="n">
        <v>1341.49</v>
      </c>
      <c r="Q12" s="13" t="n">
        <v>1341.49</v>
      </c>
      <c r="R12" s="13" t="n">
        <v>1341.49</v>
      </c>
      <c r="S12" s="13" t="n">
        <v>1341.49</v>
      </c>
      <c r="T12" s="13" t="n">
        <v>1341.49</v>
      </c>
      <c r="U12" s="13" t="n">
        <v>1341.49</v>
      </c>
      <c r="V12" s="13" t="n">
        <v>1341.49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1410.95</v>
      </c>
      <c r="K13" s="13" t="n">
        <v>1409.85</v>
      </c>
      <c r="L13" s="13" t="n">
        <v>1409.85</v>
      </c>
      <c r="M13" s="13" t="n">
        <v>1411.99</v>
      </c>
      <c r="N13" s="13" t="n">
        <v>1417.8</v>
      </c>
      <c r="O13" s="13" t="n">
        <v>1418.74</v>
      </c>
      <c r="P13" s="13" t="n">
        <v>1418.74</v>
      </c>
      <c r="Q13" s="13" t="n">
        <v>1419</v>
      </c>
      <c r="R13" s="13" t="n">
        <v>1429.43</v>
      </c>
      <c r="S13" s="13" t="n">
        <v>1423.86</v>
      </c>
      <c r="T13" s="13" t="n">
        <v>1422.84</v>
      </c>
      <c r="U13" s="13" t="n">
        <v>1416.18</v>
      </c>
      <c r="V13" s="13" t="n">
        <v>1396.93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278153.7</v>
      </c>
      <c r="K14" s="18" t="n">
        <v>271895.7</v>
      </c>
      <c r="L14" s="18" t="n">
        <v>274916.8</v>
      </c>
      <c r="M14" s="18" t="n">
        <v>262979.8</v>
      </c>
      <c r="N14" s="18" t="n">
        <v>229595.4</v>
      </c>
      <c r="O14" s="18" t="n">
        <v>210451.2</v>
      </c>
      <c r="P14" s="18" t="n">
        <v>210451.2</v>
      </c>
      <c r="Q14" s="18" t="n">
        <v>187041.9</v>
      </c>
      <c r="R14" s="18" t="n">
        <v>147256.4</v>
      </c>
      <c r="S14" s="18" t="n">
        <v>91311.2</v>
      </c>
      <c r="T14" s="18" t="n">
        <v>76313</v>
      </c>
      <c r="U14" s="18" t="n">
        <v>46843.2</v>
      </c>
      <c r="V14" s="18" t="n">
        <v>20387.5</v>
      </c>
      <c r="W14" s="18" t="n">
        <v>145742.2</v>
      </c>
      <c r="X14" s="18" t="n">
        <v>1054743.7</v>
      </c>
      <c r="Y14" s="18" t="n">
        <v>1039387.7</v>
      </c>
      <c r="Z14" s="18" t="n">
        <v>755200.7</v>
      </c>
      <c r="AA14" s="18" t="n">
        <v>234854.9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278153.7</v>
      </c>
      <c r="K15" s="18" t="n">
        <v>271895.7</v>
      </c>
      <c r="L15" s="18" t="n">
        <v>274916.8</v>
      </c>
      <c r="M15" s="18" t="n">
        <v>262979.8</v>
      </c>
      <c r="N15" s="18" t="n">
        <v>229595.4</v>
      </c>
      <c r="O15" s="18" t="n">
        <v>210451.2</v>
      </c>
      <c r="P15" s="18" t="n">
        <v>210451.2</v>
      </c>
      <c r="Q15" s="18" t="n">
        <v>187041.9</v>
      </c>
      <c r="R15" s="18" t="n">
        <v>147256.4</v>
      </c>
      <c r="S15" s="18" t="n">
        <v>91311.2</v>
      </c>
      <c r="T15" s="18" t="n">
        <v>76313</v>
      </c>
      <c r="U15" s="18" t="n">
        <v>46843.2</v>
      </c>
      <c r="V15" s="18" t="n">
        <v>20387.5</v>
      </c>
      <c r="W15" s="18" t="n">
        <v>145742.2</v>
      </c>
      <c r="X15" s="18" t="n">
        <v>1054743.7</v>
      </c>
      <c r="Y15" s="18" t="n">
        <v>1039387.7</v>
      </c>
      <c r="Z15" s="18" t="n">
        <v>755200.7</v>
      </c>
      <c r="AA15" s="18" t="n">
        <v>234854.9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258606.3</v>
      </c>
      <c r="K16" s="18" t="n">
        <v>252788.2</v>
      </c>
      <c r="L16" s="18" t="n">
        <v>255597</v>
      </c>
      <c r="M16" s="18" t="n">
        <v>243447.7</v>
      </c>
      <c r="N16" s="18" t="n">
        <v>210063.3</v>
      </c>
      <c r="O16" s="18" t="n">
        <v>191131.4</v>
      </c>
      <c r="P16" s="18" t="n">
        <v>191131.4</v>
      </c>
      <c r="Q16" s="18" t="n">
        <v>167509.7</v>
      </c>
      <c r="R16" s="18" t="n">
        <v>127724.3</v>
      </c>
      <c r="S16" s="18" t="n">
        <v>72203.60000000001</v>
      </c>
      <c r="T16" s="18" t="n">
        <v>56993.2</v>
      </c>
      <c r="U16" s="18" t="n">
        <v>27311</v>
      </c>
      <c r="V16" s="18" t="n">
        <v>855.3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19547.4</v>
      </c>
      <c r="K17" s="18" t="n">
        <v>19107.5</v>
      </c>
      <c r="L17" s="18" t="n">
        <v>19319.8</v>
      </c>
      <c r="M17" s="18" t="n">
        <v>19532.1</v>
      </c>
      <c r="N17" s="18" t="n">
        <v>19532.1</v>
      </c>
      <c r="O17" s="18" t="n">
        <v>19319.8</v>
      </c>
      <c r="P17" s="18" t="n">
        <v>19319.8</v>
      </c>
      <c r="Q17" s="18" t="n">
        <v>19532.1</v>
      </c>
      <c r="R17" s="18" t="n">
        <v>19532.1</v>
      </c>
      <c r="S17" s="18" t="n">
        <v>19107.5</v>
      </c>
      <c r="T17" s="18" t="n">
        <v>19319.8</v>
      </c>
      <c r="U17" s="18" t="n">
        <v>19532.1</v>
      </c>
      <c r="V17" s="18" t="n">
        <v>19532.1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원/달러(평균)",환율,MATCH(J$1,변수H,0),0),1345.14)</f>
        <v/>
      </c>
      <c r="K23" s="13">
        <f>IFERROR(VLOOKUP(" 원/달러(평균)",환율,MATCH(K$1,변수H,0),0),1341.49)</f>
        <v/>
      </c>
      <c r="L23" s="13">
        <f>IFERROR(VLOOKUP(" 원/달러(평균)",환율,MATCH(L$1,변수H,0),0),1341.49)</f>
        <v/>
      </c>
      <c r="M23" s="13">
        <f>IFERROR(VLOOKUP(" 원/달러(평균)",환율,MATCH(M$1,변수H,0),0),1341.49)</f>
        <v/>
      </c>
      <c r="N23" s="13">
        <f>IFERROR(VLOOKUP(" 원/달러(평균)",환율,MATCH(N$1,변수H,0),0),1341.49)</f>
        <v/>
      </c>
      <c r="O23" s="13">
        <f>IFERROR(VLOOKUP(" 원/달러(평균)",환율,MATCH(O$1,변수H,0),0),1341.49)</f>
        <v/>
      </c>
      <c r="P23" s="13">
        <f>IFERROR(VLOOKUP(" 원/달러(평균)",환율,MATCH(P$1,변수H,0),0),1341.49)</f>
        <v/>
      </c>
      <c r="Q23" s="13">
        <f>IFERROR(VLOOKUP(" 원/달러(평균)",환율,MATCH(Q$1,변수H,0),0),1341.49)</f>
        <v/>
      </c>
      <c r="R23" s="13">
        <f>IFERROR(VLOOKUP(" 원/달러(평균)",환율,MATCH(R$1,변수H,0),0),1341.49)</f>
        <v/>
      </c>
      <c r="S23" s="13">
        <f>IFERROR(VLOOKUP(" 원/달러(평균)",환율,MATCH(S$1,변수H,0),0),1341.49)</f>
        <v/>
      </c>
      <c r="T23" s="13">
        <f>IFERROR(VLOOKUP(" 원/달러(평균)",환율,MATCH(T$1,변수H,0),0),1341.49)</f>
        <v/>
      </c>
      <c r="U23" s="13">
        <f>IFERROR(VLOOKUP(" 원/달러(평균)",환율,MATCH(U$1,변수H,0),0),1341.49)</f>
        <v/>
      </c>
      <c r="V23" s="13">
        <f>IFERROR(VLOOKUP(" 원/달러(평균)",환율,MATCH(V$1,변수H,0),0),1341.49)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20261012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6675.4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6.37</v>
      </c>
    </row>
    <row r="32">
      <c r="C32" s="2" t="inlineStr">
        <is>
          <t>pbr_now</t>
        </is>
      </c>
      <c r="D32" t="n">
        <v>1.35</v>
      </c>
    </row>
    <row r="33">
      <c r="C33" s="2" t="inlineStr">
        <is>
          <t>roe_fwd</t>
        </is>
      </c>
      <c r="D33" t="n">
        <v>0.2121</v>
      </c>
    </row>
    <row r="34">
      <c r="C34" s="2" t="inlineStr">
        <is>
          <t>fair_pbr</t>
        </is>
      </c>
      <c r="D34" t="n">
        <v>2.36</v>
      </c>
    </row>
    <row r="35">
      <c r="C35" s="2" t="inlineStr">
        <is>
          <t>fair_value_pbr</t>
        </is>
      </c>
      <c r="D35" t="n">
        <v>74300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0.32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