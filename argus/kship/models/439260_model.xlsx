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2777억(sls.by_quarter.marine_hedged_krw_m(헤지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2709억(sls.by_quarter.marine_hedged_krw_m(헤지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190억 유지(패널 신규수주 체결 분기별 상계, net_panel)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2739억(sls.by_quarter.marine_hedged_krw_m(헤지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192억 유지(패널 신규수주 체결 분기별 상계, net_panel)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2620억(sls.by_quarter.marine_hedged_krw_m(헤지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2288억(sls.by_quarter.marine_hedged_krw_m(헤지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2097억(sls.by_quarter.marine_hedged_krw_m(헤지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192억 유지(패널 신규수주 체결 분기별 상계, net_panel)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2097억(sls.by_quarter.marine_hedged_krw_m(헤지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192억 유지(패널 신규수주 체결 분기별 상계, net_panel)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1864억(sls.by_quarter.marine_hedged_krw_m(헤지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1467억(sls.by_quarter.marine_hedged_krw_m(헤지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K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L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N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O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P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Q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S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T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U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V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K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L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N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O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P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Q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S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T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U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V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6410억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7023억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7650억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8244억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8987억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9755억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10587억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11430억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12424억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6410억 × 2.21%(주석 이자수익 ÷ 평균 이자발생자산(2025Q3~2026Q2)) − 총차입금 0억 × 0.00%(없음) (연율) ÷ 4
[interest]</t>
      </text>
    </comment>
    <comment ref="N12" authorId="0" shapeId="0">
      <text>
        <t>추정: 이자발생자산 7023억 × 2.21%(주석 이자수익 ÷ 평균 이자발생자산(2025Q3~2026Q2)) − 총차입금 0억 × 0.00%(없음) (연율) ÷ 4
[interest]</t>
      </text>
    </comment>
    <comment ref="O12" authorId="0" shapeId="0">
      <text>
        <t>추정: 이자발생자산 7650억 × 2.21%(주석 이자수익 ÷ 평균 이자발생자산(2025Q3~2026Q2)) − 총차입금 0억 × 0.00%(없음) (연율) ÷ 4
[interest]</t>
      </text>
    </comment>
    <comment ref="P12" authorId="0" shapeId="0">
      <text>
        <t>추정: 이자발생자산 8244억 × 2.21%(주석 이자수익 ÷ 평균 이자발생자산(2025Q3~2026Q2)) − 총차입금 0억 × 0.00%(없음) (연율) ÷ 4
[interest]</t>
      </text>
    </comment>
    <comment ref="Q12" authorId="0" shapeId="0">
      <text>
        <t>추정: 이자발생자산 8987억 × 2.21%(주석 이자수익 ÷ 평균 이자발생자산(2025Q3~2026Q2)) − 총차입금 0억 × 0.00%(없음) (연율) ÷ 4
[interest]</t>
      </text>
    </comment>
    <comment ref="S12" authorId="0" shapeId="0">
      <text>
        <t>추정: 이자발생자산 9755억 × 2.21%(주석 이자수익 ÷ 평균 이자발생자산(2025Q3~2026Q2)) − 총차입금 0억 × 0.00%(없음) (연율) ÷ 4
[interest]</t>
      </text>
    </comment>
    <comment ref="T12" authorId="0" shapeId="0">
      <text>
        <t>추정: 이자발생자산 10587억 × 2.21%(주석 이자수익 ÷ 평균 이자발생자산(2025Q3~2026Q2)) − 총차입금 0억 × 0.00%(없음) (연율) ÷ 4
[interest]</t>
      </text>
    </comment>
    <comment ref="U12" authorId="0" shapeId="0">
      <text>
        <t>추정: 이자발생자산 11430억 × 2.21%(주석 이자수익 ÷ 평균 이자발생자산(2025Q3~2026Q2)) − 총차입금 0억 × 0.00%(없음) (연율) ÷ 4
[interest]</t>
      </text>
    </comment>
    <comment ref="V12" authorId="0" shapeId="0">
      <text>
        <t>추정: 이자발생자산 12424억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
[sls_link]</t>
      </text>
    </comment>
    <comment ref="L38" authorId="0" shapeId="0">
      <text>
        <t>추정: SLS 해양 원화 2777억(sls.by_quarter.marine_hedged_krw_m(헤지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N38" authorId="0" shapeId="0">
      <text>
        <t>추정: SLS 해양 원화 2709억(sls.by_quarter.marine_hedged_krw_m(헤지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190억 유지(패널 신규수주 체결 분기별 상계, net_panel)
[sls_link]</t>
      </text>
    </comment>
    <comment ref="O38" authorId="0" shapeId="0">
      <text>
        <t>추정: SLS 해양 원화 2739억(sls.by_quarter.marine_hedged_krw_m(헤지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192억 유지(패널 신규수주 체결 분기별 상계, net_panel)
[sls_link]</t>
      </text>
    </comment>
    <comment ref="P38" authorId="0" shapeId="0">
      <text>
        <t>추정: SLS 해양 원화 2620억(sls.by_quarter.marine_hedged_krw_m(헤지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Q38" authorId="0" shapeId="0">
      <text>
        <t>추정: SLS 해양 원화 2288억(sls.by_quarter.marine_hedged_krw_m(헤지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S38" authorId="0" shapeId="0">
      <text>
        <t>추정: SLS 해양 원화 2097억(sls.by_quarter.marine_hedged_krw_m(헤지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192억 유지(패널 신규수주 체결 분기별 상계, net_panel)
[sls_link]</t>
      </text>
    </comment>
    <comment ref="T38" authorId="0" shapeId="0">
      <text>
        <t>추정: SLS 해양 원화 2097억(sls.by_quarter.marine_hedged_krw_m(헤지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192억 유지(패널 신규수주 체결 분기별 상계, net_panel)
[sls_link]</t>
      </text>
    </comment>
    <comment ref="U38" authorId="0" shapeId="0">
      <text>
        <t>추정: SLS 해양 원화 1864억(sls.by_quarter.marine_hedged_krw_m(헤지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V38" authorId="0" shapeId="0">
      <text>
        <t>추정: SLS 해양 원화 1467억(sls.by_quarter.marine_hedged_krw_m(헤지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2.9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10.8% 상수(코호트 모드 reference_anchor); 경로 변화는 등급 없는 비중의 실측 중위 26.8% 채움에서만, 추정 구간 타겟 10.80%→10.80%) / 추정 매출조선 = 2026Q2 기준 잔고 소진분 + forecast_panel base new_order_revenue 신규수주 매출(미보정 book-value proxy, status partial; FY합 12,233억) — 보수/낙관은 scenarios 블록(합산 안 함) / origin 이후 공시 수주 1건 2,713억은 SLS 일정으로 전부 유지, 패널 신규수주에서 체결 분기별 상계(2026Q3 패널 3,882억 − 공시 2,713억 = 1,169억) — 패널 base 신규 매출 −2,366억(2026 57억 · 2027 1,021억 · 2028 1,288억)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유지 SLS(공시) vs 패널 base 신규 매출(상계 후): 2026 344억 vs 25억 · 2027 772억 vs 2,540억 · 2028 774억 vs 9,669억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1337.49</v>
      </c>
      <c r="M6" s="17" t="n">
        <v>1451.19</v>
      </c>
      <c r="N6" s="16" t="n">
        <v>1324.45</v>
      </c>
      <c r="O6" s="16" t="n">
        <v>1324.45</v>
      </c>
      <c r="P6" s="16" t="n">
        <v>1324.45</v>
      </c>
      <c r="Q6" s="16" t="n">
        <v>1324.45</v>
      </c>
      <c r="R6" s="11" t="n"/>
      <c r="S6" s="16" t="n">
        <v>1324.45</v>
      </c>
      <c r="T6" s="16" t="n">
        <v>1324.45</v>
      </c>
      <c r="U6" s="16" t="n">
        <v>1324.45</v>
      </c>
      <c r="V6" s="16" t="n">
        <v>1324.45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1324.45</v>
      </c>
      <c r="M7" s="17" t="n">
        <v>1324.45</v>
      </c>
      <c r="N7" s="16" t="n">
        <v>1324.45</v>
      </c>
      <c r="O7" s="16" t="n">
        <v>1324.45</v>
      </c>
      <c r="P7" s="16" t="n">
        <v>1324.45</v>
      </c>
      <c r="Q7" s="16" t="n">
        <v>1324.45</v>
      </c>
      <c r="R7" s="11" t="n"/>
      <c r="S7" s="16" t="n">
        <v>1324.45</v>
      </c>
      <c r="T7" s="16" t="n">
        <v>1324.45</v>
      </c>
      <c r="U7" s="16" t="n">
        <v>1324.45</v>
      </c>
      <c r="V7" s="16" t="n">
        <v>1324.45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846.51</v>
      </c>
      <c r="M8" s="17" t="n">
        <v>915.5700000000001</v>
      </c>
      <c r="N8" s="16" t="n">
        <v>844.67</v>
      </c>
      <c r="O8" s="16" t="n">
        <v>844.67</v>
      </c>
      <c r="P8" s="16" t="n">
        <v>844.67</v>
      </c>
      <c r="Q8" s="16" t="n">
        <v>844.67</v>
      </c>
      <c r="R8" s="11" t="n"/>
      <c r="S8" s="16" t="n">
        <v>844.67</v>
      </c>
      <c r="T8" s="16" t="n">
        <v>844.67</v>
      </c>
      <c r="U8" s="16" t="n">
        <v>844.67</v>
      </c>
      <c r="V8" s="16" t="n">
        <v>844.67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844.67</v>
      </c>
      <c r="M9" s="17" t="n">
        <v>844.67</v>
      </c>
      <c r="N9" s="16" t="n">
        <v>844.67</v>
      </c>
      <c r="O9" s="16" t="n">
        <v>844.67</v>
      </c>
      <c r="P9" s="16" t="n">
        <v>844.67</v>
      </c>
      <c r="Q9" s="16" t="n">
        <v>844.67</v>
      </c>
      <c r="R9" s="11" t="n"/>
      <c r="S9" s="16" t="n">
        <v>844.67</v>
      </c>
      <c r="T9" s="16" t="n">
        <v>844.67</v>
      </c>
      <c r="U9" s="16" t="n">
        <v>844.67</v>
      </c>
      <c r="V9" s="16" t="n">
        <v>844.67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1500.06</v>
      </c>
      <c r="M10" s="17" t="n">
        <v>1680.5</v>
      </c>
      <c r="N10" s="16" t="n">
        <v>1482.45</v>
      </c>
      <c r="O10" s="16" t="n">
        <v>1482.45</v>
      </c>
      <c r="P10" s="16" t="n">
        <v>1482.45</v>
      </c>
      <c r="Q10" s="16" t="n">
        <v>1482.45</v>
      </c>
      <c r="R10" s="11" t="n"/>
      <c r="S10" s="16" t="n">
        <v>1482.45</v>
      </c>
      <c r="T10" s="16" t="n">
        <v>1482.45</v>
      </c>
      <c r="U10" s="16" t="n">
        <v>1482.45</v>
      </c>
      <c r="V10" s="16" t="n">
        <v>1482.45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1482.45</v>
      </c>
      <c r="M11" s="17" t="n">
        <v>1482.45</v>
      </c>
      <c r="N11" s="16" t="n">
        <v>1482.45</v>
      </c>
      <c r="O11" s="16" t="n">
        <v>1482.45</v>
      </c>
      <c r="P11" s="16" t="n">
        <v>1482.45</v>
      </c>
      <c r="Q11" s="16" t="n">
        <v>1482.45</v>
      </c>
      <c r="R11" s="11" t="n"/>
      <c r="S11" s="16" t="n">
        <v>1482.45</v>
      </c>
      <c r="T11" s="16" t="n">
        <v>1482.45</v>
      </c>
      <c r="U11" s="16" t="n">
        <v>1482.45</v>
      </c>
      <c r="V11" s="16" t="n">
        <v>1482.45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199.88</v>
      </c>
      <c r="M12" s="17" t="n">
        <v>213.06</v>
      </c>
      <c r="N12" s="16" t="n">
        <v>198.56</v>
      </c>
      <c r="O12" s="16" t="n">
        <v>198.56</v>
      </c>
      <c r="P12" s="16" t="n">
        <v>198.56</v>
      </c>
      <c r="Q12" s="16" t="n">
        <v>198.56</v>
      </c>
      <c r="R12" s="11" t="n"/>
      <c r="S12" s="16" t="n">
        <v>198.56</v>
      </c>
      <c r="T12" s="16" t="n">
        <v>198.56</v>
      </c>
      <c r="U12" s="16" t="n">
        <v>198.56</v>
      </c>
      <c r="V12" s="16" t="n">
        <v>198.56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198.56</v>
      </c>
      <c r="M13" s="17" t="n">
        <v>198.56</v>
      </c>
      <c r="N13" s="16" t="n">
        <v>198.56</v>
      </c>
      <c r="O13" s="16" t="n">
        <v>198.56</v>
      </c>
      <c r="P13" s="16" t="n">
        <v>198.56</v>
      </c>
      <c r="Q13" s="16" t="n">
        <v>198.56</v>
      </c>
      <c r="R13" s="11" t="n"/>
      <c r="S13" s="16" t="n">
        <v>198.56</v>
      </c>
      <c r="T13" s="16" t="n">
        <v>198.56</v>
      </c>
      <c r="U13" s="16" t="n">
        <v>198.56</v>
      </c>
      <c r="V13" s="16" t="n">
        <v>198.56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36300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48350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36000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41781.2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-0.002984413</v>
      </c>
      <c r="L29" s="29" t="n">
        <v>0.006568021</v>
      </c>
      <c r="M29" s="30" t="n"/>
      <c r="N29" s="29" t="n">
        <v>0.009323013999999999</v>
      </c>
      <c r="O29" s="29" t="n">
        <v>95.21585199899999</v>
      </c>
      <c r="P29" s="29" t="n">
        <v>0.005459945</v>
      </c>
      <c r="Q29" s="29" t="n">
        <v>0.013927137</v>
      </c>
      <c r="R29" s="30" t="n"/>
      <c r="S29" s="29" t="n">
        <v>-0.00645696</v>
      </c>
      <c r="T29" s="29" t="n">
        <v>95.232031272</v>
      </c>
      <c r="U29" s="29" t="n">
        <v>0.006423135</v>
      </c>
      <c r="V29" s="29" t="n">
        <v>-0.001016982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-0.002984413</v>
      </c>
      <c r="L30" s="29" t="n">
        <v>0.006568021</v>
      </c>
      <c r="M30" s="30" t="n"/>
      <c r="N30" s="29" t="n">
        <v>0.009323013999999999</v>
      </c>
      <c r="O30" s="29" t="n">
        <v>95.21585199899999</v>
      </c>
      <c r="P30" s="29" t="n">
        <v>0.005459945</v>
      </c>
      <c r="Q30" s="29" t="n">
        <v>0.013927137</v>
      </c>
      <c r="R30" s="30" t="n"/>
      <c r="S30" s="29" t="n">
        <v>-0.00645696</v>
      </c>
      <c r="T30" s="29" t="n">
        <v>95.232031272</v>
      </c>
      <c r="U30" s="29" t="n">
        <v>0.006423135</v>
      </c>
      <c r="V30" s="29" t="n">
        <v>-0.001016982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0.104807132</v>
      </c>
      <c r="L33" s="31" t="n">
        <v>0.095660599</v>
      </c>
      <c r="M33" s="25" t="n"/>
      <c r="N33" s="31" t="n">
        <v>0.08928218</v>
      </c>
      <c r="O33" s="31" t="n">
        <v>0.07770268499999999</v>
      </c>
      <c r="P33" s="31" t="n">
        <v>0.090109301</v>
      </c>
      <c r="Q33" s="31" t="n">
        <v>0.085448126</v>
      </c>
      <c r="R33" s="25" t="n"/>
      <c r="S33" s="31" t="n">
        <v>0.08526481700000001</v>
      </c>
      <c r="T33" s="31" t="n">
        <v>0.079653115</v>
      </c>
      <c r="U33" s="31" t="n">
        <v>0.086947126</v>
      </c>
      <c r="V33" s="31" t="n">
        <v>0.08102554300000001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148.90116</v>
      </c>
      <c r="L39" s="29" t="n">
        <v>195.128304</v>
      </c>
      <c r="M39" s="30" t="n"/>
      <c r="N39" s="29" t="n">
        <v>190.363521</v>
      </c>
      <c r="O39" s="29" t="n">
        <v>192.508237</v>
      </c>
      <c r="P39" s="29" t="n">
        <v>194.6033</v>
      </c>
      <c r="Q39" s="29" t="n">
        <v>194.584404</v>
      </c>
      <c r="R39" s="30" t="n"/>
      <c r="S39" s="29" t="n">
        <v>192.498387</v>
      </c>
      <c r="T39" s="29" t="n">
        <v>192.486256</v>
      </c>
      <c r="U39" s="29" t="n">
        <v>194.575763</v>
      </c>
      <c r="V39" s="29" t="n">
        <v>194.578864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· 공시 상계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24.58</v>
      </c>
      <c r="M40" s="30">
        <f>subQ!M39</f>
        <v/>
      </c>
      <c r="N40" s="29" t="n">
        <v>149.36</v>
      </c>
      <c r="O40" s="29" t="n">
        <v>408.45</v>
      </c>
      <c r="P40" s="29" t="n">
        <v>772.01</v>
      </c>
      <c r="Q40" s="29" t="n">
        <v>1210.15</v>
      </c>
      <c r="R40" s="30">
        <f>subQ!R39</f>
        <v/>
      </c>
      <c r="S40" s="29" t="n">
        <v>1693.02</v>
      </c>
      <c r="T40" s="29" t="n">
        <v>2190.75</v>
      </c>
      <c r="U40" s="29" t="n">
        <v>2673.48</v>
      </c>
      <c r="V40" s="29" t="n">
        <v>3111.34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0.268401653</v>
      </c>
      <c r="L41" s="31" t="n">
        <v>0.268404727</v>
      </c>
      <c r="M41" s="25">
        <f>IFERROR(subQ!M40/subQ!M38,"")</f>
        <v/>
      </c>
      <c r="N41" s="31" t="n">
        <v>0.268404205</v>
      </c>
      <c r="O41" s="31" t="n">
        <v>0.268403412</v>
      </c>
      <c r="P41" s="31" t="n">
        <v>0.268403552</v>
      </c>
      <c r="Q41" s="31" t="n">
        <v>0.268403553</v>
      </c>
      <c r="R41" s="25">
        <f>IFERROR(subQ!R40/subQ!R38,"")</f>
        <v/>
      </c>
      <c r="S41" s="31" t="n">
        <v>0.268401958</v>
      </c>
      <c r="T41" s="31" t="n">
        <v>0.268403892</v>
      </c>
      <c r="U41" s="31" t="n">
        <v>0.268403583</v>
      </c>
      <c r="V41" s="31" t="n">
        <v>0.268402845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36300</v>
      </c>
      <c r="E46" s="2" t="inlineStr">
        <is>
          <t>원 — 네이버 정규장 종가(aik 확정종가 대조 · aik 38,000원)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20261026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0.2275937210756476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0.02443659469514871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0.02207159181874941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base(공시 상계)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1337.49</v>
      </c>
      <c r="K12" s="13" t="n">
        <v>1324.45</v>
      </c>
      <c r="L12" s="13" t="n">
        <v>1324.45</v>
      </c>
      <c r="M12" s="13" t="n">
        <v>1324.45</v>
      </c>
      <c r="N12" s="13" t="n">
        <v>1324.45</v>
      </c>
      <c r="O12" s="13" t="n">
        <v>1324.45</v>
      </c>
      <c r="P12" s="13" t="n">
        <v>1324.45</v>
      </c>
      <c r="Q12" s="13" t="n">
        <v>1324.45</v>
      </c>
      <c r="R12" s="13" t="n">
        <v>1324.45</v>
      </c>
      <c r="S12" s="13" t="n">
        <v>1324.45</v>
      </c>
      <c r="T12" s="13" t="n">
        <v>1324.45</v>
      </c>
      <c r="U12" s="13" t="n">
        <v>1324.45</v>
      </c>
      <c r="V12" s="13" t="n">
        <v>1324.45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1408.65</v>
      </c>
      <c r="K13" s="13" t="n">
        <v>1404.74</v>
      </c>
      <c r="L13" s="13" t="n">
        <v>1404.74</v>
      </c>
      <c r="M13" s="13" t="n">
        <v>1406.88</v>
      </c>
      <c r="N13" s="13" t="n">
        <v>1412.69</v>
      </c>
      <c r="O13" s="13" t="n">
        <v>1413.63</v>
      </c>
      <c r="P13" s="13" t="n">
        <v>1413.63</v>
      </c>
      <c r="Q13" s="13" t="n">
        <v>1413.89</v>
      </c>
      <c r="R13" s="13" t="n">
        <v>1424.32</v>
      </c>
      <c r="S13" s="13" t="n">
        <v>1418.75</v>
      </c>
      <c r="T13" s="13" t="n">
        <v>1417.73</v>
      </c>
      <c r="U13" s="13" t="n">
        <v>1411.06</v>
      </c>
      <c r="V13" s="13" t="n">
        <v>1391.82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277701.3</v>
      </c>
      <c r="K14" s="18" t="n">
        <v>270909.9</v>
      </c>
      <c r="L14" s="18" t="n">
        <v>273920</v>
      </c>
      <c r="M14" s="18" t="n">
        <v>262027.7</v>
      </c>
      <c r="N14" s="18" t="n">
        <v>228767.6</v>
      </c>
      <c r="O14" s="18" t="n">
        <v>209692.9</v>
      </c>
      <c r="P14" s="18" t="n">
        <v>209692.9</v>
      </c>
      <c r="Q14" s="18" t="n">
        <v>186368</v>
      </c>
      <c r="R14" s="18" t="n">
        <v>146729.8</v>
      </c>
      <c r="S14" s="18" t="n">
        <v>90983.3</v>
      </c>
      <c r="T14" s="18" t="n">
        <v>76038.89999999999</v>
      </c>
      <c r="U14" s="18" t="n">
        <v>46674.1</v>
      </c>
      <c r="V14" s="18" t="n">
        <v>20312.8</v>
      </c>
      <c r="W14" s="18" t="n">
        <v>145742.2</v>
      </c>
      <c r="X14" s="18" t="n">
        <v>1054291.3</v>
      </c>
      <c r="Y14" s="18" t="n">
        <v>1035625.2</v>
      </c>
      <c r="Z14" s="18" t="n">
        <v>752483.6</v>
      </c>
      <c r="AA14" s="18" t="n">
        <v>234009.1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277701.3</v>
      </c>
      <c r="K15" s="18" t="n">
        <v>270909.9</v>
      </c>
      <c r="L15" s="18" t="n">
        <v>273920</v>
      </c>
      <c r="M15" s="18" t="n">
        <v>262027.7</v>
      </c>
      <c r="N15" s="18" t="n">
        <v>228767.6</v>
      </c>
      <c r="O15" s="18" t="n">
        <v>209692.9</v>
      </c>
      <c r="P15" s="18" t="n">
        <v>209692.9</v>
      </c>
      <c r="Q15" s="18" t="n">
        <v>186368</v>
      </c>
      <c r="R15" s="18" t="n">
        <v>146729.8</v>
      </c>
      <c r="S15" s="18" t="n">
        <v>90983.3</v>
      </c>
      <c r="T15" s="18" t="n">
        <v>76038.89999999999</v>
      </c>
      <c r="U15" s="18" t="n">
        <v>46674.1</v>
      </c>
      <c r="V15" s="18" t="n">
        <v>20312.8</v>
      </c>
      <c r="W15" s="18" t="n">
        <v>145742.2</v>
      </c>
      <c r="X15" s="18" t="n">
        <v>1054291.3</v>
      </c>
      <c r="Y15" s="18" t="n">
        <v>1035625.2</v>
      </c>
      <c r="Z15" s="18" t="n">
        <v>752483.6</v>
      </c>
      <c r="AA15" s="18" t="n">
        <v>234009.1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258186</v>
      </c>
      <c r="K16" s="18" t="n">
        <v>251872.4</v>
      </c>
      <c r="L16" s="18" t="n">
        <v>254670.9</v>
      </c>
      <c r="M16" s="18" t="n">
        <v>242567.2</v>
      </c>
      <c r="N16" s="18" t="n">
        <v>209307</v>
      </c>
      <c r="O16" s="18" t="n">
        <v>190443.8</v>
      </c>
      <c r="P16" s="18" t="n">
        <v>190443.8</v>
      </c>
      <c r="Q16" s="18" t="n">
        <v>166907.5</v>
      </c>
      <c r="R16" s="18" t="n">
        <v>127269.2</v>
      </c>
      <c r="S16" s="18" t="n">
        <v>71945.8</v>
      </c>
      <c r="T16" s="18" t="n">
        <v>56789.8</v>
      </c>
      <c r="U16" s="18" t="n">
        <v>27213.5</v>
      </c>
      <c r="V16" s="18" t="n">
        <v>852.3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19515.3</v>
      </c>
      <c r="K17" s="18" t="n">
        <v>19037.5</v>
      </c>
      <c r="L17" s="18" t="n">
        <v>19249</v>
      </c>
      <c r="M17" s="18" t="n">
        <v>19460.6</v>
      </c>
      <c r="N17" s="18" t="n">
        <v>19460.6</v>
      </c>
      <c r="O17" s="18" t="n">
        <v>19249</v>
      </c>
      <c r="P17" s="18" t="n">
        <v>19249</v>
      </c>
      <c r="Q17" s="18" t="n">
        <v>19460.6</v>
      </c>
      <c r="R17" s="18" t="n">
        <v>19460.6</v>
      </c>
      <c r="S17" s="18" t="n">
        <v>19037.5</v>
      </c>
      <c r="T17" s="18" t="n">
        <v>19249</v>
      </c>
      <c r="U17" s="18" t="n">
        <v>19460.6</v>
      </c>
      <c r="V17" s="18" t="n">
        <v>19460.6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0.108</v>
      </c>
      <c r="F18" s="21" t="n">
        <v>0.108</v>
      </c>
      <c r="G18" s="21" t="n">
        <v>0.108</v>
      </c>
      <c r="H18" s="21" t="n">
        <v>0.108</v>
      </c>
      <c r="I18" s="21" t="n">
        <v>0.108</v>
      </c>
      <c r="J18" s="21" t="n">
        <v>0.108</v>
      </c>
      <c r="K18" s="21" t="n">
        <v>0.108</v>
      </c>
      <c r="L18" s="21" t="n">
        <v>0.108</v>
      </c>
      <c r="M18" s="21" t="n">
        <v>0.108</v>
      </c>
      <c r="N18" s="21" t="n">
        <v>0.108</v>
      </c>
      <c r="O18" s="21" t="n">
        <v>0.108</v>
      </c>
      <c r="P18" s="21" t="n">
        <v>0.108</v>
      </c>
      <c r="Q18" s="21" t="n">
        <v>0.108</v>
      </c>
      <c r="R18" s="21" t="n">
        <v>0.108</v>
      </c>
      <c r="S18" s="21" t="n">
        <v>0.108</v>
      </c>
      <c r="T18" s="21" t="n">
        <v>0.108</v>
      </c>
      <c r="U18" s="21" t="n">
        <v>0.108</v>
      </c>
      <c r="V18" s="21" t="n">
        <v>0.108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원/달러(평균)",환율,MATCH(J$1,변수H,0),0),1337.49)</f>
        <v/>
      </c>
      <c r="K23" s="13">
        <f>IFERROR(VLOOKUP(" 원/달러(평균)",환율,MATCH(K$1,변수H,0),0),1324.45)</f>
        <v/>
      </c>
      <c r="L23" s="13">
        <f>IFERROR(VLOOKUP(" 원/달러(평균)",환율,MATCH(L$1,변수H,0),0),1324.45)</f>
        <v/>
      </c>
      <c r="M23" s="13">
        <f>IFERROR(VLOOKUP(" 원/달러(평균)",환율,MATCH(M$1,변수H,0),0),1324.45)</f>
        <v/>
      </c>
      <c r="N23" s="13">
        <f>IFERROR(VLOOKUP(" 원/달러(평균)",환율,MATCH(N$1,변수H,0),0),1324.45)</f>
        <v/>
      </c>
      <c r="O23" s="13">
        <f>IFERROR(VLOOKUP(" 원/달러(평균)",환율,MATCH(O$1,변수H,0),0),1324.45)</f>
        <v/>
      </c>
      <c r="P23" s="13">
        <f>IFERROR(VLOOKUP(" 원/달러(평균)",환율,MATCH(P$1,변수H,0),0),1324.45)</f>
        <v/>
      </c>
      <c r="Q23" s="13">
        <f>IFERROR(VLOOKUP(" 원/달러(평균)",환율,MATCH(Q$1,변수H,0),0),1324.45)</f>
        <v/>
      </c>
      <c r="R23" s="13">
        <f>IFERROR(VLOOKUP(" 원/달러(평균)",환율,MATCH(R$1,변수H,0),0),1324.45)</f>
        <v/>
      </c>
      <c r="S23" s="13">
        <f>IFERROR(VLOOKUP(" 원/달러(평균)",환율,MATCH(S$1,변수H,0),0),1324.45)</f>
        <v/>
      </c>
      <c r="T23" s="13">
        <f>IFERROR(VLOOKUP(" 원/달러(평균)",환율,MATCH(T$1,변수H,0),0),1324.45)</f>
        <v/>
      </c>
      <c r="U23" s="13">
        <f>IFERROR(VLOOKUP(" 원/달러(평균)",환율,MATCH(U$1,변수H,0),0),1324.45)</f>
        <v/>
      </c>
      <c r="V23" s="13">
        <f>IFERROR(VLOOKUP(" 원/달러(평균)",환율,MATCH(V$1,변수H,0),0),1324.45)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44.89</v>
      </c>
      <c r="I18" s="34" t="n">
        <v>168.62</v>
      </c>
      <c r="J18" s="34" t="n">
        <v>354.76</v>
      </c>
      <c r="K18" s="34" t="n">
        <v>586.88</v>
      </c>
      <c r="L18" s="20">
        <f>SUM(H18:K18)</f>
        <v/>
      </c>
      <c r="M18" s="34" t="n">
        <v>848.54</v>
      </c>
      <c r="N18" s="34" t="n">
        <v>1123.33</v>
      </c>
      <c r="O18" s="34" t="n">
        <v>1394.82</v>
      </c>
      <c r="P18" s="34" t="n">
        <v>1646.57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75.48</v>
      </c>
      <c r="G24" s="20">
        <f>SUM(E24:F24)</f>
        <v/>
      </c>
      <c r="H24" s="34" t="n">
        <v>340.54</v>
      </c>
      <c r="I24" s="34" t="n">
        <v>810.6799999999999</v>
      </c>
      <c r="J24" s="34" t="n">
        <v>1437.41</v>
      </c>
      <c r="K24" s="34" t="n">
        <v>2172.23</v>
      </c>
      <c r="L24" s="20">
        <f>SUM(H24:K24)</f>
        <v/>
      </c>
      <c r="M24" s="34" t="n">
        <v>2966.65</v>
      </c>
      <c r="N24" s="34" t="n">
        <v>3772.19</v>
      </c>
      <c r="O24" s="34" t="n">
        <v>4540.35</v>
      </c>
      <c r="P24" s="34" t="n">
        <v>5222.64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20261026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6663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5.45</v>
      </c>
    </row>
    <row r="32">
      <c r="C32" s="2" t="inlineStr">
        <is>
          <t>pbr_now</t>
        </is>
      </c>
      <c r="D32" t="n">
        <v>1.15</v>
      </c>
    </row>
    <row r="33">
      <c r="C33" s="2" t="inlineStr">
        <is>
          <t>roe_fwd</t>
        </is>
      </c>
      <c r="D33" t="n">
        <v>0.2117</v>
      </c>
    </row>
    <row r="34">
      <c r="C34" s="2" t="inlineStr">
        <is>
          <t>fair_pbr</t>
        </is>
      </c>
      <c r="D34" t="n">
        <v>2.35</v>
      </c>
    </row>
    <row r="35">
      <c r="C35" s="2" t="inlineStr">
        <is>
          <t>fair_value_pbr</t>
        </is>
      </c>
      <c r="D35" t="n">
        <v>74000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0.71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