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BS연결!$C$5:$AO$107</definedName>
    <definedName name="BS별도H">BS별도!$C$1:$AO$1</definedName>
    <definedName name="BS별도">BS별도!$C$5:$AO$99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이동합(t−4) 124661억 × 비례계수 0.0083 × 계절비중 Q3 0.268(계절비중 — 최근 3개 연도(2026, 2025, 2024) 분기/연간 비중 평균; 격자 lag0~4×창8/12/19×수준·YoY·4Q합 중 최대 r=0.92, n=8, 창 8)</t>
      </text>
    </comment>
    <comment ref="AD21" authorId="0" shapeId="0">
      <text>
        <t>모델값 역산(implied): v / 전년동기 − 1
고객지수 4분기 이동합(t−4) 127766억 × 비례계수 0.0083 × 계절비중 Q4 0.236(계절비중 — 최근 3개 연도(2026, 2025, 2024) 분기/연간 비중 평균; 격자 lag0~4×창8/12/19×수준·YoY·4Q합 중 최대 r=0.92, n=8, 창 8)</t>
      </text>
    </comment>
    <comment ref="AF21" authorId="0" shapeId="0">
      <text>
        <t>모델값 역산(implied): v / 전년동기 − 1
고객지수 4분기 이동합(t−4) 133215억 × 비례계수 0.0083 × 계절비중 Q1 0.219(계절비중 — 최근 3개 연도(2026, 2025, 2024) 분기/연간 비중 평균; 격자 lag0~4×창8/12/19×수준·YoY·4Q합 중 최대 r=0.92, n=8, 창 8)</t>
      </text>
    </comment>
    <comment ref="AG21" authorId="0" shapeId="0">
      <text>
        <t>모델값 역산(implied): v / 전년동기 − 1
고객지수 4분기 이동합(t−4) 139943억 × 비례계수 0.0083 × 계절비중 Q2 0.277(계절비중 — 최근 3개 연도(2026, 2025, 2024) 분기/연간 비중 평균; 격자 lag0~4×창8/12/19×수준·YoY·4Q합 중 최대 r=0.92, n=8, 창 8)</t>
      </text>
    </comment>
    <comment ref="AH21" authorId="0" shapeId="0">
      <text>
        <t>모델값 역산(implied): v / 전년동기 − 1
고객지수 4분기 이동합(t−4) 148126억 × 비례계수 0.0083 × 계절비중 Q3 0.268(계절비중 — 최근 3개 연도(2026, 2025, 2024) 분기/연간 비중 평균; 격자 lag0~4×창8/12/19×수준·YoY·4Q합 중 최대 r=0.92, n=8, 창 8)</t>
      </text>
    </comment>
    <comment ref="AI21" authorId="0" shapeId="0">
      <text>
        <t>모델값 역산(implied): v / 전년동기 − 1
고객지수 4분기 이동합(t−4) 155134억 × 비례계수 0.0083 × 계절비중 Q4 0.236(계절비중 — 최근 3개 연도(2026, 2025, 2024) 분기/연간 비중 평균; 격자 lag0~4×창8/12/19×수준·YoY·4Q합 중 최대 r=0.92, n=8, 창 8)</t>
      </text>
    </comment>
    <comment ref="AK21" authorId="0" shapeId="0">
      <text>
        <t>모델값 역산(implied): v / 전년동기 − 1
고객지수 4분기 이동합(t−4) 162466억 × 비례계수 0.0083 × 계절비중 Q1 0.219(계절비중 — 최근 3개 연도(2026, 2025, 2024) 분기/연간 비중 평균; 격자 lag0~4×창8/12/19×수준·YoY·4Q합 중 최대 r=0.92, n=8, 창 8)</t>
      </text>
    </comment>
    <comment ref="AL21" authorId="0" shapeId="0">
      <text>
        <t>모델값 역산(implied): v / 전년동기 − 1
고객지수 4분기 이동합(t−4) 167792억 × 비례계수 0.0083 × 계절비중 Q2 0.277(계절비중 — 최근 3개 연도(2026, 2025, 2024) 분기/연간 비중 평균; 격자 lag0~4×창8/12/19×수준·YoY·4Q합 중 최대 r=0.92, n=8, 창 8)</t>
      </text>
    </comment>
    <comment ref="AM21" authorId="0" shapeId="0">
      <text>
        <t>모델값 역산(implied): v / 전년동기 − 1
고객지수 4분기 이동합(t−4) 173721억 × 비례계수 0.0083 × 계절비중 Q3 0.268(계절비중 — 최근 3개 연도(2026, 2025, 2024) 분기/연간 비중 평균; 격자 lag0~4×창8/12/19×수준·YoY·4Q합 중 최대 r=0.92, n=8, 창 8)</t>
      </text>
    </comment>
    <comment ref="AN21" authorId="0" shapeId="0">
      <text>
        <t>모델값 역산(implied): v / 전년동기 − 1
고객지수 4분기 이동합(t−4) 181448억 × 비례계수 0.0083 × 계절비중 Q4 0.236(계절비중 — 최근 3개 연도(2026, 2025, 2024) 분기/연간 비중 평균; 격자 lag0~4×창8/12/19×수준·YoY·4Q합 중 최대 r=0.92, n=8, 창 8)</t>
      </text>
    </comment>
    <comment ref="AC22" authorId="0" shapeId="0">
      <text>
        <t>3절 스칼라 '판관비율' 참조 — 숫자로 덮어쓰면 이 분기만 바뀐다
매출액 × 판관비율 16.83%(최근 4분기 중위)</t>
      </text>
    </comment>
    <comment ref="AD22" authorId="0" shapeId="0">
      <text>
        <t>3절 스칼라 '판관비율' 참조 — 숫자로 덮어쓰면 이 분기만 바뀐다
매출액 × 판관비율 16.83%(최근 4분기 중위)</t>
      </text>
    </comment>
    <comment ref="AF22" authorId="0" shapeId="0">
      <text>
        <t>3절 스칼라 '판관비율' 참조 — 숫자로 덮어쓰면 이 분기만 바뀐다
매출액 × 판관비율 16.83%(최근 4분기 중위)</t>
      </text>
    </comment>
    <comment ref="AG22" authorId="0" shapeId="0">
      <text>
        <t>3절 스칼라 '판관비율' 참조 — 숫자로 덮어쓰면 이 분기만 바뀐다
매출액 × 판관비율 16.83%(최근 4분기 중위)</t>
      </text>
    </comment>
    <comment ref="AH22" authorId="0" shapeId="0">
      <text>
        <t>3절 스칼라 '판관비율' 참조 — 숫자로 덮어쓰면 이 분기만 바뀐다
매출액 × 판관비율 16.83%(최근 4분기 중위)</t>
      </text>
    </comment>
    <comment ref="AI22" authorId="0" shapeId="0">
      <text>
        <t>3절 스칼라 '판관비율' 참조 — 숫자로 덮어쓰면 이 분기만 바뀐다
매출액 × 판관비율 16.83%(최근 4분기 중위)</t>
      </text>
    </comment>
    <comment ref="AK22" authorId="0" shapeId="0">
      <text>
        <t>3절 스칼라 '판관비율' 참조 — 숫자로 덮어쓰면 이 분기만 바뀐다
매출액 × 판관비율 16.83%(최근 4분기 중위)</t>
      </text>
    </comment>
    <comment ref="AL22" authorId="0" shapeId="0">
      <text>
        <t>3절 스칼라 '판관비율' 참조 — 숫자로 덮어쓰면 이 분기만 바뀐다
매출액 × 판관비율 16.83%(최근 4분기 중위)</t>
      </text>
    </comment>
    <comment ref="AM22" authorId="0" shapeId="0">
      <text>
        <t>3절 스칼라 '판관비율' 참조 — 숫자로 덮어쓰면 이 분기만 바뀐다
매출액 × 판관비율 16.83%(최근 4분기 중위)</t>
      </text>
    </comment>
    <comment ref="AN22" authorId="0" shapeId="0">
      <text>
        <t>3절 스칼라 '판관비율' 참조 — 숫자로 덮어쓰면 이 분기만 바뀐다
매출액 × 판관비율 16.83%(최근 4분기 중위)</t>
      </text>
    </comment>
    <comment ref="AC23" authorId="0" shapeId="0">
      <text>
        <t>모델값 역산(implied): v / 매출액
매출액 × OPM(최근 8분기 OPM 중위 18.5% 유지)</t>
      </text>
    </comment>
    <comment ref="AD23" authorId="0" shapeId="0">
      <text>
        <t>모델값 역산(implied): v / 매출액
매출액 × OPM(최근 8분기 OPM 중위 18.5% 유지)</t>
      </text>
    </comment>
    <comment ref="AF23" authorId="0" shapeId="0">
      <text>
        <t>모델값 역산(implied): v / 매출액
매출액 × OPM(최근 8분기 OPM 중위 18.5% 유지)</t>
      </text>
    </comment>
    <comment ref="AG23" authorId="0" shapeId="0">
      <text>
        <t>모델값 역산(implied): v / 매출액
매출액 × OPM(최근 8분기 OPM 중위 18.5% 유지)</t>
      </text>
    </comment>
    <comment ref="AH23" authorId="0" shapeId="0">
      <text>
        <t>모델값 역산(implied): v / 매출액
매출액 × OPM(최근 8분기 OPM 중위 18.5% 유지)</t>
      </text>
    </comment>
    <comment ref="AI23" authorId="0" shapeId="0">
      <text>
        <t>모델값 역산(implied): v / 매출액
매출액 × OPM(최근 8분기 OPM 중위 18.5% 유지)</t>
      </text>
    </comment>
    <comment ref="AK23" authorId="0" shapeId="0">
      <text>
        <t>모델값 역산(implied): v / 매출액
매출액 × OPM(최근 8분기 OPM 중위 18.5% 유지)</t>
      </text>
    </comment>
    <comment ref="AL23" authorId="0" shapeId="0">
      <text>
        <t>모델값 역산(implied): v / 매출액
매출액 × OPM(최근 8분기 OPM 중위 18.5% 유지)</t>
      </text>
    </comment>
    <comment ref="AM23" authorId="0" shapeId="0">
      <text>
        <t>모델값 역산(implied): v / 매출액
매출액 × OPM(최근 8분기 OPM 중위 18.5% 유지)</t>
      </text>
    </comment>
    <comment ref="AN23" authorId="0" shapeId="0">
      <text>
        <t>모델값 역산(implied): v / 매출액
매출액 × OPM(최근 8분기 OPM 중위 18.5%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D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F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G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H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I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K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L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M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N26" authorId="0" shapeId="0">
      <text>
        <t>3절 스칼라 '세율' 참조 — 숫자로 덮어쓰면 이 분기만 바뀐다
max(세전, 0) × 세율 19.8%(최근 12분기 유효세율 19.8%(5~27% 안 — 그대로))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모델 v 그대로
최근 4분기 감가상각비 중위 유지</t>
      </text>
    </comment>
    <comment ref="AD28" authorId="0" shapeId="0">
      <text>
        <t>모델값 역산(implied): 모델 v 그대로
최근 4분기 감가상각비 중위 유지</t>
      </text>
    </comment>
    <comment ref="AF28" authorId="0" shapeId="0">
      <text>
        <t>모델값 역산(implied): 모델 v 그대로
최근 4분기 감가상각비 중위 유지</t>
      </text>
    </comment>
    <comment ref="AG28" authorId="0" shapeId="0">
      <text>
        <t>모델값 역산(implied): 모델 v 그대로
최근 4분기 감가상각비 중위 유지</t>
      </text>
    </comment>
    <comment ref="AH28" authorId="0" shapeId="0">
      <text>
        <t>모델값 역산(implied): 모델 v 그대로
최근 4분기 감가상각비 중위 유지</t>
      </text>
    </comment>
    <comment ref="AI28" authorId="0" shapeId="0">
      <text>
        <t>모델값 역산(implied): 모델 v 그대로
최근 4분기 감가상각비 중위 유지</t>
      </text>
    </comment>
    <comment ref="AK28" authorId="0" shapeId="0">
      <text>
        <t>모델값 역산(implied): 모델 v 그대로
최근 4분기 감가상각비 중위 유지</t>
      </text>
    </comment>
    <comment ref="AL28" authorId="0" shapeId="0">
      <text>
        <t>모델값 역산(implied): 모델 v 그대로
최근 4분기 감가상각비 중위 유지</t>
      </text>
    </comment>
    <comment ref="AM28" authorId="0" shapeId="0">
      <text>
        <t>모델값 역산(implied): 모델 v 그대로
최근 4분기 감가상각비 중위 유지</t>
      </text>
    </comment>
    <comment ref="AN28" authorId="0" shapeId="0">
      <text>
        <t>모델값 역산(implied): 모델 v 그대로
최근 4분기 감가상각비 중위 유지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전분기 − 1 (전년동기 없음 → 전분기 대비)
최근 2분기(2026Q1~2026Q2) CAPEX 중위 유지 — 순차입금 롤에 반영(FCF 근사)</t>
      </text>
    </comment>
    <comment ref="AD36" authorId="0" shapeId="0">
      <text>
        <t>모델값 역산(implied): v / 전분기 − 1 (전년동기 없음 → 전분기 대비)
최근 2분기(2026Q1~2026Q2) CAPEX 중위 유지 — 순차입금 롤에 반영(FCF 근사)</t>
      </text>
    </comment>
    <comment ref="AF36" authorId="0" shapeId="0">
      <text>
        <t>모델값 역산(implied): v / 전년동기 − 1
최근 2분기(2026Q1~2026Q2) CAPEX 중위 유지 — 순차입금 롤에 반영(FCF 근사)</t>
      </text>
    </comment>
    <comment ref="AG36" authorId="0" shapeId="0">
      <text>
        <t>모델값 역산(implied): v / 전년동기 − 1
최근 2분기(2026Q1~2026Q2) CAPEX 중위 유지 — 순차입금 롤에 반영(FCF 근사)</t>
      </text>
    </comment>
    <comment ref="AH36" authorId="0" shapeId="0">
      <text>
        <t>모델값 역산(implied): v / 전년동기 − 1
최근 2분기(2026Q1~2026Q2) CAPEX 중위 유지 — 순차입금 롤에 반영(FCF 근사)</t>
      </text>
    </comment>
    <comment ref="AI36" authorId="0" shapeId="0">
      <text>
        <t>모델값 역산(implied): v / 전년동기 − 1
최근 2분기(2026Q1~2026Q2) CAPEX 중위 유지 — 순차입금 롤에 반영(FCF 근사)</t>
      </text>
    </comment>
    <comment ref="AK36" authorId="0" shapeId="0">
      <text>
        <t>모델값 역산(implied): v / 전년동기 − 1
최근 2분기(2026Q1~2026Q2) CAPEX 중위 유지 — 순차입금 롤에 반영(FCF 근사)</t>
      </text>
    </comment>
    <comment ref="AL36" authorId="0" shapeId="0">
      <text>
        <t>모델값 역산(implied): v / 전년동기 − 1
최근 2분기(2026Q1~2026Q2) CAPEX 중위 유지 — 순차입금 롤에 반영(FCF 근사)</t>
      </text>
    </comment>
    <comment ref="AM36" authorId="0" shapeId="0">
      <text>
        <t>모델값 역산(implied): v / 전년동기 − 1
최근 2분기(2026Q1~2026Q2) CAPEX 중위 유지 — 순차입금 롤에 반영(FCF 근사)</t>
      </text>
    </comment>
    <comment ref="AN36" authorId="0" shapeId="0">
      <text>
        <t>모델값 역산(implied): v / 전년동기 − 1
최근 2분기(2026Q1~2026Q2) CAPEX 중위 유지 — 순차입금 롤에 반영(FCF 근사)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6,000원 유지</t>
      </text>
    </comment>
    <comment ref="AI39" authorId="0" shapeId="0">
      <text>
        <t>모델값 역산(implied): 모델 v 그대로
직전 결산 DPS 6,000원 유지</t>
      </text>
    </comment>
    <comment ref="AN39" authorId="0" shapeId="0">
      <text>
        <t>모델값 역산(implied): 모델 v 그대로
직전 결산 DPS 6,000원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이동합(t−4) 124661억 × 비례계수 0.0083 × 계절비중 Q3 0.268(계절비중 — 최근 3개 연도(2026, 2025, 2024) 분기/연간 비중 평균; 격자 lag0~4×창8/12/19×수준·YoY·4Q합 중 최대 r=0.92, n=8, 창 8)
[yoy]</t>
      </text>
    </comment>
    <comment ref="AD5" authorId="0" shapeId="0">
      <text>
        <t>추정: 고객지수 4분기 이동합(t−4) 127766억 × 비례계수 0.0083 × 계절비중 Q4 0.236(계절비중 — 최근 3개 연도(2026, 2025, 2024) 분기/연간 비중 평균; 격자 lag0~4×창8/12/19×수준·YoY·4Q합 중 최대 r=0.92, n=8, 창 8)
[yoy]</t>
      </text>
    </comment>
    <comment ref="AF5" authorId="0" shapeId="0">
      <text>
        <t>추정: 고객지수 4분기 이동합(t−4) 133215억 × 비례계수 0.0083 × 계절비중 Q1 0.219(계절비중 — 최근 3개 연도(2026, 2025, 2024) 분기/연간 비중 평균; 격자 lag0~4×창8/12/19×수준·YoY·4Q합 중 최대 r=0.92, n=8, 창 8)
[yoy]</t>
      </text>
    </comment>
    <comment ref="AG5" authorId="0" shapeId="0">
      <text>
        <t>추정: 고객지수 4분기 이동합(t−4) 139943억 × 비례계수 0.0083 × 계절비중 Q2 0.277(계절비중 — 최근 3개 연도(2026, 2025, 2024) 분기/연간 비중 평균; 격자 lag0~4×창8/12/19×수준·YoY·4Q합 중 최대 r=0.92, n=8, 창 8)
[yoy]</t>
      </text>
    </comment>
    <comment ref="AH5" authorId="0" shapeId="0">
      <text>
        <t>추정: 고객지수 4분기 이동합(t−4) 148126억 × 비례계수 0.0083 × 계절비중 Q3 0.268(계절비중 — 최근 3개 연도(2026, 2025, 2024) 분기/연간 비중 평균; 격자 lag0~4×창8/12/19×수준·YoY·4Q합 중 최대 r=0.92, n=8, 창 8)
[yoy]</t>
      </text>
    </comment>
    <comment ref="AI5" authorId="0" shapeId="0">
      <text>
        <t>추정: 고객지수 4분기 이동합(t−4) 155134억 × 비례계수 0.0083 × 계절비중 Q4 0.236(계절비중 — 최근 3개 연도(2026, 2025, 2024) 분기/연간 비중 평균; 격자 lag0~4×창8/12/19×수준·YoY·4Q합 중 최대 r=0.92, n=8, 창 8)
[yoy]</t>
      </text>
    </comment>
    <comment ref="AK5" authorId="0" shapeId="0">
      <text>
        <t>추정: 고객지수 4분기 이동합(t−4) 162466억 × 비례계수 0.0083 × 계절비중 Q1 0.219(계절비중 — 최근 3개 연도(2026, 2025, 2024) 분기/연간 비중 평균; 격자 lag0~4×창8/12/19×수준·YoY·4Q합 중 최대 r=0.92, n=8, 창 8)
[yoy]</t>
      </text>
    </comment>
    <comment ref="AL5" authorId="0" shapeId="0">
      <text>
        <t>추정: 고객지수 4분기 이동합(t−4) 167792억 × 비례계수 0.0083 × 계절비중 Q2 0.277(계절비중 — 최근 3개 연도(2026, 2025, 2024) 분기/연간 비중 평균; 격자 lag0~4×창8/12/19×수준·YoY·4Q합 중 최대 r=0.92, n=8, 창 8)
[yoy]</t>
      </text>
    </comment>
    <comment ref="AM5" authorId="0" shapeId="0">
      <text>
        <t>추정: 고객지수 4분기 이동합(t−4) 173721억 × 비례계수 0.0083 × 계절비중 Q3 0.268(계절비중 — 최근 3개 연도(2026, 2025, 2024) 분기/연간 비중 평균; 격자 lag0~4×창8/12/19×수준·YoY·4Q합 중 최대 r=0.92, n=8, 창 8)
[yoy]</t>
      </text>
    </comment>
    <comment ref="AN5" authorId="0" shapeId="0">
      <text>
        <t>추정: 고객지수 4분기 이동합(t−4) 181448억 × 비례계수 0.0083 × 계절비중 Q4 0.236(계절비중 — 최근 3개 연도(2026, 2025, 2024) 분기/연간 비중 평균; 격자 lag0~4×창8/12/19×수준·YoY·4Q합 중 최대 r=0.92,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16.83%(최근 4분기 중위)
[ratio]</t>
      </text>
    </comment>
    <comment ref="AD8" authorId="0" shapeId="0">
      <text>
        <t>추정: 매출액 × 판관비율 16.83%(최근 4분기 중위)
[ratio]</t>
      </text>
    </comment>
    <comment ref="AF8" authorId="0" shapeId="0">
      <text>
        <t>추정: 매출액 × 판관비율 16.83%(최근 4분기 중위)
[ratio]</t>
      </text>
    </comment>
    <comment ref="AG8" authorId="0" shapeId="0">
      <text>
        <t>추정: 매출액 × 판관비율 16.83%(최근 4분기 중위)
[ratio]</t>
      </text>
    </comment>
    <comment ref="AH8" authorId="0" shapeId="0">
      <text>
        <t>추정: 매출액 × 판관비율 16.83%(최근 4분기 중위)
[ratio]</t>
      </text>
    </comment>
    <comment ref="AI8" authorId="0" shapeId="0">
      <text>
        <t>추정: 매출액 × 판관비율 16.83%(최근 4분기 중위)
[ratio]</t>
      </text>
    </comment>
    <comment ref="AK8" authorId="0" shapeId="0">
      <text>
        <t>추정: 매출액 × 판관비율 16.83%(최근 4분기 중위)
[ratio]</t>
      </text>
    </comment>
    <comment ref="AL8" authorId="0" shapeId="0">
      <text>
        <t>추정: 매출액 × 판관비율 16.83%(최근 4분기 중위)
[ratio]</t>
      </text>
    </comment>
    <comment ref="AM8" authorId="0" shapeId="0">
      <text>
        <t>추정: 매출액 × 판관비율 16.83%(최근 4분기 중위)
[ratio]</t>
      </text>
    </comment>
    <comment ref="AN8" authorId="0" shapeId="0">
      <text>
        <t>추정: 매출액 × 판관비율 16.83%(최근 4분기 중위)
[ratio]</t>
      </text>
    </comment>
    <comment ref="AC9" authorId="0" shapeId="0">
      <text>
        <t>추정: 매출액 × OPM(최근 8분기 OPM 중위 18.5% 유지)
[ratio]</t>
      </text>
    </comment>
    <comment ref="AD9" authorId="0" shapeId="0">
      <text>
        <t>추정: 매출액 × OPM(최근 8분기 OPM 중위 18.5% 유지)
[ratio]</t>
      </text>
    </comment>
    <comment ref="AF9" authorId="0" shapeId="0">
      <text>
        <t>추정: 매출액 × OPM(최근 8분기 OPM 중위 18.5% 유지)
[ratio]</t>
      </text>
    </comment>
    <comment ref="AG9" authorId="0" shapeId="0">
      <text>
        <t>추정: 매출액 × OPM(최근 8분기 OPM 중위 18.5% 유지)
[ratio]</t>
      </text>
    </comment>
    <comment ref="AH9" authorId="0" shapeId="0">
      <text>
        <t>추정: 매출액 × OPM(최근 8분기 OPM 중위 18.5% 유지)
[ratio]</t>
      </text>
    </comment>
    <comment ref="AI9" authorId="0" shapeId="0">
      <text>
        <t>추정: 매출액 × OPM(최근 8분기 OPM 중위 18.5% 유지)
[ratio]</t>
      </text>
    </comment>
    <comment ref="AK9" authorId="0" shapeId="0">
      <text>
        <t>추정: 매출액 × OPM(최근 8분기 OPM 중위 18.5% 유지)
[ratio]</t>
      </text>
    </comment>
    <comment ref="AL9" authorId="0" shapeId="0">
      <text>
        <t>추정: 매출액 × OPM(최근 8분기 OPM 중위 18.5% 유지)
[ratio]</t>
      </text>
    </comment>
    <comment ref="AM9" authorId="0" shapeId="0">
      <text>
        <t>추정: 매출액 × OPM(최근 8분기 OPM 중위 18.5% 유지)
[ratio]</t>
      </text>
    </comment>
    <comment ref="AN9" authorId="0" shapeId="0">
      <text>
        <t>추정: 매출액 × OPM(최근 8분기 OPM 중위 18.5% 유지)
[ratio]</t>
      </text>
    </comment>
    <comment ref="AC10" authorId="0" shapeId="0">
      <text>
        <t>추정: 최근 8분기 OPM 중위 18.5% 유지
[divide]</t>
      </text>
    </comment>
    <comment ref="AD10" authorId="0" shapeId="0">
      <text>
        <t>추정: 최근 8분기 OPM 중위 18.5% 유지
[divide]</t>
      </text>
    </comment>
    <comment ref="AF10" authorId="0" shapeId="0">
      <text>
        <t>추정: 최근 8분기 OPM 중위 18.5% 유지
[divide]</t>
      </text>
    </comment>
    <comment ref="AG10" authorId="0" shapeId="0">
      <text>
        <t>추정: 최근 8분기 OPM 중위 18.5% 유지
[divide]</t>
      </text>
    </comment>
    <comment ref="AH10" authorId="0" shapeId="0">
      <text>
        <t>추정: 최근 8분기 OPM 중위 18.5% 유지
[divide]</t>
      </text>
    </comment>
    <comment ref="AI10" authorId="0" shapeId="0">
      <text>
        <t>추정: 최근 8분기 OPM 중위 18.5% 유지
[divide]</t>
      </text>
    </comment>
    <comment ref="AK10" authorId="0" shapeId="0">
      <text>
        <t>추정: 최근 8분기 OPM 중위 18.5% 유지
[divide]</t>
      </text>
    </comment>
    <comment ref="AL10" authorId="0" shapeId="0">
      <text>
        <t>추정: 최근 8분기 OPM 중위 18.5% 유지
[divide]</t>
      </text>
    </comment>
    <comment ref="AM10" authorId="0" shapeId="0">
      <text>
        <t>추정: 최근 8분기 OPM 중위 18.5% 유지
[divide]</t>
      </text>
    </comment>
    <comment ref="AN10" authorId="0" shapeId="0">
      <text>
        <t>추정: 최근 8분기 OPM 중위 18.5%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774억 × 3.40%(주석 이자수익 ÷ 평균 이자발생자산(2025Q3~2026Q2)) − 총차입금 0억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821억 × 3.40%(주석 이자수익 ÷ 평균 이자발생자산(2025Q3~2026Q2)) − 총차입금 0억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865억 × 3.40%(주석 이자수익 ÷ 평균 이자발생자산(2025Q3~2026Q2)) − 총차입금 0억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907억 × 3.40%(주석 이자수익 ÷ 평균 이자발생자산(2025Q3~2026Q2)) − 총차입금 0억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660억 × 3.40%(주석 이자수익 ÷ 평균 이자발생자산(2025Q3~2026Q2)) − 총차입금 0억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713억 × 3.40%(주석 이자수익 ÷ 평균 이자발생자산(2025Q3~2026Q2)) − 총차입금 0억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764억 × 3.40%(주석 이자수익 ÷ 평균 이자발생자산(2025Q3~2026Q2)) − 총차입금 0억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814억 × 3.40%(주석 이자수익 ÷ 평균 이자발생자산(2025Q3~2026Q2)) − 총차입금 0억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575억 × 3.40%(주석 이자수익 ÷ 평균 이자발생자산(2025Q3~2026Q2)) − 총차입금 0억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637억 × 3.40%(주석 이자수익 ÷ 평균 이자발생자산(2025Q3~2026Q2)) − 총차입금 0억 × 0.00%(없음) (연율) ÷ 4; 환율 효과는 환관련손익 행 별도
[identity]</t>
      </text>
    </comment>
    <comment ref="AC12" authorId="0" shapeId="0">
      <text>
        <t>추정: 이자발생자산 774억 × 3.40%(주석 이자수익 ÷ 평균 이자발생자산(2025Q3~2026Q2)) − 총차입금 0억 × 0.00%(없음) (연율) ÷ 4
[interest]</t>
      </text>
    </comment>
    <comment ref="AD12" authorId="0" shapeId="0">
      <text>
        <t>추정: 이자발생자산 821억 × 3.40%(주석 이자수익 ÷ 평균 이자발생자산(2025Q3~2026Q2)) − 총차입금 0억 × 0.00%(없음) (연율) ÷ 4
[interest]</t>
      </text>
    </comment>
    <comment ref="AF12" authorId="0" shapeId="0">
      <text>
        <t>추정: 이자발생자산 865억 × 3.40%(주석 이자수익 ÷ 평균 이자발생자산(2025Q3~2026Q2)) − 총차입금 0억 × 0.00%(없음) (연율) ÷ 4
[interest]</t>
      </text>
    </comment>
    <comment ref="AG12" authorId="0" shapeId="0">
      <text>
        <t>추정: 이자발생자산 907억 × 3.40%(주석 이자수익 ÷ 평균 이자발생자산(2025Q3~2026Q2)) − 총차입금 0억 × 0.00%(없음) (연율) ÷ 4
[interest]</t>
      </text>
    </comment>
    <comment ref="AH12" authorId="0" shapeId="0">
      <text>
        <t>추정: 이자발생자산 660억 × 3.40%(주석 이자수익 ÷ 평균 이자발생자산(2025Q3~2026Q2)) − 총차입금 0억 × 0.00%(없음) (연율) ÷ 4
[interest]</t>
      </text>
    </comment>
    <comment ref="AI12" authorId="0" shapeId="0">
      <text>
        <t>추정: 이자발생자산 713억 × 3.40%(주석 이자수익 ÷ 평균 이자발생자산(2025Q3~2026Q2)) − 총차입금 0억 × 0.00%(없음) (연율) ÷ 4
[interest]</t>
      </text>
    </comment>
    <comment ref="AK12" authorId="0" shapeId="0">
      <text>
        <t>추정: 이자발생자산 764억 × 3.40%(주석 이자수익 ÷ 평균 이자발생자산(2025Q3~2026Q2)) − 총차입금 0억 × 0.00%(없음) (연율) ÷ 4
[interest]</t>
      </text>
    </comment>
    <comment ref="AL12" authorId="0" shapeId="0">
      <text>
        <t>추정: 이자발생자산 814억 × 3.40%(주석 이자수익 ÷ 평균 이자발생자산(2025Q3~2026Q2)) − 총차입금 0억 × 0.00%(없음) (연율) ÷ 4
[interest]</t>
      </text>
    </comment>
    <comment ref="AM12" authorId="0" shapeId="0">
      <text>
        <t>추정: 이자발생자산 575억 × 3.40%(주석 이자수익 ÷ 평균 이자발생자산(2025Q3~2026Q2)) − 총차입금 0억 × 0.00%(없음) (연율) ÷ 4
[interest]</t>
      </text>
    </comment>
    <comment ref="AN12" authorId="0" shapeId="0">
      <text>
        <t>추정: 이자발생자산 637억 × 3.40%(주석 이자수익 ÷ 평균 이자발생자산(2025Q3~2026Q2)) − 총차입금 0억 × 0.00%(없음) (연율) ÷ 4
[interest]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19.8%(최근 12분기 유효세율 19.8%(5~27% 안 — 그대로))
[tax]</t>
      </text>
    </comment>
    <comment ref="AD16" authorId="0" shapeId="0">
      <text>
        <t>추정: max(세전, 0) × 세율 19.8%(최근 12분기 유효세율 19.8%(5~27% 안 — 그대로))
[tax]</t>
      </text>
    </comment>
    <comment ref="AF16" authorId="0" shapeId="0">
      <text>
        <t>추정: max(세전, 0) × 세율 19.8%(최근 12분기 유효세율 19.8%(5~27% 안 — 그대로))
[tax]</t>
      </text>
    </comment>
    <comment ref="AG16" authorId="0" shapeId="0">
      <text>
        <t>추정: max(세전, 0) × 세율 19.8%(최근 12분기 유효세율 19.8%(5~27% 안 — 그대로))
[tax]</t>
      </text>
    </comment>
    <comment ref="AH16" authorId="0" shapeId="0">
      <text>
        <t>추정: max(세전, 0) × 세율 19.8%(최근 12분기 유효세율 19.8%(5~27% 안 — 그대로))
[tax]</t>
      </text>
    </comment>
    <comment ref="AI16" authorId="0" shapeId="0">
      <text>
        <t>추정: max(세전, 0) × 세율 19.8%(최근 12분기 유효세율 19.8%(5~27% 안 — 그대로))
[tax]</t>
      </text>
    </comment>
    <comment ref="AK16" authorId="0" shapeId="0">
      <text>
        <t>추정: max(세전, 0) × 세율 19.8%(최근 12분기 유효세율 19.8%(5~27% 안 — 그대로))
[tax]</t>
      </text>
    </comment>
    <comment ref="AL16" authorId="0" shapeId="0">
      <text>
        <t>추정: max(세전, 0) × 세율 19.8%(최근 12분기 유효세율 19.8%(5~27% 안 — 그대로))
[tax]</t>
      </text>
    </comment>
    <comment ref="AM16" authorId="0" shapeId="0">
      <text>
        <t>추정: max(세전, 0) × 세율 19.8%(최근 12분기 유효세율 19.8%(5~27% 안 — 그대로))
[tax]</t>
      </text>
    </comment>
    <comment ref="AN16" authorId="0" shapeId="0">
      <text>
        <t>추정: max(세전, 0) × 세율 19.8%(최근 12분기 유효세율 19.8%(5~27% 안 — 그대로))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최근 4분기 감가상각비 중위 유지
[abs]</t>
      </text>
    </comment>
    <comment ref="AD19" authorId="0" shapeId="0">
      <text>
        <t>추정: 최근 4분기 감가상각비 중위 유지
[abs]</t>
      </text>
    </comment>
    <comment ref="AF19" authorId="0" shapeId="0">
      <text>
        <t>추정: 최근 4분기 감가상각비 중위 유지
[abs]</t>
      </text>
    </comment>
    <comment ref="AG19" authorId="0" shapeId="0">
      <text>
        <t>추정: 최근 4분기 감가상각비 중위 유지
[abs]</t>
      </text>
    </comment>
    <comment ref="AH19" authorId="0" shapeId="0">
      <text>
        <t>추정: 최근 4분기 감가상각비 중위 유지
[abs]</t>
      </text>
    </comment>
    <comment ref="AI19" authorId="0" shapeId="0">
      <text>
        <t>추정: 최근 4분기 감가상각비 중위 유지
[abs]</t>
      </text>
    </comment>
    <comment ref="AK19" authorId="0" shapeId="0">
      <text>
        <t>추정: 최근 4분기 감가상각비 중위 유지
[abs]</t>
      </text>
    </comment>
    <comment ref="AL19" authorId="0" shapeId="0">
      <text>
        <t>추정: 최근 4분기 감가상각비 중위 유지
[abs]</t>
      </text>
    </comment>
    <comment ref="AM19" authorId="0" shapeId="0">
      <text>
        <t>추정: 최근 4분기 감가상각비 중위 유지
[abs]</t>
      </text>
    </comment>
    <comment ref="AN19" authorId="0" shapeId="0">
      <text>
        <t>추정: 최근 4분기 감가상각비 중위 유지
[abs]</t>
      </text>
    </comment>
    <comment ref="E20" authorId="0" shapeId="0">
      <text>
        <t>실측(계정 매핑 없음(파생·부문·시세 행) — 모델값 직접) — 영업이익 + 감가상각비(CF)</t>
      </text>
    </comment>
    <comment ref="G20" authorId="0" shapeId="0">
      <text>
        <t>실측(계정 매핑 없음(파생·부문·시세 행) — 모델값 직접) — 영업이익 + 감가상각비(CF)</t>
      </text>
    </comment>
    <comment ref="H20" authorId="0" shapeId="0">
      <text>
        <t>실측(계정 매핑 없음(파생·부문·시세 행) — 모델값 직접) — 영업이익 + 감가상각비(CF)</t>
      </text>
    </comment>
    <comment ref="I20" authorId="0" shapeId="0">
      <text>
        <t>실측(계정 매핑 없음(파생·부문·시세 행) — 모델값 직접) — 영업이익 + 감가상각비(CF)</t>
      </text>
    </comment>
    <comment ref="J20" authorId="0" shapeId="0">
      <text>
        <t>실측(계정 매핑 없음(파생·부문·시세 행) — 모델값 직접) — 영업이익 + 감가상각비(CF)</t>
      </text>
    </comment>
    <comment ref="L20" authorId="0" shapeId="0">
      <text>
        <t>실측(계정 매핑 없음(파생·부문·시세 행) — 모델값 직접) — 영업이익 + 감가상각비(CF)</t>
      </text>
    </comment>
    <comment ref="M20" authorId="0" shapeId="0">
      <text>
        <t>실측(계정 매핑 없음(파생·부문·시세 행) — 모델값 직접) — 영업이익 + 감가상각비(CF)</t>
      </text>
    </comment>
    <comment ref="Q20" authorId="0" shapeId="0">
      <text>
        <t>실측(계정 매핑 없음(파생·부문·시세 행) — 모델값 직접) — 영업이익 + 감가상각비(CF)</t>
      </text>
    </comment>
    <comment ref="R20" authorId="0" shapeId="0">
      <text>
        <t>실측(계정 매핑 없음(파생·부문·시세 행) — 모델값 직접) — 영업이익 + 감가상각비(CF)</t>
      </text>
    </comment>
    <comment ref="S20" authorId="0" shapeId="0">
      <text>
        <t>실측(계정 매핑 없음(파생·부문·시세 행) — 모델값 직접) — 영업이익 + 감가상각비(CF)</t>
      </text>
    </comment>
    <comment ref="AC20" authorId="0" shapeId="0">
      <text>
        <t>추정: 영업이익 + 감가상각비
[identity]</t>
      </text>
    </comment>
    <comment ref="AD20" authorId="0" shapeId="0">
      <text>
        <t>추정: 영업이익 + 감가상각비
[identity]</t>
      </text>
    </comment>
    <comment ref="AF20" authorId="0" shapeId="0">
      <text>
        <t>추정: 영업이익 + 감가상각비
[identity]</t>
      </text>
    </comment>
    <comment ref="AG20" authorId="0" shapeId="0">
      <text>
        <t>추정: 영업이익 + 감가상각비
[identity]</t>
      </text>
    </comment>
    <comment ref="AH20" authorId="0" shapeId="0">
      <text>
        <t>추정: 영업이익 + 감가상각비
[identity]</t>
      </text>
    </comment>
    <comment ref="AI20" authorId="0" shapeId="0">
      <text>
        <t>추정: 영업이익 + 감가상각비
[identity]</t>
      </text>
    </comment>
    <comment ref="AK20" authorId="0" shapeId="0">
      <text>
        <t>추정: 영업이익 + 감가상각비
[identity]</t>
      </text>
    </comment>
    <comment ref="AL20" authorId="0" shapeId="0">
      <text>
        <t>추정: 영업이익 + 감가상각비
[identity]</t>
      </text>
    </comment>
    <comment ref="AM20" authorId="0" shapeId="0">
      <text>
        <t>추정: 영업이익 + 감가상각비
[identity]</t>
      </text>
    </comment>
    <comment ref="AN20" authorId="0" shapeId="0">
      <text>
        <t>추정: 영업이익 + 감가상각비
[identity]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2분기(2026Q1~2026Q2) CAPEX 중위 유지 — 순차입금 롤에 반영(FCF 근사)
[yoy]</t>
      </text>
    </comment>
    <comment ref="AD29" authorId="0" shapeId="0">
      <text>
        <t>추정: 최근 2분기(2026Q1~2026Q2) CAPEX 중위 유지 — 순차입금 롤에 반영(FCF 근사)
[yoy]</t>
      </text>
    </comment>
    <comment ref="AF29" authorId="0" shapeId="0">
      <text>
        <t>추정: 최근 2분기(2026Q1~2026Q2) CAPEX 중위 유지 — 순차입금 롤에 반영(FCF 근사)
[yoy]</t>
      </text>
    </comment>
    <comment ref="AG29" authorId="0" shapeId="0">
      <text>
        <t>추정: 최근 2분기(2026Q1~2026Q2) CAPEX 중위 유지 — 순차입금 롤에 반영(FCF 근사)
[yoy]</t>
      </text>
    </comment>
    <comment ref="AH29" authorId="0" shapeId="0">
      <text>
        <t>추정: 최근 2분기(2026Q1~2026Q2) CAPEX 중위 유지 — 순차입금 롤에 반영(FCF 근사)
[yoy]</t>
      </text>
    </comment>
    <comment ref="AI29" authorId="0" shapeId="0">
      <text>
        <t>추정: 최근 2분기(2026Q1~2026Q2) CAPEX 중위 유지 — 순차입금 롤에 반영(FCF 근사)
[yoy]</t>
      </text>
    </comment>
    <comment ref="AK29" authorId="0" shapeId="0">
      <text>
        <t>추정: 최근 2분기(2026Q1~2026Q2) CAPEX 중위 유지 — 순차입금 롤에 반영(FCF 근사)
[yoy]</t>
      </text>
    </comment>
    <comment ref="AL29" authorId="0" shapeId="0">
      <text>
        <t>추정: 최근 2분기(2026Q1~2026Q2) CAPEX 중위 유지 — 순차입금 롤에 반영(FCF 근사)
[yoy]</t>
      </text>
    </comment>
    <comment ref="AM29" authorId="0" shapeId="0">
      <text>
        <t>추정: 최근 2분기(2026Q1~2026Q2) CAPEX 중위 유지 — 순차입금 롤에 반영(FCF 근사)
[yoy]</t>
      </text>
    </comment>
    <comment ref="AN29" authorId="0" shapeId="0">
      <text>
        <t>추정: 최근 2분기(2026Q1~2026Q2) CAPEX 중위 유지 — 순차입금 롤에 반영(FCF 근사)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6,000원 유지
[abs]</t>
      </text>
    </comment>
    <comment ref="AI34" authorId="0" shapeId="0">
      <text>
        <t>추정: 직전 결산 DPS 6,000원 유지
[abs]</t>
      </text>
    </comment>
    <comment ref="AN34" authorId="0" shapeId="0">
      <text>
        <t>추정: 직전 결산 DPS 6,000원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서호전기(065710)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19.78% — 법인세 = MAX(세전,0) × 세율, 추정 전 분기 연결(Σ법인세/Σmax(세전,0) 역산, 재현 오차 ≤ 0.05억). 모델 가정 19.78% · 근거: 최근 12분기 유효세율 19.8%(5~27% 안 — 그대로)</t>
        </is>
      </c>
    </row>
    <row r="23">
      <c r="A23" t="inlineStr">
        <is>
          <t>· 판관비율 16.83%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3.40% / 부채 0.00% — 이자손익 = (전분기 이자발생자산 × 자산이자율 − 전분기 총차입금 × 부채이자율)/4, 최소자승 역산(모델 assumptions [0.034,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6.5/8.0/9.4배(hist_quarterly(분기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assets/models/065710.json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금융손익 실적→추정 단절: 최근 4분기 실적 +34/+9/-18/+29(중위 +19억) → 추정 2026Q3 +7억(차 -12억, -65%)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58.0, "op_wape_pct": 35.0,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198.49, "rev_act": 307.62, "op_pred": 27.56, "op_act": 61.99}, {"q": "2025Q4", "rev_pred": 207.81, "rev_act": 207.13, "op_pred": 28.85, "op_act": 40.45}, {"q": "2026Q1", "rev_pred": 509.71, "rev_act": 259.36, "op_pred": 70.77, "op_act": 80.42}, {"q": "2026Q2", "rev_pred": 467.55, "rev_act": 239.53, "op_pred": 64.92, "op_act": 41.99}]}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20900</v>
      </c>
      <c r="F15" s="9" t="n"/>
      <c r="G15" s="18" t="n">
        <v>21250</v>
      </c>
      <c r="H15" s="18" t="n">
        <v>17900</v>
      </c>
      <c r="I15" s="18" t="n">
        <v>17000</v>
      </c>
      <c r="J15" s="18" t="n">
        <v>17800</v>
      </c>
      <c r="K15" s="9" t="n"/>
      <c r="L15" s="18" t="n">
        <v>18480</v>
      </c>
      <c r="M15" s="18" t="n">
        <v>18450</v>
      </c>
      <c r="N15" s="18" t="n">
        <v>19100</v>
      </c>
      <c r="O15" s="18" t="n">
        <v>19030</v>
      </c>
      <c r="P15" s="9" t="n"/>
      <c r="Q15" s="18" t="n">
        <v>19190</v>
      </c>
      <c r="R15" s="18" t="n">
        <v>19630</v>
      </c>
      <c r="S15" s="18" t="n">
        <v>21000</v>
      </c>
      <c r="T15" s="18" t="n">
        <v>20650</v>
      </c>
      <c r="U15" s="9" t="n"/>
      <c r="V15" s="18" t="n">
        <v>23100</v>
      </c>
      <c r="W15" s="18" t="n">
        <v>39300</v>
      </c>
      <c r="X15" s="18" t="n">
        <v>40700</v>
      </c>
      <c r="Y15" s="18" t="n">
        <v>50900</v>
      </c>
      <c r="Z15" s="9" t="n"/>
      <c r="AA15" s="18" t="n">
        <v>42550</v>
      </c>
      <c r="AB15" s="19" t="n">
        <v>45150</v>
      </c>
      <c r="AC15" s="20" t="n">
        <v>43700</v>
      </c>
      <c r="AD15" s="20" t="n">
        <v>45000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21700</v>
      </c>
      <c r="F16" s="9" t="n"/>
      <c r="G16" s="18" t="n">
        <v>23500</v>
      </c>
      <c r="H16" s="18" t="n">
        <v>22600</v>
      </c>
      <c r="I16" s="18" t="n">
        <v>19500</v>
      </c>
      <c r="J16" s="18" t="n">
        <v>20400</v>
      </c>
      <c r="K16" s="9" t="n"/>
      <c r="L16" s="18" t="n">
        <v>19190</v>
      </c>
      <c r="M16" s="18" t="n">
        <v>19200</v>
      </c>
      <c r="N16" s="18" t="n">
        <v>21950</v>
      </c>
      <c r="O16" s="18" t="n">
        <v>20300</v>
      </c>
      <c r="P16" s="9" t="n"/>
      <c r="Q16" s="18" t="n">
        <v>20150</v>
      </c>
      <c r="R16" s="18" t="n">
        <v>22050</v>
      </c>
      <c r="S16" s="18" t="n">
        <v>21700</v>
      </c>
      <c r="T16" s="18" t="n">
        <v>23150</v>
      </c>
      <c r="U16" s="9" t="n"/>
      <c r="V16" s="18" t="n">
        <v>24000</v>
      </c>
      <c r="W16" s="18" t="n">
        <v>44750</v>
      </c>
      <c r="X16" s="18" t="n">
        <v>51000</v>
      </c>
      <c r="Y16" s="18" t="n">
        <v>59900</v>
      </c>
      <c r="Z16" s="9" t="n"/>
      <c r="AA16" s="18" t="n">
        <v>54700</v>
      </c>
      <c r="AB16" s="19" t="n">
        <v>50100</v>
      </c>
      <c r="AC16" s="20" t="n">
        <v>47400</v>
      </c>
      <c r="AD16" s="20" t="n">
        <v>45050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19300</v>
      </c>
      <c r="F17" s="9" t="n"/>
      <c r="G17" s="18" t="n">
        <v>17750</v>
      </c>
      <c r="H17" s="18" t="n">
        <v>17150</v>
      </c>
      <c r="I17" s="18" t="n">
        <v>16900</v>
      </c>
      <c r="J17" s="18" t="n">
        <v>16250</v>
      </c>
      <c r="K17" s="9" t="n"/>
      <c r="L17" s="18" t="n">
        <v>16800</v>
      </c>
      <c r="M17" s="18" t="n">
        <v>17770</v>
      </c>
      <c r="N17" s="18" t="n">
        <v>17650</v>
      </c>
      <c r="O17" s="18" t="n">
        <v>18550</v>
      </c>
      <c r="P17" s="9" t="n"/>
      <c r="Q17" s="18" t="n">
        <v>18400</v>
      </c>
      <c r="R17" s="18" t="n">
        <v>18900</v>
      </c>
      <c r="S17" s="18" t="n">
        <v>17710</v>
      </c>
      <c r="T17" s="18" t="n">
        <v>20550</v>
      </c>
      <c r="U17" s="9" t="n"/>
      <c r="V17" s="18" t="n">
        <v>19610</v>
      </c>
      <c r="W17" s="18" t="n">
        <v>22300</v>
      </c>
      <c r="X17" s="18" t="n">
        <v>34750</v>
      </c>
      <c r="Y17" s="18" t="n">
        <v>38150</v>
      </c>
      <c r="Z17" s="9" t="n"/>
      <c r="AA17" s="18" t="n">
        <v>42200</v>
      </c>
      <c r="AB17" s="19" t="n">
        <v>37700</v>
      </c>
      <c r="AC17" s="20" t="n">
        <v>39600</v>
      </c>
      <c r="AD17" s="20" t="n">
        <v>40900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20578.6</v>
      </c>
      <c r="F18" s="9" t="n"/>
      <c r="G18" s="18" t="n">
        <v>20463.6</v>
      </c>
      <c r="H18" s="18" t="n">
        <v>19856.5</v>
      </c>
      <c r="I18" s="18" t="n">
        <v>18382.5</v>
      </c>
      <c r="J18" s="18" t="n">
        <v>18606.5</v>
      </c>
      <c r="K18" s="9" t="n"/>
      <c r="L18" s="18" t="n">
        <v>18009.5</v>
      </c>
      <c r="M18" s="18" t="n">
        <v>18510.3</v>
      </c>
      <c r="N18" s="18" t="n">
        <v>18783.4</v>
      </c>
      <c r="O18" s="18" t="n">
        <v>19205.7</v>
      </c>
      <c r="P18" s="9" t="n"/>
      <c r="Q18" s="18" t="n">
        <v>18979.8</v>
      </c>
      <c r="R18" s="18" t="n">
        <v>19698.2</v>
      </c>
      <c r="S18" s="18" t="n">
        <v>19538.4</v>
      </c>
      <c r="T18" s="18" t="n">
        <v>21756.6</v>
      </c>
      <c r="U18" s="9" t="n"/>
      <c r="V18" s="18" t="n">
        <v>21541.9</v>
      </c>
      <c r="W18" s="18" t="n">
        <v>31974.2</v>
      </c>
      <c r="X18" s="18" t="n">
        <v>38596.2</v>
      </c>
      <c r="Y18" s="18" t="n">
        <v>45339</v>
      </c>
      <c r="Z18" s="9" t="n"/>
      <c r="AA18" s="18" t="n">
        <v>50047.5</v>
      </c>
      <c r="AB18" s="19" t="n">
        <v>44577.9</v>
      </c>
      <c r="AC18" s="20" t="n">
        <v>44098.4</v>
      </c>
      <c r="AD18" s="20" t="n">
        <v>43227.3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-0.100091021</v>
      </c>
      <c r="AD21" s="24" t="n">
        <v>0.208269746</v>
      </c>
      <c r="AE21" s="25" t="n"/>
      <c r="AF21" s="24" t="n">
        <v>-0.065675318</v>
      </c>
      <c r="AG21" s="24" t="n">
        <v>0.344572968</v>
      </c>
      <c r="AH21" s="24" t="n">
        <v>0.188238269</v>
      </c>
      <c r="AI21" s="24" t="n">
        <v>0.214208655</v>
      </c>
      <c r="AJ21" s="25" t="n"/>
      <c r="AK21" s="24" t="n">
        <v>0.219617876</v>
      </c>
      <c r="AL21" s="24" t="n">
        <v>0.198994008</v>
      </c>
      <c r="AM21" s="24" t="n">
        <v>0.17276707</v>
      </c>
      <c r="AN21" s="24" t="n">
        <v>0.169606424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0.185276162</v>
      </c>
      <c r="AD23" s="24" t="n">
        <v>0.185279898</v>
      </c>
      <c r="AE23" s="25">
        <f>IFERROR(subQ!AE9/subQ!AE5,"")</f>
        <v/>
      </c>
      <c r="AF23" s="24" t="n">
        <v>0.185284529</v>
      </c>
      <c r="AG23" s="24" t="n">
        <v>0.185270283</v>
      </c>
      <c r="AH23" s="24" t="n">
        <v>0.185292151</v>
      </c>
      <c r="AI23" s="24" t="n">
        <v>0.185270502</v>
      </c>
      <c r="AJ23" s="25">
        <f>IFERROR(subQ!AJ9/subQ!AJ5,"")</f>
        <v/>
      </c>
      <c r="AK23" s="24" t="n">
        <v>0.185281678</v>
      </c>
      <c r="AL23" s="24" t="n">
        <v>0.185285892</v>
      </c>
      <c r="AM23" s="24" t="n">
        <v>0.185291754</v>
      </c>
      <c r="AN23" s="24" t="n">
        <v>0.185273761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$D$49</f>
        <v/>
      </c>
      <c r="AD26" s="26">
        <f>$D$49</f>
        <v/>
      </c>
      <c r="AE26" s="25">
        <f>IFERROR(subQ!AE16/subQ!AE15,"")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IFERROR(subQ!AJ16/subQ!AJ15,"")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$D$51</f>
        <v/>
      </c>
      <c r="AD27" s="26">
        <f>$D$51</f>
        <v/>
      </c>
      <c r="AE27" s="25">
        <f>IFERROR(subQ!AE18/subQ!AE17,"")</f>
        <v/>
      </c>
      <c r="AF27" s="26">
        <f>$D$51</f>
        <v/>
      </c>
      <c r="AG27" s="26">
        <f>$D$51</f>
        <v/>
      </c>
      <c r="AH27" s="26">
        <f>$D$51</f>
        <v/>
      </c>
      <c r="AI27" s="26">
        <f>$D$51</f>
        <v/>
      </c>
      <c r="AJ27" s="25">
        <f>IFERROR(subQ!AJ18/subQ!AJ17,"")</f>
        <v/>
      </c>
      <c r="AK27" s="26">
        <f>$D$51</f>
        <v/>
      </c>
      <c r="AL27" s="26">
        <f>$D$51</f>
        <v/>
      </c>
      <c r="AM27" s="26">
        <f>$D$51</f>
        <v/>
      </c>
      <c r="AN27" s="26">
        <f>$D$51</f>
        <v/>
      </c>
      <c r="AO27" s="25">
        <f>IFERROR(subQ!AO18/subQ!AO17,"")</f>
        <v/>
      </c>
    </row>
    <row r="28">
      <c r="A28" s="12" t="inlineStr">
        <is>
          <t>drv:감가상각비</t>
        </is>
      </c>
      <c r="B28" s="2" t="inlineStr">
        <is>
          <t>abs</t>
        </is>
      </c>
      <c r="C28" t="inlineStr">
        <is>
          <t>감가상각비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0" t="n">
        <v>0.8100000000000001</v>
      </c>
      <c r="AD28" s="30" t="n">
        <v>0.8100000000000001</v>
      </c>
      <c r="AE28" s="31">
        <f>subQ!AE19</f>
        <v/>
      </c>
      <c r="AF28" s="30" t="n">
        <v>0.8100000000000001</v>
      </c>
      <c r="AG28" s="30" t="n">
        <v>0.8100000000000001</v>
      </c>
      <c r="AH28" s="30" t="n">
        <v>0.8100000000000001</v>
      </c>
      <c r="AI28" s="30" t="n">
        <v>0.8100000000000001</v>
      </c>
      <c r="AJ28" s="31">
        <f>subQ!AJ19</f>
        <v/>
      </c>
      <c r="AK28" s="30" t="n">
        <v>0.8100000000000001</v>
      </c>
      <c r="AL28" s="30" t="n">
        <v>0.8100000000000001</v>
      </c>
      <c r="AM28" s="30" t="n">
        <v>0.8100000000000001</v>
      </c>
      <c r="AN28" s="30" t="n">
        <v>0.8100000000000001</v>
      </c>
      <c r="AO28" s="31">
        <f>subQ!AO19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IFERROR(subQ!G22/subQ!E22-1,"")</f>
        <v/>
      </c>
      <c r="H29" s="21">
        <f>IFERROR(subQ!H22/subQ!G22-1,"")</f>
        <v/>
      </c>
      <c r="I29" s="21">
        <f>IFERROR(subQ!I22/subQ!H22-1,"")</f>
        <v/>
      </c>
      <c r="J29" s="21">
        <f>IFERROR(subQ!J22/subQ!I22-1,"")</f>
        <v/>
      </c>
      <c r="K29" s="22" t="n"/>
      <c r="L29" s="21">
        <f>IFERROR(subQ!L22/subQ!J22-1,"")</f>
        <v/>
      </c>
      <c r="M29" s="21">
        <f>IFERROR(subQ!M22/subQ!L22-1,"")</f>
        <v/>
      </c>
      <c r="N29" s="21">
        <f>IFERROR(subQ!N22/subQ!M22-1,"")</f>
        <v/>
      </c>
      <c r="O29" s="21">
        <f>IFERROR(subQ!O22/subQ!N22-1,"")</f>
        <v/>
      </c>
      <c r="P29" s="22" t="n"/>
      <c r="Q29" s="21">
        <f>IFERROR(subQ!Q22/subQ!O22-1,"")</f>
        <v/>
      </c>
      <c r="R29" s="21">
        <f>IFERROR(subQ!R22/subQ!Q22-1,"")</f>
        <v/>
      </c>
      <c r="S29" s="21">
        <f>IFERROR(subQ!S22/subQ!R22-1,"")</f>
        <v/>
      </c>
      <c r="T29" s="21">
        <f>IFERROR(subQ!T22/subQ!S22-1,"")</f>
        <v/>
      </c>
      <c r="U29" s="22" t="n"/>
      <c r="V29" s="21">
        <f>IFERROR(subQ!V22/subQ!T22-1,"")</f>
        <v/>
      </c>
      <c r="W29" s="21">
        <f>IFERROR(subQ!W22/subQ!V22-1,"")</f>
        <v/>
      </c>
      <c r="X29" s="21">
        <f>IFERROR(subQ!X22/subQ!W22-1,"")</f>
        <v/>
      </c>
      <c r="Y29" s="21">
        <f>IFERROR(subQ!Y22/subQ!X22-1,"")</f>
        <v/>
      </c>
      <c r="Z29" s="22" t="n"/>
      <c r="AA29" s="21">
        <f>IFERROR(subQ!AA22/subQ!Y22-1,"")</f>
        <v/>
      </c>
      <c r="AB29" s="23">
        <f>IFERROR(subQ!AB22/subQ!AA22-1,"")</f>
        <v/>
      </c>
      <c r="AC29" s="24" t="n">
        <v>8.647e-06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IFERROR(subQ!E23+subQ!G17-subQ!G23,"")</f>
        <v/>
      </c>
      <c r="H30" s="27">
        <f>IFERROR(subQ!G23+subQ!H17-subQ!H23,"")</f>
        <v/>
      </c>
      <c r="I30" s="27">
        <f>IFERROR(subQ!H23+subQ!I17-subQ!I23,"")</f>
        <v/>
      </c>
      <c r="J30" s="27">
        <f>IFERROR(subQ!I23+subQ!J17-subQ!J23,"")</f>
        <v/>
      </c>
      <c r="K30" s="28" t="n"/>
      <c r="L30" s="27">
        <f>IFERROR(subQ!J23+subQ!L17-subQ!L23,"")</f>
        <v/>
      </c>
      <c r="M30" s="27">
        <f>IFERROR(subQ!L23+subQ!M17-subQ!M23,"")</f>
        <v/>
      </c>
      <c r="N30" s="27">
        <f>IFERROR(subQ!M23+subQ!N17-subQ!N23,"")</f>
        <v/>
      </c>
      <c r="O30" s="27">
        <f>IFERROR(subQ!N23+subQ!O17-subQ!O23,"")</f>
        <v/>
      </c>
      <c r="P30" s="28" t="n"/>
      <c r="Q30" s="27">
        <f>IFERROR(subQ!O23+subQ!Q17-subQ!Q23,"")</f>
        <v/>
      </c>
      <c r="R30" s="27">
        <f>IFERROR(subQ!Q23+subQ!R17-subQ!R23,"")</f>
        <v/>
      </c>
      <c r="S30" s="27">
        <f>IFERROR(subQ!R23+subQ!S17-subQ!S23,"")</f>
        <v/>
      </c>
      <c r="T30" s="27">
        <f>IFERROR(subQ!S23+subQ!T17-subQ!T23,"")</f>
        <v/>
      </c>
      <c r="U30" s="28" t="n"/>
      <c r="V30" s="27">
        <f>IFERROR(subQ!T23+subQ!V17-subQ!V23,"")</f>
        <v/>
      </c>
      <c r="W30" s="27">
        <f>IFERROR(subQ!V23+subQ!W17-subQ!W23,"")</f>
        <v/>
      </c>
      <c r="X30" s="27">
        <f>IFERROR(subQ!W23+subQ!X17-subQ!X23,"")</f>
        <v/>
      </c>
      <c r="Y30" s="27">
        <f>IFERROR(subQ!X23+subQ!Y17-subQ!Y23,"")</f>
        <v/>
      </c>
      <c r="Z30" s="28" t="n"/>
      <c r="AA30" s="27">
        <f>IFERROR(subQ!Y23+subQ!AA17-subQ!AA23,"")</f>
        <v/>
      </c>
      <c r="AB30" s="29">
        <f>IFERROR(subQ!AA23+subQ!AB17-subQ!AB23,"")</f>
        <v/>
      </c>
      <c r="AC30" s="30" t="n">
        <v>-0.006809051</v>
      </c>
      <c r="AD30" s="30" t="n">
        <v>0.00257756</v>
      </c>
      <c r="AE30" s="31" t="n"/>
      <c r="AF30" s="30" t="n">
        <v>-0.000867805</v>
      </c>
      <c r="AG30" s="30" t="n">
        <v>301.997042477</v>
      </c>
      <c r="AH30" s="30" t="n">
        <v>0.004996225</v>
      </c>
      <c r="AI30" s="30" t="n">
        <v>-0.007101557</v>
      </c>
      <c r="AJ30" s="31" t="n"/>
      <c r="AK30" s="30" t="n">
        <v>0.002650808</v>
      </c>
      <c r="AL30" s="30" t="n">
        <v>302.010318621</v>
      </c>
      <c r="AM30" s="30" t="n">
        <v>-0.004060003</v>
      </c>
      <c r="AN30" s="30" t="n">
        <v>-0.008576627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IFERROR(subQ!E24+subQ!G18-subQ!G24,"")</f>
        <v/>
      </c>
      <c r="H31" s="27">
        <f>IFERROR(subQ!G24+subQ!H18-subQ!H24,"")</f>
        <v/>
      </c>
      <c r="I31" s="27">
        <f>IFERROR(subQ!H24+subQ!I18-subQ!I24,"")</f>
        <v/>
      </c>
      <c r="J31" s="27">
        <f>IFERROR(subQ!I24+subQ!J18-subQ!J24,"")</f>
        <v/>
      </c>
      <c r="K31" s="28" t="n"/>
      <c r="L31" s="27">
        <f>IFERROR(subQ!J24+subQ!L18-subQ!L24,"")</f>
        <v/>
      </c>
      <c r="M31" s="27">
        <f>IFERROR(subQ!L24+subQ!M18-subQ!M24,"")</f>
        <v/>
      </c>
      <c r="N31" s="27">
        <f>IFERROR(subQ!M24+subQ!N18-subQ!N24,"")</f>
        <v/>
      </c>
      <c r="O31" s="27">
        <f>IFERROR(subQ!N24+subQ!O18-subQ!O24,"")</f>
        <v/>
      </c>
      <c r="P31" s="28" t="n"/>
      <c r="Q31" s="27">
        <f>IFERROR(subQ!O24+subQ!Q18-subQ!Q24,"")</f>
        <v/>
      </c>
      <c r="R31" s="27">
        <f>IFERROR(subQ!Q24+subQ!R18-subQ!R24,"")</f>
        <v/>
      </c>
      <c r="S31" s="27">
        <f>IFERROR(subQ!R24+subQ!S18-subQ!S24,"")</f>
        <v/>
      </c>
      <c r="T31" s="27">
        <f>IFERROR(subQ!S24+subQ!T18-subQ!T24,"")</f>
        <v/>
      </c>
      <c r="U31" s="28" t="n"/>
      <c r="V31" s="27">
        <f>IFERROR(subQ!T24+subQ!V18-subQ!V24,"")</f>
        <v/>
      </c>
      <c r="W31" s="27">
        <f>IFERROR(subQ!V24+subQ!W18-subQ!W24,"")</f>
        <v/>
      </c>
      <c r="X31" s="27">
        <f>IFERROR(subQ!W24+subQ!X18-subQ!X24,"")</f>
        <v/>
      </c>
      <c r="Y31" s="27">
        <f>IFERROR(subQ!X24+subQ!Y18-subQ!Y24,"")</f>
        <v/>
      </c>
      <c r="Z31" s="28" t="n"/>
      <c r="AA31" s="27">
        <f>IFERROR(subQ!Y24+subQ!AA18-subQ!AA24,"")</f>
        <v/>
      </c>
      <c r="AB31" s="29">
        <f>IFERROR(subQ!AA24+subQ!AB18-subQ!AB24,"")</f>
        <v/>
      </c>
      <c r="AC31" s="30" t="n">
        <v>-0.002280323</v>
      </c>
      <c r="AD31" s="30" t="n">
        <v>-0.001544493</v>
      </c>
      <c r="AE31" s="31" t="n"/>
      <c r="AF31" s="30" t="n">
        <v>-0.004904779</v>
      </c>
      <c r="AG31" s="30" t="n">
        <v>302.011836575</v>
      </c>
      <c r="AH31" s="30" t="n">
        <v>-0.000145919</v>
      </c>
      <c r="AI31" s="30" t="n">
        <v>-0.001919918</v>
      </c>
      <c r="AJ31" s="31" t="n"/>
      <c r="AK31" s="30" t="n">
        <v>-0.002081819</v>
      </c>
      <c r="AL31" s="30" t="n">
        <v>302.014256263</v>
      </c>
      <c r="AM31" s="30" t="n">
        <v>3.985e-05</v>
      </c>
      <c r="AN31" s="30" t="n">
        <v>-0.004082455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32" t="n"/>
      <c r="AD32" s="32" t="n"/>
      <c r="AE32" s="25" t="n"/>
      <c r="AF32" s="32" t="n"/>
      <c r="AG32" s="32" t="n"/>
      <c r="AH32" s="32" t="n"/>
      <c r="AI32" s="32" t="n"/>
      <c r="AJ32" s="25" t="n"/>
      <c r="AK32" s="32" t="n"/>
      <c r="AL32" s="32" t="n"/>
      <c r="AM32" s="32" t="n"/>
      <c r="AN32" s="32" t="n"/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0.060648408</v>
      </c>
      <c r="AD34" s="24" t="n">
        <v>0.052763605</v>
      </c>
      <c r="AE34" s="25" t="n"/>
      <c r="AF34" s="24" t="n">
        <v>0.049089689</v>
      </c>
      <c r="AG34" s="24" t="n">
        <v>-0.272795431</v>
      </c>
      <c r="AH34" s="24" t="n">
        <v>0.08175147100000001</v>
      </c>
      <c r="AI34" s="24" t="n">
        <v>0.070863935</v>
      </c>
      <c r="AJ34" s="25" t="n"/>
      <c r="AK34" s="24" t="n">
        <v>0.065009685</v>
      </c>
      <c r="AL34" s="24" t="n">
        <v>-0.293151123</v>
      </c>
      <c r="AM34" s="24" t="n">
        <v>0.107429108</v>
      </c>
      <c r="AN34" s="24" t="n">
        <v>0.090586536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IFERROR(subQ!J29/subQ!E29-1,"")</f>
        <v/>
      </c>
      <c r="K36" s="22" t="n"/>
      <c r="L36" s="21">
        <f>IFERROR(subQ!L29/subQ!G29-1,"")</f>
        <v/>
      </c>
      <c r="M36" s="21">
        <f>IFERROR(subQ!M29/subQ!H29-1,"")</f>
        <v/>
      </c>
      <c r="N36" s="21">
        <f>IFERROR(subQ!N29/subQ!I29-1,"")</f>
        <v/>
      </c>
      <c r="O36" s="21">
        <f>IFERROR(subQ!O29/subQ!J29-1,"")</f>
        <v/>
      </c>
      <c r="P36" s="22" t="n"/>
      <c r="Q36" s="21">
        <f>IFERROR(subQ!Q29/subQ!L29-1,"")</f>
        <v/>
      </c>
      <c r="R36" s="21">
        <f>IFERROR(subQ!R29/subQ!M29-1,"")</f>
        <v/>
      </c>
      <c r="S36" s="21">
        <f>IFERROR(subQ!S29/subQ!N29-1,"")</f>
        <v/>
      </c>
      <c r="T36" s="21">
        <f>IFERROR(subQ!T29/subQ!O29-1,"")</f>
        <v/>
      </c>
      <c r="U36" s="22" t="n"/>
      <c r="V36" s="21">
        <f>IFERROR(subQ!V29/subQ!Q29-1,"")</f>
        <v/>
      </c>
      <c r="W36" s="21">
        <f>IFERROR(subQ!W29/subQ!R29-1,"")</f>
        <v/>
      </c>
      <c r="X36" s="21">
        <f>IFERROR(subQ!X29/subQ!S29-1,"")</f>
        <v/>
      </c>
      <c r="Y36" s="21">
        <f>IFERROR(subQ!Y29/subQ!T29-1,"")</f>
        <v/>
      </c>
      <c r="Z36" s="22" t="n"/>
      <c r="AA36" s="21">
        <f>IFERROR(subQ!AA29/subQ!V29-1,"")</f>
        <v/>
      </c>
      <c r="AB36" s="23">
        <f>IFERROR(subQ!AB29/subQ!W29-1,"")</f>
        <v/>
      </c>
      <c r="AC36" s="24" t="n">
        <v>0.877934272</v>
      </c>
      <c r="AD36" s="24" t="n">
        <v>0</v>
      </c>
      <c r="AE36" s="25" t="n"/>
      <c r="AF36" s="24" t="n">
        <v>-0.328376109</v>
      </c>
      <c r="AG36" s="24" t="n">
        <v>0.877934272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IFERROR(subQ!J30/subQ!E30-1,"")</f>
        <v/>
      </c>
      <c r="K37" s="22" t="n"/>
      <c r="L37" s="21">
        <f>IFERROR(subQ!L30/subQ!G30-1,"")</f>
        <v/>
      </c>
      <c r="M37" s="21">
        <f>IFERROR(subQ!M30/subQ!H30-1,"")</f>
        <v/>
      </c>
      <c r="N37" s="21">
        <f>IFERROR(subQ!N30/subQ!I30-1,"")</f>
        <v/>
      </c>
      <c r="O37" s="21">
        <f>IFERROR(subQ!O30/subQ!J30-1,"")</f>
        <v/>
      </c>
      <c r="P37" s="22" t="n"/>
      <c r="Q37" s="21">
        <f>IFERROR(subQ!Q30/subQ!L30-1,"")</f>
        <v/>
      </c>
      <c r="R37" s="21">
        <f>IFERROR(subQ!R30/subQ!M30-1,"")</f>
        <v/>
      </c>
      <c r="S37" s="21">
        <f>IFERROR(subQ!S30/subQ!N30-1,"")</f>
        <v/>
      </c>
      <c r="T37" s="21">
        <f>IFERROR(subQ!T30/subQ!O30-1,"")</f>
        <v/>
      </c>
      <c r="U37" s="22" t="n"/>
      <c r="V37" s="21">
        <f>IFERROR(subQ!V30/subQ!Q30-1,"")</f>
        <v/>
      </c>
      <c r="W37" s="21">
        <f>IFERROR(subQ!W30/subQ!R30-1,"")</f>
        <v/>
      </c>
      <c r="X37" s="21">
        <f>IFERROR(subQ!X30/subQ!S30-1,"")</f>
        <v/>
      </c>
      <c r="Y37" s="21">
        <f>IFERROR(subQ!Y30/subQ!T30-1,"")</f>
        <v/>
      </c>
      <c r="Z37" s="22" t="n"/>
      <c r="AA37" s="21">
        <f>IFERROR(subQ!AA30/subQ!V30-1,"")</f>
        <v/>
      </c>
      <c r="AB37" s="23">
        <f>IFERROR(subQ!AB30/subQ!W30-1,"")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7">
        <f>subQ!W34</f>
        <v/>
      </c>
      <c r="X39" s="27">
        <f>subQ!X34</f>
        <v/>
      </c>
      <c r="Y39" s="27">
        <f>subQ!Y34</f>
        <v/>
      </c>
      <c r="Z39" s="28">
        <f>subQ!Z34</f>
        <v/>
      </c>
      <c r="AA39" s="27">
        <f>subQ!AA34</f>
        <v/>
      </c>
      <c r="AB39" s="29">
        <f>subQ!AB34</f>
        <v/>
      </c>
      <c r="AC39" s="33" t="n"/>
      <c r="AD39" s="30" t="n">
        <v>6000</v>
      </c>
      <c r="AE39" s="31">
        <f>subQ!AE34</f>
        <v/>
      </c>
      <c r="AF39" s="33" t="n"/>
      <c r="AG39" s="33" t="n"/>
      <c r="AH39" s="33" t="n"/>
      <c r="AI39" s="30" t="n">
        <v>6000</v>
      </c>
      <c r="AJ39" s="31">
        <f>subQ!AJ34</f>
        <v/>
      </c>
      <c r="AK39" s="33" t="n"/>
      <c r="AL39" s="33" t="n"/>
      <c r="AM39" s="33" t="n"/>
      <c r="AN39" s="30" t="n">
        <v>6000</v>
      </c>
      <c r="AO39" s="31">
        <f>subQ!AO34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45000</v>
      </c>
      <c r="E42" s="2" t="inlineStr">
        <is>
          <t>원 — 네이버 정규장 종가(aik 확정종가 대조 · aik 41,550원)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20261019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6.5</v>
      </c>
      <c r="E45" s="2" t="inlineStr">
        <is>
          <t>PER 밴드 하단(배) — hist_quarterly(분기 평균가 ÷ TTM EPS, 16분기, 25/50/75 백분위)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8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9.4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0.1978183278997543</v>
      </c>
      <c r="E49" s="2" t="inlineStr">
        <is>
          <t>연결 — 법인세 = MAX(세전,0) × 세율(역산, 재현 오차 ≤ 0.05억 · 모델 assumptions 0.1978) · 최근 12분기 유효세율 19.8%(5~27% 안 — 그대로)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0.1683263324457775</v>
      </c>
      <c r="E50" s="2" t="inlineStr">
        <is>
          <t>연결 — 판관비 = 매출액 × 판관비율(역산, 재현 오차 ≤ 0.05억 · 모델 assumptions 0.1683)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0.9999036961420675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0.03403616910088912</v>
      </c>
      <c r="E52" s="2" t="inlineStr">
        <is>
          <t>연결 — 이자손익 = (전분기 이자발생자산 × 자산이자율 − 전분기 총차입금 × 부채이자율)/4(역산, 재현 오차 ≤ 0.05억 · 모델 assumptions 0.034)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</v>
      </c>
      <c r="E53" s="2" t="inlineStr">
        <is>
          <t>연결 — 같은 수식의 부채 쪽(총차입금 행이 없으면 0)(역산,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>
        <v>1.4566</v>
      </c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서호전기(연)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65909.69</v>
      </c>
      <c r="F5" s="37" t="n">
        <v>65909.69</v>
      </c>
      <c r="G5" s="18" t="n">
        <v>75343.3</v>
      </c>
      <c r="H5" s="18" t="n">
        <v>54948.81</v>
      </c>
      <c r="I5" s="18" t="n">
        <v>56152.44</v>
      </c>
      <c r="J5" s="18" t="n">
        <v>55029.17</v>
      </c>
      <c r="K5" s="37" t="n">
        <v>55029.17</v>
      </c>
      <c r="L5" s="18" t="n">
        <v>65096.87</v>
      </c>
      <c r="M5" s="18" t="n">
        <v>59706.32</v>
      </c>
      <c r="N5" s="18" t="n">
        <v>57732.69</v>
      </c>
      <c r="O5" s="18" t="n">
        <v>56374.42</v>
      </c>
      <c r="P5" s="37" t="n">
        <v>56374.42</v>
      </c>
      <c r="Q5" s="18" t="n">
        <v>60594.35</v>
      </c>
      <c r="R5" s="18" t="n">
        <v>59417.65</v>
      </c>
      <c r="S5" s="18" t="n">
        <v>62031.75</v>
      </c>
      <c r="T5" s="18" t="n">
        <v>45547</v>
      </c>
      <c r="U5" s="37" t="n">
        <v>45547</v>
      </c>
      <c r="V5" s="18" t="n">
        <v>68989.25</v>
      </c>
      <c r="W5" s="18" t="n">
        <v>71638.08</v>
      </c>
      <c r="X5" s="18" t="n">
        <v>66797.42999999999</v>
      </c>
      <c r="Y5" s="18" t="n">
        <v>60986.67</v>
      </c>
      <c r="Z5" s="37" t="n">
        <v>60986.67</v>
      </c>
      <c r="AA5" s="18" t="n">
        <v>100181.99</v>
      </c>
      <c r="AB5" s="19" t="n">
        <v>97689.63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16083.73</v>
      </c>
      <c r="F6" s="37" t="n">
        <v>16083.73</v>
      </c>
      <c r="G6" s="18" t="n">
        <v>26588.15</v>
      </c>
      <c r="H6" s="18" t="n">
        <v>16533.51</v>
      </c>
      <c r="I6" s="18" t="n">
        <v>28033.22</v>
      </c>
      <c r="J6" s="18" t="n">
        <v>28168.53</v>
      </c>
      <c r="K6" s="37" t="n">
        <v>28168.53</v>
      </c>
      <c r="L6" s="18" t="n">
        <v>32341.69</v>
      </c>
      <c r="M6" s="18" t="n">
        <v>15339.15</v>
      </c>
      <c r="N6" s="18" t="n">
        <v>23344.65</v>
      </c>
      <c r="O6" s="18" t="n">
        <v>24436.44</v>
      </c>
      <c r="P6" s="37" t="n">
        <v>24436.44</v>
      </c>
      <c r="Q6" s="18" t="n">
        <v>29295.89</v>
      </c>
      <c r="R6" s="18" t="n">
        <v>27097.69</v>
      </c>
      <c r="S6" s="18" t="n">
        <v>26212.96</v>
      </c>
      <c r="T6" s="18" t="n">
        <v>9929.65</v>
      </c>
      <c r="U6" s="37" t="n">
        <v>9929.65</v>
      </c>
      <c r="V6" s="18" t="n">
        <v>34127.32</v>
      </c>
      <c r="W6" s="18" t="n">
        <v>24287.82</v>
      </c>
      <c r="X6" s="18" t="n">
        <v>36020.46</v>
      </c>
      <c r="Y6" s="18" t="n">
        <v>21497.34</v>
      </c>
      <c r="Z6" s="37" t="n">
        <v>21497.34</v>
      </c>
      <c r="AA6" s="18" t="n">
        <v>44924.09</v>
      </c>
      <c r="AB6" s="19" t="n">
        <v>61708.64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1500</v>
      </c>
      <c r="F7" s="37" t="n">
        <v>1500</v>
      </c>
      <c r="G7" s="18" t="n">
        <v>1900</v>
      </c>
      <c r="H7" s="18" t="n">
        <v>1800</v>
      </c>
      <c r="I7" s="18" t="n">
        <v>1800</v>
      </c>
      <c r="J7" s="18" t="n">
        <v>1500</v>
      </c>
      <c r="K7" s="37" t="n">
        <v>1500</v>
      </c>
      <c r="L7" s="18" t="n">
        <v>2000</v>
      </c>
      <c r="M7" s="18" t="n">
        <v>600</v>
      </c>
      <c r="N7" s="18" t="n">
        <v>500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1500</v>
      </c>
      <c r="F8" s="37" t="n">
        <v>1500</v>
      </c>
      <c r="G8" s="18" t="n">
        <v>1900</v>
      </c>
      <c r="H8" s="18" t="n">
        <v>1800</v>
      </c>
      <c r="I8" s="18" t="n">
        <v>1800</v>
      </c>
      <c r="J8" s="18" t="n">
        <v>1500</v>
      </c>
      <c r="K8" s="37" t="n">
        <v>1500</v>
      </c>
      <c r="L8" s="18" t="n">
        <v>2100</v>
      </c>
      <c r="M8" s="18" t="n">
        <v>700</v>
      </c>
      <c r="N8" s="18" t="n">
        <v>600</v>
      </c>
      <c r="P8" s="9" t="n"/>
      <c r="U8" s="9" t="n"/>
      <c r="Z8" s="9" t="n"/>
      <c r="AA8" s="18" t="n">
        <v>9955.459999999999</v>
      </c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21523.62</v>
      </c>
      <c r="F9" s="37" t="n">
        <v>21523.62</v>
      </c>
      <c r="J9" s="18" t="n">
        <v>5067.68</v>
      </c>
      <c r="K9" s="37" t="n">
        <v>5067.68</v>
      </c>
      <c r="O9" s="18" t="n">
        <v>10133.59</v>
      </c>
      <c r="P9" s="37" t="n">
        <v>10133.59</v>
      </c>
      <c r="Q9" s="18" t="n">
        <v>10631.11</v>
      </c>
      <c r="R9" s="18" t="n">
        <v>11024.84</v>
      </c>
      <c r="S9" s="18" t="n">
        <v>10551.01</v>
      </c>
      <c r="U9" s="9" t="n"/>
      <c r="Y9" s="18" t="n">
        <v>10713.5</v>
      </c>
      <c r="Z9" s="37" t="n">
        <v>10713.5</v>
      </c>
      <c r="AA9" s="18" t="n">
        <v>11361.66</v>
      </c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28307.47</v>
      </c>
      <c r="F10" s="37" t="n">
        <v>28307.47</v>
      </c>
      <c r="G10" s="18" t="n">
        <v>24180.69</v>
      </c>
      <c r="H10" s="18" t="n">
        <v>38833.9</v>
      </c>
      <c r="I10" s="18" t="n">
        <v>20311.28</v>
      </c>
      <c r="J10" s="18" t="n">
        <v>18935.96</v>
      </c>
      <c r="K10" s="37" t="n">
        <v>18935.96</v>
      </c>
      <c r="L10" s="18" t="n">
        <v>28421.67</v>
      </c>
      <c r="M10" s="18" t="n">
        <v>43896.46</v>
      </c>
      <c r="N10" s="18" t="n">
        <v>32782.3</v>
      </c>
      <c r="O10" s="18" t="n">
        <v>22568.85</v>
      </c>
      <c r="P10" s="37" t="n">
        <v>22568.85</v>
      </c>
      <c r="Q10" s="18" t="n">
        <v>21532.66</v>
      </c>
      <c r="R10" s="18" t="n">
        <v>21892.49</v>
      </c>
      <c r="S10" s="18" t="n">
        <v>28468.44</v>
      </c>
      <c r="T10" s="18" t="n">
        <v>20631.56</v>
      </c>
      <c r="U10" s="37" t="n">
        <v>20631.56</v>
      </c>
      <c r="V10" s="18" t="n">
        <v>20866.91</v>
      </c>
      <c r="W10" s="18" t="n">
        <v>33740.04</v>
      </c>
      <c r="X10" s="18" t="n">
        <v>22163.95</v>
      </c>
      <c r="Y10" s="18" t="n">
        <v>21358.58</v>
      </c>
      <c r="Z10" s="37" t="n">
        <v>21358.58</v>
      </c>
      <c r="AA10" s="18" t="n">
        <v>24555.38</v>
      </c>
      <c r="AB10" s="19" t="n">
        <v>28983.71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계약자산</t>
        </is>
      </c>
      <c r="E11" s="18" t="n">
        <v>11479.36</v>
      </c>
      <c r="F11" s="37" t="n">
        <v>11479.36</v>
      </c>
      <c r="G11" s="18" t="n">
        <v>13064.41</v>
      </c>
      <c r="H11" s="18" t="n">
        <v>14445.73</v>
      </c>
      <c r="I11" s="18" t="n">
        <v>11476.15</v>
      </c>
      <c r="J11" s="18" t="n">
        <v>9312.34</v>
      </c>
      <c r="K11" s="37" t="n">
        <v>9312.34</v>
      </c>
      <c r="L11" s="18" t="n">
        <v>13407.21</v>
      </c>
      <c r="M11" s="18" t="n">
        <v>26300.75</v>
      </c>
      <c r="N11" s="18" t="n">
        <v>19297.7</v>
      </c>
      <c r="O11" s="18" t="n">
        <v>10124.89</v>
      </c>
      <c r="P11" s="37" t="n">
        <v>10124.89</v>
      </c>
      <c r="Q11" s="18" t="n">
        <v>9393.4</v>
      </c>
      <c r="R11" s="18" t="n">
        <v>10686.32</v>
      </c>
      <c r="S11" s="18" t="n">
        <v>6890.09</v>
      </c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6947.72</v>
      </c>
      <c r="F12" s="37" t="n">
        <v>6947.72</v>
      </c>
      <c r="G12" s="18" t="n">
        <v>5749.88</v>
      </c>
      <c r="H12" s="18" t="n">
        <v>5993.53</v>
      </c>
      <c r="I12" s="18" t="n">
        <v>5963.88</v>
      </c>
      <c r="J12" s="18" t="n">
        <v>5992.94</v>
      </c>
      <c r="K12" s="37" t="n">
        <v>5992.94</v>
      </c>
      <c r="L12" s="18" t="n">
        <v>9063.040000000001</v>
      </c>
      <c r="M12" s="18" t="n">
        <v>7808.11</v>
      </c>
      <c r="N12" s="18" t="n">
        <v>7044.08</v>
      </c>
      <c r="O12" s="18" t="n">
        <v>4576.01</v>
      </c>
      <c r="P12" s="37" t="n">
        <v>4576.01</v>
      </c>
      <c r="Q12" s="18" t="n">
        <v>4958.15</v>
      </c>
      <c r="R12" s="18" t="n">
        <v>4645.65</v>
      </c>
      <c r="S12" s="18" t="n">
        <v>7182.97</v>
      </c>
      <c r="T12" s="18" t="n">
        <v>11600.52</v>
      </c>
      <c r="U12" s="37" t="n">
        <v>11600.52</v>
      </c>
      <c r="V12" s="18" t="n">
        <v>12262.72</v>
      </c>
      <c r="W12" s="18" t="n">
        <v>12471.74</v>
      </c>
      <c r="X12" s="18" t="n">
        <v>7735.66</v>
      </c>
      <c r="Y12" s="18" t="n">
        <v>6591.24</v>
      </c>
      <c r="Z12" s="37" t="n">
        <v>6591.24</v>
      </c>
      <c r="AA12" s="18" t="n">
        <v>8511.26</v>
      </c>
      <c r="AB12" s="19" t="n">
        <v>6141.05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35786.51</v>
      </c>
      <c r="F13" s="37" t="n">
        <v>35786.51</v>
      </c>
      <c r="G13" s="18" t="n">
        <v>33384.87</v>
      </c>
      <c r="H13" s="18" t="n">
        <v>51962.63</v>
      </c>
      <c r="I13" s="18" t="n">
        <v>52152.88</v>
      </c>
      <c r="J13" s="18" t="n">
        <v>46775.47</v>
      </c>
      <c r="K13" s="37" t="n">
        <v>46775.47</v>
      </c>
      <c r="L13" s="18" t="n">
        <v>49133.98</v>
      </c>
      <c r="M13" s="18" t="n">
        <v>53618.75</v>
      </c>
      <c r="N13" s="18" t="n">
        <v>53326.12</v>
      </c>
      <c r="O13" s="18" t="n">
        <v>47506.29</v>
      </c>
      <c r="P13" s="37" t="n">
        <v>47506.29</v>
      </c>
      <c r="Q13" s="18" t="n">
        <v>48508.42</v>
      </c>
      <c r="R13" s="18" t="n">
        <v>48685.91</v>
      </c>
      <c r="S13" s="18" t="n">
        <v>54134.64</v>
      </c>
      <c r="T13" s="18" t="n">
        <v>56428.37</v>
      </c>
      <c r="U13" s="37" t="n">
        <v>56428.37</v>
      </c>
      <c r="V13" s="18" t="n">
        <v>55978.24</v>
      </c>
      <c r="W13" s="18" t="n">
        <v>51546.13</v>
      </c>
      <c r="X13" s="18" t="n">
        <v>52510.4</v>
      </c>
      <c r="Y13" s="18" t="n">
        <v>42423.01</v>
      </c>
      <c r="Z13" s="37" t="n">
        <v>42423.01</v>
      </c>
      <c r="AA13" s="18" t="n">
        <v>43612.68</v>
      </c>
      <c r="AB13" s="19" t="n">
        <v>43801.51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8153.48</v>
      </c>
      <c r="F14" s="37" t="n">
        <v>8153.48</v>
      </c>
      <c r="G14" s="18" t="n">
        <v>191.92</v>
      </c>
      <c r="H14" s="18" t="n">
        <v>194.49</v>
      </c>
      <c r="I14" s="18" t="n">
        <v>198.56</v>
      </c>
      <c r="J14" s="18" t="n">
        <v>18170.26</v>
      </c>
      <c r="K14" s="37" t="n">
        <v>18170.26</v>
      </c>
      <c r="L14" s="18" t="n">
        <v>201.25</v>
      </c>
      <c r="M14" s="18" t="n">
        <v>202.7</v>
      </c>
      <c r="N14" s="18" t="n">
        <v>25519.13</v>
      </c>
      <c r="O14" s="18" t="n">
        <v>19679.28</v>
      </c>
      <c r="P14" s="37" t="n">
        <v>19679.28</v>
      </c>
      <c r="Q14" s="18" t="n">
        <v>21015.06</v>
      </c>
      <c r="R14" s="18" t="n">
        <v>21464.17</v>
      </c>
      <c r="S14" s="18" t="n">
        <v>26872.6</v>
      </c>
      <c r="T14" s="18" t="n">
        <v>28673.21</v>
      </c>
      <c r="U14" s="37" t="n">
        <v>28673.21</v>
      </c>
      <c r="V14" s="18" t="n">
        <v>28319.95</v>
      </c>
      <c r="W14" s="18" t="n">
        <v>23302.64</v>
      </c>
      <c r="X14" s="18" t="n">
        <v>25077.97</v>
      </c>
      <c r="Y14" s="18" t="n">
        <v>14891.02</v>
      </c>
      <c r="Z14" s="37" t="n">
        <v>14891.02</v>
      </c>
      <c r="AA14" s="18" t="n">
        <v>15397.64</v>
      </c>
      <c r="AB14" s="19" t="n">
        <v>15716.64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8161.48</v>
      </c>
      <c r="F15" s="37" t="n">
        <v>8161.48</v>
      </c>
      <c r="G15" s="18" t="n">
        <v>198.72</v>
      </c>
      <c r="H15" s="18" t="n">
        <v>200.09</v>
      </c>
      <c r="I15" s="18" t="n">
        <v>198.56</v>
      </c>
      <c r="J15" s="18" t="n">
        <v>18170.26</v>
      </c>
      <c r="K15" s="37" t="n">
        <v>18170.26</v>
      </c>
      <c r="L15" s="18" t="n">
        <v>201.25</v>
      </c>
      <c r="M15" s="18" t="n">
        <v>202.7</v>
      </c>
      <c r="N15" s="18" t="n">
        <v>25519.13</v>
      </c>
      <c r="O15" s="18" t="n">
        <v>19679.28</v>
      </c>
      <c r="P15" s="37" t="n">
        <v>19679.28</v>
      </c>
      <c r="Q15" s="18" t="n">
        <v>21015.06</v>
      </c>
      <c r="R15" s="18" t="n">
        <v>21464.17</v>
      </c>
      <c r="S15" s="18" t="n">
        <v>26872.6</v>
      </c>
      <c r="T15" s="18" t="n">
        <v>28673.29</v>
      </c>
      <c r="U15" s="37" t="n">
        <v>28673.29</v>
      </c>
      <c r="V15" s="18" t="n">
        <v>28320.03</v>
      </c>
      <c r="W15" s="18" t="n">
        <v>23302.72</v>
      </c>
      <c r="X15" s="18" t="n">
        <v>25078.05</v>
      </c>
      <c r="Y15" s="18" t="n">
        <v>14891.1</v>
      </c>
      <c r="Z15" s="37" t="n">
        <v>14891.1</v>
      </c>
      <c r="AA15" s="18" t="n">
        <v>15397.72</v>
      </c>
      <c r="AB15" s="19" t="n">
        <v>15716.72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25014.66</v>
      </c>
      <c r="F16" s="37" t="n">
        <v>25014.66</v>
      </c>
      <c r="G16" s="18" t="n">
        <v>24860.99</v>
      </c>
      <c r="H16" s="18" t="n">
        <v>24800.13</v>
      </c>
      <c r="I16" s="18" t="n">
        <v>24560.04</v>
      </c>
      <c r="J16" s="18" t="n">
        <v>24659.83</v>
      </c>
      <c r="K16" s="37" t="n">
        <v>24659.83</v>
      </c>
      <c r="L16" s="18" t="n">
        <v>24629.38</v>
      </c>
      <c r="M16" s="18" t="n">
        <v>24550.6</v>
      </c>
      <c r="N16" s="18" t="n">
        <v>24645.83</v>
      </c>
      <c r="O16" s="18" t="n">
        <v>24637.44</v>
      </c>
      <c r="P16" s="37" t="n">
        <v>24637.44</v>
      </c>
      <c r="Q16" s="18" t="n">
        <v>24640.16</v>
      </c>
      <c r="R16" s="18" t="n">
        <v>24567.58</v>
      </c>
      <c r="S16" s="18" t="n">
        <v>24506.36</v>
      </c>
      <c r="T16" s="18" t="n">
        <v>24376.01</v>
      </c>
      <c r="U16" s="37" t="n">
        <v>24376.01</v>
      </c>
      <c r="V16" s="18" t="n">
        <v>24329.42</v>
      </c>
      <c r="W16" s="18" t="n">
        <v>24388.7</v>
      </c>
      <c r="X16" s="18" t="n">
        <v>24340.7</v>
      </c>
      <c r="Y16" s="18" t="n">
        <v>24288.14</v>
      </c>
      <c r="Z16" s="37" t="n">
        <v>24288.14</v>
      </c>
      <c r="AA16" s="18" t="n">
        <v>24258.09</v>
      </c>
      <c r="AB16" s="19" t="n">
        <v>24307.66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토지</t>
        </is>
      </c>
      <c r="E17" s="18" t="n">
        <v>0</v>
      </c>
      <c r="F17" s="37" t="n">
        <v>0</v>
      </c>
      <c r="G17" s="18" t="n">
        <v>20806.62</v>
      </c>
      <c r="H17" s="18" t="n">
        <v>20806.62</v>
      </c>
      <c r="I17" s="18" t="n">
        <v>20806.62</v>
      </c>
      <c r="J17" s="18" t="n">
        <v>0</v>
      </c>
      <c r="K17" s="37" t="n">
        <v>0</v>
      </c>
      <c r="L17" s="18" t="n">
        <v>20806.62</v>
      </c>
      <c r="M17" s="18" t="n">
        <v>20806.62</v>
      </c>
      <c r="O17" s="18" t="n">
        <v>20806.62</v>
      </c>
      <c r="P17" s="37" t="n">
        <v>20806.62</v>
      </c>
      <c r="Q17" s="18" t="n">
        <v>20806.62</v>
      </c>
      <c r="R17" s="18" t="n">
        <v>20806.62</v>
      </c>
      <c r="S17" s="18" t="n">
        <v>20806.62</v>
      </c>
      <c r="U17" s="9" t="n"/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설비자산</t>
        </is>
      </c>
      <c r="E18" s="18" t="n">
        <v>239.68</v>
      </c>
      <c r="F18" s="37" t="n">
        <v>239.68</v>
      </c>
      <c r="G18" s="18" t="n">
        <v>4707.81</v>
      </c>
      <c r="H18" s="18" t="n">
        <v>4707.81</v>
      </c>
      <c r="I18" s="18" t="n">
        <v>4707.81</v>
      </c>
      <c r="J18" s="18" t="n">
        <v>301.72</v>
      </c>
      <c r="K18" s="37" t="n">
        <v>301.72</v>
      </c>
      <c r="L18" s="18" t="n">
        <v>4769.85</v>
      </c>
      <c r="M18" s="18" t="n">
        <v>4769.85</v>
      </c>
      <c r="N18" s="18" t="n">
        <v>48.2</v>
      </c>
      <c r="O18" s="18" t="n">
        <v>4769.85</v>
      </c>
      <c r="P18" s="37" t="n">
        <v>4769.85</v>
      </c>
      <c r="Q18" s="18" t="n">
        <v>4769.85</v>
      </c>
      <c r="R18" s="18" t="n">
        <v>4769.85</v>
      </c>
      <c r="S18" s="18" t="n">
        <v>4769.85</v>
      </c>
      <c r="U18" s="9" t="n"/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건설중인자산</t>
        </is>
      </c>
      <c r="E19" s="18" t="n">
        <v>86.42</v>
      </c>
      <c r="F19" s="37" t="n">
        <v>86.42</v>
      </c>
      <c r="G19" s="18" t="n">
        <v>166.42</v>
      </c>
      <c r="H19" s="18" t="n">
        <v>177.29</v>
      </c>
      <c r="K19" s="9" t="n"/>
      <c r="O19" s="18" t="n">
        <v>60</v>
      </c>
      <c r="P19" s="37" t="n">
        <v>60</v>
      </c>
      <c r="Q19" s="18" t="n">
        <v>104.33</v>
      </c>
      <c r="R19" s="18" t="n">
        <v>104.33</v>
      </c>
      <c r="S19" s="18" t="n">
        <v>105.23</v>
      </c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사용권자산</t>
        </is>
      </c>
      <c r="E20" s="18" t="n">
        <v>133.74</v>
      </c>
      <c r="F20" s="37" t="n">
        <v>133.74</v>
      </c>
      <c r="G20" s="18" t="n">
        <v>206.19</v>
      </c>
      <c r="H20" s="18" t="n">
        <v>206.19</v>
      </c>
      <c r="I20" s="18" t="n">
        <v>206.53</v>
      </c>
      <c r="J20" s="18" t="n">
        <v>291.49</v>
      </c>
      <c r="K20" s="37" t="n">
        <v>291.49</v>
      </c>
      <c r="L20" s="18" t="n">
        <v>316.2</v>
      </c>
      <c r="M20" s="18" t="n">
        <v>316.2</v>
      </c>
      <c r="N20" s="18" t="n">
        <v>330.66</v>
      </c>
      <c r="O20" s="18" t="n">
        <v>339.19</v>
      </c>
      <c r="P20" s="37" t="n">
        <v>339.19</v>
      </c>
      <c r="Q20" s="18" t="n">
        <v>184.3</v>
      </c>
      <c r="R20" s="18" t="n">
        <v>300.03</v>
      </c>
      <c r="S20" s="18" t="n">
        <v>303.78</v>
      </c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기타비유동자산</t>
        </is>
      </c>
      <c r="E21" s="18" t="n">
        <v>2070.02</v>
      </c>
      <c r="F21" s="37" t="n">
        <v>2070.02</v>
      </c>
      <c r="G21" s="18" t="n">
        <v>2712.84</v>
      </c>
      <c r="H21" s="18" t="n">
        <v>4248.57</v>
      </c>
      <c r="I21" s="18" t="n">
        <v>4579.26</v>
      </c>
      <c r="J21" s="18" t="n">
        <v>2439.23</v>
      </c>
      <c r="K21" s="37" t="n">
        <v>2439.23</v>
      </c>
      <c r="L21" s="18" t="n">
        <v>1708.33</v>
      </c>
      <c r="M21" s="18" t="n">
        <v>2959.96</v>
      </c>
      <c r="N21" s="18" t="n">
        <v>351.89</v>
      </c>
      <c r="O21" s="18" t="n">
        <v>1269.07</v>
      </c>
      <c r="P21" s="37" t="n">
        <v>1269.07</v>
      </c>
      <c r="Q21" s="18" t="n">
        <v>1180.21</v>
      </c>
      <c r="R21" s="18" t="n">
        <v>315.47</v>
      </c>
      <c r="S21" s="18" t="n">
        <v>324.09</v>
      </c>
      <c r="T21" s="18" t="n">
        <v>5.48</v>
      </c>
      <c r="U21" s="37" t="n">
        <v>5.48</v>
      </c>
      <c r="V21" s="18" t="n">
        <v>108.08</v>
      </c>
      <c r="W21" s="18" t="n">
        <v>30.06</v>
      </c>
      <c r="X21" s="18" t="n">
        <v>10.86</v>
      </c>
      <c r="Y21" s="18" t="n">
        <v>241.78</v>
      </c>
      <c r="Z21" s="37" t="n">
        <v>241.78</v>
      </c>
      <c r="AA21" s="18" t="n">
        <v>130.19</v>
      </c>
      <c r="AB21" s="19" t="n">
        <v>49.82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257.65</v>
      </c>
      <c r="F22" s="37" t="n">
        <v>257.65</v>
      </c>
      <c r="G22" s="18" t="n">
        <v>322.82</v>
      </c>
      <c r="H22" s="18" t="n">
        <v>324.38</v>
      </c>
      <c r="I22" s="18" t="n">
        <v>488.77</v>
      </c>
      <c r="J22" s="18" t="n">
        <v>366.55</v>
      </c>
      <c r="K22" s="37" t="n">
        <v>366.55</v>
      </c>
      <c r="L22" s="18" t="n">
        <v>552.72</v>
      </c>
      <c r="M22" s="18" t="n">
        <v>541.52</v>
      </c>
      <c r="N22" s="18" t="n">
        <v>828.15</v>
      </c>
      <c r="O22" s="18" t="n">
        <v>861.9400000000001</v>
      </c>
      <c r="P22" s="37" t="n">
        <v>861.9400000000001</v>
      </c>
      <c r="Q22" s="18" t="n">
        <v>915.38</v>
      </c>
      <c r="R22" s="18" t="n">
        <v>904.6799999999999</v>
      </c>
      <c r="S22" s="18" t="n">
        <v>895.16</v>
      </c>
      <c r="T22" s="18" t="n">
        <v>1725.92</v>
      </c>
      <c r="U22" s="37" t="n">
        <v>1725.92</v>
      </c>
      <c r="V22" s="18" t="n">
        <v>1716.94</v>
      </c>
      <c r="W22" s="18" t="n">
        <v>1710.89</v>
      </c>
      <c r="X22" s="18" t="n">
        <v>1703.05</v>
      </c>
      <c r="Y22" s="18" t="n">
        <v>1702.57</v>
      </c>
      <c r="Z22" s="37" t="n">
        <v>1702.57</v>
      </c>
      <c r="AA22" s="18" t="n">
        <v>1700.53</v>
      </c>
      <c r="AB22" s="19" t="n">
        <v>1690.58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장기매출채권및기타채권</t>
        </is>
      </c>
      <c r="E23" s="18" t="n">
        <v>1707.42</v>
      </c>
      <c r="F23" s="37" t="n">
        <v>1707.42</v>
      </c>
      <c r="J23" s="18" t="n">
        <v>1997.49</v>
      </c>
      <c r="K23" s="37" t="n">
        <v>1997.49</v>
      </c>
      <c r="O23" s="18" t="n">
        <v>929.88</v>
      </c>
      <c r="P23" s="37" t="n">
        <v>929.88</v>
      </c>
      <c r="U23" s="9" t="n"/>
      <c r="Z23" s="9" t="n"/>
      <c r="AB23" s="5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장기대여금</t>
        </is>
      </c>
      <c r="E24" s="18" t="n">
        <v>8</v>
      </c>
      <c r="F24" s="37" t="n">
        <v>8</v>
      </c>
      <c r="G24" s="18" t="n">
        <v>6.8</v>
      </c>
      <c r="H24" s="18" t="n">
        <v>5.6</v>
      </c>
      <c r="K24" s="9" t="n"/>
      <c r="P24" s="9" t="n"/>
      <c r="U24" s="9" t="n"/>
      <c r="Z24" s="9" t="n"/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18" t="n">
        <v>416.44</v>
      </c>
      <c r="F25" s="37" t="n">
        <v>416.44</v>
      </c>
      <c r="G25" s="18" t="n">
        <v>838.42</v>
      </c>
      <c r="H25" s="18" t="n">
        <v>1163.3</v>
      </c>
      <c r="I25" s="18" t="n">
        <v>1195.39</v>
      </c>
      <c r="J25" s="18" t="n">
        <v>1431.1</v>
      </c>
      <c r="K25" s="37" t="n">
        <v>1431.1</v>
      </c>
      <c r="L25" s="18" t="n">
        <v>1499.32</v>
      </c>
      <c r="M25" s="18" t="n">
        <v>1399.33</v>
      </c>
      <c r="N25" s="18" t="n">
        <v>1440.05</v>
      </c>
      <c r="O25" s="18" t="n">
        <v>1501.1</v>
      </c>
      <c r="P25" s="37" t="n">
        <v>1501.1</v>
      </c>
      <c r="Q25" s="18" t="n">
        <v>1104.09</v>
      </c>
      <c r="R25" s="18" t="n">
        <v>903.84</v>
      </c>
      <c r="S25" s="18" t="n">
        <v>1007.91</v>
      </c>
      <c r="T25" s="18" t="n">
        <v>650.76</v>
      </c>
      <c r="U25" s="37" t="n">
        <v>650.76</v>
      </c>
      <c r="V25" s="18" t="n">
        <v>805.3</v>
      </c>
      <c r="W25" s="18" t="n">
        <v>1407.75</v>
      </c>
      <c r="X25" s="18" t="n">
        <v>1155.35</v>
      </c>
      <c r="Y25" s="18" t="n">
        <v>916.4400000000001</v>
      </c>
      <c r="Z25" s="37" t="n">
        <v>916.4400000000001</v>
      </c>
      <c r="AA25" s="18" t="n">
        <v>1613.78</v>
      </c>
      <c r="AB25" s="19" t="n">
        <v>1707.58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101696.2</v>
      </c>
      <c r="F26" s="37" t="n">
        <v>101696.2</v>
      </c>
      <c r="G26" s="18" t="n">
        <v>108728.18</v>
      </c>
      <c r="H26" s="18" t="n">
        <v>106911.44</v>
      </c>
      <c r="I26" s="18" t="n">
        <v>108305.32</v>
      </c>
      <c r="J26" s="18" t="n">
        <v>101804.64</v>
      </c>
      <c r="K26" s="37" t="n">
        <v>101804.64</v>
      </c>
      <c r="L26" s="18" t="n">
        <v>114230.85</v>
      </c>
      <c r="M26" s="18" t="n">
        <v>113325.07</v>
      </c>
      <c r="N26" s="18" t="n">
        <v>111058.81</v>
      </c>
      <c r="O26" s="18" t="n">
        <v>103880.71</v>
      </c>
      <c r="P26" s="37" t="n">
        <v>103880.71</v>
      </c>
      <c r="Q26" s="18" t="n">
        <v>109102.77</v>
      </c>
      <c r="R26" s="18" t="n">
        <v>108103.55</v>
      </c>
      <c r="S26" s="18" t="n">
        <v>116166.39</v>
      </c>
      <c r="T26" s="18" t="n">
        <v>101975.37</v>
      </c>
      <c r="U26" s="37" t="n">
        <v>101975.37</v>
      </c>
      <c r="V26" s="18" t="n">
        <v>124967.49</v>
      </c>
      <c r="W26" s="18" t="n">
        <v>123184.21</v>
      </c>
      <c r="X26" s="18" t="n">
        <v>119307.83</v>
      </c>
      <c r="Y26" s="18" t="n">
        <v>103409.69</v>
      </c>
      <c r="Z26" s="37" t="n">
        <v>103409.69</v>
      </c>
      <c r="AA26" s="18" t="n">
        <v>143794.67</v>
      </c>
      <c r="AB26" s="19" t="n">
        <v>141491.14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14888.49</v>
      </c>
      <c r="F27" s="37" t="n">
        <v>14888.49</v>
      </c>
      <c r="G27" s="18" t="n">
        <v>23689.46</v>
      </c>
      <c r="H27" s="18" t="n">
        <v>21387.66</v>
      </c>
      <c r="I27" s="18" t="n">
        <v>15280.38</v>
      </c>
      <c r="J27" s="18" t="n">
        <v>10761.92</v>
      </c>
      <c r="K27" s="37" t="n">
        <v>10761.92</v>
      </c>
      <c r="L27" s="18" t="n">
        <v>26710.72</v>
      </c>
      <c r="M27" s="18" t="n">
        <v>21371.7</v>
      </c>
      <c r="N27" s="18" t="n">
        <v>16800.75</v>
      </c>
      <c r="O27" s="18" t="n">
        <v>8030.65</v>
      </c>
      <c r="P27" s="37" t="n">
        <v>8030.65</v>
      </c>
      <c r="Q27" s="18" t="n">
        <v>13773.05</v>
      </c>
      <c r="R27" s="18" t="n">
        <v>9937.290000000001</v>
      </c>
      <c r="S27" s="18" t="n">
        <v>19456.97</v>
      </c>
      <c r="T27" s="18" t="n">
        <v>11292.48</v>
      </c>
      <c r="U27" s="37" t="n">
        <v>11292.48</v>
      </c>
      <c r="V27" s="18" t="n">
        <v>35021.52</v>
      </c>
      <c r="W27" s="18" t="n">
        <v>33265.68</v>
      </c>
      <c r="X27" s="18" t="n">
        <v>30468.4</v>
      </c>
      <c r="Y27" s="18" t="n">
        <v>18996.65</v>
      </c>
      <c r="Z27" s="37" t="n">
        <v>18996.65</v>
      </c>
      <c r="AA27" s="18" t="n">
        <v>36414.93</v>
      </c>
      <c r="AB27" s="19" t="n">
        <v>30043.28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매입채무및기타채무</t>
        </is>
      </c>
      <c r="E28" s="18" t="n">
        <v>2003.16</v>
      </c>
      <c r="F28" s="37" t="n">
        <v>2003.16</v>
      </c>
      <c r="G28" s="18" t="n">
        <v>15347.83</v>
      </c>
      <c r="H28" s="18" t="n">
        <v>6457.59</v>
      </c>
      <c r="I28" s="18" t="n">
        <v>2942.62</v>
      </c>
      <c r="J28" s="18" t="n">
        <v>1515.56</v>
      </c>
      <c r="K28" s="37" t="n">
        <v>1515.56</v>
      </c>
      <c r="L28" s="18" t="n">
        <v>22313.42</v>
      </c>
      <c r="M28" s="18" t="n">
        <v>10432.07</v>
      </c>
      <c r="N28" s="18" t="n">
        <v>5183.54</v>
      </c>
      <c r="O28" s="18" t="n">
        <v>1201.95</v>
      </c>
      <c r="P28" s="37" t="n">
        <v>1201.95</v>
      </c>
      <c r="Q28" s="18" t="n">
        <v>9342.65</v>
      </c>
      <c r="R28" s="18" t="n">
        <v>9356.459999999999</v>
      </c>
      <c r="S28" s="18" t="n">
        <v>15479.72</v>
      </c>
      <c r="T28" s="18" t="n">
        <v>592.79</v>
      </c>
      <c r="U28" s="37" t="n">
        <v>592.79</v>
      </c>
      <c r="V28" s="18" t="n">
        <v>14008.44</v>
      </c>
      <c r="W28" s="18" t="n">
        <v>12772.43</v>
      </c>
      <c r="X28" s="18" t="n">
        <v>8668.02</v>
      </c>
      <c r="Y28" s="18" t="n">
        <v>1467.12</v>
      </c>
      <c r="Z28" s="37" t="n">
        <v>1467.12</v>
      </c>
      <c r="AA28" s="18" t="n">
        <v>7212.79</v>
      </c>
      <c r="AB28" s="19" t="n">
        <v>7318.36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373.78</v>
      </c>
      <c r="F29" s="37" t="n">
        <v>373.78</v>
      </c>
      <c r="G29" s="18" t="n">
        <v>373.78</v>
      </c>
      <c r="H29" s="18" t="n">
        <v>373.78</v>
      </c>
      <c r="I29" s="18" t="n">
        <v>373.78</v>
      </c>
      <c r="J29" s="18" t="n">
        <v>373.78</v>
      </c>
      <c r="K29" s="37" t="n">
        <v>373.78</v>
      </c>
      <c r="L29" s="18" t="n">
        <v>373.78</v>
      </c>
      <c r="M29" s="18" t="n">
        <v>373.78</v>
      </c>
      <c r="N29" s="18" t="n">
        <v>373.78</v>
      </c>
      <c r="O29" s="18" t="n">
        <v>373.78</v>
      </c>
      <c r="P29" s="37" t="n">
        <v>373.78</v>
      </c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3433.32</v>
      </c>
      <c r="F30" s="37" t="n">
        <v>3433.32</v>
      </c>
      <c r="G30" s="18" t="n">
        <v>3157.39</v>
      </c>
      <c r="H30" s="18" t="n">
        <v>1715.22</v>
      </c>
      <c r="I30" s="18" t="n">
        <v>1987.89</v>
      </c>
      <c r="J30" s="18" t="n">
        <v>1834.5</v>
      </c>
      <c r="K30" s="37" t="n">
        <v>1834.5</v>
      </c>
      <c r="L30" s="18" t="n">
        <v>2870.72</v>
      </c>
      <c r="M30" s="18" t="n">
        <v>3028.51</v>
      </c>
      <c r="N30" s="18" t="n">
        <v>3161.56</v>
      </c>
      <c r="O30" s="18" t="n">
        <v>1557.88</v>
      </c>
      <c r="P30" s="37" t="n">
        <v>1557.88</v>
      </c>
      <c r="Q30" s="18" t="n">
        <v>1596.62</v>
      </c>
      <c r="R30" s="18" t="n">
        <v>1107.12</v>
      </c>
      <c r="S30" s="18" t="n">
        <v>45.62</v>
      </c>
      <c r="U30" s="9" t="n"/>
      <c r="V30" s="18" t="n">
        <v>2392.34</v>
      </c>
      <c r="W30" s="18" t="n">
        <v>2926.87</v>
      </c>
      <c r="X30" s="18" t="n">
        <v>1962.69</v>
      </c>
      <c r="Y30" s="18" t="n">
        <v>2387.58</v>
      </c>
      <c r="Z30" s="37" t="n">
        <v>2387.58</v>
      </c>
      <c r="AA30" s="18" t="n">
        <v>6569.61</v>
      </c>
      <c r="AB30" s="19" t="n">
        <v>7155.5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계약부채</t>
        </is>
      </c>
      <c r="E31" s="18" t="n">
        <v>8047.2</v>
      </c>
      <c r="F31" s="37" t="n">
        <v>8047.2</v>
      </c>
      <c r="G31" s="18" t="n">
        <v>8893.32</v>
      </c>
      <c r="H31" s="18" t="n">
        <v>11537.59</v>
      </c>
      <c r="I31" s="18" t="n">
        <v>7243.43</v>
      </c>
      <c r="J31" s="18" t="n">
        <v>4586.2</v>
      </c>
      <c r="K31" s="37" t="n">
        <v>4586.2</v>
      </c>
      <c r="L31" s="18" t="n">
        <v>5895.87</v>
      </c>
      <c r="M31" s="18" t="n">
        <v>5733.5</v>
      </c>
      <c r="N31" s="18" t="n">
        <v>4820.67</v>
      </c>
      <c r="O31" s="18" t="n">
        <v>3096.11</v>
      </c>
      <c r="P31" s="37" t="n">
        <v>3096.11</v>
      </c>
      <c r="Q31" s="18" t="n">
        <v>3429.08</v>
      </c>
      <c r="R31" s="18" t="n">
        <v>2622.71</v>
      </c>
      <c r="S31" s="18" t="n">
        <v>10579.6</v>
      </c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단기충당부채</t>
        </is>
      </c>
      <c r="E32" s="18" t="n">
        <v>563.62</v>
      </c>
      <c r="F32" s="37" t="n">
        <v>563.62</v>
      </c>
      <c r="G32" s="18" t="n">
        <v>563.62</v>
      </c>
      <c r="H32" s="18" t="n">
        <v>1689.58</v>
      </c>
      <c r="I32" s="18" t="n">
        <v>3011.46</v>
      </c>
      <c r="J32" s="18" t="n">
        <v>3427.06</v>
      </c>
      <c r="K32" s="37" t="n">
        <v>3427.06</v>
      </c>
      <c r="L32" s="18" t="n">
        <v>3498.52</v>
      </c>
      <c r="M32" s="18" t="n">
        <v>3376.6</v>
      </c>
      <c r="N32" s="18" t="n">
        <v>3418</v>
      </c>
      <c r="O32" s="18" t="n">
        <v>2417.9</v>
      </c>
      <c r="P32" s="37" t="n">
        <v>2417.9</v>
      </c>
      <c r="Q32" s="18" t="n">
        <v>2268.62</v>
      </c>
      <c r="R32" s="18" t="n">
        <v>2026.1</v>
      </c>
      <c r="S32" s="18" t="n">
        <v>1685.52</v>
      </c>
      <c r="T32" s="18" t="n">
        <v>836.29</v>
      </c>
      <c r="U32" s="37" t="n">
        <v>836.29</v>
      </c>
      <c r="V32" s="18" t="n">
        <v>950.46</v>
      </c>
      <c r="W32" s="18" t="n">
        <v>860.79</v>
      </c>
      <c r="X32" s="18" t="n">
        <v>977.13</v>
      </c>
      <c r="Y32" s="18" t="n">
        <v>917.1900000000001</v>
      </c>
      <c r="Z32" s="37" t="n">
        <v>917.1900000000001</v>
      </c>
      <c r="AA32" s="18" t="n">
        <v>957.63</v>
      </c>
      <c r="AB32" s="19" t="n">
        <v>1039.22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유동리스부채</t>
        </is>
      </c>
      <c r="E33" s="18" t="n">
        <v>15.34</v>
      </c>
      <c r="F33" s="37" t="n">
        <v>15.34</v>
      </c>
      <c r="G33" s="18" t="n">
        <v>22.45</v>
      </c>
      <c r="H33" s="18" t="n">
        <v>23.55</v>
      </c>
      <c r="I33" s="18" t="n">
        <v>23.15</v>
      </c>
      <c r="J33" s="18" t="n">
        <v>45.26</v>
      </c>
      <c r="K33" s="37" t="n">
        <v>45.26</v>
      </c>
      <c r="L33" s="18" t="n">
        <v>58.01</v>
      </c>
      <c r="M33" s="18" t="n">
        <v>58.39</v>
      </c>
      <c r="N33" s="18" t="n">
        <v>58.52</v>
      </c>
      <c r="O33" s="18" t="n">
        <v>58.98</v>
      </c>
      <c r="P33" s="37" t="n">
        <v>58.98</v>
      </c>
      <c r="Q33" s="18" t="n">
        <v>56.83</v>
      </c>
      <c r="R33" s="18" t="n">
        <v>47.07</v>
      </c>
      <c r="S33" s="18" t="n">
        <v>47.37</v>
      </c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리스부채</t>
        </is>
      </c>
      <c r="E34" s="18" t="n">
        <v>61.03</v>
      </c>
      <c r="F34" s="37" t="n">
        <v>61.03</v>
      </c>
      <c r="G34" s="18" t="n">
        <v>92.14</v>
      </c>
      <c r="H34" s="18" t="n">
        <v>86.88</v>
      </c>
      <c r="I34" s="18" t="n">
        <v>81.19</v>
      </c>
      <c r="J34" s="18" t="n">
        <v>167.93</v>
      </c>
      <c r="K34" s="37" t="n">
        <v>167.93</v>
      </c>
      <c r="L34" s="18" t="n">
        <v>179.35</v>
      </c>
      <c r="M34" s="18" t="n">
        <v>164.99</v>
      </c>
      <c r="N34" s="18" t="n">
        <v>150.27</v>
      </c>
      <c r="O34" s="18" t="n">
        <v>135.81</v>
      </c>
      <c r="P34" s="37" t="n">
        <v>135.81</v>
      </c>
      <c r="Q34" s="18" t="n">
        <v>121.24</v>
      </c>
      <c r="R34" s="18" t="n">
        <v>99.59999999999999</v>
      </c>
      <c r="S34" s="18" t="n">
        <v>87.94</v>
      </c>
      <c r="T34" s="18" t="n">
        <v>28.53</v>
      </c>
      <c r="U34" s="37" t="n">
        <v>28.53</v>
      </c>
      <c r="V34" s="18" t="n">
        <v>18.97</v>
      </c>
      <c r="W34" s="18" t="n">
        <v>13.05</v>
      </c>
      <c r="X34" s="18" t="n">
        <v>7.09</v>
      </c>
      <c r="Y34" s="18" t="n">
        <v>1.1</v>
      </c>
      <c r="Z34" s="37" t="n">
        <v>1.1</v>
      </c>
      <c r="AA34" s="18" t="n">
        <v>17.87</v>
      </c>
      <c r="AB34" s="19" t="n">
        <v>81.01000000000001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15.34</v>
      </c>
      <c r="F35" s="37" t="n">
        <v>15.34</v>
      </c>
      <c r="G35" s="18" t="n">
        <v>22.45</v>
      </c>
      <c r="H35" s="18" t="n">
        <v>23.55</v>
      </c>
      <c r="I35" s="18" t="n">
        <v>23.15</v>
      </c>
      <c r="J35" s="18" t="n">
        <v>45.26</v>
      </c>
      <c r="K35" s="37" t="n">
        <v>45.26</v>
      </c>
      <c r="L35" s="18" t="n">
        <v>58.01</v>
      </c>
      <c r="M35" s="18" t="n">
        <v>58.39</v>
      </c>
      <c r="N35" s="18" t="n">
        <v>58.52</v>
      </c>
      <c r="O35" s="18" t="n">
        <v>58.98</v>
      </c>
      <c r="P35" s="37" t="n">
        <v>58.98</v>
      </c>
      <c r="Q35" s="18" t="n">
        <v>56.83</v>
      </c>
      <c r="R35" s="18" t="n">
        <v>47.07</v>
      </c>
      <c r="S35" s="18" t="n">
        <v>47.37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865.2</v>
      </c>
      <c r="F36" s="37" t="n">
        <v>865.2</v>
      </c>
      <c r="G36" s="18" t="n">
        <v>907.3</v>
      </c>
      <c r="H36" s="18" t="n">
        <v>765.87</v>
      </c>
      <c r="I36" s="18" t="n">
        <v>857.54</v>
      </c>
      <c r="J36" s="18" t="n">
        <v>904.4400000000001</v>
      </c>
      <c r="K36" s="37" t="n">
        <v>904.4400000000001</v>
      </c>
      <c r="L36" s="18" t="n">
        <v>952.05</v>
      </c>
      <c r="M36" s="18" t="n">
        <v>1016.35</v>
      </c>
      <c r="N36" s="18" t="n">
        <v>1125.81</v>
      </c>
      <c r="O36" s="18" t="n">
        <v>1789.34</v>
      </c>
      <c r="P36" s="37" t="n">
        <v>1789.34</v>
      </c>
      <c r="Q36" s="18" t="n">
        <v>1910.11</v>
      </c>
      <c r="R36" s="18" t="n">
        <v>2023.36</v>
      </c>
      <c r="S36" s="18" t="n">
        <v>2091.79</v>
      </c>
      <c r="T36" s="18" t="n">
        <v>1353.92</v>
      </c>
      <c r="U36" s="37" t="n">
        <v>1353.92</v>
      </c>
      <c r="V36" s="18" t="n">
        <v>1590.02</v>
      </c>
      <c r="W36" s="18" t="n">
        <v>1312.16</v>
      </c>
      <c r="X36" s="18" t="n">
        <v>1400.46</v>
      </c>
      <c r="Y36" s="18" t="n">
        <v>1417.18</v>
      </c>
      <c r="Z36" s="37" t="n">
        <v>1417.18</v>
      </c>
      <c r="AA36" s="18" t="n">
        <v>5879.22</v>
      </c>
      <c r="AB36" s="19" t="n">
        <v>4650.42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확정급여부채</t>
        </is>
      </c>
      <c r="E37" s="18" t="n">
        <v>174.48</v>
      </c>
      <c r="F37" s="37" t="n">
        <v>174.48</v>
      </c>
      <c r="G37" s="18" t="n">
        <v>220.48</v>
      </c>
      <c r="H37" s="18" t="n">
        <v>261.01</v>
      </c>
      <c r="I37" s="18" t="n">
        <v>305.58</v>
      </c>
      <c r="J37" s="18" t="n">
        <v>190.06</v>
      </c>
      <c r="K37" s="37" t="n">
        <v>190.06</v>
      </c>
      <c r="L37" s="18" t="n">
        <v>230.6</v>
      </c>
      <c r="M37" s="18" t="n">
        <v>277.63</v>
      </c>
      <c r="N37" s="18" t="n">
        <v>391.11</v>
      </c>
      <c r="O37" s="18" t="n">
        <v>959.77</v>
      </c>
      <c r="P37" s="37" t="n">
        <v>959.77</v>
      </c>
      <c r="Q37" s="18" t="n">
        <v>6507.44</v>
      </c>
      <c r="R37" s="18" t="n">
        <v>6633.25</v>
      </c>
      <c r="S37" s="18" t="n">
        <v>6728.63</v>
      </c>
      <c r="T37" s="18" t="n">
        <v>415.63</v>
      </c>
      <c r="U37" s="37" t="n">
        <v>415.63</v>
      </c>
      <c r="V37" s="18" t="n">
        <v>661.16</v>
      </c>
      <c r="W37" s="18" t="n">
        <v>388.19</v>
      </c>
      <c r="X37" s="18" t="n">
        <v>478.56</v>
      </c>
      <c r="Y37" s="18" t="n">
        <v>456.81</v>
      </c>
      <c r="Z37" s="37" t="n">
        <v>456.81</v>
      </c>
      <c r="AA37" s="18" t="n">
        <v>503.23</v>
      </c>
      <c r="AB37" s="19" t="n">
        <v>558.7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비유동리스부채</t>
        </is>
      </c>
      <c r="E38" s="18" t="n">
        <v>45.69</v>
      </c>
      <c r="F38" s="37" t="n">
        <v>45.69</v>
      </c>
      <c r="G38" s="18" t="n">
        <v>69.69</v>
      </c>
      <c r="H38" s="18" t="n">
        <v>63.33</v>
      </c>
      <c r="I38" s="18" t="n">
        <v>58.04</v>
      </c>
      <c r="J38" s="18" t="n">
        <v>122.67</v>
      </c>
      <c r="K38" s="37" t="n">
        <v>122.67</v>
      </c>
      <c r="L38" s="18" t="n">
        <v>121.34</v>
      </c>
      <c r="M38" s="18" t="n">
        <v>106.6</v>
      </c>
      <c r="N38" s="18" t="n">
        <v>91.75</v>
      </c>
      <c r="O38" s="18" t="n">
        <v>76.83</v>
      </c>
      <c r="P38" s="37" t="n">
        <v>76.83</v>
      </c>
      <c r="Q38" s="18" t="n">
        <v>64.41</v>
      </c>
      <c r="R38" s="18" t="n">
        <v>52.53</v>
      </c>
      <c r="S38" s="18" t="n">
        <v>40.57</v>
      </c>
      <c r="T38" s="18" t="n">
        <v>28.53</v>
      </c>
      <c r="U38" s="37" t="n">
        <v>28.53</v>
      </c>
      <c r="V38" s="18" t="n">
        <v>18.97</v>
      </c>
      <c r="W38" s="18" t="n">
        <v>13.05</v>
      </c>
      <c r="X38" s="18" t="n">
        <v>7.09</v>
      </c>
      <c r="Y38" s="18" t="n">
        <v>1.1</v>
      </c>
      <c r="Z38" s="37" t="n">
        <v>1.1</v>
      </c>
      <c r="AA38" s="18" t="n">
        <v>17.87</v>
      </c>
      <c r="AB38" s="19" t="n">
        <v>81.01000000000001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장기금융부채</t>
        </is>
      </c>
      <c r="E39" s="18" t="n">
        <v>45.69</v>
      </c>
      <c r="F39" s="37" t="n">
        <v>45.69</v>
      </c>
      <c r="G39" s="18" t="n">
        <v>69.69</v>
      </c>
      <c r="H39" s="18" t="n">
        <v>63.33</v>
      </c>
      <c r="I39" s="18" t="n">
        <v>58.04</v>
      </c>
      <c r="J39" s="18" t="n">
        <v>122.67</v>
      </c>
      <c r="K39" s="37" t="n">
        <v>122.67</v>
      </c>
      <c r="L39" s="18" t="n">
        <v>121.34</v>
      </c>
      <c r="M39" s="18" t="n">
        <v>106.6</v>
      </c>
      <c r="N39" s="18" t="n">
        <v>91.75</v>
      </c>
      <c r="O39" s="18" t="n">
        <v>76.83</v>
      </c>
      <c r="P39" s="37" t="n">
        <v>76.83</v>
      </c>
      <c r="Q39" s="18" t="n">
        <v>64.41</v>
      </c>
      <c r="R39" s="18" t="n">
        <v>52.53</v>
      </c>
      <c r="S39" s="18" t="n">
        <v>40.57</v>
      </c>
      <c r="T39" s="18" t="n">
        <v>28.53</v>
      </c>
      <c r="U39" s="37" t="n">
        <v>28.53</v>
      </c>
      <c r="V39" s="18" t="n">
        <v>18.97</v>
      </c>
      <c r="W39" s="18" t="n">
        <v>13.05</v>
      </c>
      <c r="X39" s="18" t="n">
        <v>7.09</v>
      </c>
      <c r="Y39" s="18" t="n">
        <v>1.1</v>
      </c>
      <c r="Z39" s="37" t="n">
        <v>1.1</v>
      </c>
      <c r="AA39" s="18" t="n">
        <v>4416.72</v>
      </c>
      <c r="AB39" s="19" t="n">
        <v>3132.46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장기매입채무및기타채무</t>
        </is>
      </c>
      <c r="E40" s="18" t="n">
        <v>617.13</v>
      </c>
      <c r="F40" s="37" t="n">
        <v>617.13</v>
      </c>
      <c r="G40" s="18" t="n">
        <v>617.13</v>
      </c>
      <c r="H40" s="18" t="n">
        <v>883.08</v>
      </c>
      <c r="I40" s="18" t="n">
        <v>987.84</v>
      </c>
      <c r="J40" s="18" t="n">
        <v>591.71</v>
      </c>
      <c r="K40" s="37" t="n">
        <v>591.71</v>
      </c>
      <c r="L40" s="18" t="n">
        <v>600.1</v>
      </c>
      <c r="M40" s="18" t="n">
        <v>1264.24</v>
      </c>
      <c r="N40" s="18" t="n">
        <v>642.96</v>
      </c>
      <c r="O40" s="18" t="n">
        <v>752.73</v>
      </c>
      <c r="P40" s="37" t="n">
        <v>752.73</v>
      </c>
      <c r="Q40" s="18" t="n">
        <v>752.73</v>
      </c>
      <c r="R40" s="18" t="n">
        <v>819.64</v>
      </c>
      <c r="S40" s="18" t="n">
        <v>845.1900000000001</v>
      </c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이연법인세부채</t>
        </is>
      </c>
      <c r="E41" s="18" t="n">
        <v>27.91</v>
      </c>
      <c r="F41" s="37" t="n">
        <v>27.91</v>
      </c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부채총계</t>
        </is>
      </c>
      <c r="E42" s="18" t="n">
        <v>15753.7</v>
      </c>
      <c r="F42" s="37" t="n">
        <v>15753.7</v>
      </c>
      <c r="G42" s="18" t="n">
        <v>24596.76</v>
      </c>
      <c r="H42" s="18" t="n">
        <v>22153.53</v>
      </c>
      <c r="I42" s="18" t="n">
        <v>16137.92</v>
      </c>
      <c r="J42" s="18" t="n">
        <v>11666.36</v>
      </c>
      <c r="K42" s="37" t="n">
        <v>11666.36</v>
      </c>
      <c r="L42" s="18" t="n">
        <v>27662.77</v>
      </c>
      <c r="M42" s="18" t="n">
        <v>22388.05</v>
      </c>
      <c r="N42" s="18" t="n">
        <v>17926.56</v>
      </c>
      <c r="O42" s="18" t="n">
        <v>9819.99</v>
      </c>
      <c r="P42" s="37" t="n">
        <v>9819.99</v>
      </c>
      <c r="Q42" s="18" t="n">
        <v>15683.16</v>
      </c>
      <c r="R42" s="18" t="n">
        <v>11960.66</v>
      </c>
      <c r="S42" s="18" t="n">
        <v>21548.75</v>
      </c>
      <c r="T42" s="18" t="n">
        <v>12646.4</v>
      </c>
      <c r="U42" s="37" t="n">
        <v>12646.4</v>
      </c>
      <c r="V42" s="18" t="n">
        <v>36611.54</v>
      </c>
      <c r="W42" s="18" t="n">
        <v>34577.84</v>
      </c>
      <c r="X42" s="18" t="n">
        <v>31868.86</v>
      </c>
      <c r="Y42" s="18" t="n">
        <v>20413.82</v>
      </c>
      <c r="Z42" s="37" t="n">
        <v>20413.82</v>
      </c>
      <c r="AA42" s="18" t="n">
        <v>42294.15</v>
      </c>
      <c r="AB42" s="19" t="n">
        <v>34693.7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지배주주지분</t>
        </is>
      </c>
      <c r="E43" s="18" t="n">
        <v>84697.78999999999</v>
      </c>
      <c r="F43" s="37" t="n">
        <v>84697.78999999999</v>
      </c>
      <c r="G43" s="18" t="n">
        <v>82880.33</v>
      </c>
      <c r="H43" s="18" t="n">
        <v>83495.63</v>
      </c>
      <c r="I43" s="18" t="n">
        <v>90862.89</v>
      </c>
      <c r="J43" s="18" t="n">
        <v>88864.47</v>
      </c>
      <c r="K43" s="37" t="n">
        <v>88864.47</v>
      </c>
      <c r="L43" s="18" t="n">
        <v>85295.06</v>
      </c>
      <c r="M43" s="18" t="n">
        <v>89673.72</v>
      </c>
      <c r="N43" s="18" t="n">
        <v>91869.62</v>
      </c>
      <c r="O43" s="18" t="n">
        <v>92971.77</v>
      </c>
      <c r="P43" s="37" t="n">
        <v>92971.77</v>
      </c>
      <c r="Q43" s="18" t="n">
        <v>92274.32000000001</v>
      </c>
      <c r="R43" s="18" t="n">
        <v>94984.69</v>
      </c>
      <c r="S43" s="18" t="n">
        <v>93479.82000000001</v>
      </c>
      <c r="T43" s="18" t="n">
        <v>88192.22</v>
      </c>
      <c r="U43" s="37" t="n">
        <v>88192.22</v>
      </c>
      <c r="V43" s="18" t="n">
        <v>87234.8</v>
      </c>
      <c r="W43" s="18" t="n">
        <v>87501.52</v>
      </c>
      <c r="X43" s="18" t="n">
        <v>86334.25</v>
      </c>
      <c r="Y43" s="18" t="n">
        <v>81886.56</v>
      </c>
      <c r="Z43" s="37" t="n">
        <v>81886.56</v>
      </c>
      <c r="AA43" s="18" t="n">
        <v>100343.26</v>
      </c>
      <c r="AB43" s="19" t="n">
        <v>105643.34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자본금</t>
        </is>
      </c>
      <c r="E44" s="18" t="n">
        <v>2575</v>
      </c>
      <c r="F44" s="37" t="n">
        <v>2575</v>
      </c>
      <c r="G44" s="18" t="n">
        <v>2575</v>
      </c>
      <c r="H44" s="18" t="n">
        <v>2575</v>
      </c>
      <c r="I44" s="18" t="n">
        <v>2575</v>
      </c>
      <c r="J44" s="18" t="n">
        <v>2575</v>
      </c>
      <c r="K44" s="37" t="n">
        <v>2575</v>
      </c>
      <c r="L44" s="18" t="n">
        <v>2575</v>
      </c>
      <c r="M44" s="18" t="n">
        <v>2575</v>
      </c>
      <c r="N44" s="18" t="n">
        <v>2575</v>
      </c>
      <c r="O44" s="18" t="n">
        <v>2575</v>
      </c>
      <c r="P44" s="37" t="n">
        <v>2575</v>
      </c>
      <c r="Q44" s="18" t="n">
        <v>2575</v>
      </c>
      <c r="R44" s="18" t="n">
        <v>2575</v>
      </c>
      <c r="S44" s="18" t="n">
        <v>2575</v>
      </c>
      <c r="T44" s="18" t="n">
        <v>2575</v>
      </c>
      <c r="U44" s="37" t="n">
        <v>2575</v>
      </c>
      <c r="V44" s="18" t="n">
        <v>2575</v>
      </c>
      <c r="W44" s="18" t="n">
        <v>2575</v>
      </c>
      <c r="X44" s="18" t="n">
        <v>2575</v>
      </c>
      <c r="Y44" s="18" t="n">
        <v>2575</v>
      </c>
      <c r="Z44" s="37" t="n">
        <v>2575</v>
      </c>
      <c r="AA44" s="18" t="n">
        <v>2575</v>
      </c>
      <c r="AB44" s="19" t="n">
        <v>2575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보통주자본금</t>
        </is>
      </c>
      <c r="E45" s="18" t="n">
        <v>2575</v>
      </c>
      <c r="F45" s="37" t="n">
        <v>2575</v>
      </c>
      <c r="G45" s="18" t="n">
        <v>2575</v>
      </c>
      <c r="H45" s="18" t="n">
        <v>2575</v>
      </c>
      <c r="I45" s="18" t="n">
        <v>2575</v>
      </c>
      <c r="J45" s="18" t="n">
        <v>2575</v>
      </c>
      <c r="K45" s="37" t="n">
        <v>2575</v>
      </c>
      <c r="L45" s="18" t="n">
        <v>2575</v>
      </c>
      <c r="M45" s="18" t="n">
        <v>2575</v>
      </c>
      <c r="N45" s="18" t="n">
        <v>2575</v>
      </c>
      <c r="O45" s="18" t="n">
        <v>2575</v>
      </c>
      <c r="P45" s="37" t="n">
        <v>2575</v>
      </c>
      <c r="Q45" s="18" t="n">
        <v>2575</v>
      </c>
      <c r="R45" s="18" t="n">
        <v>2575</v>
      </c>
      <c r="S45" s="18" t="n">
        <v>2575</v>
      </c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10110.83</v>
      </c>
      <c r="F46" s="37" t="n">
        <v>10110.83</v>
      </c>
      <c r="G46" s="18" t="n">
        <v>10110.83</v>
      </c>
      <c r="H46" s="18" t="n">
        <v>10110.83</v>
      </c>
      <c r="I46" s="18" t="n">
        <v>10110.83</v>
      </c>
      <c r="J46" s="18" t="n">
        <v>10106.56</v>
      </c>
      <c r="K46" s="37" t="n">
        <v>10106.56</v>
      </c>
      <c r="L46" s="18" t="n">
        <v>10106.56</v>
      </c>
      <c r="M46" s="18" t="n">
        <v>10106.56</v>
      </c>
      <c r="N46" s="18" t="n">
        <v>10106.56</v>
      </c>
      <c r="O46" s="18" t="n">
        <v>10102.27</v>
      </c>
      <c r="P46" s="37" t="n">
        <v>10102.27</v>
      </c>
      <c r="Q46" s="18" t="n">
        <v>10033.33</v>
      </c>
      <c r="R46" s="18" t="n">
        <v>10033.33</v>
      </c>
      <c r="S46" s="18" t="n">
        <v>10033.33</v>
      </c>
      <c r="T46" s="18" t="n">
        <v>6105.07</v>
      </c>
      <c r="U46" s="37" t="n">
        <v>6105.07</v>
      </c>
      <c r="V46" s="18" t="n">
        <v>6105.07</v>
      </c>
      <c r="W46" s="18" t="n">
        <v>6105.07</v>
      </c>
      <c r="X46" s="18" t="n">
        <v>6105.07</v>
      </c>
      <c r="Y46" s="18" t="n">
        <v>6105.07</v>
      </c>
      <c r="Z46" s="37" t="n">
        <v>6105.07</v>
      </c>
      <c r="AA46" s="18" t="n">
        <v>17649.28</v>
      </c>
      <c r="AB46" s="19" t="n">
        <v>17649.28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-418.92</v>
      </c>
      <c r="F47" s="37" t="n">
        <v>-418.92</v>
      </c>
      <c r="G47" s="18" t="n">
        <v>-418.92</v>
      </c>
      <c r="H47" s="18" t="n">
        <v>-418.92</v>
      </c>
      <c r="I47" s="18" t="n">
        <v>-418.92</v>
      </c>
      <c r="J47" s="18" t="n">
        <v>-4537.03</v>
      </c>
      <c r="K47" s="37" t="n">
        <v>-4537.03</v>
      </c>
      <c r="L47" s="18" t="n">
        <v>-4537.03</v>
      </c>
      <c r="M47" s="18" t="n">
        <v>-4537.03</v>
      </c>
      <c r="N47" s="18" t="n">
        <v>-4537.03</v>
      </c>
      <c r="O47" s="18" t="n">
        <v>-6524.8</v>
      </c>
      <c r="P47" s="37" t="n">
        <v>-6524.8</v>
      </c>
      <c r="Q47" s="18" t="n">
        <v>-6593.74</v>
      </c>
      <c r="R47" s="18" t="n">
        <v>-6593.74</v>
      </c>
      <c r="S47" s="18" t="n">
        <v>-6593.74</v>
      </c>
      <c r="T47" s="18" t="n">
        <v>-13333.41</v>
      </c>
      <c r="U47" s="37" t="n">
        <v>-13333.41</v>
      </c>
      <c r="V47" s="18" t="n">
        <v>-13333.41</v>
      </c>
      <c r="W47" s="18" t="n">
        <v>-13333.41</v>
      </c>
      <c r="X47" s="18" t="n">
        <v>-13333.41</v>
      </c>
      <c r="Y47" s="18" t="n">
        <v>-13333.41</v>
      </c>
      <c r="Z47" s="37" t="n">
        <v>-13333.41</v>
      </c>
      <c r="AA47" s="18" t="n">
        <v>-2461.31</v>
      </c>
      <c r="AB47" s="19" t="n">
        <v>-2461.31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78.70999999999999</v>
      </c>
      <c r="F48" s="37" t="n">
        <v>78.70999999999999</v>
      </c>
      <c r="G48" s="18" t="n">
        <v>122.19</v>
      </c>
      <c r="H48" s="18" t="n">
        <v>148.55</v>
      </c>
      <c r="I48" s="18" t="n">
        <v>222.59</v>
      </c>
      <c r="J48" s="18" t="n">
        <v>20.13</v>
      </c>
      <c r="K48" s="37" t="n">
        <v>20.13</v>
      </c>
      <c r="L48" s="18" t="n">
        <v>101.2</v>
      </c>
      <c r="M48" s="18" t="n">
        <v>19.93</v>
      </c>
      <c r="N48" s="18" t="n">
        <v>45.52</v>
      </c>
      <c r="O48" s="18" t="n">
        <v>13.58</v>
      </c>
      <c r="P48" s="37" t="n">
        <v>13.58</v>
      </c>
      <c r="Q48" s="18" t="n">
        <v>54.74</v>
      </c>
      <c r="R48" s="18" t="n">
        <v>110.42</v>
      </c>
      <c r="S48" s="18" t="n">
        <v>93.17</v>
      </c>
      <c r="T48" s="18" t="n">
        <v>225.53</v>
      </c>
      <c r="U48" s="37" t="n">
        <v>225.53</v>
      </c>
      <c r="V48" s="18" t="n">
        <v>226.98</v>
      </c>
      <c r="W48" s="18" t="n">
        <v>95.44</v>
      </c>
      <c r="X48" s="18" t="n">
        <v>170.67</v>
      </c>
      <c r="Y48" s="18" t="n">
        <v>245.67</v>
      </c>
      <c r="Z48" s="37" t="n">
        <v>245.67</v>
      </c>
      <c r="AA48" s="18" t="n">
        <v>408.03</v>
      </c>
      <c r="AB48" s="19" t="n">
        <v>483.27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77154.89999999999</v>
      </c>
      <c r="F49" s="37" t="n">
        <v>77154.89999999999</v>
      </c>
      <c r="G49" s="18" t="n">
        <v>75293.97</v>
      </c>
      <c r="H49" s="18" t="n">
        <v>75882.91</v>
      </c>
      <c r="I49" s="18" t="n">
        <v>83176.12</v>
      </c>
      <c r="J49" s="18" t="n">
        <v>83441.35000000001</v>
      </c>
      <c r="K49" s="37" t="n">
        <v>83441.35000000001</v>
      </c>
      <c r="L49" s="18" t="n">
        <v>79790.88</v>
      </c>
      <c r="M49" s="18" t="n">
        <v>84250.8</v>
      </c>
      <c r="N49" s="18" t="n">
        <v>86421.11</v>
      </c>
      <c r="O49" s="18" t="n">
        <v>136833.96</v>
      </c>
      <c r="P49" s="37" t="n">
        <v>136833.96</v>
      </c>
      <c r="Q49" s="18" t="n">
        <v>135494.62</v>
      </c>
      <c r="R49" s="18" t="n">
        <v>140804</v>
      </c>
      <c r="S49" s="18" t="n">
        <v>137828.76</v>
      </c>
      <c r="T49" s="18" t="n">
        <v>92620.03</v>
      </c>
      <c r="U49" s="37" t="n">
        <v>92620.03</v>
      </c>
      <c r="V49" s="18" t="n">
        <v>91661.16</v>
      </c>
      <c r="W49" s="18" t="n">
        <v>92059.42999999999</v>
      </c>
      <c r="X49" s="18" t="n">
        <v>90816.92</v>
      </c>
      <c r="Y49" s="18" t="n">
        <v>86294.23</v>
      </c>
      <c r="Z49" s="37" t="n">
        <v>86294.23</v>
      </c>
      <c r="AA49" s="18" t="n">
        <v>82172.25999999999</v>
      </c>
      <c r="AB49" s="19" t="n">
        <v>87397.10000000001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비지배주주지분</t>
        </is>
      </c>
      <c r="E50" s="18" t="n">
        <v>1244.72</v>
      </c>
      <c r="F50" s="37" t="n">
        <v>1244.72</v>
      </c>
      <c r="G50" s="18" t="n">
        <v>1251.08</v>
      </c>
      <c r="H50" s="18" t="n">
        <v>1262.28</v>
      </c>
      <c r="I50" s="18" t="n">
        <v>1304.51</v>
      </c>
      <c r="J50" s="18" t="n">
        <v>1273.81</v>
      </c>
      <c r="K50" s="37" t="n">
        <v>1273.81</v>
      </c>
      <c r="L50" s="18" t="n">
        <v>1273.02</v>
      </c>
      <c r="M50" s="18" t="n">
        <v>1263.3</v>
      </c>
      <c r="N50" s="18" t="n">
        <v>1262.63</v>
      </c>
      <c r="O50" s="18" t="n">
        <v>1088.95</v>
      </c>
      <c r="P50" s="37" t="n">
        <v>1088.95</v>
      </c>
      <c r="Q50" s="18" t="n">
        <v>1145.3</v>
      </c>
      <c r="R50" s="18" t="n">
        <v>1158.21</v>
      </c>
      <c r="S50" s="18" t="n">
        <v>1137.81</v>
      </c>
      <c r="T50" s="18" t="n">
        <v>1136.75</v>
      </c>
      <c r="U50" s="37" t="n">
        <v>1136.75</v>
      </c>
      <c r="V50" s="18" t="n">
        <v>1121.15</v>
      </c>
      <c r="W50" s="18" t="n">
        <v>1104.84</v>
      </c>
      <c r="X50" s="18" t="n">
        <v>1104.73</v>
      </c>
      <c r="Y50" s="18" t="n">
        <v>1109.3</v>
      </c>
      <c r="Z50" s="37" t="n">
        <v>1109.3</v>
      </c>
      <c r="AA50" s="18" t="n">
        <v>1157.26</v>
      </c>
      <c r="AB50" s="19" t="n">
        <v>1154.1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85942.50999999999</v>
      </c>
      <c r="F51" s="37" t="n">
        <v>85942.50999999999</v>
      </c>
      <c r="G51" s="18" t="n">
        <v>84131.42</v>
      </c>
      <c r="H51" s="18" t="n">
        <v>84757.91</v>
      </c>
      <c r="I51" s="18" t="n">
        <v>92167.39999999999</v>
      </c>
      <c r="J51" s="18" t="n">
        <v>90138.28</v>
      </c>
      <c r="K51" s="37" t="n">
        <v>90138.28</v>
      </c>
      <c r="L51" s="18" t="n">
        <v>86568.08</v>
      </c>
      <c r="M51" s="18" t="n">
        <v>90937.02</v>
      </c>
      <c r="N51" s="18" t="n">
        <v>93132.24000000001</v>
      </c>
      <c r="O51" s="18" t="n">
        <v>94060.72</v>
      </c>
      <c r="P51" s="37" t="n">
        <v>94060.72</v>
      </c>
      <c r="Q51" s="18" t="n">
        <v>93419.62</v>
      </c>
      <c r="R51" s="18" t="n">
        <v>96142.89999999999</v>
      </c>
      <c r="S51" s="18" t="n">
        <v>94617.64</v>
      </c>
      <c r="T51" s="18" t="n">
        <v>89328.97</v>
      </c>
      <c r="U51" s="37" t="n">
        <v>89328.97</v>
      </c>
      <c r="V51" s="18" t="n">
        <v>88355.95</v>
      </c>
      <c r="W51" s="18" t="n">
        <v>88606.37</v>
      </c>
      <c r="X51" s="18" t="n">
        <v>87438.98</v>
      </c>
      <c r="Y51" s="18" t="n">
        <v>82995.86</v>
      </c>
      <c r="Z51" s="37" t="n">
        <v>82995.86</v>
      </c>
      <c r="AA51" s="18" t="n">
        <v>101500.52</v>
      </c>
      <c r="AB51" s="19" t="n">
        <v>106797.44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101696.2</v>
      </c>
      <c r="F52" s="37" t="n">
        <v>101696.2</v>
      </c>
      <c r="G52" s="18" t="n">
        <v>108728.18</v>
      </c>
      <c r="H52" s="18" t="n">
        <v>106911.44</v>
      </c>
      <c r="I52" s="18" t="n">
        <v>108305.32</v>
      </c>
      <c r="J52" s="18" t="n">
        <v>101804.64</v>
      </c>
      <c r="K52" s="37" t="n">
        <v>101804.64</v>
      </c>
      <c r="L52" s="18" t="n">
        <v>114230.85</v>
      </c>
      <c r="M52" s="18" t="n">
        <v>113325.07</v>
      </c>
      <c r="N52" s="18" t="n">
        <v>111058.81</v>
      </c>
      <c r="O52" s="18" t="n">
        <v>103880.71</v>
      </c>
      <c r="P52" s="37" t="n">
        <v>103880.71</v>
      </c>
      <c r="Q52" s="18" t="n">
        <v>109102.77</v>
      </c>
      <c r="R52" s="18" t="n">
        <v>108103.55</v>
      </c>
      <c r="S52" s="18" t="n">
        <v>116166.39</v>
      </c>
      <c r="T52" s="18" t="n">
        <v>101975.37</v>
      </c>
      <c r="U52" s="37" t="n">
        <v>101975.37</v>
      </c>
      <c r="V52" s="18" t="n">
        <v>124967.49</v>
      </c>
      <c r="W52" s="18" t="n">
        <v>123184.21</v>
      </c>
      <c r="X52" s="18" t="n">
        <v>119307.83</v>
      </c>
      <c r="Y52" s="18" t="n">
        <v>103409.69</v>
      </c>
      <c r="Z52" s="37" t="n">
        <v>103409.69</v>
      </c>
      <c r="AA52" s="18" t="n">
        <v>143794.67</v>
      </c>
      <c r="AB52" s="19" t="n">
        <v>141491.14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373.78</v>
      </c>
      <c r="F53" s="37" t="n">
        <v>373.78</v>
      </c>
      <c r="G53" s="18" t="n">
        <v>373.78</v>
      </c>
      <c r="H53" s="18" t="n">
        <v>373.78</v>
      </c>
      <c r="I53" s="18" t="n">
        <v>373.78</v>
      </c>
      <c r="J53" s="18" t="n">
        <v>373.78</v>
      </c>
      <c r="K53" s="37" t="n">
        <v>373.78</v>
      </c>
      <c r="L53" s="18" t="n">
        <v>373.78</v>
      </c>
      <c r="M53" s="18" t="n">
        <v>373.78</v>
      </c>
      <c r="N53" s="18" t="n">
        <v>373.78</v>
      </c>
      <c r="O53" s="18" t="n">
        <v>373.78</v>
      </c>
      <c r="P53" s="37" t="n">
        <v>373.78</v>
      </c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-17209.95</v>
      </c>
      <c r="F54" s="37" t="n">
        <v>-17209.95</v>
      </c>
      <c r="G54" s="18" t="n">
        <v>-28114.37</v>
      </c>
      <c r="H54" s="18" t="n">
        <v>-17959.73</v>
      </c>
      <c r="I54" s="18" t="n">
        <v>-29459.44</v>
      </c>
      <c r="J54" s="18" t="n">
        <v>-29294.75</v>
      </c>
      <c r="K54" s="37" t="n">
        <v>-29294.75</v>
      </c>
      <c r="L54" s="18" t="n">
        <v>-34067.91</v>
      </c>
      <c r="M54" s="18" t="n">
        <v>-15665.37</v>
      </c>
      <c r="N54" s="18" t="n">
        <v>-23570.87</v>
      </c>
      <c r="O54" s="18" t="n">
        <v>-24062.66</v>
      </c>
      <c r="P54" s="37" t="n">
        <v>-24062.66</v>
      </c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25737.21</v>
      </c>
      <c r="F55" s="37" t="n">
        <v>25737.21</v>
      </c>
      <c r="G55" s="18" t="n">
        <v>28680.07</v>
      </c>
      <c r="H55" s="18" t="n">
        <v>18528</v>
      </c>
      <c r="I55" s="18" t="n">
        <v>30031.78</v>
      </c>
      <c r="J55" s="18" t="n">
        <v>47838.79</v>
      </c>
      <c r="K55" s="37" t="n">
        <v>47838.79</v>
      </c>
      <c r="L55" s="18" t="n">
        <v>34642.94</v>
      </c>
      <c r="M55" s="18" t="n">
        <v>16241.85</v>
      </c>
      <c r="N55" s="18" t="n">
        <v>49463.78</v>
      </c>
      <c r="O55" s="18" t="n">
        <v>44115.72</v>
      </c>
      <c r="P55" s="37" t="n">
        <v>44115.72</v>
      </c>
      <c r="Q55" s="18" t="n">
        <v>50310.95</v>
      </c>
      <c r="R55" s="18" t="n">
        <v>48561.86</v>
      </c>
      <c r="S55" s="18" t="n">
        <v>53085.56</v>
      </c>
      <c r="T55" s="18" t="n">
        <v>38602.86</v>
      </c>
      <c r="U55" s="37" t="n">
        <v>38602.86</v>
      </c>
      <c r="V55" s="18" t="n">
        <v>62447.27</v>
      </c>
      <c r="W55" s="18" t="n">
        <v>47590.46</v>
      </c>
      <c r="X55" s="18" t="n">
        <v>61098.43</v>
      </c>
      <c r="Y55" s="18" t="n">
        <v>36388.36</v>
      </c>
      <c r="Z55" s="37" t="n">
        <v>36388.36</v>
      </c>
      <c r="AA55" s="18" t="n">
        <v>70277.19</v>
      </c>
      <c r="AB55" s="19" t="n">
        <v>77425.28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선급금</t>
        </is>
      </c>
      <c r="F56" s="9" t="n"/>
      <c r="G56" s="18" t="n">
        <v>493.78</v>
      </c>
      <c r="H56" s="18" t="n">
        <v>440.94</v>
      </c>
      <c r="I56" s="18" t="n">
        <v>413.96</v>
      </c>
      <c r="K56" s="9" t="n"/>
      <c r="L56" s="18" t="n">
        <v>641.51</v>
      </c>
      <c r="M56" s="18" t="n">
        <v>284.67</v>
      </c>
      <c r="N56" s="18" t="n">
        <v>167.83</v>
      </c>
      <c r="P56" s="9" t="n"/>
      <c r="Q56" s="18" t="n">
        <v>177.32</v>
      </c>
      <c r="R56" s="18" t="n">
        <v>316.36</v>
      </c>
      <c r="S56" s="18" t="n">
        <v>281.84</v>
      </c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선급금등</t>
        </is>
      </c>
      <c r="F57" s="9" t="n"/>
      <c r="G57" s="18" t="n">
        <v>493.78</v>
      </c>
      <c r="H57" s="18" t="n">
        <v>440.94</v>
      </c>
      <c r="I57" s="18" t="n">
        <v>413.96</v>
      </c>
      <c r="K57" s="9" t="n"/>
      <c r="L57" s="18" t="n">
        <v>641.51</v>
      </c>
      <c r="M57" s="18" t="n">
        <v>284.67</v>
      </c>
      <c r="N57" s="18" t="n">
        <v>167.83</v>
      </c>
      <c r="P57" s="9" t="n"/>
      <c r="Q57" s="18" t="n">
        <v>177.32</v>
      </c>
      <c r="R57" s="18" t="n">
        <v>316.36</v>
      </c>
      <c r="S57" s="18" t="n">
        <v>281.84</v>
      </c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기타유동자산</t>
        </is>
      </c>
      <c r="F58" s="9" t="n"/>
      <c r="G58" s="18" t="n">
        <v>585.58</v>
      </c>
      <c r="H58" s="18" t="n">
        <v>1077.17</v>
      </c>
      <c r="I58" s="18" t="n">
        <v>944.16</v>
      </c>
      <c r="K58" s="9" t="n"/>
      <c r="L58" s="18" t="n">
        <v>708.9</v>
      </c>
      <c r="M58" s="18" t="n">
        <v>683.4</v>
      </c>
      <c r="N58" s="18" t="n">
        <v>907.52</v>
      </c>
      <c r="P58" s="9" t="n"/>
      <c r="Q58" s="18" t="n">
        <v>238.55</v>
      </c>
      <c r="R58" s="18" t="n">
        <v>1124.52</v>
      </c>
      <c r="S58" s="18" t="n">
        <v>1183.88</v>
      </c>
      <c r="T58" s="18" t="n">
        <v>3385.27</v>
      </c>
      <c r="U58" s="37" t="n">
        <v>3385.27</v>
      </c>
      <c r="V58" s="18" t="n">
        <v>1732.31</v>
      </c>
      <c r="W58" s="18" t="n">
        <v>1138.47</v>
      </c>
      <c r="X58" s="18" t="n">
        <v>877.36</v>
      </c>
      <c r="Y58" s="18" t="n">
        <v>826.02</v>
      </c>
      <c r="Z58" s="37" t="n">
        <v>826.02</v>
      </c>
      <c r="AA58" s="18" t="n">
        <v>874.14</v>
      </c>
      <c r="AB58" s="19" t="n">
        <v>856.24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선수금</t>
        </is>
      </c>
      <c r="F59" s="9" t="n"/>
      <c r="G59" s="18" t="n">
        <v>561.14</v>
      </c>
      <c r="K59" s="9" t="n"/>
      <c r="P59" s="9" t="n"/>
      <c r="Q59" s="18" t="n">
        <v>284.82</v>
      </c>
      <c r="R59" s="18" t="n">
        <v>285.91</v>
      </c>
      <c r="S59" s="18" t="n">
        <v>19.2</v>
      </c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기타유동부채</t>
        </is>
      </c>
      <c r="F60" s="9" t="n"/>
      <c r="G60" s="18" t="n">
        <v>561.14</v>
      </c>
      <c r="H60" s="18" t="n">
        <v>12486.72</v>
      </c>
      <c r="K60" s="9" t="n"/>
      <c r="M60" s="18" t="n">
        <v>6114.06</v>
      </c>
      <c r="P60" s="9" t="n"/>
      <c r="Q60" s="18" t="n">
        <v>284.82</v>
      </c>
      <c r="R60" s="18" t="n">
        <v>3560.94</v>
      </c>
      <c r="S60" s="18" t="n">
        <v>10983.11</v>
      </c>
      <c r="T60" s="18" t="n">
        <v>9815.719999999999</v>
      </c>
      <c r="U60" s="37" t="n">
        <v>9815.719999999999</v>
      </c>
      <c r="V60" s="18" t="n">
        <v>17624.85</v>
      </c>
      <c r="W60" s="18" t="n">
        <v>16666.11</v>
      </c>
      <c r="X60" s="18" t="n">
        <v>18827.09</v>
      </c>
      <c r="Y60" s="18" t="n">
        <v>14197.33</v>
      </c>
      <c r="Z60" s="37" t="n">
        <v>14197.33</v>
      </c>
      <c r="AA60" s="18" t="n">
        <v>21673.81</v>
      </c>
      <c r="AB60" s="19" t="n">
        <v>14495.62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단기대여금</t>
        </is>
      </c>
      <c r="F61" s="9" t="n"/>
      <c r="K61" s="9" t="n"/>
      <c r="L61" s="18" t="n">
        <v>100</v>
      </c>
      <c r="M61" s="18" t="n">
        <v>100</v>
      </c>
      <c r="N61" s="18" t="n">
        <v>100</v>
      </c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종속기업및관계기업투자</t>
        </is>
      </c>
      <c r="F62" s="9" t="n"/>
      <c r="K62" s="9" t="n"/>
      <c r="P62" s="9" t="n"/>
      <c r="T62" s="18" t="n">
        <v>0.08</v>
      </c>
      <c r="U62" s="37" t="n">
        <v>0.08</v>
      </c>
      <c r="V62" s="18" t="n">
        <v>0.08</v>
      </c>
      <c r="W62" s="18" t="n">
        <v>0.08</v>
      </c>
      <c r="X62" s="18" t="n">
        <v>0.08</v>
      </c>
      <c r="Y62" s="18" t="n">
        <v>0.08</v>
      </c>
      <c r="Z62" s="37" t="n">
        <v>0.08</v>
      </c>
      <c r="AA62" s="18" t="n">
        <v>0.08</v>
      </c>
      <c r="AB62" s="19" t="n">
        <v>0.08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장기파생상품부채</t>
        </is>
      </c>
      <c r="F63" s="9" t="n"/>
      <c r="K63" s="9" t="n"/>
      <c r="P63" s="9" t="n"/>
      <c r="U63" s="9" t="n"/>
      <c r="Z63" s="9" t="n"/>
      <c r="AA63" s="18" t="n">
        <v>4398.85</v>
      </c>
      <c r="AB63" s="19" t="n">
        <v>3051.45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매출액(수익)</t>
        </is>
      </c>
      <c r="E64" s="18" t="n">
        <v>25182.76</v>
      </c>
      <c r="F64" s="9" t="n"/>
      <c r="G64" s="18" t="n">
        <v>18862.31</v>
      </c>
      <c r="H64" s="18" t="n">
        <v>11488.03</v>
      </c>
      <c r="I64" s="18" t="n">
        <v>14708.67</v>
      </c>
      <c r="J64" s="18" t="n">
        <v>15111.51</v>
      </c>
      <c r="K64" s="37" t="n">
        <v>60170.52</v>
      </c>
      <c r="L64" s="18" t="n">
        <v>12337.22</v>
      </c>
      <c r="M64" s="18" t="n">
        <v>21649.04</v>
      </c>
      <c r="N64" s="18" t="n">
        <v>16814.05</v>
      </c>
      <c r="O64" s="18" t="n">
        <v>15368.7</v>
      </c>
      <c r="P64" s="37" t="n">
        <v>66169.00999999999</v>
      </c>
      <c r="Q64" s="18" t="n">
        <v>8350.07</v>
      </c>
      <c r="R64" s="18" t="n">
        <v>11031.07</v>
      </c>
      <c r="S64" s="18" t="n">
        <v>13232.34</v>
      </c>
      <c r="T64" s="18" t="n">
        <v>13853.74</v>
      </c>
      <c r="U64" s="37" t="n">
        <v>46467.22</v>
      </c>
      <c r="V64" s="18" t="n">
        <v>33980.73</v>
      </c>
      <c r="W64" s="18" t="n">
        <v>31169.7</v>
      </c>
      <c r="X64" s="18" t="n">
        <v>30762</v>
      </c>
      <c r="Y64" s="18" t="n">
        <v>20713.09</v>
      </c>
      <c r="Z64" s="37" t="n">
        <v>116625.52</v>
      </c>
      <c r="AA64" s="18" t="n">
        <v>25936.38</v>
      </c>
      <c r="AB64" s="19" t="n">
        <v>23953.33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매출원가</t>
        </is>
      </c>
      <c r="E65" s="18" t="n">
        <v>11082.08</v>
      </c>
      <c r="F65" s="9" t="n"/>
      <c r="G65" s="18" t="n">
        <v>11490.17</v>
      </c>
      <c r="H65" s="18" t="n">
        <v>8721.190000000001</v>
      </c>
      <c r="I65" s="18" t="n">
        <v>6925.05</v>
      </c>
      <c r="J65" s="18" t="n">
        <v>7259.78</v>
      </c>
      <c r="K65" s="37" t="n">
        <v>34396.19</v>
      </c>
      <c r="L65" s="18" t="n">
        <v>7487.34</v>
      </c>
      <c r="M65" s="18" t="n">
        <v>13662.99</v>
      </c>
      <c r="N65" s="18" t="n">
        <v>9956.1</v>
      </c>
      <c r="O65" s="18" t="n">
        <v>8055.93</v>
      </c>
      <c r="P65" s="37" t="n">
        <v>39162.36</v>
      </c>
      <c r="Q65" s="18" t="n">
        <v>4755.5</v>
      </c>
      <c r="R65" s="18" t="n">
        <v>5864.5</v>
      </c>
      <c r="S65" s="18" t="n">
        <v>8206.59</v>
      </c>
      <c r="T65" s="18" t="n">
        <v>10212.33</v>
      </c>
      <c r="U65" s="37" t="n">
        <v>29038.92</v>
      </c>
      <c r="V65" s="18" t="n">
        <v>21981.49</v>
      </c>
      <c r="W65" s="18" t="n">
        <v>21696.66</v>
      </c>
      <c r="X65" s="18" t="n">
        <v>20054.25</v>
      </c>
      <c r="Y65" s="18" t="n">
        <v>12730.82</v>
      </c>
      <c r="Z65" s="37" t="n">
        <v>76463.22</v>
      </c>
      <c r="AA65" s="18" t="n">
        <v>14405.33</v>
      </c>
      <c r="AB65" s="19" t="n">
        <v>14920.43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매출총이익</t>
        </is>
      </c>
      <c r="E66" s="18" t="n">
        <v>14100.69</v>
      </c>
      <c r="F66" s="9" t="n"/>
      <c r="G66" s="18" t="n">
        <v>7372.14</v>
      </c>
      <c r="H66" s="18" t="n">
        <v>2766.83</v>
      </c>
      <c r="I66" s="18" t="n">
        <v>7783.63</v>
      </c>
      <c r="J66" s="18" t="n">
        <v>7851.73</v>
      </c>
      <c r="K66" s="37" t="n">
        <v>25774.33</v>
      </c>
      <c r="L66" s="18" t="n">
        <v>4849.87</v>
      </c>
      <c r="M66" s="18" t="n">
        <v>7986.05</v>
      </c>
      <c r="N66" s="18" t="n">
        <v>6857.95</v>
      </c>
      <c r="O66" s="18" t="n">
        <v>7312.77</v>
      </c>
      <c r="P66" s="37" t="n">
        <v>27006.64</v>
      </c>
      <c r="Q66" s="18" t="n">
        <v>3594.58</v>
      </c>
      <c r="R66" s="18" t="n">
        <v>5166.57</v>
      </c>
      <c r="S66" s="18" t="n">
        <v>5025.76</v>
      </c>
      <c r="T66" s="18" t="n">
        <v>3641.42</v>
      </c>
      <c r="U66" s="37" t="n">
        <v>17428.33</v>
      </c>
      <c r="V66" s="18" t="n">
        <v>11999.24</v>
      </c>
      <c r="W66" s="18" t="n">
        <v>9473.040000000001</v>
      </c>
      <c r="X66" s="18" t="n">
        <v>10707.75</v>
      </c>
      <c r="Y66" s="18" t="n">
        <v>7982.27</v>
      </c>
      <c r="Z66" s="37" t="n">
        <v>40162.3</v>
      </c>
      <c r="AA66" s="18" t="n">
        <v>11531.05</v>
      </c>
      <c r="AB66" s="19" t="n">
        <v>9032.9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판관비</t>
        </is>
      </c>
      <c r="E67" s="18" t="n">
        <v>5101.73</v>
      </c>
      <c r="F67" s="9" t="n"/>
      <c r="G67" s="18" t="n">
        <v>1962.38</v>
      </c>
      <c r="H67" s="18" t="n">
        <v>3355.34</v>
      </c>
      <c r="I67" s="18" t="n">
        <v>2425.02</v>
      </c>
      <c r="J67" s="18" t="n">
        <v>5565.68</v>
      </c>
      <c r="K67" s="37" t="n">
        <v>13308.42</v>
      </c>
      <c r="L67" s="18" t="n">
        <v>2240.12</v>
      </c>
      <c r="M67" s="18" t="n">
        <v>4302.87</v>
      </c>
      <c r="N67" s="18" t="n">
        <v>2270.81</v>
      </c>
      <c r="O67" s="18" t="n">
        <v>5212.62</v>
      </c>
      <c r="P67" s="37" t="n">
        <v>14026.42</v>
      </c>
      <c r="Q67" s="18" t="n">
        <v>2416.76</v>
      </c>
      <c r="R67" s="18" t="n">
        <v>4125.4</v>
      </c>
      <c r="S67" s="18" t="n">
        <v>3578.85</v>
      </c>
      <c r="T67" s="18" t="n">
        <v>5661.74</v>
      </c>
      <c r="U67" s="37" t="n">
        <v>15782.75</v>
      </c>
      <c r="V67" s="18" t="n">
        <v>2058.27</v>
      </c>
      <c r="W67" s="18" t="n">
        <v>4332.6</v>
      </c>
      <c r="X67" s="18" t="n">
        <v>4508.63</v>
      </c>
      <c r="Y67" s="18" t="n">
        <v>3937.21</v>
      </c>
      <c r="Z67" s="37" t="n">
        <v>14836.71</v>
      </c>
      <c r="AA67" s="18" t="n">
        <v>3489.5</v>
      </c>
      <c r="AB67" s="19" t="n">
        <v>4834.36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영업이익</t>
        </is>
      </c>
      <c r="E68" s="18" t="n">
        <v>8998.959999999999</v>
      </c>
      <c r="F68" s="9" t="n"/>
      <c r="G68" s="18" t="n">
        <v>5409.76</v>
      </c>
      <c r="H68" s="18" t="n">
        <v>-588.5</v>
      </c>
      <c r="I68" s="18" t="n">
        <v>5358.61</v>
      </c>
      <c r="J68" s="18" t="n">
        <v>2286.05</v>
      </c>
      <c r="K68" s="37" t="n">
        <v>12465.92</v>
      </c>
      <c r="L68" s="18" t="n">
        <v>2609.75</v>
      </c>
      <c r="M68" s="18" t="n">
        <v>3683.18</v>
      </c>
      <c r="N68" s="18" t="n">
        <v>4587.14</v>
      </c>
      <c r="O68" s="18" t="n">
        <v>2100.15</v>
      </c>
      <c r="P68" s="37" t="n">
        <v>12980.22</v>
      </c>
      <c r="Q68" s="18" t="n">
        <v>1177.82</v>
      </c>
      <c r="R68" s="18" t="n">
        <v>1041.17</v>
      </c>
      <c r="S68" s="18" t="n">
        <v>1446.91</v>
      </c>
      <c r="T68" s="18" t="n">
        <v>-2020.33</v>
      </c>
      <c r="U68" s="37" t="n">
        <v>1645.57</v>
      </c>
      <c r="V68" s="18" t="n">
        <v>9940.969999999999</v>
      </c>
      <c r="W68" s="18" t="n">
        <v>5140.44</v>
      </c>
      <c r="X68" s="18" t="n">
        <v>6199.11</v>
      </c>
      <c r="Y68" s="18" t="n">
        <v>4045.06</v>
      </c>
      <c r="Z68" s="37" t="n">
        <v>25325.58</v>
      </c>
      <c r="AA68" s="18" t="n">
        <v>8041.55</v>
      </c>
      <c r="AB68" s="19" t="n">
        <v>4198.54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기타영업외수익</t>
        </is>
      </c>
      <c r="E69" s="18" t="n">
        <v>347.27</v>
      </c>
      <c r="F69" s="9" t="n"/>
      <c r="G69" s="18" t="n">
        <v>100.48</v>
      </c>
      <c r="H69" s="18" t="n">
        <v>396.18</v>
      </c>
      <c r="I69" s="18" t="n">
        <v>607.24</v>
      </c>
      <c r="J69" s="18" t="n">
        <v>1140.21</v>
      </c>
      <c r="K69" s="37" t="n">
        <v>2244.11</v>
      </c>
      <c r="L69" s="18" t="n">
        <v>101.82</v>
      </c>
      <c r="M69" s="18" t="n">
        <v>362.68</v>
      </c>
      <c r="N69" s="18" t="n">
        <v>338.63</v>
      </c>
      <c r="O69" s="18" t="n">
        <v>1168.53</v>
      </c>
      <c r="P69" s="37" t="n">
        <v>1971.66</v>
      </c>
      <c r="Q69" s="18" t="n">
        <v>54.94</v>
      </c>
      <c r="R69" s="18" t="n">
        <v>759.26</v>
      </c>
      <c r="S69" s="18" t="n">
        <v>401.28</v>
      </c>
      <c r="T69" s="18" t="n">
        <v>550.3200000000001</v>
      </c>
      <c r="U69" s="37" t="n">
        <v>1765.8</v>
      </c>
      <c r="V69" s="18" t="n">
        <v>29.04</v>
      </c>
      <c r="W69" s="18" t="n">
        <v>109.36</v>
      </c>
      <c r="X69" s="18" t="n">
        <v>202.55</v>
      </c>
      <c r="Y69" s="18" t="n">
        <v>225.17</v>
      </c>
      <c r="Z69" s="37" t="n">
        <v>566.12</v>
      </c>
      <c r="AA69" s="18" t="n">
        <v>21.68</v>
      </c>
      <c r="AB69" s="19" t="n">
        <v>145.36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기타영업외비용</t>
        </is>
      </c>
      <c r="E70" s="18" t="n">
        <v>8.26</v>
      </c>
      <c r="F70" s="9" t="n"/>
      <c r="G70" s="18" t="n">
        <v>0.92</v>
      </c>
      <c r="H70" s="18" t="n">
        <v>1.22</v>
      </c>
      <c r="I70" s="18" t="n">
        <v>0.83</v>
      </c>
      <c r="J70" s="18" t="n">
        <v>3.44</v>
      </c>
      <c r="K70" s="37" t="n">
        <v>6.41</v>
      </c>
      <c r="L70" s="18" t="n">
        <v>6.28</v>
      </c>
      <c r="M70" s="18" t="n">
        <v>3.04</v>
      </c>
      <c r="N70" s="18" t="n">
        <v>42.79</v>
      </c>
      <c r="O70" s="18" t="n">
        <v>2.12</v>
      </c>
      <c r="P70" s="37" t="n">
        <v>54.23</v>
      </c>
      <c r="Q70" s="18" t="n">
        <v>0.45</v>
      </c>
      <c r="R70" s="18" t="n">
        <v>93.67</v>
      </c>
      <c r="S70" s="18" t="n">
        <v>0.45</v>
      </c>
      <c r="T70" s="18" t="n">
        <v>6.22</v>
      </c>
      <c r="U70" s="37" t="n">
        <v>100.79</v>
      </c>
      <c r="V70" s="18" t="n">
        <v>0.51</v>
      </c>
      <c r="W70" s="18" t="n">
        <v>3.94</v>
      </c>
      <c r="X70" s="18" t="n">
        <v>11.6</v>
      </c>
      <c r="Y70" s="18" t="n">
        <v>0.98</v>
      </c>
      <c r="Z70" s="37" t="n">
        <v>17.03</v>
      </c>
      <c r="AA70" s="18" t="n">
        <v>2.45</v>
      </c>
      <c r="AB70" s="19" t="n">
        <v>15.61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금융수익</t>
        </is>
      </c>
      <c r="E71" s="18" t="n">
        <v>412.78</v>
      </c>
      <c r="F71" s="9" t="n"/>
      <c r="G71" s="18" t="n">
        <v>953.6900000000001</v>
      </c>
      <c r="H71" s="18" t="n">
        <v>2343.61</v>
      </c>
      <c r="I71" s="18" t="n">
        <v>3429.97</v>
      </c>
      <c r="J71" s="18" t="n">
        <v>-938.29</v>
      </c>
      <c r="K71" s="37" t="n">
        <v>5788.98</v>
      </c>
      <c r="L71" s="18" t="n">
        <v>3191.48</v>
      </c>
      <c r="M71" s="18" t="n">
        <v>1470.57</v>
      </c>
      <c r="N71" s="18" t="n">
        <v>1730.51</v>
      </c>
      <c r="O71" s="18" t="n">
        <v>867.2</v>
      </c>
      <c r="P71" s="37" t="n">
        <v>7259.76</v>
      </c>
      <c r="Q71" s="18" t="n">
        <v>4471.51</v>
      </c>
      <c r="R71" s="18" t="n">
        <v>1742.05</v>
      </c>
      <c r="S71" s="18" t="n">
        <v>271.23</v>
      </c>
      <c r="T71" s="18" t="n">
        <v>5571.1</v>
      </c>
      <c r="U71" s="37" t="n">
        <v>12055.89</v>
      </c>
      <c r="V71" s="18" t="n">
        <v>1693.21</v>
      </c>
      <c r="W71" s="18" t="n">
        <v>293.9</v>
      </c>
      <c r="X71" s="18" t="n">
        <v>870.38</v>
      </c>
      <c r="Y71" s="18" t="n">
        <v>640.66</v>
      </c>
      <c r="Z71" s="37" t="n">
        <v>3498.15</v>
      </c>
      <c r="AA71" s="18" t="n">
        <v>2726.03</v>
      </c>
      <c r="AB71" s="19" t="n">
        <v>1637.59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이자수익</t>
        </is>
      </c>
      <c r="E72" s="18" t="n">
        <v>186.76</v>
      </c>
      <c r="F72" s="9" t="n"/>
      <c r="G72" s="18" t="n">
        <v>433.43</v>
      </c>
      <c r="H72" s="18" t="n">
        <v>151.28</v>
      </c>
      <c r="I72" s="18" t="n">
        <v>524.16</v>
      </c>
      <c r="J72" s="18" t="n">
        <v>152.95</v>
      </c>
      <c r="K72" s="37" t="n">
        <v>1261.82</v>
      </c>
      <c r="L72" s="18" t="n">
        <v>714.13</v>
      </c>
      <c r="M72" s="18" t="n">
        <v>210.96</v>
      </c>
      <c r="P72" s="9" t="n"/>
      <c r="Q72" s="18" t="n">
        <v>602.03</v>
      </c>
      <c r="R72" s="18" t="n">
        <v>576.41</v>
      </c>
      <c r="S72" s="18" t="n">
        <v>566.52</v>
      </c>
      <c r="T72" s="18" t="n">
        <v>601.76</v>
      </c>
      <c r="U72" s="37" t="n">
        <v>2346.72</v>
      </c>
      <c r="V72" s="18" t="n">
        <v>412.19</v>
      </c>
      <c r="W72" s="18" t="n">
        <v>466.43</v>
      </c>
      <c r="X72" s="18" t="n">
        <v>463.48</v>
      </c>
      <c r="Y72" s="18" t="n">
        <v>496.83</v>
      </c>
      <c r="Z72" s="37" t="n">
        <v>1838.93</v>
      </c>
      <c r="AA72" s="18" t="n">
        <v>515.03</v>
      </c>
      <c r="AB72" s="19" t="n">
        <v>611.21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금융비용</t>
        </is>
      </c>
      <c r="E73" s="18" t="n">
        <v>636.42</v>
      </c>
      <c r="F73" s="9" t="n"/>
      <c r="G73" s="18" t="n">
        <v>2360.93</v>
      </c>
      <c r="H73" s="18" t="n">
        <v>1391.1</v>
      </c>
      <c r="I73" s="18" t="n">
        <v>22.25</v>
      </c>
      <c r="J73" s="18" t="n">
        <v>2712.82</v>
      </c>
      <c r="K73" s="37" t="n">
        <v>6487.1</v>
      </c>
      <c r="L73" s="18" t="n">
        <v>981.3099999999999</v>
      </c>
      <c r="M73" s="18" t="n">
        <v>-28.03</v>
      </c>
      <c r="N73" s="18" t="n">
        <v>480.04</v>
      </c>
      <c r="O73" s="18" t="n">
        <v>1662.09</v>
      </c>
      <c r="P73" s="37" t="n">
        <v>3095.41</v>
      </c>
      <c r="Q73" s="18" t="n">
        <v>287.35</v>
      </c>
      <c r="R73" s="18" t="n">
        <v>28.05</v>
      </c>
      <c r="S73" s="18" t="n">
        <v>850.6900000000001</v>
      </c>
      <c r="T73" s="18" t="n">
        <v>101.58</v>
      </c>
      <c r="U73" s="37" t="n">
        <v>1267.67</v>
      </c>
      <c r="V73" s="18" t="n">
        <v>1432.12</v>
      </c>
      <c r="W73" s="18" t="n">
        <v>4975.07</v>
      </c>
      <c r="X73" s="18" t="n">
        <v>-2564.46</v>
      </c>
      <c r="Y73" s="18" t="n">
        <v>-252.4</v>
      </c>
      <c r="Z73" s="37" t="n">
        <v>3590.33</v>
      </c>
      <c r="AA73" s="18" t="n">
        <v>4573.3</v>
      </c>
      <c r="AB73" s="19" t="n">
        <v>-1259.81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이자비용</t>
        </is>
      </c>
      <c r="E74" s="18" t="n">
        <v>9.140000000000001</v>
      </c>
      <c r="F74" s="9" t="n"/>
      <c r="G74" s="18" t="n">
        <v>1.33</v>
      </c>
      <c r="H74" s="18" t="n">
        <v>1.5</v>
      </c>
      <c r="I74" s="18" t="n">
        <v>1.53</v>
      </c>
      <c r="J74" s="18" t="n">
        <v>1.93</v>
      </c>
      <c r="K74" s="37" t="n">
        <v>6.29</v>
      </c>
      <c r="L74" s="18" t="n">
        <v>2.15</v>
      </c>
      <c r="M74" s="18" t="n">
        <v>2.08</v>
      </c>
      <c r="P74" s="9" t="n"/>
      <c r="Q74" s="18" t="n">
        <v>1.3</v>
      </c>
      <c r="R74" s="18" t="n">
        <v>0.75</v>
      </c>
      <c r="S74" s="18" t="n">
        <v>0.63</v>
      </c>
      <c r="T74" s="18" t="n">
        <v>0.55</v>
      </c>
      <c r="U74" s="37" t="n">
        <v>3.23</v>
      </c>
      <c r="V74" s="18" t="n">
        <v>0.47</v>
      </c>
      <c r="W74" s="18" t="n">
        <v>0.4</v>
      </c>
      <c r="X74" s="18" t="n">
        <v>0.31</v>
      </c>
      <c r="Y74" s="18" t="n">
        <v>0.24</v>
      </c>
      <c r="Z74" s="37" t="n">
        <v>1.42</v>
      </c>
      <c r="AA74" s="18" t="n">
        <v>5.89</v>
      </c>
      <c r="AB74" s="19" t="n">
        <v>1.38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법인세비용차감전계속사업이익</t>
        </is>
      </c>
      <c r="E75" s="18" t="n">
        <v>9128.629999999999</v>
      </c>
      <c r="F75" s="9" t="n"/>
      <c r="G75" s="18" t="n">
        <v>4102.09</v>
      </c>
      <c r="H75" s="18" t="n">
        <v>758.97</v>
      </c>
      <c r="I75" s="18" t="n">
        <v>9372.74</v>
      </c>
      <c r="J75" s="18" t="n">
        <v>-228.29</v>
      </c>
      <c r="K75" s="37" t="n">
        <v>14005.51</v>
      </c>
      <c r="L75" s="18" t="n">
        <v>4915.47</v>
      </c>
      <c r="M75" s="18" t="n">
        <v>5541.42</v>
      </c>
      <c r="N75" s="18" t="n">
        <v>5916.42</v>
      </c>
      <c r="O75" s="18" t="n">
        <v>2518.29</v>
      </c>
      <c r="P75" s="37" t="n">
        <v>18891.6</v>
      </c>
      <c r="Q75" s="18" t="n">
        <v>5416.47</v>
      </c>
      <c r="R75" s="18" t="n">
        <v>3420.77</v>
      </c>
      <c r="S75" s="18" t="n">
        <v>1268.29</v>
      </c>
      <c r="T75" s="18" t="n">
        <v>3993.3</v>
      </c>
      <c r="U75" s="37" t="n">
        <v>14098.83</v>
      </c>
      <c r="V75" s="18" t="n">
        <v>10230.59</v>
      </c>
      <c r="W75" s="18" t="n">
        <v>564.7</v>
      </c>
      <c r="X75" s="18" t="n">
        <v>9824.91</v>
      </c>
      <c r="Y75" s="18" t="n">
        <v>5162.32</v>
      </c>
      <c r="Z75" s="37" t="n">
        <v>25782.52</v>
      </c>
      <c r="AA75" s="18" t="n">
        <v>6213.51</v>
      </c>
      <c r="AB75" s="19" t="n">
        <v>7225.69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법인세비용</t>
        </is>
      </c>
      <c r="E76" s="18" t="n">
        <v>1827.88</v>
      </c>
      <c r="F76" s="9" t="n"/>
      <c r="G76" s="18" t="n">
        <v>879.89</v>
      </c>
      <c r="H76" s="18" t="n">
        <v>165.08</v>
      </c>
      <c r="I76" s="18" t="n">
        <v>2054.79</v>
      </c>
      <c r="J76" s="18" t="n">
        <v>-397.71</v>
      </c>
      <c r="K76" s="37" t="n">
        <v>2702.05</v>
      </c>
      <c r="L76" s="18" t="n">
        <v>1116.14</v>
      </c>
      <c r="M76" s="18" t="n">
        <v>1071.67</v>
      </c>
      <c r="N76" s="18" t="n">
        <v>1262.36</v>
      </c>
      <c r="O76" s="18" t="n">
        <v>-14.79</v>
      </c>
      <c r="P76" s="37" t="n">
        <v>3435.38</v>
      </c>
      <c r="Q76" s="18" t="n">
        <v>1165.64</v>
      </c>
      <c r="R76" s="18" t="n">
        <v>756.49</v>
      </c>
      <c r="S76" s="18" t="n">
        <v>309.57</v>
      </c>
      <c r="T76" s="18" t="n">
        <v>392.87</v>
      </c>
      <c r="U76" s="37" t="n">
        <v>2624.57</v>
      </c>
      <c r="V76" s="18" t="n">
        <v>2167.2</v>
      </c>
      <c r="W76" s="18" t="n">
        <v>174.58</v>
      </c>
      <c r="X76" s="18" t="n">
        <v>2033.68</v>
      </c>
      <c r="Y76" s="18" t="n">
        <v>700.6799999999999</v>
      </c>
      <c r="Z76" s="37" t="n">
        <v>5076.14</v>
      </c>
      <c r="AA76" s="18" t="n">
        <v>1258.45</v>
      </c>
      <c r="AB76" s="19" t="n">
        <v>2008.12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당기순이익</t>
        </is>
      </c>
      <c r="E77" s="18" t="n">
        <v>7300.73</v>
      </c>
      <c r="F77" s="9" t="n"/>
      <c r="G77" s="18" t="n">
        <v>3222.21</v>
      </c>
      <c r="H77" s="18" t="n">
        <v>593.89</v>
      </c>
      <c r="I77" s="18" t="n">
        <v>7317.95</v>
      </c>
      <c r="J77" s="18" t="n">
        <v>169.42</v>
      </c>
      <c r="K77" s="37" t="n">
        <v>11303.47</v>
      </c>
      <c r="L77" s="18" t="n">
        <v>3799.32</v>
      </c>
      <c r="M77" s="18" t="n">
        <v>4469.75</v>
      </c>
      <c r="N77" s="18" t="n">
        <v>4654.06</v>
      </c>
      <c r="O77" s="18" t="n">
        <v>2533.08</v>
      </c>
      <c r="P77" s="37" t="n">
        <v>15456.21</v>
      </c>
      <c r="Q77" s="18" t="n">
        <v>4250.83</v>
      </c>
      <c r="R77" s="18" t="n">
        <v>2664.28</v>
      </c>
      <c r="S77" s="18" t="n">
        <v>958.72</v>
      </c>
      <c r="T77" s="18" t="n">
        <v>3600.43</v>
      </c>
      <c r="U77" s="37" t="n">
        <v>11474.26</v>
      </c>
      <c r="V77" s="18" t="n">
        <v>8063.39</v>
      </c>
      <c r="W77" s="18" t="n">
        <v>390.12</v>
      </c>
      <c r="X77" s="18" t="n">
        <v>7791.23</v>
      </c>
      <c r="Y77" s="18" t="n">
        <v>4461.64</v>
      </c>
      <c r="Z77" s="37" t="n">
        <v>20706.38</v>
      </c>
      <c r="AA77" s="18" t="n">
        <v>4955.06</v>
      </c>
      <c r="AB77" s="19" t="n">
        <v>5217.57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(지배주주지분)당기순이익</t>
        </is>
      </c>
      <c r="E78" s="18" t="n">
        <v>7286.94</v>
      </c>
      <c r="F78" s="9" t="n"/>
      <c r="G78" s="18" t="n">
        <v>3222.21</v>
      </c>
      <c r="H78" s="18" t="n">
        <v>588.9400000000001</v>
      </c>
      <c r="I78" s="18" t="n">
        <v>7293.21</v>
      </c>
      <c r="J78" s="18" t="n">
        <v>156.22</v>
      </c>
      <c r="K78" s="37" t="n">
        <v>11260.58</v>
      </c>
      <c r="L78" s="18" t="n">
        <v>3799.32</v>
      </c>
      <c r="M78" s="18" t="n">
        <v>4459.93</v>
      </c>
      <c r="N78" s="18" t="n">
        <v>4660.6</v>
      </c>
      <c r="O78" s="18" t="n">
        <v>2554.34</v>
      </c>
      <c r="P78" s="37" t="n">
        <v>15474.19</v>
      </c>
      <c r="Q78" s="18" t="n">
        <v>4250.83</v>
      </c>
      <c r="R78" s="18" t="n">
        <v>2654.69</v>
      </c>
      <c r="S78" s="18" t="n">
        <v>977.67</v>
      </c>
      <c r="T78" s="18" t="n">
        <v>3604.97</v>
      </c>
      <c r="U78" s="37" t="n">
        <v>11488.16</v>
      </c>
      <c r="V78" s="18" t="n">
        <v>8079.2</v>
      </c>
      <c r="W78" s="18" t="n">
        <v>398.27</v>
      </c>
      <c r="X78" s="18" t="n">
        <v>7795.56</v>
      </c>
      <c r="Y78" s="18" t="n">
        <v>4460.56</v>
      </c>
      <c r="Z78" s="37" t="n">
        <v>20733.59</v>
      </c>
      <c r="AA78" s="18" t="n">
        <v>4916.1</v>
      </c>
      <c r="AB78" s="19" t="n">
        <v>5224.84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(비지배주주지분)당기순이익</t>
        </is>
      </c>
      <c r="E79" s="18" t="n">
        <v>13.79</v>
      </c>
      <c r="F79" s="9" t="n"/>
      <c r="H79" s="18" t="n">
        <v>4.96</v>
      </c>
      <c r="I79" s="18" t="n">
        <v>24.74</v>
      </c>
      <c r="J79" s="18" t="n">
        <v>13.2</v>
      </c>
      <c r="K79" s="9" t="n"/>
      <c r="M79" s="18" t="n">
        <v>9.82</v>
      </c>
      <c r="N79" s="18" t="n">
        <v>-6.54</v>
      </c>
      <c r="O79" s="18" t="n">
        <v>-21.26</v>
      </c>
      <c r="P79" s="9" t="n"/>
      <c r="U79" s="9" t="n"/>
      <c r="V79" s="18" t="n">
        <v>-15.81</v>
      </c>
      <c r="W79" s="18" t="n">
        <v>-8.140000000000001</v>
      </c>
      <c r="X79" s="18" t="n">
        <v>-4.33</v>
      </c>
      <c r="Y79" s="18" t="n">
        <v>1.08</v>
      </c>
      <c r="Z79" s="37" t="n">
        <v>-27.2</v>
      </c>
      <c r="AA79" s="18" t="n">
        <v>38.96</v>
      </c>
      <c r="AB79" s="19" t="n">
        <v>-7.27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총포괄손익</t>
        </is>
      </c>
      <c r="E80" s="18" t="n">
        <v>7528.48</v>
      </c>
      <c r="F80" s="9" t="n"/>
      <c r="G80" s="18" t="n">
        <v>3392.36</v>
      </c>
      <c r="H80" s="18" t="n">
        <v>510.16</v>
      </c>
      <c r="I80" s="18" t="n">
        <v>7386.34</v>
      </c>
      <c r="J80" s="18" t="n">
        <v>-61.1</v>
      </c>
      <c r="K80" s="37" t="n">
        <v>11227.76</v>
      </c>
      <c r="L80" s="18" t="n">
        <v>3900.67</v>
      </c>
      <c r="M80" s="18" t="n">
        <v>4368.94</v>
      </c>
      <c r="N80" s="18" t="n">
        <v>4685.52</v>
      </c>
      <c r="O80" s="18" t="n">
        <v>2077.27</v>
      </c>
      <c r="P80" s="37" t="n">
        <v>15032.4</v>
      </c>
      <c r="Q80" s="18" t="n">
        <v>4289.48</v>
      </c>
      <c r="R80" s="18" t="n">
        <v>2723.28</v>
      </c>
      <c r="S80" s="18" t="n">
        <v>940.03</v>
      </c>
      <c r="T80" s="18" t="n">
        <v>3702.69</v>
      </c>
      <c r="U80" s="37" t="n">
        <v>11655.48</v>
      </c>
      <c r="V80" s="18" t="n">
        <v>8065.05</v>
      </c>
      <c r="W80" s="18" t="n">
        <v>250.42</v>
      </c>
      <c r="X80" s="18" t="n">
        <v>7870.68</v>
      </c>
      <c r="Y80" s="18" t="n">
        <v>4594.96</v>
      </c>
      <c r="Z80" s="37" t="n">
        <v>20781.11</v>
      </c>
      <c r="AA80" s="18" t="n">
        <v>5126.41</v>
      </c>
      <c r="AB80" s="19" t="n">
        <v>5296.92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금융손익</t>
        </is>
      </c>
      <c r="E81" s="18" t="n">
        <v>-223.64</v>
      </c>
      <c r="F81" s="9" t="n"/>
      <c r="G81" s="18" t="n">
        <v>-1407.24</v>
      </c>
      <c r="H81" s="18" t="n">
        <v>952.51</v>
      </c>
      <c r="I81" s="18" t="n">
        <v>3407.72</v>
      </c>
      <c r="J81" s="18" t="n">
        <v>-3651.11</v>
      </c>
      <c r="K81" s="37" t="n">
        <v>-698.12</v>
      </c>
      <c r="L81" s="18" t="n">
        <v>2210.17</v>
      </c>
      <c r="M81" s="18" t="n">
        <v>1498.6</v>
      </c>
      <c r="N81" s="18" t="n">
        <v>1250.47</v>
      </c>
      <c r="O81" s="18" t="n">
        <v>-794.89</v>
      </c>
      <c r="P81" s="37" t="n">
        <v>4164.35</v>
      </c>
      <c r="Q81" s="18" t="n">
        <v>4184.16</v>
      </c>
      <c r="R81" s="18" t="n">
        <v>1714</v>
      </c>
      <c r="S81" s="18" t="n">
        <v>-579.46</v>
      </c>
      <c r="T81" s="18" t="n">
        <v>5469.52</v>
      </c>
      <c r="U81" s="37" t="n">
        <v>10788.22</v>
      </c>
      <c r="V81" s="18" t="n">
        <v>261.09</v>
      </c>
      <c r="W81" s="18" t="n">
        <v>-4681.17</v>
      </c>
      <c r="X81" s="18" t="n">
        <v>3434.84</v>
      </c>
      <c r="Y81" s="18" t="n">
        <v>893.0599999999999</v>
      </c>
      <c r="Z81" s="37" t="n">
        <v>-92.18000000000001</v>
      </c>
      <c r="AA81" s="18" t="n">
        <v>-1847.27</v>
      </c>
      <c r="AB81" s="19" t="n">
        <v>2897.4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이자손익</t>
        </is>
      </c>
      <c r="E82" s="18" t="n">
        <v>177.62</v>
      </c>
      <c r="F82" s="9" t="n"/>
      <c r="G82" s="18" t="n">
        <v>432.1</v>
      </c>
      <c r="H82" s="18" t="n">
        <v>149.78</v>
      </c>
      <c r="I82" s="18" t="n">
        <v>522.63</v>
      </c>
      <c r="J82" s="18" t="n">
        <v>151.02</v>
      </c>
      <c r="K82" s="37" t="n">
        <v>1255.53</v>
      </c>
      <c r="L82" s="18" t="n">
        <v>711.98</v>
      </c>
      <c r="M82" s="18" t="n">
        <v>208.88</v>
      </c>
      <c r="P82" s="9" t="n"/>
      <c r="Q82" s="18" t="n">
        <v>600.73</v>
      </c>
      <c r="R82" s="18" t="n">
        <v>575.66</v>
      </c>
      <c r="S82" s="18" t="n">
        <v>565.89</v>
      </c>
      <c r="T82" s="18" t="n">
        <v>601.21</v>
      </c>
      <c r="U82" s="37" t="n">
        <v>2343.49</v>
      </c>
      <c r="V82" s="18" t="n">
        <v>411.72</v>
      </c>
      <c r="W82" s="18" t="n">
        <v>466.03</v>
      </c>
      <c r="X82" s="18" t="n">
        <v>463.17</v>
      </c>
      <c r="Y82" s="18" t="n">
        <v>496.59</v>
      </c>
      <c r="Z82" s="37" t="n">
        <v>1837.51</v>
      </c>
      <c r="AA82" s="18" t="n">
        <v>509.14</v>
      </c>
      <c r="AB82" s="19" t="n">
        <v>609.83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기타영업외손익</t>
        </is>
      </c>
      <c r="E83" s="18" t="n">
        <v>339.01</v>
      </c>
      <c r="F83" s="9" t="n"/>
      <c r="G83" s="18" t="n">
        <v>99.56</v>
      </c>
      <c r="H83" s="18" t="n">
        <v>394.96</v>
      </c>
      <c r="I83" s="18" t="n">
        <v>606.41</v>
      </c>
      <c r="J83" s="18" t="n">
        <v>1136.77</v>
      </c>
      <c r="K83" s="37" t="n">
        <v>2237.7</v>
      </c>
      <c r="L83" s="18" t="n">
        <v>95.54000000000001</v>
      </c>
      <c r="M83" s="18" t="n">
        <v>359.64</v>
      </c>
      <c r="N83" s="18" t="n">
        <v>295.84</v>
      </c>
      <c r="O83" s="18" t="n">
        <v>1166.41</v>
      </c>
      <c r="P83" s="37" t="n">
        <v>1917.43</v>
      </c>
      <c r="Q83" s="18" t="n">
        <v>54.49</v>
      </c>
      <c r="R83" s="18" t="n">
        <v>665.59</v>
      </c>
      <c r="S83" s="18" t="n">
        <v>400.83</v>
      </c>
      <c r="T83" s="18" t="n">
        <v>544.1</v>
      </c>
      <c r="U83" s="37" t="n">
        <v>1665.01</v>
      </c>
      <c r="V83" s="18" t="n">
        <v>28.53</v>
      </c>
      <c r="W83" s="18" t="n">
        <v>105.42</v>
      </c>
      <c r="X83" s="18" t="n">
        <v>190.95</v>
      </c>
      <c r="Y83" s="18" t="n">
        <v>224.19</v>
      </c>
      <c r="Z83" s="37" t="n">
        <v>549.09</v>
      </c>
      <c r="AA83" s="18" t="n">
        <v>19.23</v>
      </c>
      <c r="AB83" s="19" t="n">
        <v>129.75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계속사업이익</t>
        </is>
      </c>
      <c r="E84" s="18" t="n">
        <v>7300.73</v>
      </c>
      <c r="F84" s="9" t="n"/>
      <c r="G84" s="18" t="n">
        <v>3222.21</v>
      </c>
      <c r="H84" s="18" t="n">
        <v>593.89</v>
      </c>
      <c r="I84" s="18" t="n">
        <v>7317.95</v>
      </c>
      <c r="J84" s="18" t="n">
        <v>169.42</v>
      </c>
      <c r="K84" s="37" t="n">
        <v>11303.47</v>
      </c>
      <c r="L84" s="18" t="n">
        <v>3799.32</v>
      </c>
      <c r="M84" s="18" t="n">
        <v>4469.75</v>
      </c>
      <c r="N84" s="18" t="n">
        <v>4654.06</v>
      </c>
      <c r="O84" s="18" t="n">
        <v>2533.08</v>
      </c>
      <c r="P84" s="37" t="n">
        <v>15456.21</v>
      </c>
      <c r="Q84" s="18" t="n">
        <v>4250.83</v>
      </c>
      <c r="R84" s="18" t="n">
        <v>2664.28</v>
      </c>
      <c r="S84" s="18" t="n">
        <v>958.72</v>
      </c>
      <c r="T84" s="18" t="n">
        <v>3600.43</v>
      </c>
      <c r="U84" s="37" t="n">
        <v>11474.26</v>
      </c>
      <c r="V84" s="18" t="n">
        <v>8063.39</v>
      </c>
      <c r="W84" s="18" t="n">
        <v>390.12</v>
      </c>
      <c r="X84" s="18" t="n">
        <v>7791.23</v>
      </c>
      <c r="Y84" s="18" t="n">
        <v>4461.64</v>
      </c>
      <c r="Z84" s="37" t="n">
        <v>20706.38</v>
      </c>
      <c r="AA84" s="18" t="n">
        <v>4955.06</v>
      </c>
      <c r="AB84" s="19" t="n">
        <v>5217.57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배당금수익</t>
        </is>
      </c>
      <c r="F85" s="9" t="n"/>
      <c r="H85" s="18" t="n">
        <v>2.3</v>
      </c>
      <c r="K85" s="9" t="n"/>
      <c r="M85" s="18" t="n">
        <v>2.99</v>
      </c>
      <c r="N85" s="18" t="n">
        <v>0.57</v>
      </c>
      <c r="O85" s="18" t="n">
        <v>0</v>
      </c>
      <c r="P85" s="9" t="n"/>
      <c r="Q85" s="18" t="n">
        <v>0.4</v>
      </c>
      <c r="R85" s="18" t="n">
        <v>1.92</v>
      </c>
      <c r="S85" s="18" t="n">
        <v>0.57</v>
      </c>
      <c r="T85" s="18" t="n">
        <v>0</v>
      </c>
      <c r="U85" s="37" t="n">
        <v>2.89</v>
      </c>
      <c r="V85" s="18" t="n">
        <v>1</v>
      </c>
      <c r="W85" s="18" t="n">
        <v>2.01</v>
      </c>
      <c r="X85" s="18" t="n">
        <v>0.67</v>
      </c>
      <c r="Y85" s="18" t="n">
        <v>0</v>
      </c>
      <c r="Z85" s="37" t="n">
        <v>3.68</v>
      </c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외환차익</t>
        </is>
      </c>
      <c r="F86" s="9" t="n"/>
      <c r="H86" s="18" t="n">
        <v>377.68</v>
      </c>
      <c r="I86" s="18" t="n">
        <v>859.45</v>
      </c>
      <c r="K86" s="9" t="n"/>
      <c r="M86" s="18" t="n">
        <v>443.54</v>
      </c>
      <c r="N86" s="18" t="n">
        <v>267.5</v>
      </c>
      <c r="O86" s="18" t="n">
        <v>1582.74</v>
      </c>
      <c r="P86" s="9" t="n"/>
      <c r="Q86" s="18" t="n">
        <v>386.01</v>
      </c>
      <c r="R86" s="18" t="n">
        <v>242.02</v>
      </c>
      <c r="S86" s="18" t="n">
        <v>1021.95</v>
      </c>
      <c r="T86" s="18" t="n">
        <v>2643.1</v>
      </c>
      <c r="U86" s="37" t="n">
        <v>4293.08</v>
      </c>
      <c r="V86" s="18" t="n">
        <v>613.0700000000001</v>
      </c>
      <c r="W86" s="18" t="n">
        <v>434.12</v>
      </c>
      <c r="X86" s="18" t="n">
        <v>391.54</v>
      </c>
      <c r="Y86" s="18" t="n">
        <v>64.18000000000001</v>
      </c>
      <c r="Z86" s="37" t="n">
        <v>1502.91</v>
      </c>
      <c r="AA86" s="18" t="n">
        <v>156.79</v>
      </c>
      <c r="AB86" s="19" t="n">
        <v>430.12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외화환산이익</t>
        </is>
      </c>
      <c r="F87" s="9" t="n"/>
      <c r="H87" s="18" t="n">
        <v>1500.59</v>
      </c>
      <c r="I87" s="18" t="n">
        <v>2045.64</v>
      </c>
      <c r="K87" s="9" t="n"/>
      <c r="M87" s="18" t="n">
        <v>189.05</v>
      </c>
      <c r="N87" s="18" t="n">
        <v>969.2</v>
      </c>
      <c r="O87" s="18" t="n">
        <v>-1385.16</v>
      </c>
      <c r="P87" s="9" t="n"/>
      <c r="Q87" s="18" t="n">
        <v>1692.06</v>
      </c>
      <c r="R87" s="18" t="n">
        <v>72.65000000000001</v>
      </c>
      <c r="S87" s="18" t="n">
        <v>-805.1</v>
      </c>
      <c r="T87" s="18" t="n">
        <v>805.59</v>
      </c>
      <c r="U87" s="37" t="n">
        <v>1765.2</v>
      </c>
      <c r="V87" s="18" t="n">
        <v>666.33</v>
      </c>
      <c r="W87" s="18" t="n">
        <v>-663.61</v>
      </c>
      <c r="X87" s="18" t="n">
        <v>13.92</v>
      </c>
      <c r="Y87" s="18" t="n">
        <v>79.01000000000001</v>
      </c>
      <c r="Z87" s="37" t="n">
        <v>95.65000000000001</v>
      </c>
      <c r="AA87" s="18" t="n">
        <v>908.84</v>
      </c>
      <c r="AB87" s="19" t="n">
        <v>866.17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외환차손</t>
        </is>
      </c>
      <c r="F88" s="9" t="n"/>
      <c r="H88" s="18" t="n">
        <v>97.64</v>
      </c>
      <c r="I88" s="18" t="n">
        <v>732.14</v>
      </c>
      <c r="K88" s="9" t="n"/>
      <c r="M88" s="18" t="n">
        <v>267.83</v>
      </c>
      <c r="N88" s="18" t="n">
        <v>410.65</v>
      </c>
      <c r="O88" s="18" t="n">
        <v>1718.89</v>
      </c>
      <c r="P88" s="9" t="n"/>
      <c r="Q88" s="18" t="n">
        <v>282.31</v>
      </c>
      <c r="R88" s="18" t="n">
        <v>28.06</v>
      </c>
      <c r="S88" s="18" t="n">
        <v>610.03</v>
      </c>
      <c r="T88" s="18" t="n">
        <v>343.13</v>
      </c>
      <c r="U88" s="37" t="n">
        <v>1263.53</v>
      </c>
      <c r="V88" s="18" t="n">
        <v>789.72</v>
      </c>
      <c r="W88" s="18" t="n">
        <v>1084.42</v>
      </c>
      <c r="X88" s="18" t="n">
        <v>401.62</v>
      </c>
      <c r="Y88" s="18" t="n">
        <v>812.02</v>
      </c>
      <c r="Z88" s="37" t="n">
        <v>3087.78</v>
      </c>
      <c r="AA88" s="18" t="n">
        <v>128.28</v>
      </c>
      <c r="AB88" s="19" t="n">
        <v>98.25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외화환산손실</t>
        </is>
      </c>
      <c r="F89" s="9" t="n"/>
      <c r="H89" s="18" t="n">
        <v>0.37</v>
      </c>
      <c r="I89" s="18" t="n">
        <v>3.93</v>
      </c>
      <c r="K89" s="9" t="n"/>
      <c r="M89" s="18" t="n">
        <v>-59.11</v>
      </c>
      <c r="N89" s="18" t="n">
        <v>-2.08</v>
      </c>
      <c r="O89" s="18" t="n">
        <v>10.3</v>
      </c>
      <c r="P89" s="9" t="n"/>
      <c r="Q89" s="18" t="n">
        <v>3.73</v>
      </c>
      <c r="R89" s="18" t="n">
        <v>-0.76</v>
      </c>
      <c r="S89" s="18" t="n">
        <v>240.04</v>
      </c>
      <c r="T89" s="18" t="n">
        <v>-242.1</v>
      </c>
      <c r="U89" s="37" t="n">
        <v>0.91</v>
      </c>
      <c r="V89" s="18" t="n">
        <v>288.68</v>
      </c>
      <c r="W89" s="18" t="n">
        <v>1655.44</v>
      </c>
      <c r="X89" s="18" t="n">
        <v>-1195.88</v>
      </c>
      <c r="Y89" s="18" t="n">
        <v>-539.08</v>
      </c>
      <c r="Z89" s="37" t="n">
        <v>209.16</v>
      </c>
      <c r="AA89" s="18" t="n">
        <v>40.28</v>
      </c>
      <c r="AB89" s="19" t="n">
        <v>-25.33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영업활동으로인한현금흐름</t>
        </is>
      </c>
      <c r="E90" s="18" t="n">
        <v>1113.35</v>
      </c>
      <c r="F90" s="9" t="n"/>
      <c r="G90" s="18" t="n">
        <v>11133.24</v>
      </c>
      <c r="H90" s="18" t="n">
        <v>-4724.23</v>
      </c>
      <c r="I90" s="18" t="n">
        <v>9744.459999999999</v>
      </c>
      <c r="J90" s="18" t="n">
        <v>-467.4</v>
      </c>
      <c r="K90" s="37" t="n">
        <v>15686.07</v>
      </c>
      <c r="L90" s="18" t="n">
        <v>1570.97</v>
      </c>
      <c r="M90" s="18" t="n">
        <v>-7062.48</v>
      </c>
      <c r="N90" s="18" t="n">
        <v>9991.33</v>
      </c>
      <c r="O90" s="18" t="n">
        <v>6301.41</v>
      </c>
      <c r="P90" s="37" t="n">
        <v>10801.23</v>
      </c>
      <c r="Q90" s="18" t="n">
        <v>4005.31</v>
      </c>
      <c r="R90" s="18" t="n">
        <v>2331.12</v>
      </c>
      <c r="S90" s="18" t="n">
        <v>7555.15</v>
      </c>
      <c r="T90" s="18" t="n">
        <v>-16600.86</v>
      </c>
      <c r="U90" s="37" t="n">
        <v>-2709.28</v>
      </c>
      <c r="V90" s="18" t="n">
        <v>23775.8</v>
      </c>
      <c r="W90" s="18" t="n">
        <v>-1494.92</v>
      </c>
      <c r="X90" s="18" t="n">
        <v>20047.84</v>
      </c>
      <c r="Y90" s="18" t="n">
        <v>-6055.19</v>
      </c>
      <c r="Z90" s="37" t="n">
        <v>36273.53</v>
      </c>
      <c r="AA90" s="18" t="n">
        <v>6556.69</v>
      </c>
      <c r="AB90" s="19" t="n">
        <v>4205.4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감가상각비</t>
        </is>
      </c>
      <c r="E91" s="18" t="n">
        <v>26.75</v>
      </c>
      <c r="F91" s="9" t="n"/>
      <c r="G91" s="18" t="n">
        <v>72.05</v>
      </c>
      <c r="H91" s="18" t="n">
        <v>74.41</v>
      </c>
      <c r="I91" s="18" t="n">
        <v>74.93000000000001</v>
      </c>
      <c r="J91" s="18" t="n">
        <v>80.78</v>
      </c>
      <c r="K91" s="37" t="n">
        <v>302.17</v>
      </c>
      <c r="L91" s="18" t="n">
        <v>81.62</v>
      </c>
      <c r="M91" s="18" t="n">
        <v>81.64</v>
      </c>
      <c r="P91" s="9" t="n"/>
      <c r="Q91" s="18" t="n">
        <v>82.78</v>
      </c>
      <c r="R91" s="18" t="n">
        <v>79.7</v>
      </c>
      <c r="S91" s="18" t="n">
        <v>78.89</v>
      </c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무형자산상각비</t>
        </is>
      </c>
      <c r="E92" s="18" t="n">
        <v>0.83</v>
      </c>
      <c r="F92" s="9" t="n"/>
      <c r="G92" s="18" t="n">
        <v>0.78</v>
      </c>
      <c r="H92" s="18" t="n">
        <v>0.68</v>
      </c>
      <c r="I92" s="18" t="n">
        <v>1.91</v>
      </c>
      <c r="J92" s="18" t="n">
        <v>4.62</v>
      </c>
      <c r="K92" s="37" t="n">
        <v>7.99</v>
      </c>
      <c r="L92" s="18" t="n">
        <v>5.66</v>
      </c>
      <c r="M92" s="18" t="n">
        <v>5.91</v>
      </c>
      <c r="P92" s="9" t="n"/>
      <c r="Q92" s="18" t="n">
        <v>5.94</v>
      </c>
      <c r="R92" s="18" t="n">
        <v>6</v>
      </c>
      <c r="S92" s="18" t="n">
        <v>5.98</v>
      </c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배당금수취(CF)</t>
        </is>
      </c>
      <c r="E93" s="18" t="n">
        <v>0</v>
      </c>
      <c r="F93" s="9" t="n"/>
      <c r="I93" s="18" t="n">
        <v>0</v>
      </c>
      <c r="J93" s="18" t="n">
        <v>0</v>
      </c>
      <c r="K93" s="9" t="n"/>
      <c r="N93" s="18" t="n">
        <v>0.57</v>
      </c>
      <c r="O93" s="18" t="n">
        <v>0</v>
      </c>
      <c r="P93" s="9" t="n"/>
      <c r="S93" s="18" t="n">
        <v>0</v>
      </c>
      <c r="T93" s="18" t="n">
        <v>0.57</v>
      </c>
      <c r="U93" s="9" t="n"/>
      <c r="X93" s="18" t="n">
        <v>0.67</v>
      </c>
      <c r="Y93" s="18" t="n">
        <v>0</v>
      </c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법인세납부(CF)</t>
        </is>
      </c>
      <c r="E94" s="18" t="n">
        <v>-36.03</v>
      </c>
      <c r="F94" s="9" t="n"/>
      <c r="G94" s="18" t="n">
        <v>-1605.88</v>
      </c>
      <c r="H94" s="18" t="n">
        <v>-1932.29</v>
      </c>
      <c r="I94" s="18" t="n">
        <v>-1814.66</v>
      </c>
      <c r="J94" s="18" t="n">
        <v>-23.14</v>
      </c>
      <c r="K94" s="37" t="n">
        <v>-5375.97</v>
      </c>
      <c r="L94" s="18" t="n">
        <v>-147.38</v>
      </c>
      <c r="M94" s="18" t="n">
        <v>-813.78</v>
      </c>
      <c r="N94" s="18" t="n">
        <v>-1170.38</v>
      </c>
      <c r="O94" s="18" t="n">
        <v>-1617.23</v>
      </c>
      <c r="P94" s="37" t="n">
        <v>-3748.77</v>
      </c>
      <c r="Q94" s="18" t="n">
        <v>-734.74</v>
      </c>
      <c r="R94" s="18" t="n">
        <v>-1044.58</v>
      </c>
      <c r="S94" s="18" t="n">
        <v>-1480.15</v>
      </c>
      <c r="T94" s="18" t="n">
        <v>-87.48999999999999</v>
      </c>
      <c r="U94" s="37" t="n">
        <v>-3346.96</v>
      </c>
      <c r="V94" s="18" t="n">
        <v>-73.31</v>
      </c>
      <c r="W94" s="18" t="n">
        <v>-98.69</v>
      </c>
      <c r="X94" s="18" t="n">
        <v>-2746.93</v>
      </c>
      <c r="Y94" s="18" t="n">
        <v>-55.84</v>
      </c>
      <c r="Z94" s="37" t="n">
        <v>-2974.77</v>
      </c>
      <c r="AA94" s="18" t="n">
        <v>-1033.9</v>
      </c>
      <c r="AB94" s="19" t="n">
        <v>-1519.44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투자활동으로인한현금흐름</t>
        </is>
      </c>
      <c r="E95" s="18" t="n">
        <v>-757.89</v>
      </c>
      <c r="F95" s="9" t="n"/>
      <c r="G95" s="18" t="n">
        <v>-928.67</v>
      </c>
      <c r="H95" s="18" t="n">
        <v>-702.33</v>
      </c>
      <c r="I95" s="18" t="n">
        <v>39.51</v>
      </c>
      <c r="J95" s="18" t="n">
        <v>4338.87</v>
      </c>
      <c r="K95" s="37" t="n">
        <v>2747.38</v>
      </c>
      <c r="L95" s="18" t="n">
        <v>1235.47</v>
      </c>
      <c r="M95" s="18" t="n">
        <v>-2473.1</v>
      </c>
      <c r="N95" s="18" t="n">
        <v>-64.61</v>
      </c>
      <c r="O95" s="18" t="n">
        <v>-3632.59</v>
      </c>
      <c r="P95" s="37" t="n">
        <v>-4934.83</v>
      </c>
      <c r="Q95" s="18" t="n">
        <v>492.85</v>
      </c>
      <c r="R95" s="18" t="n">
        <v>-12.58</v>
      </c>
      <c r="S95" s="18" t="n">
        <v>-5442.73</v>
      </c>
      <c r="T95" s="18" t="n">
        <v>9559.23</v>
      </c>
      <c r="U95" s="37" t="n">
        <v>4596.77</v>
      </c>
      <c r="V95" s="18" t="n">
        <v>-32.83</v>
      </c>
      <c r="W95" s="18" t="n">
        <v>2708.29</v>
      </c>
      <c r="X95" s="18" t="n">
        <v>-31.67</v>
      </c>
      <c r="Y95" s="18" t="n">
        <v>-20.87</v>
      </c>
      <c r="Z95" s="37" t="n">
        <v>2622.92</v>
      </c>
      <c r="AA95" s="18" t="n">
        <v>-9678.389999999999</v>
      </c>
      <c r="AB95" s="19" t="n">
        <v>20718.54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재무활동으로인한현금흐름</t>
        </is>
      </c>
      <c r="E96" s="18" t="n">
        <v>-2437.02</v>
      </c>
      <c r="F96" s="9" t="n"/>
      <c r="G96" s="18" t="n">
        <v>-4.59</v>
      </c>
      <c r="H96" s="18" t="n">
        <v>-5093.37</v>
      </c>
      <c r="I96" s="18" t="n">
        <v>-6.25</v>
      </c>
      <c r="J96" s="18" t="n">
        <v>-2069.02</v>
      </c>
      <c r="K96" s="37" t="n">
        <v>-7173.23</v>
      </c>
      <c r="L96" s="18" t="n">
        <v>-14.88</v>
      </c>
      <c r="M96" s="18" t="n">
        <v>-7483.04</v>
      </c>
      <c r="N96" s="18" t="n">
        <v>-2504.06</v>
      </c>
      <c r="O96" s="18" t="n">
        <v>-1006</v>
      </c>
      <c r="P96" s="37" t="n">
        <v>-11007.98</v>
      </c>
      <c r="Q96" s="18" t="n">
        <v>-388.28</v>
      </c>
      <c r="R96" s="18" t="n">
        <v>-4941.79</v>
      </c>
      <c r="S96" s="18" t="n">
        <v>-2475.73</v>
      </c>
      <c r="T96" s="18" t="n">
        <v>-9002.040000000001</v>
      </c>
      <c r="U96" s="37" t="n">
        <v>-16807.84</v>
      </c>
      <c r="V96" s="18" t="n">
        <v>-10.94</v>
      </c>
      <c r="W96" s="18" t="n">
        <v>-9050.809999999999</v>
      </c>
      <c r="X96" s="18" t="n">
        <v>-9050.030000000001</v>
      </c>
      <c r="Y96" s="18" t="n">
        <v>-9050.110000000001</v>
      </c>
      <c r="Z96" s="37" t="n">
        <v>-27161.89</v>
      </c>
      <c r="AA96" s="18" t="n">
        <v>25662.8</v>
      </c>
      <c r="AB96" s="19" t="n">
        <v>-9049.209999999999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배당금지급</t>
        </is>
      </c>
      <c r="E97" s="18" t="n">
        <v>0</v>
      </c>
      <c r="F97" s="9" t="n"/>
      <c r="I97" s="18" t="n">
        <v>0</v>
      </c>
      <c r="J97" s="18" t="n">
        <v>0</v>
      </c>
      <c r="K97" s="9" t="n"/>
      <c r="N97" s="18" t="n">
        <v>2490.29</v>
      </c>
      <c r="O97" s="18" t="n">
        <v>0</v>
      </c>
      <c r="P97" s="9" t="n"/>
      <c r="S97" s="18" t="n">
        <v>2465.29</v>
      </c>
      <c r="T97" s="18" t="n">
        <v>0</v>
      </c>
      <c r="U97" s="9" t="n"/>
      <c r="X97" s="18" t="n">
        <v>9038.07</v>
      </c>
      <c r="Y97" s="18" t="n">
        <v>9038.059999999999</v>
      </c>
      <c r="Z97" s="9" t="n"/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단기차입금의감소</t>
        </is>
      </c>
      <c r="E98" s="18" t="n">
        <v>158.45</v>
      </c>
      <c r="F98" s="9" t="n"/>
      <c r="K98" s="9" t="n"/>
      <c r="P98" s="9" t="n"/>
      <c r="Q98" s="18" t="n">
        <v>373.78</v>
      </c>
      <c r="R98" s="18" t="n">
        <v>0</v>
      </c>
      <c r="S98" s="18" t="n">
        <v>0</v>
      </c>
      <c r="T98" s="18" t="n">
        <v>0</v>
      </c>
      <c r="U98" s="37" t="n">
        <v>373.78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현금및현금성자산의증감</t>
        </is>
      </c>
      <c r="E99" s="18" t="n">
        <v>-1832.01</v>
      </c>
      <c r="F99" s="9" t="n"/>
      <c r="G99" s="18" t="n">
        <v>10504.41</v>
      </c>
      <c r="H99" s="18" t="n">
        <v>-10054.63</v>
      </c>
      <c r="I99" s="18" t="n">
        <v>11499.71</v>
      </c>
      <c r="J99" s="18" t="n">
        <v>135.3</v>
      </c>
      <c r="K99" s="37" t="n">
        <v>12084.79</v>
      </c>
      <c r="L99" s="18" t="n">
        <v>4173.17</v>
      </c>
      <c r="M99" s="18" t="n">
        <v>-17002.55</v>
      </c>
      <c r="N99" s="18" t="n">
        <v>8005.5</v>
      </c>
      <c r="O99" s="18" t="n">
        <v>1091.79</v>
      </c>
      <c r="P99" s="37" t="n">
        <v>-3732.09</v>
      </c>
      <c r="Q99" s="18" t="n">
        <v>4859.45</v>
      </c>
      <c r="R99" s="18" t="n">
        <v>-2198.2</v>
      </c>
      <c r="S99" s="18" t="n">
        <v>-884.73</v>
      </c>
      <c r="T99" s="18" t="n">
        <v>-16283.31</v>
      </c>
      <c r="U99" s="37" t="n">
        <v>-14506.79</v>
      </c>
      <c r="V99" s="18" t="n">
        <v>24197.67</v>
      </c>
      <c r="W99" s="18" t="n">
        <v>-9839.5</v>
      </c>
      <c r="X99" s="18" t="n">
        <v>11732.64</v>
      </c>
      <c r="Y99" s="18" t="n">
        <v>-14523.12</v>
      </c>
      <c r="Z99" s="37" t="n">
        <v>11567.69</v>
      </c>
      <c r="AA99" s="18" t="n">
        <v>23426.75</v>
      </c>
      <c r="AB99" s="19" t="n">
        <v>16784.55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기말현금및현금성자산</t>
        </is>
      </c>
      <c r="E100" s="18" t="n">
        <v>-1832.01</v>
      </c>
      <c r="F100" s="9" t="n"/>
      <c r="G100" s="18" t="n">
        <v>26588.15</v>
      </c>
      <c r="H100" s="18" t="n">
        <v>-10054.64</v>
      </c>
      <c r="I100" s="18" t="n">
        <v>11499.71</v>
      </c>
      <c r="J100" s="18" t="n">
        <v>135.31</v>
      </c>
      <c r="K100" s="37" t="n">
        <v>28168.53</v>
      </c>
      <c r="L100" s="18" t="n">
        <v>32341.69</v>
      </c>
      <c r="M100" s="18" t="n">
        <v>-17002.54</v>
      </c>
      <c r="N100" s="18" t="n">
        <v>8005.5</v>
      </c>
      <c r="O100" s="18" t="n">
        <v>1091.79</v>
      </c>
      <c r="P100" s="37" t="n">
        <v>24436.44</v>
      </c>
      <c r="Q100" s="18" t="n">
        <v>29295.89</v>
      </c>
      <c r="R100" s="18" t="n">
        <v>-2198.2</v>
      </c>
      <c r="S100" s="18" t="n">
        <v>-884.73</v>
      </c>
      <c r="U100" s="9" t="n"/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리스부채의상환</t>
        </is>
      </c>
      <c r="F101" s="9" t="n"/>
      <c r="G101" s="18" t="n">
        <v>4.59</v>
      </c>
      <c r="H101" s="18" t="n">
        <v>6.25</v>
      </c>
      <c r="I101" s="18" t="n">
        <v>6.25</v>
      </c>
      <c r="J101" s="18" t="n">
        <v>6.63</v>
      </c>
      <c r="K101" s="37" t="n">
        <v>23.72</v>
      </c>
      <c r="L101" s="18" t="n">
        <v>14.88</v>
      </c>
      <c r="M101" s="18" t="n">
        <v>12.16</v>
      </c>
      <c r="N101" s="18" t="n">
        <v>13.78</v>
      </c>
      <c r="O101" s="18" t="n">
        <v>14.27</v>
      </c>
      <c r="P101" s="37" t="n">
        <v>55.09</v>
      </c>
      <c r="Q101" s="18" t="n">
        <v>14.5</v>
      </c>
      <c r="R101" s="18" t="n">
        <v>11.21</v>
      </c>
      <c r="S101" s="18" t="n">
        <v>10.43</v>
      </c>
      <c r="T101" s="18" t="n">
        <v>10.68</v>
      </c>
      <c r="U101" s="37" t="n">
        <v>46.82</v>
      </c>
      <c r="V101" s="18" t="n">
        <v>10.94</v>
      </c>
      <c r="W101" s="18" t="n">
        <v>12.75</v>
      </c>
      <c r="X101" s="18" t="n">
        <v>11.95</v>
      </c>
      <c r="Y101" s="18" t="n">
        <v>12.04</v>
      </c>
      <c r="Z101" s="37" t="n">
        <v>47.68</v>
      </c>
      <c r="AA101" s="18" t="n">
        <v>9.56</v>
      </c>
      <c r="AB101" s="19" t="n">
        <v>11.14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유형자산의감소</t>
        </is>
      </c>
      <c r="F102" s="9" t="n"/>
      <c r="K102" s="9" t="n"/>
      <c r="L102" s="18" t="n">
        <v>0.5</v>
      </c>
      <c r="M102" s="18" t="n">
        <v>0</v>
      </c>
      <c r="N102" s="18" t="n">
        <v>0</v>
      </c>
      <c r="O102" s="18" t="n">
        <v>0.28</v>
      </c>
      <c r="P102" s="37" t="n">
        <v>0.78</v>
      </c>
      <c r="U102" s="9" t="n"/>
      <c r="X102" s="18" t="n">
        <v>0</v>
      </c>
      <c r="Y102" s="18" t="n">
        <v>1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이자수취(CF)</t>
        </is>
      </c>
      <c r="F103" s="9" t="n"/>
      <c r="K103" s="9" t="n"/>
      <c r="O103" s="18" t="n">
        <v>372.76</v>
      </c>
      <c r="P103" s="9" t="n"/>
      <c r="Q103" s="18" t="n">
        <v>565.85</v>
      </c>
      <c r="R103" s="18" t="n">
        <v>641.92</v>
      </c>
      <c r="S103" s="18" t="n">
        <v>535.34</v>
      </c>
      <c r="T103" s="18" t="n">
        <v>566.39</v>
      </c>
      <c r="U103" s="37" t="n">
        <v>2309.5</v>
      </c>
      <c r="V103" s="18" t="n">
        <v>476.2</v>
      </c>
      <c r="W103" s="18" t="n">
        <v>564.23</v>
      </c>
      <c r="X103" s="18" t="n">
        <v>559.49</v>
      </c>
      <c r="Y103" s="18" t="n">
        <v>362.79</v>
      </c>
      <c r="Z103" s="37" t="n">
        <v>1962.71</v>
      </c>
      <c r="AA103" s="18" t="n">
        <v>577.64</v>
      </c>
      <c r="AB103" s="19" t="n">
        <v>568.77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이자지급(CF)</t>
        </is>
      </c>
      <c r="F104" s="9" t="n"/>
      <c r="K104" s="9" t="n"/>
      <c r="P104" s="9" t="n"/>
      <c r="Q104" s="18" t="n">
        <v>-2.74</v>
      </c>
      <c r="R104" s="18" t="n">
        <v>-2.14</v>
      </c>
      <c r="S104" s="18" t="n">
        <v>-1.85</v>
      </c>
      <c r="T104" s="18" t="n">
        <v>-1.59</v>
      </c>
      <c r="U104" s="37" t="n">
        <v>-8.32</v>
      </c>
      <c r="V104" s="18" t="n">
        <v>-1.33</v>
      </c>
      <c r="W104" s="18" t="n">
        <v>-1.08</v>
      </c>
      <c r="X104" s="18" t="n">
        <v>-0.8100000000000001</v>
      </c>
      <c r="Y104" s="18" t="n">
        <v>-0.5600000000000001</v>
      </c>
      <c r="Z104" s="37" t="n">
        <v>-3.78</v>
      </c>
      <c r="AA104" s="18" t="n">
        <v>-6.02</v>
      </c>
      <c r="AB104" s="19" t="n">
        <v>-2.76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유형자산의증가</t>
        </is>
      </c>
      <c r="F105" s="9" t="n"/>
      <c r="K105" s="9" t="n"/>
      <c r="P105" s="9" t="n"/>
      <c r="U105" s="9" t="n"/>
      <c r="Z105" s="9" t="n"/>
      <c r="AA105" s="18" t="n">
        <v>34.07</v>
      </c>
      <c r="AB105" s="19" t="n">
        <v>14.91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CAPEX</t>
        </is>
      </c>
      <c r="F106" s="9" t="n"/>
      <c r="K106" s="9" t="n"/>
      <c r="P106" s="9" t="n"/>
      <c r="U106" s="9" t="n"/>
      <c r="Z106" s="9" t="n"/>
      <c r="AA106" s="18" t="n">
        <v>41.69</v>
      </c>
      <c r="AB106" s="19" t="n">
        <v>14.91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무형자산의증가</t>
        </is>
      </c>
      <c r="F107" s="9" t="n"/>
      <c r="K107" s="9" t="n"/>
      <c r="P107" s="9" t="n"/>
      <c r="U107" s="9" t="n"/>
      <c r="Z107" s="9" t="n"/>
      <c r="AA107" s="18" t="n">
        <v>7.62</v>
      </c>
      <c r="AB107" s="19" t="n">
        <v>0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서호전기(별)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55929.67</v>
      </c>
      <c r="F5" s="37" t="n">
        <v>55929.67</v>
      </c>
      <c r="G5" s="18" t="n">
        <v>64997.47</v>
      </c>
      <c r="H5" s="18" t="n">
        <v>44142.97</v>
      </c>
      <c r="I5" s="18" t="n">
        <v>45171.21</v>
      </c>
      <c r="J5" s="18" t="n">
        <v>43539.37</v>
      </c>
      <c r="K5" s="37" t="n">
        <v>43539.37</v>
      </c>
      <c r="L5" s="18" t="n">
        <v>53798.47</v>
      </c>
      <c r="M5" s="18" t="n">
        <v>48433.27</v>
      </c>
      <c r="N5" s="18" t="n">
        <v>46188.26</v>
      </c>
      <c r="O5" s="18" t="n">
        <v>45430.38</v>
      </c>
      <c r="P5" s="37" t="n">
        <v>45430.38</v>
      </c>
      <c r="Q5" s="18" t="n">
        <v>50250.73</v>
      </c>
      <c r="R5" s="18" t="n">
        <v>48824.61</v>
      </c>
      <c r="S5" s="18" t="n">
        <v>51799.5</v>
      </c>
      <c r="T5" s="18" t="n">
        <v>35474.16</v>
      </c>
      <c r="U5" s="37" t="n">
        <v>35474.16</v>
      </c>
      <c r="V5" s="18" t="n">
        <v>59002.48</v>
      </c>
      <c r="W5" s="18" t="n">
        <v>61595.58</v>
      </c>
      <c r="X5" s="18" t="n">
        <v>55935.48</v>
      </c>
      <c r="Y5" s="18" t="n">
        <v>50657.49</v>
      </c>
      <c r="Z5" s="37" t="n">
        <v>50657.49</v>
      </c>
      <c r="AA5" s="18" t="n">
        <v>89352.19</v>
      </c>
      <c r="AB5" s="19" t="n">
        <v>86646.41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13922.42</v>
      </c>
      <c r="F6" s="37" t="n">
        <v>13922.42</v>
      </c>
      <c r="G6" s="18" t="n">
        <v>24562.34</v>
      </c>
      <c r="H6" s="18" t="n">
        <v>14504.36</v>
      </c>
      <c r="I6" s="18" t="n">
        <v>26709.5</v>
      </c>
      <c r="J6" s="18" t="n">
        <v>25823.65</v>
      </c>
      <c r="K6" s="37" t="n">
        <v>25823.65</v>
      </c>
      <c r="L6" s="18" t="n">
        <v>30389.13</v>
      </c>
      <c r="M6" s="18" t="n">
        <v>12239.91</v>
      </c>
      <c r="N6" s="18" t="n">
        <v>19891.81</v>
      </c>
      <c r="O6" s="18" t="n">
        <v>19908.22</v>
      </c>
      <c r="P6" s="37" t="n">
        <v>19908.22</v>
      </c>
      <c r="Q6" s="18" t="n">
        <v>25426.92</v>
      </c>
      <c r="R6" s="18" t="n">
        <v>23099.74</v>
      </c>
      <c r="S6" s="18" t="n">
        <v>22201.15</v>
      </c>
      <c r="T6" s="18" t="n">
        <v>5836.73</v>
      </c>
      <c r="U6" s="37" t="n">
        <v>5836.73</v>
      </c>
      <c r="V6" s="18" t="n">
        <v>29755.93</v>
      </c>
      <c r="W6" s="18" t="n">
        <v>19457.99</v>
      </c>
      <c r="X6" s="18" t="n">
        <v>30985.03</v>
      </c>
      <c r="Y6" s="18" t="n">
        <v>16298.12</v>
      </c>
      <c r="Z6" s="37" t="n">
        <v>16298.12</v>
      </c>
      <c r="AA6" s="18" t="n">
        <v>39161.7</v>
      </c>
      <c r="AB6" s="19" t="n">
        <v>56809.45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단기투자자산(공정가치)</t>
        </is>
      </c>
      <c r="E7" s="18" t="n">
        <v>21523.62</v>
      </c>
      <c r="F7" s="37" t="n">
        <v>21523.62</v>
      </c>
      <c r="G7" s="18" t="n">
        <v>22710.99</v>
      </c>
      <c r="H7" s="18" t="n">
        <v>3802.16</v>
      </c>
      <c r="I7" s="18" t="n">
        <v>4343.36</v>
      </c>
      <c r="J7" s="18" t="n">
        <v>5067.68</v>
      </c>
      <c r="K7" s="37" t="n">
        <v>5067.68</v>
      </c>
      <c r="O7" s="18" t="n">
        <v>10133.59</v>
      </c>
      <c r="P7" s="37" t="n">
        <v>10133.59</v>
      </c>
      <c r="Q7" s="18" t="n">
        <v>10631.11</v>
      </c>
      <c r="R7" s="18" t="n">
        <v>11024.84</v>
      </c>
      <c r="S7" s="18" t="n">
        <v>10551.01</v>
      </c>
      <c r="U7" s="9" t="n"/>
      <c r="Y7" s="18" t="n">
        <v>10713.5</v>
      </c>
      <c r="Z7" s="37" t="n">
        <v>10713.5</v>
      </c>
      <c r="AA7" s="18" t="n">
        <v>11361.66</v>
      </c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23208.01</v>
      </c>
      <c r="F8" s="37" t="n">
        <v>23208.01</v>
      </c>
      <c r="G8" s="18" t="n">
        <v>20015.5</v>
      </c>
      <c r="H8" s="18" t="n">
        <v>34008.43</v>
      </c>
      <c r="I8" s="18" t="n">
        <v>14015.95</v>
      </c>
      <c r="J8" s="18" t="n">
        <v>12850.86</v>
      </c>
      <c r="K8" s="37" t="n">
        <v>12850.86</v>
      </c>
      <c r="L8" s="18" t="n">
        <v>23553.93</v>
      </c>
      <c r="M8" s="18" t="n">
        <v>38292.09</v>
      </c>
      <c r="N8" s="18" t="n">
        <v>26801.37</v>
      </c>
      <c r="O8" s="18" t="n">
        <v>17197.12</v>
      </c>
      <c r="P8" s="37" t="n">
        <v>17197.12</v>
      </c>
      <c r="Q8" s="18" t="n">
        <v>15966.47</v>
      </c>
      <c r="R8" s="18" t="n">
        <v>15724.94</v>
      </c>
      <c r="S8" s="18" t="n">
        <v>23265.23</v>
      </c>
      <c r="T8" s="18" t="n">
        <v>18147.66</v>
      </c>
      <c r="U8" s="37" t="n">
        <v>18147.66</v>
      </c>
      <c r="V8" s="18" t="n">
        <v>18772.41</v>
      </c>
      <c r="W8" s="18" t="n">
        <v>31772.31</v>
      </c>
      <c r="X8" s="18" t="n">
        <v>20356.41</v>
      </c>
      <c r="Y8" s="18" t="n">
        <v>20171.61</v>
      </c>
      <c r="Z8" s="37" t="n">
        <v>20171.61</v>
      </c>
      <c r="AA8" s="18" t="n">
        <v>22825.97</v>
      </c>
      <c r="AB8" s="19" t="n">
        <v>26496.17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계약자산</t>
        </is>
      </c>
      <c r="E9" s="18" t="n">
        <v>11479.36</v>
      </c>
      <c r="F9" s="37" t="n">
        <v>11479.36</v>
      </c>
      <c r="G9" s="18" t="n">
        <v>13064.41</v>
      </c>
      <c r="H9" s="18" t="n">
        <v>14445.73</v>
      </c>
      <c r="I9" s="18" t="n">
        <v>11476.15</v>
      </c>
      <c r="J9" s="18" t="n">
        <v>9312.34</v>
      </c>
      <c r="K9" s="37" t="n">
        <v>9312.34</v>
      </c>
      <c r="L9" s="18" t="n">
        <v>13407.21</v>
      </c>
      <c r="M9" s="18" t="n">
        <v>26300.75</v>
      </c>
      <c r="N9" s="18" t="n">
        <v>19297.7</v>
      </c>
      <c r="O9" s="18" t="n">
        <v>10124.89</v>
      </c>
      <c r="P9" s="37" t="n">
        <v>10124.89</v>
      </c>
      <c r="Q9" s="18" t="n">
        <v>9393.4</v>
      </c>
      <c r="R9" s="18" t="n">
        <v>10686.32</v>
      </c>
      <c r="S9" s="18" t="n">
        <v>6890.09</v>
      </c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2830.29</v>
      </c>
      <c r="F10" s="37" t="n">
        <v>2830.29</v>
      </c>
      <c r="G10" s="18" t="n">
        <v>1188.56</v>
      </c>
      <c r="H10" s="18" t="n">
        <v>1360.06</v>
      </c>
      <c r="I10" s="18" t="n">
        <v>1252.06</v>
      </c>
      <c r="J10" s="18" t="n">
        <v>1441.26</v>
      </c>
      <c r="K10" s="37" t="n">
        <v>1441.26</v>
      </c>
      <c r="L10" s="18" t="n">
        <v>4097.84</v>
      </c>
      <c r="M10" s="18" t="n">
        <v>3019.72</v>
      </c>
      <c r="N10" s="18" t="n">
        <v>2472.66</v>
      </c>
      <c r="O10" s="18" t="n">
        <v>832.14</v>
      </c>
      <c r="P10" s="37" t="n">
        <v>832.14</v>
      </c>
      <c r="Q10" s="18" t="n">
        <v>1232.5</v>
      </c>
      <c r="R10" s="18" t="n">
        <v>1012.18</v>
      </c>
      <c r="S10" s="18" t="n">
        <v>3552.36</v>
      </c>
      <c r="T10" s="18" t="n">
        <v>8218.34</v>
      </c>
      <c r="U10" s="37" t="n">
        <v>8218.34</v>
      </c>
      <c r="V10" s="18" t="n">
        <v>8838.309999999999</v>
      </c>
      <c r="W10" s="18" t="n">
        <v>9323.15</v>
      </c>
      <c r="X10" s="18" t="n">
        <v>3865.22</v>
      </c>
      <c r="Y10" s="18" t="n">
        <v>2787.45</v>
      </c>
      <c r="Z10" s="37" t="n">
        <v>2787.45</v>
      </c>
      <c r="AA10" s="18" t="n">
        <v>5478.62</v>
      </c>
      <c r="AB10" s="19" t="n">
        <v>2766.23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41787.63</v>
      </c>
      <c r="F11" s="37" t="n">
        <v>41787.63</v>
      </c>
      <c r="G11" s="18" t="n">
        <v>39212.4</v>
      </c>
      <c r="H11" s="18" t="n">
        <v>57889.49</v>
      </c>
      <c r="I11" s="18" t="n">
        <v>58006.59</v>
      </c>
      <c r="J11" s="18" t="n">
        <v>52852.32</v>
      </c>
      <c r="K11" s="37" t="n">
        <v>52852.32</v>
      </c>
      <c r="L11" s="18" t="n">
        <v>55296.01</v>
      </c>
      <c r="M11" s="18" t="n">
        <v>59703.95</v>
      </c>
      <c r="N11" s="18" t="n">
        <v>59323.17</v>
      </c>
      <c r="O11" s="18" t="n">
        <v>53121.89</v>
      </c>
      <c r="P11" s="37" t="n">
        <v>53121.89</v>
      </c>
      <c r="Q11" s="18" t="n">
        <v>54149.89</v>
      </c>
      <c r="R11" s="18" t="n">
        <v>54392.78</v>
      </c>
      <c r="S11" s="18" t="n">
        <v>59832.75</v>
      </c>
      <c r="T11" s="18" t="n">
        <v>62266.26</v>
      </c>
      <c r="U11" s="37" t="n">
        <v>62266.26</v>
      </c>
      <c r="V11" s="18" t="n">
        <v>61597.3</v>
      </c>
      <c r="W11" s="18" t="n">
        <v>57138.1</v>
      </c>
      <c r="X11" s="18" t="n">
        <v>58489.25</v>
      </c>
      <c r="Y11" s="18" t="n">
        <v>48377.22</v>
      </c>
      <c r="Z11" s="37" t="n">
        <v>48377.22</v>
      </c>
      <c r="AA11" s="18" t="n">
        <v>49477.05</v>
      </c>
      <c r="AB11" s="19" t="n">
        <v>49828.79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8151.48</v>
      </c>
      <c r="F12" s="37" t="n">
        <v>8151.48</v>
      </c>
      <c r="G12" s="18" t="n">
        <v>4913.14</v>
      </c>
      <c r="H12" s="18" t="n">
        <v>23670.75</v>
      </c>
      <c r="I12" s="18" t="n">
        <v>23848.97</v>
      </c>
      <c r="J12" s="18" t="n">
        <v>18168.26</v>
      </c>
      <c r="K12" s="37" t="n">
        <v>18168.26</v>
      </c>
      <c r="L12" s="18" t="n">
        <v>21240.55</v>
      </c>
      <c r="M12" s="18" t="n">
        <v>25973.74</v>
      </c>
      <c r="N12" s="18" t="n">
        <v>25558.47</v>
      </c>
      <c r="O12" s="18" t="n">
        <v>19677.28</v>
      </c>
      <c r="P12" s="37" t="n">
        <v>19677.28</v>
      </c>
      <c r="Q12" s="18" t="n">
        <v>20975.56</v>
      </c>
      <c r="R12" s="18" t="n">
        <v>21424.67</v>
      </c>
      <c r="S12" s="18" t="n">
        <v>26833.1</v>
      </c>
      <c r="T12" s="18" t="n">
        <v>28633.71</v>
      </c>
      <c r="U12" s="37" t="n">
        <v>28633.71</v>
      </c>
      <c r="V12" s="18" t="n">
        <v>28280.45</v>
      </c>
      <c r="W12" s="18" t="n">
        <v>23263.14</v>
      </c>
      <c r="X12" s="18" t="n">
        <v>25038.47</v>
      </c>
      <c r="Y12" s="18" t="n">
        <v>14851.52</v>
      </c>
      <c r="Z12" s="37" t="n">
        <v>14851.52</v>
      </c>
      <c r="AA12" s="18" t="n">
        <v>15358.14</v>
      </c>
      <c r="AB12" s="19" t="n">
        <v>15677.14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25589.81</v>
      </c>
      <c r="F13" s="37" t="n">
        <v>25589.81</v>
      </c>
      <c r="G13" s="18" t="n">
        <v>22350.27</v>
      </c>
      <c r="H13" s="18" t="n">
        <v>41106.68</v>
      </c>
      <c r="I13" s="18" t="n">
        <v>41279.3</v>
      </c>
      <c r="J13" s="18" t="n">
        <v>35598.59</v>
      </c>
      <c r="K13" s="37" t="n">
        <v>35598.59</v>
      </c>
      <c r="L13" s="18" t="n">
        <v>38670.88</v>
      </c>
      <c r="M13" s="18" t="n">
        <v>43404.07</v>
      </c>
      <c r="N13" s="18" t="n">
        <v>42988.8</v>
      </c>
      <c r="O13" s="18" t="n">
        <v>36909.95</v>
      </c>
      <c r="P13" s="37" t="n">
        <v>36909.95</v>
      </c>
      <c r="Q13" s="18" t="n">
        <v>38208.23</v>
      </c>
      <c r="R13" s="18" t="n">
        <v>38657.34</v>
      </c>
      <c r="S13" s="18" t="n">
        <v>44065.77</v>
      </c>
      <c r="T13" s="18" t="n">
        <v>45866.46</v>
      </c>
      <c r="U13" s="37" t="n">
        <v>45866.46</v>
      </c>
      <c r="V13" s="18" t="n">
        <v>45513.2</v>
      </c>
      <c r="W13" s="18" t="n">
        <v>40495.89</v>
      </c>
      <c r="X13" s="18" t="n">
        <v>42271.22</v>
      </c>
      <c r="Y13" s="18" t="n">
        <v>32084.27</v>
      </c>
      <c r="Z13" s="37" t="n">
        <v>32084.27</v>
      </c>
      <c r="AA13" s="18" t="n">
        <v>32590.89</v>
      </c>
      <c r="AB13" s="19" t="n">
        <v>32909.89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종속기업및관계기업투자</t>
        </is>
      </c>
      <c r="E14" s="18" t="n">
        <v>17430.33</v>
      </c>
      <c r="F14" s="37" t="n">
        <v>17430.33</v>
      </c>
      <c r="G14" s="18" t="n">
        <v>17430.33</v>
      </c>
      <c r="H14" s="18" t="n">
        <v>17430.33</v>
      </c>
      <c r="I14" s="18" t="n">
        <v>17430.33</v>
      </c>
      <c r="J14" s="18" t="n">
        <v>17430.33</v>
      </c>
      <c r="K14" s="37" t="n">
        <v>17430.33</v>
      </c>
      <c r="L14" s="18" t="n">
        <v>17430.33</v>
      </c>
      <c r="M14" s="18" t="n">
        <v>17430.33</v>
      </c>
      <c r="N14" s="18" t="n">
        <v>17430.33</v>
      </c>
      <c r="O14" s="18" t="n">
        <v>17232.67</v>
      </c>
      <c r="P14" s="37" t="n">
        <v>17232.67</v>
      </c>
      <c r="Q14" s="18" t="n">
        <v>17232.67</v>
      </c>
      <c r="R14" s="18" t="n">
        <v>17232.67</v>
      </c>
      <c r="S14" s="18" t="n">
        <v>17232.67</v>
      </c>
      <c r="T14" s="18" t="n">
        <v>17232.75</v>
      </c>
      <c r="U14" s="37" t="n">
        <v>17232.75</v>
      </c>
      <c r="V14" s="18" t="n">
        <v>17232.75</v>
      </c>
      <c r="W14" s="18" t="n">
        <v>17232.75</v>
      </c>
      <c r="X14" s="18" t="n">
        <v>17232.75</v>
      </c>
      <c r="Y14" s="18" t="n">
        <v>17232.75</v>
      </c>
      <c r="Z14" s="37" t="n">
        <v>17232.75</v>
      </c>
      <c r="AA14" s="18" t="n">
        <v>17232.75</v>
      </c>
      <c r="AB14" s="19" t="n">
        <v>17232.75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14703.75</v>
      </c>
      <c r="F15" s="37" t="n">
        <v>14703.75</v>
      </c>
      <c r="G15" s="18" t="n">
        <v>14468.48</v>
      </c>
      <c r="H15" s="18" t="n">
        <v>14422.79</v>
      </c>
      <c r="I15" s="18" t="n">
        <v>14375.36</v>
      </c>
      <c r="J15" s="18" t="n">
        <v>14479.71</v>
      </c>
      <c r="K15" s="37" t="n">
        <v>14479.71</v>
      </c>
      <c r="L15" s="18" t="n">
        <v>14456.42</v>
      </c>
      <c r="M15" s="18" t="n">
        <v>14399.11</v>
      </c>
      <c r="N15" s="18" t="n">
        <v>14393.61</v>
      </c>
      <c r="O15" s="18" t="n">
        <v>14334.51</v>
      </c>
      <c r="P15" s="37" t="n">
        <v>14334.51</v>
      </c>
      <c r="Q15" s="18" t="n">
        <v>14306.82</v>
      </c>
      <c r="R15" s="18" t="n">
        <v>14247.71</v>
      </c>
      <c r="S15" s="18" t="n">
        <v>14197.87</v>
      </c>
      <c r="T15" s="18" t="n">
        <v>14166.47</v>
      </c>
      <c r="U15" s="37" t="n">
        <v>14166.47</v>
      </c>
      <c r="V15" s="18" t="n">
        <v>14136.31</v>
      </c>
      <c r="W15" s="18" t="n">
        <v>14219.64</v>
      </c>
      <c r="X15" s="18" t="n">
        <v>14177.52</v>
      </c>
      <c r="Y15" s="18" t="n">
        <v>14125.54</v>
      </c>
      <c r="Z15" s="37" t="n">
        <v>14125.54</v>
      </c>
      <c r="AA15" s="18" t="n">
        <v>14093.4</v>
      </c>
      <c r="AB15" s="19" t="n">
        <v>14159.96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토지</t>
        </is>
      </c>
      <c r="E16" s="18" t="n">
        <v>0</v>
      </c>
      <c r="F16" s="37" t="n">
        <v>0</v>
      </c>
      <c r="G16" s="18" t="n">
        <v>11779.04</v>
      </c>
      <c r="H16" s="18" t="n">
        <v>11779.04</v>
      </c>
      <c r="I16" s="18" t="n">
        <v>11779.04</v>
      </c>
      <c r="J16" s="18" t="n">
        <v>0</v>
      </c>
      <c r="K16" s="37" t="n">
        <v>0</v>
      </c>
      <c r="L16" s="18" t="n">
        <v>11779.04</v>
      </c>
      <c r="M16" s="18" t="n">
        <v>11779.04</v>
      </c>
      <c r="O16" s="18" t="n">
        <v>11779.04</v>
      </c>
      <c r="P16" s="37" t="n">
        <v>11779.04</v>
      </c>
      <c r="Q16" s="18" t="n">
        <v>11779.04</v>
      </c>
      <c r="R16" s="18" t="n">
        <v>11779.04</v>
      </c>
      <c r="S16" s="18" t="n">
        <v>11779.04</v>
      </c>
      <c r="U16" s="9" t="n"/>
      <c r="Z16" s="9" t="n"/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설비자산</t>
        </is>
      </c>
      <c r="E17" s="18" t="n">
        <v>179.07</v>
      </c>
      <c r="F17" s="37" t="n">
        <v>179.07</v>
      </c>
      <c r="G17" s="18" t="n">
        <v>3601.96</v>
      </c>
      <c r="H17" s="18" t="n">
        <v>3601.96</v>
      </c>
      <c r="I17" s="18" t="n">
        <v>3601.96</v>
      </c>
      <c r="J17" s="18" t="n">
        <v>241.11</v>
      </c>
      <c r="K17" s="37" t="n">
        <v>241.11</v>
      </c>
      <c r="L17" s="18" t="n">
        <v>3664</v>
      </c>
      <c r="M17" s="18" t="n">
        <v>3664</v>
      </c>
      <c r="N17" s="18" t="n">
        <v>35.2</v>
      </c>
      <c r="O17" s="18" t="n">
        <v>3664</v>
      </c>
      <c r="P17" s="37" t="n">
        <v>3664</v>
      </c>
      <c r="Q17" s="18" t="n">
        <v>3664</v>
      </c>
      <c r="R17" s="18" t="n">
        <v>3664</v>
      </c>
      <c r="S17" s="18" t="n">
        <v>3664</v>
      </c>
      <c r="U17" s="9" t="n"/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106.07</v>
      </c>
      <c r="F18" s="37" t="n">
        <v>106.07</v>
      </c>
      <c r="G18" s="18" t="n">
        <v>171.89</v>
      </c>
      <c r="H18" s="18" t="n">
        <v>171.89</v>
      </c>
      <c r="I18" s="18" t="n">
        <v>162.74</v>
      </c>
      <c r="J18" s="18" t="n">
        <v>257.72</v>
      </c>
      <c r="K18" s="37" t="n">
        <v>257.72</v>
      </c>
      <c r="L18" s="18" t="n">
        <v>282.43</v>
      </c>
      <c r="M18" s="18" t="n">
        <v>282.43</v>
      </c>
      <c r="N18" s="18" t="n">
        <v>288.67</v>
      </c>
      <c r="O18" s="18" t="n">
        <v>288.67</v>
      </c>
      <c r="P18" s="37" t="n">
        <v>288.67</v>
      </c>
      <c r="Q18" s="18" t="n">
        <v>269.45</v>
      </c>
      <c r="R18" s="18" t="n">
        <v>245.01</v>
      </c>
      <c r="S18" s="18" t="n">
        <v>245.01</v>
      </c>
      <c r="U18" s="9" t="n"/>
      <c r="Z18" s="9" t="n"/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1408.49</v>
      </c>
      <c r="F19" s="37" t="n">
        <v>1408.49</v>
      </c>
      <c r="G19" s="18" t="n">
        <v>331.47</v>
      </c>
      <c r="H19" s="18" t="n">
        <v>232.26</v>
      </c>
      <c r="I19" s="18" t="n">
        <v>183.59</v>
      </c>
      <c r="J19" s="18" t="n">
        <v>1694.71</v>
      </c>
      <c r="K19" s="37" t="n">
        <v>1694.71</v>
      </c>
      <c r="L19" s="18" t="n">
        <v>348.88</v>
      </c>
      <c r="M19" s="18" t="n">
        <v>282.43</v>
      </c>
      <c r="N19" s="18" t="n">
        <v>288.67</v>
      </c>
      <c r="O19" s="18" t="n">
        <v>494.6</v>
      </c>
      <c r="P19" s="37" t="n">
        <v>494.6</v>
      </c>
      <c r="Q19" s="18" t="n">
        <v>269.45</v>
      </c>
      <c r="R19" s="18" t="n">
        <v>245.01</v>
      </c>
      <c r="S19" s="18" t="n">
        <v>245.01</v>
      </c>
      <c r="T19" s="18" t="n">
        <v>202.38</v>
      </c>
      <c r="U19" s="37" t="n">
        <v>202.38</v>
      </c>
      <c r="W19" s="18" t="n">
        <v>12.88</v>
      </c>
      <c r="Y19" s="18" t="n">
        <v>239.78</v>
      </c>
      <c r="Z19" s="37" t="n">
        <v>239.78</v>
      </c>
      <c r="AA19" s="18" t="n">
        <v>128.59</v>
      </c>
      <c r="AB19" s="19" t="n">
        <v>48.7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191.65</v>
      </c>
      <c r="F20" s="37" t="n">
        <v>191.65</v>
      </c>
      <c r="G20" s="18" t="n">
        <v>190.93</v>
      </c>
      <c r="H20" s="18" t="n">
        <v>190.32</v>
      </c>
      <c r="I20" s="18" t="n">
        <v>189.7</v>
      </c>
      <c r="J20" s="18" t="n">
        <v>189.09</v>
      </c>
      <c r="K20" s="37" t="n">
        <v>189.09</v>
      </c>
      <c r="L20" s="18" t="n">
        <v>188.47</v>
      </c>
      <c r="M20" s="18" t="n">
        <v>187.86</v>
      </c>
      <c r="N20" s="18" t="n">
        <v>592.24</v>
      </c>
      <c r="O20" s="18" t="n">
        <v>591.63</v>
      </c>
      <c r="P20" s="37" t="n">
        <v>591.63</v>
      </c>
      <c r="Q20" s="18" t="n">
        <v>591.01</v>
      </c>
      <c r="R20" s="18" t="n">
        <v>590.39</v>
      </c>
      <c r="S20" s="18" t="n">
        <v>589.78</v>
      </c>
      <c r="T20" s="18" t="n">
        <v>1508.96</v>
      </c>
      <c r="U20" s="37" t="n">
        <v>1508.96</v>
      </c>
      <c r="V20" s="18" t="n">
        <v>1508.34</v>
      </c>
      <c r="W20" s="18" t="n">
        <v>1507.72</v>
      </c>
      <c r="X20" s="18" t="n">
        <v>1507.1</v>
      </c>
      <c r="Y20" s="18" t="n">
        <v>1515.21</v>
      </c>
      <c r="Z20" s="37" t="n">
        <v>1515.21</v>
      </c>
      <c r="AA20" s="18" t="n">
        <v>1518.71</v>
      </c>
      <c r="AB20" s="19" t="n">
        <v>1517.48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1073.56</v>
      </c>
      <c r="F21" s="37" t="n">
        <v>1073.56</v>
      </c>
      <c r="G21" s="18" t="n">
        <v>1624.47</v>
      </c>
      <c r="H21" s="18" t="n">
        <v>1281.53</v>
      </c>
      <c r="I21" s="18" t="n">
        <v>1283.6</v>
      </c>
      <c r="J21" s="18" t="n">
        <v>1286.74</v>
      </c>
      <c r="K21" s="37" t="n">
        <v>1286.74</v>
      </c>
      <c r="L21" s="18" t="n">
        <v>612.03</v>
      </c>
      <c r="M21" s="18" t="n">
        <v>613.13</v>
      </c>
      <c r="N21" s="18" t="n">
        <v>203.99</v>
      </c>
      <c r="O21" s="18" t="n">
        <v>205.93</v>
      </c>
      <c r="P21" s="37" t="n">
        <v>205.93</v>
      </c>
      <c r="R21" s="18" t="n">
        <v>337.05</v>
      </c>
      <c r="U21" s="9" t="n"/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장기대여금</t>
        </is>
      </c>
      <c r="E22" s="18" t="n">
        <v>8</v>
      </c>
      <c r="F22" s="37" t="n">
        <v>8</v>
      </c>
      <c r="G22" s="18" t="n">
        <v>6.8</v>
      </c>
      <c r="H22" s="18" t="n">
        <v>5.6</v>
      </c>
      <c r="K22" s="9" t="n"/>
      <c r="P22" s="9" t="n"/>
      <c r="U22" s="9" t="n"/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자산총계</t>
        </is>
      </c>
      <c r="E23" s="18" t="n">
        <v>97717.3</v>
      </c>
      <c r="F23" s="37" t="n">
        <v>97717.3</v>
      </c>
      <c r="G23" s="18" t="n">
        <v>104209.87</v>
      </c>
      <c r="H23" s="18" t="n">
        <v>102032.47</v>
      </c>
      <c r="I23" s="18" t="n">
        <v>103177.8</v>
      </c>
      <c r="J23" s="18" t="n">
        <v>96391.67999999999</v>
      </c>
      <c r="K23" s="37" t="n">
        <v>96391.67999999999</v>
      </c>
      <c r="L23" s="18" t="n">
        <v>109094.48</v>
      </c>
      <c r="M23" s="18" t="n">
        <v>108137.21</v>
      </c>
      <c r="N23" s="18" t="n">
        <v>105511.42</v>
      </c>
      <c r="O23" s="18" t="n">
        <v>98552.27</v>
      </c>
      <c r="P23" s="37" t="n">
        <v>98552.27</v>
      </c>
      <c r="Q23" s="18" t="n">
        <v>104400.61</v>
      </c>
      <c r="R23" s="18" t="n">
        <v>103217.4</v>
      </c>
      <c r="S23" s="18" t="n">
        <v>111632.26</v>
      </c>
      <c r="T23" s="18" t="n">
        <v>97740.42</v>
      </c>
      <c r="U23" s="37" t="n">
        <v>97740.42</v>
      </c>
      <c r="V23" s="18" t="n">
        <v>120599.78</v>
      </c>
      <c r="W23" s="18" t="n">
        <v>118733.68</v>
      </c>
      <c r="X23" s="18" t="n">
        <v>114424.73</v>
      </c>
      <c r="Y23" s="18" t="n">
        <v>99034.71000000001</v>
      </c>
      <c r="Z23" s="37" t="n">
        <v>99034.71000000001</v>
      </c>
      <c r="AA23" s="18" t="n">
        <v>138829.24</v>
      </c>
      <c r="AB23" s="19" t="n">
        <v>136475.19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유동부채</t>
        </is>
      </c>
      <c r="E24" s="18" t="n">
        <v>12974.28</v>
      </c>
      <c r="F24" s="37" t="n">
        <v>12974.28</v>
      </c>
      <c r="G24" s="18" t="n">
        <v>21452.1</v>
      </c>
      <c r="H24" s="18" t="n">
        <v>19155.36</v>
      </c>
      <c r="I24" s="18" t="n">
        <v>13307.85</v>
      </c>
      <c r="J24" s="18" t="n">
        <v>8625.450000000001</v>
      </c>
      <c r="K24" s="37" t="n">
        <v>8625.450000000001</v>
      </c>
      <c r="L24" s="18" t="n">
        <v>24907.24</v>
      </c>
      <c r="M24" s="18" t="n">
        <v>19743.48</v>
      </c>
      <c r="N24" s="18" t="n">
        <v>14948.52</v>
      </c>
      <c r="O24" s="18" t="n">
        <v>6379.66</v>
      </c>
      <c r="P24" s="37" t="n">
        <v>6379.66</v>
      </c>
      <c r="Q24" s="18" t="n">
        <v>12643.01</v>
      </c>
      <c r="R24" s="18" t="n">
        <v>8837.129999999999</v>
      </c>
      <c r="S24" s="18" t="n">
        <v>18362.4</v>
      </c>
      <c r="T24" s="18" t="n">
        <v>10465.81</v>
      </c>
      <c r="U24" s="37" t="n">
        <v>10465.81</v>
      </c>
      <c r="V24" s="18" t="n">
        <v>34020.4</v>
      </c>
      <c r="W24" s="18" t="n">
        <v>31552.24</v>
      </c>
      <c r="X24" s="18" t="n">
        <v>28235.36</v>
      </c>
      <c r="Y24" s="18" t="n">
        <v>17365.25</v>
      </c>
      <c r="Z24" s="37" t="n">
        <v>17365.25</v>
      </c>
      <c r="AA24" s="18" t="n">
        <v>35292.47</v>
      </c>
      <c r="AB24" s="19" t="n">
        <v>28741.04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매입채무및기타채무</t>
        </is>
      </c>
      <c r="E25" s="18" t="n">
        <v>1015.01</v>
      </c>
      <c r="F25" s="37" t="n">
        <v>1015.01</v>
      </c>
      <c r="G25" s="18" t="n">
        <v>12443.81</v>
      </c>
      <c r="H25" s="18" t="n">
        <v>4689.12</v>
      </c>
      <c r="I25" s="18" t="n">
        <v>1853.89</v>
      </c>
      <c r="J25" s="18" t="n">
        <v>211.17</v>
      </c>
      <c r="K25" s="37" t="n">
        <v>211.17</v>
      </c>
      <c r="L25" s="18" t="n">
        <v>20282.18</v>
      </c>
      <c r="M25" s="18" t="n">
        <v>9216.9</v>
      </c>
      <c r="N25" s="18" t="n">
        <v>4026.43</v>
      </c>
      <c r="O25" s="18" t="n">
        <v>349.35</v>
      </c>
      <c r="P25" s="37" t="n">
        <v>349.35</v>
      </c>
      <c r="Q25" s="18" t="n">
        <v>7458.41</v>
      </c>
      <c r="R25" s="18" t="n">
        <v>7558.68</v>
      </c>
      <c r="S25" s="18" t="n">
        <v>13702.69</v>
      </c>
      <c r="T25" s="18" t="n">
        <v>39.84</v>
      </c>
      <c r="U25" s="37" t="n">
        <v>39.84</v>
      </c>
      <c r="V25" s="18" t="n">
        <v>13286.04</v>
      </c>
      <c r="W25" s="18" t="n">
        <v>12053.37</v>
      </c>
      <c r="X25" s="18" t="n">
        <v>7519.24</v>
      </c>
      <c r="Y25" s="18" t="n">
        <v>810.63</v>
      </c>
      <c r="Z25" s="37" t="n">
        <v>810.63</v>
      </c>
      <c r="AA25" s="18" t="n">
        <v>6393.75</v>
      </c>
      <c r="AB25" s="19" t="n">
        <v>6323.24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3423.36</v>
      </c>
      <c r="F26" s="37" t="n">
        <v>3423.36</v>
      </c>
      <c r="G26" s="18" t="n">
        <v>3126.46</v>
      </c>
      <c r="H26" s="18" t="n">
        <v>1698.34</v>
      </c>
      <c r="I26" s="18" t="n">
        <v>1869.13</v>
      </c>
      <c r="J26" s="18" t="n">
        <v>1740.15</v>
      </c>
      <c r="K26" s="37" t="n">
        <v>1740.15</v>
      </c>
      <c r="L26" s="18" t="n">
        <v>2783.33</v>
      </c>
      <c r="M26" s="18" t="n">
        <v>2946.92</v>
      </c>
      <c r="N26" s="18" t="n">
        <v>3095.79</v>
      </c>
      <c r="O26" s="18" t="n">
        <v>1544.42</v>
      </c>
      <c r="P26" s="37" t="n">
        <v>1544.42</v>
      </c>
      <c r="Q26" s="18" t="n">
        <v>1583.16</v>
      </c>
      <c r="R26" s="18" t="n">
        <v>1107.12</v>
      </c>
      <c r="S26" s="18" t="n">
        <v>45.62</v>
      </c>
      <c r="U26" s="9" t="n"/>
      <c r="V26" s="18" t="n">
        <v>2392.14</v>
      </c>
      <c r="W26" s="18" t="n">
        <v>2926.87</v>
      </c>
      <c r="X26" s="18" t="n">
        <v>1962.69</v>
      </c>
      <c r="Y26" s="18" t="n">
        <v>2387.58</v>
      </c>
      <c r="Z26" s="37" t="n">
        <v>2387.58</v>
      </c>
      <c r="AA26" s="18" t="n">
        <v>6569.61</v>
      </c>
      <c r="AB26" s="19" t="n">
        <v>7155.5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계약부채</t>
        </is>
      </c>
      <c r="E27" s="18" t="n">
        <v>8047.2</v>
      </c>
      <c r="F27" s="37" t="n">
        <v>8047.2</v>
      </c>
      <c r="G27" s="18" t="n">
        <v>8893.32</v>
      </c>
      <c r="H27" s="18" t="n">
        <v>11537.59</v>
      </c>
      <c r="I27" s="18" t="n">
        <v>7243.43</v>
      </c>
      <c r="J27" s="18" t="n">
        <v>4586.2</v>
      </c>
      <c r="K27" s="37" t="n">
        <v>4586.2</v>
      </c>
      <c r="L27" s="18" t="n">
        <v>5895.87</v>
      </c>
      <c r="M27" s="18" t="n">
        <v>5733.5</v>
      </c>
      <c r="N27" s="18" t="n">
        <v>4820.67</v>
      </c>
      <c r="O27" s="18" t="n">
        <v>3096.11</v>
      </c>
      <c r="P27" s="37" t="n">
        <v>3096.11</v>
      </c>
      <c r="Q27" s="18" t="n">
        <v>3429.08</v>
      </c>
      <c r="R27" s="18" t="n">
        <v>2622.71</v>
      </c>
      <c r="S27" s="18" t="n">
        <v>10579.6</v>
      </c>
      <c r="U27" s="9" t="n"/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단기충당부채</t>
        </is>
      </c>
      <c r="E28" s="18" t="n">
        <v>192.47</v>
      </c>
      <c r="F28" s="37" t="n">
        <v>192.47</v>
      </c>
      <c r="G28" s="18" t="n">
        <v>192.47</v>
      </c>
      <c r="H28" s="18" t="n">
        <v>1318.43</v>
      </c>
      <c r="I28" s="18" t="n">
        <v>2640.31</v>
      </c>
      <c r="J28" s="18" t="n">
        <v>3203.3</v>
      </c>
      <c r="K28" s="37" t="n">
        <v>3203.3</v>
      </c>
      <c r="L28" s="18" t="n">
        <v>3274.76</v>
      </c>
      <c r="M28" s="18" t="n">
        <v>3152.84</v>
      </c>
      <c r="N28" s="18" t="n">
        <v>3194.94</v>
      </c>
      <c r="O28" s="18" t="n">
        <v>2171.6</v>
      </c>
      <c r="P28" s="37" t="n">
        <v>2171.6</v>
      </c>
      <c r="Q28" s="18" t="n">
        <v>2022.32</v>
      </c>
      <c r="R28" s="18" t="n">
        <v>1779.8</v>
      </c>
      <c r="S28" s="18" t="n">
        <v>1439.22</v>
      </c>
      <c r="T28" s="18" t="n">
        <v>702.4299999999999</v>
      </c>
      <c r="U28" s="37" t="n">
        <v>702.4299999999999</v>
      </c>
      <c r="V28" s="18" t="n">
        <v>816.61</v>
      </c>
      <c r="W28" s="18" t="n">
        <v>726.9400000000001</v>
      </c>
      <c r="X28" s="18" t="n">
        <v>843.27</v>
      </c>
      <c r="Y28" s="18" t="n">
        <v>848.6900000000001</v>
      </c>
      <c r="Z28" s="37" t="n">
        <v>848.6900000000001</v>
      </c>
      <c r="AA28" s="18" t="n">
        <v>889.13</v>
      </c>
      <c r="AB28" s="19" t="n">
        <v>943.61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15.34</v>
      </c>
      <c r="F29" s="37" t="n">
        <v>15.34</v>
      </c>
      <c r="G29" s="18" t="n">
        <v>22.85</v>
      </c>
      <c r="H29" s="18" t="n">
        <v>23.55</v>
      </c>
      <c r="I29" s="18" t="n">
        <v>23.15</v>
      </c>
      <c r="J29" s="18" t="n">
        <v>45.26</v>
      </c>
      <c r="K29" s="37" t="n">
        <v>45.26</v>
      </c>
      <c r="L29" s="18" t="n">
        <v>58.01</v>
      </c>
      <c r="M29" s="18" t="n">
        <v>58.39</v>
      </c>
      <c r="N29" s="18" t="n">
        <v>58.52</v>
      </c>
      <c r="O29" s="18" t="n">
        <v>58.98</v>
      </c>
      <c r="P29" s="37" t="n">
        <v>58.98</v>
      </c>
      <c r="Q29" s="18" t="n">
        <v>56.83</v>
      </c>
      <c r="R29" s="18" t="n">
        <v>47.07</v>
      </c>
      <c r="S29" s="18" t="n">
        <v>47.37</v>
      </c>
      <c r="T29" s="18" t="n">
        <v>47.68</v>
      </c>
      <c r="U29" s="37" t="n">
        <v>47.68</v>
      </c>
      <c r="V29" s="18" t="n">
        <v>45.44</v>
      </c>
      <c r="W29" s="18" t="n">
        <v>39.48</v>
      </c>
      <c r="Y29" s="18" t="n">
        <v>27.43</v>
      </c>
      <c r="Z29" s="37" t="n">
        <v>27.43</v>
      </c>
      <c r="AA29" s="18" t="n">
        <v>18.97</v>
      </c>
      <c r="AB29" s="19" t="n">
        <v>34.57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61.03</v>
      </c>
      <c r="F30" s="37" t="n">
        <v>61.03</v>
      </c>
      <c r="G30" s="18" t="n">
        <v>92.54000000000001</v>
      </c>
      <c r="H30" s="18" t="n">
        <v>86.88</v>
      </c>
      <c r="I30" s="18" t="n">
        <v>81.19</v>
      </c>
      <c r="J30" s="18" t="n">
        <v>167.93</v>
      </c>
      <c r="K30" s="37" t="n">
        <v>167.93</v>
      </c>
      <c r="L30" s="18" t="n">
        <v>179.35</v>
      </c>
      <c r="M30" s="18" t="n">
        <v>164.99</v>
      </c>
      <c r="N30" s="18" t="n">
        <v>150.27</v>
      </c>
      <c r="O30" s="18" t="n">
        <v>135.81</v>
      </c>
      <c r="P30" s="37" t="n">
        <v>135.81</v>
      </c>
      <c r="Q30" s="18" t="n">
        <v>121.24</v>
      </c>
      <c r="R30" s="18" t="n">
        <v>99.59999999999999</v>
      </c>
      <c r="S30" s="18" t="n">
        <v>87.94</v>
      </c>
      <c r="T30" s="18" t="n">
        <v>76.20999999999999</v>
      </c>
      <c r="U30" s="37" t="n">
        <v>76.20999999999999</v>
      </c>
      <c r="V30" s="18" t="n">
        <v>64.41</v>
      </c>
      <c r="W30" s="18" t="n">
        <v>52.53</v>
      </c>
      <c r="X30" s="18" t="n">
        <v>7.09</v>
      </c>
      <c r="Y30" s="18" t="n">
        <v>28.53</v>
      </c>
      <c r="Z30" s="37" t="n">
        <v>28.53</v>
      </c>
      <c r="AA30" s="18" t="n">
        <v>18.97</v>
      </c>
      <c r="AB30" s="19" t="n">
        <v>115.58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단기금융부채</t>
        </is>
      </c>
      <c r="E31" s="18" t="n">
        <v>15.34</v>
      </c>
      <c r="F31" s="37" t="n">
        <v>15.34</v>
      </c>
      <c r="G31" s="18" t="n">
        <v>22.85</v>
      </c>
      <c r="H31" s="18" t="n">
        <v>23.55</v>
      </c>
      <c r="I31" s="18" t="n">
        <v>23.15</v>
      </c>
      <c r="J31" s="18" t="n">
        <v>45.26</v>
      </c>
      <c r="K31" s="37" t="n">
        <v>45.26</v>
      </c>
      <c r="L31" s="18" t="n">
        <v>58.01</v>
      </c>
      <c r="M31" s="18" t="n">
        <v>58.39</v>
      </c>
      <c r="N31" s="18" t="n">
        <v>58.52</v>
      </c>
      <c r="O31" s="18" t="n">
        <v>58.98</v>
      </c>
      <c r="P31" s="37" t="n">
        <v>58.98</v>
      </c>
      <c r="Q31" s="18" t="n">
        <v>56.83</v>
      </c>
      <c r="R31" s="18" t="n">
        <v>47.07</v>
      </c>
      <c r="S31" s="18" t="n">
        <v>47.37</v>
      </c>
      <c r="T31" s="18" t="n">
        <v>47.68</v>
      </c>
      <c r="U31" s="37" t="n">
        <v>47.68</v>
      </c>
      <c r="V31" s="18" t="n">
        <v>45.44</v>
      </c>
      <c r="W31" s="18" t="n">
        <v>39.48</v>
      </c>
      <c r="Y31" s="18" t="n">
        <v>27.43</v>
      </c>
      <c r="Z31" s="37" t="n">
        <v>27.43</v>
      </c>
      <c r="AA31" s="18" t="n">
        <v>18.97</v>
      </c>
      <c r="AB31" s="19" t="n">
        <v>34.57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690.73</v>
      </c>
      <c r="F32" s="37" t="n">
        <v>690.73</v>
      </c>
      <c r="G32" s="18" t="n">
        <v>686.8200000000001</v>
      </c>
      <c r="H32" s="18" t="n">
        <v>504.87</v>
      </c>
      <c r="I32" s="18" t="n">
        <v>551.95</v>
      </c>
      <c r="J32" s="18" t="n">
        <v>714.38</v>
      </c>
      <c r="K32" s="37" t="n">
        <v>714.38</v>
      </c>
      <c r="L32" s="18" t="n">
        <v>721.45</v>
      </c>
      <c r="M32" s="18" t="n">
        <v>745.21</v>
      </c>
      <c r="N32" s="18" t="n">
        <v>814.13</v>
      </c>
      <c r="O32" s="18" t="n">
        <v>1278.89</v>
      </c>
      <c r="P32" s="37" t="n">
        <v>1278.89</v>
      </c>
      <c r="Q32" s="18" t="n">
        <v>1390.02</v>
      </c>
      <c r="R32" s="18" t="n">
        <v>1548.57</v>
      </c>
      <c r="S32" s="18" t="n">
        <v>1596.81</v>
      </c>
      <c r="T32" s="18" t="n">
        <v>874.99</v>
      </c>
      <c r="U32" s="37" t="n">
        <v>874.99</v>
      </c>
      <c r="V32" s="18" t="n">
        <v>865.5599999999999</v>
      </c>
      <c r="W32" s="18" t="n">
        <v>860.6799999999999</v>
      </c>
      <c r="X32" s="18" t="n">
        <v>898.0599999999999</v>
      </c>
      <c r="Y32" s="18" t="n">
        <v>852.6</v>
      </c>
      <c r="Z32" s="37" t="n">
        <v>852.6</v>
      </c>
      <c r="AA32" s="18" t="n">
        <v>5250.35</v>
      </c>
      <c r="AB32" s="19" t="n">
        <v>3983.95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비유동리스부채</t>
        </is>
      </c>
      <c r="E33" s="18" t="n">
        <v>45.69</v>
      </c>
      <c r="F33" s="37" t="n">
        <v>45.69</v>
      </c>
      <c r="G33" s="18" t="n">
        <v>69.69</v>
      </c>
      <c r="H33" s="18" t="n">
        <v>63.33</v>
      </c>
      <c r="I33" s="18" t="n">
        <v>58.04</v>
      </c>
      <c r="J33" s="18" t="n">
        <v>122.67</v>
      </c>
      <c r="K33" s="37" t="n">
        <v>122.67</v>
      </c>
      <c r="L33" s="18" t="n">
        <v>121.34</v>
      </c>
      <c r="M33" s="18" t="n">
        <v>106.6</v>
      </c>
      <c r="N33" s="18" t="n">
        <v>91.75</v>
      </c>
      <c r="O33" s="18" t="n">
        <v>76.83</v>
      </c>
      <c r="P33" s="37" t="n">
        <v>76.83</v>
      </c>
      <c r="Q33" s="18" t="n">
        <v>64.41</v>
      </c>
      <c r="R33" s="18" t="n">
        <v>52.53</v>
      </c>
      <c r="S33" s="18" t="n">
        <v>40.57</v>
      </c>
      <c r="T33" s="18" t="n">
        <v>28.53</v>
      </c>
      <c r="U33" s="37" t="n">
        <v>28.53</v>
      </c>
      <c r="V33" s="18" t="n">
        <v>18.97</v>
      </c>
      <c r="W33" s="18" t="n">
        <v>13.05</v>
      </c>
      <c r="X33" s="18" t="n">
        <v>7.09</v>
      </c>
      <c r="Y33" s="18" t="n">
        <v>1.1</v>
      </c>
      <c r="Z33" s="37" t="n">
        <v>1.1</v>
      </c>
      <c r="AB33" s="19" t="n">
        <v>81.01000000000001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장기금융부채</t>
        </is>
      </c>
      <c r="E34" s="18" t="n">
        <v>45.69</v>
      </c>
      <c r="F34" s="37" t="n">
        <v>45.69</v>
      </c>
      <c r="G34" s="18" t="n">
        <v>69.69</v>
      </c>
      <c r="H34" s="18" t="n">
        <v>63.33</v>
      </c>
      <c r="I34" s="18" t="n">
        <v>58.04</v>
      </c>
      <c r="J34" s="18" t="n">
        <v>122.67</v>
      </c>
      <c r="K34" s="37" t="n">
        <v>122.67</v>
      </c>
      <c r="L34" s="18" t="n">
        <v>121.34</v>
      </c>
      <c r="M34" s="18" t="n">
        <v>106.6</v>
      </c>
      <c r="N34" s="18" t="n">
        <v>91.75</v>
      </c>
      <c r="O34" s="18" t="n">
        <v>76.83</v>
      </c>
      <c r="P34" s="37" t="n">
        <v>76.83</v>
      </c>
      <c r="Q34" s="18" t="n">
        <v>64.41</v>
      </c>
      <c r="R34" s="18" t="n">
        <v>52.53</v>
      </c>
      <c r="S34" s="18" t="n">
        <v>40.57</v>
      </c>
      <c r="T34" s="18" t="n">
        <v>28.53</v>
      </c>
      <c r="U34" s="37" t="n">
        <v>28.53</v>
      </c>
      <c r="V34" s="18" t="n">
        <v>18.97</v>
      </c>
      <c r="W34" s="18" t="n">
        <v>13.05</v>
      </c>
      <c r="X34" s="18" t="n">
        <v>7.09</v>
      </c>
      <c r="Y34" s="18" t="n">
        <v>1.1</v>
      </c>
      <c r="Z34" s="37" t="n">
        <v>1.1</v>
      </c>
      <c r="AA34" s="18" t="n">
        <v>4398.85</v>
      </c>
      <c r="AB34" s="19" t="n">
        <v>3132.46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장기매입채무및기타채무</t>
        </is>
      </c>
      <c r="E35" s="18" t="n">
        <v>617.13</v>
      </c>
      <c r="F35" s="37" t="n">
        <v>617.13</v>
      </c>
      <c r="G35" s="18" t="n">
        <v>1234.26</v>
      </c>
      <c r="H35" s="18" t="n">
        <v>883.08</v>
      </c>
      <c r="I35" s="18" t="n">
        <v>493.92</v>
      </c>
      <c r="J35" s="18" t="n">
        <v>591.71</v>
      </c>
      <c r="K35" s="37" t="n">
        <v>591.71</v>
      </c>
      <c r="L35" s="18" t="n">
        <v>1200.2</v>
      </c>
      <c r="M35" s="18" t="n">
        <v>1264.24</v>
      </c>
      <c r="N35" s="18" t="n">
        <v>642.96</v>
      </c>
      <c r="O35" s="18" t="n">
        <v>1441.78</v>
      </c>
      <c r="P35" s="37" t="n">
        <v>1441.78</v>
      </c>
      <c r="Q35" s="18" t="n">
        <v>720.89</v>
      </c>
      <c r="R35" s="18" t="n">
        <v>787.8</v>
      </c>
      <c r="S35" s="18" t="n">
        <v>813.35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27.91</v>
      </c>
      <c r="F36" s="37" t="n">
        <v>27.91</v>
      </c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13665</v>
      </c>
      <c r="F37" s="37" t="n">
        <v>13665</v>
      </c>
      <c r="G37" s="18" t="n">
        <v>22138.92</v>
      </c>
      <c r="H37" s="18" t="n">
        <v>19660.23</v>
      </c>
      <c r="I37" s="18" t="n">
        <v>13859.8</v>
      </c>
      <c r="J37" s="18" t="n">
        <v>9339.83</v>
      </c>
      <c r="K37" s="37" t="n">
        <v>9339.83</v>
      </c>
      <c r="L37" s="18" t="n">
        <v>25628.69</v>
      </c>
      <c r="M37" s="18" t="n">
        <v>20488.69</v>
      </c>
      <c r="N37" s="18" t="n">
        <v>15762.65</v>
      </c>
      <c r="O37" s="18" t="n">
        <v>7658.55</v>
      </c>
      <c r="P37" s="37" t="n">
        <v>7658.55</v>
      </c>
      <c r="Q37" s="18" t="n">
        <v>14033.03</v>
      </c>
      <c r="R37" s="18" t="n">
        <v>10385.7</v>
      </c>
      <c r="S37" s="18" t="n">
        <v>19959.21</v>
      </c>
      <c r="T37" s="18" t="n">
        <v>11340.8</v>
      </c>
      <c r="U37" s="37" t="n">
        <v>11340.8</v>
      </c>
      <c r="V37" s="18" t="n">
        <v>34885.96</v>
      </c>
      <c r="W37" s="18" t="n">
        <v>32412.92</v>
      </c>
      <c r="X37" s="18" t="n">
        <v>29133.42</v>
      </c>
      <c r="Y37" s="18" t="n">
        <v>18217.85</v>
      </c>
      <c r="Z37" s="37" t="n">
        <v>18217.85</v>
      </c>
      <c r="AA37" s="18" t="n">
        <v>40542.82</v>
      </c>
      <c r="AB37" s="19" t="n">
        <v>32724.99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2575</v>
      </c>
      <c r="F38" s="37" t="n">
        <v>2575</v>
      </c>
      <c r="G38" s="18" t="n">
        <v>2575</v>
      </c>
      <c r="H38" s="18" t="n">
        <v>2575</v>
      </c>
      <c r="I38" s="18" t="n">
        <v>2575</v>
      </c>
      <c r="J38" s="18" t="n">
        <v>2575</v>
      </c>
      <c r="K38" s="37" t="n">
        <v>2575</v>
      </c>
      <c r="L38" s="18" t="n">
        <v>2575</v>
      </c>
      <c r="M38" s="18" t="n">
        <v>2575</v>
      </c>
      <c r="N38" s="18" t="n">
        <v>2575</v>
      </c>
      <c r="O38" s="18" t="n">
        <v>2575</v>
      </c>
      <c r="P38" s="37" t="n">
        <v>2575</v>
      </c>
      <c r="Q38" s="18" t="n">
        <v>2575</v>
      </c>
      <c r="R38" s="18" t="n">
        <v>2575</v>
      </c>
      <c r="S38" s="18" t="n">
        <v>2575</v>
      </c>
      <c r="T38" s="18" t="n">
        <v>2575</v>
      </c>
      <c r="U38" s="37" t="n">
        <v>2575</v>
      </c>
      <c r="V38" s="18" t="n">
        <v>2575</v>
      </c>
      <c r="W38" s="18" t="n">
        <v>2575</v>
      </c>
      <c r="X38" s="18" t="n">
        <v>2575</v>
      </c>
      <c r="Y38" s="18" t="n">
        <v>2575</v>
      </c>
      <c r="Z38" s="37" t="n">
        <v>2575</v>
      </c>
      <c r="AA38" s="18" t="n">
        <v>2575</v>
      </c>
      <c r="AB38" s="19" t="n">
        <v>2575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보통주자본금</t>
        </is>
      </c>
      <c r="E39" s="18" t="n">
        <v>2575</v>
      </c>
      <c r="F39" s="37" t="n">
        <v>2575</v>
      </c>
      <c r="G39" s="18" t="n">
        <v>2575</v>
      </c>
      <c r="H39" s="18" t="n">
        <v>2575</v>
      </c>
      <c r="I39" s="18" t="n">
        <v>2575</v>
      </c>
      <c r="J39" s="18" t="n">
        <v>2575</v>
      </c>
      <c r="K39" s="37" t="n">
        <v>2575</v>
      </c>
      <c r="L39" s="18" t="n">
        <v>2575</v>
      </c>
      <c r="M39" s="18" t="n">
        <v>2575</v>
      </c>
      <c r="N39" s="18" t="n">
        <v>2575</v>
      </c>
      <c r="O39" s="18" t="n">
        <v>2575</v>
      </c>
      <c r="P39" s="37" t="n">
        <v>2575</v>
      </c>
      <c r="Q39" s="18" t="n">
        <v>2575</v>
      </c>
      <c r="R39" s="18" t="n">
        <v>2575</v>
      </c>
      <c r="S39" s="18" t="n">
        <v>2575</v>
      </c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10207.77</v>
      </c>
      <c r="F40" s="37" t="n">
        <v>10207.77</v>
      </c>
      <c r="G40" s="18" t="n">
        <v>10207.77</v>
      </c>
      <c r="H40" s="18" t="n">
        <v>10207.77</v>
      </c>
      <c r="I40" s="18" t="n">
        <v>10207.77</v>
      </c>
      <c r="J40" s="18" t="n">
        <v>10203.49</v>
      </c>
      <c r="K40" s="37" t="n">
        <v>10203.49</v>
      </c>
      <c r="L40" s="18" t="n">
        <v>10203.49</v>
      </c>
      <c r="M40" s="18" t="n">
        <v>10203.49</v>
      </c>
      <c r="N40" s="18" t="n">
        <v>10203.49</v>
      </c>
      <c r="O40" s="18" t="n">
        <v>10203.49</v>
      </c>
      <c r="P40" s="37" t="n">
        <v>10203.49</v>
      </c>
      <c r="Q40" s="18" t="n">
        <v>10203.49</v>
      </c>
      <c r="R40" s="18" t="n">
        <v>10203.49</v>
      </c>
      <c r="S40" s="18" t="n">
        <v>10203.49</v>
      </c>
      <c r="T40" s="18" t="n">
        <v>6275.23</v>
      </c>
      <c r="U40" s="37" t="n">
        <v>6275.23</v>
      </c>
      <c r="V40" s="18" t="n">
        <v>6275.23</v>
      </c>
      <c r="W40" s="18" t="n">
        <v>6275.23</v>
      </c>
      <c r="X40" s="18" t="n">
        <v>6275.23</v>
      </c>
      <c r="Y40" s="18" t="n">
        <v>6275.23</v>
      </c>
      <c r="Z40" s="37" t="n">
        <v>6275.23</v>
      </c>
      <c r="AA40" s="18" t="n">
        <v>17819.44</v>
      </c>
      <c r="AB40" s="19" t="n">
        <v>17819.44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-321.99</v>
      </c>
      <c r="F41" s="37" t="n">
        <v>-321.99</v>
      </c>
      <c r="G41" s="18" t="n">
        <v>-321.99</v>
      </c>
      <c r="H41" s="18" t="n">
        <v>-321.99</v>
      </c>
      <c r="I41" s="18" t="n">
        <v>-321.99</v>
      </c>
      <c r="J41" s="18" t="n">
        <v>-4440.1</v>
      </c>
      <c r="K41" s="37" t="n">
        <v>-4440.1</v>
      </c>
      <c r="L41" s="18" t="n">
        <v>-4440.1</v>
      </c>
      <c r="M41" s="18" t="n">
        <v>-4440.1</v>
      </c>
      <c r="N41" s="18" t="n">
        <v>-4440.1</v>
      </c>
      <c r="O41" s="18" t="n">
        <v>-6423.58</v>
      </c>
      <c r="P41" s="37" t="n">
        <v>-6423.58</v>
      </c>
      <c r="Q41" s="18" t="n">
        <v>-6423.58</v>
      </c>
      <c r="R41" s="18" t="n">
        <v>-6423.58</v>
      </c>
      <c r="S41" s="18" t="n">
        <v>-6423.58</v>
      </c>
      <c r="T41" s="18" t="n">
        <v>-13333.41</v>
      </c>
      <c r="U41" s="37" t="n">
        <v>-13333.41</v>
      </c>
      <c r="V41" s="18" t="n">
        <v>-13333.41</v>
      </c>
      <c r="W41" s="18" t="n">
        <v>-13333.41</v>
      </c>
      <c r="X41" s="18" t="n">
        <v>-13333.41</v>
      </c>
      <c r="Y41" s="18" t="n">
        <v>-13333.41</v>
      </c>
      <c r="Z41" s="37" t="n">
        <v>-13333.41</v>
      </c>
      <c r="AA41" s="18" t="n">
        <v>-2461.31</v>
      </c>
      <c r="AB41" s="19" t="n">
        <v>-2461.31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-14.97</v>
      </c>
      <c r="F42" s="37" t="n">
        <v>-14.97</v>
      </c>
      <c r="G42" s="18" t="n">
        <v>-14.34</v>
      </c>
      <c r="H42" s="18" t="n">
        <v>-13.78</v>
      </c>
      <c r="I42" s="18" t="n">
        <v>-12.13</v>
      </c>
      <c r="J42" s="18" t="n">
        <v>-10.45</v>
      </c>
      <c r="K42" s="37" t="n">
        <v>-10.45</v>
      </c>
      <c r="L42" s="18" t="n">
        <v>-13.33</v>
      </c>
      <c r="M42" s="18" t="n">
        <v>-13.74</v>
      </c>
      <c r="N42" s="18" t="n">
        <v>-12.42</v>
      </c>
      <c r="O42" s="18" t="n">
        <v>-12.19</v>
      </c>
      <c r="P42" s="37" t="n">
        <v>-12.19</v>
      </c>
      <c r="Q42" s="18" t="n">
        <v>-9.69</v>
      </c>
      <c r="R42" s="18" t="n">
        <v>-11.7</v>
      </c>
      <c r="S42" s="18" t="n">
        <v>-3.85</v>
      </c>
      <c r="T42" s="18" t="n">
        <v>-4.54</v>
      </c>
      <c r="U42" s="37" t="n">
        <v>-4.54</v>
      </c>
      <c r="V42" s="18" t="n">
        <v>-6.81</v>
      </c>
      <c r="W42" s="18" t="n">
        <v>3.27</v>
      </c>
      <c r="X42" s="18" t="n">
        <v>5.5</v>
      </c>
      <c r="Y42" s="18" t="n">
        <v>8.6</v>
      </c>
      <c r="Z42" s="37" t="n">
        <v>8.6</v>
      </c>
      <c r="AA42" s="18" t="n">
        <v>14.99</v>
      </c>
      <c r="AB42" s="19" t="n">
        <v>18.92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76506.16</v>
      </c>
      <c r="F43" s="37" t="n">
        <v>76506.16</v>
      </c>
      <c r="G43" s="18" t="n">
        <v>74524.17</v>
      </c>
      <c r="H43" s="18" t="n">
        <v>74824.91</v>
      </c>
      <c r="I43" s="18" t="n">
        <v>81769.02</v>
      </c>
      <c r="J43" s="18" t="n">
        <v>81562.38</v>
      </c>
      <c r="K43" s="37" t="n">
        <v>81562.38</v>
      </c>
      <c r="L43" s="18" t="n">
        <v>77979.19</v>
      </c>
      <c r="M43" s="18" t="n">
        <v>82162.35000000001</v>
      </c>
      <c r="N43" s="18" t="n">
        <v>84261.27</v>
      </c>
      <c r="O43" s="18" t="n">
        <v>132526.94</v>
      </c>
      <c r="P43" s="37" t="n">
        <v>132526.94</v>
      </c>
      <c r="Q43" s="18" t="n">
        <v>131469.68</v>
      </c>
      <c r="R43" s="18" t="n">
        <v>136401.92</v>
      </c>
      <c r="S43" s="18" t="n">
        <v>134068.92</v>
      </c>
      <c r="T43" s="18" t="n">
        <v>90887.33</v>
      </c>
      <c r="U43" s="37" t="n">
        <v>90887.33</v>
      </c>
      <c r="V43" s="18" t="n">
        <v>90203.8</v>
      </c>
      <c r="W43" s="18" t="n">
        <v>90800.67</v>
      </c>
      <c r="X43" s="18" t="n">
        <v>89768.98</v>
      </c>
      <c r="Y43" s="18" t="n">
        <v>85291.42999999999</v>
      </c>
      <c r="Z43" s="37" t="n">
        <v>85291.42999999999</v>
      </c>
      <c r="AA43" s="18" t="n">
        <v>80338.3</v>
      </c>
      <c r="AB43" s="19" t="n">
        <v>85798.16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자본총계</t>
        </is>
      </c>
      <c r="E44" s="18" t="n">
        <v>84052.3</v>
      </c>
      <c r="F44" s="37" t="n">
        <v>84052.3</v>
      </c>
      <c r="G44" s="18" t="n">
        <v>82070.95</v>
      </c>
      <c r="H44" s="18" t="n">
        <v>82372.24000000001</v>
      </c>
      <c r="I44" s="18" t="n">
        <v>89318</v>
      </c>
      <c r="J44" s="18" t="n">
        <v>87051.85000000001</v>
      </c>
      <c r="K44" s="37" t="n">
        <v>87051.85000000001</v>
      </c>
      <c r="L44" s="18" t="n">
        <v>83465.78999999999</v>
      </c>
      <c r="M44" s="18" t="n">
        <v>87648.53</v>
      </c>
      <c r="N44" s="18" t="n">
        <v>89748.77</v>
      </c>
      <c r="O44" s="18" t="n">
        <v>90893.72</v>
      </c>
      <c r="P44" s="37" t="n">
        <v>90893.72</v>
      </c>
      <c r="Q44" s="18" t="n">
        <v>90367.58</v>
      </c>
      <c r="R44" s="18" t="n">
        <v>92831.7</v>
      </c>
      <c r="S44" s="18" t="n">
        <v>91673.03999999999</v>
      </c>
      <c r="T44" s="18" t="n">
        <v>86399.62</v>
      </c>
      <c r="U44" s="37" t="n">
        <v>86399.62</v>
      </c>
      <c r="V44" s="18" t="n">
        <v>85713.82000000001</v>
      </c>
      <c r="W44" s="18" t="n">
        <v>86320.75999999999</v>
      </c>
      <c r="X44" s="18" t="n">
        <v>85291.31</v>
      </c>
      <c r="Y44" s="18" t="n">
        <v>80816.86</v>
      </c>
      <c r="Z44" s="37" t="n">
        <v>80816.86</v>
      </c>
      <c r="AA44" s="18" t="n">
        <v>98286.42</v>
      </c>
      <c r="AB44" s="19" t="n">
        <v>103750.21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부채와자본총계</t>
        </is>
      </c>
      <c r="E45" s="18" t="n">
        <v>97717.3</v>
      </c>
      <c r="F45" s="37" t="n">
        <v>97717.3</v>
      </c>
      <c r="G45" s="18" t="n">
        <v>104209.87</v>
      </c>
      <c r="H45" s="18" t="n">
        <v>102032.47</v>
      </c>
      <c r="I45" s="18" t="n">
        <v>103177.8</v>
      </c>
      <c r="J45" s="18" t="n">
        <v>96391.67999999999</v>
      </c>
      <c r="K45" s="37" t="n">
        <v>96391.67999999999</v>
      </c>
      <c r="L45" s="18" t="n">
        <v>109094.48</v>
      </c>
      <c r="M45" s="18" t="n">
        <v>108137.21</v>
      </c>
      <c r="N45" s="18" t="n">
        <v>105511.42</v>
      </c>
      <c r="O45" s="18" t="n">
        <v>98552.27</v>
      </c>
      <c r="P45" s="37" t="n">
        <v>98552.27</v>
      </c>
      <c r="Q45" s="18" t="n">
        <v>104400.61</v>
      </c>
      <c r="R45" s="18" t="n">
        <v>103217.4</v>
      </c>
      <c r="S45" s="18" t="n">
        <v>111632.26</v>
      </c>
      <c r="T45" s="18" t="n">
        <v>97740.42</v>
      </c>
      <c r="U45" s="37" t="n">
        <v>97740.42</v>
      </c>
      <c r="V45" s="18" t="n">
        <v>120599.78</v>
      </c>
      <c r="W45" s="18" t="n">
        <v>118733.68</v>
      </c>
      <c r="X45" s="18" t="n">
        <v>114424.73</v>
      </c>
      <c r="Y45" s="18" t="n">
        <v>99034.71000000001</v>
      </c>
      <c r="Z45" s="37" t="n">
        <v>99034.71000000001</v>
      </c>
      <c r="AA45" s="18" t="n">
        <v>138829.24</v>
      </c>
      <c r="AB45" s="19" t="n">
        <v>136475.19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18" t="n">
        <v>84052.3</v>
      </c>
      <c r="F46" s="37" t="n">
        <v>84052.3</v>
      </c>
      <c r="G46" s="18" t="n">
        <v>82070.95</v>
      </c>
      <c r="H46" s="18" t="n">
        <v>82372.24000000001</v>
      </c>
      <c r="I46" s="18" t="n">
        <v>89318</v>
      </c>
      <c r="J46" s="18" t="n">
        <v>87051.85000000001</v>
      </c>
      <c r="K46" s="37" t="n">
        <v>87051.85000000001</v>
      </c>
      <c r="L46" s="18" t="n">
        <v>83465.78999999999</v>
      </c>
      <c r="M46" s="18" t="n">
        <v>87648.53</v>
      </c>
      <c r="N46" s="18" t="n">
        <v>89748.77</v>
      </c>
      <c r="O46" s="18" t="n">
        <v>90893.72</v>
      </c>
      <c r="P46" s="37" t="n">
        <v>90893.72</v>
      </c>
      <c r="Q46" s="18" t="n">
        <v>90367.58</v>
      </c>
      <c r="R46" s="18" t="n">
        <v>92831.7</v>
      </c>
      <c r="S46" s="18" t="n">
        <v>91673.03999999999</v>
      </c>
      <c r="T46" s="18" t="n">
        <v>86399.62</v>
      </c>
      <c r="U46" s="37" t="n">
        <v>86399.62</v>
      </c>
      <c r="V46" s="18" t="n">
        <v>85713.82000000001</v>
      </c>
      <c r="W46" s="18" t="n">
        <v>86320.75999999999</v>
      </c>
      <c r="X46" s="18" t="n">
        <v>85291.31</v>
      </c>
      <c r="Y46" s="18" t="n">
        <v>80816.86</v>
      </c>
      <c r="Z46" s="37" t="n">
        <v>80816.86</v>
      </c>
      <c r="AA46" s="18" t="n">
        <v>98286.42</v>
      </c>
      <c r="AB46" s="19" t="n">
        <v>103750.21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22073.9</v>
      </c>
      <c r="F47" s="37" t="n">
        <v>22073.9</v>
      </c>
      <c r="G47" s="18" t="n">
        <v>29475.48</v>
      </c>
      <c r="H47" s="18" t="n">
        <v>38175.11</v>
      </c>
      <c r="I47" s="18" t="n">
        <v>50558.47</v>
      </c>
      <c r="J47" s="18" t="n">
        <v>43991.91</v>
      </c>
      <c r="K47" s="37" t="n">
        <v>43991.91</v>
      </c>
      <c r="L47" s="18" t="n">
        <v>51629.68</v>
      </c>
      <c r="M47" s="18" t="n">
        <v>38213.65</v>
      </c>
      <c r="N47" s="18" t="n">
        <v>45450.28</v>
      </c>
      <c r="O47" s="18" t="n">
        <v>39585.5</v>
      </c>
      <c r="P47" s="37" t="n">
        <v>39585.5</v>
      </c>
      <c r="Q47" s="18" t="n">
        <v>46402.48</v>
      </c>
      <c r="R47" s="18" t="n">
        <v>44524.41</v>
      </c>
      <c r="S47" s="18" t="n">
        <v>49034.25</v>
      </c>
      <c r="T47" s="18" t="n">
        <v>34470.44</v>
      </c>
      <c r="U47" s="37" t="n">
        <v>34470.44</v>
      </c>
      <c r="V47" s="18" t="n">
        <v>58036.38</v>
      </c>
      <c r="W47" s="18" t="n">
        <v>42721.13</v>
      </c>
      <c r="X47" s="18" t="n">
        <v>56023.5</v>
      </c>
      <c r="Y47" s="18" t="n">
        <v>31149.64</v>
      </c>
      <c r="Z47" s="37" t="n">
        <v>31149.64</v>
      </c>
      <c r="AA47" s="18" t="n">
        <v>64475.3</v>
      </c>
      <c r="AB47" s="19" t="n">
        <v>72486.59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기타유동자산</t>
        </is>
      </c>
      <c r="F48" s="9" t="n"/>
      <c r="G48" s="18" t="n">
        <v>533.3200000000001</v>
      </c>
      <c r="H48" s="18" t="n">
        <v>590</v>
      </c>
      <c r="I48" s="18" t="n">
        <v>439.7</v>
      </c>
      <c r="K48" s="9" t="n"/>
      <c r="L48" s="18" t="n">
        <v>1076.86</v>
      </c>
      <c r="M48" s="18" t="n">
        <v>256.46</v>
      </c>
      <c r="N48" s="18" t="n">
        <v>47.37</v>
      </c>
      <c r="P48" s="9" t="n"/>
      <c r="Q48" s="18" t="n">
        <v>654.78</v>
      </c>
      <c r="R48" s="18" t="n">
        <v>915.13</v>
      </c>
      <c r="S48" s="18" t="n">
        <v>924.91</v>
      </c>
      <c r="T48" s="18" t="n">
        <v>3271.43</v>
      </c>
      <c r="U48" s="37" t="n">
        <v>3271.43</v>
      </c>
      <c r="V48" s="18" t="n">
        <v>1635.82</v>
      </c>
      <c r="W48" s="18" t="n">
        <v>1042.13</v>
      </c>
      <c r="X48" s="18" t="n">
        <v>728.8200000000001</v>
      </c>
      <c r="Y48" s="18" t="n">
        <v>686.8200000000001</v>
      </c>
      <c r="Z48" s="37" t="n">
        <v>686.8200000000001</v>
      </c>
      <c r="AA48" s="18" t="n">
        <v>568.78</v>
      </c>
      <c r="AB48" s="19" t="n">
        <v>574.5599999999999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선급금</t>
        </is>
      </c>
      <c r="F49" s="9" t="n"/>
      <c r="G49" s="18" t="n">
        <v>218.35</v>
      </c>
      <c r="H49" s="18" t="n">
        <v>238.12</v>
      </c>
      <c r="I49" s="18" t="n">
        <v>181.93</v>
      </c>
      <c r="K49" s="9" t="n"/>
      <c r="L49" s="18" t="n">
        <v>519.91</v>
      </c>
      <c r="M49" s="18" t="n">
        <v>111.75</v>
      </c>
      <c r="N49" s="18" t="n">
        <v>32.83</v>
      </c>
      <c r="P49" s="9" t="n"/>
      <c r="Q49" s="18" t="n">
        <v>61.5</v>
      </c>
      <c r="R49" s="18" t="n">
        <v>237.5</v>
      </c>
      <c r="S49" s="18" t="n">
        <v>234.54</v>
      </c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선급금등</t>
        </is>
      </c>
      <c r="F50" s="9" t="n"/>
      <c r="G50" s="18" t="n">
        <v>218.35</v>
      </c>
      <c r="H50" s="18" t="n">
        <v>238.12</v>
      </c>
      <c r="I50" s="18" t="n">
        <v>181.93</v>
      </c>
      <c r="K50" s="9" t="n"/>
      <c r="L50" s="18" t="n">
        <v>519.91</v>
      </c>
      <c r="M50" s="18" t="n">
        <v>111.75</v>
      </c>
      <c r="N50" s="18" t="n">
        <v>32.83</v>
      </c>
      <c r="P50" s="9" t="n"/>
      <c r="Q50" s="18" t="n">
        <v>61.5</v>
      </c>
      <c r="R50" s="18" t="n">
        <v>237.5</v>
      </c>
      <c r="S50" s="18" t="n">
        <v>234.54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이연법인세자산</t>
        </is>
      </c>
      <c r="F51" s="9" t="n"/>
      <c r="G51" s="18" t="n">
        <v>425.47</v>
      </c>
      <c r="H51" s="18" t="n">
        <v>833.4</v>
      </c>
      <c r="I51" s="18" t="n">
        <v>857.79</v>
      </c>
      <c r="J51" s="18" t="n">
        <v>1147.96</v>
      </c>
      <c r="K51" s="37" t="n">
        <v>1147.96</v>
      </c>
      <c r="L51" s="18" t="n">
        <v>1301.75</v>
      </c>
      <c r="M51" s="18" t="n">
        <v>1099.78</v>
      </c>
      <c r="N51" s="18" t="n">
        <v>1144.53</v>
      </c>
      <c r="O51" s="18" t="n">
        <v>1079.87</v>
      </c>
      <c r="P51" s="37" t="n">
        <v>1079.87</v>
      </c>
      <c r="Q51" s="18" t="n">
        <v>709.86</v>
      </c>
      <c r="R51" s="18" t="n">
        <v>560.29</v>
      </c>
      <c r="S51" s="18" t="n">
        <v>638.5</v>
      </c>
      <c r="T51" s="18" t="n">
        <v>176.58</v>
      </c>
      <c r="U51" s="37" t="n">
        <v>176.58</v>
      </c>
      <c r="V51" s="18" t="n">
        <v>296.16</v>
      </c>
      <c r="W51" s="18" t="n">
        <v>862.42</v>
      </c>
      <c r="X51" s="18" t="n">
        <v>494.5</v>
      </c>
      <c r="Y51" s="18" t="n">
        <v>374.92</v>
      </c>
      <c r="Z51" s="37" t="n">
        <v>374.92</v>
      </c>
      <c r="AA51" s="18" t="n">
        <v>1107.97</v>
      </c>
      <c r="AB51" s="19" t="n">
        <v>1155.26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선수금</t>
        </is>
      </c>
      <c r="F52" s="9" t="n"/>
      <c r="G52" s="18" t="n">
        <v>472.47</v>
      </c>
      <c r="K52" s="9" t="n"/>
      <c r="P52" s="9" t="n"/>
      <c r="Q52" s="18" t="n">
        <v>274.46</v>
      </c>
      <c r="R52" s="18" t="n">
        <v>273.01</v>
      </c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기타유동부채</t>
        </is>
      </c>
      <c r="F53" s="9" t="n"/>
      <c r="G53" s="18" t="n">
        <v>472.47</v>
      </c>
      <c r="K53" s="9" t="n"/>
      <c r="P53" s="9" t="n"/>
      <c r="Q53" s="18" t="n">
        <v>274.46</v>
      </c>
      <c r="R53" s="18" t="n">
        <v>273.01</v>
      </c>
      <c r="T53" s="18" t="n">
        <v>9675.860000000001</v>
      </c>
      <c r="U53" s="37" t="n">
        <v>9675.860000000001</v>
      </c>
      <c r="V53" s="18" t="n">
        <v>17480.17</v>
      </c>
      <c r="W53" s="18" t="n">
        <v>15805.59</v>
      </c>
      <c r="X53" s="18" t="n">
        <v>17876.68</v>
      </c>
      <c r="Y53" s="18" t="n">
        <v>13290.92</v>
      </c>
      <c r="Z53" s="37" t="n">
        <v>13290.92</v>
      </c>
      <c r="AA53" s="18" t="n">
        <v>21421.02</v>
      </c>
      <c r="AB53" s="19" t="n">
        <v>14284.11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확정급여부채</t>
        </is>
      </c>
      <c r="F54" s="9" t="n"/>
      <c r="K54" s="9" t="n"/>
      <c r="M54" s="18" t="n">
        <v>6.49</v>
      </c>
      <c r="N54" s="18" t="n">
        <v>79.43000000000001</v>
      </c>
      <c r="O54" s="18" t="n">
        <v>481.18</v>
      </c>
      <c r="P54" s="37" t="n">
        <v>481.18</v>
      </c>
      <c r="Q54" s="18" t="n">
        <v>4551.01</v>
      </c>
      <c r="R54" s="18" t="n">
        <v>4764.29</v>
      </c>
      <c r="S54" s="18" t="n">
        <v>4866.43</v>
      </c>
      <c r="U54" s="9" t="n"/>
      <c r="X54" s="18" t="n">
        <v>39.47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단기금융자산</t>
        </is>
      </c>
      <c r="F55" s="9" t="n"/>
      <c r="K55" s="9" t="n"/>
      <c r="P55" s="9" t="n"/>
      <c r="U55" s="9" t="n"/>
      <c r="Z55" s="9" t="n"/>
      <c r="AA55" s="18" t="n">
        <v>9955.459999999999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장기파생상품부채</t>
        </is>
      </c>
      <c r="F56" s="9" t="n"/>
      <c r="K56" s="9" t="n"/>
      <c r="P56" s="9" t="n"/>
      <c r="U56" s="9" t="n"/>
      <c r="Z56" s="9" t="n"/>
      <c r="AA56" s="18" t="n">
        <v>4398.85</v>
      </c>
      <c r="AB56" s="19" t="n">
        <v>3051.45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21650.04</v>
      </c>
      <c r="F57" s="9" t="n"/>
      <c r="G57" s="18" t="n">
        <v>16225.75</v>
      </c>
      <c r="H57" s="18" t="n">
        <v>8406.219999999999</v>
      </c>
      <c r="I57" s="18" t="n">
        <v>10825.7</v>
      </c>
      <c r="J57" s="18" t="n">
        <v>11268.65</v>
      </c>
      <c r="K57" s="37" t="n">
        <v>46726.32</v>
      </c>
      <c r="L57" s="18" t="n">
        <v>9778.559999999999</v>
      </c>
      <c r="M57" s="18" t="n">
        <v>18529.86</v>
      </c>
      <c r="N57" s="18" t="n">
        <v>13481.89</v>
      </c>
      <c r="O57" s="18" t="n">
        <v>11855.75</v>
      </c>
      <c r="P57" s="37" t="n">
        <v>53646.06</v>
      </c>
      <c r="Q57" s="18" t="n">
        <v>5796.88</v>
      </c>
      <c r="R57" s="18" t="n">
        <v>8058.11</v>
      </c>
      <c r="S57" s="18" t="n">
        <v>10765.81</v>
      </c>
      <c r="T57" s="18" t="n">
        <v>11639.52</v>
      </c>
      <c r="U57" s="37" t="n">
        <v>36260.32</v>
      </c>
      <c r="V57" s="18" t="n">
        <v>31789.4</v>
      </c>
      <c r="W57" s="18" t="n">
        <v>28745.86</v>
      </c>
      <c r="X57" s="18" t="n">
        <v>29113.37</v>
      </c>
      <c r="Y57" s="18" t="n">
        <v>18482.87</v>
      </c>
      <c r="Z57" s="37" t="n">
        <v>108131.5</v>
      </c>
      <c r="AA57" s="18" t="n">
        <v>20370.73</v>
      </c>
      <c r="AB57" s="19" t="n">
        <v>21504.99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8361.450000000001</v>
      </c>
      <c r="F58" s="9" t="n"/>
      <c r="G58" s="18" t="n">
        <v>9758.27</v>
      </c>
      <c r="H58" s="18" t="n">
        <v>6226.72</v>
      </c>
      <c r="I58" s="18" t="n">
        <v>4299.53</v>
      </c>
      <c r="J58" s="18" t="n">
        <v>4713.79</v>
      </c>
      <c r="K58" s="37" t="n">
        <v>24998.31</v>
      </c>
      <c r="L58" s="18" t="n">
        <v>5783.36</v>
      </c>
      <c r="M58" s="18" t="n">
        <v>11551.75</v>
      </c>
      <c r="N58" s="18" t="n">
        <v>7746.34</v>
      </c>
      <c r="O58" s="18" t="n">
        <v>5409.54</v>
      </c>
      <c r="P58" s="37" t="n">
        <v>30490.99</v>
      </c>
      <c r="Q58" s="18" t="n">
        <v>2958.1</v>
      </c>
      <c r="R58" s="18" t="n">
        <v>3886.31</v>
      </c>
      <c r="S58" s="18" t="n">
        <v>6312.47</v>
      </c>
      <c r="T58" s="18" t="n">
        <v>8562.049999999999</v>
      </c>
      <c r="U58" s="37" t="n">
        <v>21718.93</v>
      </c>
      <c r="V58" s="18" t="n">
        <v>20328.68</v>
      </c>
      <c r="W58" s="18" t="n">
        <v>19742.04</v>
      </c>
      <c r="X58" s="18" t="n">
        <v>18737.09</v>
      </c>
      <c r="Y58" s="18" t="n">
        <v>11227.15</v>
      </c>
      <c r="Z58" s="37" t="n">
        <v>70034.96000000001</v>
      </c>
      <c r="AA58" s="18" t="n">
        <v>10529.8</v>
      </c>
      <c r="AB58" s="19" t="n">
        <v>13032.11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13288.59</v>
      </c>
      <c r="F59" s="9" t="n"/>
      <c r="G59" s="18" t="n">
        <v>6467.48</v>
      </c>
      <c r="H59" s="18" t="n">
        <v>2179.5</v>
      </c>
      <c r="I59" s="18" t="n">
        <v>6526.16</v>
      </c>
      <c r="J59" s="18" t="n">
        <v>6554.86</v>
      </c>
      <c r="K59" s="37" t="n">
        <v>21728</v>
      </c>
      <c r="L59" s="18" t="n">
        <v>3995.2</v>
      </c>
      <c r="M59" s="18" t="n">
        <v>6978.11</v>
      </c>
      <c r="N59" s="18" t="n">
        <v>5735.55</v>
      </c>
      <c r="O59" s="18" t="n">
        <v>6446.23</v>
      </c>
      <c r="P59" s="37" t="n">
        <v>23155.09</v>
      </c>
      <c r="Q59" s="18" t="n">
        <v>2838.78</v>
      </c>
      <c r="R59" s="18" t="n">
        <v>4171.8</v>
      </c>
      <c r="S59" s="18" t="n">
        <v>4453.34</v>
      </c>
      <c r="T59" s="18" t="n">
        <v>3077.47</v>
      </c>
      <c r="U59" s="37" t="n">
        <v>14541.39</v>
      </c>
      <c r="V59" s="18" t="n">
        <v>11460.72</v>
      </c>
      <c r="W59" s="18" t="n">
        <v>9003.82</v>
      </c>
      <c r="X59" s="18" t="n">
        <v>10376.28</v>
      </c>
      <c r="Y59" s="18" t="n">
        <v>7255.72</v>
      </c>
      <c r="Z59" s="37" t="n">
        <v>38096.54</v>
      </c>
      <c r="AA59" s="18" t="n">
        <v>9840.93</v>
      </c>
      <c r="AB59" s="19" t="n">
        <v>8472.870000000001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4241.61</v>
      </c>
      <c r="F60" s="9" t="n"/>
      <c r="G60" s="18" t="n">
        <v>1161.44</v>
      </c>
      <c r="H60" s="18" t="n">
        <v>3093.34</v>
      </c>
      <c r="I60" s="18" t="n">
        <v>1573.92</v>
      </c>
      <c r="J60" s="18" t="n">
        <v>4610.65</v>
      </c>
      <c r="K60" s="37" t="n">
        <v>10439.35</v>
      </c>
      <c r="L60" s="18" t="n">
        <v>1401.72</v>
      </c>
      <c r="M60" s="18" t="n">
        <v>3480.79</v>
      </c>
      <c r="N60" s="18" t="n">
        <v>1219.86</v>
      </c>
      <c r="O60" s="18" t="n">
        <v>3839.36</v>
      </c>
      <c r="P60" s="37" t="n">
        <v>9941.73</v>
      </c>
      <c r="Q60" s="18" t="n">
        <v>1459.24</v>
      </c>
      <c r="R60" s="18" t="n">
        <v>3273.48</v>
      </c>
      <c r="S60" s="18" t="n">
        <v>2545.09</v>
      </c>
      <c r="T60" s="18" t="n">
        <v>4624.57</v>
      </c>
      <c r="U60" s="37" t="n">
        <v>11902.38</v>
      </c>
      <c r="V60" s="18" t="n">
        <v>1149.87</v>
      </c>
      <c r="W60" s="18" t="n">
        <v>3584.03</v>
      </c>
      <c r="X60" s="18" t="n">
        <v>3632.24</v>
      </c>
      <c r="Y60" s="18" t="n">
        <v>3020.69</v>
      </c>
      <c r="Z60" s="37" t="n">
        <v>11386.83</v>
      </c>
      <c r="AA60" s="18" t="n">
        <v>2614.19</v>
      </c>
      <c r="AB60" s="19" t="n">
        <v>3803.39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9046.98</v>
      </c>
      <c r="F61" s="9" t="n"/>
      <c r="G61" s="18" t="n">
        <v>5306.03</v>
      </c>
      <c r="H61" s="18" t="n">
        <v>-913.84</v>
      </c>
      <c r="I61" s="18" t="n">
        <v>4952.24</v>
      </c>
      <c r="J61" s="18" t="n">
        <v>1944.2</v>
      </c>
      <c r="K61" s="37" t="n">
        <v>11288.63</v>
      </c>
      <c r="L61" s="18" t="n">
        <v>2593.48</v>
      </c>
      <c r="M61" s="18" t="n">
        <v>3497.32</v>
      </c>
      <c r="N61" s="18" t="n">
        <v>4515.69</v>
      </c>
      <c r="O61" s="18" t="n">
        <v>2606.87</v>
      </c>
      <c r="P61" s="37" t="n">
        <v>13213.36</v>
      </c>
      <c r="Q61" s="18" t="n">
        <v>1379.54</v>
      </c>
      <c r="R61" s="18" t="n">
        <v>898.3099999999999</v>
      </c>
      <c r="S61" s="18" t="n">
        <v>1908.25</v>
      </c>
      <c r="T61" s="18" t="n">
        <v>-1547.1</v>
      </c>
      <c r="U61" s="37" t="n">
        <v>2639</v>
      </c>
      <c r="V61" s="18" t="n">
        <v>10310.85</v>
      </c>
      <c r="W61" s="18" t="n">
        <v>5419.79</v>
      </c>
      <c r="X61" s="18" t="n">
        <v>6744.04</v>
      </c>
      <c r="Y61" s="18" t="n">
        <v>4235.01</v>
      </c>
      <c r="Z61" s="37" t="n">
        <v>26709.69</v>
      </c>
      <c r="AA61" s="18" t="n">
        <v>7226.74</v>
      </c>
      <c r="AB61" s="19" t="n">
        <v>4669.48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287.89</v>
      </c>
      <c r="F62" s="9" t="n"/>
      <c r="G62" s="18" t="n">
        <v>90.37</v>
      </c>
      <c r="H62" s="18" t="n">
        <v>395.03</v>
      </c>
      <c r="I62" s="18" t="n">
        <v>607.12</v>
      </c>
      <c r="J62" s="18" t="n">
        <v>1107.66</v>
      </c>
      <c r="K62" s="37" t="n">
        <v>2200.18</v>
      </c>
      <c r="L62" s="18" t="n">
        <v>94.79000000000001</v>
      </c>
      <c r="M62" s="18" t="n">
        <v>354.65</v>
      </c>
      <c r="N62" s="18" t="n">
        <v>120.48</v>
      </c>
      <c r="O62" s="18" t="n">
        <v>881.36</v>
      </c>
      <c r="P62" s="37" t="n">
        <v>1451.28</v>
      </c>
      <c r="Q62" s="18" t="n">
        <v>50.12</v>
      </c>
      <c r="R62" s="18" t="n">
        <v>689.96</v>
      </c>
      <c r="S62" s="18" t="n">
        <v>288.18</v>
      </c>
      <c r="T62" s="18" t="n">
        <v>361.68</v>
      </c>
      <c r="U62" s="37" t="n">
        <v>1389.94</v>
      </c>
      <c r="V62" s="18" t="n">
        <v>1.92</v>
      </c>
      <c r="W62" s="18" t="n">
        <v>29.84</v>
      </c>
      <c r="X62" s="18" t="n">
        <v>40.01</v>
      </c>
      <c r="Y62" s="18" t="n">
        <v>6.14</v>
      </c>
      <c r="Z62" s="37" t="n">
        <v>77.91</v>
      </c>
      <c r="AA62" s="18" t="n">
        <v>18</v>
      </c>
      <c r="AB62" s="19" t="n">
        <v>13.54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3.05</v>
      </c>
      <c r="F63" s="9" t="n"/>
      <c r="G63" s="18" t="n">
        <v>0.87</v>
      </c>
      <c r="H63" s="18" t="n">
        <v>0.87</v>
      </c>
      <c r="I63" s="18" t="n">
        <v>0.53</v>
      </c>
      <c r="J63" s="18" t="n">
        <v>0.75</v>
      </c>
      <c r="K63" s="37" t="n">
        <v>3.02</v>
      </c>
      <c r="L63" s="18" t="n">
        <v>1.28</v>
      </c>
      <c r="M63" s="18" t="n">
        <v>3.04</v>
      </c>
      <c r="N63" s="18" t="n">
        <v>32.79</v>
      </c>
      <c r="O63" s="18" t="n">
        <v>1.98</v>
      </c>
      <c r="P63" s="37" t="n">
        <v>39.09</v>
      </c>
      <c r="Q63" s="18" t="n">
        <v>0.45</v>
      </c>
      <c r="R63" s="18" t="n">
        <v>93.59</v>
      </c>
      <c r="S63" s="18" t="n">
        <v>0.45</v>
      </c>
      <c r="T63" s="18" t="n">
        <v>0.8100000000000001</v>
      </c>
      <c r="U63" s="37" t="n">
        <v>95.3</v>
      </c>
      <c r="V63" s="18" t="n">
        <v>0.51</v>
      </c>
      <c r="W63" s="18" t="n">
        <v>3.94</v>
      </c>
      <c r="X63" s="18" t="n">
        <v>11.25</v>
      </c>
      <c r="Y63" s="18" t="n">
        <v>0.51</v>
      </c>
      <c r="Z63" s="37" t="n">
        <v>16.21</v>
      </c>
      <c r="AA63" s="18" t="n">
        <v>2.45</v>
      </c>
      <c r="AB63" s="19" t="n">
        <v>5.48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E64" s="18" t="n">
        <v>362.35</v>
      </c>
      <c r="F64" s="9" t="n"/>
      <c r="G64" s="18" t="n">
        <v>914.0700000000001</v>
      </c>
      <c r="H64" s="18" t="n">
        <v>2291.63</v>
      </c>
      <c r="I64" s="18" t="n">
        <v>3350.51</v>
      </c>
      <c r="J64" s="18" t="n">
        <v>-985.36</v>
      </c>
      <c r="K64" s="37" t="n">
        <v>5570.85</v>
      </c>
      <c r="L64" s="18" t="n">
        <v>3148.24</v>
      </c>
      <c r="M64" s="18" t="n">
        <v>1408.06</v>
      </c>
      <c r="N64" s="18" t="n">
        <v>1676.75</v>
      </c>
      <c r="O64" s="18" t="n">
        <v>841.3099999999999</v>
      </c>
      <c r="P64" s="37" t="n">
        <v>7074.36</v>
      </c>
      <c r="Q64" s="18" t="n">
        <v>4385.12</v>
      </c>
      <c r="R64" s="18" t="n">
        <v>1708.06</v>
      </c>
      <c r="S64" s="18" t="n">
        <v>261.86</v>
      </c>
      <c r="T64" s="18" t="n">
        <v>5458.78</v>
      </c>
      <c r="U64" s="37" t="n">
        <v>11813.82</v>
      </c>
      <c r="V64" s="18" t="n">
        <v>1666.56</v>
      </c>
      <c r="W64" s="18" t="n">
        <v>258.59</v>
      </c>
      <c r="X64" s="18" t="n">
        <v>849.17</v>
      </c>
      <c r="Y64" s="18" t="n">
        <v>596.55</v>
      </c>
      <c r="Z64" s="37" t="n">
        <v>3370.87</v>
      </c>
      <c r="AA64" s="18" t="n">
        <v>2625.29</v>
      </c>
      <c r="AB64" s="19" t="n">
        <v>1569.06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이자수익</t>
        </is>
      </c>
      <c r="E65" s="18" t="n">
        <v>178.28</v>
      </c>
      <c r="F65" s="9" t="n"/>
      <c r="G65" s="18" t="n">
        <v>425.9</v>
      </c>
      <c r="H65" s="18" t="n">
        <v>141.47</v>
      </c>
      <c r="I65" s="18" t="n">
        <v>505.65</v>
      </c>
      <c r="J65" s="18" t="n">
        <v>134.03</v>
      </c>
      <c r="K65" s="37" t="n">
        <v>1207.05</v>
      </c>
      <c r="L65" s="18" t="n">
        <v>694.54</v>
      </c>
      <c r="M65" s="18" t="n">
        <v>193.18</v>
      </c>
      <c r="P65" s="9" t="n"/>
      <c r="Q65" s="18" t="n">
        <v>569.48</v>
      </c>
      <c r="U65" s="9" t="n"/>
      <c r="Z65" s="9" t="n"/>
      <c r="AB65" s="5" t="n"/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625.66</v>
      </c>
      <c r="F66" s="9" t="n"/>
      <c r="G66" s="18" t="n">
        <v>2349.49</v>
      </c>
      <c r="H66" s="18" t="n">
        <v>1382.06</v>
      </c>
      <c r="I66" s="18" t="n">
        <v>6.63</v>
      </c>
      <c r="J66" s="18" t="n">
        <v>2677.08</v>
      </c>
      <c r="K66" s="37" t="n">
        <v>6415.26</v>
      </c>
      <c r="L66" s="18" t="n">
        <v>964.97</v>
      </c>
      <c r="M66" s="18" t="n">
        <v>-30.3</v>
      </c>
      <c r="N66" s="18" t="n">
        <v>471.55</v>
      </c>
      <c r="O66" s="18" t="n">
        <v>1725.06</v>
      </c>
      <c r="P66" s="37" t="n">
        <v>3131.28</v>
      </c>
      <c r="Q66" s="18" t="n">
        <v>273.73</v>
      </c>
      <c r="R66" s="18" t="n">
        <v>29.67</v>
      </c>
      <c r="S66" s="18" t="n">
        <v>822.4</v>
      </c>
      <c r="T66" s="18" t="n">
        <v>124.99</v>
      </c>
      <c r="U66" s="37" t="n">
        <v>1250.79</v>
      </c>
      <c r="V66" s="18" t="n">
        <v>1427.77</v>
      </c>
      <c r="W66" s="18" t="n">
        <v>4896.65</v>
      </c>
      <c r="X66" s="18" t="n">
        <v>-2533.6</v>
      </c>
      <c r="Y66" s="18" t="n">
        <v>-233.67</v>
      </c>
      <c r="Z66" s="37" t="n">
        <v>3557.15</v>
      </c>
      <c r="AA66" s="18" t="n">
        <v>4559.89</v>
      </c>
      <c r="AB66" s="19" t="n">
        <v>-1267.89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이자비용</t>
        </is>
      </c>
      <c r="E67" s="18" t="n">
        <v>4.49</v>
      </c>
      <c r="F67" s="9" t="n"/>
      <c r="G67" s="18" t="n">
        <v>0.47</v>
      </c>
      <c r="H67" s="18" t="n">
        <v>0.59</v>
      </c>
      <c r="I67" s="18" t="n">
        <v>0.55</v>
      </c>
      <c r="J67" s="18" t="n">
        <v>0.93</v>
      </c>
      <c r="K67" s="37" t="n">
        <v>2.54</v>
      </c>
      <c r="L67" s="18" t="n">
        <v>1.23</v>
      </c>
      <c r="M67" s="18" t="n">
        <v>1.14</v>
      </c>
      <c r="P67" s="9" t="n"/>
      <c r="Q67" s="18" t="n">
        <v>0.93</v>
      </c>
      <c r="U67" s="9" t="n"/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9068.51</v>
      </c>
      <c r="F68" s="9" t="n"/>
      <c r="G68" s="18" t="n">
        <v>3960.12</v>
      </c>
      <c r="H68" s="18" t="n">
        <v>389.89</v>
      </c>
      <c r="I68" s="18" t="n">
        <v>8902.709999999999</v>
      </c>
      <c r="J68" s="18" t="n">
        <v>-611.3200000000001</v>
      </c>
      <c r="K68" s="37" t="n">
        <v>12641.4</v>
      </c>
      <c r="L68" s="18" t="n">
        <v>4870.27</v>
      </c>
      <c r="M68" s="18" t="n">
        <v>5287.29</v>
      </c>
      <c r="N68" s="18" t="n">
        <v>5808.58</v>
      </c>
      <c r="O68" s="18" t="n">
        <v>2602.51</v>
      </c>
      <c r="P68" s="37" t="n">
        <v>18568.65</v>
      </c>
      <c r="Q68" s="18" t="n">
        <v>5540.6</v>
      </c>
      <c r="R68" s="18" t="n">
        <v>3173.08</v>
      </c>
      <c r="S68" s="18" t="n">
        <v>1635.44</v>
      </c>
      <c r="T68" s="18" t="n">
        <v>4147.56</v>
      </c>
      <c r="U68" s="37" t="n">
        <v>14496.68</v>
      </c>
      <c r="V68" s="18" t="n">
        <v>10551.05</v>
      </c>
      <c r="W68" s="18" t="n">
        <v>807.63</v>
      </c>
      <c r="X68" s="18" t="n">
        <v>10155.58</v>
      </c>
      <c r="Y68" s="18" t="n">
        <v>5070.87</v>
      </c>
      <c r="Z68" s="37" t="n">
        <v>26585.13</v>
      </c>
      <c r="AA68" s="18" t="n">
        <v>5307.68</v>
      </c>
      <c r="AB68" s="19" t="n">
        <v>7514.48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1810.77</v>
      </c>
      <c r="F69" s="9" t="n"/>
      <c r="G69" s="18" t="n">
        <v>854.98</v>
      </c>
      <c r="H69" s="18" t="n">
        <v>89.15000000000001</v>
      </c>
      <c r="I69" s="18" t="n">
        <v>1958.6</v>
      </c>
      <c r="J69" s="18" t="n">
        <v>-398.99</v>
      </c>
      <c r="K69" s="37" t="n">
        <v>2503.74</v>
      </c>
      <c r="L69" s="18" t="n">
        <v>982.58</v>
      </c>
      <c r="M69" s="18" t="n">
        <v>1104.13</v>
      </c>
      <c r="N69" s="18" t="n">
        <v>1219.37</v>
      </c>
      <c r="O69" s="18" t="n">
        <v>197.39</v>
      </c>
      <c r="P69" s="37" t="n">
        <v>3503.47</v>
      </c>
      <c r="Q69" s="18" t="n">
        <v>1138.65</v>
      </c>
      <c r="R69" s="18" t="n">
        <v>706.95</v>
      </c>
      <c r="S69" s="18" t="n">
        <v>336.65</v>
      </c>
      <c r="T69" s="18" t="n">
        <v>475.12</v>
      </c>
      <c r="U69" s="37" t="n">
        <v>2657.37</v>
      </c>
      <c r="V69" s="18" t="n">
        <v>2196.51</v>
      </c>
      <c r="W69" s="18" t="n">
        <v>210.76</v>
      </c>
      <c r="X69" s="18" t="n">
        <v>2149.2</v>
      </c>
      <c r="Y69" s="18" t="n">
        <v>577.64</v>
      </c>
      <c r="Z69" s="37" t="n">
        <v>5134.11</v>
      </c>
      <c r="AA69" s="18" t="n">
        <v>1222.74</v>
      </c>
      <c r="AB69" s="19" t="n">
        <v>2054.62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당기순이익</t>
        </is>
      </c>
      <c r="E70" s="18" t="n">
        <v>7257.74</v>
      </c>
      <c r="F70" s="9" t="n"/>
      <c r="G70" s="18" t="n">
        <v>3105.14</v>
      </c>
      <c r="H70" s="18" t="n">
        <v>300.73</v>
      </c>
      <c r="I70" s="18" t="n">
        <v>6944.11</v>
      </c>
      <c r="J70" s="18" t="n">
        <v>-212.33</v>
      </c>
      <c r="K70" s="37" t="n">
        <v>10137.65</v>
      </c>
      <c r="L70" s="18" t="n">
        <v>3887.69</v>
      </c>
      <c r="M70" s="18" t="n">
        <v>4183.16</v>
      </c>
      <c r="N70" s="18" t="n">
        <v>4589.21</v>
      </c>
      <c r="O70" s="18" t="n">
        <v>2405.13</v>
      </c>
      <c r="P70" s="37" t="n">
        <v>15065.19</v>
      </c>
      <c r="Q70" s="18" t="n">
        <v>4401.95</v>
      </c>
      <c r="R70" s="18" t="n">
        <v>2466.12</v>
      </c>
      <c r="S70" s="18" t="n">
        <v>1298.79</v>
      </c>
      <c r="T70" s="18" t="n">
        <v>3672.44</v>
      </c>
      <c r="U70" s="37" t="n">
        <v>11839.3</v>
      </c>
      <c r="V70" s="18" t="n">
        <v>8354.540000000001</v>
      </c>
      <c r="W70" s="18" t="n">
        <v>596.87</v>
      </c>
      <c r="X70" s="18" t="n">
        <v>8006.38</v>
      </c>
      <c r="Y70" s="18" t="n">
        <v>4493.23</v>
      </c>
      <c r="Z70" s="37" t="n">
        <v>21451.02</v>
      </c>
      <c r="AA70" s="18" t="n">
        <v>4084.94</v>
      </c>
      <c r="AB70" s="19" t="n">
        <v>5459.86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총포괄손익</t>
        </is>
      </c>
      <c r="E71" s="18" t="n">
        <v>7384.75</v>
      </c>
      <c r="F71" s="9" t="n"/>
      <c r="G71" s="18" t="n">
        <v>3104.5</v>
      </c>
      <c r="H71" s="18" t="n">
        <v>302.57</v>
      </c>
      <c r="I71" s="18" t="n">
        <v>6945.76</v>
      </c>
      <c r="J71" s="18" t="n">
        <v>-204.96</v>
      </c>
      <c r="K71" s="37" t="n">
        <v>10147.87</v>
      </c>
      <c r="L71" s="18" t="n">
        <v>3884.81</v>
      </c>
      <c r="M71" s="18" t="n">
        <v>4182.74</v>
      </c>
      <c r="N71" s="18" t="n">
        <v>4590.54</v>
      </c>
      <c r="O71" s="18" t="n">
        <v>2136.68</v>
      </c>
      <c r="P71" s="37" t="n">
        <v>14794.77</v>
      </c>
      <c r="Q71" s="18" t="n">
        <v>4404.45</v>
      </c>
      <c r="R71" s="18" t="n">
        <v>2464.12</v>
      </c>
      <c r="S71" s="18" t="n">
        <v>1306.63</v>
      </c>
      <c r="T71" s="18" t="n">
        <v>3717.94</v>
      </c>
      <c r="U71" s="37" t="n">
        <v>11893.14</v>
      </c>
      <c r="V71" s="18" t="n">
        <v>8352.26</v>
      </c>
      <c r="W71" s="18" t="n">
        <v>606.95</v>
      </c>
      <c r="X71" s="18" t="n">
        <v>8008.61</v>
      </c>
      <c r="Y71" s="18" t="n">
        <v>4563.62</v>
      </c>
      <c r="Z71" s="37" t="n">
        <v>21531.44</v>
      </c>
      <c r="AA71" s="18" t="n">
        <v>4091.33</v>
      </c>
      <c r="AB71" s="19" t="n">
        <v>5463.78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금융손익</t>
        </is>
      </c>
      <c r="E72" s="18" t="n">
        <v>-263.31</v>
      </c>
      <c r="F72" s="9" t="n"/>
      <c r="G72" s="18" t="n">
        <v>-1435.42</v>
      </c>
      <c r="H72" s="18" t="n">
        <v>909.5700000000001</v>
      </c>
      <c r="I72" s="18" t="n">
        <v>3343.88</v>
      </c>
      <c r="J72" s="18" t="n">
        <v>-3662.44</v>
      </c>
      <c r="K72" s="37" t="n">
        <v>-844.41</v>
      </c>
      <c r="L72" s="18" t="n">
        <v>2183.27</v>
      </c>
      <c r="M72" s="18" t="n">
        <v>1438.36</v>
      </c>
      <c r="N72" s="18" t="n">
        <v>1205.2</v>
      </c>
      <c r="O72" s="18" t="n">
        <v>-883.75</v>
      </c>
      <c r="P72" s="37" t="n">
        <v>3943.08</v>
      </c>
      <c r="Q72" s="18" t="n">
        <v>4111.39</v>
      </c>
      <c r="R72" s="18" t="n">
        <v>1678.39</v>
      </c>
      <c r="S72" s="18" t="n">
        <v>-560.54</v>
      </c>
      <c r="T72" s="18" t="n">
        <v>5333.79</v>
      </c>
      <c r="U72" s="37" t="n">
        <v>10563.03</v>
      </c>
      <c r="V72" s="18" t="n">
        <v>238.79</v>
      </c>
      <c r="W72" s="18" t="n">
        <v>-4638.06</v>
      </c>
      <c r="X72" s="18" t="n">
        <v>3382.77</v>
      </c>
      <c r="Y72" s="18" t="n">
        <v>830.22</v>
      </c>
      <c r="Z72" s="37" t="n">
        <v>-186.28</v>
      </c>
      <c r="AA72" s="18" t="n">
        <v>-1934.6</v>
      </c>
      <c r="AB72" s="19" t="n">
        <v>2836.95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이자손익</t>
        </is>
      </c>
      <c r="E73" s="18" t="n">
        <v>173.79</v>
      </c>
      <c r="F73" s="9" t="n"/>
      <c r="G73" s="18" t="n">
        <v>425.43</v>
      </c>
      <c r="H73" s="18" t="n">
        <v>140.88</v>
      </c>
      <c r="I73" s="18" t="n">
        <v>505.1</v>
      </c>
      <c r="J73" s="18" t="n">
        <v>133.1</v>
      </c>
      <c r="K73" s="37" t="n">
        <v>1204.51</v>
      </c>
      <c r="L73" s="18" t="n">
        <v>693.3099999999999</v>
      </c>
      <c r="M73" s="18" t="n">
        <v>192.04</v>
      </c>
      <c r="P73" s="9" t="n"/>
      <c r="Q73" s="18" t="n">
        <v>568.55</v>
      </c>
      <c r="U73" s="9" t="n"/>
      <c r="Z73" s="9" t="n"/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284.84</v>
      </c>
      <c r="F74" s="9" t="n"/>
      <c r="G74" s="18" t="n">
        <v>89.5</v>
      </c>
      <c r="H74" s="18" t="n">
        <v>394.16</v>
      </c>
      <c r="I74" s="18" t="n">
        <v>606.59</v>
      </c>
      <c r="J74" s="18" t="n">
        <v>1106.91</v>
      </c>
      <c r="K74" s="37" t="n">
        <v>2197.16</v>
      </c>
      <c r="L74" s="18" t="n">
        <v>93.51000000000001</v>
      </c>
      <c r="M74" s="18" t="n">
        <v>351.61</v>
      </c>
      <c r="N74" s="18" t="n">
        <v>87.69</v>
      </c>
      <c r="O74" s="18" t="n">
        <v>879.38</v>
      </c>
      <c r="P74" s="37" t="n">
        <v>1412.19</v>
      </c>
      <c r="Q74" s="18" t="n">
        <v>49.67</v>
      </c>
      <c r="R74" s="18" t="n">
        <v>596.37</v>
      </c>
      <c r="S74" s="18" t="n">
        <v>287.73</v>
      </c>
      <c r="T74" s="18" t="n">
        <v>360.87</v>
      </c>
      <c r="U74" s="37" t="n">
        <v>1294.64</v>
      </c>
      <c r="V74" s="18" t="n">
        <v>1.41</v>
      </c>
      <c r="W74" s="18" t="n">
        <v>25.9</v>
      </c>
      <c r="X74" s="18" t="n">
        <v>28.76</v>
      </c>
      <c r="Y74" s="18" t="n">
        <v>5.63</v>
      </c>
      <c r="Z74" s="37" t="n">
        <v>61.7</v>
      </c>
      <c r="AA74" s="18" t="n">
        <v>15.55</v>
      </c>
      <c r="AB74" s="19" t="n">
        <v>8.06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7257.74</v>
      </c>
      <c r="F75" s="9" t="n"/>
      <c r="G75" s="18" t="n">
        <v>3105.14</v>
      </c>
      <c r="H75" s="18" t="n">
        <v>300.73</v>
      </c>
      <c r="I75" s="18" t="n">
        <v>6944.11</v>
      </c>
      <c r="J75" s="18" t="n">
        <v>-212.33</v>
      </c>
      <c r="K75" s="37" t="n">
        <v>10137.65</v>
      </c>
      <c r="L75" s="18" t="n">
        <v>3887.69</v>
      </c>
      <c r="M75" s="18" t="n">
        <v>4183.16</v>
      </c>
      <c r="N75" s="18" t="n">
        <v>4589.21</v>
      </c>
      <c r="O75" s="18" t="n">
        <v>2405.13</v>
      </c>
      <c r="P75" s="37" t="n">
        <v>15065.19</v>
      </c>
      <c r="Q75" s="18" t="n">
        <v>4401.95</v>
      </c>
      <c r="R75" s="18" t="n">
        <v>2466.12</v>
      </c>
      <c r="S75" s="18" t="n">
        <v>1298.79</v>
      </c>
      <c r="T75" s="18" t="n">
        <v>3672.44</v>
      </c>
      <c r="U75" s="37" t="n">
        <v>11839.3</v>
      </c>
      <c r="V75" s="18" t="n">
        <v>8354.540000000001</v>
      </c>
      <c r="W75" s="18" t="n">
        <v>596.87</v>
      </c>
      <c r="X75" s="18" t="n">
        <v>8006.38</v>
      </c>
      <c r="Y75" s="18" t="n">
        <v>4493.23</v>
      </c>
      <c r="Z75" s="37" t="n">
        <v>21451.02</v>
      </c>
      <c r="AA75" s="18" t="n">
        <v>4084.94</v>
      </c>
      <c r="AB75" s="19" t="n">
        <v>5459.86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계속사업이익</t>
        </is>
      </c>
      <c r="E76" s="18" t="n">
        <v>7257.74</v>
      </c>
      <c r="F76" s="9" t="n"/>
      <c r="G76" s="18" t="n">
        <v>3105.14</v>
      </c>
      <c r="H76" s="18" t="n">
        <v>300.73</v>
      </c>
      <c r="I76" s="18" t="n">
        <v>6944.11</v>
      </c>
      <c r="J76" s="18" t="n">
        <v>-212.33</v>
      </c>
      <c r="K76" s="37" t="n">
        <v>10137.65</v>
      </c>
      <c r="L76" s="18" t="n">
        <v>3887.69</v>
      </c>
      <c r="M76" s="18" t="n">
        <v>4183.16</v>
      </c>
      <c r="N76" s="18" t="n">
        <v>4589.21</v>
      </c>
      <c r="O76" s="18" t="n">
        <v>2405.13</v>
      </c>
      <c r="P76" s="37" t="n">
        <v>15065.19</v>
      </c>
      <c r="Q76" s="18" t="n">
        <v>4401.95</v>
      </c>
      <c r="R76" s="18" t="n">
        <v>2466.12</v>
      </c>
      <c r="S76" s="18" t="n">
        <v>1298.79</v>
      </c>
      <c r="T76" s="18" t="n">
        <v>3672.44</v>
      </c>
      <c r="U76" s="37" t="n">
        <v>11839.3</v>
      </c>
      <c r="V76" s="18" t="n">
        <v>8354.540000000001</v>
      </c>
      <c r="W76" s="18" t="n">
        <v>596.87</v>
      </c>
      <c r="X76" s="18" t="n">
        <v>8006.38</v>
      </c>
      <c r="Y76" s="18" t="n">
        <v>4493.23</v>
      </c>
      <c r="Z76" s="37" t="n">
        <v>21451.02</v>
      </c>
      <c r="AA76" s="18" t="n">
        <v>4084.94</v>
      </c>
      <c r="AB76" s="19" t="n">
        <v>5459.86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배당금수익</t>
        </is>
      </c>
      <c r="F77" s="9" t="n"/>
      <c r="H77" s="18" t="n">
        <v>2.3</v>
      </c>
      <c r="I77" s="18" t="n">
        <v>0</v>
      </c>
      <c r="K77" s="9" t="n"/>
      <c r="M77" s="18" t="n">
        <v>2.99</v>
      </c>
      <c r="N77" s="18" t="n">
        <v>0.57</v>
      </c>
      <c r="O77" s="18" t="n">
        <v>0</v>
      </c>
      <c r="P77" s="9" t="n"/>
      <c r="Q77" s="18" t="n">
        <v>0.4</v>
      </c>
      <c r="R77" s="18" t="n">
        <v>1.92</v>
      </c>
      <c r="S77" s="18" t="n">
        <v>0.57</v>
      </c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외환차익</t>
        </is>
      </c>
      <c r="F78" s="9" t="n"/>
      <c r="H78" s="18" t="n">
        <v>335.29</v>
      </c>
      <c r="I78" s="18" t="n">
        <v>804.26</v>
      </c>
      <c r="K78" s="9" t="n"/>
      <c r="M78" s="18" t="n">
        <v>417</v>
      </c>
      <c r="N78" s="18" t="n">
        <v>213.93</v>
      </c>
      <c r="O78" s="18" t="n">
        <v>1579.56</v>
      </c>
      <c r="P78" s="9" t="n"/>
      <c r="Q78" s="18" t="n">
        <v>340.19</v>
      </c>
      <c r="R78" s="18" t="n">
        <v>227.94</v>
      </c>
      <c r="S78" s="18" t="n">
        <v>1015.92</v>
      </c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외화환산이익</t>
        </is>
      </c>
      <c r="F79" s="9" t="n"/>
      <c r="H79" s="18" t="n">
        <v>1500.81</v>
      </c>
      <c r="I79" s="18" t="n">
        <v>2039.88</v>
      </c>
      <c r="K79" s="9" t="n"/>
      <c r="M79" s="18" t="n">
        <v>170.86</v>
      </c>
      <c r="N79" s="18" t="n">
        <v>993.64</v>
      </c>
      <c r="O79" s="18" t="n">
        <v>-1377.49</v>
      </c>
      <c r="P79" s="9" t="n"/>
      <c r="Q79" s="18" t="n">
        <v>1684.04</v>
      </c>
      <c r="R79" s="18" t="n">
        <v>64.90000000000001</v>
      </c>
      <c r="S79" s="18" t="n">
        <v>-790.03</v>
      </c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H80" s="18" t="n">
        <v>87.31999999999999</v>
      </c>
      <c r="I80" s="18" t="n">
        <v>722.33</v>
      </c>
      <c r="K80" s="9" t="n"/>
      <c r="M80" s="18" t="n">
        <v>267.13</v>
      </c>
      <c r="N80" s="18" t="n">
        <v>404.77</v>
      </c>
      <c r="O80" s="18" t="n">
        <v>1715.69</v>
      </c>
      <c r="P80" s="9" t="n"/>
      <c r="Q80" s="18" t="n">
        <v>271.05</v>
      </c>
      <c r="R80" s="18" t="n">
        <v>28.78</v>
      </c>
      <c r="S80" s="18" t="n">
        <v>591.95</v>
      </c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외화환산손실</t>
        </is>
      </c>
      <c r="F81" s="9" t="n"/>
      <c r="H81" s="18" t="n">
        <v>2.56</v>
      </c>
      <c r="I81" s="18" t="n">
        <v>-0.9</v>
      </c>
      <c r="K81" s="9" t="n"/>
      <c r="M81" s="18" t="n">
        <v>-59.73</v>
      </c>
      <c r="N81" s="18" t="n">
        <v>-3.73</v>
      </c>
      <c r="O81" s="18" t="n">
        <v>3.25</v>
      </c>
      <c r="P81" s="9" t="n"/>
      <c r="Q81" s="18" t="n">
        <v>1.76</v>
      </c>
      <c r="R81" s="18" t="n">
        <v>0.15</v>
      </c>
      <c r="S81" s="18" t="n">
        <v>229.82</v>
      </c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영업활동으로인한현금흐름</t>
        </is>
      </c>
      <c r="E82" s="18" t="n">
        <v>1224.71</v>
      </c>
      <c r="F82" s="9" t="n"/>
      <c r="G82" s="18" t="n">
        <v>10778.11</v>
      </c>
      <c r="H82" s="18" t="n">
        <v>-4713.08</v>
      </c>
      <c r="I82" s="18" t="n">
        <v>10412.84</v>
      </c>
      <c r="J82" s="18" t="n">
        <v>-1229.43</v>
      </c>
      <c r="K82" s="37" t="n">
        <v>15248.44</v>
      </c>
      <c r="L82" s="18" t="n">
        <v>1418.84</v>
      </c>
      <c r="M82" s="18" t="n">
        <v>-6892.16</v>
      </c>
      <c r="N82" s="18" t="n">
        <v>9655.620000000001</v>
      </c>
      <c r="O82" s="18" t="n">
        <v>5461.46</v>
      </c>
      <c r="P82" s="37" t="n">
        <v>9643.76</v>
      </c>
      <c r="Q82" s="18" t="n">
        <v>4262.01</v>
      </c>
      <c r="R82" s="18" t="n">
        <v>2247.69</v>
      </c>
      <c r="S82" s="18" t="n">
        <v>7499.27</v>
      </c>
      <c r="T82" s="18" t="n">
        <v>-16499.05</v>
      </c>
      <c r="U82" s="37" t="n">
        <v>-2490.08</v>
      </c>
      <c r="V82" s="18" t="n">
        <v>23489.83</v>
      </c>
      <c r="W82" s="18" t="n">
        <v>-2144.33</v>
      </c>
      <c r="X82" s="18" t="n">
        <v>19923.64</v>
      </c>
      <c r="Y82" s="18" t="n">
        <v>-6144.27</v>
      </c>
      <c r="Z82" s="37" t="n">
        <v>35124.87</v>
      </c>
      <c r="AA82" s="18" t="n">
        <v>6183.06</v>
      </c>
      <c r="AB82" s="19" t="n">
        <v>5162.47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감가상각비</t>
        </is>
      </c>
      <c r="E83" s="18" t="n">
        <v>45.11</v>
      </c>
      <c r="F83" s="9" t="n"/>
      <c r="G83" s="18" t="n">
        <v>45.81</v>
      </c>
      <c r="H83" s="18" t="n">
        <v>47.83</v>
      </c>
      <c r="I83" s="18" t="n">
        <v>47.43</v>
      </c>
      <c r="J83" s="18" t="n">
        <v>52.66</v>
      </c>
      <c r="K83" s="37" t="n">
        <v>193.73</v>
      </c>
      <c r="L83" s="18" t="n">
        <v>57.32</v>
      </c>
      <c r="M83" s="18" t="n">
        <v>57.31</v>
      </c>
      <c r="P83" s="9" t="n"/>
      <c r="Q83" s="18" t="n">
        <v>56.55</v>
      </c>
      <c r="R83" s="18" t="n">
        <v>52.82</v>
      </c>
      <c r="S83" s="18" t="n">
        <v>51.61</v>
      </c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무형자산상각비</t>
        </is>
      </c>
      <c r="E84" s="18" t="n">
        <v>0.77</v>
      </c>
      <c r="F84" s="9" t="n"/>
      <c r="G84" s="18" t="n">
        <v>0.72</v>
      </c>
      <c r="H84" s="18" t="n">
        <v>0.61</v>
      </c>
      <c r="I84" s="18" t="n">
        <v>0.62</v>
      </c>
      <c r="J84" s="18" t="n">
        <v>0.61</v>
      </c>
      <c r="K84" s="37" t="n">
        <v>2.56</v>
      </c>
      <c r="L84" s="18" t="n">
        <v>0.62</v>
      </c>
      <c r="M84" s="18" t="n">
        <v>0.61</v>
      </c>
      <c r="P84" s="9" t="n"/>
      <c r="Q84" s="18" t="n">
        <v>0.62</v>
      </c>
      <c r="R84" s="18" t="n">
        <v>0.61</v>
      </c>
      <c r="S84" s="18" t="n">
        <v>0.62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배당금수취(CF)</t>
        </is>
      </c>
      <c r="E85" s="18" t="n">
        <v>0</v>
      </c>
      <c r="F85" s="9" t="n"/>
      <c r="I85" s="18" t="n">
        <v>0</v>
      </c>
      <c r="J85" s="18" t="n">
        <v>0</v>
      </c>
      <c r="K85" s="9" t="n"/>
      <c r="N85" s="18" t="n">
        <v>0.57</v>
      </c>
      <c r="O85" s="18" t="n">
        <v>0</v>
      </c>
      <c r="P85" s="9" t="n"/>
      <c r="S85" s="18" t="n">
        <v>0</v>
      </c>
      <c r="T85" s="18" t="n">
        <v>0.57</v>
      </c>
      <c r="U85" s="9" t="n"/>
      <c r="X85" s="18" t="n">
        <v>0.67</v>
      </c>
      <c r="Y85" s="18" t="n">
        <v>0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법인세납부(CF)</t>
        </is>
      </c>
      <c r="E86" s="18" t="n">
        <v>-39.06</v>
      </c>
      <c r="F86" s="9" t="n"/>
      <c r="G86" s="18" t="n">
        <v>-1605.43</v>
      </c>
      <c r="H86" s="18" t="n">
        <v>-1925.36</v>
      </c>
      <c r="I86" s="18" t="n">
        <v>-1812.65</v>
      </c>
      <c r="J86" s="18" t="n">
        <v>-21.23</v>
      </c>
      <c r="K86" s="37" t="n">
        <v>-5364.67</v>
      </c>
      <c r="L86" s="18" t="n">
        <v>-92.43000000000001</v>
      </c>
      <c r="M86" s="18" t="n">
        <v>-738.47</v>
      </c>
      <c r="N86" s="18" t="n">
        <v>-1115.6</v>
      </c>
      <c r="O86" s="18" t="n">
        <v>-1613.15</v>
      </c>
      <c r="P86" s="37" t="n">
        <v>-3559.65</v>
      </c>
      <c r="Q86" s="18" t="n">
        <v>-730.5599999999999</v>
      </c>
      <c r="R86" s="18" t="n">
        <v>-1032.9</v>
      </c>
      <c r="S86" s="18" t="n">
        <v>-1478.43</v>
      </c>
      <c r="T86" s="18" t="n">
        <v>-82.95999999999999</v>
      </c>
      <c r="U86" s="37" t="n">
        <v>-3324.85</v>
      </c>
      <c r="V86" s="18" t="n">
        <v>-71.48999999999999</v>
      </c>
      <c r="W86" s="18" t="n">
        <v>-96.81</v>
      </c>
      <c r="X86" s="18" t="n">
        <v>-2746.06</v>
      </c>
      <c r="Y86" s="18" t="n">
        <v>-51.92</v>
      </c>
      <c r="Z86" s="37" t="n">
        <v>-2966.28</v>
      </c>
      <c r="AA86" s="18" t="n">
        <v>-1031.62</v>
      </c>
      <c r="AB86" s="19" t="n">
        <v>-1517.13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투자활동으로인한현금흐름</t>
        </is>
      </c>
      <c r="E87" s="18" t="n">
        <v>109</v>
      </c>
      <c r="F87" s="9" t="n"/>
      <c r="G87" s="18" t="n">
        <v>-297.89</v>
      </c>
      <c r="H87" s="18" t="n">
        <v>-828.83</v>
      </c>
      <c r="I87" s="18" t="n">
        <v>179.36</v>
      </c>
      <c r="J87" s="18" t="n">
        <v>3900.95</v>
      </c>
      <c r="K87" s="37" t="n">
        <v>2953.59</v>
      </c>
      <c r="L87" s="18" t="n">
        <v>1861.81</v>
      </c>
      <c r="M87" s="18" t="n">
        <v>-3870.24</v>
      </c>
      <c r="N87" s="18" t="n">
        <v>-53.52</v>
      </c>
      <c r="O87" s="18" t="n">
        <v>-3903.41</v>
      </c>
      <c r="P87" s="37" t="n">
        <v>-5965.36</v>
      </c>
      <c r="Q87" s="18" t="n">
        <v>545.49</v>
      </c>
      <c r="R87" s="18" t="n">
        <v>1.18</v>
      </c>
      <c r="S87" s="18" t="n">
        <v>-5439.16</v>
      </c>
      <c r="T87" s="18" t="n">
        <v>9554.84</v>
      </c>
      <c r="U87" s="37" t="n">
        <v>4662.35</v>
      </c>
      <c r="V87" s="18" t="n">
        <v>-21.43</v>
      </c>
      <c r="W87" s="18" t="n">
        <v>2715.59</v>
      </c>
      <c r="X87" s="18" t="n">
        <v>-10.73</v>
      </c>
      <c r="Y87" s="18" t="n">
        <v>-5.05</v>
      </c>
      <c r="Z87" s="37" t="n">
        <v>2678.38</v>
      </c>
      <c r="AA87" s="18" t="n">
        <v>-9658.379999999999</v>
      </c>
      <c r="AB87" s="19" t="n">
        <v>20726.8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재무활동으로인한현금흐름</t>
        </is>
      </c>
      <c r="E88" s="18" t="n">
        <v>-3113.43</v>
      </c>
      <c r="F88" s="9" t="n"/>
      <c r="G88" s="18" t="n">
        <v>-4.59</v>
      </c>
      <c r="H88" s="18" t="n">
        <v>-5093.37</v>
      </c>
      <c r="I88" s="18" t="n">
        <v>-6.25</v>
      </c>
      <c r="J88" s="18" t="n">
        <v>-2069.02</v>
      </c>
      <c r="K88" s="37" t="n">
        <v>-7173.23</v>
      </c>
      <c r="L88" s="18" t="n">
        <v>-14.88</v>
      </c>
      <c r="M88" s="18" t="n">
        <v>-7484</v>
      </c>
      <c r="N88" s="18" t="n">
        <v>-2504.38</v>
      </c>
      <c r="O88" s="18" t="n">
        <v>-1006.19</v>
      </c>
      <c r="P88" s="37" t="n">
        <v>-11009.45</v>
      </c>
      <c r="Q88" s="18" t="n">
        <v>-14.57</v>
      </c>
      <c r="R88" s="18" t="n">
        <v>-4943.19</v>
      </c>
      <c r="S88" s="18" t="n">
        <v>-2476.95</v>
      </c>
      <c r="T88" s="18" t="n">
        <v>-9003.09</v>
      </c>
      <c r="U88" s="37" t="n">
        <v>-16437.8</v>
      </c>
      <c r="V88" s="18" t="n">
        <v>-11.8</v>
      </c>
      <c r="W88" s="18" t="n">
        <v>-9049.950000000001</v>
      </c>
      <c r="X88" s="18" t="n">
        <v>-9050.030000000001</v>
      </c>
      <c r="Y88" s="18" t="n">
        <v>-9050.110000000001</v>
      </c>
      <c r="Z88" s="37" t="n">
        <v>-27161.89</v>
      </c>
      <c r="AA88" s="18" t="n">
        <v>25662.8</v>
      </c>
      <c r="AB88" s="19" t="n">
        <v>-9049.209999999999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배당금지급</t>
        </is>
      </c>
      <c r="E89" s="18" t="n">
        <v>0</v>
      </c>
      <c r="F89" s="9" t="n"/>
      <c r="I89" s="18" t="n">
        <v>0</v>
      </c>
      <c r="J89" s="18" t="n">
        <v>0</v>
      </c>
      <c r="K89" s="9" t="n"/>
      <c r="N89" s="18" t="n">
        <v>2490.29</v>
      </c>
      <c r="O89" s="18" t="n">
        <v>0</v>
      </c>
      <c r="P89" s="9" t="n"/>
      <c r="S89" s="18" t="n">
        <v>2465.29</v>
      </c>
      <c r="T89" s="18" t="n">
        <v>0</v>
      </c>
      <c r="U89" s="9" t="n"/>
      <c r="X89" s="18" t="n">
        <v>9038.07</v>
      </c>
      <c r="Y89" s="18" t="n">
        <v>9038.059999999999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E90" s="18" t="n">
        <v>0.2</v>
      </c>
      <c r="F90" s="9" t="n"/>
      <c r="K90" s="9" t="n"/>
      <c r="P90" s="9" t="n"/>
      <c r="U90" s="9" t="n"/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리스부채의상환</t>
        </is>
      </c>
      <c r="E91" s="18" t="n">
        <v>3.9</v>
      </c>
      <c r="F91" s="9" t="n"/>
      <c r="G91" s="18" t="n">
        <v>4.59</v>
      </c>
      <c r="H91" s="18" t="n">
        <v>6.25</v>
      </c>
      <c r="I91" s="18" t="n">
        <v>6.25</v>
      </c>
      <c r="J91" s="18" t="n">
        <v>6.63</v>
      </c>
      <c r="K91" s="37" t="n">
        <v>23.72</v>
      </c>
      <c r="L91" s="18" t="n">
        <v>14.88</v>
      </c>
      <c r="M91" s="18" t="n">
        <v>13.13</v>
      </c>
      <c r="N91" s="18" t="n">
        <v>14.08</v>
      </c>
      <c r="O91" s="18" t="n">
        <v>14.46</v>
      </c>
      <c r="P91" s="37" t="n">
        <v>56.55</v>
      </c>
      <c r="Q91" s="18" t="n">
        <v>14.57</v>
      </c>
      <c r="R91" s="18" t="n">
        <v>12.61</v>
      </c>
      <c r="S91" s="18" t="n">
        <v>11.65</v>
      </c>
      <c r="T91" s="18" t="n">
        <v>11.73</v>
      </c>
      <c r="U91" s="37" t="n">
        <v>50.56</v>
      </c>
      <c r="V91" s="18" t="n">
        <v>11.8</v>
      </c>
      <c r="W91" s="18" t="n">
        <v>11.89</v>
      </c>
      <c r="X91" s="18" t="n">
        <v>11.95</v>
      </c>
      <c r="Y91" s="18" t="n">
        <v>12.04</v>
      </c>
      <c r="Z91" s="37" t="n">
        <v>47.68</v>
      </c>
      <c r="AA91" s="18" t="n">
        <v>9.56</v>
      </c>
      <c r="AB91" s="19" t="n">
        <v>11.14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-1735.67</v>
      </c>
      <c r="F92" s="9" t="n"/>
      <c r="G92" s="18" t="n">
        <v>10639.91</v>
      </c>
      <c r="H92" s="18" t="n">
        <v>-10057.98</v>
      </c>
      <c r="I92" s="18" t="n">
        <v>12205.14</v>
      </c>
      <c r="J92" s="18" t="n">
        <v>-885.84</v>
      </c>
      <c r="K92" s="37" t="n">
        <v>11901.23</v>
      </c>
      <c r="L92" s="18" t="n">
        <v>4565.48</v>
      </c>
      <c r="M92" s="18" t="n">
        <v>-18149.22</v>
      </c>
      <c r="N92" s="18" t="n">
        <v>7651.89</v>
      </c>
      <c r="O92" s="18" t="n">
        <v>16.42</v>
      </c>
      <c r="P92" s="37" t="n">
        <v>-5915.43</v>
      </c>
      <c r="Q92" s="18" t="n">
        <v>5518.7</v>
      </c>
      <c r="R92" s="18" t="n">
        <v>-2327.19</v>
      </c>
      <c r="S92" s="18" t="n">
        <v>-898.59</v>
      </c>
      <c r="T92" s="18" t="n">
        <v>-16364.41</v>
      </c>
      <c r="U92" s="37" t="n">
        <v>-14071.49</v>
      </c>
      <c r="V92" s="18" t="n">
        <v>23919.2</v>
      </c>
      <c r="W92" s="18" t="n">
        <v>-10297.94</v>
      </c>
      <c r="X92" s="18" t="n">
        <v>11527.03</v>
      </c>
      <c r="Y92" s="18" t="n">
        <v>-14686.9</v>
      </c>
      <c r="Z92" s="37" t="n">
        <v>10461.39</v>
      </c>
      <c r="AA92" s="18" t="n">
        <v>22863.58</v>
      </c>
      <c r="AB92" s="19" t="n">
        <v>17647.75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-1735.68</v>
      </c>
      <c r="F93" s="9" t="n"/>
      <c r="G93" s="18" t="n">
        <v>24562.34</v>
      </c>
      <c r="H93" s="18" t="n">
        <v>-10057.98</v>
      </c>
      <c r="I93" s="18" t="n">
        <v>12205.14</v>
      </c>
      <c r="J93" s="18" t="n">
        <v>-885.85</v>
      </c>
      <c r="K93" s="37" t="n">
        <v>25823.65</v>
      </c>
      <c r="L93" s="18" t="n">
        <v>30389.13</v>
      </c>
      <c r="M93" s="18" t="n">
        <v>-18149.22</v>
      </c>
      <c r="N93" s="18" t="n">
        <v>7651.9</v>
      </c>
      <c r="O93" s="18" t="n">
        <v>16.41</v>
      </c>
      <c r="P93" s="37" t="n">
        <v>19908.22</v>
      </c>
      <c r="Q93" s="18" t="n">
        <v>25426.92</v>
      </c>
      <c r="R93" s="18" t="n">
        <v>-2327.18</v>
      </c>
      <c r="S93" s="18" t="n">
        <v>-898.59</v>
      </c>
      <c r="U93" s="9" t="n"/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이자수취(CF)</t>
        </is>
      </c>
      <c r="F94" s="9" t="n"/>
      <c r="K94" s="9" t="n"/>
      <c r="O94" s="18" t="n">
        <v>344.94</v>
      </c>
      <c r="P94" s="9" t="n"/>
      <c r="Q94" s="18" t="n">
        <v>539.71</v>
      </c>
      <c r="R94" s="18" t="n">
        <v>636.5599999999999</v>
      </c>
      <c r="S94" s="18" t="n">
        <v>524.05</v>
      </c>
      <c r="T94" s="18" t="n">
        <v>536.85</v>
      </c>
      <c r="U94" s="37" t="n">
        <v>2237.17</v>
      </c>
      <c r="V94" s="18" t="n">
        <v>464.24</v>
      </c>
      <c r="W94" s="18" t="n">
        <v>553.25</v>
      </c>
      <c r="X94" s="18" t="n">
        <v>553.6900000000001</v>
      </c>
      <c r="Y94" s="18" t="n">
        <v>337.21</v>
      </c>
      <c r="Z94" s="37" t="n">
        <v>1908.39</v>
      </c>
      <c r="AA94" s="18" t="n">
        <v>557.66</v>
      </c>
      <c r="AB94" s="19" t="n">
        <v>553.27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이자지급(CF)</t>
        </is>
      </c>
      <c r="F95" s="9" t="n"/>
      <c r="K95" s="9" t="n"/>
      <c r="P95" s="9" t="n"/>
      <c r="Q95" s="18" t="n">
        <v>-0.93</v>
      </c>
      <c r="R95" s="18" t="n">
        <v>-0.74</v>
      </c>
      <c r="S95" s="18" t="n">
        <v>-0.62</v>
      </c>
      <c r="T95" s="18" t="n">
        <v>-0.55</v>
      </c>
      <c r="U95" s="37" t="n">
        <v>-2.84</v>
      </c>
      <c r="V95" s="18" t="n">
        <v>-0.47</v>
      </c>
      <c r="W95" s="18" t="n">
        <v>-0.4</v>
      </c>
      <c r="X95" s="18" t="n">
        <v>-0.31</v>
      </c>
      <c r="Y95" s="18" t="n">
        <v>-0.24</v>
      </c>
      <c r="Z95" s="37" t="n">
        <v>-1.42</v>
      </c>
      <c r="AA95" s="18" t="n">
        <v>-5.89</v>
      </c>
      <c r="AB95" s="19" t="n">
        <v>0.16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유형자산의증가</t>
        </is>
      </c>
      <c r="F96" s="9" t="n"/>
      <c r="K96" s="9" t="n"/>
      <c r="P96" s="9" t="n"/>
      <c r="Q96" s="18" t="n">
        <v>3.27</v>
      </c>
      <c r="R96" s="18" t="n">
        <v>2.5</v>
      </c>
      <c r="S96" s="18" t="n">
        <v>1.78</v>
      </c>
      <c r="T96" s="18" t="n">
        <v>22.15</v>
      </c>
      <c r="U96" s="37" t="n">
        <v>29.7</v>
      </c>
      <c r="V96" s="18" t="n">
        <v>13.86</v>
      </c>
      <c r="W96" s="18" t="n">
        <v>16.95</v>
      </c>
      <c r="X96" s="18" t="n">
        <v>9.5</v>
      </c>
      <c r="Y96" s="18" t="n">
        <v>125.06</v>
      </c>
      <c r="Z96" s="37" t="n">
        <v>165.37</v>
      </c>
      <c r="AA96" s="18" t="n">
        <v>17.09</v>
      </c>
      <c r="AB96" s="19" t="n">
        <v>6.65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CAPEX</t>
        </is>
      </c>
      <c r="F97" s="9" t="n"/>
      <c r="K97" s="9" t="n"/>
      <c r="P97" s="9" t="n"/>
      <c r="Q97" s="18" t="n">
        <v>3.27</v>
      </c>
      <c r="R97" s="18" t="n">
        <v>2.5</v>
      </c>
      <c r="S97" s="18" t="n">
        <v>1.78</v>
      </c>
      <c r="T97" s="18" t="n">
        <v>941.95</v>
      </c>
      <c r="U97" s="37" t="n">
        <v>949.5</v>
      </c>
      <c r="V97" s="18" t="n">
        <v>13.86</v>
      </c>
      <c r="W97" s="18" t="n">
        <v>16.95</v>
      </c>
      <c r="X97" s="18" t="n">
        <v>9.5</v>
      </c>
      <c r="Y97" s="18" t="n">
        <v>135.07</v>
      </c>
      <c r="Z97" s="37" t="n">
        <v>175.38</v>
      </c>
      <c r="AA97" s="18" t="n">
        <v>21.69</v>
      </c>
      <c r="AB97" s="19" t="n">
        <v>6.65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유형자산의감소</t>
        </is>
      </c>
      <c r="F98" s="9" t="n"/>
      <c r="K98" s="9" t="n"/>
      <c r="P98" s="9" t="n"/>
      <c r="U98" s="9" t="n"/>
      <c r="X98" s="18" t="n">
        <v>0</v>
      </c>
      <c r="Y98" s="18" t="n">
        <v>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무형자산의증가</t>
        </is>
      </c>
      <c r="F99" s="9" t="n"/>
      <c r="K99" s="9" t="n"/>
      <c r="P99" s="9" t="n"/>
      <c r="U99" s="9" t="n"/>
      <c r="Z99" s="9" t="n"/>
      <c r="AA99" s="18" t="n">
        <v>4.6</v>
      </c>
      <c r="AB99" s="19" t="n">
        <v>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 t="n"/>
      <c r="O12" s="18" t="n"/>
      <c r="P12" s="37">
        <f>SUM(L12:O12)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IFERROR((AB27*변수!$D$52-AB25*변수!$D$53)/4,"")</f>
        <v/>
      </c>
      <c r="AD12" s="20">
        <f>IFERROR((AC27*변수!$D$52-AC25*변수!$D$53)/4,"")</f>
        <v/>
      </c>
      <c r="AE12" s="38">
        <f>SUM(AA12:AD12)</f>
        <v/>
      </c>
      <c r="AF12" s="20">
        <f>IFERROR((AD27*변수!$D$52-AD25*변수!$D$53)/4,"")</f>
        <v/>
      </c>
      <c r="AG12" s="20">
        <f>IFERROR((AF27*변수!$D$52-AF25*변수!$D$53)/4,"")</f>
        <v/>
      </c>
      <c r="AH12" s="20">
        <f>IFERROR((AG27*변수!$D$52-AG25*변수!$D$53)/4,"")</f>
        <v/>
      </c>
      <c r="AI12" s="20">
        <f>IFERROR((AH27*변수!$D$52-AH25*변수!$D$53)/4,"")</f>
        <v/>
      </c>
      <c r="AJ12" s="38">
        <f>SUM(AF12:AI12)</f>
        <v/>
      </c>
      <c r="AK12" s="20">
        <f>IFERROR((AI27*변수!$D$52-AI25*변수!$D$53)/4,"")</f>
        <v/>
      </c>
      <c r="AL12" s="20">
        <f>IFERROR((AK27*변수!$D$52-AK25*변수!$D$53)/4,"")</f>
        <v/>
      </c>
      <c r="AM12" s="20">
        <f>IFERROR((AL27*변수!$D$52-AL25*변수!$D$53)/4,"")</f>
        <v/>
      </c>
      <c r="AN12" s="20">
        <f>IFERROR((AM27*변수!$D$52-AM25*변수!$D$53)/4,"")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 t="n"/>
      <c r="K13" s="37">
        <f>SUM(G13:J13)</f>
        <v/>
      </c>
      <c r="L13" s="18" t="n"/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SUM(L15:O15)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감가상각비</t>
        </is>
      </c>
      <c r="B19" t="inlineStr">
        <is>
          <t>손익</t>
        </is>
      </c>
      <c r="C19" t="inlineStr">
        <is>
          <t>억원</t>
        </is>
      </c>
      <c r="D19" t="inlineStr">
        <is>
          <t>감가상각비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 t="n"/>
      <c r="O19" s="18" t="n"/>
      <c r="P19" s="37">
        <f>SUM(L19:O19)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 t="n"/>
      <c r="U19" s="37">
        <f>SUM(Q19:T19)</f>
        <v/>
      </c>
      <c r="V19" s="18" t="n"/>
      <c r="W19" s="18" t="n"/>
      <c r="X19" s="18" t="n"/>
      <c r="Y19" s="18" t="n"/>
      <c r="Z19" s="37">
        <f>SUM(V19:Y19)</f>
        <v/>
      </c>
      <c r="AA19" s="18" t="n"/>
      <c r="AB19" s="19" t="n"/>
      <c r="AC19" s="20">
        <f>변수!AC28</f>
        <v/>
      </c>
      <c r="AD19" s="20">
        <f>변수!AD28</f>
        <v/>
      </c>
      <c r="AE19" s="38">
        <f>SUM(AA19:AD19)</f>
        <v/>
      </c>
      <c r="AF19" s="20">
        <f>변수!AF28</f>
        <v/>
      </c>
      <c r="AG19" s="20">
        <f>변수!AG28</f>
        <v/>
      </c>
      <c r="AH19" s="20">
        <f>변수!AH28</f>
        <v/>
      </c>
      <c r="AI19" s="20">
        <f>변수!AI28</f>
        <v/>
      </c>
      <c r="AJ19" s="38">
        <f>SUM(AF19:AI19)</f>
        <v/>
      </c>
      <c r="AK19" s="20">
        <f>변수!AK28</f>
        <v/>
      </c>
      <c r="AL19" s="20">
        <f>변수!AL28</f>
        <v/>
      </c>
      <c r="AM19" s="20">
        <f>변수!AM28</f>
        <v/>
      </c>
      <c r="AN19" s="20">
        <f>변수!AN28</f>
        <v/>
      </c>
      <c r="AO19" s="38">
        <f>SUM(AK19:AN19)</f>
        <v/>
      </c>
    </row>
    <row r="20">
      <c r="A20" s="12" t="inlineStr">
        <is>
          <t>EBITDA</t>
        </is>
      </c>
      <c r="B20" t="inlineStr">
        <is>
          <t>손익</t>
        </is>
      </c>
      <c r="C20" t="inlineStr">
        <is>
          <t>억원</t>
        </is>
      </c>
      <c r="D20" t="inlineStr">
        <is>
          <t>EBITDA</t>
        </is>
      </c>
      <c r="E20" s="18" t="n">
        <v>90.26000000000001</v>
      </c>
      <c r="F20" s="37" t="n"/>
      <c r="G20" s="18" t="n">
        <v>54.82</v>
      </c>
      <c r="H20" s="18" t="n">
        <v>-5.14</v>
      </c>
      <c r="I20" s="18" t="n">
        <v>54.34</v>
      </c>
      <c r="J20" s="18" t="n">
        <v>23.67</v>
      </c>
      <c r="K20" s="37">
        <f>SUM(G20:J20)</f>
        <v/>
      </c>
      <c r="L20" s="18" t="n">
        <v>26.91</v>
      </c>
      <c r="M20" s="18" t="n">
        <v>37.65</v>
      </c>
      <c r="N20" s="18" t="n"/>
      <c r="O20" s="18" t="n"/>
      <c r="P20" s="37">
        <f>SUM(L20:O20)</f>
        <v/>
      </c>
      <c r="Q20" s="18" t="n">
        <v>12.61</v>
      </c>
      <c r="R20" s="18" t="n">
        <v>11.21</v>
      </c>
      <c r="S20" s="18" t="n">
        <v>15.26</v>
      </c>
      <c r="T20" s="18" t="n"/>
      <c r="U20" s="37">
        <f>SUM(Q20:T20)</f>
        <v/>
      </c>
      <c r="V20" s="18" t="n"/>
      <c r="W20" s="18" t="n"/>
      <c r="X20" s="18" t="n"/>
      <c r="Y20" s="18" t="n"/>
      <c r="Z20" s="37">
        <f>SUM(V20:Y20)</f>
        <v/>
      </c>
      <c r="AA20" s="18" t="n"/>
      <c r="AB20" s="19" t="n"/>
      <c r="AC20" s="20">
        <f>IFERROR(AC9+AC19,"")</f>
        <v/>
      </c>
      <c r="AD20" s="20">
        <f>IFERROR(AD9+AD19,"")</f>
        <v/>
      </c>
      <c r="AE20" s="38">
        <f>SUM(AA20:AD20)</f>
        <v/>
      </c>
      <c r="AF20" s="20">
        <f>IFERROR(AF9+AF19,"")</f>
        <v/>
      </c>
      <c r="AG20" s="20">
        <f>IFERROR(AG9+AG19,"")</f>
        <v/>
      </c>
      <c r="AH20" s="20">
        <f>IFERROR(AH9+AH19,"")</f>
        <v/>
      </c>
      <c r="AI20" s="20">
        <f>IFERROR(AI9+AI19,"")</f>
        <v/>
      </c>
      <c r="AJ20" s="38">
        <f>SUM(AF20:AI20)</f>
        <v/>
      </c>
      <c r="AK20" s="20">
        <f>IFERROR(AK9+AK19,"")</f>
        <v/>
      </c>
      <c r="AL20" s="20">
        <f>IFERROR(AL9+AL19,"")</f>
        <v/>
      </c>
      <c r="AM20" s="20">
        <f>IFERROR(AM9+AM19,"")</f>
        <v/>
      </c>
      <c r="AN20" s="20">
        <f>IFERROR(AN9+AN19,"")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IFERROR(AB22*(1+변수!AC29),"")</f>
        <v/>
      </c>
      <c r="AD22" s="20">
        <f>IFERROR(AC22*(1+변수!AD29),"")</f>
        <v/>
      </c>
      <c r="AE22" s="38">
        <f>AD22</f>
        <v/>
      </c>
      <c r="AF22" s="20">
        <f>IFERROR(AD22*(1+변수!AF29),"")</f>
        <v/>
      </c>
      <c r="AG22" s="20">
        <f>IFERROR(AF22*(1+변수!AG29),"")</f>
        <v/>
      </c>
      <c r="AH22" s="20">
        <f>IFERROR(AG22*(1+변수!AH29),"")</f>
        <v/>
      </c>
      <c r="AI22" s="20">
        <f>IFERROR(AH22*(1+변수!AI29),"")</f>
        <v/>
      </c>
      <c r="AJ22" s="38">
        <f>AI22</f>
        <v/>
      </c>
      <c r="AK22" s="20">
        <f>IFERROR(AI22*(1+변수!AK29),"")</f>
        <v/>
      </c>
      <c r="AL22" s="20">
        <f>IFERROR(AK22*(1+변수!AL29),"")</f>
        <v/>
      </c>
      <c r="AM22" s="20">
        <f>IFERROR(AL22*(1+변수!AM29),"")</f>
        <v/>
      </c>
      <c r="AN22" s="20">
        <f>IFERROR(AM22*(1+변수!AN29),"")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IFERROR(AB23+AC17-변수!AC30,"")</f>
        <v/>
      </c>
      <c r="AD23" s="20">
        <f>IFERROR(AC23+AD17-변수!AD30,"")</f>
        <v/>
      </c>
      <c r="AE23" s="38">
        <f>AD23</f>
        <v/>
      </c>
      <c r="AF23" s="20">
        <f>IFERROR(AD23+AF17-변수!AF30,"")</f>
        <v/>
      </c>
      <c r="AG23" s="20">
        <f>IFERROR(AF23+AG17-변수!AG30,"")</f>
        <v/>
      </c>
      <c r="AH23" s="20">
        <f>IFERROR(AG23+AH17-변수!AH30,"")</f>
        <v/>
      </c>
      <c r="AI23" s="20">
        <f>IFERROR(AH23+AI17-변수!AI30,"")</f>
        <v/>
      </c>
      <c r="AJ23" s="38">
        <f>AI23</f>
        <v/>
      </c>
      <c r="AK23" s="20">
        <f>IFERROR(AI23+AK17-변수!AK30,"")</f>
        <v/>
      </c>
      <c r="AL23" s="20">
        <f>IFERROR(AK23+AL17-변수!AL30,"")</f>
        <v/>
      </c>
      <c r="AM23" s="20">
        <f>IFERROR(AL23+AM17-변수!AM30,"")</f>
        <v/>
      </c>
      <c r="AN23" s="20">
        <f>IFERROR(AM23+AN17-변수!AN30,"")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IFERROR(AB24+AC18-변수!AC31,"")</f>
        <v/>
      </c>
      <c r="AD24" s="20">
        <f>IFERROR(AC24+AD18-변수!AD31,"")</f>
        <v/>
      </c>
      <c r="AE24" s="38">
        <f>AD24</f>
        <v/>
      </c>
      <c r="AF24" s="20">
        <f>IFERROR(AD24+AF18-변수!AF31,"")</f>
        <v/>
      </c>
      <c r="AG24" s="20">
        <f>IFERROR(AF24+AG18-변수!AG31,"")</f>
        <v/>
      </c>
      <c r="AH24" s="20">
        <f>IFERROR(AG24+AH18-변수!AH31,"")</f>
        <v/>
      </c>
      <c r="AI24" s="20">
        <f>IFERROR(AH24+AI18-변수!AI31,"")</f>
        <v/>
      </c>
      <c r="AJ24" s="38">
        <f>AI24</f>
        <v/>
      </c>
      <c r="AK24" s="20">
        <f>IFERROR(AI24+AK18-변수!AK31,"")</f>
        <v/>
      </c>
      <c r="AL24" s="20">
        <f>IFERROR(AK24+AL18-변수!AL31,"")</f>
        <v/>
      </c>
      <c r="AM24" s="20">
        <f>IFERROR(AL24+AM18-변수!AM31,"")</f>
        <v/>
      </c>
      <c r="AN24" s="20">
        <f>IFERROR(AM24+AN18-변수!AN31,"")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 t="n"/>
      <c r="R25" s="18" t="n"/>
      <c r="S25" s="18" t="n"/>
      <c r="T25" s="18" t="n"/>
      <c r="U25" s="37">
        <f>T25</f>
        <v/>
      </c>
      <c r="V25" s="18" t="n"/>
      <c r="W25" s="18" t="n"/>
      <c r="X25" s="18" t="n"/>
      <c r="Y25" s="18" t="n"/>
      <c r="Z25" s="37">
        <f>Y25</f>
        <v/>
      </c>
      <c r="AA25" s="18" t="n"/>
      <c r="AB25" s="19" t="n"/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 t="n"/>
      <c r="R26" s="18" t="n"/>
      <c r="S26" s="18" t="n"/>
      <c r="T26" s="18" t="n"/>
      <c r="U26" s="37">
        <f>T26</f>
        <v/>
      </c>
      <c r="V26" s="18" t="n"/>
      <c r="W26" s="18" t="n"/>
      <c r="X26" s="18" t="n"/>
      <c r="Y26" s="18" t="n"/>
      <c r="Z26" s="37">
        <f>Y26</f>
        <v/>
      </c>
      <c r="AA26" s="18" t="n"/>
      <c r="AB26" s="19" t="n"/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 t="n"/>
      <c r="F29" s="37" t="n"/>
      <c r="G29" s="18" t="n"/>
      <c r="H29" s="18" t="n"/>
      <c r="I29" s="18" t="n"/>
      <c r="J29" s="18" t="n"/>
      <c r="K29" s="37">
        <f>SUM(G29:J29)</f>
        <v/>
      </c>
      <c r="L29" s="18" t="n"/>
      <c r="M29" s="18" t="n"/>
      <c r="N29" s="18" t="n"/>
      <c r="O29" s="18" t="n"/>
      <c r="P29" s="37">
        <f>SUM(L29:O29)</f>
        <v/>
      </c>
      <c r="Q29" s="18" t="n"/>
      <c r="R29" s="18" t="n"/>
      <c r="S29" s="18" t="n"/>
      <c r="T29" s="18" t="n"/>
      <c r="U29" s="37">
        <f>SUM(Q29:T29)</f>
        <v/>
      </c>
      <c r="V29" s="18" t="n"/>
      <c r="W29" s="18" t="n"/>
      <c r="X29" s="18" t="n"/>
      <c r="Y29" s="18" t="n"/>
      <c r="Z29" s="37">
        <f>SUM(V29:Y29)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IFERROR(AB29*(1+변수!AC36),"")</f>
        <v/>
      </c>
      <c r="AD29" s="20">
        <f>IFERROR(AC29*(1+변수!AD36),"")</f>
        <v/>
      </c>
      <c r="AE29" s="38">
        <f>SUM(AA29:AD29)</f>
        <v/>
      </c>
      <c r="AF29" s="20">
        <f>IFERROR(AA29*(1+변수!AF36),"")</f>
        <v/>
      </c>
      <c r="AG29" s="20">
        <f>IFERROR(AB29*(1+변수!AG36),"")</f>
        <v/>
      </c>
      <c r="AH29" s="20">
        <f>IFERROR(AC29*(1+변수!AH36),"")</f>
        <v/>
      </c>
      <c r="AI29" s="20">
        <f>IFERROR(AD29*(1+변수!AI36),"")</f>
        <v/>
      </c>
      <c r="AJ29" s="38">
        <f>SUM(AF29:AI29)</f>
        <v/>
      </c>
      <c r="AK29" s="20">
        <f>IFERROR(AF29*(1+변수!AK36),"")</f>
        <v/>
      </c>
      <c r="AL29" s="20">
        <f>IFERROR(AG29*(1+변수!AL36),"")</f>
        <v/>
      </c>
      <c r="AM29" s="20">
        <f>IFERROR(AH29*(1+변수!AM36),"")</f>
        <v/>
      </c>
      <c r="AN29" s="20">
        <f>IFERROR(AI29*(1+변수!AN36),"")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5.087</v>
      </c>
      <c r="F31" s="28">
        <f>E31</f>
        <v/>
      </c>
      <c r="G31" s="27" t="n">
        <v>5.087</v>
      </c>
      <c r="H31" s="27" t="n">
        <v>5.087</v>
      </c>
      <c r="I31" s="27" t="n">
        <v>5.087</v>
      </c>
      <c r="J31" s="27" t="n">
        <v>4.981</v>
      </c>
      <c r="K31" s="28">
        <f>J31</f>
        <v/>
      </c>
      <c r="L31" s="27" t="n">
        <v>4.981</v>
      </c>
      <c r="M31" s="27" t="n">
        <v>4.981</v>
      </c>
      <c r="N31" s="27" t="n">
        <v>4.981</v>
      </c>
      <c r="O31" s="27" t="n">
        <v>4.931</v>
      </c>
      <c r="P31" s="28">
        <f>O31</f>
        <v/>
      </c>
      <c r="Q31" s="27" t="n">
        <v>4.931</v>
      </c>
      <c r="R31" s="27" t="n">
        <v>4.931</v>
      </c>
      <c r="S31" s="27" t="n">
        <v>4.931</v>
      </c>
      <c r="T31" s="27" t="n">
        <v>4.519</v>
      </c>
      <c r="U31" s="28">
        <f>T31</f>
        <v/>
      </c>
      <c r="V31" s="27" t="n">
        <v>4.519</v>
      </c>
      <c r="W31" s="27" t="n">
        <v>4.519</v>
      </c>
      <c r="X31" s="27" t="n">
        <v>4.519</v>
      </c>
      <c r="Y31" s="27" t="n">
        <v>4.519</v>
      </c>
      <c r="Z31" s="28">
        <f>Y31</f>
        <v/>
      </c>
      <c r="AA31" s="27" t="n">
        <v>5.034</v>
      </c>
      <c r="AB31" s="29" t="n">
        <v>5.034</v>
      </c>
      <c r="AC31" s="33">
        <f>IFERROR(AB31*(1+변수!AC38),"")</f>
        <v/>
      </c>
      <c r="AD31" s="33">
        <f>IFERROR(AC31*(1+변수!AD38),"")</f>
        <v/>
      </c>
      <c r="AE31" s="31">
        <f>AD31</f>
        <v/>
      </c>
      <c r="AF31" s="33">
        <f>IFERROR(AD31*(1+변수!AF38),"")</f>
        <v/>
      </c>
      <c r="AG31" s="33">
        <f>IFERROR(AF31*(1+변수!AG38),"")</f>
        <v/>
      </c>
      <c r="AH31" s="33">
        <f>IFERROR(AG31*(1+변수!AH38),"")</f>
        <v/>
      </c>
      <c r="AI31" s="33">
        <f>IFERROR(AH31*(1+변수!AI38),"")</f>
        <v/>
      </c>
      <c r="AJ31" s="31">
        <f>AI31</f>
        <v/>
      </c>
      <c r="AK31" s="33">
        <f>IFERROR(AI31*(1+변수!AK38),"")</f>
        <v/>
      </c>
      <c r="AL31" s="33">
        <f>IFERROR(AK31*(1+변수!AL38),"")</f>
        <v/>
      </c>
      <c r="AM31" s="33">
        <f>IFERROR(AL31*(1+변수!AM38),"")</f>
        <v/>
      </c>
      <c r="AN31" s="33">
        <f>IFERROR(AM31*(1+변수!AN38),"")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IFERROR(E18*100/E31,"")</f>
        <v/>
      </c>
      <c r="F32" s="37" t="n"/>
      <c r="G32" s="18">
        <f>IFERROR(G18*100/G31,"")</f>
        <v/>
      </c>
      <c r="H32" s="18">
        <f>IFERROR(H18*100/H31,"")</f>
        <v/>
      </c>
      <c r="I32" s="18">
        <f>IFERROR(I18*100/I31,"")</f>
        <v/>
      </c>
      <c r="J32" s="18">
        <f>IFERROR(J18*100/J31,"")</f>
        <v/>
      </c>
      <c r="K32" s="37">
        <f>SUM(G32:J32)</f>
        <v/>
      </c>
      <c r="L32" s="18">
        <f>IFERROR(L18*100/L31,"")</f>
        <v/>
      </c>
      <c r="M32" s="18">
        <f>IFERROR(M18*100/M31,"")</f>
        <v/>
      </c>
      <c r="N32" s="18">
        <f>IFERROR(N18*100/N31,"")</f>
        <v/>
      </c>
      <c r="O32" s="18">
        <f>IFERROR(O18*100/O31,"")</f>
        <v/>
      </c>
      <c r="P32" s="37">
        <f>SUM(L32:O32)</f>
        <v/>
      </c>
      <c r="Q32" s="18">
        <f>IFERROR(Q18*100/Q31,"")</f>
        <v/>
      </c>
      <c r="R32" s="18">
        <f>IFERROR(R18*100/R31,"")</f>
        <v/>
      </c>
      <c r="S32" s="18">
        <f>IFERROR(S18*100/S31,"")</f>
        <v/>
      </c>
      <c r="T32" s="18">
        <f>IFERROR(T18*100/T31,"")</f>
        <v/>
      </c>
      <c r="U32" s="37">
        <f>SUM(Q32:T32)</f>
        <v/>
      </c>
      <c r="V32" s="18">
        <f>IFERROR(V18*100/V31,"")</f>
        <v/>
      </c>
      <c r="W32" s="18">
        <f>IFERROR(W18*100/W31,"")</f>
        <v/>
      </c>
      <c r="X32" s="18">
        <f>IFERROR(X18*100/X31,"")</f>
        <v/>
      </c>
      <c r="Y32" s="18">
        <f>IFERROR(Y18*100/Y31,"")</f>
        <v/>
      </c>
      <c r="Z32" s="37">
        <f>SUM(V32:Y32)</f>
        <v/>
      </c>
      <c r="AA32" s="18">
        <f>IFERROR(AA18*100/AA31,"")</f>
        <v/>
      </c>
      <c r="AB32" s="19">
        <f>IFERROR(AB18*100/AB31,"")</f>
        <v/>
      </c>
      <c r="AC32" s="20">
        <f>IFERROR(AC18*100/AC31,"")</f>
        <v/>
      </c>
      <c r="AD32" s="20">
        <f>IFERROR(AD18*100/AD31,"")</f>
        <v/>
      </c>
      <c r="AE32" s="38">
        <f>SUM(AA32:AD32)</f>
        <v/>
      </c>
      <c r="AF32" s="20">
        <f>IFERROR(AF18*100/AF31,"")</f>
        <v/>
      </c>
      <c r="AG32" s="20">
        <f>IFERROR(AG18*100/AG31,"")</f>
        <v/>
      </c>
      <c r="AH32" s="20">
        <f>IFERROR(AH18*100/AH31,"")</f>
        <v/>
      </c>
      <c r="AI32" s="20">
        <f>IFERROR(AI18*100/AI31,"")</f>
        <v/>
      </c>
      <c r="AJ32" s="38">
        <f>SUM(AF32:AI32)</f>
        <v/>
      </c>
      <c r="AK32" s="20">
        <f>IFERROR(AK18*100/AK31,"")</f>
        <v/>
      </c>
      <c r="AL32" s="20">
        <f>IFERROR(AL18*100/AL31,"")</f>
        <v/>
      </c>
      <c r="AM32" s="20">
        <f>IFERROR(AM18*100/AM31,"")</f>
        <v/>
      </c>
      <c r="AN32" s="20">
        <f>IFERROR(AN18*100/AN31,"")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1000</v>
      </c>
      <c r="F34" s="37" t="n">
        <v>1000</v>
      </c>
      <c r="G34" s="18" t="n"/>
      <c r="H34" s="18" t="n"/>
      <c r="I34" s="18" t="n"/>
      <c r="J34" s="18" t="n">
        <v>1500</v>
      </c>
      <c r="K34" s="37">
        <f>SUM(G34:J34)</f>
        <v/>
      </c>
      <c r="L34" s="18" t="n"/>
      <c r="M34" s="18" t="n"/>
      <c r="N34" s="18" t="n"/>
      <c r="O34" s="18" t="n">
        <v>1500</v>
      </c>
      <c r="P34" s="37">
        <f>SUM(L34:O34)</f>
        <v/>
      </c>
      <c r="Q34" s="18" t="n"/>
      <c r="R34" s="18" t="n"/>
      <c r="S34" s="18" t="n"/>
      <c r="T34" s="18" t="n">
        <v>2500</v>
      </c>
      <c r="U34" s="37">
        <f>SUM(Q34:T34)</f>
        <v/>
      </c>
      <c r="V34" s="18" t="n"/>
      <c r="W34" s="18" t="n"/>
      <c r="X34" s="18" t="n"/>
      <c r="Y34" s="18" t="n">
        <v>6000</v>
      </c>
      <c r="Z34" s="37">
        <f>SUM(V34:Y34)</f>
        <v/>
      </c>
      <c r="AA34" s="18" t="n"/>
      <c r="AB34" s="19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  <c r="AK34" s="20" t="n"/>
      <c r="AL34" s="20" t="n"/>
      <c r="AM34" s="20" t="n"/>
      <c r="AN34" s="20">
        <f>변수!AN39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IFERROR(변수!$D$42/(Y32+AA32+AB32+AC32),"")</f>
        <v/>
      </c>
      <c r="AD35" s="39">
        <f>IFERROR(변수!$D$42/(AA32+AB32+AC32+AD32),"")</f>
        <v/>
      </c>
      <c r="AE35" s="40">
        <f>AD35</f>
        <v/>
      </c>
      <c r="AF35" s="39">
        <f>IFERROR(변수!$D$42/(AB32+AC32+AD32+AF32),"")</f>
        <v/>
      </c>
      <c r="AG35" s="39">
        <f>IFERROR(변수!$D$42/(AC32+AD32+AF32+AG32),"")</f>
        <v/>
      </c>
      <c r="AH35" s="39">
        <f>IFERROR(변수!$D$42/(AD32+AF32+AG32+AH32),"")</f>
        <v/>
      </c>
      <c r="AI35" s="39">
        <f>IFERROR(변수!$D$42/(AF32+AG32+AH32+AI32),"")</f>
        <v/>
      </c>
      <c r="AJ35" s="40">
        <f>AI35</f>
        <v/>
      </c>
      <c r="AK35" s="39">
        <f>IFERROR(변수!$D$42/(AG32+AH32+AI32+AK32),"")</f>
        <v/>
      </c>
      <c r="AL35" s="39">
        <f>IFERROR(변수!$D$42/(AH32+AI32+AK32+AL32),"")</f>
        <v/>
      </c>
      <c r="AM35" s="39">
        <f>IFERROR(변수!$D$42/(AI32+AK32+AL32+AM32),"")</f>
        <v/>
      </c>
      <c r="AN35" s="39">
        <f>IFERROR(변수!$D$42/(AK32+AL32+AM32+AN32),"")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  <c r="AK36" s="39">
        <f>IFERROR(변수!$D$42/AK33,"")</f>
        <v/>
      </c>
      <c r="AL36" s="39">
        <f>IFERROR(변수!$D$42/AL33,"")</f>
        <v/>
      </c>
      <c r="AM36" s="39">
        <f>IFERROR(변수!$D$42/AM33,"")</f>
        <v/>
      </c>
      <c r="AN36" s="39">
        <f>IFERROR(변수!$D$42/AN33,"")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251.83</v>
      </c>
      <c r="F37" s="37" t="n"/>
      <c r="G37" s="18" t="n">
        <v>188.62</v>
      </c>
      <c r="H37" s="18" t="n">
        <v>114.88</v>
      </c>
      <c r="I37" s="18" t="n">
        <v>147.09</v>
      </c>
      <c r="J37" s="18" t="n">
        <v>151.12</v>
      </c>
      <c r="K37" s="37">
        <f>SUM(G37:J37)</f>
        <v/>
      </c>
      <c r="L37" s="18" t="n">
        <v>123.37</v>
      </c>
      <c r="M37" s="18" t="n">
        <v>216.49</v>
      </c>
      <c r="N37" s="18" t="n">
        <v>168.14</v>
      </c>
      <c r="O37" s="18" t="n">
        <v>153.69</v>
      </c>
      <c r="P37" s="37">
        <f>SUM(L37:O37)</f>
        <v/>
      </c>
      <c r="Q37" s="18" t="n">
        <v>83.5</v>
      </c>
      <c r="R37" s="18" t="n">
        <v>110.31</v>
      </c>
      <c r="S37" s="18" t="n">
        <v>132.32</v>
      </c>
      <c r="T37" s="18" t="n">
        <v>138.54</v>
      </c>
      <c r="U37" s="37">
        <f>SUM(Q37:T37)</f>
        <v/>
      </c>
      <c r="V37" s="18" t="n">
        <v>339.81</v>
      </c>
      <c r="W37" s="18" t="n">
        <v>311.7</v>
      </c>
      <c r="X37" s="18" t="n">
        <v>307.62</v>
      </c>
      <c r="Y37" s="18" t="n">
        <v>207.13</v>
      </c>
      <c r="Z37" s="37">
        <f>SUM(V37:Y37)</f>
        <v/>
      </c>
      <c r="AA37" s="18" t="n">
        <v>259.36</v>
      </c>
      <c r="AB37" s="19" t="n">
        <v>239.53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89.98999999999999</v>
      </c>
      <c r="F38" s="37" t="n"/>
      <c r="G38" s="18" t="n">
        <v>54.1</v>
      </c>
      <c r="H38" s="18" t="n">
        <v>-5.88</v>
      </c>
      <c r="I38" s="18" t="n">
        <v>53.59</v>
      </c>
      <c r="J38" s="18" t="n">
        <v>22.86</v>
      </c>
      <c r="K38" s="37">
        <f>SUM(G38:J38)</f>
        <v/>
      </c>
      <c r="L38" s="18" t="n">
        <v>26.1</v>
      </c>
      <c r="M38" s="18" t="n">
        <v>36.83</v>
      </c>
      <c r="N38" s="18" t="n">
        <v>45.87</v>
      </c>
      <c r="O38" s="18" t="n">
        <v>21</v>
      </c>
      <c r="P38" s="37">
        <f>SUM(L38:O38)</f>
        <v/>
      </c>
      <c r="Q38" s="18" t="n">
        <v>11.78</v>
      </c>
      <c r="R38" s="18" t="n">
        <v>10.41</v>
      </c>
      <c r="S38" s="18" t="n">
        <v>14.47</v>
      </c>
      <c r="T38" s="18" t="n">
        <v>-20.2</v>
      </c>
      <c r="U38" s="37">
        <f>SUM(Q38:T38)</f>
        <v/>
      </c>
      <c r="V38" s="18" t="n">
        <v>99.41</v>
      </c>
      <c r="W38" s="18" t="n">
        <v>51.4</v>
      </c>
      <c r="X38" s="18" t="n">
        <v>61.99</v>
      </c>
      <c r="Y38" s="18" t="n">
        <v>40.45</v>
      </c>
      <c r="Z38" s="37">
        <f>SUM(V38:Y38)</f>
        <v/>
      </c>
      <c r="AA38" s="18" t="n">
        <v>80.42</v>
      </c>
      <c r="AB38" s="19" t="n">
        <v>41.99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IFERROR(E18/E5,"")</f>
        <v/>
      </c>
      <c r="F40" s="22">
        <f>IFERROR(F18/F5,"")</f>
        <v/>
      </c>
      <c r="G40" s="21">
        <f>IFERROR(G18/G5,"")</f>
        <v/>
      </c>
      <c r="H40" s="21">
        <f>IFERROR(H18/H5,"")</f>
        <v/>
      </c>
      <c r="I40" s="21">
        <f>IFERROR(I18/I5,"")</f>
        <v/>
      </c>
      <c r="J40" s="21">
        <f>IFERROR(J18/J5,"")</f>
        <v/>
      </c>
      <c r="K40" s="22">
        <f>IFERROR(K18/K5,"")</f>
        <v/>
      </c>
      <c r="L40" s="21">
        <f>IFERROR(L18/L5,"")</f>
        <v/>
      </c>
      <c r="M40" s="21">
        <f>IFERROR(M18/M5,"")</f>
        <v/>
      </c>
      <c r="N40" s="21">
        <f>IFERROR(N18/N5,"")</f>
        <v/>
      </c>
      <c r="O40" s="21">
        <f>IFERROR(O18/O5,"")</f>
        <v/>
      </c>
      <c r="P40" s="22">
        <f>IFERROR(P18/P5,"")</f>
        <v/>
      </c>
      <c r="Q40" s="21">
        <f>IFERROR(Q18/Q5,"")</f>
        <v/>
      </c>
      <c r="R40" s="21">
        <f>IFERROR(R18/R5,"")</f>
        <v/>
      </c>
      <c r="S40" s="21">
        <f>IFERROR(S18/S5,"")</f>
        <v/>
      </c>
      <c r="T40" s="21">
        <f>IFERROR(T18/T5,"")</f>
        <v/>
      </c>
      <c r="U40" s="22">
        <f>IFERROR(U18/U5,"")</f>
        <v/>
      </c>
      <c r="V40" s="21">
        <f>IFERROR(V18/V5,"")</f>
        <v/>
      </c>
      <c r="W40" s="21">
        <f>IFERROR(W18/W5,"")</f>
        <v/>
      </c>
      <c r="X40" s="21">
        <f>IFERROR(X18/X5,"")</f>
        <v/>
      </c>
      <c r="Y40" s="21">
        <f>IFERROR(Y18/Y5,"")</f>
        <v/>
      </c>
      <c r="Z40" s="22">
        <f>IFERROR(Z18/Z5,"")</f>
        <v/>
      </c>
      <c r="AA40" s="21">
        <f>IFERROR(AA18/AA5,"")</f>
        <v/>
      </c>
      <c r="AB40" s="23">
        <f>IFERROR(AB18/AB5,"")</f>
        <v/>
      </c>
      <c r="AC40" s="32">
        <f>IFERROR(AC18/AC5,"")</f>
        <v/>
      </c>
      <c r="AD40" s="32">
        <f>IFERROR(AD18/AD5,"")</f>
        <v/>
      </c>
      <c r="AE40" s="25">
        <f>IFERROR(AE18/AE5,"")</f>
        <v/>
      </c>
      <c r="AF40" s="32">
        <f>IFERROR(AF18/AF5,"")</f>
        <v/>
      </c>
      <c r="AG40" s="32">
        <f>IFERROR(AG18/AG5,"")</f>
        <v/>
      </c>
      <c r="AH40" s="32">
        <f>IFERROR(AH18/AH5,"")</f>
        <v/>
      </c>
      <c r="AI40" s="32">
        <f>IFERROR(AI18/AI5,"")</f>
        <v/>
      </c>
      <c r="AJ40" s="25">
        <f>IFERROR(AJ18/AJ5,"")</f>
        <v/>
      </c>
      <c r="AK40" s="32">
        <f>IFERROR(AK18/AK5,"")</f>
        <v/>
      </c>
      <c r="AL40" s="32">
        <f>IFERROR(AL18/AL5,"")</f>
        <v/>
      </c>
      <c r="AM40" s="32">
        <f>IFERROR(AM18/AM5,"")</f>
        <v/>
      </c>
      <c r="AN40" s="32">
        <f>IFERROR(AN18/AN5,"")</f>
        <v/>
      </c>
      <c r="AO40" s="25">
        <f>IFERROR(AO18/AO5,"")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IFERROR(I18/E18-1,"")</f>
        <v/>
      </c>
      <c r="J42" s="21">
        <f>IFERROR(J18/F18-1,"")</f>
        <v/>
      </c>
      <c r="K42" s="21">
        <f>IFERROR(K18/G18-1,"")</f>
        <v/>
      </c>
      <c r="L42" s="21">
        <f>IFERROR(L18/H18-1,"")</f>
        <v/>
      </c>
      <c r="M42" s="21">
        <f>IFERROR(M18/I18-1,"")</f>
        <v/>
      </c>
      <c r="N42" s="21">
        <f>IFERROR(N18/J18-1,"")</f>
        <v/>
      </c>
      <c r="O42" s="21">
        <f>IFERROR(O18/K18-1,"")</f>
        <v/>
      </c>
      <c r="P42" s="21">
        <f>IFERROR(P18/L18-1,"")</f>
        <v/>
      </c>
      <c r="Q42" s="21">
        <f>IFERROR(Q18/M18-1,"")</f>
        <v/>
      </c>
      <c r="R42" s="21">
        <f>IFERROR(R18/N18-1,"")</f>
        <v/>
      </c>
      <c r="S42" s="21">
        <f>IFERROR(S18/O18-1,"")</f>
        <v/>
      </c>
      <c r="T42" s="21">
        <f>IFERROR(T18/P18-1,"")</f>
        <v/>
      </c>
      <c r="U42" s="21">
        <f>IFERROR(U18/Q18-1,"")</f>
        <v/>
      </c>
      <c r="V42" s="21">
        <f>IFERROR(V18/R18-1,"")</f>
        <v/>
      </c>
      <c r="W42" s="46">
        <f>IFERROR(W18/S18-1,"")</f>
        <v/>
      </c>
      <c r="X42" s="32">
        <f>IFERROR(X18/T18-1,"")</f>
        <v/>
      </c>
      <c r="Y42" s="32">
        <f>IFERROR(Y18/U18-1,"")</f>
        <v/>
      </c>
      <c r="Z42" s="32">
        <f>IFERROR(Z18/V18-1,"")</f>
        <v/>
      </c>
      <c r="AA42" s="32">
        <f>IFERROR(AA18/W18-1,"")</f>
        <v/>
      </c>
      <c r="AB42" s="32">
        <f>IFERROR(AB18/X18-1,"")</f>
        <v/>
      </c>
      <c r="AC42" s="32">
        <f>IFERROR(AC18/Y18-1,"")</f>
        <v/>
      </c>
      <c r="AD42" s="32">
        <f>IFERROR(AD18/Z18-1,"")</f>
        <v/>
      </c>
      <c r="AE42" s="32">
        <f>IFERROR(AE18/AA18-1,"")</f>
        <v/>
      </c>
      <c r="AF42" s="32">
        <f>IFERROR(AF18/AB18-1,"")</f>
        <v/>
      </c>
      <c r="AG42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IFERROR(F18/E18-1,"")</f>
        <v/>
      </c>
      <c r="G42" s="21">
        <f>IFERROR(G18/F18-1,"")</f>
        <v/>
      </c>
      <c r="H42" s="21">
        <f>IFERROR(H18/G18-1,"")</f>
        <v/>
      </c>
      <c r="I42" s="46">
        <f>IFERROR(I18/H18-1,"")</f>
        <v/>
      </c>
      <c r="J42" s="32">
        <f>IFERROR(J18/I18-1,"")</f>
        <v/>
      </c>
      <c r="K42" s="32">
        <f>IFERROR(K18/J18-1,"")</f>
        <v/>
      </c>
      <c r="L42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3679.2</v>
      </c>
    </row>
    <row r="30">
      <c r="C30" s="2" t="inlineStr">
        <is>
          <t>bps_latest</t>
        </is>
      </c>
      <c r="D30" t="n">
        <v>20988</v>
      </c>
    </row>
    <row r="31">
      <c r="C31" s="2" t="inlineStr">
        <is>
          <t>per_now</t>
        </is>
      </c>
      <c r="D31" t="n">
        <v>12.23</v>
      </c>
    </row>
    <row r="32">
      <c r="C32" s="2" t="inlineStr">
        <is>
          <t>pbr_now</t>
        </is>
      </c>
      <c r="D32" t="n">
        <v>2.14</v>
      </c>
    </row>
    <row r="33">
      <c r="C33" s="2" t="inlineStr">
        <is>
          <t>roe_fwd</t>
        </is>
      </c>
      <c r="D33" t="n">
        <v>0.1753</v>
      </c>
    </row>
    <row r="34">
      <c r="C34" s="2" t="inlineStr">
        <is>
          <t>fair_pbr</t>
        </is>
      </c>
      <c r="D34" t="n">
        <v>1.95</v>
      </c>
    </row>
    <row r="35">
      <c r="C35" s="2" t="inlineStr">
        <is>
          <t>fair_value_pbr</t>
        </is>
      </c>
      <c r="D35" t="n">
        <v>40900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