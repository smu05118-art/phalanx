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BS별도!$C$5:$AO$99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148127억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154336억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159907억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161176억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160304억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158427억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모델값 역산(implied): v / 매출액
매출액 × 판관비율 16.83%(최근 4분기 중위)</t>
      </text>
    </comment>
    <comment ref="AD22" authorId="0" shapeId="0">
      <text>
        <t>모델값 역산(implied): v / 매출액
매출액 × 판관비율 16.83%(최근 4분기 중위)</t>
      </text>
    </comment>
    <comment ref="AF22" authorId="0" shapeId="0">
      <text>
        <t>모델값 역산(implied): v / 매출액
매출액 × 판관비율 16.83%(최근 4분기 중위)</t>
      </text>
    </comment>
    <comment ref="AG22" authorId="0" shapeId="0">
      <text>
        <t>모델값 역산(implied): v / 매출액
매출액 × 판관비율 16.83%(최근 4분기 중위)</t>
      </text>
    </comment>
    <comment ref="AH22" authorId="0" shapeId="0">
      <text>
        <t>모델값 역산(implied): v / 매출액
매출액 × 판관비율 16.83%(최근 4분기 중위)</t>
      </text>
    </comment>
    <comment ref="AI22" authorId="0" shapeId="0">
      <text>
        <t>모델값 역산(implied): v / 매출액
매출액 × 판관비율 16.83%(최근 4분기 중위)</t>
      </text>
    </comment>
    <comment ref="AK22" authorId="0" shapeId="0">
      <text>
        <t>모델값 역산(implied): v / 매출액
매출액 × 판관비율 16.83%(최근 4분기 중위)</t>
      </text>
    </comment>
    <comment ref="AL22" authorId="0" shapeId="0">
      <text>
        <t>모델값 역산(implied): v / 매출액
매출액 × 판관비율 16.83%(최근 4분기 중위)</t>
      </text>
    </comment>
    <comment ref="AM22" authorId="0" shapeId="0">
      <text>
        <t>모델값 역산(implied): v / 매출액
매출액 × 판관비율 16.83%(최근 4분기 중위)</t>
      </text>
    </comment>
    <comment ref="AN22" authorId="0" shapeId="0">
      <text>
        <t>모델값 역산(implied): v / 매출액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v / 전년동기 − 1
최근 8분기 OPM 중위 18.5% 유지</t>
      </text>
    </comment>
    <comment ref="AD24" authorId="0" shapeId="0">
      <text>
        <t>모델값 역산(implied): v / 전년동기 − 1
최근 8분기 OPM 중위 18.5% 유지</t>
      </text>
    </comment>
    <comment ref="AF24" authorId="0" shapeId="0">
      <text>
        <t>모델값 역산(implied): v / 전년동기 − 1
최근 8분기 OPM 중위 18.5% 유지</t>
      </text>
    </comment>
    <comment ref="AG24" authorId="0" shapeId="0">
      <text>
        <t>모델값 역산(implied): v / 전년동기 − 1
최근 8분기 OPM 중위 18.5% 유지</t>
      </text>
    </comment>
    <comment ref="AH24" authorId="0" shapeId="0">
      <text>
        <t>모델값 역산(implied): v / 전년동기 − 1
최근 8분기 OPM 중위 18.5% 유지</t>
      </text>
    </comment>
    <comment ref="AI24" authorId="0" shapeId="0">
      <text>
        <t>모델값 역산(implied): v / 전년동기 − 1
최근 8분기 OPM 중위 18.5% 유지</t>
      </text>
    </comment>
    <comment ref="AK24" authorId="0" shapeId="0">
      <text>
        <t>모델값 역산(implied): v / 전년동기 − 1
최근 8분기 OPM 중위 18.5% 유지</t>
      </text>
    </comment>
    <comment ref="AL24" authorId="0" shapeId="0">
      <text>
        <t>모델값 역산(implied): v / 전년동기 − 1
최근 8분기 OPM 중위 18.5% 유지</t>
      </text>
    </comment>
    <comment ref="AM24" authorId="0" shapeId="0">
      <text>
        <t>모델값 역산(implied): v / 전년동기 − 1
최근 8분기 OPM 중위 18.5% 유지</t>
      </text>
    </comment>
    <comment ref="AN24" authorId="0" shapeId="0">
      <text>
        <t>모델값 역산(implied): v / 전년동기 − 1
최근 8분기 OPM 중위 18.5% 유지</t>
      </text>
    </comment>
    <comment ref="AC25" authorId="0" shapeId="0">
      <text>
        <t>모델값 역산(implied): 모델 v 그대로
이자손익 = 이자발생자산 774억 × 3.37% − 총차입금 0억 × 0.00% (연율, CF 실측) ÷ 4; 환·평가손익 0 가정</t>
      </text>
    </comment>
    <comment ref="AD25" authorId="0" shapeId="0">
      <text>
        <t>모델값 역산(implied): 모델 v 그대로
이자손익 = 이자발생자산 821억 × 3.37% − 총차입금 0억 × 0.00% (연율, CF 실측) ÷ 4; 환·평가손익 0 가정</t>
      </text>
    </comment>
    <comment ref="AF25" authorId="0" shapeId="0">
      <text>
        <t>모델값 역산(implied): 모델 v 그대로
이자손익 = 이자발생자산 863억 × 3.37% − 총차입금 0억 × 0.00% (연율, CF 실측) ÷ 4; 환·평가손익 0 가정</t>
      </text>
    </comment>
    <comment ref="AG25" authorId="0" shapeId="0">
      <text>
        <t>모델값 역산(implied): 모델 v 그대로
이자손익 = 이자발생자산 905억 × 3.37% − 총차입금 0억 × 0.00% (연율, CF 실측) ÷ 4; 환·평가손익 0 가정</t>
      </text>
    </comment>
    <comment ref="AH25" authorId="0" shapeId="0">
      <text>
        <t>모델값 역산(implied): 모델 v 그대로
이자손익 = 이자발생자산 657억 × 3.37% − 총차입금 0억 × 0.00% (연율, CF 실측) ÷ 4; 환·평가손익 0 가정</t>
      </text>
    </comment>
    <comment ref="AI25" authorId="0" shapeId="0">
      <text>
        <t>모델값 역산(implied): 모델 v 그대로
이자손익 = 이자발생자산 711억 × 3.37% − 총차입금 0억 × 0.00% (연율, CF 실측) ÷ 4; 환·평가손익 0 가정</t>
      </text>
    </comment>
    <comment ref="AK25" authorId="0" shapeId="0">
      <text>
        <t>모델값 역산(implied): 모델 v 그대로
이자손익 = 이자발생자산 760억 × 3.37% − 총차입금 0억 × 0.00% (연율, CF 실측) ÷ 4; 환·평가손익 0 가정</t>
      </text>
    </comment>
    <comment ref="AL25" authorId="0" shapeId="0">
      <text>
        <t>모델값 역산(implied): 모델 v 그대로
이자손익 = 이자발생자산 809억 × 3.37% − 총차입금 0억 × 0.00% (연율, CF 실측) ÷ 4; 환·평가손익 0 가정</t>
      </text>
    </comment>
    <comment ref="AM25" authorId="0" shapeId="0">
      <text>
        <t>모델값 역산(implied): 모델 v 그대로
이자손익 = 이자발생자산 567억 × 3.37% − 총차입금 0억 × 0.00% (연율, CF 실측) ÷ 4; 환·평가손익 0 가정</t>
      </text>
    </comment>
    <comment ref="AN25" authorId="0" shapeId="0">
      <text>
        <t>모델값 역산(implied): 모델 v 그대로
이자손익 = 이자발생자산 624억 × 3.37%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19.8%(최근 12분기 유효세율 19.8% → 5~27% 클립)</t>
      </text>
    </comment>
    <comment ref="AD27" authorId="0" shapeId="0">
      <text>
        <t>모델값 역산(implied): v / 세전이익
max(세전, 0) × 세율 19.8%(최근 12분기 유효세율 19.8% → 5~27% 클립)</t>
      </text>
    </comment>
    <comment ref="AF27" authorId="0" shapeId="0">
      <text>
        <t>모델값 역산(implied): v / 세전이익
max(세전, 0) × 세율 19.8%(최근 12분기 유효세율 19.8% → 5~27% 클립)</t>
      </text>
    </comment>
    <comment ref="AG27" authorId="0" shapeId="0">
      <text>
        <t>모델값 역산(implied): v / 세전이익
max(세전, 0) × 세율 19.8%(최근 12분기 유효세율 19.8% → 5~27% 클립)</t>
      </text>
    </comment>
    <comment ref="AH27" authorId="0" shapeId="0">
      <text>
        <t>모델값 역산(implied): v / 세전이익
max(세전, 0) × 세율 19.8%(최근 12분기 유효세율 19.8% → 5~27% 클립)</t>
      </text>
    </comment>
    <comment ref="AI27" authorId="0" shapeId="0">
      <text>
        <t>모델값 역산(implied): v / 세전이익
max(세전, 0) × 세율 19.8%(최근 12분기 유효세율 19.8% → 5~27% 클립)</t>
      </text>
    </comment>
    <comment ref="AK27" authorId="0" shapeId="0">
      <text>
        <t>모델값 역산(implied): v / 세전이익
max(세전, 0) × 세율 19.8%(최근 12분기 유효세율 19.8% → 5~27% 클립)</t>
      </text>
    </comment>
    <comment ref="AL27" authorId="0" shapeId="0">
      <text>
        <t>모델값 역산(implied): v / 세전이익
max(세전, 0) × 세율 19.8%(최근 12분기 유효세율 19.8% → 5~27% 클립)</t>
      </text>
    </comment>
    <comment ref="AM27" authorId="0" shapeId="0">
      <text>
        <t>모델값 역산(implied): v / 세전이익
max(세전, 0) × 세율 19.8%(최근 12분기 유효세율 19.8% → 5~27% 클립)</t>
      </text>
    </comment>
    <comment ref="AN27" authorId="0" shapeId="0">
      <text>
        <t>모델값 역산(implied): v / 세전이익
max(세전, 0) × 세율 19.8%(최근 12분기 유효세율 19.8%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6,000원 유지</t>
      </text>
    </comment>
    <comment ref="AI41" authorId="0" shapeId="0">
      <text>
        <t>모델값 역산(implied): v / 전년동기 − 1
직전 결산 DPS 6,000원 유지</t>
      </text>
    </comment>
    <comment ref="AN41" authorId="0" shapeId="0">
      <text>
        <t>모델값 역산(implied): v / 전년동기 − 1
직전 결산 DPS 6,000원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148127억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154336억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159907억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161176억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160304억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158427억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18.5% 유지
[yoy]</t>
      </text>
    </comment>
    <comment ref="AD10" authorId="0" shapeId="0">
      <text>
        <t>추정: 최근 8분기 OPM 중위 18.5% 유지
[yoy]</t>
      </text>
    </comment>
    <comment ref="AF10" authorId="0" shapeId="0">
      <text>
        <t>추정: 최근 8분기 OPM 중위 18.5% 유지
[yoy]</t>
      </text>
    </comment>
    <comment ref="AG10" authorId="0" shapeId="0">
      <text>
        <t>추정: 최근 8분기 OPM 중위 18.5% 유지
[yoy]</t>
      </text>
    </comment>
    <comment ref="AH10" authorId="0" shapeId="0">
      <text>
        <t>추정: 최근 8분기 OPM 중위 18.5% 유지
[yoy]</t>
      </text>
    </comment>
    <comment ref="AI10" authorId="0" shapeId="0">
      <text>
        <t>추정: 최근 8분기 OPM 중위 18.5% 유지
[yoy]</t>
      </text>
    </comment>
    <comment ref="AK10" authorId="0" shapeId="0">
      <text>
        <t>추정: 최근 8분기 OPM 중위 18.5% 유지
[yoy]</t>
      </text>
    </comment>
    <comment ref="AL10" authorId="0" shapeId="0">
      <text>
        <t>추정: 최근 8분기 OPM 중위 18.5% 유지
[yoy]</t>
      </text>
    </comment>
    <comment ref="AM10" authorId="0" shapeId="0">
      <text>
        <t>추정: 최근 8분기 OPM 중위 18.5% 유지
[yoy]</t>
      </text>
    </comment>
    <comment ref="AN10" authorId="0" shapeId="0">
      <text>
        <t>추정: 최근 8분기 OPM 중위 18.5% 유지
[yoy]</t>
      </text>
    </comment>
    <comment ref="AC11" authorId="0" shapeId="0">
      <text>
        <t>추정: 이자손익 = 이자발생자산 774억 × 3.37% − 총차입금 0억 × 0.00% (연율, CF 실측) ÷ 4; 환·평가손익 0 가정
[abs]</t>
      </text>
    </comment>
    <comment ref="AD11" authorId="0" shapeId="0">
      <text>
        <t>추정: 이자손익 = 이자발생자산 821억 × 3.37% − 총차입금 0억 × 0.00% (연율, CF 실측) ÷ 4; 환·평가손익 0 가정
[abs]</t>
      </text>
    </comment>
    <comment ref="AF11" authorId="0" shapeId="0">
      <text>
        <t>추정: 이자손익 = 이자발생자산 863억 × 3.37% − 총차입금 0억 × 0.00% (연율, CF 실측) ÷ 4; 환·평가손익 0 가정
[abs]</t>
      </text>
    </comment>
    <comment ref="AG11" authorId="0" shapeId="0">
      <text>
        <t>추정: 이자손익 = 이자발생자산 905억 × 3.37% − 총차입금 0억 × 0.00% (연율, CF 실측) ÷ 4; 환·평가손익 0 가정
[abs]</t>
      </text>
    </comment>
    <comment ref="AH11" authorId="0" shapeId="0">
      <text>
        <t>추정: 이자손익 = 이자발생자산 657억 × 3.37% − 총차입금 0억 × 0.00% (연율, CF 실측) ÷ 4; 환·평가손익 0 가정
[abs]</t>
      </text>
    </comment>
    <comment ref="AI11" authorId="0" shapeId="0">
      <text>
        <t>추정: 이자손익 = 이자발생자산 711억 × 3.37% − 총차입금 0억 × 0.00% (연율, CF 실측) ÷ 4; 환·평가손익 0 가정
[abs]</t>
      </text>
    </comment>
    <comment ref="AK11" authorId="0" shapeId="0">
      <text>
        <t>추정: 이자손익 = 이자발생자산 760억 × 3.37% − 총차입금 0억 × 0.00% (연율, CF 실측) ÷ 4; 환·평가손익 0 가정
[abs]</t>
      </text>
    </comment>
    <comment ref="AL11" authorId="0" shapeId="0">
      <text>
        <t>추정: 이자손익 = 이자발생자산 809억 × 3.37% − 총차입금 0억 × 0.00% (연율, CF 실측) ÷ 4; 환·평가손익 0 가정
[abs]</t>
      </text>
    </comment>
    <comment ref="AM11" authorId="0" shapeId="0">
      <text>
        <t>추정: 이자손익 = 이자발생자산 567억 × 3.37% − 총차입금 0억 × 0.00% (연율, CF 실측) ÷ 4; 환·평가손익 0 가정
[abs]</t>
      </text>
    </comment>
    <comment ref="AN11" authorId="0" shapeId="0">
      <text>
        <t>추정: 이자손익 = 이자발생자산 624억 × 3.37%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19.8%(최근 12분기 유효세율 19.8% → 5~27% 클립)
[ratio]</t>
      </text>
    </comment>
    <comment ref="AD14" authorId="0" shapeId="0">
      <text>
        <t>추정: max(세전, 0) × 세율 19.8%(최근 12분기 유효세율 19.8% → 5~27% 클립)
[ratio]</t>
      </text>
    </comment>
    <comment ref="AF14" authorId="0" shapeId="0">
      <text>
        <t>추정: max(세전, 0) × 세율 19.8%(최근 12분기 유효세율 19.8% → 5~27% 클립)
[ratio]</t>
      </text>
    </comment>
    <comment ref="AG14" authorId="0" shapeId="0">
      <text>
        <t>추정: max(세전, 0) × 세율 19.8%(최근 12분기 유효세율 19.8% → 5~27% 클립)
[ratio]</t>
      </text>
    </comment>
    <comment ref="AH14" authorId="0" shapeId="0">
      <text>
        <t>추정: max(세전, 0) × 세율 19.8%(최근 12분기 유효세율 19.8% → 5~27% 클립)
[ratio]</t>
      </text>
    </comment>
    <comment ref="AI14" authorId="0" shapeId="0">
      <text>
        <t>추정: max(세전, 0) × 세율 19.8%(최근 12분기 유효세율 19.8% → 5~27% 클립)
[ratio]</t>
      </text>
    </comment>
    <comment ref="AK14" authorId="0" shapeId="0">
      <text>
        <t>추정: max(세전, 0) × 세율 19.8%(최근 12분기 유효세율 19.8% → 5~27% 클립)
[ratio]</t>
      </text>
    </comment>
    <comment ref="AL14" authorId="0" shapeId="0">
      <text>
        <t>추정: max(세전, 0) × 세율 19.8%(최근 12분기 유효세율 19.8% → 5~27% 클립)
[ratio]</t>
      </text>
    </comment>
    <comment ref="AM14" authorId="0" shapeId="0">
      <text>
        <t>추정: max(세전, 0) × 세율 19.8%(최근 12분기 유효세율 19.8% → 5~27% 클립)
[ratio]</t>
      </text>
    </comment>
    <comment ref="AN14" authorId="0" shapeId="0">
      <text>
        <t>추정: max(세전, 0) × 세율 19.8%(최근 12분기 유효세율 19.8%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추정(가정 셀 참조 불가 — 기준값 없음, 모델값 직접): 최근 4분기 감가상각비 중위 유지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Q18" authorId="0" shapeId="0">
      <text>
        <t>실측(계정 매핑 없음 — 모델값 직접) — 영업이익 + 감가상각비(CF)</t>
      </text>
    </comment>
    <comment ref="R18" authorId="0" shapeId="0">
      <text>
        <t>실측(계정 매핑 없음 — 모델값 직접) — 영업이익 + 감가상각비(CF)</t>
      </text>
    </comment>
    <comment ref="S18" authorId="0" shapeId="0">
      <text>
        <t>실측(계정 매핑 없음 — 모델값 직접) — 영업이익 + 감가상각비(CF)</t>
      </text>
    </comment>
    <comment ref="AC18" authorId="0" shapeId="0">
      <text>
        <t>추정(가정 셀 참조 불가 — 기준값 없음, 모델값 직접): 영업이익 + 감가상각비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6,000원 유지
[yoy]</t>
      </text>
    </comment>
    <comment ref="AI32" authorId="0" shapeId="0">
      <text>
        <t>추정: 직전 결산 DPS 6,000원 유지
[yoy]</t>
      </text>
    </comment>
    <comment ref="AN32" authorId="0" shapeId="0">
      <text>
        <t>추정: 직전 결산 DPS 6,000원 유지
[yoy]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assets/models/065710.json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58.0, "op_wape_pct": 35.0,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</v>
      </c>
      <c r="AD21" s="24" t="n">
        <v>0.20827</v>
      </c>
      <c r="AE21" s="25" t="n"/>
      <c r="AF21" s="24" t="n">
        <v>-0.065675</v>
      </c>
      <c r="AG21" s="24" t="n">
        <v>0.344573</v>
      </c>
      <c r="AH21" s="24" t="n">
        <v>0.188238</v>
      </c>
      <c r="AI21" s="24" t="n">
        <v>0.207975</v>
      </c>
      <c r="AJ21" s="25" t="n"/>
      <c r="AK21" s="24" t="n">
        <v>0.200388</v>
      </c>
      <c r="AL21" s="24" t="n">
        <v>0.151706</v>
      </c>
      <c r="AM21" s="24" t="n">
        <v>0.082203</v>
      </c>
      <c r="AN21" s="24" t="n">
        <v>0.026495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0.168334</v>
      </c>
      <c r="AD22" s="24" t="n">
        <v>0.168338</v>
      </c>
      <c r="AE22" s="25">
        <f>IFERROR(subQ!AE8/subQ!AE5,"")</f>
        <v/>
      </c>
      <c r="AF22" s="24" t="n">
        <v>0.168324</v>
      </c>
      <c r="AG22" s="24" t="n">
        <v>0.168317</v>
      </c>
      <c r="AH22" s="24" t="n">
        <v>0.168329</v>
      </c>
      <c r="AI22" s="24" t="n">
        <v>0.168332</v>
      </c>
      <c r="AJ22" s="25">
        <f>IFERROR(subQ!AJ8/subQ!AJ5,"")</f>
        <v/>
      </c>
      <c r="AK22" s="24" t="n">
        <v>0.168311</v>
      </c>
      <c r="AL22" s="24" t="n">
        <v>0.168334</v>
      </c>
      <c r="AM22" s="24" t="n">
        <v>0.168324</v>
      </c>
      <c r="AN22" s="24" t="n">
        <v>0.168337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</v>
      </c>
      <c r="AD23" s="24" t="n">
        <v>0.18528</v>
      </c>
      <c r="AE23" s="25">
        <f>IFERROR(subQ!AE9/subQ!AE5,"")</f>
        <v/>
      </c>
      <c r="AF23" s="24" t="n">
        <v>0.185285</v>
      </c>
      <c r="AG23" s="24" t="n">
        <v>0.18527</v>
      </c>
      <c r="AH23" s="24" t="n">
        <v>0.185292</v>
      </c>
      <c r="AI23" s="24" t="n">
        <v>0.185267</v>
      </c>
      <c r="AJ23" s="25">
        <f>IFERROR(subQ!AJ9/subQ!AJ5,"")</f>
        <v/>
      </c>
      <c r="AK23" s="24" t="n">
        <v>0.185293</v>
      </c>
      <c r="AL23" s="24" t="n">
        <v>0.185291</v>
      </c>
      <c r="AM23" s="24" t="n">
        <v>0.185291</v>
      </c>
      <c r="AN23" s="24" t="n">
        <v>0.185287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-0.080397</v>
      </c>
      <c r="AD24" s="24" t="n">
        <v>-0.051203</v>
      </c>
      <c r="AE24" s="25" t="n"/>
      <c r="AF24" s="24" t="n">
        <v>-0.402258</v>
      </c>
      <c r="AG24" s="24" t="n">
        <v>0.057045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6.53</v>
      </c>
      <c r="AD25" s="29" t="n">
        <v>6.92</v>
      </c>
      <c r="AE25" s="30">
        <f>subQ!AE11</f>
        <v/>
      </c>
      <c r="AF25" s="29" t="n">
        <v>7.28</v>
      </c>
      <c r="AG25" s="29" t="n">
        <v>7.64</v>
      </c>
      <c r="AH25" s="29" t="n">
        <v>5.55</v>
      </c>
      <c r="AI25" s="29" t="n">
        <v>6</v>
      </c>
      <c r="AJ25" s="30">
        <f>subQ!AJ11</f>
        <v/>
      </c>
      <c r="AK25" s="29" t="n">
        <v>6.41</v>
      </c>
      <c r="AL25" s="29" t="n">
        <v>6.82</v>
      </c>
      <c r="AM25" s="29" t="n">
        <v>4.79</v>
      </c>
      <c r="AN25" s="29" t="n">
        <v>5.27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0.197855</v>
      </c>
      <c r="AD27" s="24" t="n">
        <v>0.197749</v>
      </c>
      <c r="AE27" s="25">
        <f>IFERROR(subQ!AE14/subQ!AE13,"")</f>
        <v/>
      </c>
      <c r="AF27" s="24" t="n">
        <v>0.197739</v>
      </c>
      <c r="AG27" s="24" t="n">
        <v>0.197742</v>
      </c>
      <c r="AH27" s="24" t="n">
        <v>0.197774</v>
      </c>
      <c r="AI27" s="24" t="n">
        <v>0.197871</v>
      </c>
      <c r="AJ27" s="25">
        <f>IFERROR(subQ!AJ14/subQ!AJ13,"")</f>
        <v/>
      </c>
      <c r="AK27" s="24" t="n">
        <v>0.197811</v>
      </c>
      <c r="AL27" s="24" t="n">
        <v>0.19775</v>
      </c>
      <c r="AM27" s="24" t="n">
        <v>0.197766</v>
      </c>
      <c r="AN27" s="24" t="n">
        <v>0.197737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0.999784</v>
      </c>
      <c r="AD28" s="24" t="n">
        <v>1</v>
      </c>
      <c r="AE28" s="25">
        <f>IFERROR(subQ!AE16/subQ!AE15,"")</f>
        <v/>
      </c>
      <c r="AF28" s="24" t="n">
        <v>1</v>
      </c>
      <c r="AG28" s="24" t="n">
        <v>0.999815</v>
      </c>
      <c r="AH28" s="24" t="n">
        <v>0.999813</v>
      </c>
      <c r="AI28" s="24" t="n">
        <v>1</v>
      </c>
      <c r="AJ28" s="25">
        <f>IFERROR(subQ!AJ16/subQ!AJ15,"")</f>
        <v/>
      </c>
      <c r="AK28" s="24" t="n">
        <v>1</v>
      </c>
      <c r="AL28" s="24" t="n">
        <v>0.999835</v>
      </c>
      <c r="AM28" s="24" t="n">
        <v>0.999824</v>
      </c>
      <c r="AN28" s="24" t="n">
        <v>0.9998010000000001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0.185221</v>
      </c>
      <c r="AI30" s="24" t="n">
        <v>0.204324</v>
      </c>
      <c r="AJ30" s="25" t="n"/>
      <c r="AK30" s="24" t="n">
        <v>0.196675</v>
      </c>
      <c r="AL30" s="24" t="n">
        <v>0.149802</v>
      </c>
      <c r="AM30" s="24" t="n">
        <v>0.081134</v>
      </c>
      <c r="AN30" s="24" t="n">
        <v>0.026223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9e-06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0.0044</v>
      </c>
      <c r="AD32" s="29" t="n">
        <v>-0.01</v>
      </c>
      <c r="AE32" s="30" t="n"/>
      <c r="AF32" s="29" t="n">
        <v>-0</v>
      </c>
      <c r="AG32" s="29" t="n">
        <v>302.01</v>
      </c>
      <c r="AH32" s="29" t="n">
        <v>0</v>
      </c>
      <c r="AI32" s="29" t="n">
        <v>0</v>
      </c>
      <c r="AJ32" s="30" t="n"/>
      <c r="AK32" s="29" t="n">
        <v>0</v>
      </c>
      <c r="AL32" s="29" t="n">
        <v>302.01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0.0034</v>
      </c>
      <c r="AD33" s="29" t="n">
        <v>0</v>
      </c>
      <c r="AE33" s="30" t="n"/>
      <c r="AF33" s="29" t="n">
        <v>-0</v>
      </c>
      <c r="AG33" s="29" t="n">
        <v>302.01</v>
      </c>
      <c r="AH33" s="29" t="n">
        <v>0</v>
      </c>
      <c r="AI33" s="29" t="n">
        <v>0</v>
      </c>
      <c r="AJ33" s="30" t="n"/>
      <c r="AK33" s="29" t="n">
        <v>0</v>
      </c>
      <c r="AL33" s="29" t="n">
        <v>302.01</v>
      </c>
      <c r="AM33" s="29" t="n">
        <v>0</v>
      </c>
      <c r="AN33" s="29" t="n">
        <v>-0.01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0.059912</v>
      </c>
      <c r="AD36" s="24" t="n">
        <v>0.052093</v>
      </c>
      <c r="AE36" s="25" t="n"/>
      <c r="AF36" s="24" t="n">
        <v>0.048495</v>
      </c>
      <c r="AG36" s="24" t="n">
        <v>-0.273977</v>
      </c>
      <c r="AH36" s="24" t="n">
        <v>0.08115799999999999</v>
      </c>
      <c r="AI36" s="24" t="n">
        <v>0.07001300000000001</v>
      </c>
      <c r="AJ36" s="25" t="n"/>
      <c r="AK36" s="24" t="n">
        <v>0.06363000000000001</v>
      </c>
      <c r="AL36" s="24" t="n">
        <v>-0.2985</v>
      </c>
      <c r="AM36" s="24" t="n">
        <v>0.100033</v>
      </c>
      <c r="AN36" s="24" t="n">
        <v>0.080681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0.307868</v>
      </c>
      <c r="AD42" s="24" t="n">
        <v>0.203441</v>
      </c>
      <c r="AE42" s="25" t="n"/>
      <c r="AF42" s="24" t="n">
        <v>-0.06716999999999999</v>
      </c>
      <c r="AG42" s="24" t="n">
        <v>0.299046</v>
      </c>
      <c r="AH42" s="24" t="n">
        <v>0.028771</v>
      </c>
      <c r="AI42" s="24" t="n">
        <v>-0.042052</v>
      </c>
      <c r="AJ42" s="25" t="n"/>
      <c r="AK42" s="24" t="n">
        <v>-0.107605</v>
      </c>
      <c r="AL42" s="24" t="n">
        <v>-0.128163</v>
      </c>
      <c r="AM42" s="24" t="n">
        <v>-0.109322</v>
      </c>
      <c r="AN42" s="24" t="n">
        <v>-0.07989499999999999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0.014851</v>
      </c>
      <c r="AD43" s="24" t="n">
        <v>-0.208</v>
      </c>
      <c r="AE43" s="25" t="n"/>
      <c r="AF43" s="24" t="n">
        <v>-0.239044</v>
      </c>
      <c r="AG43" s="24" t="n">
        <v>0.136792</v>
      </c>
      <c r="AH43" s="24" t="n">
        <v>0.112195</v>
      </c>
      <c r="AI43" s="24" t="n">
        <v>0.09596</v>
      </c>
      <c r="AJ43" s="25" t="n"/>
      <c r="AK43" s="24" t="n">
        <v>0.089005</v>
      </c>
      <c r="AL43" s="24" t="n">
        <v>0.107884</v>
      </c>
      <c r="AM43" s="24" t="n">
        <v>0.09649099999999999</v>
      </c>
      <c r="AN43" s="24" t="n">
        <v>0.092166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0.185276</v>
      </c>
      <c r="AD45" s="24" t="n">
        <v>0.18528</v>
      </c>
      <c r="AE45" s="25">
        <f>IFERROR(subQ!AE36/subQ!AE35,"")</f>
        <v/>
      </c>
      <c r="AF45" s="24" t="n">
        <v>0.185285</v>
      </c>
      <c r="AG45" s="24" t="n">
        <v>0.18527</v>
      </c>
      <c r="AH45" s="24" t="n">
        <v>0.185292</v>
      </c>
      <c r="AI45" s="24" t="n">
        <v>0.185267</v>
      </c>
      <c r="AJ45" s="25">
        <f>IFERROR(subQ!AJ36/subQ!AJ35,"")</f>
        <v/>
      </c>
      <c r="AK45" s="24" t="n">
        <v>0.185293</v>
      </c>
      <c r="AL45" s="24" t="n">
        <v>0.185291</v>
      </c>
      <c r="AM45" s="24" t="n">
        <v>0.185291</v>
      </c>
      <c r="AN45" s="24" t="n">
        <v>0.185287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45000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6.5</v>
      </c>
      <c r="E51" s="2" t="inlineStr">
        <is>
          <t>PER 밴드 하단(배) — hist_quarterly(분기 평균가 ÷ TTM EPS, 16분기, 25/50/75 백분위)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8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9.4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0.1978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0.1683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1.4566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4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4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4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4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4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4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4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4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4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4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4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4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4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4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4" t="n">
        <v>21523.62</v>
      </c>
      <c r="J9" s="18" t="n">
        <v>5067.68</v>
      </c>
      <c r="K9" s="34" t="n">
        <v>5067.68</v>
      </c>
      <c r="O9" s="18" t="n">
        <v>10133.59</v>
      </c>
      <c r="P9" s="34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4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4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4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4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4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4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4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4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4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4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4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4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4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4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4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4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4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4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4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4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4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4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4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4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4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4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4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4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4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4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4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4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4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4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4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4" t="n">
        <v>0</v>
      </c>
      <c r="L17" s="18" t="n">
        <v>20806.62</v>
      </c>
      <c r="M17" s="18" t="n">
        <v>20806.62</v>
      </c>
      <c r="O17" s="18" t="n">
        <v>20806.62</v>
      </c>
      <c r="P17" s="34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4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4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4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4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4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4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4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4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4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4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4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4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4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4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4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4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4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4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4" t="n">
        <v>1707.42</v>
      </c>
      <c r="J23" s="18" t="n">
        <v>1997.49</v>
      </c>
      <c r="K23" s="34" t="n">
        <v>1997.49</v>
      </c>
      <c r="O23" s="18" t="n">
        <v>929.88</v>
      </c>
      <c r="P23" s="34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4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4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4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4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4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4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4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4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4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4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4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4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4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4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4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4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4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4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4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4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4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4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4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4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4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4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4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4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4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4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4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4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4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4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4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4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4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4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4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4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4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4" t="n">
        <v>135.81</v>
      </c>
      <c r="Q34" s="18" t="n">
        <v>121.24</v>
      </c>
      <c r="R34" s="18" t="n">
        <v>99.59999999999999</v>
      </c>
      <c r="S34" s="18" t="n">
        <v>87.94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4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4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4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4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4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4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4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4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4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4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4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4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4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4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4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4" t="n">
        <v>76.83</v>
      </c>
      <c r="Q38" s="18" t="n">
        <v>64.41</v>
      </c>
      <c r="R38" s="18" t="n">
        <v>52.53</v>
      </c>
      <c r="S38" s="18" t="n">
        <v>40.57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4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4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4" t="n">
        <v>76.83</v>
      </c>
      <c r="Q39" s="18" t="n">
        <v>64.41</v>
      </c>
      <c r="R39" s="18" t="n">
        <v>52.53</v>
      </c>
      <c r="S39" s="18" t="n">
        <v>40.57</v>
      </c>
      <c r="U39" s="9" t="n"/>
      <c r="Z39" s="9" t="n"/>
      <c r="AA39" s="18" t="n">
        <v>4398.85</v>
      </c>
      <c r="AB39" s="19" t="n">
        <v>3051.45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4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4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4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4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4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4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4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4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4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4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4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4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4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4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4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4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4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4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4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4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4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4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4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4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4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4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4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4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4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4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4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4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4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4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4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4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4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4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4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4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4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4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4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4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4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4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4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4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4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4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4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4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4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4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4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4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4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4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4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4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4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4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4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4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4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4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4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4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4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4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4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4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단기금융부채(face)</t>
        </is>
      </c>
      <c r="F62" s="9" t="n"/>
      <c r="K62" s="9" t="n"/>
      <c r="N62" s="18" t="n">
        <v>373.78</v>
      </c>
      <c r="O62" s="18" t="n">
        <v>373.78</v>
      </c>
      <c r="P62" s="34" t="n">
        <v>373.78</v>
      </c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T63" s="18" t="n">
        <v>0.08</v>
      </c>
      <c r="U63" s="34" t="n">
        <v>0.08</v>
      </c>
      <c r="V63" s="18" t="n">
        <v>0.08</v>
      </c>
      <c r="W63" s="18" t="n">
        <v>0.08</v>
      </c>
      <c r="X63" s="18" t="n">
        <v>0.08</v>
      </c>
      <c r="Y63" s="18" t="n">
        <v>0.08</v>
      </c>
      <c r="Z63" s="34" t="n">
        <v>0.08</v>
      </c>
      <c r="AA63" s="18" t="n">
        <v>0.08</v>
      </c>
      <c r="AB63" s="19" t="n">
        <v>0.08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장기파생상품부채</t>
        </is>
      </c>
      <c r="F64" s="9" t="n"/>
      <c r="K64" s="9" t="n"/>
      <c r="P64" s="9" t="n"/>
      <c r="U64" s="9" t="n"/>
      <c r="Z64" s="9" t="n"/>
      <c r="AA64" s="18" t="n">
        <v>4398.85</v>
      </c>
      <c r="AB64" s="19" t="n">
        <v>3051.45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25182.76</v>
      </c>
      <c r="F65" s="9" t="n"/>
      <c r="G65" s="18" t="n">
        <v>18862.31</v>
      </c>
      <c r="H65" s="18" t="n">
        <v>11488.03</v>
      </c>
      <c r="I65" s="18" t="n">
        <v>14708.67</v>
      </c>
      <c r="J65" s="18" t="n">
        <v>15111.51</v>
      </c>
      <c r="K65" s="34" t="n">
        <v>60170.52</v>
      </c>
      <c r="L65" s="18" t="n">
        <v>12337.22</v>
      </c>
      <c r="M65" s="18" t="n">
        <v>21649.04</v>
      </c>
      <c r="N65" s="18" t="n">
        <v>16814.05</v>
      </c>
      <c r="O65" s="18" t="n">
        <v>15368.7</v>
      </c>
      <c r="P65" s="34" t="n">
        <v>66169.00999999999</v>
      </c>
      <c r="Q65" s="18" t="n">
        <v>8350.07</v>
      </c>
      <c r="R65" s="18" t="n">
        <v>11031.07</v>
      </c>
      <c r="S65" s="18" t="n">
        <v>13232.34</v>
      </c>
      <c r="T65" s="18" t="n">
        <v>13853.74</v>
      </c>
      <c r="U65" s="34" t="n">
        <v>46467.22</v>
      </c>
      <c r="V65" s="18" t="n">
        <v>33980.73</v>
      </c>
      <c r="W65" s="18" t="n">
        <v>31169.7</v>
      </c>
      <c r="X65" s="18" t="n">
        <v>30762</v>
      </c>
      <c r="Y65" s="18" t="n">
        <v>20713.09</v>
      </c>
      <c r="Z65" s="34" t="n">
        <v>116625.52</v>
      </c>
      <c r="AA65" s="18" t="n">
        <v>25936.38</v>
      </c>
      <c r="AB65" s="19" t="n">
        <v>23953.33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11082.08</v>
      </c>
      <c r="F66" s="9" t="n"/>
      <c r="G66" s="18" t="n">
        <v>11490.17</v>
      </c>
      <c r="H66" s="18" t="n">
        <v>8721.190000000001</v>
      </c>
      <c r="I66" s="18" t="n">
        <v>6925.05</v>
      </c>
      <c r="J66" s="18" t="n">
        <v>7259.78</v>
      </c>
      <c r="K66" s="34" t="n">
        <v>34396.19</v>
      </c>
      <c r="L66" s="18" t="n">
        <v>7487.34</v>
      </c>
      <c r="M66" s="18" t="n">
        <v>13662.99</v>
      </c>
      <c r="N66" s="18" t="n">
        <v>9956.1</v>
      </c>
      <c r="O66" s="18" t="n">
        <v>8055.93</v>
      </c>
      <c r="P66" s="34" t="n">
        <v>39162.36</v>
      </c>
      <c r="Q66" s="18" t="n">
        <v>4755.5</v>
      </c>
      <c r="R66" s="18" t="n">
        <v>5864.5</v>
      </c>
      <c r="S66" s="18" t="n">
        <v>8206.59</v>
      </c>
      <c r="T66" s="18" t="n">
        <v>10212.33</v>
      </c>
      <c r="U66" s="34" t="n">
        <v>29038.92</v>
      </c>
      <c r="V66" s="18" t="n">
        <v>21981.49</v>
      </c>
      <c r="W66" s="18" t="n">
        <v>21696.66</v>
      </c>
      <c r="X66" s="18" t="n">
        <v>20054.25</v>
      </c>
      <c r="Y66" s="18" t="n">
        <v>12730.82</v>
      </c>
      <c r="Z66" s="34" t="n">
        <v>76463.22</v>
      </c>
      <c r="AA66" s="18" t="n">
        <v>14405.33</v>
      </c>
      <c r="AB66" s="19" t="n">
        <v>14920.43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14100.69</v>
      </c>
      <c r="F67" s="9" t="n"/>
      <c r="G67" s="18" t="n">
        <v>7372.14</v>
      </c>
      <c r="H67" s="18" t="n">
        <v>2766.83</v>
      </c>
      <c r="I67" s="18" t="n">
        <v>7783.63</v>
      </c>
      <c r="J67" s="18" t="n">
        <v>7851.73</v>
      </c>
      <c r="K67" s="34" t="n">
        <v>25774.33</v>
      </c>
      <c r="L67" s="18" t="n">
        <v>4849.87</v>
      </c>
      <c r="M67" s="18" t="n">
        <v>7986.05</v>
      </c>
      <c r="N67" s="18" t="n">
        <v>6857.95</v>
      </c>
      <c r="O67" s="18" t="n">
        <v>7312.77</v>
      </c>
      <c r="P67" s="34" t="n">
        <v>27006.64</v>
      </c>
      <c r="Q67" s="18" t="n">
        <v>3594.58</v>
      </c>
      <c r="R67" s="18" t="n">
        <v>5166.57</v>
      </c>
      <c r="S67" s="18" t="n">
        <v>5025.76</v>
      </c>
      <c r="T67" s="18" t="n">
        <v>3641.42</v>
      </c>
      <c r="U67" s="34" t="n">
        <v>17428.33</v>
      </c>
      <c r="V67" s="18" t="n">
        <v>11999.24</v>
      </c>
      <c r="W67" s="18" t="n">
        <v>9473.040000000001</v>
      </c>
      <c r="X67" s="18" t="n">
        <v>10707.75</v>
      </c>
      <c r="Y67" s="18" t="n">
        <v>7982.27</v>
      </c>
      <c r="Z67" s="34" t="n">
        <v>40162.3</v>
      </c>
      <c r="AA67" s="18" t="n">
        <v>11531.05</v>
      </c>
      <c r="AB67" s="19" t="n">
        <v>9032.9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5101.73</v>
      </c>
      <c r="F68" s="9" t="n"/>
      <c r="G68" s="18" t="n">
        <v>1962.38</v>
      </c>
      <c r="H68" s="18" t="n">
        <v>3355.34</v>
      </c>
      <c r="I68" s="18" t="n">
        <v>2425.02</v>
      </c>
      <c r="J68" s="18" t="n">
        <v>5565.68</v>
      </c>
      <c r="K68" s="34" t="n">
        <v>13308.42</v>
      </c>
      <c r="L68" s="18" t="n">
        <v>2240.12</v>
      </c>
      <c r="M68" s="18" t="n">
        <v>4302.87</v>
      </c>
      <c r="N68" s="18" t="n">
        <v>2270.81</v>
      </c>
      <c r="O68" s="18" t="n">
        <v>5212.62</v>
      </c>
      <c r="P68" s="34" t="n">
        <v>14026.42</v>
      </c>
      <c r="Q68" s="18" t="n">
        <v>2416.76</v>
      </c>
      <c r="R68" s="18" t="n">
        <v>4125.4</v>
      </c>
      <c r="S68" s="18" t="n">
        <v>3578.85</v>
      </c>
      <c r="T68" s="18" t="n">
        <v>5661.74</v>
      </c>
      <c r="U68" s="34" t="n">
        <v>15782.75</v>
      </c>
      <c r="V68" s="18" t="n">
        <v>2058.27</v>
      </c>
      <c r="W68" s="18" t="n">
        <v>4332.6</v>
      </c>
      <c r="X68" s="18" t="n">
        <v>4508.63</v>
      </c>
      <c r="Y68" s="18" t="n">
        <v>3937.21</v>
      </c>
      <c r="Z68" s="34" t="n">
        <v>14836.71</v>
      </c>
      <c r="AA68" s="18" t="n">
        <v>3489.5</v>
      </c>
      <c r="AB68" s="19" t="n">
        <v>4834.36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8998.959999999999</v>
      </c>
      <c r="F69" s="9" t="n"/>
      <c r="G69" s="18" t="n">
        <v>5409.76</v>
      </c>
      <c r="H69" s="18" t="n">
        <v>-588.5</v>
      </c>
      <c r="I69" s="18" t="n">
        <v>5358.61</v>
      </c>
      <c r="J69" s="18" t="n">
        <v>2286.05</v>
      </c>
      <c r="K69" s="34" t="n">
        <v>12465.92</v>
      </c>
      <c r="L69" s="18" t="n">
        <v>2609.75</v>
      </c>
      <c r="M69" s="18" t="n">
        <v>3683.18</v>
      </c>
      <c r="N69" s="18" t="n">
        <v>4587.14</v>
      </c>
      <c r="O69" s="18" t="n">
        <v>2100.15</v>
      </c>
      <c r="P69" s="34" t="n">
        <v>12980.22</v>
      </c>
      <c r="Q69" s="18" t="n">
        <v>1177.82</v>
      </c>
      <c r="R69" s="18" t="n">
        <v>1041.17</v>
      </c>
      <c r="S69" s="18" t="n">
        <v>1446.91</v>
      </c>
      <c r="T69" s="18" t="n">
        <v>-2020.33</v>
      </c>
      <c r="U69" s="34" t="n">
        <v>1645.57</v>
      </c>
      <c r="V69" s="18" t="n">
        <v>9940.969999999999</v>
      </c>
      <c r="W69" s="18" t="n">
        <v>5140.44</v>
      </c>
      <c r="X69" s="18" t="n">
        <v>6199.11</v>
      </c>
      <c r="Y69" s="18" t="n">
        <v>4045.06</v>
      </c>
      <c r="Z69" s="34" t="n">
        <v>25325.58</v>
      </c>
      <c r="AA69" s="18" t="n">
        <v>8041.55</v>
      </c>
      <c r="AB69" s="19" t="n">
        <v>4198.54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347.27</v>
      </c>
      <c r="F70" s="9" t="n"/>
      <c r="G70" s="18" t="n">
        <v>100.48</v>
      </c>
      <c r="H70" s="18" t="n">
        <v>396.18</v>
      </c>
      <c r="I70" s="18" t="n">
        <v>607.24</v>
      </c>
      <c r="J70" s="18" t="n">
        <v>1140.21</v>
      </c>
      <c r="K70" s="34" t="n">
        <v>2244.11</v>
      </c>
      <c r="L70" s="18" t="n">
        <v>101.82</v>
      </c>
      <c r="M70" s="18" t="n">
        <v>362.68</v>
      </c>
      <c r="N70" s="18" t="n">
        <v>338.63</v>
      </c>
      <c r="O70" s="18" t="n">
        <v>1168.53</v>
      </c>
      <c r="P70" s="34" t="n">
        <v>1971.66</v>
      </c>
      <c r="Q70" s="18" t="n">
        <v>54.94</v>
      </c>
      <c r="R70" s="18" t="n">
        <v>759.26</v>
      </c>
      <c r="S70" s="18" t="n">
        <v>401.28</v>
      </c>
      <c r="T70" s="18" t="n">
        <v>550.3200000000001</v>
      </c>
      <c r="U70" s="34" t="n">
        <v>1765.8</v>
      </c>
      <c r="V70" s="18" t="n">
        <v>29.04</v>
      </c>
      <c r="W70" s="18" t="n">
        <v>109.36</v>
      </c>
      <c r="X70" s="18" t="n">
        <v>202.55</v>
      </c>
      <c r="Y70" s="18" t="n">
        <v>225.17</v>
      </c>
      <c r="Z70" s="34" t="n">
        <v>566.12</v>
      </c>
      <c r="AA70" s="18" t="n">
        <v>21.68</v>
      </c>
      <c r="AB70" s="19" t="n">
        <v>145.36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8.26</v>
      </c>
      <c r="F71" s="9" t="n"/>
      <c r="G71" s="18" t="n">
        <v>0.92</v>
      </c>
      <c r="H71" s="18" t="n">
        <v>1.22</v>
      </c>
      <c r="I71" s="18" t="n">
        <v>0.83</v>
      </c>
      <c r="J71" s="18" t="n">
        <v>3.44</v>
      </c>
      <c r="K71" s="34" t="n">
        <v>6.41</v>
      </c>
      <c r="L71" s="18" t="n">
        <v>6.28</v>
      </c>
      <c r="M71" s="18" t="n">
        <v>3.04</v>
      </c>
      <c r="N71" s="18" t="n">
        <v>42.79</v>
      </c>
      <c r="O71" s="18" t="n">
        <v>2.12</v>
      </c>
      <c r="P71" s="34" t="n">
        <v>54.23</v>
      </c>
      <c r="Q71" s="18" t="n">
        <v>0.45</v>
      </c>
      <c r="R71" s="18" t="n">
        <v>93.67</v>
      </c>
      <c r="S71" s="18" t="n">
        <v>0.45</v>
      </c>
      <c r="T71" s="18" t="n">
        <v>6.22</v>
      </c>
      <c r="U71" s="34" t="n">
        <v>100.79</v>
      </c>
      <c r="V71" s="18" t="n">
        <v>0.51</v>
      </c>
      <c r="W71" s="18" t="n">
        <v>3.94</v>
      </c>
      <c r="X71" s="18" t="n">
        <v>11.6</v>
      </c>
      <c r="Y71" s="18" t="n">
        <v>0.98</v>
      </c>
      <c r="Z71" s="34" t="n">
        <v>17.03</v>
      </c>
      <c r="AA71" s="18" t="n">
        <v>2.45</v>
      </c>
      <c r="AB71" s="19" t="n">
        <v>15.61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412.78</v>
      </c>
      <c r="F72" s="9" t="n"/>
      <c r="G72" s="18" t="n">
        <v>953.6900000000001</v>
      </c>
      <c r="H72" s="18" t="n">
        <v>2343.61</v>
      </c>
      <c r="I72" s="18" t="n">
        <v>3429.97</v>
      </c>
      <c r="J72" s="18" t="n">
        <v>-938.29</v>
      </c>
      <c r="K72" s="34" t="n">
        <v>5788.98</v>
      </c>
      <c r="L72" s="18" t="n">
        <v>3191.48</v>
      </c>
      <c r="M72" s="18" t="n">
        <v>1470.57</v>
      </c>
      <c r="N72" s="18" t="n">
        <v>1730.51</v>
      </c>
      <c r="O72" s="18" t="n">
        <v>867.2</v>
      </c>
      <c r="P72" s="34" t="n">
        <v>7259.76</v>
      </c>
      <c r="Q72" s="18" t="n">
        <v>4471.51</v>
      </c>
      <c r="R72" s="18" t="n">
        <v>1742.05</v>
      </c>
      <c r="S72" s="18" t="n">
        <v>271.23</v>
      </c>
      <c r="T72" s="18" t="n">
        <v>5571.1</v>
      </c>
      <c r="U72" s="34" t="n">
        <v>12055.89</v>
      </c>
      <c r="V72" s="18" t="n">
        <v>1693.21</v>
      </c>
      <c r="W72" s="18" t="n">
        <v>293.9</v>
      </c>
      <c r="X72" s="18" t="n">
        <v>870.38</v>
      </c>
      <c r="Y72" s="18" t="n">
        <v>640.66</v>
      </c>
      <c r="Z72" s="34" t="n">
        <v>3498.15</v>
      </c>
      <c r="AA72" s="18" t="n">
        <v>2726.03</v>
      </c>
      <c r="AB72" s="19" t="n">
        <v>1637.59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이자수익</t>
        </is>
      </c>
      <c r="E73" s="18" t="n">
        <v>186.76</v>
      </c>
      <c r="F73" s="9" t="n"/>
      <c r="G73" s="18" t="n">
        <v>433.43</v>
      </c>
      <c r="H73" s="18" t="n">
        <v>151.28</v>
      </c>
      <c r="I73" s="18" t="n">
        <v>524.16</v>
      </c>
      <c r="J73" s="18" t="n">
        <v>152.95</v>
      </c>
      <c r="K73" s="34" t="n">
        <v>1261.82</v>
      </c>
      <c r="L73" s="18" t="n">
        <v>714.13</v>
      </c>
      <c r="M73" s="18" t="n">
        <v>210.96</v>
      </c>
      <c r="P73" s="9" t="n"/>
      <c r="Q73" s="18" t="n">
        <v>602.03</v>
      </c>
      <c r="R73" s="18" t="n">
        <v>576.41</v>
      </c>
      <c r="S73" s="18" t="n">
        <v>566.52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636.42</v>
      </c>
      <c r="F74" s="9" t="n"/>
      <c r="G74" s="18" t="n">
        <v>2360.93</v>
      </c>
      <c r="H74" s="18" t="n">
        <v>1391.1</v>
      </c>
      <c r="I74" s="18" t="n">
        <v>22.25</v>
      </c>
      <c r="J74" s="18" t="n">
        <v>2712.82</v>
      </c>
      <c r="K74" s="34" t="n">
        <v>6487.1</v>
      </c>
      <c r="L74" s="18" t="n">
        <v>981.3099999999999</v>
      </c>
      <c r="M74" s="18" t="n">
        <v>-28.03</v>
      </c>
      <c r="N74" s="18" t="n">
        <v>480.04</v>
      </c>
      <c r="O74" s="18" t="n">
        <v>1662.09</v>
      </c>
      <c r="P74" s="34" t="n">
        <v>3095.41</v>
      </c>
      <c r="Q74" s="18" t="n">
        <v>287.35</v>
      </c>
      <c r="R74" s="18" t="n">
        <v>28.05</v>
      </c>
      <c r="S74" s="18" t="n">
        <v>850.6900000000001</v>
      </c>
      <c r="T74" s="18" t="n">
        <v>101.58</v>
      </c>
      <c r="U74" s="34" t="n">
        <v>1267.67</v>
      </c>
      <c r="V74" s="18" t="n">
        <v>1432.12</v>
      </c>
      <c r="W74" s="18" t="n">
        <v>4975.07</v>
      </c>
      <c r="X74" s="18" t="n">
        <v>-2564.46</v>
      </c>
      <c r="Y74" s="18" t="n">
        <v>-252.4</v>
      </c>
      <c r="Z74" s="34" t="n">
        <v>3590.33</v>
      </c>
      <c r="AA74" s="18" t="n">
        <v>4573.3</v>
      </c>
      <c r="AB74" s="19" t="n">
        <v>-1259.81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E75" s="18" t="n">
        <v>9.140000000000001</v>
      </c>
      <c r="F75" s="9" t="n"/>
      <c r="G75" s="18" t="n">
        <v>1.33</v>
      </c>
      <c r="H75" s="18" t="n">
        <v>1.5</v>
      </c>
      <c r="I75" s="18" t="n">
        <v>1.53</v>
      </c>
      <c r="J75" s="18" t="n">
        <v>1.93</v>
      </c>
      <c r="K75" s="34" t="n">
        <v>6.29</v>
      </c>
      <c r="L75" s="18" t="n">
        <v>2.15</v>
      </c>
      <c r="M75" s="18" t="n">
        <v>2.08</v>
      </c>
      <c r="P75" s="9" t="n"/>
      <c r="Q75" s="18" t="n">
        <v>1.3</v>
      </c>
      <c r="R75" s="18" t="n">
        <v>0.75</v>
      </c>
      <c r="S75" s="18" t="n">
        <v>0.63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9128.629999999999</v>
      </c>
      <c r="F76" s="9" t="n"/>
      <c r="G76" s="18" t="n">
        <v>4102.09</v>
      </c>
      <c r="H76" s="18" t="n">
        <v>758.97</v>
      </c>
      <c r="I76" s="18" t="n">
        <v>9372.74</v>
      </c>
      <c r="J76" s="18" t="n">
        <v>-228.29</v>
      </c>
      <c r="K76" s="34" t="n">
        <v>14005.51</v>
      </c>
      <c r="L76" s="18" t="n">
        <v>4915.47</v>
      </c>
      <c r="M76" s="18" t="n">
        <v>5541.42</v>
      </c>
      <c r="N76" s="18" t="n">
        <v>5916.42</v>
      </c>
      <c r="O76" s="18" t="n">
        <v>2518.29</v>
      </c>
      <c r="P76" s="34" t="n">
        <v>18891.6</v>
      </c>
      <c r="Q76" s="18" t="n">
        <v>5416.47</v>
      </c>
      <c r="R76" s="18" t="n">
        <v>3420.77</v>
      </c>
      <c r="S76" s="18" t="n">
        <v>1268.29</v>
      </c>
      <c r="T76" s="18" t="n">
        <v>3993.3</v>
      </c>
      <c r="U76" s="34" t="n">
        <v>14098.83</v>
      </c>
      <c r="V76" s="18" t="n">
        <v>10230.59</v>
      </c>
      <c r="W76" s="18" t="n">
        <v>564.7</v>
      </c>
      <c r="X76" s="18" t="n">
        <v>9824.91</v>
      </c>
      <c r="Y76" s="18" t="n">
        <v>5162.32</v>
      </c>
      <c r="Z76" s="34" t="n">
        <v>25782.52</v>
      </c>
      <c r="AA76" s="18" t="n">
        <v>6213.51</v>
      </c>
      <c r="AB76" s="19" t="n">
        <v>7225.69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1827.88</v>
      </c>
      <c r="F77" s="9" t="n"/>
      <c r="G77" s="18" t="n">
        <v>879.89</v>
      </c>
      <c r="H77" s="18" t="n">
        <v>165.08</v>
      </c>
      <c r="I77" s="18" t="n">
        <v>2054.79</v>
      </c>
      <c r="J77" s="18" t="n">
        <v>-397.71</v>
      </c>
      <c r="K77" s="34" t="n">
        <v>2702.05</v>
      </c>
      <c r="L77" s="18" t="n">
        <v>1116.14</v>
      </c>
      <c r="M77" s="18" t="n">
        <v>1071.67</v>
      </c>
      <c r="N77" s="18" t="n">
        <v>1262.36</v>
      </c>
      <c r="O77" s="18" t="n">
        <v>-14.79</v>
      </c>
      <c r="P77" s="34" t="n">
        <v>3435.38</v>
      </c>
      <c r="Q77" s="18" t="n">
        <v>1165.64</v>
      </c>
      <c r="R77" s="18" t="n">
        <v>756.49</v>
      </c>
      <c r="S77" s="18" t="n">
        <v>309.57</v>
      </c>
      <c r="T77" s="18" t="n">
        <v>392.87</v>
      </c>
      <c r="U77" s="34" t="n">
        <v>2624.57</v>
      </c>
      <c r="V77" s="18" t="n">
        <v>2167.2</v>
      </c>
      <c r="W77" s="18" t="n">
        <v>174.58</v>
      </c>
      <c r="X77" s="18" t="n">
        <v>2033.68</v>
      </c>
      <c r="Y77" s="18" t="n">
        <v>700.6799999999999</v>
      </c>
      <c r="Z77" s="34" t="n">
        <v>5076.14</v>
      </c>
      <c r="AA77" s="18" t="n">
        <v>1258.45</v>
      </c>
      <c r="AB77" s="19" t="n">
        <v>2008.12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7300.73</v>
      </c>
      <c r="F78" s="9" t="n"/>
      <c r="G78" s="18" t="n">
        <v>3222.21</v>
      </c>
      <c r="H78" s="18" t="n">
        <v>593.89</v>
      </c>
      <c r="I78" s="18" t="n">
        <v>7317.95</v>
      </c>
      <c r="J78" s="18" t="n">
        <v>169.42</v>
      </c>
      <c r="K78" s="34" t="n">
        <v>11303.47</v>
      </c>
      <c r="L78" s="18" t="n">
        <v>3799.32</v>
      </c>
      <c r="M78" s="18" t="n">
        <v>4469.75</v>
      </c>
      <c r="N78" s="18" t="n">
        <v>4654.06</v>
      </c>
      <c r="O78" s="18" t="n">
        <v>2533.08</v>
      </c>
      <c r="P78" s="34" t="n">
        <v>15456.21</v>
      </c>
      <c r="Q78" s="18" t="n">
        <v>4250.83</v>
      </c>
      <c r="R78" s="18" t="n">
        <v>2664.28</v>
      </c>
      <c r="S78" s="18" t="n">
        <v>958.72</v>
      </c>
      <c r="T78" s="18" t="n">
        <v>3600.43</v>
      </c>
      <c r="U78" s="34" t="n">
        <v>11474.26</v>
      </c>
      <c r="V78" s="18" t="n">
        <v>8063.39</v>
      </c>
      <c r="W78" s="18" t="n">
        <v>390.12</v>
      </c>
      <c r="X78" s="18" t="n">
        <v>7791.23</v>
      </c>
      <c r="Y78" s="18" t="n">
        <v>4461.64</v>
      </c>
      <c r="Z78" s="34" t="n">
        <v>20706.38</v>
      </c>
      <c r="AA78" s="18" t="n">
        <v>4955.06</v>
      </c>
      <c r="AB78" s="19" t="n">
        <v>5217.57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7286.94</v>
      </c>
      <c r="F79" s="9" t="n"/>
      <c r="G79" s="18" t="n">
        <v>3222.21</v>
      </c>
      <c r="H79" s="18" t="n">
        <v>588.9400000000001</v>
      </c>
      <c r="I79" s="18" t="n">
        <v>7293.21</v>
      </c>
      <c r="J79" s="18" t="n">
        <v>156.22</v>
      </c>
      <c r="K79" s="34" t="n">
        <v>11260.58</v>
      </c>
      <c r="L79" s="18" t="n">
        <v>3799.32</v>
      </c>
      <c r="M79" s="18" t="n">
        <v>4459.93</v>
      </c>
      <c r="N79" s="18" t="n">
        <v>4660.6</v>
      </c>
      <c r="O79" s="18" t="n">
        <v>2554.34</v>
      </c>
      <c r="P79" s="34" t="n">
        <v>15474.19</v>
      </c>
      <c r="Q79" s="18" t="n">
        <v>4250.83</v>
      </c>
      <c r="R79" s="18" t="n">
        <v>2654.69</v>
      </c>
      <c r="S79" s="18" t="n">
        <v>977.67</v>
      </c>
      <c r="T79" s="18" t="n">
        <v>3604.97</v>
      </c>
      <c r="U79" s="34" t="n">
        <v>11488.16</v>
      </c>
      <c r="V79" s="18" t="n">
        <v>8079.2</v>
      </c>
      <c r="W79" s="18" t="n">
        <v>398.27</v>
      </c>
      <c r="X79" s="18" t="n">
        <v>7795.56</v>
      </c>
      <c r="Y79" s="18" t="n">
        <v>4460.56</v>
      </c>
      <c r="Z79" s="34" t="n">
        <v>20733.59</v>
      </c>
      <c r="AA79" s="18" t="n">
        <v>4916.1</v>
      </c>
      <c r="AB79" s="19" t="n">
        <v>5224.84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13.79</v>
      </c>
      <c r="F80" s="9" t="n"/>
      <c r="H80" s="18" t="n">
        <v>4.96</v>
      </c>
      <c r="I80" s="18" t="n">
        <v>24.74</v>
      </c>
      <c r="J80" s="18" t="n">
        <v>13.2</v>
      </c>
      <c r="K80" s="9" t="n"/>
      <c r="M80" s="18" t="n">
        <v>9.82</v>
      </c>
      <c r="N80" s="18" t="n">
        <v>-6.54</v>
      </c>
      <c r="O80" s="18" t="n">
        <v>-21.26</v>
      </c>
      <c r="P80" s="9" t="n"/>
      <c r="U80" s="9" t="n"/>
      <c r="V80" s="18" t="n">
        <v>-15.81</v>
      </c>
      <c r="W80" s="18" t="n">
        <v>-8.140000000000001</v>
      </c>
      <c r="X80" s="18" t="n">
        <v>-4.33</v>
      </c>
      <c r="Y80" s="18" t="n">
        <v>1.08</v>
      </c>
      <c r="Z80" s="34" t="n">
        <v>-27.2</v>
      </c>
      <c r="AA80" s="18" t="n">
        <v>38.96</v>
      </c>
      <c r="AB80" s="19" t="n">
        <v>-7.27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E81" s="18" t="n">
        <v>7528.48</v>
      </c>
      <c r="F81" s="9" t="n"/>
      <c r="G81" s="18" t="n">
        <v>3392.36</v>
      </c>
      <c r="H81" s="18" t="n">
        <v>510.16</v>
      </c>
      <c r="I81" s="18" t="n">
        <v>7386.34</v>
      </c>
      <c r="J81" s="18" t="n">
        <v>-61.1</v>
      </c>
      <c r="K81" s="34" t="n">
        <v>11227.76</v>
      </c>
      <c r="L81" s="18" t="n">
        <v>3900.67</v>
      </c>
      <c r="M81" s="18" t="n">
        <v>4368.94</v>
      </c>
      <c r="N81" s="18" t="n">
        <v>4685.52</v>
      </c>
      <c r="O81" s="18" t="n">
        <v>2077.27</v>
      </c>
      <c r="P81" s="34" t="n">
        <v>15032.4</v>
      </c>
      <c r="Q81" s="18" t="n">
        <v>4289.48</v>
      </c>
      <c r="R81" s="18" t="n">
        <v>2723.28</v>
      </c>
      <c r="S81" s="18" t="n">
        <v>940.03</v>
      </c>
      <c r="T81" s="18" t="n">
        <v>3702.69</v>
      </c>
      <c r="U81" s="34" t="n">
        <v>11655.48</v>
      </c>
      <c r="V81" s="18" t="n">
        <v>8065.05</v>
      </c>
      <c r="W81" s="18" t="n">
        <v>250.42</v>
      </c>
      <c r="X81" s="18" t="n">
        <v>7870.68</v>
      </c>
      <c r="Y81" s="18" t="n">
        <v>4594.96</v>
      </c>
      <c r="Z81" s="34" t="n">
        <v>20781.11</v>
      </c>
      <c r="AA81" s="18" t="n">
        <v>5126.41</v>
      </c>
      <c r="AB81" s="19" t="n">
        <v>5296.92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-223.64</v>
      </c>
      <c r="F82" s="9" t="n"/>
      <c r="G82" s="18" t="n">
        <v>-1407.24</v>
      </c>
      <c r="H82" s="18" t="n">
        <v>952.51</v>
      </c>
      <c r="I82" s="18" t="n">
        <v>3407.72</v>
      </c>
      <c r="J82" s="18" t="n">
        <v>-3651.11</v>
      </c>
      <c r="K82" s="34" t="n">
        <v>-698.12</v>
      </c>
      <c r="L82" s="18" t="n">
        <v>2210.17</v>
      </c>
      <c r="M82" s="18" t="n">
        <v>1498.6</v>
      </c>
      <c r="N82" s="18" t="n">
        <v>1250.47</v>
      </c>
      <c r="O82" s="18" t="n">
        <v>-794.89</v>
      </c>
      <c r="P82" s="34" t="n">
        <v>4164.35</v>
      </c>
      <c r="Q82" s="18" t="n">
        <v>4184.16</v>
      </c>
      <c r="R82" s="18" t="n">
        <v>1714</v>
      </c>
      <c r="S82" s="18" t="n">
        <v>-579.46</v>
      </c>
      <c r="T82" s="18" t="n">
        <v>5469.52</v>
      </c>
      <c r="U82" s="34" t="n">
        <v>10788.22</v>
      </c>
      <c r="V82" s="18" t="n">
        <v>261.09</v>
      </c>
      <c r="W82" s="18" t="n">
        <v>-4681.17</v>
      </c>
      <c r="X82" s="18" t="n">
        <v>3434.84</v>
      </c>
      <c r="Y82" s="18" t="n">
        <v>893.0599999999999</v>
      </c>
      <c r="Z82" s="34" t="n">
        <v>-92.18000000000001</v>
      </c>
      <c r="AA82" s="18" t="n">
        <v>-1847.27</v>
      </c>
      <c r="AB82" s="19" t="n">
        <v>2897.4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E83" s="18" t="n">
        <v>177.62</v>
      </c>
      <c r="F83" s="9" t="n"/>
      <c r="G83" s="18" t="n">
        <v>432.1</v>
      </c>
      <c r="H83" s="18" t="n">
        <v>149.78</v>
      </c>
      <c r="I83" s="18" t="n">
        <v>522.63</v>
      </c>
      <c r="J83" s="18" t="n">
        <v>151.02</v>
      </c>
      <c r="K83" s="34" t="n">
        <v>1255.53</v>
      </c>
      <c r="L83" s="18" t="n">
        <v>711.98</v>
      </c>
      <c r="M83" s="18" t="n">
        <v>208.88</v>
      </c>
      <c r="P83" s="9" t="n"/>
      <c r="Q83" s="18" t="n">
        <v>600.73</v>
      </c>
      <c r="R83" s="18" t="n">
        <v>575.66</v>
      </c>
      <c r="S83" s="18" t="n">
        <v>565.89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기타영업외손익</t>
        </is>
      </c>
      <c r="E84" s="18" t="n">
        <v>339.01</v>
      </c>
      <c r="F84" s="9" t="n"/>
      <c r="G84" s="18" t="n">
        <v>99.56</v>
      </c>
      <c r="H84" s="18" t="n">
        <v>394.96</v>
      </c>
      <c r="I84" s="18" t="n">
        <v>606.41</v>
      </c>
      <c r="J84" s="18" t="n">
        <v>1136.77</v>
      </c>
      <c r="K84" s="34" t="n">
        <v>2237.7</v>
      </c>
      <c r="L84" s="18" t="n">
        <v>95.54000000000001</v>
      </c>
      <c r="M84" s="18" t="n">
        <v>359.64</v>
      </c>
      <c r="N84" s="18" t="n">
        <v>295.84</v>
      </c>
      <c r="O84" s="18" t="n">
        <v>1166.41</v>
      </c>
      <c r="P84" s="34" t="n">
        <v>1917.43</v>
      </c>
      <c r="Q84" s="18" t="n">
        <v>54.49</v>
      </c>
      <c r="R84" s="18" t="n">
        <v>665.59</v>
      </c>
      <c r="S84" s="18" t="n">
        <v>400.83</v>
      </c>
      <c r="T84" s="18" t="n">
        <v>544.1</v>
      </c>
      <c r="U84" s="34" t="n">
        <v>1665.01</v>
      </c>
      <c r="V84" s="18" t="n">
        <v>28.53</v>
      </c>
      <c r="W84" s="18" t="n">
        <v>105.42</v>
      </c>
      <c r="X84" s="18" t="n">
        <v>190.95</v>
      </c>
      <c r="Y84" s="18" t="n">
        <v>224.19</v>
      </c>
      <c r="Z84" s="34" t="n">
        <v>549.09</v>
      </c>
      <c r="AA84" s="18" t="n">
        <v>19.23</v>
      </c>
      <c r="AB84" s="19" t="n">
        <v>129.75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7300.73</v>
      </c>
      <c r="F85" s="9" t="n"/>
      <c r="G85" s="18" t="n">
        <v>3222.21</v>
      </c>
      <c r="H85" s="18" t="n">
        <v>593.89</v>
      </c>
      <c r="I85" s="18" t="n">
        <v>7317.95</v>
      </c>
      <c r="J85" s="18" t="n">
        <v>169.42</v>
      </c>
      <c r="K85" s="34" t="n">
        <v>11303.47</v>
      </c>
      <c r="L85" s="18" t="n">
        <v>3799.32</v>
      </c>
      <c r="M85" s="18" t="n">
        <v>4469.75</v>
      </c>
      <c r="N85" s="18" t="n">
        <v>4654.06</v>
      </c>
      <c r="O85" s="18" t="n">
        <v>2533.08</v>
      </c>
      <c r="P85" s="34" t="n">
        <v>15456.21</v>
      </c>
      <c r="Q85" s="18" t="n">
        <v>4250.83</v>
      </c>
      <c r="R85" s="18" t="n">
        <v>2664.28</v>
      </c>
      <c r="S85" s="18" t="n">
        <v>958.72</v>
      </c>
      <c r="T85" s="18" t="n">
        <v>3600.43</v>
      </c>
      <c r="U85" s="34" t="n">
        <v>11474.26</v>
      </c>
      <c r="V85" s="18" t="n">
        <v>8063.39</v>
      </c>
      <c r="W85" s="18" t="n">
        <v>390.12</v>
      </c>
      <c r="X85" s="18" t="n">
        <v>7791.23</v>
      </c>
      <c r="Y85" s="18" t="n">
        <v>4461.64</v>
      </c>
      <c r="Z85" s="34" t="n">
        <v>20706.38</v>
      </c>
      <c r="AA85" s="18" t="n">
        <v>4955.06</v>
      </c>
      <c r="AB85" s="19" t="n">
        <v>5217.57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H86" s="18" t="n">
        <v>2.3</v>
      </c>
      <c r="K86" s="9" t="n"/>
      <c r="M86" s="18" t="n">
        <v>2.99</v>
      </c>
      <c r="N86" s="18" t="n">
        <v>0.57</v>
      </c>
      <c r="O86" s="18" t="n">
        <v>0</v>
      </c>
      <c r="P86" s="9" t="n"/>
      <c r="Q86" s="18" t="n">
        <v>0.4</v>
      </c>
      <c r="R86" s="18" t="n">
        <v>1.92</v>
      </c>
      <c r="S86" s="18" t="n">
        <v>0.57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H87" s="18" t="n">
        <v>377.68</v>
      </c>
      <c r="I87" s="18" t="n">
        <v>859.45</v>
      </c>
      <c r="K87" s="9" t="n"/>
      <c r="M87" s="18" t="n">
        <v>443.54</v>
      </c>
      <c r="N87" s="18" t="n">
        <v>267.5</v>
      </c>
      <c r="O87" s="18" t="n">
        <v>1582.74</v>
      </c>
      <c r="P87" s="9" t="n"/>
      <c r="Q87" s="18" t="n">
        <v>386.01</v>
      </c>
      <c r="R87" s="18" t="n">
        <v>242.02</v>
      </c>
      <c r="S87" s="18" t="n">
        <v>1021.95</v>
      </c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외화환산이익</t>
        </is>
      </c>
      <c r="F88" s="9" t="n"/>
      <c r="H88" s="18" t="n">
        <v>1500.59</v>
      </c>
      <c r="I88" s="18" t="n">
        <v>2045.64</v>
      </c>
      <c r="K88" s="9" t="n"/>
      <c r="M88" s="18" t="n">
        <v>189.05</v>
      </c>
      <c r="N88" s="18" t="n">
        <v>969.2</v>
      </c>
      <c r="O88" s="18" t="n">
        <v>-1385.16</v>
      </c>
      <c r="P88" s="9" t="n"/>
      <c r="Q88" s="18" t="n">
        <v>1692.06</v>
      </c>
      <c r="R88" s="18" t="n">
        <v>72.65000000000001</v>
      </c>
      <c r="S88" s="18" t="n">
        <v>-805.1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H89" s="18" t="n">
        <v>97.64</v>
      </c>
      <c r="I89" s="18" t="n">
        <v>732.14</v>
      </c>
      <c r="K89" s="9" t="n"/>
      <c r="M89" s="18" t="n">
        <v>267.83</v>
      </c>
      <c r="N89" s="18" t="n">
        <v>410.65</v>
      </c>
      <c r="O89" s="18" t="n">
        <v>1718.89</v>
      </c>
      <c r="P89" s="9" t="n"/>
      <c r="Q89" s="18" t="n">
        <v>282.31</v>
      </c>
      <c r="R89" s="18" t="n">
        <v>28.06</v>
      </c>
      <c r="S89" s="18" t="n">
        <v>610.03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H90" s="18" t="n">
        <v>0.37</v>
      </c>
      <c r="I90" s="18" t="n">
        <v>3.93</v>
      </c>
      <c r="K90" s="9" t="n"/>
      <c r="M90" s="18" t="n">
        <v>-59.11</v>
      </c>
      <c r="N90" s="18" t="n">
        <v>-2.08</v>
      </c>
      <c r="O90" s="18" t="n">
        <v>10.3</v>
      </c>
      <c r="P90" s="9" t="n"/>
      <c r="Q90" s="18" t="n">
        <v>3.73</v>
      </c>
      <c r="R90" s="18" t="n">
        <v>-0.76</v>
      </c>
      <c r="S90" s="18" t="n">
        <v>240.04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영업활동으로인한현금흐름</t>
        </is>
      </c>
      <c r="E91" s="18" t="n">
        <v>1113.35</v>
      </c>
      <c r="F91" s="9" t="n"/>
      <c r="G91" s="18" t="n">
        <v>11133.24</v>
      </c>
      <c r="H91" s="18" t="n">
        <v>-4724.23</v>
      </c>
      <c r="I91" s="18" t="n">
        <v>9744.459999999999</v>
      </c>
      <c r="J91" s="18" t="n">
        <v>-467.4</v>
      </c>
      <c r="K91" s="34" t="n">
        <v>15686.07</v>
      </c>
      <c r="L91" s="18" t="n">
        <v>1570.97</v>
      </c>
      <c r="M91" s="18" t="n">
        <v>-7062.48</v>
      </c>
      <c r="N91" s="18" t="n">
        <v>9991.33</v>
      </c>
      <c r="O91" s="18" t="n">
        <v>6301.41</v>
      </c>
      <c r="P91" s="34" t="n">
        <v>10801.23</v>
      </c>
      <c r="Q91" s="18" t="n">
        <v>4005.31</v>
      </c>
      <c r="R91" s="18" t="n">
        <v>2331.12</v>
      </c>
      <c r="S91" s="18" t="n">
        <v>7555.15</v>
      </c>
      <c r="T91" s="18" t="n">
        <v>-16600.86</v>
      </c>
      <c r="U91" s="34" t="n">
        <v>-2709.28</v>
      </c>
      <c r="V91" s="18" t="n">
        <v>23775.8</v>
      </c>
      <c r="W91" s="18" t="n">
        <v>-1494.92</v>
      </c>
      <c r="X91" s="18" t="n">
        <v>20047.84</v>
      </c>
      <c r="Y91" s="18" t="n">
        <v>-6055.19</v>
      </c>
      <c r="Z91" s="34" t="n">
        <v>36273.53</v>
      </c>
      <c r="AA91" s="18" t="n">
        <v>6556.69</v>
      </c>
      <c r="AB91" s="19" t="n">
        <v>4205.4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감가상각비</t>
        </is>
      </c>
      <c r="E92" s="18" t="n">
        <v>26.75</v>
      </c>
      <c r="F92" s="9" t="n"/>
      <c r="G92" s="18" t="n">
        <v>72.05</v>
      </c>
      <c r="H92" s="18" t="n">
        <v>74.41</v>
      </c>
      <c r="I92" s="18" t="n">
        <v>74.93000000000001</v>
      </c>
      <c r="J92" s="18" t="n">
        <v>80.78</v>
      </c>
      <c r="K92" s="34" t="n">
        <v>302.17</v>
      </c>
      <c r="L92" s="18" t="n">
        <v>81.62</v>
      </c>
      <c r="M92" s="18" t="n">
        <v>81.64</v>
      </c>
      <c r="P92" s="9" t="n"/>
      <c r="Q92" s="18" t="n">
        <v>82.78</v>
      </c>
      <c r="R92" s="18" t="n">
        <v>79.7</v>
      </c>
      <c r="S92" s="18" t="n">
        <v>78.89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무형자산상각비</t>
        </is>
      </c>
      <c r="E93" s="18" t="n">
        <v>0.83</v>
      </c>
      <c r="F93" s="9" t="n"/>
      <c r="G93" s="18" t="n">
        <v>0.78</v>
      </c>
      <c r="H93" s="18" t="n">
        <v>0.68</v>
      </c>
      <c r="I93" s="18" t="n">
        <v>1.91</v>
      </c>
      <c r="J93" s="18" t="n">
        <v>4.62</v>
      </c>
      <c r="K93" s="34" t="n">
        <v>7.99</v>
      </c>
      <c r="L93" s="18" t="n">
        <v>5.66</v>
      </c>
      <c r="M93" s="18" t="n">
        <v>5.91</v>
      </c>
      <c r="P93" s="9" t="n"/>
      <c r="Q93" s="18" t="n">
        <v>5.94</v>
      </c>
      <c r="R93" s="18" t="n">
        <v>6</v>
      </c>
      <c r="S93" s="18" t="n">
        <v>5.98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0.57</v>
      </c>
      <c r="O94" s="18" t="n">
        <v>0</v>
      </c>
      <c r="P94" s="9" t="n"/>
      <c r="S94" s="18" t="n">
        <v>0</v>
      </c>
      <c r="T94" s="18" t="n">
        <v>0.57</v>
      </c>
      <c r="U94" s="9" t="n"/>
      <c r="X94" s="18" t="n">
        <v>0.67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-36.03</v>
      </c>
      <c r="F95" s="9" t="n"/>
      <c r="G95" s="18" t="n">
        <v>-1605.88</v>
      </c>
      <c r="H95" s="18" t="n">
        <v>-1932.29</v>
      </c>
      <c r="I95" s="18" t="n">
        <v>-1814.66</v>
      </c>
      <c r="J95" s="18" t="n">
        <v>-23.14</v>
      </c>
      <c r="K95" s="34" t="n">
        <v>-5375.97</v>
      </c>
      <c r="L95" s="18" t="n">
        <v>-147.38</v>
      </c>
      <c r="M95" s="18" t="n">
        <v>-813.78</v>
      </c>
      <c r="N95" s="18" t="n">
        <v>-1170.38</v>
      </c>
      <c r="O95" s="18" t="n">
        <v>-1617.23</v>
      </c>
      <c r="P95" s="34" t="n">
        <v>-3748.77</v>
      </c>
      <c r="Q95" s="18" t="n">
        <v>-734.74</v>
      </c>
      <c r="R95" s="18" t="n">
        <v>-1044.58</v>
      </c>
      <c r="S95" s="18" t="n">
        <v>-1480.15</v>
      </c>
      <c r="T95" s="18" t="n">
        <v>-87.48999999999999</v>
      </c>
      <c r="U95" s="34" t="n">
        <v>-3346.96</v>
      </c>
      <c r="V95" s="18" t="n">
        <v>-73.31</v>
      </c>
      <c r="W95" s="18" t="n">
        <v>-98.69</v>
      </c>
      <c r="X95" s="18" t="n">
        <v>-2746.93</v>
      </c>
      <c r="Y95" s="18" t="n">
        <v>-55.84</v>
      </c>
      <c r="Z95" s="34" t="n">
        <v>-2974.77</v>
      </c>
      <c r="AA95" s="18" t="n">
        <v>-1033.9</v>
      </c>
      <c r="AB95" s="19" t="n">
        <v>-1519.44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-757.89</v>
      </c>
      <c r="F96" s="9" t="n"/>
      <c r="G96" s="18" t="n">
        <v>-928.67</v>
      </c>
      <c r="H96" s="18" t="n">
        <v>-702.33</v>
      </c>
      <c r="I96" s="18" t="n">
        <v>39.51</v>
      </c>
      <c r="J96" s="18" t="n">
        <v>4338.87</v>
      </c>
      <c r="K96" s="34" t="n">
        <v>2747.38</v>
      </c>
      <c r="L96" s="18" t="n">
        <v>1235.47</v>
      </c>
      <c r="M96" s="18" t="n">
        <v>-2473.1</v>
      </c>
      <c r="N96" s="18" t="n">
        <v>-64.61</v>
      </c>
      <c r="O96" s="18" t="n">
        <v>-3632.59</v>
      </c>
      <c r="P96" s="34" t="n">
        <v>-4934.83</v>
      </c>
      <c r="Q96" s="18" t="n">
        <v>492.85</v>
      </c>
      <c r="R96" s="18" t="n">
        <v>-12.58</v>
      </c>
      <c r="S96" s="18" t="n">
        <v>-5442.73</v>
      </c>
      <c r="T96" s="18" t="n">
        <v>9559.23</v>
      </c>
      <c r="U96" s="34" t="n">
        <v>4596.77</v>
      </c>
      <c r="V96" s="18" t="n">
        <v>-32.83</v>
      </c>
      <c r="W96" s="18" t="n">
        <v>2708.29</v>
      </c>
      <c r="X96" s="18" t="n">
        <v>-31.67</v>
      </c>
      <c r="Y96" s="18" t="n">
        <v>-20.87</v>
      </c>
      <c r="Z96" s="34" t="n">
        <v>2622.92</v>
      </c>
      <c r="AA96" s="18" t="n">
        <v>-9678.389999999999</v>
      </c>
      <c r="AB96" s="19" t="n">
        <v>20718.54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-2437.02</v>
      </c>
      <c r="F97" s="9" t="n"/>
      <c r="G97" s="18" t="n">
        <v>-4.59</v>
      </c>
      <c r="H97" s="18" t="n">
        <v>-5093.37</v>
      </c>
      <c r="I97" s="18" t="n">
        <v>-6.25</v>
      </c>
      <c r="J97" s="18" t="n">
        <v>-2069.02</v>
      </c>
      <c r="K97" s="34" t="n">
        <v>-7173.23</v>
      </c>
      <c r="L97" s="18" t="n">
        <v>-14.88</v>
      </c>
      <c r="M97" s="18" t="n">
        <v>-7483.04</v>
      </c>
      <c r="N97" s="18" t="n">
        <v>-2504.06</v>
      </c>
      <c r="O97" s="18" t="n">
        <v>-1006</v>
      </c>
      <c r="P97" s="34" t="n">
        <v>-11007.98</v>
      </c>
      <c r="Q97" s="18" t="n">
        <v>-388.28</v>
      </c>
      <c r="R97" s="18" t="n">
        <v>-4941.79</v>
      </c>
      <c r="S97" s="18" t="n">
        <v>-2475.73</v>
      </c>
      <c r="T97" s="18" t="n">
        <v>-9002.040000000001</v>
      </c>
      <c r="U97" s="34" t="n">
        <v>-16807.84</v>
      </c>
      <c r="V97" s="18" t="n">
        <v>-10.94</v>
      </c>
      <c r="W97" s="18" t="n">
        <v>-9050.809999999999</v>
      </c>
      <c r="X97" s="18" t="n">
        <v>-9050.030000000001</v>
      </c>
      <c r="Y97" s="18" t="n">
        <v>-9050.110000000001</v>
      </c>
      <c r="Z97" s="34" t="n">
        <v>-27161.89</v>
      </c>
      <c r="AA97" s="18" t="n">
        <v>25662.8</v>
      </c>
      <c r="AB97" s="19" t="n">
        <v>-9049.209999999999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N98" s="18" t="n">
        <v>2490.29</v>
      </c>
      <c r="O98" s="18" t="n">
        <v>0</v>
      </c>
      <c r="P98" s="9" t="n"/>
      <c r="S98" s="18" t="n">
        <v>2465.29</v>
      </c>
      <c r="T98" s="18" t="n">
        <v>0</v>
      </c>
      <c r="U98" s="9" t="n"/>
      <c r="X98" s="18" t="n">
        <v>9038.07</v>
      </c>
      <c r="Y98" s="18" t="n">
        <v>9038.059999999999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158.45</v>
      </c>
      <c r="F99" s="9" t="n"/>
      <c r="K99" s="9" t="n"/>
      <c r="P99" s="9" t="n"/>
      <c r="Q99" s="18" t="n">
        <v>373.78</v>
      </c>
      <c r="R99" s="18" t="n">
        <v>0</v>
      </c>
      <c r="S99" s="18" t="n">
        <v>0</v>
      </c>
      <c r="T99" s="18" t="n">
        <v>0</v>
      </c>
      <c r="U99" s="34" t="n">
        <v>373.78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-1832.01</v>
      </c>
      <c r="F100" s="9" t="n"/>
      <c r="G100" s="18" t="n">
        <v>10504.41</v>
      </c>
      <c r="H100" s="18" t="n">
        <v>-10054.63</v>
      </c>
      <c r="I100" s="18" t="n">
        <v>11499.71</v>
      </c>
      <c r="J100" s="18" t="n">
        <v>135.3</v>
      </c>
      <c r="K100" s="34" t="n">
        <v>12084.79</v>
      </c>
      <c r="L100" s="18" t="n">
        <v>4173.17</v>
      </c>
      <c r="M100" s="18" t="n">
        <v>-17002.55</v>
      </c>
      <c r="N100" s="18" t="n">
        <v>8005.5</v>
      </c>
      <c r="O100" s="18" t="n">
        <v>1091.79</v>
      </c>
      <c r="P100" s="34" t="n">
        <v>-3732.09</v>
      </c>
      <c r="Q100" s="18" t="n">
        <v>4859.45</v>
      </c>
      <c r="R100" s="18" t="n">
        <v>-2198.2</v>
      </c>
      <c r="S100" s="18" t="n">
        <v>-884.73</v>
      </c>
      <c r="T100" s="18" t="n">
        <v>-16283.31</v>
      </c>
      <c r="U100" s="34" t="n">
        <v>-14506.79</v>
      </c>
      <c r="V100" s="18" t="n">
        <v>24197.67</v>
      </c>
      <c r="W100" s="18" t="n">
        <v>-9839.5</v>
      </c>
      <c r="X100" s="18" t="n">
        <v>11732.64</v>
      </c>
      <c r="Y100" s="18" t="n">
        <v>-14523.12</v>
      </c>
      <c r="Z100" s="34" t="n">
        <v>11567.69</v>
      </c>
      <c r="AA100" s="18" t="n">
        <v>23426.75</v>
      </c>
      <c r="AB100" s="19" t="n">
        <v>16784.55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-1832.01</v>
      </c>
      <c r="F101" s="9" t="n"/>
      <c r="G101" s="18" t="n">
        <v>26588.15</v>
      </c>
      <c r="H101" s="18" t="n">
        <v>-10054.64</v>
      </c>
      <c r="I101" s="18" t="n">
        <v>11499.71</v>
      </c>
      <c r="J101" s="18" t="n">
        <v>135.31</v>
      </c>
      <c r="K101" s="34" t="n">
        <v>28168.53</v>
      </c>
      <c r="L101" s="18" t="n">
        <v>32341.69</v>
      </c>
      <c r="M101" s="18" t="n">
        <v>-17002.54</v>
      </c>
      <c r="N101" s="18" t="n">
        <v>8005.5</v>
      </c>
      <c r="O101" s="18" t="n">
        <v>1091.79</v>
      </c>
      <c r="P101" s="34" t="n">
        <v>24436.44</v>
      </c>
      <c r="Q101" s="18" t="n">
        <v>29295.89</v>
      </c>
      <c r="R101" s="18" t="n">
        <v>-2198.2</v>
      </c>
      <c r="S101" s="18" t="n">
        <v>-884.73</v>
      </c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F102" s="9" t="n"/>
      <c r="G102" s="18" t="n">
        <v>4.59</v>
      </c>
      <c r="H102" s="18" t="n">
        <v>6.25</v>
      </c>
      <c r="I102" s="18" t="n">
        <v>6.25</v>
      </c>
      <c r="J102" s="18" t="n">
        <v>6.63</v>
      </c>
      <c r="K102" s="34" t="n">
        <v>23.72</v>
      </c>
      <c r="L102" s="18" t="n">
        <v>14.88</v>
      </c>
      <c r="M102" s="18" t="n">
        <v>12.16</v>
      </c>
      <c r="N102" s="18" t="n">
        <v>13.78</v>
      </c>
      <c r="O102" s="18" t="n">
        <v>14.27</v>
      </c>
      <c r="P102" s="34" t="n">
        <v>55.09</v>
      </c>
      <c r="Q102" s="18" t="n">
        <v>14.5</v>
      </c>
      <c r="R102" s="18" t="n">
        <v>11.21</v>
      </c>
      <c r="S102" s="18" t="n">
        <v>10.43</v>
      </c>
      <c r="T102" s="18" t="n">
        <v>10.68</v>
      </c>
      <c r="U102" s="34" t="n">
        <v>46.82</v>
      </c>
      <c r="V102" s="18" t="n">
        <v>10.94</v>
      </c>
      <c r="W102" s="18" t="n">
        <v>12.75</v>
      </c>
      <c r="X102" s="18" t="n">
        <v>11.95</v>
      </c>
      <c r="Y102" s="18" t="n">
        <v>12.04</v>
      </c>
      <c r="Z102" s="34" t="n">
        <v>47.68</v>
      </c>
      <c r="AA102" s="18" t="n">
        <v>9.56</v>
      </c>
      <c r="AB102" s="19" t="n">
        <v>11.14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유형자산의감소</t>
        </is>
      </c>
      <c r="F103" s="9" t="n"/>
      <c r="K103" s="9" t="n"/>
      <c r="L103" s="18" t="n">
        <v>0.5</v>
      </c>
      <c r="M103" s="18" t="n">
        <v>0</v>
      </c>
      <c r="N103" s="18" t="n">
        <v>0</v>
      </c>
      <c r="O103" s="18" t="n">
        <v>0.28</v>
      </c>
      <c r="P103" s="34" t="n">
        <v>0.78</v>
      </c>
      <c r="U103" s="9" t="n"/>
      <c r="X103" s="18" t="n">
        <v>0</v>
      </c>
      <c r="Y103" s="18" t="n">
        <v>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이자수취(CF)</t>
        </is>
      </c>
      <c r="F104" s="9" t="n"/>
      <c r="K104" s="9" t="n"/>
      <c r="O104" s="18" t="n">
        <v>372.76</v>
      </c>
      <c r="P104" s="9" t="n"/>
      <c r="Q104" s="18" t="n">
        <v>565.85</v>
      </c>
      <c r="R104" s="18" t="n">
        <v>641.92</v>
      </c>
      <c r="S104" s="18" t="n">
        <v>535.34</v>
      </c>
      <c r="T104" s="18" t="n">
        <v>566.39</v>
      </c>
      <c r="U104" s="34" t="n">
        <v>2309.5</v>
      </c>
      <c r="V104" s="18" t="n">
        <v>476.2</v>
      </c>
      <c r="W104" s="18" t="n">
        <v>564.23</v>
      </c>
      <c r="X104" s="18" t="n">
        <v>559.49</v>
      </c>
      <c r="Y104" s="18" t="n">
        <v>362.79</v>
      </c>
      <c r="Z104" s="34" t="n">
        <v>1962.71</v>
      </c>
      <c r="AA104" s="18" t="n">
        <v>577.64</v>
      </c>
      <c r="AB104" s="19" t="n">
        <v>568.77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F105" s="9" t="n"/>
      <c r="K105" s="9" t="n"/>
      <c r="P105" s="9" t="n"/>
      <c r="Q105" s="18" t="n">
        <v>-2.74</v>
      </c>
      <c r="R105" s="18" t="n">
        <v>-2.14</v>
      </c>
      <c r="S105" s="18" t="n">
        <v>-1.85</v>
      </c>
      <c r="T105" s="18" t="n">
        <v>-1.59</v>
      </c>
      <c r="U105" s="34" t="n">
        <v>-8.32</v>
      </c>
      <c r="V105" s="18" t="n">
        <v>-1.33</v>
      </c>
      <c r="W105" s="18" t="n">
        <v>-1.08</v>
      </c>
      <c r="X105" s="18" t="n">
        <v>-0.8100000000000001</v>
      </c>
      <c r="Y105" s="18" t="n">
        <v>-0.5600000000000001</v>
      </c>
      <c r="Z105" s="34" t="n">
        <v>-3.78</v>
      </c>
      <c r="AA105" s="18" t="n">
        <v>-6.02</v>
      </c>
      <c r="AB105" s="19" t="n">
        <v>-2.76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F106" s="9" t="n"/>
      <c r="K106" s="9" t="n"/>
      <c r="P106" s="9" t="n"/>
      <c r="U106" s="9" t="n"/>
      <c r="Z106" s="9" t="n"/>
      <c r="AA106" s="18" t="n">
        <v>34.07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F107" s="9" t="n"/>
      <c r="K107" s="9" t="n"/>
      <c r="P107" s="9" t="n"/>
      <c r="U107" s="9" t="n"/>
      <c r="Z107" s="9" t="n"/>
      <c r="AA107" s="18" t="n">
        <v>41.69</v>
      </c>
      <c r="AB107" s="19" t="n">
        <v>14.91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F108" s="9" t="n"/>
      <c r="K108" s="9" t="n"/>
      <c r="P108" s="9" t="n"/>
      <c r="U108" s="9" t="n"/>
      <c r="Z108" s="9" t="n"/>
      <c r="AA108" s="18" t="n">
        <v>7.62</v>
      </c>
      <c r="AB108" s="19" t="n">
        <v>0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4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4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4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4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4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4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4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4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4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4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4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4" t="n">
        <v>5067.68</v>
      </c>
      <c r="O7" s="18" t="n">
        <v>10133.59</v>
      </c>
      <c r="P7" s="34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4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4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4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4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4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4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4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4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4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4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4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4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4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4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4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4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4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4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4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4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4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4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4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4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4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4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4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4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4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4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4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4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4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4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4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4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4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4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4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4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4" t="n">
        <v>0</v>
      </c>
      <c r="L16" s="18" t="n">
        <v>11779.04</v>
      </c>
      <c r="M16" s="18" t="n">
        <v>11779.04</v>
      </c>
      <c r="O16" s="18" t="n">
        <v>11779.04</v>
      </c>
      <c r="P16" s="34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4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4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4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4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4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4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4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4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4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4" t="n">
        <v>202.38</v>
      </c>
      <c r="W19" s="18" t="n">
        <v>12.88</v>
      </c>
      <c r="Y19" s="18" t="n">
        <v>239.78</v>
      </c>
      <c r="Z19" s="34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4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4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4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4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4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4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4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4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4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4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4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4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4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4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4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4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4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4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4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4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4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4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4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4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4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4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4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4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4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4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4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4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4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4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4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4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4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4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4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4" t="n">
        <v>47.68</v>
      </c>
      <c r="V29" s="18" t="n">
        <v>45.44</v>
      </c>
      <c r="W29" s="18" t="n">
        <v>39.48</v>
      </c>
      <c r="Y29" s="18" t="n">
        <v>27.43</v>
      </c>
      <c r="Z29" s="34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4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4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4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4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4" t="n">
        <v>28.53</v>
      </c>
      <c r="AA30" s="18" t="n">
        <v>18.97</v>
      </c>
      <c r="AB30" s="19" t="n">
        <v>34.57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4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4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4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4" t="n">
        <v>47.68</v>
      </c>
      <c r="V31" s="18" t="n">
        <v>45.44</v>
      </c>
      <c r="W31" s="18" t="n">
        <v>39.48</v>
      </c>
      <c r="Y31" s="18" t="n">
        <v>27.43</v>
      </c>
      <c r="Z31" s="34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4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4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4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4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4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4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4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4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4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4" t="n">
        <v>1.1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4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4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4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4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4" t="n">
        <v>1.1</v>
      </c>
      <c r="AA34" s="18" t="n">
        <v>4398.85</v>
      </c>
      <c r="AB34" s="19" t="n">
        <v>3051.45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4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4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4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4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4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4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4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4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4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4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4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4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4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4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4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4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4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4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4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4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4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4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4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4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4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4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4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4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4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4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4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4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4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4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4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4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4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4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4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4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4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4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4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4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4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4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4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4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4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4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4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4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4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4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4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4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4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4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4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4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4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4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4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4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4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4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4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4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4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4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4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4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4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4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4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4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4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4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4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4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4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4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4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4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4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4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4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4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4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4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4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4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4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4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4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4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4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4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4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4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4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4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4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4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4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4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4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4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4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4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4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4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4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4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4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4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4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4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4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4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4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4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4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4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4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4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4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4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4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4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4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4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4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4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4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4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4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4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4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4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4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4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4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4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4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4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4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4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4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4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4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4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4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4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4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4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4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4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4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4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4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4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4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4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4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4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4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4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4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4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4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4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4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0.3573</v>
      </c>
      <c r="F10" s="34" t="n"/>
      <c r="G10" s="18" t="n">
        <v>0.2868</v>
      </c>
      <c r="H10" s="18" t="n">
        <v>-0.0512</v>
      </c>
      <c r="I10" s="18" t="n">
        <v>0.3643</v>
      </c>
      <c r="J10" s="18" t="n">
        <v>0.1513</v>
      </c>
      <c r="K10" s="34">
        <f>SUM(G10:J10)</f>
        <v/>
      </c>
      <c r="L10" s="18" t="n">
        <v>0.2115</v>
      </c>
      <c r="M10" s="18" t="n">
        <v>0.1701</v>
      </c>
      <c r="N10" s="18" t="n">
        <v>0.2728</v>
      </c>
      <c r="O10" s="18" t="n">
        <v>0.1367</v>
      </c>
      <c r="P10" s="34">
        <f>SUM(L10:O10)</f>
        <v/>
      </c>
      <c r="Q10" s="18" t="n">
        <v>0.1411</v>
      </c>
      <c r="R10" s="18" t="n">
        <v>0.0944</v>
      </c>
      <c r="S10" s="18" t="n">
        <v>0.1093</v>
      </c>
      <c r="T10" s="18" t="n">
        <v>-0.1458</v>
      </c>
      <c r="U10" s="34">
        <f>SUM(Q10:T10)</f>
        <v/>
      </c>
      <c r="V10" s="18" t="n">
        <v>0.2925</v>
      </c>
      <c r="W10" s="18" t="n">
        <v>0.1649</v>
      </c>
      <c r="X10" s="18" t="n">
        <v>0.2015</v>
      </c>
      <c r="Y10" s="18" t="n">
        <v>0.1953</v>
      </c>
      <c r="Z10" s="34">
        <f>SUM(V10:Y10)</f>
        <v/>
      </c>
      <c r="AA10" s="18" t="n">
        <v>0.31</v>
      </c>
      <c r="AB10" s="19" t="n">
        <v>0.1753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 t="n"/>
      <c r="P17" s="34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>
        <v>0.8100000000000001</v>
      </c>
      <c r="AD17" s="20" t="n">
        <v>0.8100000000000001</v>
      </c>
      <c r="AE17" s="35">
        <f>SUM(AA17:AD17)</f>
        <v/>
      </c>
      <c r="AF17" s="20" t="n">
        <v>0.8100000000000001</v>
      </c>
      <c r="AG17" s="20" t="n">
        <v>0.8100000000000001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90.26000000000001</v>
      </c>
      <c r="F18" s="34" t="n"/>
      <c r="G18" s="18" t="n">
        <v>54.82</v>
      </c>
      <c r="H18" s="18" t="n">
        <v>-5.14</v>
      </c>
      <c r="I18" s="18" t="n">
        <v>54.34</v>
      </c>
      <c r="J18" s="18" t="n">
        <v>23.67</v>
      </c>
      <c r="K18" s="34">
        <f>SUM(G18:J18)</f>
        <v/>
      </c>
      <c r="L18" s="18" t="n">
        <v>26.91</v>
      </c>
      <c r="M18" s="18" t="n">
        <v>37.65</v>
      </c>
      <c r="N18" s="18" t="n"/>
      <c r="O18" s="18" t="n"/>
      <c r="P18" s="34">
        <f>SUM(L18:O18)</f>
        <v/>
      </c>
      <c r="Q18" s="18" t="n">
        <v>12.61</v>
      </c>
      <c r="R18" s="18" t="n">
        <v>11.21</v>
      </c>
      <c r="S18" s="18" t="n">
        <v>15.26</v>
      </c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52.1</v>
      </c>
      <c r="AD18" s="20" t="n">
        <v>47.18</v>
      </c>
      <c r="AE18" s="35">
        <f>SUM(AA18:AD18)</f>
        <v/>
      </c>
      <c r="AF18" s="20" t="n">
        <v>45.71</v>
      </c>
      <c r="AG18" s="20" t="n">
        <v>60.48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 t="n"/>
      <c r="R23" s="18" t="n"/>
      <c r="S23" s="18" t="n"/>
      <c r="T23" s="18" t="n"/>
      <c r="U23" s="34">
        <f>T23</f>
        <v/>
      </c>
      <c r="V23" s="18" t="n"/>
      <c r="W23" s="18" t="n"/>
      <c r="X23" s="18" t="n"/>
      <c r="Y23" s="18" t="n"/>
      <c r="Z23" s="34">
        <f>Y23</f>
        <v/>
      </c>
      <c r="AA23" s="18" t="n"/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 t="n"/>
      <c r="R24" s="18" t="n"/>
      <c r="S24" s="18" t="n"/>
      <c r="T24" s="18" t="n"/>
      <c r="U24" s="34">
        <f>T24</f>
        <v/>
      </c>
      <c r="V24" s="18" t="n"/>
      <c r="W24" s="18" t="n"/>
      <c r="X24" s="18" t="n"/>
      <c r="Y24" s="18" t="n"/>
      <c r="Z24" s="34">
        <f>Y24</f>
        <v/>
      </c>
      <c r="AA24" s="18" t="n"/>
      <c r="AB24" s="19" t="n"/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4" t="n"/>
      <c r="G27" s="18" t="n"/>
      <c r="H27" s="18" t="n"/>
      <c r="I27" s="18" t="n"/>
      <c r="J27" s="18" t="n"/>
      <c r="K27" s="34">
        <f>SUM(G27:J27)</f>
        <v/>
      </c>
      <c r="L27" s="18" t="n"/>
      <c r="M27" s="18" t="n"/>
      <c r="N27" s="18" t="n"/>
      <c r="O27" s="18" t="n"/>
      <c r="P27" s="34">
        <f>SUM(L27:O27)</f>
        <v/>
      </c>
      <c r="Q27" s="18" t="n"/>
      <c r="R27" s="18" t="n"/>
      <c r="S27" s="18" t="n"/>
      <c r="T27" s="18" t="n"/>
      <c r="U27" s="34">
        <f>SUM(Q27:T27)</f>
        <v/>
      </c>
      <c r="V27" s="18" t="n"/>
      <c r="W27" s="18" t="n"/>
      <c r="X27" s="18" t="n"/>
      <c r="Y27" s="18" t="n"/>
      <c r="Z27" s="34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11.13</v>
      </c>
      <c r="F28" s="34" t="n"/>
      <c r="G28" s="18" t="n">
        <v>111.33</v>
      </c>
      <c r="H28" s="18" t="n">
        <v>-47.24</v>
      </c>
      <c r="I28" s="18" t="n">
        <v>97.44</v>
      </c>
      <c r="J28" s="18" t="n">
        <v>-4.67</v>
      </c>
      <c r="K28" s="34">
        <f>SUM(G28:J28)</f>
        <v/>
      </c>
      <c r="L28" s="18" t="n">
        <v>15.71</v>
      </c>
      <c r="M28" s="18" t="n">
        <v>-70.62</v>
      </c>
      <c r="N28" s="18" t="n">
        <v>99.91</v>
      </c>
      <c r="O28" s="18" t="n">
        <v>63.01</v>
      </c>
      <c r="P28" s="34">
        <f>SUM(L28:O28)</f>
        <v/>
      </c>
      <c r="Q28" s="18" t="n">
        <v>40.05</v>
      </c>
      <c r="R28" s="18" t="n">
        <v>23.31</v>
      </c>
      <c r="S28" s="18" t="n">
        <v>75.55</v>
      </c>
      <c r="T28" s="18" t="n">
        <v>-166.01</v>
      </c>
      <c r="U28" s="34">
        <f>SUM(Q28:T28)</f>
        <v/>
      </c>
      <c r="V28" s="18" t="n">
        <v>237.76</v>
      </c>
      <c r="W28" s="18" t="n">
        <v>-14.95</v>
      </c>
      <c r="X28" s="18" t="n">
        <v>200.48</v>
      </c>
      <c r="Y28" s="18" t="n">
        <v>-60.55</v>
      </c>
      <c r="Z28" s="34">
        <f>SUM(V28:Y28)</f>
        <v/>
      </c>
      <c r="AA28" s="18" t="n">
        <v>65.56999999999999</v>
      </c>
      <c r="AB28" s="19" t="n">
        <v>42.05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5.087</v>
      </c>
      <c r="F29" s="27">
        <f>E29</f>
        <v/>
      </c>
      <c r="G29" s="26" t="n">
        <v>5.087</v>
      </c>
      <c r="H29" s="26" t="n">
        <v>5.087</v>
      </c>
      <c r="I29" s="26" t="n">
        <v>5.087</v>
      </c>
      <c r="J29" s="26" t="n">
        <v>4.981</v>
      </c>
      <c r="K29" s="27">
        <f>J29</f>
        <v/>
      </c>
      <c r="L29" s="26" t="n">
        <v>4.981</v>
      </c>
      <c r="M29" s="26" t="n">
        <v>4.981</v>
      </c>
      <c r="N29" s="26" t="n">
        <v>4.981</v>
      </c>
      <c r="O29" s="26" t="n">
        <v>4.931</v>
      </c>
      <c r="P29" s="27">
        <f>O29</f>
        <v/>
      </c>
      <c r="Q29" s="26" t="n">
        <v>4.931</v>
      </c>
      <c r="R29" s="26" t="n">
        <v>4.931</v>
      </c>
      <c r="S29" s="26" t="n">
        <v>4.931</v>
      </c>
      <c r="T29" s="26" t="n">
        <v>4.519</v>
      </c>
      <c r="U29" s="27">
        <f>T29</f>
        <v/>
      </c>
      <c r="V29" s="26" t="n">
        <v>4.519</v>
      </c>
      <c r="W29" s="26" t="n">
        <v>4.519</v>
      </c>
      <c r="X29" s="26" t="n">
        <v>4.519</v>
      </c>
      <c r="Y29" s="26" t="n">
        <v>4.519</v>
      </c>
      <c r="Z29" s="27">
        <f>Y29</f>
        <v/>
      </c>
      <c r="AA29" s="26" t="n">
        <v>5.034</v>
      </c>
      <c r="AB29" s="28" t="n">
        <v>5.034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1000</v>
      </c>
      <c r="F32" s="34" t="n">
        <v>1000</v>
      </c>
      <c r="G32" s="18" t="n"/>
      <c r="H32" s="18" t="n"/>
      <c r="I32" s="18" t="n"/>
      <c r="J32" s="18" t="n">
        <v>1500</v>
      </c>
      <c r="K32" s="34">
        <f>SUM(G32:J32)</f>
        <v/>
      </c>
      <c r="L32" s="18" t="n"/>
      <c r="M32" s="18" t="n"/>
      <c r="N32" s="18" t="n"/>
      <c r="O32" s="18" t="n">
        <v>1500</v>
      </c>
      <c r="P32" s="34">
        <f>SUM(L32:O32)</f>
        <v/>
      </c>
      <c r="Q32" s="18" t="n"/>
      <c r="R32" s="18" t="n"/>
      <c r="S32" s="18" t="n"/>
      <c r="T32" s="18" t="n">
        <v>2500</v>
      </c>
      <c r="U32" s="34">
        <f>SUM(Q32:T32)</f>
        <v/>
      </c>
      <c r="V32" s="18" t="n"/>
      <c r="W32" s="18" t="n"/>
      <c r="X32" s="18" t="n"/>
      <c r="Y32" s="18" t="n">
        <v>6000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5.08</v>
      </c>
      <c r="J33" s="18" t="n">
        <v>8.4</v>
      </c>
      <c r="K33" s="34">
        <f>SUM(G33:J33)</f>
        <v/>
      </c>
      <c r="L33" s="18" t="n">
        <v>7.68</v>
      </c>
      <c r="M33" s="18" t="n">
        <v>5.93</v>
      </c>
      <c r="N33" s="18" t="n">
        <v>7.15</v>
      </c>
      <c r="O33" s="18" t="n">
        <v>6.17</v>
      </c>
      <c r="P33" s="34">
        <f>SUM(L33:O33)</f>
        <v/>
      </c>
      <c r="Q33" s="18" t="n">
        <v>5.91</v>
      </c>
      <c r="R33" s="18" t="n">
        <v>6.9</v>
      </c>
      <c r="S33" s="18" t="n">
        <v>9.23</v>
      </c>
      <c r="T33" s="18" t="n">
        <v>9.08</v>
      </c>
      <c r="U33" s="34">
        <f>SUM(Q33:T33)</f>
        <v/>
      </c>
      <c r="V33" s="18" t="n">
        <v>6.48</v>
      </c>
      <c r="W33" s="18" t="n">
        <v>11.13</v>
      </c>
      <c r="X33" s="18" t="n">
        <v>8.77</v>
      </c>
      <c r="Y33" s="18" t="n">
        <v>9.880000000000001</v>
      </c>
      <c r="Z33" s="34">
        <f>SUM(V33:Y33)</f>
        <v/>
      </c>
      <c r="AA33" s="18" t="n">
        <v>13.25</v>
      </c>
      <c r="AB33" s="19" t="n">
        <v>9.43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1.24</v>
      </c>
      <c r="F34" s="34" t="n">
        <v>1.26</v>
      </c>
      <c r="G34" s="18" t="n">
        <v>1.26</v>
      </c>
      <c r="H34" s="18" t="n">
        <v>1.21</v>
      </c>
      <c r="I34" s="18" t="n">
        <v>1.03</v>
      </c>
      <c r="J34" s="18" t="n">
        <v>1.04</v>
      </c>
      <c r="K34" s="34">
        <f>SUM(G34:J34)</f>
        <v/>
      </c>
      <c r="L34" s="18" t="n">
        <v>1.05</v>
      </c>
      <c r="M34" s="18" t="n">
        <v>1.03</v>
      </c>
      <c r="N34" s="18" t="n">
        <v>1.02</v>
      </c>
      <c r="O34" s="18" t="n">
        <v>1.02</v>
      </c>
      <c r="P34" s="34">
        <f>SUM(L34:O34)</f>
        <v/>
      </c>
      <c r="Q34" s="18" t="n">
        <v>1.01</v>
      </c>
      <c r="R34" s="18" t="n">
        <v>1.02</v>
      </c>
      <c r="S34" s="18" t="n">
        <v>1.03</v>
      </c>
      <c r="T34" s="18" t="n">
        <v>1.11</v>
      </c>
      <c r="U34" s="34">
        <f>SUM(Q34:T34)</f>
        <v/>
      </c>
      <c r="V34" s="18" t="n">
        <v>1.12</v>
      </c>
      <c r="W34" s="18" t="n">
        <v>1.65</v>
      </c>
      <c r="X34" s="18" t="n">
        <v>2.02</v>
      </c>
      <c r="Y34" s="18" t="n">
        <v>2.5</v>
      </c>
      <c r="Z34" s="34">
        <f>SUM(V34:Y34)</f>
        <v/>
      </c>
      <c r="AA34" s="18" t="n">
        <v>2.51</v>
      </c>
      <c r="AB34" s="19" t="n">
        <v>2.12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251.83</v>
      </c>
      <c r="F35" s="34" t="n"/>
      <c r="G35" s="18" t="n">
        <v>188.62</v>
      </c>
      <c r="H35" s="18" t="n">
        <v>114.88</v>
      </c>
      <c r="I35" s="18" t="n">
        <v>147.09</v>
      </c>
      <c r="J35" s="18" t="n">
        <v>151.12</v>
      </c>
      <c r="K35" s="34">
        <f>SUM(G35:J35)</f>
        <v/>
      </c>
      <c r="L35" s="18" t="n">
        <v>123.37</v>
      </c>
      <c r="M35" s="18" t="n">
        <v>216.49</v>
      </c>
      <c r="N35" s="18" t="n">
        <v>168.14</v>
      </c>
      <c r="O35" s="18" t="n">
        <v>153.69</v>
      </c>
      <c r="P35" s="34">
        <f>SUM(L35:O35)</f>
        <v/>
      </c>
      <c r="Q35" s="18" t="n">
        <v>83.5</v>
      </c>
      <c r="R35" s="18" t="n">
        <v>110.31</v>
      </c>
      <c r="S35" s="18" t="n">
        <v>132.32</v>
      </c>
      <c r="T35" s="18" t="n">
        <v>138.54</v>
      </c>
      <c r="U35" s="34">
        <f>SUM(Q35:T35)</f>
        <v/>
      </c>
      <c r="V35" s="18" t="n">
        <v>339.81</v>
      </c>
      <c r="W35" s="18" t="n">
        <v>311.7</v>
      </c>
      <c r="X35" s="18" t="n">
        <v>307.62</v>
      </c>
      <c r="Y35" s="18" t="n">
        <v>207.13</v>
      </c>
      <c r="Z35" s="34">
        <f>SUM(V35:Y35)</f>
        <v/>
      </c>
      <c r="AA35" s="18" t="n">
        <v>259.36</v>
      </c>
      <c r="AB35" s="19" t="n">
        <v>239.53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89.98999999999999</v>
      </c>
      <c r="F36" s="34" t="n"/>
      <c r="G36" s="18" t="n">
        <v>54.1</v>
      </c>
      <c r="H36" s="18" t="n">
        <v>-5.88</v>
      </c>
      <c r="I36" s="18" t="n">
        <v>53.59</v>
      </c>
      <c r="J36" s="18" t="n">
        <v>22.86</v>
      </c>
      <c r="K36" s="34">
        <f>SUM(G36:J36)</f>
        <v/>
      </c>
      <c r="L36" s="18" t="n">
        <v>26.1</v>
      </c>
      <c r="M36" s="18" t="n">
        <v>36.83</v>
      </c>
      <c r="N36" s="18" t="n">
        <v>45.87</v>
      </c>
      <c r="O36" s="18" t="n">
        <v>21</v>
      </c>
      <c r="P36" s="34">
        <f>SUM(L36:O36)</f>
        <v/>
      </c>
      <c r="Q36" s="18" t="n">
        <v>11.78</v>
      </c>
      <c r="R36" s="18" t="n">
        <v>10.41</v>
      </c>
      <c r="S36" s="18" t="n">
        <v>14.47</v>
      </c>
      <c r="T36" s="18" t="n">
        <v>-20.2</v>
      </c>
      <c r="U36" s="34">
        <f>SUM(Q36:T36)</f>
        <v/>
      </c>
      <c r="V36" s="18" t="n">
        <v>99.41</v>
      </c>
      <c r="W36" s="18" t="n">
        <v>51.4</v>
      </c>
      <c r="X36" s="18" t="n">
        <v>61.99</v>
      </c>
      <c r="Y36" s="18" t="n">
        <v>40.45</v>
      </c>
      <c r="Z36" s="34">
        <f>SUM(V36:Y36)</f>
        <v/>
      </c>
      <c r="AA36" s="18" t="n">
        <v>80.42</v>
      </c>
      <c r="AB36" s="19" t="n">
        <v>41.99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3674.9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12.25</v>
      </c>
    </row>
    <row r="32">
      <c r="C32" s="2" t="inlineStr">
        <is>
          <t>pbr_now</t>
        </is>
      </c>
      <c r="D32" t="n">
        <v>2.14</v>
      </c>
    </row>
    <row r="33">
      <c r="C33" s="2" t="inlineStr">
        <is>
          <t>roe_fwd</t>
        </is>
      </c>
      <c r="D33" t="n">
        <v>0.1751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