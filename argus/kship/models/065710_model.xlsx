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147342억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152550억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159016억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164216억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171283억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181419억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147342억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152550억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159016억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164216억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171283억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181419억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763억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812억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572억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633억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763억 × 3.40%(주석 이자수익 ÷ 평균 이자발생자산(2025Q3~2026Q2)) − 총차입금 0억 × 0.00%(없음) (연율) ÷ 4
[interest]</t>
      </text>
    </comment>
    <comment ref="AL12" authorId="0" shapeId="0">
      <text>
        <t>추정: 이자발생자산 812억 × 3.40%(주석 이자수익 ÷ 평균 이자발생자산(2025Q3~2026Q2)) − 총차입금 0억 × 0.00%(없음) (연율) ÷ 4
[interest]</t>
      </text>
    </comment>
    <comment ref="AM12" authorId="0" shapeId="0">
      <text>
        <t>추정: 이자발생자산 572억 × 3.40%(주석 이자수익 ÷ 평균 이자발생자산(2025Q3~2026Q2)) − 총차입금 0억 × 0.00%(없음) (연율) ÷ 4
[interest]</t>
      </text>
    </comment>
    <comment ref="AN12" authorId="0" shapeId="0">
      <text>
        <t>추정: 이자발생자산 633억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2026-10-08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1348.08</v>
      </c>
      <c r="AE6" s="17" t="n">
        <v>1458.99</v>
      </c>
      <c r="AF6" s="16" t="n">
        <v>1338.78</v>
      </c>
      <c r="AG6" s="16" t="n">
        <v>1338.78</v>
      </c>
      <c r="AH6" s="16" t="n">
        <v>1338.78</v>
      </c>
      <c r="AI6" s="16" t="n">
        <v>1338.78</v>
      </c>
      <c r="AJ6" s="11" t="n"/>
      <c r="AK6" s="16" t="n">
        <v>1338.78</v>
      </c>
      <c r="AL6" s="16" t="n">
        <v>1338.78</v>
      </c>
      <c r="AM6" s="16" t="n">
        <v>1338.78</v>
      </c>
      <c r="AN6" s="16" t="n">
        <v>1338.78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1338.78</v>
      </c>
      <c r="AE7" s="17" t="n">
        <v>1338.78</v>
      </c>
      <c r="AF7" s="16" t="n">
        <v>1338.78</v>
      </c>
      <c r="AG7" s="16" t="n">
        <v>1338.78</v>
      </c>
      <c r="AH7" s="16" t="n">
        <v>1338.78</v>
      </c>
      <c r="AI7" s="16" t="n">
        <v>1338.78</v>
      </c>
      <c r="AJ7" s="11" t="n"/>
      <c r="AK7" s="16" t="n">
        <v>1338.78</v>
      </c>
      <c r="AL7" s="16" t="n">
        <v>1338.78</v>
      </c>
      <c r="AM7" s="16" t="n">
        <v>1338.78</v>
      </c>
      <c r="AN7" s="16" t="n">
        <v>1338.78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853.26</v>
      </c>
      <c r="AE8" s="17" t="n">
        <v>920.3099999999999</v>
      </c>
      <c r="AF8" s="16" t="n">
        <v>846.85</v>
      </c>
      <c r="AG8" s="16" t="n">
        <v>846.85</v>
      </c>
      <c r="AH8" s="16" t="n">
        <v>846.85</v>
      </c>
      <c r="AI8" s="16" t="n">
        <v>846.85</v>
      </c>
      <c r="AJ8" s="11" t="n"/>
      <c r="AK8" s="16" t="n">
        <v>846.85</v>
      </c>
      <c r="AL8" s="16" t="n">
        <v>846.85</v>
      </c>
      <c r="AM8" s="16" t="n">
        <v>846.85</v>
      </c>
      <c r="AN8" s="16" t="n">
        <v>846.85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846.85</v>
      </c>
      <c r="AE9" s="17" t="n">
        <v>846.85</v>
      </c>
      <c r="AF9" s="16" t="n">
        <v>846.85</v>
      </c>
      <c r="AG9" s="16" t="n">
        <v>846.85</v>
      </c>
      <c r="AH9" s="16" t="n">
        <v>846.85</v>
      </c>
      <c r="AI9" s="16" t="n">
        <v>846.85</v>
      </c>
      <c r="AJ9" s="11" t="n"/>
      <c r="AK9" s="16" t="n">
        <v>846.85</v>
      </c>
      <c r="AL9" s="16" t="n">
        <v>846.85</v>
      </c>
      <c r="AM9" s="16" t="n">
        <v>846.85</v>
      </c>
      <c r="AN9" s="16" t="n">
        <v>846.85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1516.47</v>
      </c>
      <c r="AE10" s="17" t="n">
        <v>1692.86</v>
      </c>
      <c r="AF10" s="16" t="n">
        <v>1508.67</v>
      </c>
      <c r="AG10" s="16" t="n">
        <v>1508.67</v>
      </c>
      <c r="AH10" s="16" t="n">
        <v>1508.67</v>
      </c>
      <c r="AI10" s="16" t="n">
        <v>1508.67</v>
      </c>
      <c r="AJ10" s="11" t="n"/>
      <c r="AK10" s="16" t="n">
        <v>1508.67</v>
      </c>
      <c r="AL10" s="16" t="n">
        <v>1508.67</v>
      </c>
      <c r="AM10" s="16" t="n">
        <v>1508.67</v>
      </c>
      <c r="AN10" s="16" t="n">
        <v>1508.67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1508.67</v>
      </c>
      <c r="AE11" s="17" t="n">
        <v>1508.67</v>
      </c>
      <c r="AF11" s="16" t="n">
        <v>1508.67</v>
      </c>
      <c r="AG11" s="16" t="n">
        <v>1508.67</v>
      </c>
      <c r="AH11" s="16" t="n">
        <v>1508.67</v>
      </c>
      <c r="AI11" s="16" t="n">
        <v>1508.67</v>
      </c>
      <c r="AJ11" s="11" t="n"/>
      <c r="AK11" s="16" t="n">
        <v>1508.67</v>
      </c>
      <c r="AL11" s="16" t="n">
        <v>1508.67</v>
      </c>
      <c r="AM11" s="16" t="n">
        <v>1508.67</v>
      </c>
      <c r="AN11" s="16" t="n">
        <v>1508.67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201.07</v>
      </c>
      <c r="AE12" s="17" t="n">
        <v>213.96</v>
      </c>
      <c r="AF12" s="16" t="n">
        <v>199.68</v>
      </c>
      <c r="AG12" s="16" t="n">
        <v>199.68</v>
      </c>
      <c r="AH12" s="16" t="n">
        <v>199.68</v>
      </c>
      <c r="AI12" s="16" t="n">
        <v>199.68</v>
      </c>
      <c r="AJ12" s="11" t="n"/>
      <c r="AK12" s="16" t="n">
        <v>199.68</v>
      </c>
      <c r="AL12" s="16" t="n">
        <v>199.68</v>
      </c>
      <c r="AM12" s="16" t="n">
        <v>199.68</v>
      </c>
      <c r="AN12" s="16" t="n">
        <v>199.68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199.68</v>
      </c>
      <c r="AE13" s="17" t="n">
        <v>199.68</v>
      </c>
      <c r="AF13" s="16" t="n">
        <v>199.68</v>
      </c>
      <c r="AG13" s="16" t="n">
        <v>199.68</v>
      </c>
      <c r="AH13" s="16" t="n">
        <v>199.68</v>
      </c>
      <c r="AI13" s="16" t="n">
        <v>199.68</v>
      </c>
      <c r="AJ13" s="11" t="n"/>
      <c r="AK13" s="16" t="n">
        <v>199.68</v>
      </c>
      <c r="AL13" s="16" t="n">
        <v>199.68</v>
      </c>
      <c r="AM13" s="16" t="n">
        <v>199.68</v>
      </c>
      <c r="AN13" s="16" t="n">
        <v>199.68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43100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42500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43400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0.1819167</v>
      </c>
      <c r="AI21" s="24" t="n">
        <v>0.19399049</v>
      </c>
      <c r="AJ21" s="25" t="n"/>
      <c r="AK21" s="24" t="n">
        <v>0.193702802</v>
      </c>
      <c r="AL21" s="24" t="n">
        <v>0.173440556</v>
      </c>
      <c r="AM21" s="24" t="n">
        <v>0.162504967</v>
      </c>
      <c r="AN21" s="24" t="n">
        <v>0.189244361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0.185274611</v>
      </c>
      <c r="AI23" s="24" t="n">
        <v>0.185295496</v>
      </c>
      <c r="AJ23" s="25">
        <f>IFERROR(subQ!AJ9/subQ!AJ5,"")</f>
        <v/>
      </c>
      <c r="AK23" s="24" t="n">
        <v>0.185294016</v>
      </c>
      <c r="AL23" s="24" t="n">
        <v>0.185272405</v>
      </c>
      <c r="AM23" s="24" t="n">
        <v>0.185271848</v>
      </c>
      <c r="AN23" s="24" t="n">
        <v>0.185271689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-0.004451968</v>
      </c>
      <c r="AD30" s="30" t="n">
        <v>0.004939816</v>
      </c>
      <c r="AE30" s="31" t="n"/>
      <c r="AF30" s="30" t="n">
        <v>0.001551894</v>
      </c>
      <c r="AG30" s="30" t="n">
        <v>301.99979655</v>
      </c>
      <c r="AH30" s="30" t="n">
        <v>0.002574487</v>
      </c>
      <c r="AI30" s="30" t="n">
        <v>-0.002594627</v>
      </c>
      <c r="AJ30" s="31" t="n"/>
      <c r="AK30" s="30" t="n">
        <v>0.007601392</v>
      </c>
      <c r="AL30" s="30" t="n">
        <v>302.012351992</v>
      </c>
      <c r="AM30" s="30" t="n">
        <v>-0.00373737</v>
      </c>
      <c r="AN30" s="30" t="n">
        <v>-0.011632822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-0.000859847</v>
      </c>
      <c r="AD31" s="30" t="n">
        <v>-4.5715e-05</v>
      </c>
      <c r="AE31" s="31" t="n"/>
      <c r="AF31" s="30" t="n">
        <v>-0.003330748</v>
      </c>
      <c r="AG31" s="30" t="n">
        <v>302.013500155</v>
      </c>
      <c r="AH31" s="30" t="n">
        <v>-0.003613913</v>
      </c>
      <c r="AI31" s="30" t="n">
        <v>0.001664823</v>
      </c>
      <c r="AJ31" s="31" t="n"/>
      <c r="AK31" s="30" t="n">
        <v>0.001986607</v>
      </c>
      <c r="AL31" s="30" t="n">
        <v>302.015164297</v>
      </c>
      <c r="AM31" s="30" t="n">
        <v>-0.010776438</v>
      </c>
      <c r="AN31" s="30" t="n">
        <v>0.00171222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0.081357268</v>
      </c>
      <c r="AI34" s="24" t="n">
        <v>0.069838199</v>
      </c>
      <c r="AJ34" s="25" t="n"/>
      <c r="AK34" s="24" t="n">
        <v>0.0638507</v>
      </c>
      <c r="AL34" s="24" t="n">
        <v>-0.295374192</v>
      </c>
      <c r="AM34" s="24" t="n">
        <v>0.106594636</v>
      </c>
      <c r="AN34" s="24" t="n">
        <v>0.09109724299999999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43100</v>
      </c>
      <c r="E42" s="2" t="inlineStr">
        <is>
          <t>원 — 네이버 정규장 종가(aik 확정종가 대조 · aik 43,350원)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20261007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0.197801171047714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0.1683224160695287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0.9998835290692033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0.0340449539412188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U34" s="9" t="n"/>
      <c r="Z34" s="9" t="n"/>
      <c r="AB34" s="5" t="n"/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U38" s="9" t="n"/>
      <c r="Z38" s="9" t="n"/>
      <c r="AB38" s="5" t="n"/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U39" s="9" t="n"/>
      <c r="Z39" s="9" t="n"/>
      <c r="AA39" s="18" t="n">
        <v>4398.85</v>
      </c>
      <c r="AB39" s="19" t="n">
        <v>3051.45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34.57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3051.45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20261007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11.71</v>
      </c>
    </row>
    <row r="32">
      <c r="C32" s="2" t="inlineStr">
        <is>
          <t>pbr_now</t>
        </is>
      </c>
      <c r="D32" t="n">
        <v>2.05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2026-10-08T00:00:00Z</dcterms:created>
  <dcterms:modified xsi:type="dcterms:W3CDTF">2026-10-08T00:00:00Z</dcterms:modified>
</cp:coreProperties>
</file>