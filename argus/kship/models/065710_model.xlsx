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BS연결!$C$5:$AO$108</definedName>
    <definedName name="BS별도H">BS별도!$C$1:$AO$1</definedName>
    <definedName name="BS별도">BS별도!$C$5:$AO$99</definedName>
    <definedName name="SUBQH">subQ!$A$1:$AO$1</definedName>
    <definedName name="subQ">subQ!$A$5:$AO$41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이동합(t−4) 124661억 × 비례계수 0.0083 × 계절비중 Q3 0.268(계절비중 — 최근 3개 연도(2026, 2025, 2024) 분기/연간 비중 평균; 격자 lag0~4×창8/12/19×수준·YoY·4Q합 중 최대 r=0.92, n=8, 창 8)</t>
      </text>
    </comment>
    <comment ref="AD21" authorId="0" shapeId="0">
      <text>
        <t>모델값 역산(implied): v / 전년동기 − 1
고객지수 4분기 이동합(t−4) 127766억 × 비례계수 0.0083 × 계절비중 Q4 0.236(계절비중 — 최근 3개 연도(2026, 2025, 2024) 분기/연간 비중 평균; 격자 lag0~4×창8/12/19×수준·YoY·4Q합 중 최대 r=0.92, n=8, 창 8)</t>
      </text>
    </comment>
    <comment ref="AF21" authorId="0" shapeId="0">
      <text>
        <t>모델값 역산(implied): v / 전년동기 − 1
고객지수 4분기 이동합(t−4) 133215억 × 비례계수 0.0083 × 계절비중 Q1 0.219(계절비중 — 최근 3개 연도(2026, 2025, 2024) 분기/연간 비중 평균; 격자 lag0~4×창8/12/19×수준·YoY·4Q합 중 최대 r=0.92, n=8, 창 8)</t>
      </text>
    </comment>
    <comment ref="AG21" authorId="0" shapeId="0">
      <text>
        <t>모델값 역산(implied): v / 전년동기 − 1
고객지수 4분기 이동합(t−4) 139943억 × 비례계수 0.0083 × 계절비중 Q2 0.277(계절비중 — 최근 3개 연도(2026, 2025, 2024) 분기/연간 비중 평균; 격자 lag0~4×창8/12/19×수준·YoY·4Q합 중 최대 r=0.92, n=8, 창 8)</t>
      </text>
    </comment>
    <comment ref="AH21" authorId="0" shapeId="0">
      <text>
        <t>모델값 역산(implied): v / 전년동기 − 1
고객지수 4분기 이동합(t−4) 148130억 × 비례계수 0.0083 × 계절비중 Q3 0.268(계절비중 — 최근 3개 연도(2026, 2025, 2024) 분기/연간 비중 평균; 격자 lag0~4×창8/12/19×수준·YoY·4Q합 중 최대 r=0.92, n=8, 창 8)</t>
      </text>
    </comment>
    <comment ref="AI21" authorId="0" shapeId="0">
      <text>
        <t>모델값 역산(implied): v / 전년동기 − 1
고객지수 4분기 이동합(t−4) 154473억 × 비례계수 0.0083 × 계절비중 Q4 0.236(계절비중 — 최근 3개 연도(2026, 2025, 2024) 분기/연간 비중 평균; 격자 lag0~4×창8/12/19×수준·YoY·4Q합 중 최대 r=0.92, n=8, 창 8)</t>
      </text>
    </comment>
    <comment ref="AK21" authorId="0" shapeId="0">
      <text>
        <t>모델값 역산(implied): v / 전년동기 − 1
고객지수 4분기 이동합(t−4) 160175억 × 비례계수 0.0083 × 계절비중 Q1 0.219(계절비중 — 최근 3개 연도(2026, 2025, 2024) 분기/연간 비중 평균; 격자 lag0~4×창8/12/19×수준·YoY·4Q합 중 최대 r=0.92, n=8, 창 8)</t>
      </text>
    </comment>
    <comment ref="AL21" authorId="0" shapeId="0">
      <text>
        <t>모델값 역산(implied): v / 전년동기 − 1
고객지수 4분기 이동합(t−4) 161808억 × 비례계수 0.0083 × 계절비중 Q2 0.277(계절비중 — 최근 3개 연도(2026, 2025, 2024) 분기/연간 비중 평균; 격자 lag0~4×창8/12/19×수준·YoY·4Q합 중 최대 r=0.92, n=8, 창 8)</t>
      </text>
    </comment>
    <comment ref="AM21" authorId="0" shapeId="0">
      <text>
        <t>모델값 역산(implied): v / 전년동기 − 1
고객지수 4분기 이동합(t−4) 161061억 × 비례계수 0.0083 × 계절비중 Q3 0.268(계절비중 — 최근 3개 연도(2026, 2025, 2024) 분기/연간 비중 평균; 격자 lag0~4×창8/12/19×수준·YoY·4Q합 중 최대 r=0.92, n=8, 창 8)</t>
      </text>
    </comment>
    <comment ref="AN21" authorId="0" shapeId="0">
      <text>
        <t>모델값 역산(implied): v / 전년동기 − 1
고객지수 4분기 이동합(t−4) 159178억 × 비례계수 0.0083 × 계절비중 Q4 0.236(계절비중 — 최근 3개 연도(2026, 2025, 2024) 분기/연간 비중 평균; 격자 lag0~4×창8/12/19×수준·YoY·4Q합 중 최대 r=0.92, n=8, 창 8)</t>
      </text>
    </comment>
    <comment ref="AC22" authorId="0" shapeId="0">
      <text>
        <t>모델값 역산(implied): v / 매출액
매출액 × 판관비율 16.83%(최근 4분기 중위)</t>
      </text>
    </comment>
    <comment ref="AD22" authorId="0" shapeId="0">
      <text>
        <t>모델값 역산(implied): v / 매출액
매출액 × 판관비율 16.83%(최근 4분기 중위)</t>
      </text>
    </comment>
    <comment ref="AF22" authorId="0" shapeId="0">
      <text>
        <t>모델값 역산(implied): v / 매출액
매출액 × 판관비율 16.83%(최근 4분기 중위)</t>
      </text>
    </comment>
    <comment ref="AG22" authorId="0" shapeId="0">
      <text>
        <t>모델값 역산(implied): v / 매출액
매출액 × 판관비율 16.83%(최근 4분기 중위)</t>
      </text>
    </comment>
    <comment ref="AH22" authorId="0" shapeId="0">
      <text>
        <t>모델값 역산(implied): v / 매출액
매출액 × 판관비율 16.83%(최근 4분기 중위)</t>
      </text>
    </comment>
    <comment ref="AI22" authorId="0" shapeId="0">
      <text>
        <t>모델값 역산(implied): v / 매출액
매출액 × 판관비율 16.83%(최근 4분기 중위)</t>
      </text>
    </comment>
    <comment ref="AK22" authorId="0" shapeId="0">
      <text>
        <t>모델값 역산(implied): v / 매출액
매출액 × 판관비율 16.83%(최근 4분기 중위)</t>
      </text>
    </comment>
    <comment ref="AL22" authorId="0" shapeId="0">
      <text>
        <t>모델값 역산(implied): v / 매출액
매출액 × 판관비율 16.83%(최근 4분기 중위)</t>
      </text>
    </comment>
    <comment ref="AM22" authorId="0" shapeId="0">
      <text>
        <t>모델값 역산(implied): v / 매출액
매출액 × 판관비율 16.83%(최근 4분기 중위)</t>
      </text>
    </comment>
    <comment ref="AN22" authorId="0" shapeId="0">
      <text>
        <t>모델값 역산(implied): v / 매출액
매출액 × 판관비율 16.83%(최근 4분기 중위)</t>
      </text>
    </comment>
    <comment ref="AC23" authorId="0" shapeId="0">
      <text>
        <t>모델값 역산(implied): v / 매출액
매출액 × OPM(최근 8분기 OPM 중위 18.5% 유지)</t>
      </text>
    </comment>
    <comment ref="AD23" authorId="0" shapeId="0">
      <text>
        <t>모델값 역산(implied): v / 매출액
매출액 × OPM(최근 8분기 OPM 중위 18.5% 유지)</t>
      </text>
    </comment>
    <comment ref="AF23" authorId="0" shapeId="0">
      <text>
        <t>모델값 역산(implied): v / 매출액
매출액 × OPM(최근 8분기 OPM 중위 18.5% 유지)</t>
      </text>
    </comment>
    <comment ref="AG23" authorId="0" shapeId="0">
      <text>
        <t>모델값 역산(implied): v / 매출액
매출액 × OPM(최근 8분기 OPM 중위 18.5% 유지)</t>
      </text>
    </comment>
    <comment ref="AH23" authorId="0" shapeId="0">
      <text>
        <t>모델값 역산(implied): v / 매출액
매출액 × OPM(최근 8분기 OPM 중위 18.5% 유지)</t>
      </text>
    </comment>
    <comment ref="AI23" authorId="0" shapeId="0">
      <text>
        <t>모델값 역산(implied): v / 매출액
매출액 × OPM(최근 8분기 OPM 중위 18.5% 유지)</t>
      </text>
    </comment>
    <comment ref="AK23" authorId="0" shapeId="0">
      <text>
        <t>모델값 역산(implied): v / 매출액
매출액 × OPM(최근 8분기 OPM 중위 18.5% 유지)</t>
      </text>
    </comment>
    <comment ref="AL23" authorId="0" shapeId="0">
      <text>
        <t>모델값 역산(implied): v / 매출액
매출액 × OPM(최근 8분기 OPM 중위 18.5% 유지)</t>
      </text>
    </comment>
    <comment ref="AM23" authorId="0" shapeId="0">
      <text>
        <t>모델값 역산(implied): v / 매출액
매출액 × OPM(최근 8분기 OPM 중위 18.5% 유지)</t>
      </text>
    </comment>
    <comment ref="AN23" authorId="0" shapeId="0">
      <text>
        <t>모델값 역산(implied): v / 매출액
매출액 × OPM(최근 8분기 OPM 중위 18.5% 유지)</t>
      </text>
    </comment>
    <comment ref="AC24" authorId="0" shapeId="0">
      <text>
        <t>모델값 역산(implied): v / 전년동기 − 1
최근 8분기 OPM 중위 18.5% 유지</t>
      </text>
    </comment>
    <comment ref="AD24" authorId="0" shapeId="0">
      <text>
        <t>모델값 역산(implied): v / 전년동기 − 1
최근 8분기 OPM 중위 18.5% 유지</t>
      </text>
    </comment>
    <comment ref="AF24" authorId="0" shapeId="0">
      <text>
        <t>모델값 역산(implied): v / 전년동기 − 1
최근 8분기 OPM 중위 18.5% 유지</t>
      </text>
    </comment>
    <comment ref="AG24" authorId="0" shapeId="0">
      <text>
        <t>모델값 역산(implied): v / 전년동기 − 1
최근 8분기 OPM 중위 18.5% 유지</t>
      </text>
    </comment>
    <comment ref="AH24" authorId="0" shapeId="0">
      <text>
        <t>모델값 역산(implied): v / 전년동기 − 1
최근 8분기 OPM 중위 18.5% 유지</t>
      </text>
    </comment>
    <comment ref="AI24" authorId="0" shapeId="0">
      <text>
        <t>모델값 역산(implied): v / 전년동기 − 1
최근 8분기 OPM 중위 18.5% 유지</t>
      </text>
    </comment>
    <comment ref="AK24" authorId="0" shapeId="0">
      <text>
        <t>모델값 역산(implied): v / 전년동기 − 1
최근 8분기 OPM 중위 18.5% 유지</t>
      </text>
    </comment>
    <comment ref="AL24" authorId="0" shapeId="0">
      <text>
        <t>모델값 역산(implied): v / 전년동기 − 1
최근 8분기 OPM 중위 18.5% 유지</t>
      </text>
    </comment>
    <comment ref="AM24" authorId="0" shapeId="0">
      <text>
        <t>모델값 역산(implied): v / 전년동기 − 1
최근 8분기 OPM 중위 18.5% 유지</t>
      </text>
    </comment>
    <comment ref="AN24" authorId="0" shapeId="0">
      <text>
        <t>모델값 역산(implied): v / 전년동기 − 1
최근 8분기 OPM 중위 18.5% 유지</t>
      </text>
    </comment>
    <comment ref="AC25" authorId="0" shapeId="0">
      <text>
        <t>모델값 역산(implied): 모델 v 그대로
이자손익 = 이자발생자산 774억 × 3.37% − 총차입금 0억 × 0.00% (연율, CF 실측) ÷ 4; 환·평가손익 0 가정</t>
      </text>
    </comment>
    <comment ref="AD25" authorId="0" shapeId="0">
      <text>
        <t>모델값 역산(implied): 모델 v 그대로
이자손익 = 이자발생자산 821억 × 3.37% − 총차입금 0억 × 0.00% (연율, CF 실측) ÷ 4; 환·평가손익 0 가정</t>
      </text>
    </comment>
    <comment ref="AF25" authorId="0" shapeId="0">
      <text>
        <t>모델값 역산(implied): 모델 v 그대로
이자손익 = 이자발생자산 863억 × 3.37% − 총차입금 0억 × 0.00% (연율, CF 실측) ÷ 4; 환·평가손익 0 가정</t>
      </text>
    </comment>
    <comment ref="AG25" authorId="0" shapeId="0">
      <text>
        <t>모델값 역산(implied): 모델 v 그대로
이자손익 = 이자발생자산 905억 × 3.37% − 총차입금 0억 × 0.00% (연율, CF 실측) ÷ 4; 환·평가손익 0 가정</t>
      </text>
    </comment>
    <comment ref="AH25" authorId="0" shapeId="0">
      <text>
        <t>모델값 역산(implied): 모델 v 그대로
이자손익 = 이자발생자산 657억 × 3.37% − 총차입금 0억 × 0.00% (연율, CF 실측) ÷ 4; 환·평가손익 0 가정</t>
      </text>
    </comment>
    <comment ref="AI25" authorId="0" shapeId="0">
      <text>
        <t>모델값 역산(implied): 모델 v 그대로
이자손익 = 이자발생자산 711억 × 3.37% − 총차입금 0억 × 0.00% (연율, CF 실측) ÷ 4; 환·평가손익 0 가정</t>
      </text>
    </comment>
    <comment ref="AK25" authorId="0" shapeId="0">
      <text>
        <t>모델값 역산(implied): 모델 v 그대로
이자손익 = 이자발생자산 760억 × 3.37% − 총차입금 0억 × 0.00% (연율, CF 실측) ÷ 4; 환·평가손익 0 가정</t>
      </text>
    </comment>
    <comment ref="AL25" authorId="0" shapeId="0">
      <text>
        <t>모델값 역산(implied): 모델 v 그대로
이자손익 = 이자발생자산 809억 × 3.37% − 총차입금 0억 × 0.00% (연율, CF 실측) ÷ 4; 환·평가손익 0 가정</t>
      </text>
    </comment>
    <comment ref="AM25" authorId="0" shapeId="0">
      <text>
        <t>모델값 역산(implied): 모델 v 그대로
이자손익 = 이자발생자산 568억 × 3.37% − 총차입금 0억 × 0.00% (연율, CF 실측) ÷ 4; 환·평가손익 0 가정</t>
      </text>
    </comment>
    <comment ref="AN25" authorId="0" shapeId="0">
      <text>
        <t>모델값 역산(implied): 모델 v 그대로
이자손익 = 이자발생자산 625억 × 3.37% − 총차입금 0억 × 0.00%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v / 세전이익
max(세전, 0) × 세율 19.8%(최근 12분기 유효세율 19.8% → 5~27% 클립)</t>
      </text>
    </comment>
    <comment ref="AD27" authorId="0" shapeId="0">
      <text>
        <t>모델값 역산(implied): v / 세전이익
max(세전, 0) × 세율 19.8%(최근 12분기 유효세율 19.8% → 5~27% 클립)</t>
      </text>
    </comment>
    <comment ref="AF27" authorId="0" shapeId="0">
      <text>
        <t>모델값 역산(implied): v / 세전이익
max(세전, 0) × 세율 19.8%(최근 12분기 유효세율 19.8% → 5~27% 클립)</t>
      </text>
    </comment>
    <comment ref="AG27" authorId="0" shapeId="0">
      <text>
        <t>모델값 역산(implied): v / 세전이익
max(세전, 0) × 세율 19.8%(최근 12분기 유효세율 19.8% → 5~27% 클립)</t>
      </text>
    </comment>
    <comment ref="AH27" authorId="0" shapeId="0">
      <text>
        <t>모델값 역산(implied): v / 세전이익
max(세전, 0) × 세율 19.8%(최근 12분기 유효세율 19.8% → 5~27% 클립)</t>
      </text>
    </comment>
    <comment ref="AI27" authorId="0" shapeId="0">
      <text>
        <t>모델값 역산(implied): v / 세전이익
max(세전, 0) × 세율 19.8%(최근 12분기 유효세율 19.8% → 5~27% 클립)</t>
      </text>
    </comment>
    <comment ref="AK27" authorId="0" shapeId="0">
      <text>
        <t>모델값 역산(implied): v / 세전이익
max(세전, 0) × 세율 19.8%(최근 12분기 유효세율 19.8% → 5~27% 클립)</t>
      </text>
    </comment>
    <comment ref="AL27" authorId="0" shapeId="0">
      <text>
        <t>모델값 역산(implied): v / 세전이익
max(세전, 0) × 세율 19.8%(최근 12분기 유효세율 19.8% → 5~27% 클립)</t>
      </text>
    </comment>
    <comment ref="AM27" authorId="0" shapeId="0">
      <text>
        <t>모델값 역산(implied): v / 세전이익
max(세전, 0) × 세율 19.8%(최근 12분기 유효세율 19.8% → 5~27% 클립)</t>
      </text>
    </comment>
    <comment ref="AN27" authorId="0" shapeId="0">
      <text>
        <t>모델값 역산(implied): v / 세전이익
max(세전, 0) × 세율 19.8%(최근 12분기 유효세율 19.8% → 5~27% 클립)</t>
      </text>
    </comment>
    <comment ref="AC28" authorId="0" shapeId="0">
      <text>
        <t>모델값 역산(implied): v / 당기순이익
당기순이익 × (1 − 비지배 비중 0.0%, 최근 8분기 실측)</t>
      </text>
    </comment>
    <comment ref="AD28" authorId="0" shapeId="0">
      <text>
        <t>모델값 역산(implied): v / 당기순이익
당기순이익 × (1 − 비지배 비중 0.0%, 최근 8분기 실측)</t>
      </text>
    </comment>
    <comment ref="AF28" authorId="0" shapeId="0">
      <text>
        <t>모델값 역산(implied): v / 당기순이익
당기순이익 × (1 − 비지배 비중 0.0%, 최근 8분기 실측)</t>
      </text>
    </comment>
    <comment ref="AG28" authorId="0" shapeId="0">
      <text>
        <t>모델값 역산(implied): v / 당기순이익
당기순이익 × (1 − 비지배 비중 0.0%, 최근 8분기 실측)</t>
      </text>
    </comment>
    <comment ref="AH28" authorId="0" shapeId="0">
      <text>
        <t>모델값 역산(implied): v / 당기순이익
당기순이익 × (1 − 비지배 비중 0.0%, 최근 8분기 실측)</t>
      </text>
    </comment>
    <comment ref="AI28" authorId="0" shapeId="0">
      <text>
        <t>모델값 역산(implied): v / 당기순이익
당기순이익 × (1 − 비지배 비중 0.0%, 최근 8분기 실측)</t>
      </text>
    </comment>
    <comment ref="AK28" authorId="0" shapeId="0">
      <text>
        <t>모델값 역산(implied): v / 당기순이익
당기순이익 × (1 − 비지배 비중 0.0%, 최근 8분기 실측)</t>
      </text>
    </comment>
    <comment ref="AL28" authorId="0" shapeId="0">
      <text>
        <t>모델값 역산(implied): v / 당기순이익
당기순이익 × (1 − 비지배 비중 0.0%, 최근 8분기 실측)</t>
      </text>
    </comment>
    <comment ref="AM28" authorId="0" shapeId="0">
      <text>
        <t>모델값 역산(implied): v / 당기순이익
당기순이익 × (1 − 비지배 비중 0.0%, 최근 8분기 실측)</t>
      </text>
    </comment>
    <comment ref="AN28" authorId="0" shapeId="0">
      <text>
        <t>모델값 역산(implied): v / 당기순이익
당기순이익 × (1 − 비지배 비중 0.0%, 최근 8분기 실측)</t>
      </text>
    </comment>
    <comment ref="AH29" authorId="0" shapeId="0">
      <text>
        <t>모델값 역산(implied): v / 전년동기 − 1
최근 4분기 감가상각비 중위 유지</t>
      </text>
    </comment>
    <comment ref="AI29" authorId="0" shapeId="0">
      <text>
        <t>모델값 역산(implied): v / 전년동기 − 1
최근 4분기 감가상각비 중위 유지</t>
      </text>
    </comment>
    <comment ref="AK29" authorId="0" shapeId="0">
      <text>
        <t>모델값 역산(implied): v / 전년동기 − 1
최근 4분기 감가상각비 중위 유지</t>
      </text>
    </comment>
    <comment ref="AL29" authorId="0" shapeId="0">
      <text>
        <t>모델값 역산(implied): v / 전년동기 − 1
최근 4분기 감가상각비 중위 유지</t>
      </text>
    </comment>
    <comment ref="AM29" authorId="0" shapeId="0">
      <text>
        <t>모델값 역산(implied): v / 전년동기 − 1
최근 4분기 감가상각비 중위 유지</t>
      </text>
    </comment>
    <comment ref="AN29" authorId="0" shapeId="0">
      <text>
        <t>모델값 역산(implied): v / 전년동기 − 1
최근 4분기 감가상각비 중위 유지</t>
      </text>
    </comment>
    <comment ref="AH30" authorId="0" shapeId="0">
      <text>
        <t>모델값 역산(implied): v / 전년동기 − 1
영업이익 + 감가상각비</t>
      </text>
    </comment>
    <comment ref="AI30" authorId="0" shapeId="0">
      <text>
        <t>모델값 역산(implied): v / 전년동기 − 1
영업이익 + 감가상각비</t>
      </text>
    </comment>
    <comment ref="AK30" authorId="0" shapeId="0">
      <text>
        <t>모델값 역산(implied): v / 전년동기 − 1
영업이익 + 감가상각비</t>
      </text>
    </comment>
    <comment ref="AL30" authorId="0" shapeId="0">
      <text>
        <t>모델값 역산(implied): v / 전년동기 − 1
영업이익 + 감가상각비</t>
      </text>
    </comment>
    <comment ref="AM30" authorId="0" shapeId="0">
      <text>
        <t>모델값 역산(implied): v / 전년동기 − 1
영업이익 + 감가상각비</t>
      </text>
    </comment>
    <comment ref="AN30" authorId="0" shapeId="0">
      <text>
        <t>모델값 역산(implied): v / 전년동기 − 1
영업이익 + 감가상각비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 + 당기순이익 − v
전분기 + 당기순이익 − 배당(Q2 지급 가정)</t>
      </text>
    </comment>
    <comment ref="AD32" authorId="0" shapeId="0">
      <text>
        <t>모델값 역산(implied): 전분기 + 당기순이익 − v
전분기 + 당기순이익 − 배당(Q2 지급 가정)</t>
      </text>
    </comment>
    <comment ref="AF32" authorId="0" shapeId="0">
      <text>
        <t>모델값 역산(implied): 전분기 + 당기순이익 − v
전분기 + 당기순이익 − 배당(Q2 지급 가정)</t>
      </text>
    </comment>
    <comment ref="AG32" authorId="0" shapeId="0">
      <text>
        <t>모델값 역산(implied): 전분기 + 당기순이익 − v
전분기 + 당기순이익 − 배당(Q2 지급 가정)</t>
      </text>
    </comment>
    <comment ref="AH32" authorId="0" shapeId="0">
      <text>
        <t>모델값 역산(implied): 전분기 + 당기순이익 − v
전분기 + 당기순이익 − 배당(Q2 지급 가정)</t>
      </text>
    </comment>
    <comment ref="AI32" authorId="0" shapeId="0">
      <text>
        <t>모델값 역산(implied): 전분기 + 당기순이익 − v
전분기 + 당기순이익 − 배당(Q2 지급 가정)</t>
      </text>
    </comment>
    <comment ref="AK32" authorId="0" shapeId="0">
      <text>
        <t>모델값 역산(implied): 전분기 + 당기순이익 − v
전분기 + 당기순이익 − 배당(Q2 지급 가정)</t>
      </text>
    </comment>
    <comment ref="AL32" authorId="0" shapeId="0">
      <text>
        <t>모델값 역산(implied): 전분기 + 당기순이익 − v
전분기 + 당기순이익 − 배당(Q2 지급 가정)</t>
      </text>
    </comment>
    <comment ref="AM32" authorId="0" shapeId="0">
      <text>
        <t>모델값 역산(implied): 전분기 + 당기순이익 − v
전분기 + 당기순이익 − 배당(Q2 지급 가정)</t>
      </text>
    </comment>
    <comment ref="AN32" authorId="0" shapeId="0">
      <text>
        <t>모델값 역산(implied): 전분기 + 당기순이익 − v
전분기 + 당기순이익 − 배당(Q2 지급 가정)</t>
      </text>
    </comment>
    <comment ref="AC33" authorId="0" shapeId="0">
      <text>
        <t>모델값 역산(implied): 전분기 + 지배주주순이익 − v
전분기 + 지배주주순이익 − 배당</t>
      </text>
    </comment>
    <comment ref="AD33" authorId="0" shapeId="0">
      <text>
        <t>모델값 역산(implied): 전분기 + 지배주주순이익 − v
전분기 + 지배주주순이익 − 배당</t>
      </text>
    </comment>
    <comment ref="AF33" authorId="0" shapeId="0">
      <text>
        <t>모델값 역산(implied): 전분기 + 지배주주순이익 − v
전분기 + 지배주주순이익 − 배당</t>
      </text>
    </comment>
    <comment ref="AG33" authorId="0" shapeId="0">
      <text>
        <t>모델값 역산(implied): 전분기 + 지배주주순이익 − v
전분기 + 지배주주순이익 − 배당</t>
      </text>
    </comment>
    <comment ref="AH33" authorId="0" shapeId="0">
      <text>
        <t>모델값 역산(implied): 전분기 + 지배주주순이익 − v
전분기 + 지배주주순이익 − 배당</t>
      </text>
    </comment>
    <comment ref="AI33" authorId="0" shapeId="0">
      <text>
        <t>모델값 역산(implied): 전분기 + 지배주주순이익 − v
전분기 + 지배주주순이익 − 배당</t>
      </text>
    </comment>
    <comment ref="AK33" authorId="0" shapeId="0">
      <text>
        <t>모델값 역산(implied): 전분기 + 지배주주순이익 − v
전분기 + 지배주주순이익 − 배당</t>
      </text>
    </comment>
    <comment ref="AL33" authorId="0" shapeId="0">
      <text>
        <t>모델값 역산(implied): 전분기 + 지배주주순이익 − v
전분기 + 지배주주순이익 − 배당</t>
      </text>
    </comment>
    <comment ref="AM33" authorId="0" shapeId="0">
      <text>
        <t>모델값 역산(implied): 전분기 + 지배주주순이익 − v
전분기 + 지배주주순이익 − 배당</t>
      </text>
    </comment>
    <comment ref="AN33" authorId="0" shapeId="0">
      <text>
        <t>모델값 역산(implied): 전분기 + 지배주주순이익 − v
전분기 + 지배주주순이익 − 배당</t>
      </text>
    </comment>
    <comment ref="AC36" authorId="0" shapeId="0">
      <text>
        <t>모델값 역산(implied): v / 전분기 − 1
전분기 + (순이익 − 배당) — 순차입금 롤과 같은 가정</t>
      </text>
    </comment>
    <comment ref="AD36" authorId="0" shapeId="0">
      <text>
        <t>모델값 역산(implied): v / 전분기 − 1
전분기 + (순이익 − 배당) — 순차입금 롤과 같은 가정</t>
      </text>
    </comment>
    <comment ref="AF36" authorId="0" shapeId="0">
      <text>
        <t>모델값 역산(implied): v / 전분기 − 1
전분기 + (순이익 − 배당) — 순차입금 롤과 같은 가정</t>
      </text>
    </comment>
    <comment ref="AG36" authorId="0" shapeId="0">
      <text>
        <t>모델값 역산(implied): v / 전분기 − 1
전분기 + (순이익 − 배당) — 순차입금 롤과 같은 가정</t>
      </text>
    </comment>
    <comment ref="AH36" authorId="0" shapeId="0">
      <text>
        <t>모델값 역산(implied): v / 전분기 − 1
전분기 + (순이익 − 배당) — 순차입금 롤과 같은 가정</t>
      </text>
    </comment>
    <comment ref="AI36" authorId="0" shapeId="0">
      <text>
        <t>모델값 역산(implied): v / 전분기 − 1
전분기 + (순이익 − 배당) — 순차입금 롤과 같은 가정</t>
      </text>
    </comment>
    <comment ref="AK36" authorId="0" shapeId="0">
      <text>
        <t>모델값 역산(implied): v / 전분기 − 1
전분기 + (순이익 − 배당) — 순차입금 롤과 같은 가정</t>
      </text>
    </comment>
    <comment ref="AL36" authorId="0" shapeId="0">
      <text>
        <t>모델값 역산(implied): v / 전분기 − 1
전분기 + (순이익 − 배당) — 순차입금 롤과 같은 가정</t>
      </text>
    </comment>
    <comment ref="AM36" authorId="0" shapeId="0">
      <text>
        <t>모델값 역산(implied): v / 전분기 − 1
전분기 + (순이익 − 배당) — 순차입금 롤과 같은 가정</t>
      </text>
    </comment>
    <comment ref="AN36" authorId="0" shapeId="0">
      <text>
        <t>모델값 역산(implied): v / 전분기 − 1
전분기 + (순이익 − 배당) — 순차입금 롤과 같은 가정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v / 전년동기 − 1
직전 결산 DPS 6,000원 유지</t>
      </text>
    </comment>
    <comment ref="AI41" authorId="0" shapeId="0">
      <text>
        <t>모델값 역산(implied): v / 전년동기 − 1
직전 결산 DPS 6,000원 유지</t>
      </text>
    </comment>
    <comment ref="AN41" authorId="0" shapeId="0">
      <text>
        <t>모델값 역산(implied): v / 전년동기 − 1
직전 결산 DPS 6,000원 유지</t>
      </text>
    </comment>
    <comment ref="AC42" authorId="0" shapeId="0">
      <text>
        <t>모델값 역산(implied): v / 전년동기 − 1
현재 종가 ÷ TTM EPS(추정 포함)</t>
      </text>
    </comment>
    <comment ref="AD42" authorId="0" shapeId="0">
      <text>
        <t>모델값 역산(implied): v / 전년동기 − 1
현재 종가 ÷ TTM EPS(추정 포함)</t>
      </text>
    </comment>
    <comment ref="AF42" authorId="0" shapeId="0">
      <text>
        <t>모델값 역산(implied): v / 전년동기 − 1
현재 종가 ÷ TTM EPS(추정 포함)</t>
      </text>
    </comment>
    <comment ref="AG42" authorId="0" shapeId="0">
      <text>
        <t>모델값 역산(implied): v / 전년동기 − 1
현재 종가 ÷ TTM EPS(추정 포함)</t>
      </text>
    </comment>
    <comment ref="AH42" authorId="0" shapeId="0">
      <text>
        <t>모델값 역산(implied): v / 전년동기 − 1
현재 종가 ÷ TTM EPS(추정 포함)</t>
      </text>
    </comment>
    <comment ref="AI42" authorId="0" shapeId="0">
      <text>
        <t>모델값 역산(implied): v / 전년동기 − 1
현재 종가 ÷ TTM EPS(추정 포함)</t>
      </text>
    </comment>
    <comment ref="AK42" authorId="0" shapeId="0">
      <text>
        <t>모델값 역산(implied): v / 전년동기 − 1
현재 종가 ÷ TTM EPS(추정 포함)</t>
      </text>
    </comment>
    <comment ref="AL42" authorId="0" shapeId="0">
      <text>
        <t>모델값 역산(implied): v / 전년동기 − 1
현재 종가 ÷ TTM EPS(추정 포함)</t>
      </text>
    </comment>
    <comment ref="AM42" authorId="0" shapeId="0">
      <text>
        <t>모델값 역산(implied): v / 전년동기 − 1
현재 종가 ÷ TTM EPS(추정 포함)</t>
      </text>
    </comment>
    <comment ref="AN42" authorId="0" shapeId="0">
      <text>
        <t>모델값 역산(implied): v / 전년동기 − 1
현재 종가 ÷ TTM EPS(추정 포함)</t>
      </text>
    </comment>
    <comment ref="AC43" authorId="0" shapeId="0">
      <text>
        <t>모델값 역산(implied): v / 전년동기 − 1
현재 종가 ÷ BPS(추정 포함)</t>
      </text>
    </comment>
    <comment ref="AD43" authorId="0" shapeId="0">
      <text>
        <t>모델값 역산(implied): v / 전년동기 − 1
현재 종가 ÷ BPS(추정 포함)</t>
      </text>
    </comment>
    <comment ref="AF43" authorId="0" shapeId="0">
      <text>
        <t>모델값 역산(implied): v / 전년동기 − 1
현재 종가 ÷ BPS(추정 포함)</t>
      </text>
    </comment>
    <comment ref="AG43" authorId="0" shapeId="0">
      <text>
        <t>모델값 역산(implied): v / 전년동기 − 1
현재 종가 ÷ BPS(추정 포함)</t>
      </text>
    </comment>
    <comment ref="AH43" authorId="0" shapeId="0">
      <text>
        <t>모델값 역산(implied): v / 전년동기 − 1
현재 종가 ÷ BPS(추정 포함)</t>
      </text>
    </comment>
    <comment ref="AI43" authorId="0" shapeId="0">
      <text>
        <t>모델값 역산(implied): v / 전년동기 − 1
현재 종가 ÷ BPS(추정 포함)</t>
      </text>
    </comment>
    <comment ref="AK43" authorId="0" shapeId="0">
      <text>
        <t>모델값 역산(implied): v / 전년동기 − 1
현재 종가 ÷ BPS(추정 포함)</t>
      </text>
    </comment>
    <comment ref="AL43" authorId="0" shapeId="0">
      <text>
        <t>모델값 역산(implied): v / 전년동기 − 1
현재 종가 ÷ BPS(추정 포함)</t>
      </text>
    </comment>
    <comment ref="AM43" authorId="0" shapeId="0">
      <text>
        <t>모델값 역산(implied): v / 전년동기 − 1
현재 종가 ÷ BPS(추정 포함)</t>
      </text>
    </comment>
    <comment ref="AN43" authorId="0" shapeId="0">
      <text>
        <t>모델값 역산(implied): v / 전년동기 − 1
현재 종가 ÷ BPS(추정 포함)</t>
      </text>
    </comment>
    <comment ref="AC44" authorId="0" shapeId="0">
      <text>
        <t>모델값 역산(implied): v / 매출액
= 매출액 추정(부문 미분리)</t>
      </text>
    </comment>
    <comment ref="AD44" authorId="0" shapeId="0">
      <text>
        <t>모델값 역산(implied): v / 매출액
= 매출액 추정(부문 미분리)</t>
      </text>
    </comment>
    <comment ref="AF44" authorId="0" shapeId="0">
      <text>
        <t>모델값 역산(implied): v / 매출액
= 매출액 추정(부문 미분리)</t>
      </text>
    </comment>
    <comment ref="AG44" authorId="0" shapeId="0">
      <text>
        <t>모델값 역산(implied): v / 매출액
= 매출액 추정(부문 미분리)</t>
      </text>
    </comment>
    <comment ref="AH44" authorId="0" shapeId="0">
      <text>
        <t>모델값 역산(implied): v / 매출액
= 매출액 추정(부문 미분리)</t>
      </text>
    </comment>
    <comment ref="AI44" authorId="0" shapeId="0">
      <text>
        <t>모델값 역산(implied): v / 매출액
= 매출액 추정(부문 미분리)</t>
      </text>
    </comment>
    <comment ref="AK44" authorId="0" shapeId="0">
      <text>
        <t>모델값 역산(implied): v / 매출액
= 매출액 추정(부문 미분리)</t>
      </text>
    </comment>
    <comment ref="AL44" authorId="0" shapeId="0">
      <text>
        <t>모델값 역산(implied): v / 매출액
= 매출액 추정(부문 미분리)</t>
      </text>
    </comment>
    <comment ref="AM44" authorId="0" shapeId="0">
      <text>
        <t>모델값 역산(implied): v / 매출액
= 매출액 추정(부문 미분리)</t>
      </text>
    </comment>
    <comment ref="AN44" authorId="0" shapeId="0">
      <text>
        <t>모델값 역산(implied): v / 매출액
= 매출액 추정(부문 미분리)</t>
      </text>
    </comment>
    <comment ref="AC45" authorId="0" shapeId="0">
      <text>
        <t>모델값 역산(implied): v / 매출전사
= 매출액 × OPM(부문 미분리)</t>
      </text>
    </comment>
    <comment ref="AD45" authorId="0" shapeId="0">
      <text>
        <t>모델값 역산(implied): v / 매출전사
= 매출액 × OPM(부문 미분리)</t>
      </text>
    </comment>
    <comment ref="AF45" authorId="0" shapeId="0">
      <text>
        <t>모델값 역산(implied): v / 매출전사
= 매출액 × OPM(부문 미분리)</t>
      </text>
    </comment>
    <comment ref="AG45" authorId="0" shapeId="0">
      <text>
        <t>모델값 역산(implied): v / 매출전사
= 매출액 × OPM(부문 미분리)</t>
      </text>
    </comment>
    <comment ref="AH45" authorId="0" shapeId="0">
      <text>
        <t>모델값 역산(implied): v / 매출전사
= 매출액 × OPM(부문 미분리)</t>
      </text>
    </comment>
    <comment ref="AI45" authorId="0" shapeId="0">
      <text>
        <t>모델값 역산(implied): v / 매출전사
= 매출액 × OPM(부문 미분리)</t>
      </text>
    </comment>
    <comment ref="AK45" authorId="0" shapeId="0">
      <text>
        <t>모델값 역산(implied): v / 매출전사
= 매출액 × OPM(부문 미분리)</t>
      </text>
    </comment>
    <comment ref="AL45" authorId="0" shapeId="0">
      <text>
        <t>모델값 역산(implied): v / 매출전사
= 매출액 × OPM(부문 미분리)</t>
      </text>
    </comment>
    <comment ref="AM45" authorId="0" shapeId="0">
      <text>
        <t>모델값 역산(implied): v / 매출전사
= 매출액 × OPM(부문 미분리)</t>
      </text>
    </comment>
    <comment ref="AN45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이동합(t−4) 124661억 × 비례계수 0.0083 × 계절비중 Q3 0.268(계절비중 — 최근 3개 연도(2026, 2025, 2024) 분기/연간 비중 평균; 격자 lag0~4×창8/12/19×수준·YoY·4Q합 중 최대 r=0.92, n=8, 창 8)
[yoy]</t>
      </text>
    </comment>
    <comment ref="AD5" authorId="0" shapeId="0">
      <text>
        <t>추정: 고객지수 4분기 이동합(t−4) 127766억 × 비례계수 0.0083 × 계절비중 Q4 0.236(계절비중 — 최근 3개 연도(2026, 2025, 2024) 분기/연간 비중 평균; 격자 lag0~4×창8/12/19×수준·YoY·4Q합 중 최대 r=0.92, n=8, 창 8)
[yoy]</t>
      </text>
    </comment>
    <comment ref="AF5" authorId="0" shapeId="0">
      <text>
        <t>추정: 고객지수 4분기 이동합(t−4) 133215억 × 비례계수 0.0083 × 계절비중 Q1 0.219(계절비중 — 최근 3개 연도(2026, 2025, 2024) 분기/연간 비중 평균; 격자 lag0~4×창8/12/19×수준·YoY·4Q합 중 최대 r=0.92, n=8, 창 8)
[yoy]</t>
      </text>
    </comment>
    <comment ref="AG5" authorId="0" shapeId="0">
      <text>
        <t>추정: 고객지수 4분기 이동합(t−4) 139943억 × 비례계수 0.0083 × 계절비중 Q2 0.277(계절비중 — 최근 3개 연도(2026, 2025, 2024) 분기/연간 비중 평균; 격자 lag0~4×창8/12/19×수준·YoY·4Q합 중 최대 r=0.92, n=8, 창 8)
[yoy]</t>
      </text>
    </comment>
    <comment ref="AH5" authorId="0" shapeId="0">
      <text>
        <t>추정: 고객지수 4분기 이동합(t−4) 148130억 × 비례계수 0.0083 × 계절비중 Q3 0.268(계절비중 — 최근 3개 연도(2026, 2025, 2024) 분기/연간 비중 평균; 격자 lag0~4×창8/12/19×수준·YoY·4Q합 중 최대 r=0.92, n=8, 창 8)
[yoy]</t>
      </text>
    </comment>
    <comment ref="AI5" authorId="0" shapeId="0">
      <text>
        <t>추정: 고객지수 4분기 이동합(t−4) 154473억 × 비례계수 0.0083 × 계절비중 Q4 0.236(계절비중 — 최근 3개 연도(2026, 2025, 2024) 분기/연간 비중 평균; 격자 lag0~4×창8/12/19×수준·YoY·4Q합 중 최대 r=0.92, n=8, 창 8)
[yoy]</t>
      </text>
    </comment>
    <comment ref="AK5" authorId="0" shapeId="0">
      <text>
        <t>추정: 고객지수 4분기 이동합(t−4) 160175억 × 비례계수 0.0083 × 계절비중 Q1 0.219(계절비중 — 최근 3개 연도(2026, 2025, 2024) 분기/연간 비중 평균; 격자 lag0~4×창8/12/19×수준·YoY·4Q합 중 최대 r=0.92, n=8, 창 8)
[yoy]</t>
      </text>
    </comment>
    <comment ref="AL5" authorId="0" shapeId="0">
      <text>
        <t>추정: 고객지수 4분기 이동합(t−4) 161808억 × 비례계수 0.0083 × 계절비중 Q2 0.277(계절비중 — 최근 3개 연도(2026, 2025, 2024) 분기/연간 비중 평균; 격자 lag0~4×창8/12/19×수준·YoY·4Q합 중 최대 r=0.92, n=8, 창 8)
[yoy]</t>
      </text>
    </comment>
    <comment ref="AM5" authorId="0" shapeId="0">
      <text>
        <t>추정: 고객지수 4분기 이동합(t−4) 161061억 × 비례계수 0.0083 × 계절비중 Q3 0.268(계절비중 — 최근 3개 연도(2026, 2025, 2024) 분기/연간 비중 평균; 격자 lag0~4×창8/12/19×수준·YoY·4Q합 중 최대 r=0.92, n=8, 창 8)
[yoy]</t>
      </text>
    </comment>
    <comment ref="AN5" authorId="0" shapeId="0">
      <text>
        <t>추정: 고객지수 4분기 이동합(t−4) 159178억 × 비례계수 0.0083 × 계절비중 Q4 0.236(계절비중 — 최근 3개 연도(2026, 2025, 2024) 분기/연간 비중 평균; 격자 lag0~4×창8/12/19×수준·YoY·4Q합 중 최대 r=0.92,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16.83%(최근 4분기 중위)
[ratio]</t>
      </text>
    </comment>
    <comment ref="AD8" authorId="0" shapeId="0">
      <text>
        <t>추정: 매출액 × 판관비율 16.83%(최근 4분기 중위)
[ratio]</t>
      </text>
    </comment>
    <comment ref="AF8" authorId="0" shapeId="0">
      <text>
        <t>추정: 매출액 × 판관비율 16.83%(최근 4분기 중위)
[ratio]</t>
      </text>
    </comment>
    <comment ref="AG8" authorId="0" shapeId="0">
      <text>
        <t>추정: 매출액 × 판관비율 16.83%(최근 4분기 중위)
[ratio]</t>
      </text>
    </comment>
    <comment ref="AH8" authorId="0" shapeId="0">
      <text>
        <t>추정: 매출액 × 판관비율 16.83%(최근 4분기 중위)
[ratio]</t>
      </text>
    </comment>
    <comment ref="AI8" authorId="0" shapeId="0">
      <text>
        <t>추정: 매출액 × 판관비율 16.83%(최근 4분기 중위)
[ratio]</t>
      </text>
    </comment>
    <comment ref="AK8" authorId="0" shapeId="0">
      <text>
        <t>추정: 매출액 × 판관비율 16.83%(최근 4분기 중위)
[ratio]</t>
      </text>
    </comment>
    <comment ref="AL8" authorId="0" shapeId="0">
      <text>
        <t>추정: 매출액 × 판관비율 16.83%(최근 4분기 중위)
[ratio]</t>
      </text>
    </comment>
    <comment ref="AM8" authorId="0" shapeId="0">
      <text>
        <t>추정: 매출액 × 판관비율 16.83%(최근 4분기 중위)
[ratio]</t>
      </text>
    </comment>
    <comment ref="AN8" authorId="0" shapeId="0">
      <text>
        <t>추정: 매출액 × 판관비율 16.83%(최근 4분기 중위)
[ratio]</t>
      </text>
    </comment>
    <comment ref="AC9" authorId="0" shapeId="0">
      <text>
        <t>추정: 매출액 × OPM(최근 8분기 OPM 중위 18.5% 유지)
[ratio]</t>
      </text>
    </comment>
    <comment ref="AD9" authorId="0" shapeId="0">
      <text>
        <t>추정: 매출액 × OPM(최근 8분기 OPM 중위 18.5% 유지)
[ratio]</t>
      </text>
    </comment>
    <comment ref="AF9" authorId="0" shapeId="0">
      <text>
        <t>추정: 매출액 × OPM(최근 8분기 OPM 중위 18.5% 유지)
[ratio]</t>
      </text>
    </comment>
    <comment ref="AG9" authorId="0" shapeId="0">
      <text>
        <t>추정: 매출액 × OPM(최근 8분기 OPM 중위 18.5% 유지)
[ratio]</t>
      </text>
    </comment>
    <comment ref="AH9" authorId="0" shapeId="0">
      <text>
        <t>추정: 매출액 × OPM(최근 8분기 OPM 중위 18.5% 유지)
[ratio]</t>
      </text>
    </comment>
    <comment ref="AI9" authorId="0" shapeId="0">
      <text>
        <t>추정: 매출액 × OPM(최근 8분기 OPM 중위 18.5% 유지)
[ratio]</t>
      </text>
    </comment>
    <comment ref="AK9" authorId="0" shapeId="0">
      <text>
        <t>추정: 매출액 × OPM(최근 8분기 OPM 중위 18.5% 유지)
[ratio]</t>
      </text>
    </comment>
    <comment ref="AL9" authorId="0" shapeId="0">
      <text>
        <t>추정: 매출액 × OPM(최근 8분기 OPM 중위 18.5% 유지)
[ratio]</t>
      </text>
    </comment>
    <comment ref="AM9" authorId="0" shapeId="0">
      <text>
        <t>추정: 매출액 × OPM(최근 8분기 OPM 중위 18.5% 유지)
[ratio]</t>
      </text>
    </comment>
    <comment ref="AN9" authorId="0" shapeId="0">
      <text>
        <t>추정: 매출액 × OPM(최근 8분기 OPM 중위 18.5% 유지)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18.5% 유지
[yoy]</t>
      </text>
    </comment>
    <comment ref="AD10" authorId="0" shapeId="0">
      <text>
        <t>추정: 최근 8분기 OPM 중위 18.5% 유지
[yoy]</t>
      </text>
    </comment>
    <comment ref="AF10" authorId="0" shapeId="0">
      <text>
        <t>추정: 최근 8분기 OPM 중위 18.5% 유지
[yoy]</t>
      </text>
    </comment>
    <comment ref="AG10" authorId="0" shapeId="0">
      <text>
        <t>추정: 최근 8분기 OPM 중위 18.5% 유지
[yoy]</t>
      </text>
    </comment>
    <comment ref="AH10" authorId="0" shapeId="0">
      <text>
        <t>추정: 최근 8분기 OPM 중위 18.5% 유지
[yoy]</t>
      </text>
    </comment>
    <comment ref="AI10" authorId="0" shapeId="0">
      <text>
        <t>추정: 최근 8분기 OPM 중위 18.5% 유지
[yoy]</t>
      </text>
    </comment>
    <comment ref="AK10" authorId="0" shapeId="0">
      <text>
        <t>추정: 최근 8분기 OPM 중위 18.5% 유지
[yoy]</t>
      </text>
    </comment>
    <comment ref="AL10" authorId="0" shapeId="0">
      <text>
        <t>추정: 최근 8분기 OPM 중위 18.5% 유지
[yoy]</t>
      </text>
    </comment>
    <comment ref="AM10" authorId="0" shapeId="0">
      <text>
        <t>추정: 최근 8분기 OPM 중위 18.5% 유지
[yoy]</t>
      </text>
    </comment>
    <comment ref="AN10" authorId="0" shapeId="0">
      <text>
        <t>추정: 최근 8분기 OPM 중위 18.5% 유지
[yoy]</t>
      </text>
    </comment>
    <comment ref="AC11" authorId="0" shapeId="0">
      <text>
        <t>추정: 이자손익 = 이자발생자산 774억 × 3.37% − 총차입금 0억 × 0.00% (연율, CF 실측) ÷ 4; 환·평가손익 0 가정
[abs]</t>
      </text>
    </comment>
    <comment ref="AD11" authorId="0" shapeId="0">
      <text>
        <t>추정: 이자손익 = 이자발생자산 821억 × 3.37% − 총차입금 0억 × 0.00% (연율, CF 실측) ÷ 4; 환·평가손익 0 가정
[abs]</t>
      </text>
    </comment>
    <comment ref="AF11" authorId="0" shapeId="0">
      <text>
        <t>추정: 이자손익 = 이자발생자산 863억 × 3.37% − 총차입금 0억 × 0.00% (연율, CF 실측) ÷ 4; 환·평가손익 0 가정
[abs]</t>
      </text>
    </comment>
    <comment ref="AG11" authorId="0" shapeId="0">
      <text>
        <t>추정: 이자손익 = 이자발생자산 905억 × 3.37% − 총차입금 0억 × 0.00% (연율, CF 실측) ÷ 4; 환·평가손익 0 가정
[abs]</t>
      </text>
    </comment>
    <comment ref="AH11" authorId="0" shapeId="0">
      <text>
        <t>추정: 이자손익 = 이자발생자산 657억 × 3.37% − 총차입금 0억 × 0.00% (연율, CF 실측) ÷ 4; 환·평가손익 0 가정
[abs]</t>
      </text>
    </comment>
    <comment ref="AI11" authorId="0" shapeId="0">
      <text>
        <t>추정: 이자손익 = 이자발생자산 711억 × 3.37% − 총차입금 0억 × 0.00% (연율, CF 실측) ÷ 4; 환·평가손익 0 가정
[abs]</t>
      </text>
    </comment>
    <comment ref="AK11" authorId="0" shapeId="0">
      <text>
        <t>추정: 이자손익 = 이자발생자산 760억 × 3.37% − 총차입금 0억 × 0.00% (연율, CF 실측) ÷ 4; 환·평가손익 0 가정
[abs]</t>
      </text>
    </comment>
    <comment ref="AL11" authorId="0" shapeId="0">
      <text>
        <t>추정: 이자손익 = 이자발생자산 809억 × 3.37% − 총차입금 0억 × 0.00% (연율, CF 실측) ÷ 4; 환·평가손익 0 가정
[abs]</t>
      </text>
    </comment>
    <comment ref="AM11" authorId="0" shapeId="0">
      <text>
        <t>추정: 이자손익 = 이자발생자산 568억 × 3.37% − 총차입금 0억 × 0.00% (연율, CF 실측) ÷ 4; 환·평가손익 0 가정
[abs]</t>
      </text>
    </comment>
    <comment ref="AN11" authorId="0" shapeId="0">
      <text>
        <t>추정: 이자손익 = 이자발생자산 625억 × 3.37% − 총차입금 0억 × 0.00%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영업이익 + 금융손익 + 기타영업외 + 지분법 + 환관련(항등식)
[identity]</t>
      </text>
    </comment>
    <comment ref="AD13" authorId="0" shapeId="0">
      <text>
        <t>추정: 영업이익 + 금융손익 + 기타영업외 + 지분법 + 환관련(항등식)
[identity]</t>
      </text>
    </comment>
    <comment ref="AF13" authorId="0" shapeId="0">
      <text>
        <t>추정: 영업이익 + 금융손익 + 기타영업외 + 지분법 + 환관련(항등식)
[identity]</t>
      </text>
    </comment>
    <comment ref="AG13" authorId="0" shapeId="0">
      <text>
        <t>추정: 영업이익 + 금융손익 + 기타영업외 + 지분법 + 환관련(항등식)
[identity]</t>
      </text>
    </comment>
    <comment ref="AH13" authorId="0" shapeId="0">
      <text>
        <t>추정: 영업이익 + 금융손익 + 기타영업외 + 지분법 + 환관련(항등식)
[identity]</t>
      </text>
    </comment>
    <comment ref="AI13" authorId="0" shapeId="0">
      <text>
        <t>추정: 영업이익 + 금융손익 + 기타영업외 + 지분법 + 환관련(항등식)
[identity]</t>
      </text>
    </comment>
    <comment ref="AK13" authorId="0" shapeId="0">
      <text>
        <t>추정: 영업이익 + 금융손익 + 기타영업외 + 지분법 + 환관련(항등식)
[identity]</t>
      </text>
    </comment>
    <comment ref="AL13" authorId="0" shapeId="0">
      <text>
        <t>추정: 영업이익 + 금융손익 + 기타영업외 + 지분법 + 환관련(항등식)
[identity]</t>
      </text>
    </comment>
    <comment ref="AM13" authorId="0" shapeId="0">
      <text>
        <t>추정: 영업이익 + 금융손익 + 기타영업외 + 지분법 + 환관련(항등식)
[identity]</t>
      </text>
    </comment>
    <comment ref="AN13" authorId="0" shapeId="0">
      <text>
        <t>추정: 영업이익 + 금융손익 + 기타영업외 + 지분법 + 환관련(항등식)
[identity]</t>
      </text>
    </comment>
    <comment ref="AC14" authorId="0" shapeId="0">
      <text>
        <t>추정: max(세전, 0) × 세율 19.8%(최근 12분기 유효세율 19.8% → 5~27% 클립)
[ratio]</t>
      </text>
    </comment>
    <comment ref="AD14" authorId="0" shapeId="0">
      <text>
        <t>추정: max(세전, 0) × 세율 19.8%(최근 12분기 유효세율 19.8% → 5~27% 클립)
[ratio]</t>
      </text>
    </comment>
    <comment ref="AF14" authorId="0" shapeId="0">
      <text>
        <t>추정: max(세전, 0) × 세율 19.8%(최근 12분기 유효세율 19.8% → 5~27% 클립)
[ratio]</t>
      </text>
    </comment>
    <comment ref="AG14" authorId="0" shapeId="0">
      <text>
        <t>추정: max(세전, 0) × 세율 19.8%(최근 12분기 유효세율 19.8% → 5~27% 클립)
[ratio]</t>
      </text>
    </comment>
    <comment ref="AH14" authorId="0" shapeId="0">
      <text>
        <t>추정: max(세전, 0) × 세율 19.8%(최근 12분기 유효세율 19.8% → 5~27% 클립)
[ratio]</t>
      </text>
    </comment>
    <comment ref="AI14" authorId="0" shapeId="0">
      <text>
        <t>추정: max(세전, 0) × 세율 19.8%(최근 12분기 유효세율 19.8% → 5~27% 클립)
[ratio]</t>
      </text>
    </comment>
    <comment ref="AK14" authorId="0" shapeId="0">
      <text>
        <t>추정: max(세전, 0) × 세율 19.8%(최근 12분기 유효세율 19.8% → 5~27% 클립)
[ratio]</t>
      </text>
    </comment>
    <comment ref="AL14" authorId="0" shapeId="0">
      <text>
        <t>추정: max(세전, 0) × 세율 19.8%(최근 12분기 유효세율 19.8% → 5~27% 클립)
[ratio]</t>
      </text>
    </comment>
    <comment ref="AM14" authorId="0" shapeId="0">
      <text>
        <t>추정: max(세전, 0) × 세율 19.8%(최근 12분기 유효세율 19.8% → 5~27% 클립)
[ratio]</t>
      </text>
    </comment>
    <comment ref="AN14" authorId="0" shapeId="0">
      <text>
        <t>추정: max(세전, 0) × 세율 19.8%(최근 12분기 유효세율 19.8% → 5~27% 클립)
[ratio]</t>
      </text>
    </comment>
    <comment ref="AC15" authorId="0" shapeId="0">
      <text>
        <t>추정: 세전이익 − 법인세비용(항등식)
[identity]</t>
      </text>
    </comment>
    <comment ref="AD15" authorId="0" shapeId="0">
      <text>
        <t>추정: 세전이익 − 법인세비용(항등식)
[identity]</t>
      </text>
    </comment>
    <comment ref="AF15" authorId="0" shapeId="0">
      <text>
        <t>추정: 세전이익 − 법인세비용(항등식)
[identity]</t>
      </text>
    </comment>
    <comment ref="AG15" authorId="0" shapeId="0">
      <text>
        <t>추정: 세전이익 − 법인세비용(항등식)
[identity]</t>
      </text>
    </comment>
    <comment ref="AH15" authorId="0" shapeId="0">
      <text>
        <t>추정: 세전이익 − 법인세비용(항등식)
[identity]</t>
      </text>
    </comment>
    <comment ref="AI15" authorId="0" shapeId="0">
      <text>
        <t>추정: 세전이익 − 법인세비용(항등식)
[identity]</t>
      </text>
    </comment>
    <comment ref="AK15" authorId="0" shapeId="0">
      <text>
        <t>추정: 세전이익 − 법인세비용(항등식)
[identity]</t>
      </text>
    </comment>
    <comment ref="AL15" authorId="0" shapeId="0">
      <text>
        <t>추정: 세전이익 − 법인세비용(항등식)
[identity]</t>
      </text>
    </comment>
    <comment ref="AM15" authorId="0" shapeId="0">
      <text>
        <t>추정: 세전이익 − 법인세비용(항등식)
[identity]</t>
      </text>
    </comment>
    <comment ref="AN15" authorId="0" shapeId="0">
      <text>
        <t>추정: 세전이익 − 법인세비용(항등식)
[identity]</t>
      </text>
    </comment>
    <comment ref="AC16" authorId="0" shapeId="0">
      <text>
        <t>추정: 당기순이익 × (1 − 비지배 비중 0.0%, 최근 8분기 실측)
[ratio]</t>
      </text>
    </comment>
    <comment ref="AD16" authorId="0" shapeId="0">
      <text>
        <t>추정: 당기순이익 × (1 − 비지배 비중 0.0%, 최근 8분기 실측)
[ratio]</t>
      </text>
    </comment>
    <comment ref="AF16" authorId="0" shapeId="0">
      <text>
        <t>추정: 당기순이익 × (1 − 비지배 비중 0.0%, 최근 8분기 실측)
[ratio]</t>
      </text>
    </comment>
    <comment ref="AG16" authorId="0" shapeId="0">
      <text>
        <t>추정: 당기순이익 × (1 − 비지배 비중 0.0%, 최근 8분기 실측)
[ratio]</t>
      </text>
    </comment>
    <comment ref="AH16" authorId="0" shapeId="0">
      <text>
        <t>추정: 당기순이익 × (1 − 비지배 비중 0.0%, 최근 8분기 실측)
[ratio]</t>
      </text>
    </comment>
    <comment ref="AI16" authorId="0" shapeId="0">
      <text>
        <t>추정: 당기순이익 × (1 − 비지배 비중 0.0%, 최근 8분기 실측)
[ratio]</t>
      </text>
    </comment>
    <comment ref="AK16" authorId="0" shapeId="0">
      <text>
        <t>추정: 당기순이익 × (1 − 비지배 비중 0.0%, 최근 8분기 실측)
[ratio]</t>
      </text>
    </comment>
    <comment ref="AL16" authorId="0" shapeId="0">
      <text>
        <t>추정: 당기순이익 × (1 − 비지배 비중 0.0%, 최근 8분기 실측)
[ratio]</t>
      </text>
    </comment>
    <comment ref="AM16" authorId="0" shapeId="0">
      <text>
        <t>추정: 당기순이익 × (1 − 비지배 비중 0.0%, 최근 8분기 실측)
[ratio]</t>
      </text>
    </comment>
    <comment ref="AN16" authorId="0" shapeId="0">
      <text>
        <t>추정: 당기순이익 × (1 − 비지배 비중 0.0%, 최근 8분기 실측)
[ratio]</t>
      </text>
    </comment>
    <comment ref="AC17" authorId="0" shapeId="0">
      <text>
        <t>추정(가정 셀 참조 불가 — 기준값 없음, 모델값 직접): 최근 4분기 감가상각비 중위 유지</t>
      </text>
    </comment>
    <comment ref="AD17" authorId="0" shapeId="0">
      <text>
        <t>추정(가정 셀 참조 불가 — 기준값 없음, 모델값 직접): 최근 4분기 감가상각비 중위 유지</t>
      </text>
    </comment>
    <comment ref="AF17" authorId="0" shapeId="0">
      <text>
        <t>추정(가정 셀 참조 불가 — 기준값 없음, 모델값 직접): 최근 4분기 감가상각비 중위 유지</t>
      </text>
    </comment>
    <comment ref="AG17" authorId="0" shapeId="0">
      <text>
        <t>추정(가정 셀 참조 불가 — 기준값 없음, 모델값 직접): 최근 4분기 감가상각비 중위 유지</t>
      </text>
    </comment>
    <comment ref="AH17" authorId="0" shapeId="0">
      <text>
        <t>추정: 최근 4분기 감가상각비 중위 유지
[yoy]</t>
      </text>
    </comment>
    <comment ref="AI17" authorId="0" shapeId="0">
      <text>
        <t>추정: 최근 4분기 감가상각비 중위 유지
[yoy]</t>
      </text>
    </comment>
    <comment ref="AK17" authorId="0" shapeId="0">
      <text>
        <t>추정: 최근 4분기 감가상각비 중위 유지
[yoy]</t>
      </text>
    </comment>
    <comment ref="AL17" authorId="0" shapeId="0">
      <text>
        <t>추정: 최근 4분기 감가상각비 중위 유지
[yoy]</t>
      </text>
    </comment>
    <comment ref="AM17" authorId="0" shapeId="0">
      <text>
        <t>추정: 최근 4분기 감가상각비 중위 유지
[yoy]</t>
      </text>
    </comment>
    <comment ref="AN17" authorId="0" shapeId="0">
      <text>
        <t>추정: 최근 4분기 감가상각비 중위 유지
[yoy]</t>
      </text>
    </comment>
    <comment ref="E18" authorId="0" shapeId="0">
      <text>
        <t>실측(계정 매핑 없음 — 모델값 직접) — 영업이익 + 감가상각비(CF)</t>
      </text>
    </comment>
    <comment ref="G18" authorId="0" shapeId="0">
      <text>
        <t>실측(계정 매핑 없음 — 모델값 직접) — 영업이익 + 감가상각비(CF)</t>
      </text>
    </comment>
    <comment ref="H18" authorId="0" shapeId="0">
      <text>
        <t>실측(계정 매핑 없음 — 모델값 직접) — 영업이익 + 감가상각비(CF)</t>
      </text>
    </comment>
    <comment ref="I18" authorId="0" shapeId="0">
      <text>
        <t>실측(계정 매핑 없음 — 모델값 직접) — 영업이익 + 감가상각비(CF)</t>
      </text>
    </comment>
    <comment ref="J18" authorId="0" shapeId="0">
      <text>
        <t>실측(계정 매핑 없음 — 모델값 직접) — 영업이익 + 감가상각비(CF)</t>
      </text>
    </comment>
    <comment ref="L18" authorId="0" shapeId="0">
      <text>
        <t>실측(계정 매핑 없음 — 모델값 직접) — 영업이익 + 감가상각비(CF)</t>
      </text>
    </comment>
    <comment ref="M18" authorId="0" shapeId="0">
      <text>
        <t>실측(계정 매핑 없음 — 모델값 직접) — 영업이익 + 감가상각비(CF)</t>
      </text>
    </comment>
    <comment ref="Q18" authorId="0" shapeId="0">
      <text>
        <t>실측(계정 매핑 없음 — 모델값 직접) — 영업이익 + 감가상각비(CF)</t>
      </text>
    </comment>
    <comment ref="R18" authorId="0" shapeId="0">
      <text>
        <t>실측(계정 매핑 없음 — 모델값 직접) — 영업이익 + 감가상각비(CF)</t>
      </text>
    </comment>
    <comment ref="S18" authorId="0" shapeId="0">
      <text>
        <t>실측(계정 매핑 없음 — 모델값 직접) — 영업이익 + 감가상각비(CF)</t>
      </text>
    </comment>
    <comment ref="AC18" authorId="0" shapeId="0">
      <text>
        <t>추정(가정 셀 참조 불가 — 기준값 없음, 모델값 직접): 영업이익 + 감가상각비</t>
      </text>
    </comment>
    <comment ref="AD18" authorId="0" shapeId="0">
      <text>
        <t>추정(가정 셀 참조 불가 — 기준값 없음, 모델값 직접): 영업이익 + 감가상각비</t>
      </text>
    </comment>
    <comment ref="AF18" authorId="0" shapeId="0">
      <text>
        <t>추정(가정 셀 참조 불가 — 기준값 없음, 모델값 직접): 영업이익 + 감가상각비</t>
      </text>
    </comment>
    <comment ref="AG18" authorId="0" shapeId="0">
      <text>
        <t>추정(가정 셀 참조 불가 — 기준값 없음, 모델값 직접): 영업이익 + 감가상각비</t>
      </text>
    </comment>
    <comment ref="AH18" authorId="0" shapeId="0">
      <text>
        <t>추정: 영업이익 + 감가상각비
[yoy]</t>
      </text>
    </comment>
    <comment ref="AI18" authorId="0" shapeId="0">
      <text>
        <t>추정: 영업이익 + 감가상각비
[yoy]</t>
      </text>
    </comment>
    <comment ref="AK18" authorId="0" shapeId="0">
      <text>
        <t>추정: 영업이익 + 감가상각비
[yoy]</t>
      </text>
    </comment>
    <comment ref="AL18" authorId="0" shapeId="0">
      <text>
        <t>추정: 영업이익 + 감가상각비
[yoy]</t>
      </text>
    </comment>
    <comment ref="AM18" authorId="0" shapeId="0">
      <text>
        <t>추정: 영업이익 + 감가상각비
[yoy]</t>
      </text>
    </comment>
    <comment ref="AN18" authorId="0" shapeId="0">
      <text>
        <t>추정: 영업이익 + 감가상각비
[yoy]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AL19" authorId="0" shapeId="0">
      <text>
        <t>추정: 부채총계 + 자본총계(항등식)
[identity]</t>
      </text>
    </comment>
    <comment ref="AM19" authorId="0" shapeId="0">
      <text>
        <t>추정: 부채총계 + 자본총계(항등식)
[identity]</t>
      </text>
    </comment>
    <comment ref="AN19" authorId="0" shapeId="0">
      <text>
        <t>추정: 부채총계 + 자본총계(항등식)
[identity]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AL20" authorId="0" shapeId="0">
      <text>
        <t>추정: 마지막 실적 유지(가정)
[qoq]</t>
      </text>
    </comment>
    <comment ref="AM20" authorId="0" shapeId="0">
      <text>
        <t>추정: 마지막 실적 유지(가정)
[qoq]</t>
      </text>
    </comment>
    <comment ref="AN20" authorId="0" shapeId="0">
      <text>
        <t>추정: 마지막 실적 유지(가정)
[qoq]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AL21" authorId="0" shapeId="0">
      <text>
        <t>추정: 전분기 + 당기순이익 − 배당(Q2 지급 가정)
[roll]</t>
      </text>
    </comment>
    <comment ref="AM21" authorId="0" shapeId="0">
      <text>
        <t>추정: 전분기 + 당기순이익 − 배당(Q2 지급 가정)
[roll]</t>
      </text>
    </comment>
    <comment ref="AN21" authorId="0" shapeId="0">
      <text>
        <t>추정: 전분기 + 당기순이익 − 배당(Q2 지급 가정)
[roll]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AK22" authorId="0" shapeId="0">
      <text>
        <t>추정: 전분기 + 지배주주순이익 − 배당
[roll]</t>
      </text>
    </comment>
    <comment ref="AL22" authorId="0" shapeId="0">
      <text>
        <t>추정: 전분기 + 지배주주순이익 − 배당
[roll]</t>
      </text>
    </comment>
    <comment ref="AM22" authorId="0" shapeId="0">
      <text>
        <t>추정: 전분기 + 지배주주순이익 − 배당
[roll]</t>
      </text>
    </comment>
    <comment ref="AN22" authorId="0" shapeId="0">
      <text>
        <t>추정: 전분기 + 지배주주순이익 − 배당
[roll]</t>
      </text>
    </comment>
    <comment ref="AC25" authorId="0" shapeId="0">
      <text>
        <t>추정: 전분기 + (순이익 − 배당) — 순차입금 롤과 같은 가정
[qoq]</t>
      </text>
    </comment>
    <comment ref="AD25" authorId="0" shapeId="0">
      <text>
        <t>추정: 전분기 + (순이익 − 배당) — 순차입금 롤과 같은 가정
[qoq]</t>
      </text>
    </comment>
    <comment ref="AF25" authorId="0" shapeId="0">
      <text>
        <t>추정: 전분기 + (순이익 − 배당) — 순차입금 롤과 같은 가정
[qoq]</t>
      </text>
    </comment>
    <comment ref="AG25" authorId="0" shapeId="0">
      <text>
        <t>추정: 전분기 + (순이익 − 배당) — 순차입금 롤과 같은 가정
[qoq]</t>
      </text>
    </comment>
    <comment ref="AH25" authorId="0" shapeId="0">
      <text>
        <t>추정: 전분기 + (순이익 − 배당) — 순차입금 롤과 같은 가정
[qoq]</t>
      </text>
    </comment>
    <comment ref="AI25" authorId="0" shapeId="0">
      <text>
        <t>추정: 전분기 + (순이익 − 배당) — 순차입금 롤과 같은 가정
[qoq]</t>
      </text>
    </comment>
    <comment ref="AK25" authorId="0" shapeId="0">
      <text>
        <t>추정: 전분기 + (순이익 − 배당) — 순차입금 롤과 같은 가정
[qoq]</t>
      </text>
    </comment>
    <comment ref="AL25" authorId="0" shapeId="0">
      <text>
        <t>추정: 전분기 + (순이익 − 배당) — 순차입금 롤과 같은 가정
[qoq]</t>
      </text>
    </comment>
    <comment ref="AM25" authorId="0" shapeId="0">
      <text>
        <t>추정: 전분기 + (순이익 − 배당) — 순차입금 롤과 같은 가정
[qoq]</t>
      </text>
    </comment>
    <comment ref="AN25" authorId="0" shapeId="0">
      <text>
        <t>추정: 전분기 + (순이익 − 배당) — 순차입금 롤과 같은 가정
[qoq]</t>
      </text>
    </comment>
    <comment ref="E28" authorId="0" shapeId="0">
      <text>
        <t>실측(계정 매핑 없음 — 모델값 직접) — fin.cons.cf.영업활동으로인한현금흐름</t>
      </text>
    </comment>
    <comment ref="G28" authorId="0" shapeId="0">
      <text>
        <t>실측(계정 매핑 없음 — 모델값 직접) — fin.cons.cf.영업활동으로인한현금흐름</t>
      </text>
    </comment>
    <comment ref="H28" authorId="0" shapeId="0">
      <text>
        <t>실측(계정 매핑 없음 — 모델값 직접) — fin.cons.cf.영업활동으로인한현금흐름</t>
      </text>
    </comment>
    <comment ref="I28" authorId="0" shapeId="0">
      <text>
        <t>실측(계정 매핑 없음 — 모델값 직접) — fin.cons.cf.영업활동으로인한현금흐름</t>
      </text>
    </comment>
    <comment ref="J28" authorId="0" shapeId="0">
      <text>
        <t>실측(계정 매핑 없음 — 모델값 직접) — fin.cons.cf.영업활동으로인한현금흐름</t>
      </text>
    </comment>
    <comment ref="L28" authorId="0" shapeId="0">
      <text>
        <t>실측(계정 매핑 없음 — 모델값 직접) — fin.cons.cf.영업활동으로인한현금흐름</t>
      </text>
    </comment>
    <comment ref="M28" authorId="0" shapeId="0">
      <text>
        <t>실측(계정 매핑 없음 — 모델값 직접) — fin.cons.cf.영업활동으로인한현금흐름</t>
      </text>
    </comment>
    <comment ref="N28" authorId="0" shapeId="0">
      <text>
        <t>실측(계정 매핑 없음 — 모델값 직접) — fin.cons.cf.영업활동으로인한현금흐름</t>
      </text>
    </comment>
    <comment ref="O28" authorId="0" shapeId="0">
      <text>
        <t>실측(계정 매핑 없음 — 모델값 직접) — fin.cons.cf.영업활동으로인한현금흐름</t>
      </text>
    </comment>
    <comment ref="Q28" authorId="0" shapeId="0">
      <text>
        <t>실측(계정 매핑 없음 — 모델값 직접) — fin.cons.cf.영업활동으로인한현금흐름</t>
      </text>
    </comment>
    <comment ref="R28" authorId="0" shapeId="0">
      <text>
        <t>실측(계정 매핑 없음 — 모델값 직접) — fin.cons.cf.영업활동으로인한현금흐름</t>
      </text>
    </comment>
    <comment ref="S28" authorId="0" shapeId="0">
      <text>
        <t>실측(계정 매핑 없음 — 모델값 직접) — fin.cons.cf.영업활동으로인한현금흐름</t>
      </text>
    </comment>
    <comment ref="T28" authorId="0" shapeId="0">
      <text>
        <t>실측(계정 매핑 없음 — 모델값 직접) — fin.cons.cf.영업활동으로인한현금흐름</t>
      </text>
    </comment>
    <comment ref="V28" authorId="0" shapeId="0">
      <text>
        <t>실측(계정 매핑 없음 — 모델값 직접) — fin.cons.cf.영업활동으로인한현금흐름</t>
      </text>
    </comment>
    <comment ref="W28" authorId="0" shapeId="0">
      <text>
        <t>실측(계정 매핑 없음 — 모델값 직접) — fin.cons.cf.영업활동으로인한현금흐름</t>
      </text>
    </comment>
    <comment ref="X28" authorId="0" shapeId="0">
      <text>
        <t>실측(계정 매핑 없음 — 모델값 직접) — fin.cons.cf.영업활동으로인한현금흐름</t>
      </text>
    </comment>
    <comment ref="Y28" authorId="0" shapeId="0">
      <text>
        <t>실측(계정 매핑 없음 — 모델값 직접) — fin.cons.cf.영업활동으로인한현금흐름</t>
      </text>
    </comment>
    <comment ref="AA28" authorId="0" shapeId="0">
      <text>
        <t>실측(계정 매핑 없음 — 모델값 직접) — fin.cons.cf.영업활동으로인한현금흐름</t>
      </text>
    </comment>
    <comment ref="AB28" authorId="0" shapeId="0">
      <text>
        <t>실측(계정 매핑 없음 — 모델값 직접) — fin.cons.cf.영업활동으로인한현금흐름</t>
      </text>
    </comment>
    <comment ref="E29" authorId="0" shapeId="0">
      <text>
        <t>실측(계정 매핑 없음 — 모델값 직접) — fin.shares.common_outstanding</t>
      </text>
    </comment>
    <comment ref="G29" authorId="0" shapeId="0">
      <text>
        <t>실측(계정 매핑 없음 — 모델값 직접) — fin.shares.common_outstanding</t>
      </text>
    </comment>
    <comment ref="H29" authorId="0" shapeId="0">
      <text>
        <t>실측(계정 매핑 없음 — 모델값 직접) — fin.shares.common_outstanding</t>
      </text>
    </comment>
    <comment ref="I29" authorId="0" shapeId="0">
      <text>
        <t>실측(계정 매핑 없음 — 모델값 직접) — fin.shares.common_outstanding</t>
      </text>
    </comment>
    <comment ref="J29" authorId="0" shapeId="0">
      <text>
        <t>실측(계정 매핑 없음 — 모델값 직접) — fin.shares.common_outstanding</t>
      </text>
    </comment>
    <comment ref="L29" authorId="0" shapeId="0">
      <text>
        <t>실측(계정 매핑 없음 — 모델값 직접) — fin.shares.common_outstanding</t>
      </text>
    </comment>
    <comment ref="M29" authorId="0" shapeId="0">
      <text>
        <t>실측(계정 매핑 없음 — 모델값 직접) — fin.shares.common_outstanding</t>
      </text>
    </comment>
    <comment ref="N29" authorId="0" shapeId="0">
      <text>
        <t>실측(계정 매핑 없음 — 모델값 직접) — fin.shares.common_outstanding</t>
      </text>
    </comment>
    <comment ref="O29" authorId="0" shapeId="0">
      <text>
        <t>실측(계정 매핑 없음 — 모델값 직접) — fin.shares.common_outstanding</t>
      </text>
    </comment>
    <comment ref="Q29" authorId="0" shapeId="0">
      <text>
        <t>실측(계정 매핑 없음 — 모델값 직접) — fin.shares.common_outstanding</t>
      </text>
    </comment>
    <comment ref="R29" authorId="0" shapeId="0">
      <text>
        <t>실측(계정 매핑 없음 — 모델값 직접) — fin.shares.common_outstanding</t>
      </text>
    </comment>
    <comment ref="S29" authorId="0" shapeId="0">
      <text>
        <t>실측(계정 매핑 없음 — 모델값 직접) — fin.shares.common_outstanding</t>
      </text>
    </comment>
    <comment ref="T29" authorId="0" shapeId="0">
      <text>
        <t>실측(계정 매핑 없음 — 모델값 직접) — fin.shares.common_outstanding</t>
      </text>
    </comment>
    <comment ref="V29" authorId="0" shapeId="0">
      <text>
        <t>실측(계정 매핑 없음 — 모델값 직접) — fin.shares.common_outstanding</t>
      </text>
    </comment>
    <comment ref="W29" authorId="0" shapeId="0">
      <text>
        <t>실측(계정 매핑 없음 — 모델값 직접) — fin.shares.common_outstanding</t>
      </text>
    </comment>
    <comment ref="X29" authorId="0" shapeId="0">
      <text>
        <t>실측(계정 매핑 없음 — 모델값 직접) — fin.shares.common_outstanding</t>
      </text>
    </comment>
    <comment ref="Y29" authorId="0" shapeId="0">
      <text>
        <t>실측(계정 매핑 없음 — 모델값 직접) — fin.shares.common_outstanding</t>
      </text>
    </comment>
    <comment ref="AA29" authorId="0" shapeId="0">
      <text>
        <t>실측(계정 매핑 없음 — 모델값 직접) — fin.shares.common_outstanding</t>
      </text>
    </comment>
    <comment ref="AB29" authorId="0" shapeId="0">
      <text>
        <t>실측(계정 매핑 없음 — 모델값 직접) — fin.shares.common_outstanding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G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AK29" authorId="0" shapeId="0">
      <text>
        <t>추정: 유통주식수 유지 — fin.shares.common_outstanding(2026Q2)
[qoq]</t>
      </text>
    </comment>
    <comment ref="AL29" authorId="0" shapeId="0">
      <text>
        <t>추정: 유통주식수 유지 — fin.shares.common_outstanding(2026Q2)
[qoq]</t>
      </text>
    </comment>
    <comment ref="AM29" authorId="0" shapeId="0">
      <text>
        <t>추정: 유통주식수 유지 — fin.shares.common_outstanding(2026Q2)
[qoq]</t>
      </text>
    </comment>
    <comment ref="AN29" authorId="0" shapeId="0">
      <text>
        <t>추정: 유통주식수 유지 — fin.shares.common_outstanding(2026Q2)
[qoq]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G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AK30" authorId="0" shapeId="0">
      <text>
        <t>추정: 지배주주순이익 ÷ 유통주식수
[per_share]</t>
      </text>
    </comment>
    <comment ref="AL30" authorId="0" shapeId="0">
      <text>
        <t>추정: 지배주주순이익 ÷ 유통주식수
[per_share]</t>
      </text>
    </comment>
    <comment ref="AM30" authorId="0" shapeId="0">
      <text>
        <t>추정: 지배주주순이익 ÷ 유통주식수
[per_share]</t>
      </text>
    </comment>
    <comment ref="AN30" authorId="0" shapeId="0">
      <text>
        <t>추정: 지배주주순이익 ÷ 유통주식수
[per_share]</t>
      </text>
    </comment>
    <comment ref="AC31" authorId="0" shapeId="0">
      <text>
        <t>추정: 지배주주지분 ÷ 유통주식수
[per_share]</t>
      </text>
    </comment>
    <comment ref="AD31" authorId="0" shapeId="0">
      <text>
        <t>추정: 지배주주지분 ÷ 유통주식수
[per_share]</t>
      </text>
    </comment>
    <comment ref="AF31" authorId="0" shapeId="0">
      <text>
        <t>추정: 지배주주지분 ÷ 유통주식수
[per_share]</t>
      </text>
    </comment>
    <comment ref="AG31" authorId="0" shapeId="0">
      <text>
        <t>추정: 지배주주지분 ÷ 유통주식수
[per_share]</t>
      </text>
    </comment>
    <comment ref="AH31" authorId="0" shapeId="0">
      <text>
        <t>추정: 지배주주지분 ÷ 유통주식수
[per_share]</t>
      </text>
    </comment>
    <comment ref="AI31" authorId="0" shapeId="0">
      <text>
        <t>추정: 지배주주지분 ÷ 유통주식수
[per_share]</t>
      </text>
    </comment>
    <comment ref="AK31" authorId="0" shapeId="0">
      <text>
        <t>추정: 지배주주지분 ÷ 유통주식수
[per_share]</t>
      </text>
    </comment>
    <comment ref="AL31" authorId="0" shapeId="0">
      <text>
        <t>추정: 지배주주지분 ÷ 유통주식수
[per_share]</t>
      </text>
    </comment>
    <comment ref="AM31" authorId="0" shapeId="0">
      <text>
        <t>추정: 지배주주지분 ÷ 유통주식수
[per_share]</t>
      </text>
    </comment>
    <comment ref="AN31" authorId="0" shapeId="0">
      <text>
        <t>추정: 지배주주지분 ÷ 유통주식수
[per_share]</t>
      </text>
    </comment>
    <comment ref="E32" authorId="0" shapeId="0">
      <text>
        <t>실측(계정 매핑 없음 — 모델값 직접) — fin.dividend.dps_common(연간, Q4 에 표기)</t>
      </text>
    </comment>
    <comment ref="F32" authorId="0" shapeId="0">
      <text>
        <t>연간(actual) — 분기 미완 연도, 모델 a 값 직접</t>
      </text>
    </comment>
    <comment ref="J32" authorId="0" shapeId="0">
      <text>
        <t>실측(계정 매핑 없음 — 모델값 직접) — fin.dividend.dps_common(연간, Q4 에 표기)</t>
      </text>
    </comment>
    <comment ref="O32" authorId="0" shapeId="0">
      <text>
        <t>실측(계정 매핑 없음 — 모델값 직접) — fin.dividend.dps_common(연간, Q4 에 표기)</t>
      </text>
    </comment>
    <comment ref="T32" authorId="0" shapeId="0">
      <text>
        <t>실측(계정 매핑 없음 — 모델값 직접) — fin.dividend.dps_common(연간, Q4 에 표기)</t>
      </text>
    </comment>
    <comment ref="Y32" authorId="0" shapeId="0">
      <text>
        <t>실측(계정 매핑 없음 — 모델값 직접) — fin.dividend.dps_common(연간, Q4 에 표기)</t>
      </text>
    </comment>
    <comment ref="AD32" authorId="0" shapeId="0">
      <text>
        <t>추정: 직전 결산 DPS 6,000원 유지
[yoy]</t>
      </text>
    </comment>
    <comment ref="AI32" authorId="0" shapeId="0">
      <text>
        <t>추정: 직전 결산 DPS 6,000원 유지
[yoy]</t>
      </text>
    </comment>
    <comment ref="AN32" authorId="0" shapeId="0">
      <text>
        <t>추정: 직전 결산 DPS 6,000원 유지
[yoy]</t>
      </text>
    </comment>
    <comment ref="I33" authorId="0" shapeId="0">
      <text>
        <t>실측(계정 매핑 없음 — 모델값 직접) — 토스 일봉 분기 평균 ÷ TTM EPS</t>
      </text>
    </comment>
    <comment ref="J33" authorId="0" shapeId="0">
      <text>
        <t>실측(계정 매핑 없음 — 모델값 직접) — 토스 일봉 분기 평균 ÷ TTM EPS</t>
      </text>
    </comment>
    <comment ref="L33" authorId="0" shapeId="0">
      <text>
        <t>실측(계정 매핑 없음 — 모델값 직접) — 토스 일봉 분기 평균 ÷ TTM EPS</t>
      </text>
    </comment>
    <comment ref="M33" authorId="0" shapeId="0">
      <text>
        <t>실측(계정 매핑 없음 — 모델값 직접) — 토스 일봉 분기 평균 ÷ TTM EPS</t>
      </text>
    </comment>
    <comment ref="N33" authorId="0" shapeId="0">
      <text>
        <t>실측(계정 매핑 없음 — 모델값 직접) — 토스 일봉 분기 평균 ÷ TTM EPS</t>
      </text>
    </comment>
    <comment ref="O33" authorId="0" shapeId="0">
      <text>
        <t>실측(계정 매핑 없음 — 모델값 직접) — 토스 일봉 분기 평균 ÷ TTM EPS</t>
      </text>
    </comment>
    <comment ref="Q33" authorId="0" shapeId="0">
      <text>
        <t>실측(계정 매핑 없음 — 모델값 직접) — 토스 일봉 분기 평균 ÷ TTM EPS</t>
      </text>
    </comment>
    <comment ref="R33" authorId="0" shapeId="0">
      <text>
        <t>실측(계정 매핑 없음 — 모델값 직접) — 토스 일봉 분기 평균 ÷ TTM EPS</t>
      </text>
    </comment>
    <comment ref="S33" authorId="0" shapeId="0">
      <text>
        <t>실측(계정 매핑 없음 — 모델값 직접) — 토스 일봉 분기 평균 ÷ TTM EPS</t>
      </text>
    </comment>
    <comment ref="T33" authorId="0" shapeId="0">
      <text>
        <t>실측(계정 매핑 없음 — 모델값 직접) — 토스 일봉 분기 평균 ÷ TTM EPS</t>
      </text>
    </comment>
    <comment ref="V33" authorId="0" shapeId="0">
      <text>
        <t>실측(계정 매핑 없음 — 모델값 직접) — 토스 일봉 분기 평균 ÷ TTM EPS</t>
      </text>
    </comment>
    <comment ref="W33" authorId="0" shapeId="0">
      <text>
        <t>실측(계정 매핑 없음 — 모델값 직접) — 토스 일봉 분기 평균 ÷ TTM EPS</t>
      </text>
    </comment>
    <comment ref="X33" authorId="0" shapeId="0">
      <text>
        <t>실측(계정 매핑 없음 — 모델값 직접) — 토스 일봉 분기 평균 ÷ TTM EPS</t>
      </text>
    </comment>
    <comment ref="Y33" authorId="0" shapeId="0">
      <text>
        <t>실측(계정 매핑 없음 — 모델값 직접) — 토스 일봉 분기 평균 ÷ TTM EPS</t>
      </text>
    </comment>
    <comment ref="AA33" authorId="0" shapeId="0">
      <text>
        <t>실측(계정 매핑 없음 — 모델값 직접) — 토스 일봉 분기 평균 ÷ TTM EPS</t>
      </text>
    </comment>
    <comment ref="AB33" authorId="0" shapeId="0">
      <text>
        <t>실측(계정 매핑 없음 — 모델값 직접) — 토스 일봉 분기 평균 ÷ TTM EPS</t>
      </text>
    </comment>
    <comment ref="AC33" authorId="0" shapeId="0">
      <text>
        <t>추정: 현재 종가 ÷ TTM EPS(추정 포함)
[yoy]</t>
      </text>
    </comment>
    <comment ref="AD33" authorId="0" shapeId="0">
      <text>
        <t>추정: 현재 종가 ÷ TTM EPS(추정 포함)
[yoy]</t>
      </text>
    </comment>
    <comment ref="AF33" authorId="0" shapeId="0">
      <text>
        <t>추정: 현재 종가 ÷ TTM EPS(추정 포함)
[yoy]</t>
      </text>
    </comment>
    <comment ref="AG33" authorId="0" shapeId="0">
      <text>
        <t>추정: 현재 종가 ÷ TTM EPS(추정 포함)
[yoy]</t>
      </text>
    </comment>
    <comment ref="AH33" authorId="0" shapeId="0">
      <text>
        <t>추정: 현재 종가 ÷ TTM EPS(추정 포함)
[yoy]</t>
      </text>
    </comment>
    <comment ref="AI33" authorId="0" shapeId="0">
      <text>
        <t>추정: 현재 종가 ÷ TTM EPS(추정 포함)
[yoy]</t>
      </text>
    </comment>
    <comment ref="AK33" authorId="0" shapeId="0">
      <text>
        <t>추정: 현재 종가 ÷ TTM EPS(추정 포함)
[yoy]</t>
      </text>
    </comment>
    <comment ref="AL33" authorId="0" shapeId="0">
      <text>
        <t>추정: 현재 종가 ÷ TTM EPS(추정 포함)
[yoy]</t>
      </text>
    </comment>
    <comment ref="AM33" authorId="0" shapeId="0">
      <text>
        <t>추정: 현재 종가 ÷ TTM EPS(추정 포함)
[yoy]</t>
      </text>
    </comment>
    <comment ref="AN33" authorId="0" shapeId="0">
      <text>
        <t>추정: 현재 종가 ÷ TTM EPS(추정 포함)
[yoy]</t>
      </text>
    </comment>
    <comment ref="E34" authorId="0" shapeId="0">
      <text>
        <t>실측(계정 매핑 없음 — 모델값 직접) — 토스 일봉 분기 평균 ÷ BPS</t>
      </text>
    </comment>
    <comment ref="F34" authorId="0" shapeId="0">
      <text>
        <t>연간(actual) — 분기 미완 연도, 모델 a 값 직접</t>
      </text>
    </comment>
    <comment ref="G34" authorId="0" shapeId="0">
      <text>
        <t>실측(계정 매핑 없음 — 모델값 직접) — 토스 일봉 분기 평균 ÷ BPS</t>
      </text>
    </comment>
    <comment ref="H34" authorId="0" shapeId="0">
      <text>
        <t>실측(계정 매핑 없음 — 모델값 직접) — 토스 일봉 분기 평균 ÷ BPS</t>
      </text>
    </comment>
    <comment ref="I34" authorId="0" shapeId="0">
      <text>
        <t>실측(계정 매핑 없음 — 모델값 직접) — 토스 일봉 분기 평균 ÷ BPS</t>
      </text>
    </comment>
    <comment ref="J34" authorId="0" shapeId="0">
      <text>
        <t>실측(계정 매핑 없음 — 모델값 직접) — 토스 일봉 분기 평균 ÷ BPS</t>
      </text>
    </comment>
    <comment ref="L34" authorId="0" shapeId="0">
      <text>
        <t>실측(계정 매핑 없음 — 모델값 직접) — 토스 일봉 분기 평균 ÷ BPS</t>
      </text>
    </comment>
    <comment ref="M34" authorId="0" shapeId="0">
      <text>
        <t>실측(계정 매핑 없음 — 모델값 직접) — 토스 일봉 분기 평균 ÷ BPS</t>
      </text>
    </comment>
    <comment ref="N34" authorId="0" shapeId="0">
      <text>
        <t>실측(계정 매핑 없음 — 모델값 직접) — 토스 일봉 분기 평균 ÷ BPS</t>
      </text>
    </comment>
    <comment ref="O34" authorId="0" shapeId="0">
      <text>
        <t>실측(계정 매핑 없음 — 모델값 직접) — 토스 일봉 분기 평균 ÷ BPS</t>
      </text>
    </comment>
    <comment ref="Q34" authorId="0" shapeId="0">
      <text>
        <t>실측(계정 매핑 없음 — 모델값 직접) — 토스 일봉 분기 평균 ÷ BPS</t>
      </text>
    </comment>
    <comment ref="R34" authorId="0" shapeId="0">
      <text>
        <t>실측(계정 매핑 없음 — 모델값 직접) — 토스 일봉 분기 평균 ÷ BPS</t>
      </text>
    </comment>
    <comment ref="S34" authorId="0" shapeId="0">
      <text>
        <t>실측(계정 매핑 없음 — 모델값 직접) — 토스 일봉 분기 평균 ÷ BPS</t>
      </text>
    </comment>
    <comment ref="T34" authorId="0" shapeId="0">
      <text>
        <t>실측(계정 매핑 없음 — 모델값 직접) — 토스 일봉 분기 평균 ÷ BPS</t>
      </text>
    </comment>
    <comment ref="V34" authorId="0" shapeId="0">
      <text>
        <t>실측(계정 매핑 없음 — 모델값 직접) — 토스 일봉 분기 평균 ÷ BPS</t>
      </text>
    </comment>
    <comment ref="W34" authorId="0" shapeId="0">
      <text>
        <t>실측(계정 매핑 없음 — 모델값 직접) — 토스 일봉 분기 평균 ÷ BPS</t>
      </text>
    </comment>
    <comment ref="X34" authorId="0" shapeId="0">
      <text>
        <t>실측(계정 매핑 없음 — 모델값 직접) — 토스 일봉 분기 평균 ÷ BPS</t>
      </text>
    </comment>
    <comment ref="Y34" authorId="0" shapeId="0">
      <text>
        <t>실측(계정 매핑 없음 — 모델값 직접) — 토스 일봉 분기 평균 ÷ BPS</t>
      </text>
    </comment>
    <comment ref="AA34" authorId="0" shapeId="0">
      <text>
        <t>실측(계정 매핑 없음 — 모델값 직접) — 토스 일봉 분기 평균 ÷ BPS</t>
      </text>
    </comment>
    <comment ref="AB34" authorId="0" shapeId="0">
      <text>
        <t>실측(계정 매핑 없음 — 모델값 직접) — 토스 일봉 분기 평균 ÷ BPS</t>
      </text>
    </comment>
    <comment ref="AC34" authorId="0" shapeId="0">
      <text>
        <t>추정: 현재 종가 ÷ BPS(추정 포함)
[yoy]</t>
      </text>
    </comment>
    <comment ref="AD34" authorId="0" shapeId="0">
      <text>
        <t>추정: 현재 종가 ÷ BPS(추정 포함)
[yoy]</t>
      </text>
    </comment>
    <comment ref="AF34" authorId="0" shapeId="0">
      <text>
        <t>추정: 현재 종가 ÷ BPS(추정 포함)
[yoy]</t>
      </text>
    </comment>
    <comment ref="AG34" authorId="0" shapeId="0">
      <text>
        <t>추정: 현재 종가 ÷ BPS(추정 포함)
[yoy]</t>
      </text>
    </comment>
    <comment ref="AH34" authorId="0" shapeId="0">
      <text>
        <t>추정: 현재 종가 ÷ BPS(추정 포함)
[yoy]</t>
      </text>
    </comment>
    <comment ref="AI34" authorId="0" shapeId="0">
      <text>
        <t>추정: 현재 종가 ÷ BPS(추정 포함)
[yoy]</t>
      </text>
    </comment>
    <comment ref="AK34" authorId="0" shapeId="0">
      <text>
        <t>추정: 현재 종가 ÷ BPS(추정 포함)
[yoy]</t>
      </text>
    </comment>
    <comment ref="AL34" authorId="0" shapeId="0">
      <text>
        <t>추정: 현재 종가 ÷ BPS(추정 포함)
[yoy]</t>
      </text>
    </comment>
    <comment ref="AM34" authorId="0" shapeId="0">
      <text>
        <t>추정: 현재 종가 ÷ BPS(추정 포함)
[yoy]</t>
      </text>
    </comment>
    <comment ref="AN34" authorId="0" shapeId="0">
      <text>
        <t>추정: 현재 종가 ÷ BPS(추정 포함)
[yoy]</t>
      </text>
    </comment>
    <comment ref="E35" authorId="0" shapeId="0">
      <text>
        <t>실측(계정 매핑 없음 — 모델값 직접) — = 매출액(부문 미분리)</t>
      </text>
    </comment>
    <comment ref="G35" authorId="0" shapeId="0">
      <text>
        <t>실측(계정 매핑 없음 — 모델값 직접) — = 매출액(부문 미분리)</t>
      </text>
    </comment>
    <comment ref="H35" authorId="0" shapeId="0">
      <text>
        <t>실측(계정 매핑 없음 — 모델값 직접) — = 매출액(부문 미분리)</t>
      </text>
    </comment>
    <comment ref="I35" authorId="0" shapeId="0">
      <text>
        <t>실측(계정 매핑 없음 — 모델값 직접) — = 매출액(부문 미분리)</t>
      </text>
    </comment>
    <comment ref="J35" authorId="0" shapeId="0">
      <text>
        <t>실측(계정 매핑 없음 — 모델값 직접) — = 매출액(부문 미분리)</t>
      </text>
    </comment>
    <comment ref="L35" authorId="0" shapeId="0">
      <text>
        <t>실측(계정 매핑 없음 — 모델값 직접) — = 매출액(부문 미분리)</t>
      </text>
    </comment>
    <comment ref="M35" authorId="0" shapeId="0">
      <text>
        <t>실측(계정 매핑 없음 — 모델값 직접) — = 매출액(부문 미분리)</t>
      </text>
    </comment>
    <comment ref="N35" authorId="0" shapeId="0">
      <text>
        <t>실측(계정 매핑 없음 — 모델값 직접) — = 매출액(부문 미분리)</t>
      </text>
    </comment>
    <comment ref="O35" authorId="0" shapeId="0">
      <text>
        <t>실측(계정 매핑 없음 — 모델값 직접) — = 매출액(부문 미분리)</t>
      </text>
    </comment>
    <comment ref="Q35" authorId="0" shapeId="0">
      <text>
        <t>실측(계정 매핑 없음 — 모델값 직접) — = 매출액(부문 미분리)</t>
      </text>
    </comment>
    <comment ref="R35" authorId="0" shapeId="0">
      <text>
        <t>실측(계정 매핑 없음 — 모델값 직접) — = 매출액(부문 미분리)</t>
      </text>
    </comment>
    <comment ref="S35" authorId="0" shapeId="0">
      <text>
        <t>실측(계정 매핑 없음 — 모델값 직접) — = 매출액(부문 미분리)</t>
      </text>
    </comment>
    <comment ref="T35" authorId="0" shapeId="0">
      <text>
        <t>실측(계정 매핑 없음 — 모델값 직접) — = 매출액(부문 미분리)</t>
      </text>
    </comment>
    <comment ref="V35" authorId="0" shapeId="0">
      <text>
        <t>실측(계정 매핑 없음 — 모델값 직접) — = 매출액(부문 미분리)</t>
      </text>
    </comment>
    <comment ref="W35" authorId="0" shapeId="0">
      <text>
        <t>실측(계정 매핑 없음 — 모델값 직접) — = 매출액(부문 미분리)</t>
      </text>
    </comment>
    <comment ref="X35" authorId="0" shapeId="0">
      <text>
        <t>실측(계정 매핑 없음 — 모델값 직접) — = 매출액(부문 미분리)</t>
      </text>
    </comment>
    <comment ref="Y35" authorId="0" shapeId="0">
      <text>
        <t>실측(계정 매핑 없음 — 모델값 직접) — = 매출액(부문 미분리)</t>
      </text>
    </comment>
    <comment ref="AA35" authorId="0" shapeId="0">
      <text>
        <t>실측(계정 매핑 없음 — 모델값 직접) — = 매출액(부문 미분리)</t>
      </text>
    </comment>
    <comment ref="AB35" authorId="0" shapeId="0">
      <text>
        <t>실측(계정 매핑 없음 — 모델값 직접) — = 매출액(부문 미분리)</t>
      </text>
    </comment>
    <comment ref="AC35" authorId="0" shapeId="0">
      <text>
        <t>추정: = 매출액 추정(부문 미분리)
[ratio]</t>
      </text>
    </comment>
    <comment ref="AD35" authorId="0" shapeId="0">
      <text>
        <t>추정: = 매출액 추정(부문 미분리)
[ratio]</t>
      </text>
    </comment>
    <comment ref="AF35" authorId="0" shapeId="0">
      <text>
        <t>추정: = 매출액 추정(부문 미분리)
[ratio]</t>
      </text>
    </comment>
    <comment ref="AG35" authorId="0" shapeId="0">
      <text>
        <t>추정: = 매출액 추정(부문 미분리)
[ratio]</t>
      </text>
    </comment>
    <comment ref="AH35" authorId="0" shapeId="0">
      <text>
        <t>추정: = 매출액 추정(부문 미분리)
[ratio]</t>
      </text>
    </comment>
    <comment ref="AI35" authorId="0" shapeId="0">
      <text>
        <t>추정: = 매출액 추정(부문 미분리)
[ratio]</t>
      </text>
    </comment>
    <comment ref="AK35" authorId="0" shapeId="0">
      <text>
        <t>추정: = 매출액 추정(부문 미분리)
[ratio]</t>
      </text>
    </comment>
    <comment ref="AL35" authorId="0" shapeId="0">
      <text>
        <t>추정: = 매출액 추정(부문 미분리)
[ratio]</t>
      </text>
    </comment>
    <comment ref="AM35" authorId="0" shapeId="0">
      <text>
        <t>추정: = 매출액 추정(부문 미분리)
[ratio]</t>
      </text>
    </comment>
    <comment ref="AN35" authorId="0" shapeId="0">
      <text>
        <t>추정: = 매출액 추정(부문 미분리)
[ratio]</t>
      </text>
    </comment>
    <comment ref="E36" authorId="0" shapeId="0">
      <text>
        <t>실측(계정 매핑 없음 — 모델값 직접) — = 영업이익(부문 미분리)</t>
      </text>
    </comment>
    <comment ref="G36" authorId="0" shapeId="0">
      <text>
        <t>실측(계정 매핑 없음 — 모델값 직접) — = 영업이익(부문 미분리)</t>
      </text>
    </comment>
    <comment ref="H36" authorId="0" shapeId="0">
      <text>
        <t>실측(계정 매핑 없음 — 모델값 직접) — = 영업이익(부문 미분리)</t>
      </text>
    </comment>
    <comment ref="I36" authorId="0" shapeId="0">
      <text>
        <t>실측(계정 매핑 없음 — 모델값 직접) — = 영업이익(부문 미분리)</t>
      </text>
    </comment>
    <comment ref="J36" authorId="0" shapeId="0">
      <text>
        <t>실측(계정 매핑 없음 — 모델값 직접) — = 영업이익(부문 미분리)</t>
      </text>
    </comment>
    <comment ref="L36" authorId="0" shapeId="0">
      <text>
        <t>실측(계정 매핑 없음 — 모델값 직접) — = 영업이익(부문 미분리)</t>
      </text>
    </comment>
    <comment ref="M36" authorId="0" shapeId="0">
      <text>
        <t>실측(계정 매핑 없음 — 모델값 직접) — = 영업이익(부문 미분리)</t>
      </text>
    </comment>
    <comment ref="N36" authorId="0" shapeId="0">
      <text>
        <t>실측(계정 매핑 없음 — 모델값 직접) — = 영업이익(부문 미분리)</t>
      </text>
    </comment>
    <comment ref="O36" authorId="0" shapeId="0">
      <text>
        <t>실측(계정 매핑 없음 — 모델값 직접) — = 영업이익(부문 미분리)</t>
      </text>
    </comment>
    <comment ref="Q36" authorId="0" shapeId="0">
      <text>
        <t>실측(계정 매핑 없음 — 모델값 직접) — = 영업이익(부문 미분리)</t>
      </text>
    </comment>
    <comment ref="R36" authorId="0" shapeId="0">
      <text>
        <t>실측(계정 매핑 없음 — 모델값 직접) — = 영업이익(부문 미분리)</t>
      </text>
    </comment>
    <comment ref="S36" authorId="0" shapeId="0">
      <text>
        <t>실측(계정 매핑 없음 — 모델값 직접) — = 영업이익(부문 미분리)</t>
      </text>
    </comment>
    <comment ref="T36" authorId="0" shapeId="0">
      <text>
        <t>실측(계정 매핑 없음 — 모델값 직접) — = 영업이익(부문 미분리)</t>
      </text>
    </comment>
    <comment ref="V36" authorId="0" shapeId="0">
      <text>
        <t>실측(계정 매핑 없음 — 모델값 직접) — = 영업이익(부문 미분리)</t>
      </text>
    </comment>
    <comment ref="W36" authorId="0" shapeId="0">
      <text>
        <t>실측(계정 매핑 없음 — 모델값 직접) — = 영업이익(부문 미분리)</t>
      </text>
    </comment>
    <comment ref="X36" authorId="0" shapeId="0">
      <text>
        <t>실측(계정 매핑 없음 — 모델값 직접) — = 영업이익(부문 미분리)</t>
      </text>
    </comment>
    <comment ref="Y36" authorId="0" shapeId="0">
      <text>
        <t>실측(계정 매핑 없음 — 모델값 직접) — = 영업이익(부문 미분리)</t>
      </text>
    </comment>
    <comment ref="AA36" authorId="0" shapeId="0">
      <text>
        <t>실측(계정 매핑 없음 — 모델값 직접) — = 영업이익(부문 미분리)</t>
      </text>
    </comment>
    <comment ref="AB36" authorId="0" shapeId="0">
      <text>
        <t>실측(계정 매핑 없음 — 모델값 직접) — = 영업이익(부문 미분리)</t>
      </text>
    </comment>
    <comment ref="AC36" authorId="0" shapeId="0">
      <text>
        <t>추정: = 매출액 × OPM(부문 미분리)
[ratio]</t>
      </text>
    </comment>
    <comment ref="AD36" authorId="0" shapeId="0">
      <text>
        <t>추정: = 매출액 × OPM(부문 미분리)
[ratio]</t>
      </text>
    </comment>
    <comment ref="AF36" authorId="0" shapeId="0">
      <text>
        <t>추정: = 매출액 × OPM(부문 미분리)
[ratio]</t>
      </text>
    </comment>
    <comment ref="AG36" authorId="0" shapeId="0">
      <text>
        <t>추정: = 매출액 × OPM(부문 미분리)
[ratio]</t>
      </text>
    </comment>
    <comment ref="AH36" authorId="0" shapeId="0">
      <text>
        <t>추정: = 매출액 × OPM(부문 미분리)
[ratio]</t>
      </text>
    </comment>
    <comment ref="AI36" authorId="0" shapeId="0">
      <text>
        <t>추정: = 매출액 × OPM(부문 미분리)
[ratio]</t>
      </text>
    </comment>
    <comment ref="AK36" authorId="0" shapeId="0">
      <text>
        <t>추정: = 매출액 × OPM(부문 미분리)
[ratio]</t>
      </text>
    </comment>
    <comment ref="AL36" authorId="0" shapeId="0">
      <text>
        <t>추정: = 매출액 × OPM(부문 미분리)
[ratio]</t>
      </text>
    </comment>
    <comment ref="AM36" authorId="0" shapeId="0">
      <text>
        <t>추정: = 매출액 × OPM(부문 미분리)
[ratio]</t>
      </text>
    </comment>
    <comment ref="AN36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서호전기(065710) 실적 모델 — ARGUS 한국조선</t>
        </is>
      </c>
    </row>
    <row r="2">
      <c r="A2" t="inlineStr">
        <is>
          <t>기준 분기 2026Q2 · 마지막 실적 2026Q2 · 생성 2026-09-30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assets/models/065710.json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(없음)</t>
        </is>
      </c>
    </row>
    <row r="22">
      <c r="A22" t="inlineStr">
        <is>
          <t>백테스트: {"freeze": "2025Q2", "horizon": 4, "revenue_wape_pct": 58.0, "op_wape_pct": 35.0, "n": 4, "note": "단일 회사 4분기 — 통계 아님", "driver_at_freeze": "trend_seasonal",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 미사용. 고객 가중치(suppliers.json 언급 비중)와 합병 체인링크는 현재 지식", "detail": [{"q": "2025Q3", "rev_pred": 198.49, "rev_act": 307.62, "op_pred": 27.56, "op_act": 61.99}, {"q": "2025Q4", "rev_pred": 207.81, "rev_act": 207.13, "op_pred": 28.85, "op_act": 40.45}, {"q": "2026Q1", "rev_pred": 509.71, "rev_act": 259.36, "op_pred": 70.77, "op_act": 80.42}, {"q": "2026Q2", "rev_pred": 467.55, "rev_act": 239.53, "op_pred": 64.92, "op_act": 41.99}]}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20900</v>
      </c>
      <c r="F15" s="9" t="n"/>
      <c r="G15" s="18" t="n">
        <v>21250</v>
      </c>
      <c r="H15" s="18" t="n">
        <v>17900</v>
      </c>
      <c r="I15" s="18" t="n">
        <v>17000</v>
      </c>
      <c r="J15" s="18" t="n">
        <v>17800</v>
      </c>
      <c r="K15" s="9" t="n"/>
      <c r="L15" s="18" t="n">
        <v>18480</v>
      </c>
      <c r="M15" s="18" t="n">
        <v>18450</v>
      </c>
      <c r="N15" s="18" t="n">
        <v>19100</v>
      </c>
      <c r="O15" s="18" t="n">
        <v>19030</v>
      </c>
      <c r="P15" s="9" t="n"/>
      <c r="Q15" s="18" t="n">
        <v>19190</v>
      </c>
      <c r="R15" s="18" t="n">
        <v>19630</v>
      </c>
      <c r="S15" s="18" t="n">
        <v>21000</v>
      </c>
      <c r="T15" s="18" t="n">
        <v>20650</v>
      </c>
      <c r="U15" s="9" t="n"/>
      <c r="V15" s="18" t="n">
        <v>23100</v>
      </c>
      <c r="W15" s="18" t="n">
        <v>39300</v>
      </c>
      <c r="X15" s="18" t="n">
        <v>40700</v>
      </c>
      <c r="Y15" s="18" t="n">
        <v>50900</v>
      </c>
      <c r="Z15" s="9" t="n"/>
      <c r="AA15" s="18" t="n">
        <v>42550</v>
      </c>
      <c r="AB15" s="19" t="n">
        <v>45150</v>
      </c>
      <c r="AC15" s="20" t="n">
        <v>43700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21700</v>
      </c>
      <c r="F16" s="9" t="n"/>
      <c r="G16" s="18" t="n">
        <v>23500</v>
      </c>
      <c r="H16" s="18" t="n">
        <v>22600</v>
      </c>
      <c r="I16" s="18" t="n">
        <v>19500</v>
      </c>
      <c r="J16" s="18" t="n">
        <v>20400</v>
      </c>
      <c r="K16" s="9" t="n"/>
      <c r="L16" s="18" t="n">
        <v>19190</v>
      </c>
      <c r="M16" s="18" t="n">
        <v>19200</v>
      </c>
      <c r="N16" s="18" t="n">
        <v>21950</v>
      </c>
      <c r="O16" s="18" t="n">
        <v>20300</v>
      </c>
      <c r="P16" s="9" t="n"/>
      <c r="Q16" s="18" t="n">
        <v>20150</v>
      </c>
      <c r="R16" s="18" t="n">
        <v>22050</v>
      </c>
      <c r="S16" s="18" t="n">
        <v>21700</v>
      </c>
      <c r="T16" s="18" t="n">
        <v>23150</v>
      </c>
      <c r="U16" s="9" t="n"/>
      <c r="V16" s="18" t="n">
        <v>24000</v>
      </c>
      <c r="W16" s="18" t="n">
        <v>44750</v>
      </c>
      <c r="X16" s="18" t="n">
        <v>51000</v>
      </c>
      <c r="Y16" s="18" t="n">
        <v>59900</v>
      </c>
      <c r="Z16" s="9" t="n"/>
      <c r="AA16" s="18" t="n">
        <v>54700</v>
      </c>
      <c r="AB16" s="19" t="n">
        <v>50100</v>
      </c>
      <c r="AC16" s="20" t="n">
        <v>47400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19300</v>
      </c>
      <c r="F17" s="9" t="n"/>
      <c r="G17" s="18" t="n">
        <v>17750</v>
      </c>
      <c r="H17" s="18" t="n">
        <v>17150</v>
      </c>
      <c r="I17" s="18" t="n">
        <v>16900</v>
      </c>
      <c r="J17" s="18" t="n">
        <v>16250</v>
      </c>
      <c r="K17" s="9" t="n"/>
      <c r="L17" s="18" t="n">
        <v>16800</v>
      </c>
      <c r="M17" s="18" t="n">
        <v>17770</v>
      </c>
      <c r="N17" s="18" t="n">
        <v>17650</v>
      </c>
      <c r="O17" s="18" t="n">
        <v>18550</v>
      </c>
      <c r="P17" s="9" t="n"/>
      <c r="Q17" s="18" t="n">
        <v>18400</v>
      </c>
      <c r="R17" s="18" t="n">
        <v>18900</v>
      </c>
      <c r="S17" s="18" t="n">
        <v>17710</v>
      </c>
      <c r="T17" s="18" t="n">
        <v>20550</v>
      </c>
      <c r="U17" s="9" t="n"/>
      <c r="V17" s="18" t="n">
        <v>19610</v>
      </c>
      <c r="W17" s="18" t="n">
        <v>22300</v>
      </c>
      <c r="X17" s="18" t="n">
        <v>34750</v>
      </c>
      <c r="Y17" s="18" t="n">
        <v>38150</v>
      </c>
      <c r="Z17" s="9" t="n"/>
      <c r="AA17" s="18" t="n">
        <v>42200</v>
      </c>
      <c r="AB17" s="19" t="n">
        <v>37700</v>
      </c>
      <c r="AC17" s="20" t="n">
        <v>39600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20578.6</v>
      </c>
      <c r="F18" s="9" t="n"/>
      <c r="G18" s="18" t="n">
        <v>20463.6</v>
      </c>
      <c r="H18" s="18" t="n">
        <v>19856.5</v>
      </c>
      <c r="I18" s="18" t="n">
        <v>18382.5</v>
      </c>
      <c r="J18" s="18" t="n">
        <v>18606.5</v>
      </c>
      <c r="K18" s="9" t="n"/>
      <c r="L18" s="18" t="n">
        <v>18009.5</v>
      </c>
      <c r="M18" s="18" t="n">
        <v>18510.3</v>
      </c>
      <c r="N18" s="18" t="n">
        <v>18783.4</v>
      </c>
      <c r="O18" s="18" t="n">
        <v>19205.7</v>
      </c>
      <c r="P18" s="9" t="n"/>
      <c r="Q18" s="18" t="n">
        <v>18979.8</v>
      </c>
      <c r="R18" s="18" t="n">
        <v>19698.2</v>
      </c>
      <c r="S18" s="18" t="n">
        <v>19538.4</v>
      </c>
      <c r="T18" s="18" t="n">
        <v>21756.6</v>
      </c>
      <c r="U18" s="9" t="n"/>
      <c r="V18" s="18" t="n">
        <v>21541.9</v>
      </c>
      <c r="W18" s="18" t="n">
        <v>31974.2</v>
      </c>
      <c r="X18" s="18" t="n">
        <v>38596.2</v>
      </c>
      <c r="Y18" s="18" t="n">
        <v>45339</v>
      </c>
      <c r="Z18" s="9" t="n"/>
      <c r="AA18" s="18" t="n">
        <v>50047.5</v>
      </c>
      <c r="AB18" s="19" t="n">
        <v>44577.9</v>
      </c>
      <c r="AC18" s="20" t="n">
        <v>44098.4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-0.100091</v>
      </c>
      <c r="AD21" s="24" t="n">
        <v>0.20827</v>
      </c>
      <c r="AE21" s="25" t="n"/>
      <c r="AF21" s="24" t="n">
        <v>-0.065675</v>
      </c>
      <c r="AG21" s="24" t="n">
        <v>0.344573</v>
      </c>
      <c r="AH21" s="24" t="n">
        <v>0.188238</v>
      </c>
      <c r="AI21" s="24" t="n">
        <v>0.209014</v>
      </c>
      <c r="AJ21" s="25" t="n"/>
      <c r="AK21" s="24" t="n">
        <v>0.20241</v>
      </c>
      <c r="AL21" s="24" t="n">
        <v>0.156239</v>
      </c>
      <c r="AM21" s="24" t="n">
        <v>0.087311</v>
      </c>
      <c r="AN21" s="24" t="n">
        <v>0.030471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0.168334</v>
      </c>
      <c r="AD22" s="24" t="n">
        <v>0.168338</v>
      </c>
      <c r="AE22" s="25">
        <f>IFERROR(subQ!AE8/subQ!AE5,"")</f>
        <v/>
      </c>
      <c r="AF22" s="24" t="n">
        <v>0.168324</v>
      </c>
      <c r="AG22" s="24" t="n">
        <v>0.168317</v>
      </c>
      <c r="AH22" s="24" t="n">
        <v>0.168329</v>
      </c>
      <c r="AI22" s="24" t="n">
        <v>0.168319</v>
      </c>
      <c r="AJ22" s="25">
        <f>IFERROR(subQ!AJ8/subQ!AJ5,"")</f>
        <v/>
      </c>
      <c r="AK22" s="24" t="n">
        <v>0.168337</v>
      </c>
      <c r="AL22" s="24" t="n">
        <v>0.168318</v>
      </c>
      <c r="AM22" s="24" t="n">
        <v>0.168316</v>
      </c>
      <c r="AN22" s="24" t="n">
        <v>0.168313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0.185276</v>
      </c>
      <c r="AD23" s="24" t="n">
        <v>0.18528</v>
      </c>
      <c r="AE23" s="25">
        <f>IFERROR(subQ!AE9/subQ!AE5,"")</f>
        <v/>
      </c>
      <c r="AF23" s="24" t="n">
        <v>0.185285</v>
      </c>
      <c r="AG23" s="24" t="n">
        <v>0.18527</v>
      </c>
      <c r="AH23" s="24" t="n">
        <v>0.185292</v>
      </c>
      <c r="AI23" s="24" t="n">
        <v>0.185273</v>
      </c>
      <c r="AJ23" s="25">
        <f>IFERROR(subQ!AJ9/subQ!AJ5,"")</f>
        <v/>
      </c>
      <c r="AK23" s="24" t="n">
        <v>0.185291</v>
      </c>
      <c r="AL23" s="24" t="n">
        <v>0.18529</v>
      </c>
      <c r="AM23" s="24" t="n">
        <v>0.185288</v>
      </c>
      <c r="AN23" s="24" t="n">
        <v>0.185279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IFERROR(subQ!J38/subQ!E38-1,"")</f>
        <v/>
      </c>
      <c r="K24" s="22" t="n"/>
      <c r="L24" s="21">
        <f>IFERROR(subQ!L38/subQ!G38-1,"")</f>
        <v/>
      </c>
      <c r="M24" s="21">
        <f>IFERROR(subQ!M38/subQ!H38-1,"")</f>
        <v/>
      </c>
      <c r="N24" s="21">
        <f>IFERROR(subQ!N38/subQ!I38-1,"")</f>
        <v/>
      </c>
      <c r="O24" s="21">
        <f>IFERROR(subQ!O38/subQ!J38-1,"")</f>
        <v/>
      </c>
      <c r="P24" s="22" t="n"/>
      <c r="Q24" s="21">
        <f>IFERROR(subQ!Q38/subQ!L38-1,"")</f>
        <v/>
      </c>
      <c r="R24" s="21">
        <f>IFERROR(subQ!R38/subQ!M38-1,"")</f>
        <v/>
      </c>
      <c r="S24" s="21">
        <f>IFERROR(subQ!S38/subQ!N38-1,"")</f>
        <v/>
      </c>
      <c r="T24" s="21">
        <f>IFERROR(subQ!T38/subQ!O38-1,"")</f>
        <v/>
      </c>
      <c r="U24" s="22" t="n"/>
      <c r="V24" s="21">
        <f>IFERROR(subQ!V38/subQ!Q38-1,"")</f>
        <v/>
      </c>
      <c r="W24" s="21">
        <f>IFERROR(subQ!W38/subQ!R38-1,"")</f>
        <v/>
      </c>
      <c r="X24" s="21">
        <f>IFERROR(subQ!X38/subQ!S38-1,"")</f>
        <v/>
      </c>
      <c r="Y24" s="21">
        <f>IFERROR(subQ!Y38/subQ!T38-1,"")</f>
        <v/>
      </c>
      <c r="Z24" s="22" t="n"/>
      <c r="AA24" s="21">
        <f>IFERROR(subQ!AA38/subQ!V38-1,"")</f>
        <v/>
      </c>
      <c r="AB24" s="23">
        <f>IFERROR(subQ!AB38/subQ!W38-1,"")</f>
        <v/>
      </c>
      <c r="AC24" s="24" t="n">
        <v>-0.080397</v>
      </c>
      <c r="AD24" s="24" t="n">
        <v>-0.051203</v>
      </c>
      <c r="AE24" s="25" t="n"/>
      <c r="AF24" s="24" t="n">
        <v>-0.402258</v>
      </c>
      <c r="AG24" s="24" t="n">
        <v>0.057045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6.53</v>
      </c>
      <c r="AD25" s="29" t="n">
        <v>6.92</v>
      </c>
      <c r="AE25" s="30">
        <f>subQ!AE11</f>
        <v/>
      </c>
      <c r="AF25" s="29" t="n">
        <v>7.28</v>
      </c>
      <c r="AG25" s="29" t="n">
        <v>7.64</v>
      </c>
      <c r="AH25" s="29" t="n">
        <v>5.55</v>
      </c>
      <c r="AI25" s="29" t="n">
        <v>6</v>
      </c>
      <c r="AJ25" s="30">
        <f>subQ!AJ11</f>
        <v/>
      </c>
      <c r="AK25" s="29" t="n">
        <v>6.42</v>
      </c>
      <c r="AL25" s="29" t="n">
        <v>6.82</v>
      </c>
      <c r="AM25" s="29" t="n">
        <v>4.79</v>
      </c>
      <c r="AN25" s="29" t="n">
        <v>5.27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drv:법인세비용</t>
        </is>
      </c>
      <c r="B27" s="2" t="inlineStr">
        <is>
          <t>ratio</t>
        </is>
      </c>
      <c r="C27" t="inlineStr">
        <is>
          <t>법인세율(/세전)</t>
        </is>
      </c>
      <c r="E27" s="21">
        <f>IFERROR(subQ!E14/subQ!E13,"")</f>
        <v/>
      </c>
      <c r="F27" s="22">
        <f>IFERROR(subQ!F14/subQ!F13,"")</f>
        <v/>
      </c>
      <c r="G27" s="21">
        <f>IFERROR(subQ!G14/subQ!G13,"")</f>
        <v/>
      </c>
      <c r="H27" s="21">
        <f>IFERROR(subQ!H14/subQ!H13,"")</f>
        <v/>
      </c>
      <c r="I27" s="21">
        <f>IFERROR(subQ!I14/subQ!I13,"")</f>
        <v/>
      </c>
      <c r="J27" s="21">
        <f>IFERROR(subQ!J14/subQ!J13,"")</f>
        <v/>
      </c>
      <c r="K27" s="22">
        <f>IFERROR(subQ!K14/subQ!K13,"")</f>
        <v/>
      </c>
      <c r="L27" s="21">
        <f>IFERROR(subQ!L14/subQ!L13,"")</f>
        <v/>
      </c>
      <c r="M27" s="21">
        <f>IFERROR(subQ!M14/subQ!M13,"")</f>
        <v/>
      </c>
      <c r="N27" s="21">
        <f>IFERROR(subQ!N14/subQ!N13,"")</f>
        <v/>
      </c>
      <c r="O27" s="21">
        <f>IFERROR(subQ!O14/subQ!O13,"")</f>
        <v/>
      </c>
      <c r="P27" s="22">
        <f>IFERROR(subQ!P14/subQ!P13,"")</f>
        <v/>
      </c>
      <c r="Q27" s="21">
        <f>IFERROR(subQ!Q14/subQ!Q13,"")</f>
        <v/>
      </c>
      <c r="R27" s="21">
        <f>IFERROR(subQ!R14/subQ!R13,"")</f>
        <v/>
      </c>
      <c r="S27" s="21">
        <f>IFERROR(subQ!S14/subQ!S13,"")</f>
        <v/>
      </c>
      <c r="T27" s="21">
        <f>IFERROR(subQ!T14/subQ!T13,"")</f>
        <v/>
      </c>
      <c r="U27" s="22">
        <f>IFERROR(subQ!U14/subQ!U13,"")</f>
        <v/>
      </c>
      <c r="V27" s="21">
        <f>IFERROR(subQ!V14/subQ!V13,"")</f>
        <v/>
      </c>
      <c r="W27" s="21">
        <f>IFERROR(subQ!W14/subQ!W13,"")</f>
        <v/>
      </c>
      <c r="X27" s="21">
        <f>IFERROR(subQ!X14/subQ!X13,"")</f>
        <v/>
      </c>
      <c r="Y27" s="21">
        <f>IFERROR(subQ!Y14/subQ!Y13,"")</f>
        <v/>
      </c>
      <c r="Z27" s="22">
        <f>IFERROR(subQ!Z14/subQ!Z13,"")</f>
        <v/>
      </c>
      <c r="AA27" s="21">
        <f>IFERROR(subQ!AA14/subQ!AA13,"")</f>
        <v/>
      </c>
      <c r="AB27" s="23">
        <f>IFERROR(subQ!AB14/subQ!AB13,"")</f>
        <v/>
      </c>
      <c r="AC27" s="24" t="n">
        <v>0.197855</v>
      </c>
      <c r="AD27" s="24" t="n">
        <v>0.197749</v>
      </c>
      <c r="AE27" s="25">
        <f>IFERROR(subQ!AE14/subQ!AE13,"")</f>
        <v/>
      </c>
      <c r="AF27" s="24" t="n">
        <v>0.197739</v>
      </c>
      <c r="AG27" s="24" t="n">
        <v>0.197742</v>
      </c>
      <c r="AH27" s="24" t="n">
        <v>0.197774</v>
      </c>
      <c r="AI27" s="24" t="n">
        <v>0.197873</v>
      </c>
      <c r="AJ27" s="25">
        <f>IFERROR(subQ!AJ14/subQ!AJ13,"")</f>
        <v/>
      </c>
      <c r="AK27" s="24" t="n">
        <v>0.197848</v>
      </c>
      <c r="AL27" s="24" t="n">
        <v>0.197837</v>
      </c>
      <c r="AM27" s="24" t="n">
        <v>0.19772</v>
      </c>
      <c r="AN27" s="24" t="n">
        <v>0.197811</v>
      </c>
      <c r="AO27" s="25">
        <f>IFERROR(subQ!AO14/subQ!AO13,"")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IFERROR(subQ!E16/subQ!E15,"")</f>
        <v/>
      </c>
      <c r="F28" s="22">
        <f>IFERROR(subQ!F16/subQ!F15,"")</f>
        <v/>
      </c>
      <c r="G28" s="21">
        <f>IFERROR(subQ!G16/subQ!G15,"")</f>
        <v/>
      </c>
      <c r="H28" s="21">
        <f>IFERROR(subQ!H16/subQ!H15,"")</f>
        <v/>
      </c>
      <c r="I28" s="21">
        <f>IFERROR(subQ!I16/subQ!I15,"")</f>
        <v/>
      </c>
      <c r="J28" s="21">
        <f>IFERROR(subQ!J16/subQ!J15,"")</f>
        <v/>
      </c>
      <c r="K28" s="22">
        <f>IFERROR(subQ!K16/subQ!K15,"")</f>
        <v/>
      </c>
      <c r="L28" s="21">
        <f>IFERROR(subQ!L16/subQ!L15,"")</f>
        <v/>
      </c>
      <c r="M28" s="21">
        <f>IFERROR(subQ!M16/subQ!M15,"")</f>
        <v/>
      </c>
      <c r="N28" s="21">
        <f>IFERROR(subQ!N16/subQ!N15,"")</f>
        <v/>
      </c>
      <c r="O28" s="21">
        <f>IFERROR(subQ!O16/subQ!O15,"")</f>
        <v/>
      </c>
      <c r="P28" s="22">
        <f>IFERROR(subQ!P16/subQ!P15,"")</f>
        <v/>
      </c>
      <c r="Q28" s="21">
        <f>IFERROR(subQ!Q16/subQ!Q15,"")</f>
        <v/>
      </c>
      <c r="R28" s="21">
        <f>IFERROR(subQ!R16/subQ!R15,"")</f>
        <v/>
      </c>
      <c r="S28" s="21">
        <f>IFERROR(subQ!S16/subQ!S15,"")</f>
        <v/>
      </c>
      <c r="T28" s="21">
        <f>IFERROR(subQ!T16/subQ!T15,"")</f>
        <v/>
      </c>
      <c r="U28" s="22">
        <f>IFERROR(subQ!U16/subQ!U15,"")</f>
        <v/>
      </c>
      <c r="V28" s="21">
        <f>IFERROR(subQ!V16/subQ!V15,"")</f>
        <v/>
      </c>
      <c r="W28" s="21">
        <f>IFERROR(subQ!W16/subQ!W15,"")</f>
        <v/>
      </c>
      <c r="X28" s="21">
        <f>IFERROR(subQ!X16/subQ!X15,"")</f>
        <v/>
      </c>
      <c r="Y28" s="21">
        <f>IFERROR(subQ!Y16/subQ!Y15,"")</f>
        <v/>
      </c>
      <c r="Z28" s="22">
        <f>IFERROR(subQ!Z16/subQ!Z15,"")</f>
        <v/>
      </c>
      <c r="AA28" s="21">
        <f>IFERROR(subQ!AA16/subQ!AA15,"")</f>
        <v/>
      </c>
      <c r="AB28" s="23">
        <f>IFERROR(subQ!AB16/subQ!AB15,"")</f>
        <v/>
      </c>
      <c r="AC28" s="24" t="n">
        <v>0.999784</v>
      </c>
      <c r="AD28" s="24" t="n">
        <v>1</v>
      </c>
      <c r="AE28" s="25">
        <f>IFERROR(subQ!AE16/subQ!AE15,"")</f>
        <v/>
      </c>
      <c r="AF28" s="24" t="n">
        <v>1</v>
      </c>
      <c r="AG28" s="24" t="n">
        <v>0.999815</v>
      </c>
      <c r="AH28" s="24" t="n">
        <v>0.999813</v>
      </c>
      <c r="AI28" s="24" t="n">
        <v>1</v>
      </c>
      <c r="AJ28" s="25">
        <f>IFERROR(subQ!AJ16/subQ!AJ15,"")</f>
        <v/>
      </c>
      <c r="AK28" s="24" t="n">
        <v>0.999794</v>
      </c>
      <c r="AL28" s="24" t="n">
        <v>1</v>
      </c>
      <c r="AM28" s="24" t="n">
        <v>1</v>
      </c>
      <c r="AN28" s="24" t="n">
        <v>1</v>
      </c>
      <c r="AO28" s="25">
        <f>IFERROR(subQ!AO16/subQ!AO15,"")</f>
        <v/>
      </c>
    </row>
    <row r="29">
      <c r="A29" s="12" t="inlineStr">
        <is>
          <t>drv:감가상각비</t>
        </is>
      </c>
      <c r="B29" s="2" t="inlineStr">
        <is>
          <t>yoy</t>
        </is>
      </c>
      <c r="C29" t="inlineStr">
        <is>
          <t>감가상각비 YoY</t>
        </is>
      </c>
      <c r="E29" s="21" t="n"/>
      <c r="F29" s="22" t="n"/>
      <c r="G29" s="21" t="n"/>
      <c r="H29" s="21" t="n"/>
      <c r="I29" s="21" t="n"/>
      <c r="J29" s="21">
        <f>IFERROR(subQ!J17/subQ!E17-1,"")</f>
        <v/>
      </c>
      <c r="K29" s="22" t="n"/>
      <c r="L29" s="21">
        <f>IFERROR(subQ!L17/subQ!G17-1,"")</f>
        <v/>
      </c>
      <c r="M29" s="21">
        <f>IFERROR(subQ!M17/subQ!H17-1,"")</f>
        <v/>
      </c>
      <c r="N29" s="21">
        <f>IFERROR(subQ!N17/subQ!I17-1,"")</f>
        <v/>
      </c>
      <c r="O29" s="21">
        <f>IFERROR(subQ!O17/subQ!J17-1,"")</f>
        <v/>
      </c>
      <c r="P29" s="22" t="n"/>
      <c r="Q29" s="21">
        <f>IFERROR(subQ!Q17/subQ!L17-1,"")</f>
        <v/>
      </c>
      <c r="R29" s="21">
        <f>IFERROR(subQ!R17/subQ!M17-1,"")</f>
        <v/>
      </c>
      <c r="S29" s="21">
        <f>IFERROR(subQ!S17/subQ!N17-1,"")</f>
        <v/>
      </c>
      <c r="T29" s="21">
        <f>IFERROR(subQ!T17/subQ!O17-1,"")</f>
        <v/>
      </c>
      <c r="U29" s="22" t="n"/>
      <c r="V29" s="21">
        <f>IFERROR(subQ!V17/subQ!Q17-1,"")</f>
        <v/>
      </c>
      <c r="W29" s="21">
        <f>IFERROR(subQ!W17/subQ!R17-1,"")</f>
        <v/>
      </c>
      <c r="X29" s="21">
        <f>IFERROR(subQ!X17/subQ!S17-1,"")</f>
        <v/>
      </c>
      <c r="Y29" s="21">
        <f>IFERROR(subQ!Y17/subQ!T17-1,"")</f>
        <v/>
      </c>
      <c r="Z29" s="22" t="n"/>
      <c r="AA29" s="21">
        <f>IFERROR(subQ!AA17/subQ!V17-1,"")</f>
        <v/>
      </c>
      <c r="AB29" s="23">
        <f>IFERROR(subQ!AB17/subQ!W17-1,"")</f>
        <v/>
      </c>
      <c r="AC29" s="31" t="n"/>
      <c r="AD29" s="31" t="n"/>
      <c r="AE29" s="25" t="n"/>
      <c r="AF29" s="31" t="n"/>
      <c r="AG29" s="31" t="n"/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drv:EBITDA</t>
        </is>
      </c>
      <c r="B30" s="2" t="inlineStr">
        <is>
          <t>yoy</t>
        </is>
      </c>
      <c r="C30" t="inlineStr">
        <is>
          <t>EBITDA YoY</t>
        </is>
      </c>
      <c r="E30" s="21" t="n"/>
      <c r="F30" s="22" t="n"/>
      <c r="G30" s="21" t="n"/>
      <c r="H30" s="21" t="n"/>
      <c r="I30" s="21" t="n"/>
      <c r="J30" s="21">
        <f>IFERROR(subQ!J18/subQ!E18-1,"")</f>
        <v/>
      </c>
      <c r="K30" s="22" t="n"/>
      <c r="L30" s="21">
        <f>IFERROR(subQ!L18/subQ!G18-1,"")</f>
        <v/>
      </c>
      <c r="M30" s="21">
        <f>IFERROR(subQ!M18/subQ!H18-1,"")</f>
        <v/>
      </c>
      <c r="N30" s="21">
        <f>IFERROR(subQ!N18/subQ!I18-1,"")</f>
        <v/>
      </c>
      <c r="O30" s="21">
        <f>IFERROR(subQ!O18/subQ!J18-1,"")</f>
        <v/>
      </c>
      <c r="P30" s="22" t="n"/>
      <c r="Q30" s="21">
        <f>IFERROR(subQ!Q18/subQ!L18-1,"")</f>
        <v/>
      </c>
      <c r="R30" s="21">
        <f>IFERROR(subQ!R18/subQ!M18-1,"")</f>
        <v/>
      </c>
      <c r="S30" s="21">
        <f>IFERROR(subQ!S18/subQ!N18-1,"")</f>
        <v/>
      </c>
      <c r="T30" s="21">
        <f>IFERROR(subQ!T18/subQ!O18-1,"")</f>
        <v/>
      </c>
      <c r="U30" s="22" t="n"/>
      <c r="V30" s="21">
        <f>IFERROR(subQ!V18/subQ!Q18-1,"")</f>
        <v/>
      </c>
      <c r="W30" s="21">
        <f>IFERROR(subQ!W18/subQ!R18-1,"")</f>
        <v/>
      </c>
      <c r="X30" s="21">
        <f>IFERROR(subQ!X18/subQ!S18-1,"")</f>
        <v/>
      </c>
      <c r="Y30" s="21">
        <f>IFERROR(subQ!Y18/subQ!T18-1,"")</f>
        <v/>
      </c>
      <c r="Z30" s="22" t="n"/>
      <c r="AA30" s="21">
        <f>IFERROR(subQ!AA18/subQ!V18-1,"")</f>
        <v/>
      </c>
      <c r="AB30" s="23">
        <f>IFERROR(subQ!AB18/subQ!W18-1,"")</f>
        <v/>
      </c>
      <c r="AC30" s="31" t="n"/>
      <c r="AD30" s="31" t="n"/>
      <c r="AE30" s="25" t="n"/>
      <c r="AF30" s="31" t="n"/>
      <c r="AG30" s="31" t="n"/>
      <c r="AH30" s="24" t="n">
        <v>0.185413</v>
      </c>
      <c r="AI30" s="24" t="n">
        <v>0.205384</v>
      </c>
      <c r="AJ30" s="25" t="n"/>
      <c r="AK30" s="24" t="n">
        <v>0.198644</v>
      </c>
      <c r="AL30" s="24" t="n">
        <v>0.154101</v>
      </c>
      <c r="AM30" s="24" t="n">
        <v>0.08613999999999999</v>
      </c>
      <c r="AN30" s="24" t="n">
        <v>0.030069</v>
      </c>
      <c r="AO30" s="25" t="n"/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IFERROR(subQ!G20/subQ!E20-1,"")</f>
        <v/>
      </c>
      <c r="H31" s="21">
        <f>IFERROR(subQ!H20/subQ!G20-1,"")</f>
        <v/>
      </c>
      <c r="I31" s="21">
        <f>IFERROR(subQ!I20/subQ!H20-1,"")</f>
        <v/>
      </c>
      <c r="J31" s="21">
        <f>IFERROR(subQ!J20/subQ!I20-1,"")</f>
        <v/>
      </c>
      <c r="K31" s="22" t="n"/>
      <c r="L31" s="21">
        <f>IFERROR(subQ!L20/subQ!J20-1,"")</f>
        <v/>
      </c>
      <c r="M31" s="21">
        <f>IFERROR(subQ!M20/subQ!L20-1,"")</f>
        <v/>
      </c>
      <c r="N31" s="21">
        <f>IFERROR(subQ!N20/subQ!M20-1,"")</f>
        <v/>
      </c>
      <c r="O31" s="21">
        <f>IFERROR(subQ!O20/subQ!N20-1,"")</f>
        <v/>
      </c>
      <c r="P31" s="22" t="n"/>
      <c r="Q31" s="21">
        <f>IFERROR(subQ!Q20/subQ!O20-1,"")</f>
        <v/>
      </c>
      <c r="R31" s="21">
        <f>IFERROR(subQ!R20/subQ!Q20-1,"")</f>
        <v/>
      </c>
      <c r="S31" s="21">
        <f>IFERROR(subQ!S20/subQ!R20-1,"")</f>
        <v/>
      </c>
      <c r="T31" s="21">
        <f>IFERROR(subQ!T20/subQ!S20-1,"")</f>
        <v/>
      </c>
      <c r="U31" s="22" t="n"/>
      <c r="V31" s="21">
        <f>IFERROR(subQ!V20/subQ!T20-1,"")</f>
        <v/>
      </c>
      <c r="W31" s="21">
        <f>IFERROR(subQ!W20/subQ!V20-1,"")</f>
        <v/>
      </c>
      <c r="X31" s="21">
        <f>IFERROR(subQ!X20/subQ!W20-1,"")</f>
        <v/>
      </c>
      <c r="Y31" s="21">
        <f>IFERROR(subQ!Y20/subQ!X20-1,"")</f>
        <v/>
      </c>
      <c r="Z31" s="22" t="n"/>
      <c r="AA31" s="21">
        <f>IFERROR(subQ!AA20/subQ!Y20-1,"")</f>
        <v/>
      </c>
      <c r="AB31" s="23">
        <f>IFERROR(subQ!AB20/subQ!AA20-1,"")</f>
        <v/>
      </c>
      <c r="AC31" s="24" t="n">
        <v>9e-06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6" t="n"/>
      <c r="F32" s="27" t="n"/>
      <c r="G32" s="26">
        <f>IFERROR(subQ!E21+subQ!G15-subQ!G21,"")</f>
        <v/>
      </c>
      <c r="H32" s="26">
        <f>IFERROR(subQ!G21+subQ!H15-subQ!H21,"")</f>
        <v/>
      </c>
      <c r="I32" s="26">
        <f>IFERROR(subQ!H21+subQ!I15-subQ!I21,"")</f>
        <v/>
      </c>
      <c r="J32" s="26">
        <f>IFERROR(subQ!I21+subQ!J15-subQ!J21,"")</f>
        <v/>
      </c>
      <c r="K32" s="27" t="n"/>
      <c r="L32" s="26">
        <f>IFERROR(subQ!J21+subQ!L15-subQ!L21,"")</f>
        <v/>
      </c>
      <c r="M32" s="26">
        <f>IFERROR(subQ!L21+subQ!M15-subQ!M21,"")</f>
        <v/>
      </c>
      <c r="N32" s="26">
        <f>IFERROR(subQ!M21+subQ!N15-subQ!N21,"")</f>
        <v/>
      </c>
      <c r="O32" s="26">
        <f>IFERROR(subQ!N21+subQ!O15-subQ!O21,"")</f>
        <v/>
      </c>
      <c r="P32" s="27" t="n"/>
      <c r="Q32" s="26">
        <f>IFERROR(subQ!O21+subQ!Q15-subQ!Q21,"")</f>
        <v/>
      </c>
      <c r="R32" s="26">
        <f>IFERROR(subQ!Q21+subQ!R15-subQ!R21,"")</f>
        <v/>
      </c>
      <c r="S32" s="26">
        <f>IFERROR(subQ!R21+subQ!S15-subQ!S21,"")</f>
        <v/>
      </c>
      <c r="T32" s="26">
        <f>IFERROR(subQ!S21+subQ!T15-subQ!T21,"")</f>
        <v/>
      </c>
      <c r="U32" s="27" t="n"/>
      <c r="V32" s="26">
        <f>IFERROR(subQ!T21+subQ!V15-subQ!V21,"")</f>
        <v/>
      </c>
      <c r="W32" s="26">
        <f>IFERROR(subQ!V21+subQ!W15-subQ!W21,"")</f>
        <v/>
      </c>
      <c r="X32" s="26">
        <f>IFERROR(subQ!W21+subQ!X15-subQ!X21,"")</f>
        <v/>
      </c>
      <c r="Y32" s="26">
        <f>IFERROR(subQ!X21+subQ!Y15-subQ!Y21,"")</f>
        <v/>
      </c>
      <c r="Z32" s="27" t="n"/>
      <c r="AA32" s="26">
        <f>IFERROR(subQ!Y21+subQ!AA15-subQ!AA21,"")</f>
        <v/>
      </c>
      <c r="AB32" s="28">
        <f>IFERROR(subQ!AA21+subQ!AB15-subQ!AB21,"")</f>
        <v/>
      </c>
      <c r="AC32" s="29" t="n">
        <v>0.0044</v>
      </c>
      <c r="AD32" s="29" t="n">
        <v>-0.01</v>
      </c>
      <c r="AE32" s="30" t="n"/>
      <c r="AF32" s="29" t="n">
        <v>-0</v>
      </c>
      <c r="AG32" s="29" t="n">
        <v>302.01</v>
      </c>
      <c r="AH32" s="29" t="n">
        <v>0</v>
      </c>
      <c r="AI32" s="29" t="n">
        <v>0</v>
      </c>
      <c r="AJ32" s="30" t="n"/>
      <c r="AK32" s="29" t="n">
        <v>0</v>
      </c>
      <c r="AL32" s="29" t="n">
        <v>302.01</v>
      </c>
      <c r="AM32" s="29" t="n">
        <v>0</v>
      </c>
      <c r="AN32" s="29" t="n">
        <v>-0.01</v>
      </c>
      <c r="AO32" s="30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6" t="n"/>
      <c r="F33" s="27" t="n"/>
      <c r="G33" s="26">
        <f>IFERROR(subQ!E22+subQ!G16-subQ!G22,"")</f>
        <v/>
      </c>
      <c r="H33" s="26">
        <f>IFERROR(subQ!G22+subQ!H16-subQ!H22,"")</f>
        <v/>
      </c>
      <c r="I33" s="26">
        <f>IFERROR(subQ!H22+subQ!I16-subQ!I22,"")</f>
        <v/>
      </c>
      <c r="J33" s="26">
        <f>IFERROR(subQ!I22+subQ!J16-subQ!J22,"")</f>
        <v/>
      </c>
      <c r="K33" s="27" t="n"/>
      <c r="L33" s="26">
        <f>IFERROR(subQ!J22+subQ!L16-subQ!L22,"")</f>
        <v/>
      </c>
      <c r="M33" s="26">
        <f>IFERROR(subQ!L22+subQ!M16-subQ!M22,"")</f>
        <v/>
      </c>
      <c r="N33" s="26">
        <f>IFERROR(subQ!M22+subQ!N16-subQ!N22,"")</f>
        <v/>
      </c>
      <c r="O33" s="26">
        <f>IFERROR(subQ!N22+subQ!O16-subQ!O22,"")</f>
        <v/>
      </c>
      <c r="P33" s="27" t="n"/>
      <c r="Q33" s="26">
        <f>IFERROR(subQ!O22+subQ!Q16-subQ!Q22,"")</f>
        <v/>
      </c>
      <c r="R33" s="26">
        <f>IFERROR(subQ!Q22+subQ!R16-subQ!R22,"")</f>
        <v/>
      </c>
      <c r="S33" s="26">
        <f>IFERROR(subQ!R22+subQ!S16-subQ!S22,"")</f>
        <v/>
      </c>
      <c r="T33" s="26">
        <f>IFERROR(subQ!S22+subQ!T16-subQ!T22,"")</f>
        <v/>
      </c>
      <c r="U33" s="27" t="n"/>
      <c r="V33" s="26">
        <f>IFERROR(subQ!T22+subQ!V16-subQ!V22,"")</f>
        <v/>
      </c>
      <c r="W33" s="26">
        <f>IFERROR(subQ!V22+subQ!W16-subQ!W22,"")</f>
        <v/>
      </c>
      <c r="X33" s="26">
        <f>IFERROR(subQ!W22+subQ!X16-subQ!X22,"")</f>
        <v/>
      </c>
      <c r="Y33" s="26">
        <f>IFERROR(subQ!X22+subQ!Y16-subQ!Y22,"")</f>
        <v/>
      </c>
      <c r="Z33" s="27" t="n"/>
      <c r="AA33" s="26">
        <f>IFERROR(subQ!Y22+subQ!AA16-subQ!AA22,"")</f>
        <v/>
      </c>
      <c r="AB33" s="28">
        <f>IFERROR(subQ!AA22+subQ!AB16-subQ!AB22,"")</f>
        <v/>
      </c>
      <c r="AC33" s="29" t="n">
        <v>0.0034</v>
      </c>
      <c r="AD33" s="29" t="n">
        <v>0</v>
      </c>
      <c r="AE33" s="30" t="n"/>
      <c r="AF33" s="29" t="n">
        <v>-0</v>
      </c>
      <c r="AG33" s="29" t="n">
        <v>302.01</v>
      </c>
      <c r="AH33" s="29" t="n">
        <v>-0.01</v>
      </c>
      <c r="AI33" s="29" t="n">
        <v>0.01</v>
      </c>
      <c r="AJ33" s="30" t="n"/>
      <c r="AK33" s="29" t="n">
        <v>0</v>
      </c>
      <c r="AL33" s="29" t="n">
        <v>302.01</v>
      </c>
      <c r="AM33" s="29" t="n">
        <v>0</v>
      </c>
      <c r="AN33" s="29" t="n">
        <v>0.01</v>
      </c>
      <c r="AO33" s="30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31" t="n"/>
      <c r="AD34" s="31" t="n"/>
      <c r="AE34" s="25" t="n"/>
      <c r="AF34" s="31" t="n"/>
      <c r="AG34" s="31" t="n"/>
      <c r="AH34" s="31" t="n"/>
      <c r="AI34" s="31" t="n"/>
      <c r="AJ34" s="25" t="n"/>
      <c r="AK34" s="31" t="n"/>
      <c r="AL34" s="31" t="n"/>
      <c r="AM34" s="31" t="n"/>
      <c r="AN34" s="31" t="n"/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31" t="n"/>
      <c r="AD35" s="31" t="n"/>
      <c r="AE35" s="25" t="n"/>
      <c r="AF35" s="31" t="n"/>
      <c r="AG35" s="31" t="n"/>
      <c r="AH35" s="31" t="n"/>
      <c r="AI35" s="31" t="n"/>
      <c r="AJ35" s="25" t="n"/>
      <c r="AK35" s="31" t="n"/>
      <c r="AL35" s="31" t="n"/>
      <c r="AM35" s="31" t="n"/>
      <c r="AN35" s="31" t="n"/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24" t="n">
        <v>0.059912</v>
      </c>
      <c r="AD36" s="24" t="n">
        <v>0.052093</v>
      </c>
      <c r="AE36" s="25" t="n"/>
      <c r="AF36" s="24" t="n">
        <v>0.048495</v>
      </c>
      <c r="AG36" s="24" t="n">
        <v>-0.273977</v>
      </c>
      <c r="AH36" s="24" t="n">
        <v>0.081173</v>
      </c>
      <c r="AI36" s="24" t="n">
        <v>0.07005400000000001</v>
      </c>
      <c r="AJ36" s="25" t="n"/>
      <c r="AK36" s="24" t="n">
        <v>0.063732</v>
      </c>
      <c r="AL36" s="24" t="n">
        <v>-0.298196</v>
      </c>
      <c r="AM36" s="24" t="n">
        <v>0.100416</v>
      </c>
      <c r="AN36" s="24" t="n">
        <v>0.08097500000000001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IFERROR(subQ!G26/subQ!E26-1,"")</f>
        <v/>
      </c>
      <c r="H37" s="21">
        <f>IFERROR(subQ!H26/subQ!G26-1,"")</f>
        <v/>
      </c>
      <c r="I37" s="21">
        <f>IFERROR(subQ!I26/subQ!H26-1,"")</f>
        <v/>
      </c>
      <c r="J37" s="21">
        <f>IFERROR(subQ!J26/subQ!I26-1,"")</f>
        <v/>
      </c>
      <c r="K37" s="22" t="n"/>
      <c r="L37" s="21">
        <f>IFERROR(subQ!L26/subQ!J26-1,"")</f>
        <v/>
      </c>
      <c r="M37" s="21">
        <f>IFERROR(subQ!M26/subQ!L26-1,"")</f>
        <v/>
      </c>
      <c r="N37" s="21">
        <f>IFERROR(subQ!N26/subQ!M26-1,"")</f>
        <v/>
      </c>
      <c r="O37" s="21">
        <f>IFERROR(subQ!O26/subQ!N26-1,"")</f>
        <v/>
      </c>
      <c r="P37" s="22" t="n"/>
      <c r="Q37" s="21">
        <f>IFERROR(subQ!Q26/subQ!O26-1,"")</f>
        <v/>
      </c>
      <c r="R37" s="21">
        <f>IFERROR(subQ!R26/subQ!Q26-1,"")</f>
        <v/>
      </c>
      <c r="S37" s="21">
        <f>IFERROR(subQ!S26/subQ!R26-1,"")</f>
        <v/>
      </c>
      <c r="T37" s="21">
        <f>IFERROR(subQ!T26/subQ!S26-1,"")</f>
        <v/>
      </c>
      <c r="U37" s="22" t="n"/>
      <c r="V37" s="21">
        <f>IFERROR(subQ!V26/subQ!T26-1,"")</f>
        <v/>
      </c>
      <c r="W37" s="21">
        <f>IFERROR(subQ!W26/subQ!V26-1,"")</f>
        <v/>
      </c>
      <c r="X37" s="21">
        <f>IFERROR(subQ!X26/subQ!W26-1,"")</f>
        <v/>
      </c>
      <c r="Y37" s="21">
        <f>IFERROR(subQ!Y26/subQ!X26-1,"")</f>
        <v/>
      </c>
      <c r="Z37" s="22" t="n"/>
      <c r="AA37" s="21">
        <f>IFERROR(subQ!AA26/subQ!Y26-1,"")</f>
        <v/>
      </c>
      <c r="AB37" s="23">
        <f>IFERROR(subQ!AB26/subQ!AA26-1,"")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IFERROR(subQ!J27/subQ!E27-1,"")</f>
        <v/>
      </c>
      <c r="K38" s="22" t="n"/>
      <c r="L38" s="21">
        <f>IFERROR(subQ!L27/subQ!G27-1,"")</f>
        <v/>
      </c>
      <c r="M38" s="21">
        <f>IFERROR(subQ!M27/subQ!H27-1,"")</f>
        <v/>
      </c>
      <c r="N38" s="21">
        <f>IFERROR(subQ!N27/subQ!I27-1,"")</f>
        <v/>
      </c>
      <c r="O38" s="21">
        <f>IFERROR(subQ!O27/subQ!J27-1,"")</f>
        <v/>
      </c>
      <c r="P38" s="22" t="n"/>
      <c r="Q38" s="21">
        <f>IFERROR(subQ!Q27/subQ!L27-1,"")</f>
        <v/>
      </c>
      <c r="R38" s="21">
        <f>IFERROR(subQ!R27/subQ!M27-1,"")</f>
        <v/>
      </c>
      <c r="S38" s="21">
        <f>IFERROR(subQ!S27/subQ!N27-1,"")</f>
        <v/>
      </c>
      <c r="T38" s="21">
        <f>IFERROR(subQ!T27/subQ!O27-1,"")</f>
        <v/>
      </c>
      <c r="U38" s="22" t="n"/>
      <c r="V38" s="21">
        <f>IFERROR(subQ!V27/subQ!Q27-1,"")</f>
        <v/>
      </c>
      <c r="W38" s="21">
        <f>IFERROR(subQ!W27/subQ!R27-1,"")</f>
        <v/>
      </c>
      <c r="X38" s="21">
        <f>IFERROR(subQ!X27/subQ!S27-1,"")</f>
        <v/>
      </c>
      <c r="Y38" s="21">
        <f>IFERROR(subQ!Y27/subQ!T27-1,"")</f>
        <v/>
      </c>
      <c r="Z38" s="22" t="n"/>
      <c r="AA38" s="21">
        <f>IFERROR(subQ!AA27/subQ!V27-1,"")</f>
        <v/>
      </c>
      <c r="AB38" s="23">
        <f>IFERROR(subQ!AB27/subQ!W27-1,"")</f>
        <v/>
      </c>
      <c r="AC38" s="31" t="n"/>
      <c r="AD38" s="31" t="n"/>
      <c r="AE38" s="25" t="n"/>
      <c r="AF38" s="31" t="n"/>
      <c r="AG38" s="31" t="n"/>
      <c r="AH38" s="31" t="n"/>
      <c r="AI38" s="31" t="n"/>
      <c r="AJ38" s="25" t="n"/>
      <c r="AK38" s="31" t="n"/>
      <c r="AL38" s="31" t="n"/>
      <c r="AM38" s="31" t="n"/>
      <c r="AN38" s="31" t="n"/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IFERROR(subQ!J28/subQ!E28-1,"")</f>
        <v/>
      </c>
      <c r="K39" s="22" t="n"/>
      <c r="L39" s="21">
        <f>IFERROR(subQ!L28/subQ!G28-1,"")</f>
        <v/>
      </c>
      <c r="M39" s="21">
        <f>IFERROR(subQ!M28/subQ!H28-1,"")</f>
        <v/>
      </c>
      <c r="N39" s="21">
        <f>IFERROR(subQ!N28/subQ!I28-1,"")</f>
        <v/>
      </c>
      <c r="O39" s="21">
        <f>IFERROR(subQ!O28/subQ!J28-1,"")</f>
        <v/>
      </c>
      <c r="P39" s="22" t="n"/>
      <c r="Q39" s="21">
        <f>IFERROR(subQ!Q28/subQ!L28-1,"")</f>
        <v/>
      </c>
      <c r="R39" s="21">
        <f>IFERROR(subQ!R28/subQ!M28-1,"")</f>
        <v/>
      </c>
      <c r="S39" s="21">
        <f>IFERROR(subQ!S28/subQ!N28-1,"")</f>
        <v/>
      </c>
      <c r="T39" s="21">
        <f>IFERROR(subQ!T28/subQ!O28-1,"")</f>
        <v/>
      </c>
      <c r="U39" s="22" t="n"/>
      <c r="V39" s="21">
        <f>IFERROR(subQ!V28/subQ!Q28-1,"")</f>
        <v/>
      </c>
      <c r="W39" s="21">
        <f>IFERROR(subQ!W28/subQ!R28-1,"")</f>
        <v/>
      </c>
      <c r="X39" s="21">
        <f>IFERROR(subQ!X28/subQ!S28-1,"")</f>
        <v/>
      </c>
      <c r="Y39" s="21">
        <f>IFERROR(subQ!Y28/subQ!T28-1,"")</f>
        <v/>
      </c>
      <c r="Z39" s="22" t="n"/>
      <c r="AA39" s="21">
        <f>IFERROR(subQ!AA28/subQ!V28-1,"")</f>
        <v/>
      </c>
      <c r="AB39" s="23">
        <f>IFERROR(subQ!AB28/subQ!W28-1,"")</f>
        <v/>
      </c>
      <c r="AC39" s="31" t="n"/>
      <c r="AD39" s="31" t="n"/>
      <c r="AE39" s="25" t="n"/>
      <c r="AF39" s="31" t="n"/>
      <c r="AG39" s="31" t="n"/>
      <c r="AH39" s="31" t="n"/>
      <c r="AI39" s="31" t="n"/>
      <c r="AJ39" s="25" t="n"/>
      <c r="AK39" s="31" t="n"/>
      <c r="AL39" s="31" t="n"/>
      <c r="AM39" s="31" t="n"/>
      <c r="AN39" s="31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IFERROR(subQ!G29/subQ!E29-1,"")</f>
        <v/>
      </c>
      <c r="H40" s="21">
        <f>IFERROR(subQ!H29/subQ!G29-1,"")</f>
        <v/>
      </c>
      <c r="I40" s="21">
        <f>IFERROR(subQ!I29/subQ!H29-1,"")</f>
        <v/>
      </c>
      <c r="J40" s="21">
        <f>IFERROR(subQ!J29/subQ!I29-1,"")</f>
        <v/>
      </c>
      <c r="K40" s="22" t="n"/>
      <c r="L40" s="21">
        <f>IFERROR(subQ!L29/subQ!J29-1,"")</f>
        <v/>
      </c>
      <c r="M40" s="21">
        <f>IFERROR(subQ!M29/subQ!L29-1,"")</f>
        <v/>
      </c>
      <c r="N40" s="21">
        <f>IFERROR(subQ!N29/subQ!M29-1,"")</f>
        <v/>
      </c>
      <c r="O40" s="21">
        <f>IFERROR(subQ!O29/subQ!N29-1,"")</f>
        <v/>
      </c>
      <c r="P40" s="22" t="n"/>
      <c r="Q40" s="21">
        <f>IFERROR(subQ!Q29/subQ!O29-1,"")</f>
        <v/>
      </c>
      <c r="R40" s="21">
        <f>IFERROR(subQ!R29/subQ!Q29-1,"")</f>
        <v/>
      </c>
      <c r="S40" s="21">
        <f>IFERROR(subQ!S29/subQ!R29-1,"")</f>
        <v/>
      </c>
      <c r="T40" s="21">
        <f>IFERROR(subQ!T29/subQ!S29-1,"")</f>
        <v/>
      </c>
      <c r="U40" s="22" t="n"/>
      <c r="V40" s="21">
        <f>IFERROR(subQ!V29/subQ!T29-1,"")</f>
        <v/>
      </c>
      <c r="W40" s="21">
        <f>IFERROR(subQ!W29/subQ!V29-1,"")</f>
        <v/>
      </c>
      <c r="X40" s="21">
        <f>IFERROR(subQ!X29/subQ!W29-1,"")</f>
        <v/>
      </c>
      <c r="Y40" s="21">
        <f>IFERROR(subQ!Y29/subQ!X29-1,"")</f>
        <v/>
      </c>
      <c r="Z40" s="22" t="n"/>
      <c r="AA40" s="21">
        <f>IFERROR(subQ!AA29/subQ!Y29-1,"")</f>
        <v/>
      </c>
      <c r="AB40" s="23">
        <f>IFERROR(subQ!AB29/subQ!AA29-1,"")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yoy</t>
        </is>
      </c>
      <c r="C41" t="inlineStr">
        <is>
          <t>DPS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31" t="n"/>
      <c r="AD41" s="24" t="n">
        <v>0</v>
      </c>
      <c r="AE41" s="25" t="n"/>
      <c r="AF41" s="31" t="n"/>
      <c r="AG41" s="31" t="n"/>
      <c r="AH41" s="31" t="n"/>
      <c r="AI41" s="24" t="n">
        <v>0</v>
      </c>
      <c r="AJ41" s="25" t="n"/>
      <c r="AK41" s="31" t="n"/>
      <c r="AL41" s="31" t="n"/>
      <c r="AM41" s="31" t="n"/>
      <c r="AN41" s="24" t="n">
        <v>0</v>
      </c>
      <c r="AO41" s="25" t="n"/>
    </row>
    <row r="42">
      <c r="A42" s="12" t="inlineStr">
        <is>
          <t>drv:PER</t>
        </is>
      </c>
      <c r="B42" s="2" t="inlineStr">
        <is>
          <t>yoy</t>
        </is>
      </c>
      <c r="C42" t="inlineStr">
        <is>
          <t>PER YoY</t>
        </is>
      </c>
      <c r="E42" s="21" t="n"/>
      <c r="F42" s="22" t="n"/>
      <c r="G42" s="21" t="n"/>
      <c r="H42" s="21" t="n"/>
      <c r="I42" s="21" t="n"/>
      <c r="J42" s="21">
        <f>IFERROR(subQ!J33/subQ!E33-1,"")</f>
        <v/>
      </c>
      <c r="K42" s="22" t="n"/>
      <c r="L42" s="21">
        <f>IFERROR(subQ!L33/subQ!G33-1,"")</f>
        <v/>
      </c>
      <c r="M42" s="21">
        <f>IFERROR(subQ!M33/subQ!H33-1,"")</f>
        <v/>
      </c>
      <c r="N42" s="21">
        <f>IFERROR(subQ!N33/subQ!I33-1,"")</f>
        <v/>
      </c>
      <c r="O42" s="21">
        <f>IFERROR(subQ!O33/subQ!J33-1,"")</f>
        <v/>
      </c>
      <c r="P42" s="22" t="n"/>
      <c r="Q42" s="21">
        <f>IFERROR(subQ!Q33/subQ!L33-1,"")</f>
        <v/>
      </c>
      <c r="R42" s="21">
        <f>IFERROR(subQ!R33/subQ!M33-1,"")</f>
        <v/>
      </c>
      <c r="S42" s="21">
        <f>IFERROR(subQ!S33/subQ!N33-1,"")</f>
        <v/>
      </c>
      <c r="T42" s="21">
        <f>IFERROR(subQ!T33/subQ!O33-1,"")</f>
        <v/>
      </c>
      <c r="U42" s="22" t="n"/>
      <c r="V42" s="21">
        <f>IFERROR(subQ!V33/subQ!Q33-1,"")</f>
        <v/>
      </c>
      <c r="W42" s="21">
        <f>IFERROR(subQ!W33/subQ!R33-1,"")</f>
        <v/>
      </c>
      <c r="X42" s="21">
        <f>IFERROR(subQ!X33/subQ!S33-1,"")</f>
        <v/>
      </c>
      <c r="Y42" s="21">
        <f>IFERROR(subQ!Y33/subQ!T33-1,"")</f>
        <v/>
      </c>
      <c r="Z42" s="22" t="n"/>
      <c r="AA42" s="21">
        <f>IFERROR(subQ!AA33/subQ!V33-1,"")</f>
        <v/>
      </c>
      <c r="AB42" s="23">
        <f>IFERROR(subQ!AB33/subQ!W33-1,"")</f>
        <v/>
      </c>
      <c r="AC42" s="24" t="n">
        <v>0.307868</v>
      </c>
      <c r="AD42" s="24" t="n">
        <v>0.203441</v>
      </c>
      <c r="AE42" s="25" t="n"/>
      <c r="AF42" s="24" t="n">
        <v>-0.06716999999999999</v>
      </c>
      <c r="AG42" s="24" t="n">
        <v>0.299046</v>
      </c>
      <c r="AH42" s="24" t="n">
        <v>0.028771</v>
      </c>
      <c r="AI42" s="24" t="n">
        <v>-0.042893</v>
      </c>
      <c r="AJ42" s="25" t="n"/>
      <c r="AK42" s="24" t="n">
        <v>-0.108414</v>
      </c>
      <c r="AL42" s="24" t="n">
        <v>-0.12898</v>
      </c>
      <c r="AM42" s="24" t="n">
        <v>-0.111864</v>
      </c>
      <c r="AN42" s="24" t="n">
        <v>-0.081722</v>
      </c>
      <c r="AO42" s="25" t="n"/>
    </row>
    <row r="43">
      <c r="A43" s="12" t="inlineStr">
        <is>
          <t>drv:PBR</t>
        </is>
      </c>
      <c r="B43" s="2" t="inlineStr">
        <is>
          <t>yoy</t>
        </is>
      </c>
      <c r="C43" t="inlineStr">
        <is>
          <t>PBR YoY</t>
        </is>
      </c>
      <c r="E43" s="21" t="n"/>
      <c r="F43" s="22" t="n"/>
      <c r="G43" s="21" t="n"/>
      <c r="H43" s="21" t="n"/>
      <c r="I43" s="21" t="n"/>
      <c r="J43" s="21">
        <f>IFERROR(subQ!J34/subQ!E34-1,"")</f>
        <v/>
      </c>
      <c r="K43" s="22" t="n"/>
      <c r="L43" s="21">
        <f>IFERROR(subQ!L34/subQ!G34-1,"")</f>
        <v/>
      </c>
      <c r="M43" s="21">
        <f>IFERROR(subQ!M34/subQ!H34-1,"")</f>
        <v/>
      </c>
      <c r="N43" s="21">
        <f>IFERROR(subQ!N34/subQ!I34-1,"")</f>
        <v/>
      </c>
      <c r="O43" s="21">
        <f>IFERROR(subQ!O34/subQ!J34-1,"")</f>
        <v/>
      </c>
      <c r="P43" s="22" t="n"/>
      <c r="Q43" s="21">
        <f>IFERROR(subQ!Q34/subQ!L34-1,"")</f>
        <v/>
      </c>
      <c r="R43" s="21">
        <f>IFERROR(subQ!R34/subQ!M34-1,"")</f>
        <v/>
      </c>
      <c r="S43" s="21">
        <f>IFERROR(subQ!S34/subQ!N34-1,"")</f>
        <v/>
      </c>
      <c r="T43" s="21">
        <f>IFERROR(subQ!T34/subQ!O34-1,"")</f>
        <v/>
      </c>
      <c r="U43" s="22" t="n"/>
      <c r="V43" s="21">
        <f>IFERROR(subQ!V34/subQ!Q34-1,"")</f>
        <v/>
      </c>
      <c r="W43" s="21">
        <f>IFERROR(subQ!W34/subQ!R34-1,"")</f>
        <v/>
      </c>
      <c r="X43" s="21">
        <f>IFERROR(subQ!X34/subQ!S34-1,"")</f>
        <v/>
      </c>
      <c r="Y43" s="21">
        <f>IFERROR(subQ!Y34/subQ!T34-1,"")</f>
        <v/>
      </c>
      <c r="Z43" s="22" t="n"/>
      <c r="AA43" s="21">
        <f>IFERROR(subQ!AA34/subQ!V34-1,"")</f>
        <v/>
      </c>
      <c r="AB43" s="23">
        <f>IFERROR(subQ!AB34/subQ!W34-1,"")</f>
        <v/>
      </c>
      <c r="AC43" s="24" t="n">
        <v>0.014851</v>
      </c>
      <c r="AD43" s="24" t="n">
        <v>-0.208</v>
      </c>
      <c r="AE43" s="25" t="n"/>
      <c r="AF43" s="24" t="n">
        <v>-0.239044</v>
      </c>
      <c r="AG43" s="24" t="n">
        <v>0.136792</v>
      </c>
      <c r="AH43" s="24" t="n">
        <v>0.112195</v>
      </c>
      <c r="AI43" s="24" t="n">
        <v>0.09596</v>
      </c>
      <c r="AJ43" s="25" t="n"/>
      <c r="AK43" s="24" t="n">
        <v>0.089005</v>
      </c>
      <c r="AL43" s="24" t="n">
        <v>0.107884</v>
      </c>
      <c r="AM43" s="24" t="n">
        <v>0.09649099999999999</v>
      </c>
      <c r="AN43" s="24" t="n">
        <v>0.092166</v>
      </c>
      <c r="AO43" s="25" t="n"/>
    </row>
    <row r="44">
      <c r="A44" s="12" t="inlineStr">
        <is>
          <t>drv:매출전사</t>
        </is>
      </c>
      <c r="B44" s="2" t="inlineStr">
        <is>
          <t>ratio</t>
        </is>
      </c>
      <c r="C44" t="inlineStr">
        <is>
          <t>매출전사 비중(/매출액)</t>
        </is>
      </c>
      <c r="E44" s="21">
        <f>IFERROR(subQ!E35/subQ!E5,"")</f>
        <v/>
      </c>
      <c r="F44" s="22">
        <f>IFERROR(subQ!F35/subQ!F5,"")</f>
        <v/>
      </c>
      <c r="G44" s="21">
        <f>IFERROR(subQ!G35/subQ!G5,"")</f>
        <v/>
      </c>
      <c r="H44" s="21">
        <f>IFERROR(subQ!H35/subQ!H5,"")</f>
        <v/>
      </c>
      <c r="I44" s="21">
        <f>IFERROR(subQ!I35/subQ!I5,"")</f>
        <v/>
      </c>
      <c r="J44" s="21">
        <f>IFERROR(subQ!J35/subQ!J5,"")</f>
        <v/>
      </c>
      <c r="K44" s="22">
        <f>IFERROR(subQ!K35/subQ!K5,"")</f>
        <v/>
      </c>
      <c r="L44" s="21">
        <f>IFERROR(subQ!L35/subQ!L5,"")</f>
        <v/>
      </c>
      <c r="M44" s="21">
        <f>IFERROR(subQ!M35/subQ!M5,"")</f>
        <v/>
      </c>
      <c r="N44" s="21">
        <f>IFERROR(subQ!N35/subQ!N5,"")</f>
        <v/>
      </c>
      <c r="O44" s="21">
        <f>IFERROR(subQ!O35/subQ!O5,"")</f>
        <v/>
      </c>
      <c r="P44" s="22">
        <f>IFERROR(subQ!P35/subQ!P5,"")</f>
        <v/>
      </c>
      <c r="Q44" s="21">
        <f>IFERROR(subQ!Q35/subQ!Q5,"")</f>
        <v/>
      </c>
      <c r="R44" s="21">
        <f>IFERROR(subQ!R35/subQ!R5,"")</f>
        <v/>
      </c>
      <c r="S44" s="21">
        <f>IFERROR(subQ!S35/subQ!S5,"")</f>
        <v/>
      </c>
      <c r="T44" s="21">
        <f>IFERROR(subQ!T35/subQ!T5,"")</f>
        <v/>
      </c>
      <c r="U44" s="22">
        <f>IFERROR(subQ!U35/subQ!U5,"")</f>
        <v/>
      </c>
      <c r="V44" s="21">
        <f>IFERROR(subQ!V35/subQ!V5,"")</f>
        <v/>
      </c>
      <c r="W44" s="21">
        <f>IFERROR(subQ!W35/subQ!W5,"")</f>
        <v/>
      </c>
      <c r="X44" s="21">
        <f>IFERROR(subQ!X35/subQ!X5,"")</f>
        <v/>
      </c>
      <c r="Y44" s="21">
        <f>IFERROR(subQ!Y35/subQ!Y5,"")</f>
        <v/>
      </c>
      <c r="Z44" s="22">
        <f>IFERROR(subQ!Z35/subQ!Z5,"")</f>
        <v/>
      </c>
      <c r="AA44" s="21">
        <f>IFERROR(subQ!AA35/subQ!AA5,"")</f>
        <v/>
      </c>
      <c r="AB44" s="23">
        <f>IFERROR(subQ!AB35/subQ!AB5,"")</f>
        <v/>
      </c>
      <c r="AC44" s="24" t="n">
        <v>1</v>
      </c>
      <c r="AD44" s="24" t="n">
        <v>1</v>
      </c>
      <c r="AE44" s="25">
        <f>IFERROR(subQ!AE35/subQ!AE5,"")</f>
        <v/>
      </c>
      <c r="AF44" s="24" t="n">
        <v>1</v>
      </c>
      <c r="AG44" s="24" t="n">
        <v>1</v>
      </c>
      <c r="AH44" s="24" t="n">
        <v>1</v>
      </c>
      <c r="AI44" s="24" t="n">
        <v>1</v>
      </c>
      <c r="AJ44" s="25">
        <f>IFERROR(subQ!AJ35/subQ!AJ5,"")</f>
        <v/>
      </c>
      <c r="AK44" s="24" t="n">
        <v>1</v>
      </c>
      <c r="AL44" s="24" t="n">
        <v>1</v>
      </c>
      <c r="AM44" s="24" t="n">
        <v>1</v>
      </c>
      <c r="AN44" s="24" t="n">
        <v>1</v>
      </c>
      <c r="AO44" s="25">
        <f>IFERROR(subQ!AO35/subQ!AO5,"")</f>
        <v/>
      </c>
    </row>
    <row r="45">
      <c r="A45" s="12" t="inlineStr">
        <is>
          <t>drv:OP전사</t>
        </is>
      </c>
      <c r="B45" s="2" t="inlineStr">
        <is>
          <t>ratio</t>
        </is>
      </c>
      <c r="C45" t="inlineStr">
        <is>
          <t>OP전사 마진(/매출전사)</t>
        </is>
      </c>
      <c r="E45" s="21">
        <f>IFERROR(subQ!E36/subQ!E35,"")</f>
        <v/>
      </c>
      <c r="F45" s="22">
        <f>IFERROR(subQ!F36/subQ!F35,"")</f>
        <v/>
      </c>
      <c r="G45" s="21">
        <f>IFERROR(subQ!G36/subQ!G35,"")</f>
        <v/>
      </c>
      <c r="H45" s="21">
        <f>IFERROR(subQ!H36/subQ!H35,"")</f>
        <v/>
      </c>
      <c r="I45" s="21">
        <f>IFERROR(subQ!I36/subQ!I35,"")</f>
        <v/>
      </c>
      <c r="J45" s="21">
        <f>IFERROR(subQ!J36/subQ!J35,"")</f>
        <v/>
      </c>
      <c r="K45" s="22">
        <f>IFERROR(subQ!K36/subQ!K35,"")</f>
        <v/>
      </c>
      <c r="L45" s="21">
        <f>IFERROR(subQ!L36/subQ!L35,"")</f>
        <v/>
      </c>
      <c r="M45" s="21">
        <f>IFERROR(subQ!M36/subQ!M35,"")</f>
        <v/>
      </c>
      <c r="N45" s="21">
        <f>IFERROR(subQ!N36/subQ!N35,"")</f>
        <v/>
      </c>
      <c r="O45" s="21">
        <f>IFERROR(subQ!O36/subQ!O35,"")</f>
        <v/>
      </c>
      <c r="P45" s="22">
        <f>IFERROR(subQ!P36/subQ!P35,"")</f>
        <v/>
      </c>
      <c r="Q45" s="21">
        <f>IFERROR(subQ!Q36/subQ!Q35,"")</f>
        <v/>
      </c>
      <c r="R45" s="21">
        <f>IFERROR(subQ!R36/subQ!R35,"")</f>
        <v/>
      </c>
      <c r="S45" s="21">
        <f>IFERROR(subQ!S36/subQ!S35,"")</f>
        <v/>
      </c>
      <c r="T45" s="21">
        <f>IFERROR(subQ!T36/subQ!T35,"")</f>
        <v/>
      </c>
      <c r="U45" s="22">
        <f>IFERROR(subQ!U36/subQ!U35,"")</f>
        <v/>
      </c>
      <c r="V45" s="21">
        <f>IFERROR(subQ!V36/subQ!V35,"")</f>
        <v/>
      </c>
      <c r="W45" s="21">
        <f>IFERROR(subQ!W36/subQ!W35,"")</f>
        <v/>
      </c>
      <c r="X45" s="21">
        <f>IFERROR(subQ!X36/subQ!X35,"")</f>
        <v/>
      </c>
      <c r="Y45" s="21">
        <f>IFERROR(subQ!Y36/subQ!Y35,"")</f>
        <v/>
      </c>
      <c r="Z45" s="22">
        <f>IFERROR(subQ!Z36/subQ!Z35,"")</f>
        <v/>
      </c>
      <c r="AA45" s="21">
        <f>IFERROR(subQ!AA36/subQ!AA35,"")</f>
        <v/>
      </c>
      <c r="AB45" s="23">
        <f>IFERROR(subQ!AB36/subQ!AB35,"")</f>
        <v/>
      </c>
      <c r="AC45" s="24" t="n">
        <v>0.185276</v>
      </c>
      <c r="AD45" s="24" t="n">
        <v>0.18528</v>
      </c>
      <c r="AE45" s="25">
        <f>IFERROR(subQ!AE36/subQ!AE35,"")</f>
        <v/>
      </c>
      <c r="AF45" s="24" t="n">
        <v>0.185285</v>
      </c>
      <c r="AG45" s="24" t="n">
        <v>0.18527</v>
      </c>
      <c r="AH45" s="24" t="n">
        <v>0.185292</v>
      </c>
      <c r="AI45" s="24" t="n">
        <v>0.185273</v>
      </c>
      <c r="AJ45" s="25">
        <f>IFERROR(subQ!AJ36/subQ!AJ35,"")</f>
        <v/>
      </c>
      <c r="AK45" s="24" t="n">
        <v>0.185291</v>
      </c>
      <c r="AL45" s="24" t="n">
        <v>0.18529</v>
      </c>
      <c r="AM45" s="24" t="n">
        <v>0.185288</v>
      </c>
      <c r="AN45" s="24" t="n">
        <v>0.185279</v>
      </c>
      <c r="AO45" s="25">
        <f>IFERROR(subQ!AO36/subQ!AO35,"")</f>
        <v/>
      </c>
    </row>
    <row r="46"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B47" s="1" t="inlineStr">
        <is>
          <t>3. 밸류에이션·스칼라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sc:종가</t>
        </is>
      </c>
      <c r="C48" t="inlineStr">
        <is>
          <t>종가</t>
        </is>
      </c>
      <c r="D48" s="32" t="n">
        <v>45000</v>
      </c>
      <c r="E48" s="2" t="inlineStr">
        <is>
          <t>원 — aikstockdata(금융위 T+1)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sc:기준일</t>
        </is>
      </c>
      <c r="C49" t="inlineStr">
        <is>
          <t>기준일</t>
        </is>
      </c>
      <c r="D49" s="33" t="inlineStr">
        <is>
          <t>20260929</t>
        </is>
      </c>
      <c r="E49" s="2" t="inlineStr">
        <is>
          <t>종가 기준일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sc:COE</t>
        </is>
      </c>
      <c r="C50" t="inlineStr">
        <is>
          <t>COE</t>
        </is>
      </c>
      <c r="D50" s="24" t="n">
        <v>0.09</v>
      </c>
      <c r="E50" s="2" t="inlineStr">
        <is>
          <t>자기자본비용(가정)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sc:PER_lo</t>
        </is>
      </c>
      <c r="C51" t="inlineStr">
        <is>
          <t>PER_lo</t>
        </is>
      </c>
      <c r="D51" s="29" t="n">
        <v>6.5</v>
      </c>
      <c r="E51" s="2" t="inlineStr">
        <is>
          <t>PER 밴드 하단(배) — hist_quarterly(분기 평균가 ÷ TTM EPS, 16분기, 25/50/75 백분위)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sc:PER_mid</t>
        </is>
      </c>
      <c r="C52" t="inlineStr">
        <is>
          <t>PER_mid</t>
        </is>
      </c>
      <c r="D52" s="29" t="n">
        <v>8</v>
      </c>
      <c r="E52" s="2" t="inlineStr">
        <is>
          <t>PER 밴드 중단(배)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sc:PER_hi</t>
        </is>
      </c>
      <c r="C53" t="inlineStr">
        <is>
          <t>PER_hi</t>
        </is>
      </c>
      <c r="D53" s="29" t="n">
        <v>9.4</v>
      </c>
      <c r="E53" s="2" t="inlineStr">
        <is>
          <t>PER 밴드 상단(배)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sc:EPS_Y1가중</t>
        </is>
      </c>
      <c r="C54" t="inlineStr">
        <is>
          <t>EPS_Y1가중</t>
        </is>
      </c>
      <c r="D54" s="24" t="n">
        <v>0.5</v>
      </c>
      <c r="E54" s="2" t="inlineStr">
        <is>
          <t>12M fwd EPS = FY(last_actual연도)E × w + FY+1E × (1−w) — 기준 분기 2Q 이면 0.5(가정)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sc:세율</t>
        </is>
      </c>
      <c r="C55" t="inlineStr">
        <is>
          <t>세율</t>
        </is>
      </c>
      <c r="D55" s="24" t="n">
        <v>0.1978</v>
      </c>
      <c r="E55" s="2" t="inlineStr">
        <is>
          <t>법인세율 가정(참고 — 추정 수식은 드라이버 행 참조)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sc:판관비율</t>
        </is>
      </c>
      <c r="C56" t="inlineStr">
        <is>
          <t>판관비율</t>
        </is>
      </c>
      <c r="D56" s="24" t="n">
        <v>0.1683</v>
      </c>
      <c r="E56" s="2" t="inlineStr">
        <is>
          <t>판관비율 가정(참고)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>
        <v>1.4566</v>
      </c>
      <c r="E57" s="2" t="inlineStr">
        <is>
          <t>배당성향 가정(참고)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29" t="n"/>
      <c r="E58" s="2" t="inlineStr">
        <is>
          <t>외화 순노출 × Δ기말환율 (외화 시트 방식)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서호전기(연)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65909.69</v>
      </c>
      <c r="F5" s="34" t="n">
        <v>65909.69</v>
      </c>
      <c r="G5" s="18" t="n">
        <v>75343.3</v>
      </c>
      <c r="H5" s="18" t="n">
        <v>54948.81</v>
      </c>
      <c r="I5" s="18" t="n">
        <v>56152.44</v>
      </c>
      <c r="J5" s="18" t="n">
        <v>55029.17</v>
      </c>
      <c r="K5" s="34" t="n">
        <v>55029.17</v>
      </c>
      <c r="L5" s="18" t="n">
        <v>65096.87</v>
      </c>
      <c r="M5" s="18" t="n">
        <v>59706.32</v>
      </c>
      <c r="N5" s="18" t="n">
        <v>57732.69</v>
      </c>
      <c r="O5" s="18" t="n">
        <v>56374.42</v>
      </c>
      <c r="P5" s="34" t="n">
        <v>56374.42</v>
      </c>
      <c r="Q5" s="18" t="n">
        <v>60594.35</v>
      </c>
      <c r="R5" s="18" t="n">
        <v>59417.65</v>
      </c>
      <c r="S5" s="18" t="n">
        <v>62031.75</v>
      </c>
      <c r="T5" s="18" t="n">
        <v>45547</v>
      </c>
      <c r="U5" s="34" t="n">
        <v>45547</v>
      </c>
      <c r="V5" s="18" t="n">
        <v>68989.25</v>
      </c>
      <c r="W5" s="18" t="n">
        <v>71638.08</v>
      </c>
      <c r="X5" s="18" t="n">
        <v>66797.42999999999</v>
      </c>
      <c r="Y5" s="18" t="n">
        <v>60986.67</v>
      </c>
      <c r="Z5" s="34" t="n">
        <v>60986.67</v>
      </c>
      <c r="AA5" s="18" t="n">
        <v>100181.99</v>
      </c>
      <c r="AB5" s="19" t="n">
        <v>97689.63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16083.73</v>
      </c>
      <c r="F6" s="34" t="n">
        <v>16083.73</v>
      </c>
      <c r="G6" s="18" t="n">
        <v>26588.15</v>
      </c>
      <c r="H6" s="18" t="n">
        <v>16533.51</v>
      </c>
      <c r="I6" s="18" t="n">
        <v>28033.22</v>
      </c>
      <c r="J6" s="18" t="n">
        <v>28168.53</v>
      </c>
      <c r="K6" s="34" t="n">
        <v>28168.53</v>
      </c>
      <c r="L6" s="18" t="n">
        <v>32341.69</v>
      </c>
      <c r="M6" s="18" t="n">
        <v>15339.15</v>
      </c>
      <c r="N6" s="18" t="n">
        <v>23344.65</v>
      </c>
      <c r="O6" s="18" t="n">
        <v>24436.44</v>
      </c>
      <c r="P6" s="34" t="n">
        <v>24436.44</v>
      </c>
      <c r="Q6" s="18" t="n">
        <v>29295.89</v>
      </c>
      <c r="R6" s="18" t="n">
        <v>27097.69</v>
      </c>
      <c r="S6" s="18" t="n">
        <v>26212.96</v>
      </c>
      <c r="T6" s="18" t="n">
        <v>9929.65</v>
      </c>
      <c r="U6" s="34" t="n">
        <v>9929.65</v>
      </c>
      <c r="V6" s="18" t="n">
        <v>34127.32</v>
      </c>
      <c r="W6" s="18" t="n">
        <v>24287.82</v>
      </c>
      <c r="X6" s="18" t="n">
        <v>36020.46</v>
      </c>
      <c r="Y6" s="18" t="n">
        <v>21497.34</v>
      </c>
      <c r="Z6" s="34" t="n">
        <v>21497.34</v>
      </c>
      <c r="AA6" s="18" t="n">
        <v>44924.09</v>
      </c>
      <c r="AB6" s="19" t="n">
        <v>61708.64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1500</v>
      </c>
      <c r="F7" s="34" t="n">
        <v>1500</v>
      </c>
      <c r="G7" s="18" t="n">
        <v>1900</v>
      </c>
      <c r="H7" s="18" t="n">
        <v>1800</v>
      </c>
      <c r="I7" s="18" t="n">
        <v>1800</v>
      </c>
      <c r="J7" s="18" t="n">
        <v>1500</v>
      </c>
      <c r="K7" s="34" t="n">
        <v>1500</v>
      </c>
      <c r="L7" s="18" t="n">
        <v>2000</v>
      </c>
      <c r="M7" s="18" t="n">
        <v>600</v>
      </c>
      <c r="N7" s="18" t="n">
        <v>500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1500</v>
      </c>
      <c r="F8" s="34" t="n">
        <v>1500</v>
      </c>
      <c r="G8" s="18" t="n">
        <v>1900</v>
      </c>
      <c r="H8" s="18" t="n">
        <v>1800</v>
      </c>
      <c r="I8" s="18" t="n">
        <v>1800</v>
      </c>
      <c r="J8" s="18" t="n">
        <v>1500</v>
      </c>
      <c r="K8" s="34" t="n">
        <v>1500</v>
      </c>
      <c r="L8" s="18" t="n">
        <v>2100</v>
      </c>
      <c r="M8" s="18" t="n">
        <v>700</v>
      </c>
      <c r="N8" s="18" t="n">
        <v>600</v>
      </c>
      <c r="P8" s="9" t="n"/>
      <c r="U8" s="9" t="n"/>
      <c r="Z8" s="9" t="n"/>
      <c r="AA8" s="18" t="n">
        <v>9955.459999999999</v>
      </c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단기투자자산(공정가치)</t>
        </is>
      </c>
      <c r="E9" s="18" t="n">
        <v>21523.62</v>
      </c>
      <c r="F9" s="34" t="n">
        <v>21523.62</v>
      </c>
      <c r="J9" s="18" t="n">
        <v>5067.68</v>
      </c>
      <c r="K9" s="34" t="n">
        <v>5067.68</v>
      </c>
      <c r="O9" s="18" t="n">
        <v>10133.59</v>
      </c>
      <c r="P9" s="34" t="n">
        <v>10133.59</v>
      </c>
      <c r="Q9" s="18" t="n">
        <v>10631.11</v>
      </c>
      <c r="R9" s="18" t="n">
        <v>11024.84</v>
      </c>
      <c r="S9" s="18" t="n">
        <v>10551.01</v>
      </c>
      <c r="U9" s="9" t="n"/>
      <c r="Y9" s="18" t="n">
        <v>10713.5</v>
      </c>
      <c r="Z9" s="34" t="n">
        <v>10713.5</v>
      </c>
      <c r="AA9" s="18" t="n">
        <v>11361.66</v>
      </c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28307.47</v>
      </c>
      <c r="F10" s="34" t="n">
        <v>28307.47</v>
      </c>
      <c r="G10" s="18" t="n">
        <v>24180.69</v>
      </c>
      <c r="H10" s="18" t="n">
        <v>38833.9</v>
      </c>
      <c r="I10" s="18" t="n">
        <v>20311.28</v>
      </c>
      <c r="J10" s="18" t="n">
        <v>18935.96</v>
      </c>
      <c r="K10" s="34" t="n">
        <v>18935.96</v>
      </c>
      <c r="L10" s="18" t="n">
        <v>28421.67</v>
      </c>
      <c r="M10" s="18" t="n">
        <v>43896.46</v>
      </c>
      <c r="N10" s="18" t="n">
        <v>32782.3</v>
      </c>
      <c r="O10" s="18" t="n">
        <v>22568.85</v>
      </c>
      <c r="P10" s="34" t="n">
        <v>22568.85</v>
      </c>
      <c r="Q10" s="18" t="n">
        <v>21532.66</v>
      </c>
      <c r="R10" s="18" t="n">
        <v>21892.49</v>
      </c>
      <c r="S10" s="18" t="n">
        <v>28468.44</v>
      </c>
      <c r="T10" s="18" t="n">
        <v>20631.56</v>
      </c>
      <c r="U10" s="34" t="n">
        <v>20631.56</v>
      </c>
      <c r="V10" s="18" t="n">
        <v>20866.91</v>
      </c>
      <c r="W10" s="18" t="n">
        <v>33740.04</v>
      </c>
      <c r="X10" s="18" t="n">
        <v>22163.95</v>
      </c>
      <c r="Y10" s="18" t="n">
        <v>21358.58</v>
      </c>
      <c r="Z10" s="34" t="n">
        <v>21358.58</v>
      </c>
      <c r="AA10" s="18" t="n">
        <v>24555.38</v>
      </c>
      <c r="AB10" s="19" t="n">
        <v>28983.71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계약자산</t>
        </is>
      </c>
      <c r="E11" s="18" t="n">
        <v>11479.36</v>
      </c>
      <c r="F11" s="34" t="n">
        <v>11479.36</v>
      </c>
      <c r="G11" s="18" t="n">
        <v>13064.41</v>
      </c>
      <c r="H11" s="18" t="n">
        <v>14445.73</v>
      </c>
      <c r="I11" s="18" t="n">
        <v>11476.15</v>
      </c>
      <c r="J11" s="18" t="n">
        <v>9312.34</v>
      </c>
      <c r="K11" s="34" t="n">
        <v>9312.34</v>
      </c>
      <c r="L11" s="18" t="n">
        <v>13407.21</v>
      </c>
      <c r="M11" s="18" t="n">
        <v>26300.75</v>
      </c>
      <c r="N11" s="18" t="n">
        <v>19297.7</v>
      </c>
      <c r="O11" s="18" t="n">
        <v>10124.89</v>
      </c>
      <c r="P11" s="34" t="n">
        <v>10124.89</v>
      </c>
      <c r="Q11" s="18" t="n">
        <v>9393.4</v>
      </c>
      <c r="R11" s="18" t="n">
        <v>10686.32</v>
      </c>
      <c r="S11" s="18" t="n">
        <v>6890.09</v>
      </c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6947.72</v>
      </c>
      <c r="F12" s="34" t="n">
        <v>6947.72</v>
      </c>
      <c r="G12" s="18" t="n">
        <v>5749.88</v>
      </c>
      <c r="H12" s="18" t="n">
        <v>5993.53</v>
      </c>
      <c r="I12" s="18" t="n">
        <v>5963.88</v>
      </c>
      <c r="J12" s="18" t="n">
        <v>5992.94</v>
      </c>
      <c r="K12" s="34" t="n">
        <v>5992.94</v>
      </c>
      <c r="L12" s="18" t="n">
        <v>9063.040000000001</v>
      </c>
      <c r="M12" s="18" t="n">
        <v>7808.11</v>
      </c>
      <c r="N12" s="18" t="n">
        <v>7044.08</v>
      </c>
      <c r="O12" s="18" t="n">
        <v>4576.01</v>
      </c>
      <c r="P12" s="34" t="n">
        <v>4576.01</v>
      </c>
      <c r="Q12" s="18" t="n">
        <v>4958.15</v>
      </c>
      <c r="R12" s="18" t="n">
        <v>4645.65</v>
      </c>
      <c r="S12" s="18" t="n">
        <v>7182.97</v>
      </c>
      <c r="T12" s="18" t="n">
        <v>11600.52</v>
      </c>
      <c r="U12" s="34" t="n">
        <v>11600.52</v>
      </c>
      <c r="V12" s="18" t="n">
        <v>12262.72</v>
      </c>
      <c r="W12" s="18" t="n">
        <v>12471.74</v>
      </c>
      <c r="X12" s="18" t="n">
        <v>7735.66</v>
      </c>
      <c r="Y12" s="18" t="n">
        <v>6591.24</v>
      </c>
      <c r="Z12" s="34" t="n">
        <v>6591.24</v>
      </c>
      <c r="AA12" s="18" t="n">
        <v>8511.26</v>
      </c>
      <c r="AB12" s="19" t="n">
        <v>6141.05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35786.51</v>
      </c>
      <c r="F13" s="34" t="n">
        <v>35786.51</v>
      </c>
      <c r="G13" s="18" t="n">
        <v>33384.87</v>
      </c>
      <c r="H13" s="18" t="n">
        <v>51962.63</v>
      </c>
      <c r="I13" s="18" t="n">
        <v>52152.88</v>
      </c>
      <c r="J13" s="18" t="n">
        <v>46775.47</v>
      </c>
      <c r="K13" s="34" t="n">
        <v>46775.47</v>
      </c>
      <c r="L13" s="18" t="n">
        <v>49133.98</v>
      </c>
      <c r="M13" s="18" t="n">
        <v>53618.75</v>
      </c>
      <c r="N13" s="18" t="n">
        <v>53326.12</v>
      </c>
      <c r="O13" s="18" t="n">
        <v>47506.29</v>
      </c>
      <c r="P13" s="34" t="n">
        <v>47506.29</v>
      </c>
      <c r="Q13" s="18" t="n">
        <v>48508.42</v>
      </c>
      <c r="R13" s="18" t="n">
        <v>48685.91</v>
      </c>
      <c r="S13" s="18" t="n">
        <v>54134.64</v>
      </c>
      <c r="T13" s="18" t="n">
        <v>56428.37</v>
      </c>
      <c r="U13" s="34" t="n">
        <v>56428.37</v>
      </c>
      <c r="V13" s="18" t="n">
        <v>55978.24</v>
      </c>
      <c r="W13" s="18" t="n">
        <v>51546.13</v>
      </c>
      <c r="X13" s="18" t="n">
        <v>52510.4</v>
      </c>
      <c r="Y13" s="18" t="n">
        <v>42423.01</v>
      </c>
      <c r="Z13" s="34" t="n">
        <v>42423.01</v>
      </c>
      <c r="AA13" s="18" t="n">
        <v>43612.68</v>
      </c>
      <c r="AB13" s="19" t="n">
        <v>43801.51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8153.48</v>
      </c>
      <c r="F14" s="34" t="n">
        <v>8153.48</v>
      </c>
      <c r="G14" s="18" t="n">
        <v>191.92</v>
      </c>
      <c r="H14" s="18" t="n">
        <v>194.49</v>
      </c>
      <c r="I14" s="18" t="n">
        <v>198.56</v>
      </c>
      <c r="J14" s="18" t="n">
        <v>18170.26</v>
      </c>
      <c r="K14" s="34" t="n">
        <v>18170.26</v>
      </c>
      <c r="L14" s="18" t="n">
        <v>201.25</v>
      </c>
      <c r="M14" s="18" t="n">
        <v>202.7</v>
      </c>
      <c r="N14" s="18" t="n">
        <v>25519.13</v>
      </c>
      <c r="O14" s="18" t="n">
        <v>19679.28</v>
      </c>
      <c r="P14" s="34" t="n">
        <v>19679.28</v>
      </c>
      <c r="Q14" s="18" t="n">
        <v>21015.06</v>
      </c>
      <c r="R14" s="18" t="n">
        <v>21464.17</v>
      </c>
      <c r="S14" s="18" t="n">
        <v>26872.6</v>
      </c>
      <c r="T14" s="18" t="n">
        <v>28673.21</v>
      </c>
      <c r="U14" s="34" t="n">
        <v>28673.21</v>
      </c>
      <c r="V14" s="18" t="n">
        <v>28319.95</v>
      </c>
      <c r="W14" s="18" t="n">
        <v>23302.64</v>
      </c>
      <c r="X14" s="18" t="n">
        <v>25077.97</v>
      </c>
      <c r="Y14" s="18" t="n">
        <v>14891.02</v>
      </c>
      <c r="Z14" s="34" t="n">
        <v>14891.02</v>
      </c>
      <c r="AA14" s="18" t="n">
        <v>15397.64</v>
      </c>
      <c r="AB14" s="19" t="n">
        <v>15716.64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8161.48</v>
      </c>
      <c r="F15" s="34" t="n">
        <v>8161.48</v>
      </c>
      <c r="G15" s="18" t="n">
        <v>198.72</v>
      </c>
      <c r="H15" s="18" t="n">
        <v>200.09</v>
      </c>
      <c r="I15" s="18" t="n">
        <v>198.56</v>
      </c>
      <c r="J15" s="18" t="n">
        <v>18170.26</v>
      </c>
      <c r="K15" s="34" t="n">
        <v>18170.26</v>
      </c>
      <c r="L15" s="18" t="n">
        <v>201.25</v>
      </c>
      <c r="M15" s="18" t="n">
        <v>202.7</v>
      </c>
      <c r="N15" s="18" t="n">
        <v>25519.13</v>
      </c>
      <c r="O15" s="18" t="n">
        <v>19679.28</v>
      </c>
      <c r="P15" s="34" t="n">
        <v>19679.28</v>
      </c>
      <c r="Q15" s="18" t="n">
        <v>21015.06</v>
      </c>
      <c r="R15" s="18" t="n">
        <v>21464.17</v>
      </c>
      <c r="S15" s="18" t="n">
        <v>26872.6</v>
      </c>
      <c r="T15" s="18" t="n">
        <v>28673.29</v>
      </c>
      <c r="U15" s="34" t="n">
        <v>28673.29</v>
      </c>
      <c r="V15" s="18" t="n">
        <v>28320.03</v>
      </c>
      <c r="W15" s="18" t="n">
        <v>23302.72</v>
      </c>
      <c r="X15" s="18" t="n">
        <v>25078.05</v>
      </c>
      <c r="Y15" s="18" t="n">
        <v>14891.1</v>
      </c>
      <c r="Z15" s="34" t="n">
        <v>14891.1</v>
      </c>
      <c r="AA15" s="18" t="n">
        <v>15397.72</v>
      </c>
      <c r="AB15" s="19" t="n">
        <v>15716.72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25014.66</v>
      </c>
      <c r="F16" s="34" t="n">
        <v>25014.66</v>
      </c>
      <c r="G16" s="18" t="n">
        <v>24860.99</v>
      </c>
      <c r="H16" s="18" t="n">
        <v>24800.13</v>
      </c>
      <c r="I16" s="18" t="n">
        <v>24560.04</v>
      </c>
      <c r="J16" s="18" t="n">
        <v>24659.83</v>
      </c>
      <c r="K16" s="34" t="n">
        <v>24659.83</v>
      </c>
      <c r="L16" s="18" t="n">
        <v>24629.38</v>
      </c>
      <c r="M16" s="18" t="n">
        <v>24550.6</v>
      </c>
      <c r="N16" s="18" t="n">
        <v>24645.83</v>
      </c>
      <c r="O16" s="18" t="n">
        <v>24637.44</v>
      </c>
      <c r="P16" s="34" t="n">
        <v>24637.44</v>
      </c>
      <c r="Q16" s="18" t="n">
        <v>24640.16</v>
      </c>
      <c r="R16" s="18" t="n">
        <v>24567.58</v>
      </c>
      <c r="S16" s="18" t="n">
        <v>24506.36</v>
      </c>
      <c r="T16" s="18" t="n">
        <v>24376.01</v>
      </c>
      <c r="U16" s="34" t="n">
        <v>24376.01</v>
      </c>
      <c r="V16" s="18" t="n">
        <v>24329.42</v>
      </c>
      <c r="W16" s="18" t="n">
        <v>24388.7</v>
      </c>
      <c r="X16" s="18" t="n">
        <v>24340.7</v>
      </c>
      <c r="Y16" s="18" t="n">
        <v>24288.14</v>
      </c>
      <c r="Z16" s="34" t="n">
        <v>24288.14</v>
      </c>
      <c r="AA16" s="18" t="n">
        <v>24258.09</v>
      </c>
      <c r="AB16" s="19" t="n">
        <v>24307.66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토지</t>
        </is>
      </c>
      <c r="E17" s="18" t="n">
        <v>0</v>
      </c>
      <c r="F17" s="34" t="n">
        <v>0</v>
      </c>
      <c r="G17" s="18" t="n">
        <v>20806.62</v>
      </c>
      <c r="H17" s="18" t="n">
        <v>20806.62</v>
      </c>
      <c r="I17" s="18" t="n">
        <v>20806.62</v>
      </c>
      <c r="J17" s="18" t="n">
        <v>0</v>
      </c>
      <c r="K17" s="34" t="n">
        <v>0</v>
      </c>
      <c r="L17" s="18" t="n">
        <v>20806.62</v>
      </c>
      <c r="M17" s="18" t="n">
        <v>20806.62</v>
      </c>
      <c r="O17" s="18" t="n">
        <v>20806.62</v>
      </c>
      <c r="P17" s="34" t="n">
        <v>20806.62</v>
      </c>
      <c r="Q17" s="18" t="n">
        <v>20806.62</v>
      </c>
      <c r="R17" s="18" t="n">
        <v>20806.62</v>
      </c>
      <c r="S17" s="18" t="n">
        <v>20806.62</v>
      </c>
      <c r="U17" s="9" t="n"/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설비자산</t>
        </is>
      </c>
      <c r="E18" s="18" t="n">
        <v>239.68</v>
      </c>
      <c r="F18" s="34" t="n">
        <v>239.68</v>
      </c>
      <c r="G18" s="18" t="n">
        <v>4707.81</v>
      </c>
      <c r="H18" s="18" t="n">
        <v>4707.81</v>
      </c>
      <c r="I18" s="18" t="n">
        <v>4707.81</v>
      </c>
      <c r="J18" s="18" t="n">
        <v>301.72</v>
      </c>
      <c r="K18" s="34" t="n">
        <v>301.72</v>
      </c>
      <c r="L18" s="18" t="n">
        <v>4769.85</v>
      </c>
      <c r="M18" s="18" t="n">
        <v>4769.85</v>
      </c>
      <c r="N18" s="18" t="n">
        <v>48.2</v>
      </c>
      <c r="O18" s="18" t="n">
        <v>4769.85</v>
      </c>
      <c r="P18" s="34" t="n">
        <v>4769.85</v>
      </c>
      <c r="Q18" s="18" t="n">
        <v>4769.85</v>
      </c>
      <c r="R18" s="18" t="n">
        <v>4769.85</v>
      </c>
      <c r="S18" s="18" t="n">
        <v>4769.85</v>
      </c>
      <c r="U18" s="9" t="n"/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건설중인자산</t>
        </is>
      </c>
      <c r="E19" s="18" t="n">
        <v>86.42</v>
      </c>
      <c r="F19" s="34" t="n">
        <v>86.42</v>
      </c>
      <c r="G19" s="18" t="n">
        <v>166.42</v>
      </c>
      <c r="H19" s="18" t="n">
        <v>177.29</v>
      </c>
      <c r="K19" s="9" t="n"/>
      <c r="O19" s="18" t="n">
        <v>60</v>
      </c>
      <c r="P19" s="34" t="n">
        <v>60</v>
      </c>
      <c r="Q19" s="18" t="n">
        <v>104.33</v>
      </c>
      <c r="R19" s="18" t="n">
        <v>104.33</v>
      </c>
      <c r="S19" s="18" t="n">
        <v>105.23</v>
      </c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사용권자산</t>
        </is>
      </c>
      <c r="E20" s="18" t="n">
        <v>133.74</v>
      </c>
      <c r="F20" s="34" t="n">
        <v>133.74</v>
      </c>
      <c r="G20" s="18" t="n">
        <v>206.19</v>
      </c>
      <c r="H20" s="18" t="n">
        <v>206.19</v>
      </c>
      <c r="I20" s="18" t="n">
        <v>206.53</v>
      </c>
      <c r="J20" s="18" t="n">
        <v>291.49</v>
      </c>
      <c r="K20" s="34" t="n">
        <v>291.49</v>
      </c>
      <c r="L20" s="18" t="n">
        <v>316.2</v>
      </c>
      <c r="M20" s="18" t="n">
        <v>316.2</v>
      </c>
      <c r="N20" s="18" t="n">
        <v>330.66</v>
      </c>
      <c r="O20" s="18" t="n">
        <v>339.19</v>
      </c>
      <c r="P20" s="34" t="n">
        <v>339.19</v>
      </c>
      <c r="Q20" s="18" t="n">
        <v>184.3</v>
      </c>
      <c r="R20" s="18" t="n">
        <v>300.03</v>
      </c>
      <c r="S20" s="18" t="n">
        <v>303.78</v>
      </c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2070.02</v>
      </c>
      <c r="F21" s="34" t="n">
        <v>2070.02</v>
      </c>
      <c r="G21" s="18" t="n">
        <v>2712.84</v>
      </c>
      <c r="H21" s="18" t="n">
        <v>4248.57</v>
      </c>
      <c r="I21" s="18" t="n">
        <v>4579.26</v>
      </c>
      <c r="J21" s="18" t="n">
        <v>2439.23</v>
      </c>
      <c r="K21" s="34" t="n">
        <v>2439.23</v>
      </c>
      <c r="L21" s="18" t="n">
        <v>1708.33</v>
      </c>
      <c r="M21" s="18" t="n">
        <v>2959.96</v>
      </c>
      <c r="N21" s="18" t="n">
        <v>351.89</v>
      </c>
      <c r="O21" s="18" t="n">
        <v>1269.07</v>
      </c>
      <c r="P21" s="34" t="n">
        <v>1269.07</v>
      </c>
      <c r="Q21" s="18" t="n">
        <v>1180.21</v>
      </c>
      <c r="R21" s="18" t="n">
        <v>315.47</v>
      </c>
      <c r="S21" s="18" t="n">
        <v>324.09</v>
      </c>
      <c r="T21" s="18" t="n">
        <v>5.48</v>
      </c>
      <c r="U21" s="34" t="n">
        <v>5.48</v>
      </c>
      <c r="V21" s="18" t="n">
        <v>108.08</v>
      </c>
      <c r="W21" s="18" t="n">
        <v>30.06</v>
      </c>
      <c r="X21" s="18" t="n">
        <v>10.86</v>
      </c>
      <c r="Y21" s="18" t="n">
        <v>241.78</v>
      </c>
      <c r="Z21" s="34" t="n">
        <v>241.78</v>
      </c>
      <c r="AA21" s="18" t="n">
        <v>130.19</v>
      </c>
      <c r="AB21" s="19" t="n">
        <v>49.82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무형자산</t>
        </is>
      </c>
      <c r="E22" s="18" t="n">
        <v>257.65</v>
      </c>
      <c r="F22" s="34" t="n">
        <v>257.65</v>
      </c>
      <c r="G22" s="18" t="n">
        <v>322.82</v>
      </c>
      <c r="H22" s="18" t="n">
        <v>324.38</v>
      </c>
      <c r="I22" s="18" t="n">
        <v>488.77</v>
      </c>
      <c r="J22" s="18" t="n">
        <v>366.55</v>
      </c>
      <c r="K22" s="34" t="n">
        <v>366.55</v>
      </c>
      <c r="L22" s="18" t="n">
        <v>552.72</v>
      </c>
      <c r="M22" s="18" t="n">
        <v>541.52</v>
      </c>
      <c r="N22" s="18" t="n">
        <v>828.15</v>
      </c>
      <c r="O22" s="18" t="n">
        <v>861.9400000000001</v>
      </c>
      <c r="P22" s="34" t="n">
        <v>861.9400000000001</v>
      </c>
      <c r="Q22" s="18" t="n">
        <v>915.38</v>
      </c>
      <c r="R22" s="18" t="n">
        <v>904.6799999999999</v>
      </c>
      <c r="S22" s="18" t="n">
        <v>895.16</v>
      </c>
      <c r="T22" s="18" t="n">
        <v>1725.92</v>
      </c>
      <c r="U22" s="34" t="n">
        <v>1725.92</v>
      </c>
      <c r="V22" s="18" t="n">
        <v>1716.94</v>
      </c>
      <c r="W22" s="18" t="n">
        <v>1710.89</v>
      </c>
      <c r="X22" s="18" t="n">
        <v>1703.05</v>
      </c>
      <c r="Y22" s="18" t="n">
        <v>1702.57</v>
      </c>
      <c r="Z22" s="34" t="n">
        <v>1702.57</v>
      </c>
      <c r="AA22" s="18" t="n">
        <v>1700.53</v>
      </c>
      <c r="AB22" s="19" t="n">
        <v>1690.58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장기매출채권및기타채권</t>
        </is>
      </c>
      <c r="E23" s="18" t="n">
        <v>1707.42</v>
      </c>
      <c r="F23" s="34" t="n">
        <v>1707.42</v>
      </c>
      <c r="J23" s="18" t="n">
        <v>1997.49</v>
      </c>
      <c r="K23" s="34" t="n">
        <v>1997.49</v>
      </c>
      <c r="O23" s="18" t="n">
        <v>929.88</v>
      </c>
      <c r="P23" s="34" t="n">
        <v>929.88</v>
      </c>
      <c r="U23" s="9" t="n"/>
      <c r="Z23" s="9" t="n"/>
      <c r="AB23" s="5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장기대여금</t>
        </is>
      </c>
      <c r="E24" s="18" t="n">
        <v>8</v>
      </c>
      <c r="F24" s="34" t="n">
        <v>8</v>
      </c>
      <c r="G24" s="18" t="n">
        <v>6.8</v>
      </c>
      <c r="H24" s="18" t="n">
        <v>5.6</v>
      </c>
      <c r="K24" s="9" t="n"/>
      <c r="P24" s="9" t="n"/>
      <c r="U24" s="9" t="n"/>
      <c r="Z24" s="9" t="n"/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이연법인세자산</t>
        </is>
      </c>
      <c r="E25" s="18" t="n">
        <v>416.44</v>
      </c>
      <c r="F25" s="34" t="n">
        <v>416.44</v>
      </c>
      <c r="G25" s="18" t="n">
        <v>838.42</v>
      </c>
      <c r="H25" s="18" t="n">
        <v>1163.3</v>
      </c>
      <c r="I25" s="18" t="n">
        <v>1195.39</v>
      </c>
      <c r="J25" s="18" t="n">
        <v>1431.1</v>
      </c>
      <c r="K25" s="34" t="n">
        <v>1431.1</v>
      </c>
      <c r="L25" s="18" t="n">
        <v>1499.32</v>
      </c>
      <c r="M25" s="18" t="n">
        <v>1399.33</v>
      </c>
      <c r="N25" s="18" t="n">
        <v>1440.05</v>
      </c>
      <c r="O25" s="18" t="n">
        <v>1501.1</v>
      </c>
      <c r="P25" s="34" t="n">
        <v>1501.1</v>
      </c>
      <c r="Q25" s="18" t="n">
        <v>1104.09</v>
      </c>
      <c r="R25" s="18" t="n">
        <v>903.84</v>
      </c>
      <c r="S25" s="18" t="n">
        <v>1007.91</v>
      </c>
      <c r="T25" s="18" t="n">
        <v>650.76</v>
      </c>
      <c r="U25" s="34" t="n">
        <v>650.76</v>
      </c>
      <c r="V25" s="18" t="n">
        <v>805.3</v>
      </c>
      <c r="W25" s="18" t="n">
        <v>1407.75</v>
      </c>
      <c r="X25" s="18" t="n">
        <v>1155.35</v>
      </c>
      <c r="Y25" s="18" t="n">
        <v>916.4400000000001</v>
      </c>
      <c r="Z25" s="34" t="n">
        <v>916.4400000000001</v>
      </c>
      <c r="AA25" s="18" t="n">
        <v>1613.78</v>
      </c>
      <c r="AB25" s="19" t="n">
        <v>1707.58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101696.2</v>
      </c>
      <c r="F26" s="34" t="n">
        <v>101696.2</v>
      </c>
      <c r="G26" s="18" t="n">
        <v>108728.18</v>
      </c>
      <c r="H26" s="18" t="n">
        <v>106911.44</v>
      </c>
      <c r="I26" s="18" t="n">
        <v>108305.32</v>
      </c>
      <c r="J26" s="18" t="n">
        <v>101804.64</v>
      </c>
      <c r="K26" s="34" t="n">
        <v>101804.64</v>
      </c>
      <c r="L26" s="18" t="n">
        <v>114230.85</v>
      </c>
      <c r="M26" s="18" t="n">
        <v>113325.07</v>
      </c>
      <c r="N26" s="18" t="n">
        <v>111058.81</v>
      </c>
      <c r="O26" s="18" t="n">
        <v>103880.71</v>
      </c>
      <c r="P26" s="34" t="n">
        <v>103880.71</v>
      </c>
      <c r="Q26" s="18" t="n">
        <v>109102.77</v>
      </c>
      <c r="R26" s="18" t="n">
        <v>108103.55</v>
      </c>
      <c r="S26" s="18" t="n">
        <v>116166.39</v>
      </c>
      <c r="T26" s="18" t="n">
        <v>101975.37</v>
      </c>
      <c r="U26" s="34" t="n">
        <v>101975.37</v>
      </c>
      <c r="V26" s="18" t="n">
        <v>124967.49</v>
      </c>
      <c r="W26" s="18" t="n">
        <v>123184.21</v>
      </c>
      <c r="X26" s="18" t="n">
        <v>119307.83</v>
      </c>
      <c r="Y26" s="18" t="n">
        <v>103409.69</v>
      </c>
      <c r="Z26" s="34" t="n">
        <v>103409.69</v>
      </c>
      <c r="AA26" s="18" t="n">
        <v>143794.67</v>
      </c>
      <c r="AB26" s="19" t="n">
        <v>141491.14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14888.49</v>
      </c>
      <c r="F27" s="34" t="n">
        <v>14888.49</v>
      </c>
      <c r="G27" s="18" t="n">
        <v>23689.46</v>
      </c>
      <c r="H27" s="18" t="n">
        <v>21387.66</v>
      </c>
      <c r="I27" s="18" t="n">
        <v>15280.38</v>
      </c>
      <c r="J27" s="18" t="n">
        <v>10761.92</v>
      </c>
      <c r="K27" s="34" t="n">
        <v>10761.92</v>
      </c>
      <c r="L27" s="18" t="n">
        <v>26710.72</v>
      </c>
      <c r="M27" s="18" t="n">
        <v>21371.7</v>
      </c>
      <c r="N27" s="18" t="n">
        <v>16800.75</v>
      </c>
      <c r="O27" s="18" t="n">
        <v>8030.65</v>
      </c>
      <c r="P27" s="34" t="n">
        <v>8030.65</v>
      </c>
      <c r="Q27" s="18" t="n">
        <v>13773.05</v>
      </c>
      <c r="R27" s="18" t="n">
        <v>9937.290000000001</v>
      </c>
      <c r="S27" s="18" t="n">
        <v>19456.97</v>
      </c>
      <c r="T27" s="18" t="n">
        <v>11292.48</v>
      </c>
      <c r="U27" s="34" t="n">
        <v>11292.48</v>
      </c>
      <c r="V27" s="18" t="n">
        <v>35021.52</v>
      </c>
      <c r="W27" s="18" t="n">
        <v>33265.68</v>
      </c>
      <c r="X27" s="18" t="n">
        <v>30468.4</v>
      </c>
      <c r="Y27" s="18" t="n">
        <v>18996.65</v>
      </c>
      <c r="Z27" s="34" t="n">
        <v>18996.65</v>
      </c>
      <c r="AA27" s="18" t="n">
        <v>36414.93</v>
      </c>
      <c r="AB27" s="19" t="n">
        <v>30043.28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매입채무및기타채무</t>
        </is>
      </c>
      <c r="E28" s="18" t="n">
        <v>2003.16</v>
      </c>
      <c r="F28" s="34" t="n">
        <v>2003.16</v>
      </c>
      <c r="G28" s="18" t="n">
        <v>15347.83</v>
      </c>
      <c r="H28" s="18" t="n">
        <v>6457.59</v>
      </c>
      <c r="I28" s="18" t="n">
        <v>2942.62</v>
      </c>
      <c r="J28" s="18" t="n">
        <v>1515.56</v>
      </c>
      <c r="K28" s="34" t="n">
        <v>1515.56</v>
      </c>
      <c r="L28" s="18" t="n">
        <v>22313.42</v>
      </c>
      <c r="M28" s="18" t="n">
        <v>10432.07</v>
      </c>
      <c r="N28" s="18" t="n">
        <v>5183.54</v>
      </c>
      <c r="O28" s="18" t="n">
        <v>1201.95</v>
      </c>
      <c r="P28" s="34" t="n">
        <v>1201.95</v>
      </c>
      <c r="Q28" s="18" t="n">
        <v>9342.65</v>
      </c>
      <c r="R28" s="18" t="n">
        <v>9356.459999999999</v>
      </c>
      <c r="S28" s="18" t="n">
        <v>15479.72</v>
      </c>
      <c r="T28" s="18" t="n">
        <v>592.79</v>
      </c>
      <c r="U28" s="34" t="n">
        <v>592.79</v>
      </c>
      <c r="V28" s="18" t="n">
        <v>14008.44</v>
      </c>
      <c r="W28" s="18" t="n">
        <v>12772.43</v>
      </c>
      <c r="X28" s="18" t="n">
        <v>8668.02</v>
      </c>
      <c r="Y28" s="18" t="n">
        <v>1467.12</v>
      </c>
      <c r="Z28" s="34" t="n">
        <v>1467.12</v>
      </c>
      <c r="AA28" s="18" t="n">
        <v>7212.79</v>
      </c>
      <c r="AB28" s="19" t="n">
        <v>7318.36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18" t="n">
        <v>373.78</v>
      </c>
      <c r="F29" s="34" t="n">
        <v>373.78</v>
      </c>
      <c r="G29" s="18" t="n">
        <v>373.78</v>
      </c>
      <c r="H29" s="18" t="n">
        <v>373.78</v>
      </c>
      <c r="I29" s="18" t="n">
        <v>373.78</v>
      </c>
      <c r="J29" s="18" t="n">
        <v>373.78</v>
      </c>
      <c r="K29" s="34" t="n">
        <v>373.78</v>
      </c>
      <c r="L29" s="18" t="n">
        <v>373.78</v>
      </c>
      <c r="M29" s="18" t="n">
        <v>373.78</v>
      </c>
      <c r="N29" s="18" t="n">
        <v>373.78</v>
      </c>
      <c r="O29" s="18" t="n">
        <v>373.78</v>
      </c>
      <c r="P29" s="34" t="n">
        <v>373.78</v>
      </c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당기법인세부채(미지급법인세)</t>
        </is>
      </c>
      <c r="E30" s="18" t="n">
        <v>3433.32</v>
      </c>
      <c r="F30" s="34" t="n">
        <v>3433.32</v>
      </c>
      <c r="G30" s="18" t="n">
        <v>3157.39</v>
      </c>
      <c r="H30" s="18" t="n">
        <v>1715.22</v>
      </c>
      <c r="I30" s="18" t="n">
        <v>1987.89</v>
      </c>
      <c r="J30" s="18" t="n">
        <v>1834.5</v>
      </c>
      <c r="K30" s="34" t="n">
        <v>1834.5</v>
      </c>
      <c r="L30" s="18" t="n">
        <v>2870.72</v>
      </c>
      <c r="M30" s="18" t="n">
        <v>3028.51</v>
      </c>
      <c r="N30" s="18" t="n">
        <v>3161.56</v>
      </c>
      <c r="O30" s="18" t="n">
        <v>1557.88</v>
      </c>
      <c r="P30" s="34" t="n">
        <v>1557.88</v>
      </c>
      <c r="Q30" s="18" t="n">
        <v>1596.62</v>
      </c>
      <c r="R30" s="18" t="n">
        <v>1107.12</v>
      </c>
      <c r="S30" s="18" t="n">
        <v>45.62</v>
      </c>
      <c r="U30" s="9" t="n"/>
      <c r="V30" s="18" t="n">
        <v>2392.34</v>
      </c>
      <c r="W30" s="18" t="n">
        <v>2926.87</v>
      </c>
      <c r="X30" s="18" t="n">
        <v>1962.69</v>
      </c>
      <c r="Y30" s="18" t="n">
        <v>2387.58</v>
      </c>
      <c r="Z30" s="34" t="n">
        <v>2387.58</v>
      </c>
      <c r="AA30" s="18" t="n">
        <v>6569.61</v>
      </c>
      <c r="AB30" s="19" t="n">
        <v>7155.5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계약부채</t>
        </is>
      </c>
      <c r="E31" s="18" t="n">
        <v>8047.2</v>
      </c>
      <c r="F31" s="34" t="n">
        <v>8047.2</v>
      </c>
      <c r="G31" s="18" t="n">
        <v>8893.32</v>
      </c>
      <c r="H31" s="18" t="n">
        <v>11537.59</v>
      </c>
      <c r="I31" s="18" t="n">
        <v>7243.43</v>
      </c>
      <c r="J31" s="18" t="n">
        <v>4586.2</v>
      </c>
      <c r="K31" s="34" t="n">
        <v>4586.2</v>
      </c>
      <c r="L31" s="18" t="n">
        <v>5895.87</v>
      </c>
      <c r="M31" s="18" t="n">
        <v>5733.5</v>
      </c>
      <c r="N31" s="18" t="n">
        <v>4820.67</v>
      </c>
      <c r="O31" s="18" t="n">
        <v>3096.11</v>
      </c>
      <c r="P31" s="34" t="n">
        <v>3096.11</v>
      </c>
      <c r="Q31" s="18" t="n">
        <v>3429.08</v>
      </c>
      <c r="R31" s="18" t="n">
        <v>2622.71</v>
      </c>
      <c r="S31" s="18" t="n">
        <v>10579.6</v>
      </c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단기충당부채</t>
        </is>
      </c>
      <c r="E32" s="18" t="n">
        <v>563.62</v>
      </c>
      <c r="F32" s="34" t="n">
        <v>563.62</v>
      </c>
      <c r="G32" s="18" t="n">
        <v>563.62</v>
      </c>
      <c r="H32" s="18" t="n">
        <v>1689.58</v>
      </c>
      <c r="I32" s="18" t="n">
        <v>3011.46</v>
      </c>
      <c r="J32" s="18" t="n">
        <v>3427.06</v>
      </c>
      <c r="K32" s="34" t="n">
        <v>3427.06</v>
      </c>
      <c r="L32" s="18" t="n">
        <v>3498.52</v>
      </c>
      <c r="M32" s="18" t="n">
        <v>3376.6</v>
      </c>
      <c r="N32" s="18" t="n">
        <v>3418</v>
      </c>
      <c r="O32" s="18" t="n">
        <v>2417.9</v>
      </c>
      <c r="P32" s="34" t="n">
        <v>2417.9</v>
      </c>
      <c r="Q32" s="18" t="n">
        <v>2268.62</v>
      </c>
      <c r="R32" s="18" t="n">
        <v>2026.1</v>
      </c>
      <c r="S32" s="18" t="n">
        <v>1685.52</v>
      </c>
      <c r="T32" s="18" t="n">
        <v>836.29</v>
      </c>
      <c r="U32" s="34" t="n">
        <v>836.29</v>
      </c>
      <c r="V32" s="18" t="n">
        <v>950.46</v>
      </c>
      <c r="W32" s="18" t="n">
        <v>860.79</v>
      </c>
      <c r="X32" s="18" t="n">
        <v>977.13</v>
      </c>
      <c r="Y32" s="18" t="n">
        <v>917.1900000000001</v>
      </c>
      <c r="Z32" s="34" t="n">
        <v>917.1900000000001</v>
      </c>
      <c r="AA32" s="18" t="n">
        <v>957.63</v>
      </c>
      <c r="AB32" s="19" t="n">
        <v>1039.22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유동리스부채</t>
        </is>
      </c>
      <c r="E33" s="18" t="n">
        <v>15.34</v>
      </c>
      <c r="F33" s="34" t="n">
        <v>15.34</v>
      </c>
      <c r="G33" s="18" t="n">
        <v>22.45</v>
      </c>
      <c r="H33" s="18" t="n">
        <v>23.55</v>
      </c>
      <c r="I33" s="18" t="n">
        <v>23.15</v>
      </c>
      <c r="J33" s="18" t="n">
        <v>45.26</v>
      </c>
      <c r="K33" s="34" t="n">
        <v>45.26</v>
      </c>
      <c r="L33" s="18" t="n">
        <v>58.01</v>
      </c>
      <c r="M33" s="18" t="n">
        <v>58.39</v>
      </c>
      <c r="N33" s="18" t="n">
        <v>58.52</v>
      </c>
      <c r="O33" s="18" t="n">
        <v>58.98</v>
      </c>
      <c r="P33" s="34" t="n">
        <v>58.98</v>
      </c>
      <c r="Q33" s="18" t="n">
        <v>56.83</v>
      </c>
      <c r="R33" s="18" t="n">
        <v>47.07</v>
      </c>
      <c r="S33" s="18" t="n">
        <v>47.37</v>
      </c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리스부채</t>
        </is>
      </c>
      <c r="E34" s="18" t="n">
        <v>61.03</v>
      </c>
      <c r="F34" s="34" t="n">
        <v>61.03</v>
      </c>
      <c r="G34" s="18" t="n">
        <v>92.14</v>
      </c>
      <c r="H34" s="18" t="n">
        <v>86.88</v>
      </c>
      <c r="I34" s="18" t="n">
        <v>81.19</v>
      </c>
      <c r="J34" s="18" t="n">
        <v>167.93</v>
      </c>
      <c r="K34" s="34" t="n">
        <v>167.93</v>
      </c>
      <c r="L34" s="18" t="n">
        <v>179.35</v>
      </c>
      <c r="M34" s="18" t="n">
        <v>164.99</v>
      </c>
      <c r="N34" s="18" t="n">
        <v>150.27</v>
      </c>
      <c r="O34" s="18" t="n">
        <v>135.81</v>
      </c>
      <c r="P34" s="34" t="n">
        <v>135.81</v>
      </c>
      <c r="Q34" s="18" t="n">
        <v>121.24</v>
      </c>
      <c r="R34" s="18" t="n">
        <v>99.59999999999999</v>
      </c>
      <c r="S34" s="18" t="n">
        <v>87.94</v>
      </c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18" t="n">
        <v>15.34</v>
      </c>
      <c r="F35" s="34" t="n">
        <v>15.34</v>
      </c>
      <c r="G35" s="18" t="n">
        <v>22.45</v>
      </c>
      <c r="H35" s="18" t="n">
        <v>23.55</v>
      </c>
      <c r="I35" s="18" t="n">
        <v>23.15</v>
      </c>
      <c r="J35" s="18" t="n">
        <v>45.26</v>
      </c>
      <c r="K35" s="34" t="n">
        <v>45.26</v>
      </c>
      <c r="L35" s="18" t="n">
        <v>58.01</v>
      </c>
      <c r="M35" s="18" t="n">
        <v>58.39</v>
      </c>
      <c r="N35" s="18" t="n">
        <v>58.52</v>
      </c>
      <c r="O35" s="18" t="n">
        <v>58.98</v>
      </c>
      <c r="P35" s="34" t="n">
        <v>58.98</v>
      </c>
      <c r="Q35" s="18" t="n">
        <v>56.83</v>
      </c>
      <c r="R35" s="18" t="n">
        <v>47.07</v>
      </c>
      <c r="S35" s="18" t="n">
        <v>47.37</v>
      </c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865.2</v>
      </c>
      <c r="F36" s="34" t="n">
        <v>865.2</v>
      </c>
      <c r="G36" s="18" t="n">
        <v>907.3</v>
      </c>
      <c r="H36" s="18" t="n">
        <v>765.87</v>
      </c>
      <c r="I36" s="18" t="n">
        <v>857.54</v>
      </c>
      <c r="J36" s="18" t="n">
        <v>904.4400000000001</v>
      </c>
      <c r="K36" s="34" t="n">
        <v>904.4400000000001</v>
      </c>
      <c r="L36" s="18" t="n">
        <v>952.05</v>
      </c>
      <c r="M36" s="18" t="n">
        <v>1016.35</v>
      </c>
      <c r="N36" s="18" t="n">
        <v>1125.81</v>
      </c>
      <c r="O36" s="18" t="n">
        <v>1789.34</v>
      </c>
      <c r="P36" s="34" t="n">
        <v>1789.34</v>
      </c>
      <c r="Q36" s="18" t="n">
        <v>1910.11</v>
      </c>
      <c r="R36" s="18" t="n">
        <v>2023.36</v>
      </c>
      <c r="S36" s="18" t="n">
        <v>2091.79</v>
      </c>
      <c r="T36" s="18" t="n">
        <v>1353.92</v>
      </c>
      <c r="U36" s="34" t="n">
        <v>1353.92</v>
      </c>
      <c r="V36" s="18" t="n">
        <v>1590.02</v>
      </c>
      <c r="W36" s="18" t="n">
        <v>1312.16</v>
      </c>
      <c r="X36" s="18" t="n">
        <v>1400.46</v>
      </c>
      <c r="Y36" s="18" t="n">
        <v>1417.18</v>
      </c>
      <c r="Z36" s="34" t="n">
        <v>1417.18</v>
      </c>
      <c r="AA36" s="18" t="n">
        <v>5879.22</v>
      </c>
      <c r="AB36" s="19" t="n">
        <v>4650.42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확정급여부채</t>
        </is>
      </c>
      <c r="E37" s="18" t="n">
        <v>174.48</v>
      </c>
      <c r="F37" s="34" t="n">
        <v>174.48</v>
      </c>
      <c r="G37" s="18" t="n">
        <v>220.48</v>
      </c>
      <c r="H37" s="18" t="n">
        <v>261.01</v>
      </c>
      <c r="I37" s="18" t="n">
        <v>305.58</v>
      </c>
      <c r="J37" s="18" t="n">
        <v>190.06</v>
      </c>
      <c r="K37" s="34" t="n">
        <v>190.06</v>
      </c>
      <c r="L37" s="18" t="n">
        <v>230.6</v>
      </c>
      <c r="M37" s="18" t="n">
        <v>277.63</v>
      </c>
      <c r="N37" s="18" t="n">
        <v>391.11</v>
      </c>
      <c r="O37" s="18" t="n">
        <v>959.77</v>
      </c>
      <c r="P37" s="34" t="n">
        <v>959.77</v>
      </c>
      <c r="Q37" s="18" t="n">
        <v>6507.44</v>
      </c>
      <c r="R37" s="18" t="n">
        <v>6633.25</v>
      </c>
      <c r="S37" s="18" t="n">
        <v>6728.63</v>
      </c>
      <c r="T37" s="18" t="n">
        <v>415.63</v>
      </c>
      <c r="U37" s="34" t="n">
        <v>415.63</v>
      </c>
      <c r="V37" s="18" t="n">
        <v>661.16</v>
      </c>
      <c r="W37" s="18" t="n">
        <v>388.19</v>
      </c>
      <c r="X37" s="18" t="n">
        <v>478.56</v>
      </c>
      <c r="Y37" s="18" t="n">
        <v>456.81</v>
      </c>
      <c r="Z37" s="34" t="n">
        <v>456.81</v>
      </c>
      <c r="AA37" s="18" t="n">
        <v>503.23</v>
      </c>
      <c r="AB37" s="19" t="n">
        <v>558.7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비유동리스부채</t>
        </is>
      </c>
      <c r="E38" s="18" t="n">
        <v>45.69</v>
      </c>
      <c r="F38" s="34" t="n">
        <v>45.69</v>
      </c>
      <c r="G38" s="18" t="n">
        <v>69.69</v>
      </c>
      <c r="H38" s="18" t="n">
        <v>63.33</v>
      </c>
      <c r="I38" s="18" t="n">
        <v>58.04</v>
      </c>
      <c r="J38" s="18" t="n">
        <v>122.67</v>
      </c>
      <c r="K38" s="34" t="n">
        <v>122.67</v>
      </c>
      <c r="L38" s="18" t="n">
        <v>121.34</v>
      </c>
      <c r="M38" s="18" t="n">
        <v>106.6</v>
      </c>
      <c r="N38" s="18" t="n">
        <v>91.75</v>
      </c>
      <c r="O38" s="18" t="n">
        <v>76.83</v>
      </c>
      <c r="P38" s="34" t="n">
        <v>76.83</v>
      </c>
      <c r="Q38" s="18" t="n">
        <v>64.41</v>
      </c>
      <c r="R38" s="18" t="n">
        <v>52.53</v>
      </c>
      <c r="S38" s="18" t="n">
        <v>40.57</v>
      </c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장기금융부채</t>
        </is>
      </c>
      <c r="E39" s="18" t="n">
        <v>45.69</v>
      </c>
      <c r="F39" s="34" t="n">
        <v>45.69</v>
      </c>
      <c r="G39" s="18" t="n">
        <v>69.69</v>
      </c>
      <c r="H39" s="18" t="n">
        <v>63.33</v>
      </c>
      <c r="I39" s="18" t="n">
        <v>58.04</v>
      </c>
      <c r="J39" s="18" t="n">
        <v>122.67</v>
      </c>
      <c r="K39" s="34" t="n">
        <v>122.67</v>
      </c>
      <c r="L39" s="18" t="n">
        <v>121.34</v>
      </c>
      <c r="M39" s="18" t="n">
        <v>106.6</v>
      </c>
      <c r="N39" s="18" t="n">
        <v>91.75</v>
      </c>
      <c r="O39" s="18" t="n">
        <v>76.83</v>
      </c>
      <c r="P39" s="34" t="n">
        <v>76.83</v>
      </c>
      <c r="Q39" s="18" t="n">
        <v>64.41</v>
      </c>
      <c r="R39" s="18" t="n">
        <v>52.53</v>
      </c>
      <c r="S39" s="18" t="n">
        <v>40.57</v>
      </c>
      <c r="U39" s="9" t="n"/>
      <c r="Z39" s="9" t="n"/>
      <c r="AA39" s="18" t="n">
        <v>4398.85</v>
      </c>
      <c r="AB39" s="19" t="n">
        <v>3051.45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장기매입채무및기타채무</t>
        </is>
      </c>
      <c r="E40" s="18" t="n">
        <v>617.13</v>
      </c>
      <c r="F40" s="34" t="n">
        <v>617.13</v>
      </c>
      <c r="G40" s="18" t="n">
        <v>617.13</v>
      </c>
      <c r="H40" s="18" t="n">
        <v>883.08</v>
      </c>
      <c r="I40" s="18" t="n">
        <v>987.84</v>
      </c>
      <c r="J40" s="18" t="n">
        <v>591.71</v>
      </c>
      <c r="K40" s="34" t="n">
        <v>591.71</v>
      </c>
      <c r="L40" s="18" t="n">
        <v>600.1</v>
      </c>
      <c r="M40" s="18" t="n">
        <v>1264.24</v>
      </c>
      <c r="N40" s="18" t="n">
        <v>642.96</v>
      </c>
      <c r="O40" s="18" t="n">
        <v>752.73</v>
      </c>
      <c r="P40" s="34" t="n">
        <v>752.73</v>
      </c>
      <c r="Q40" s="18" t="n">
        <v>752.73</v>
      </c>
      <c r="R40" s="18" t="n">
        <v>819.64</v>
      </c>
      <c r="S40" s="18" t="n">
        <v>845.1900000000001</v>
      </c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이연법인세부채</t>
        </is>
      </c>
      <c r="E41" s="18" t="n">
        <v>27.91</v>
      </c>
      <c r="F41" s="34" t="n">
        <v>27.91</v>
      </c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부채총계</t>
        </is>
      </c>
      <c r="E42" s="18" t="n">
        <v>15753.7</v>
      </c>
      <c r="F42" s="34" t="n">
        <v>15753.7</v>
      </c>
      <c r="G42" s="18" t="n">
        <v>24596.76</v>
      </c>
      <c r="H42" s="18" t="n">
        <v>22153.53</v>
      </c>
      <c r="I42" s="18" t="n">
        <v>16137.92</v>
      </c>
      <c r="J42" s="18" t="n">
        <v>11666.36</v>
      </c>
      <c r="K42" s="34" t="n">
        <v>11666.36</v>
      </c>
      <c r="L42" s="18" t="n">
        <v>27662.77</v>
      </c>
      <c r="M42" s="18" t="n">
        <v>22388.05</v>
      </c>
      <c r="N42" s="18" t="n">
        <v>17926.56</v>
      </c>
      <c r="O42" s="18" t="n">
        <v>9819.99</v>
      </c>
      <c r="P42" s="34" t="n">
        <v>9819.99</v>
      </c>
      <c r="Q42" s="18" t="n">
        <v>15683.16</v>
      </c>
      <c r="R42" s="18" t="n">
        <v>11960.66</v>
      </c>
      <c r="S42" s="18" t="n">
        <v>21548.75</v>
      </c>
      <c r="T42" s="18" t="n">
        <v>12646.4</v>
      </c>
      <c r="U42" s="34" t="n">
        <v>12646.4</v>
      </c>
      <c r="V42" s="18" t="n">
        <v>36611.54</v>
      </c>
      <c r="W42" s="18" t="n">
        <v>34577.84</v>
      </c>
      <c r="X42" s="18" t="n">
        <v>31868.86</v>
      </c>
      <c r="Y42" s="18" t="n">
        <v>20413.82</v>
      </c>
      <c r="Z42" s="34" t="n">
        <v>20413.82</v>
      </c>
      <c r="AA42" s="18" t="n">
        <v>42294.15</v>
      </c>
      <c r="AB42" s="19" t="n">
        <v>34693.7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지배주주지분</t>
        </is>
      </c>
      <c r="E43" s="18" t="n">
        <v>84697.78999999999</v>
      </c>
      <c r="F43" s="34" t="n">
        <v>84697.78999999999</v>
      </c>
      <c r="G43" s="18" t="n">
        <v>82880.33</v>
      </c>
      <c r="H43" s="18" t="n">
        <v>83495.63</v>
      </c>
      <c r="I43" s="18" t="n">
        <v>90862.89</v>
      </c>
      <c r="J43" s="18" t="n">
        <v>88864.47</v>
      </c>
      <c r="K43" s="34" t="n">
        <v>88864.47</v>
      </c>
      <c r="L43" s="18" t="n">
        <v>85295.06</v>
      </c>
      <c r="M43" s="18" t="n">
        <v>89673.72</v>
      </c>
      <c r="N43" s="18" t="n">
        <v>91869.62</v>
      </c>
      <c r="O43" s="18" t="n">
        <v>92971.77</v>
      </c>
      <c r="P43" s="34" t="n">
        <v>92971.77</v>
      </c>
      <c r="Q43" s="18" t="n">
        <v>92274.32000000001</v>
      </c>
      <c r="R43" s="18" t="n">
        <v>94984.69</v>
      </c>
      <c r="S43" s="18" t="n">
        <v>93479.82000000001</v>
      </c>
      <c r="T43" s="18" t="n">
        <v>88192.22</v>
      </c>
      <c r="U43" s="34" t="n">
        <v>88192.22</v>
      </c>
      <c r="V43" s="18" t="n">
        <v>87234.8</v>
      </c>
      <c r="W43" s="18" t="n">
        <v>87501.52</v>
      </c>
      <c r="X43" s="18" t="n">
        <v>86334.25</v>
      </c>
      <c r="Y43" s="18" t="n">
        <v>81886.56</v>
      </c>
      <c r="Z43" s="34" t="n">
        <v>81886.56</v>
      </c>
      <c r="AA43" s="18" t="n">
        <v>100343.26</v>
      </c>
      <c r="AB43" s="19" t="n">
        <v>105643.34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자본금</t>
        </is>
      </c>
      <c r="E44" s="18" t="n">
        <v>2575</v>
      </c>
      <c r="F44" s="34" t="n">
        <v>2575</v>
      </c>
      <c r="G44" s="18" t="n">
        <v>2575</v>
      </c>
      <c r="H44" s="18" t="n">
        <v>2575</v>
      </c>
      <c r="I44" s="18" t="n">
        <v>2575</v>
      </c>
      <c r="J44" s="18" t="n">
        <v>2575</v>
      </c>
      <c r="K44" s="34" t="n">
        <v>2575</v>
      </c>
      <c r="L44" s="18" t="n">
        <v>2575</v>
      </c>
      <c r="M44" s="18" t="n">
        <v>2575</v>
      </c>
      <c r="N44" s="18" t="n">
        <v>2575</v>
      </c>
      <c r="O44" s="18" t="n">
        <v>2575</v>
      </c>
      <c r="P44" s="34" t="n">
        <v>2575</v>
      </c>
      <c r="Q44" s="18" t="n">
        <v>2575</v>
      </c>
      <c r="R44" s="18" t="n">
        <v>2575</v>
      </c>
      <c r="S44" s="18" t="n">
        <v>2575</v>
      </c>
      <c r="T44" s="18" t="n">
        <v>2575</v>
      </c>
      <c r="U44" s="34" t="n">
        <v>2575</v>
      </c>
      <c r="V44" s="18" t="n">
        <v>2575</v>
      </c>
      <c r="W44" s="18" t="n">
        <v>2575</v>
      </c>
      <c r="X44" s="18" t="n">
        <v>2575</v>
      </c>
      <c r="Y44" s="18" t="n">
        <v>2575</v>
      </c>
      <c r="Z44" s="34" t="n">
        <v>2575</v>
      </c>
      <c r="AA44" s="18" t="n">
        <v>2575</v>
      </c>
      <c r="AB44" s="19" t="n">
        <v>2575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보통주자본금</t>
        </is>
      </c>
      <c r="E45" s="18" t="n">
        <v>2575</v>
      </c>
      <c r="F45" s="34" t="n">
        <v>2575</v>
      </c>
      <c r="G45" s="18" t="n">
        <v>2575</v>
      </c>
      <c r="H45" s="18" t="n">
        <v>2575</v>
      </c>
      <c r="I45" s="18" t="n">
        <v>2575</v>
      </c>
      <c r="J45" s="18" t="n">
        <v>2575</v>
      </c>
      <c r="K45" s="34" t="n">
        <v>2575</v>
      </c>
      <c r="L45" s="18" t="n">
        <v>2575</v>
      </c>
      <c r="M45" s="18" t="n">
        <v>2575</v>
      </c>
      <c r="N45" s="18" t="n">
        <v>2575</v>
      </c>
      <c r="O45" s="18" t="n">
        <v>2575</v>
      </c>
      <c r="P45" s="34" t="n">
        <v>2575</v>
      </c>
      <c r="Q45" s="18" t="n">
        <v>2575</v>
      </c>
      <c r="R45" s="18" t="n">
        <v>2575</v>
      </c>
      <c r="S45" s="18" t="n">
        <v>2575</v>
      </c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자본잉여금</t>
        </is>
      </c>
      <c r="E46" s="18" t="n">
        <v>10110.83</v>
      </c>
      <c r="F46" s="34" t="n">
        <v>10110.83</v>
      </c>
      <c r="G46" s="18" t="n">
        <v>10110.83</v>
      </c>
      <c r="H46" s="18" t="n">
        <v>10110.83</v>
      </c>
      <c r="I46" s="18" t="n">
        <v>10110.83</v>
      </c>
      <c r="J46" s="18" t="n">
        <v>10106.56</v>
      </c>
      <c r="K46" s="34" t="n">
        <v>10106.56</v>
      </c>
      <c r="L46" s="18" t="n">
        <v>10106.56</v>
      </c>
      <c r="M46" s="18" t="n">
        <v>10106.56</v>
      </c>
      <c r="N46" s="18" t="n">
        <v>10106.56</v>
      </c>
      <c r="O46" s="18" t="n">
        <v>10102.27</v>
      </c>
      <c r="P46" s="34" t="n">
        <v>10102.27</v>
      </c>
      <c r="Q46" s="18" t="n">
        <v>10033.33</v>
      </c>
      <c r="R46" s="18" t="n">
        <v>10033.33</v>
      </c>
      <c r="S46" s="18" t="n">
        <v>10033.33</v>
      </c>
      <c r="T46" s="18" t="n">
        <v>6105.07</v>
      </c>
      <c r="U46" s="34" t="n">
        <v>6105.07</v>
      </c>
      <c r="V46" s="18" t="n">
        <v>6105.07</v>
      </c>
      <c r="W46" s="18" t="n">
        <v>6105.07</v>
      </c>
      <c r="X46" s="18" t="n">
        <v>6105.07</v>
      </c>
      <c r="Y46" s="18" t="n">
        <v>6105.07</v>
      </c>
      <c r="Z46" s="34" t="n">
        <v>6105.07</v>
      </c>
      <c r="AA46" s="18" t="n">
        <v>17649.28</v>
      </c>
      <c r="AB46" s="19" t="n">
        <v>17649.28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-418.92</v>
      </c>
      <c r="F47" s="34" t="n">
        <v>-418.92</v>
      </c>
      <c r="G47" s="18" t="n">
        <v>-418.92</v>
      </c>
      <c r="H47" s="18" t="n">
        <v>-418.92</v>
      </c>
      <c r="I47" s="18" t="n">
        <v>-418.92</v>
      </c>
      <c r="J47" s="18" t="n">
        <v>-4537.03</v>
      </c>
      <c r="K47" s="34" t="n">
        <v>-4537.03</v>
      </c>
      <c r="L47" s="18" t="n">
        <v>-4537.03</v>
      </c>
      <c r="M47" s="18" t="n">
        <v>-4537.03</v>
      </c>
      <c r="N47" s="18" t="n">
        <v>-4537.03</v>
      </c>
      <c r="O47" s="18" t="n">
        <v>-6524.8</v>
      </c>
      <c r="P47" s="34" t="n">
        <v>-6524.8</v>
      </c>
      <c r="Q47" s="18" t="n">
        <v>-6593.74</v>
      </c>
      <c r="R47" s="18" t="n">
        <v>-6593.74</v>
      </c>
      <c r="S47" s="18" t="n">
        <v>-6593.74</v>
      </c>
      <c r="T47" s="18" t="n">
        <v>-13333.41</v>
      </c>
      <c r="U47" s="34" t="n">
        <v>-13333.41</v>
      </c>
      <c r="V47" s="18" t="n">
        <v>-13333.41</v>
      </c>
      <c r="W47" s="18" t="n">
        <v>-13333.41</v>
      </c>
      <c r="X47" s="18" t="n">
        <v>-13333.41</v>
      </c>
      <c r="Y47" s="18" t="n">
        <v>-13333.41</v>
      </c>
      <c r="Z47" s="34" t="n">
        <v>-13333.41</v>
      </c>
      <c r="AA47" s="18" t="n">
        <v>-2461.31</v>
      </c>
      <c r="AB47" s="19" t="n">
        <v>-2461.31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기타포괄이익누계액</t>
        </is>
      </c>
      <c r="E48" s="18" t="n">
        <v>78.70999999999999</v>
      </c>
      <c r="F48" s="34" t="n">
        <v>78.70999999999999</v>
      </c>
      <c r="G48" s="18" t="n">
        <v>122.19</v>
      </c>
      <c r="H48" s="18" t="n">
        <v>148.55</v>
      </c>
      <c r="I48" s="18" t="n">
        <v>222.59</v>
      </c>
      <c r="J48" s="18" t="n">
        <v>20.13</v>
      </c>
      <c r="K48" s="34" t="n">
        <v>20.13</v>
      </c>
      <c r="L48" s="18" t="n">
        <v>101.2</v>
      </c>
      <c r="M48" s="18" t="n">
        <v>19.93</v>
      </c>
      <c r="N48" s="18" t="n">
        <v>45.52</v>
      </c>
      <c r="O48" s="18" t="n">
        <v>13.58</v>
      </c>
      <c r="P48" s="34" t="n">
        <v>13.58</v>
      </c>
      <c r="Q48" s="18" t="n">
        <v>54.74</v>
      </c>
      <c r="R48" s="18" t="n">
        <v>110.42</v>
      </c>
      <c r="S48" s="18" t="n">
        <v>93.17</v>
      </c>
      <c r="T48" s="18" t="n">
        <v>225.53</v>
      </c>
      <c r="U48" s="34" t="n">
        <v>225.53</v>
      </c>
      <c r="V48" s="18" t="n">
        <v>226.98</v>
      </c>
      <c r="W48" s="18" t="n">
        <v>95.44</v>
      </c>
      <c r="X48" s="18" t="n">
        <v>170.67</v>
      </c>
      <c r="Y48" s="18" t="n">
        <v>245.67</v>
      </c>
      <c r="Z48" s="34" t="n">
        <v>245.67</v>
      </c>
      <c r="AA48" s="18" t="n">
        <v>408.03</v>
      </c>
      <c r="AB48" s="19" t="n">
        <v>483.27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E49" s="18" t="n">
        <v>77154.89999999999</v>
      </c>
      <c r="F49" s="34" t="n">
        <v>77154.89999999999</v>
      </c>
      <c r="G49" s="18" t="n">
        <v>75293.97</v>
      </c>
      <c r="H49" s="18" t="n">
        <v>75882.91</v>
      </c>
      <c r="I49" s="18" t="n">
        <v>83176.12</v>
      </c>
      <c r="J49" s="18" t="n">
        <v>83441.35000000001</v>
      </c>
      <c r="K49" s="34" t="n">
        <v>83441.35000000001</v>
      </c>
      <c r="L49" s="18" t="n">
        <v>79790.88</v>
      </c>
      <c r="M49" s="18" t="n">
        <v>84250.8</v>
      </c>
      <c r="N49" s="18" t="n">
        <v>86421.11</v>
      </c>
      <c r="O49" s="18" t="n">
        <v>136833.96</v>
      </c>
      <c r="P49" s="34" t="n">
        <v>136833.96</v>
      </c>
      <c r="Q49" s="18" t="n">
        <v>135494.62</v>
      </c>
      <c r="R49" s="18" t="n">
        <v>140804</v>
      </c>
      <c r="S49" s="18" t="n">
        <v>137828.76</v>
      </c>
      <c r="T49" s="18" t="n">
        <v>92620.03</v>
      </c>
      <c r="U49" s="34" t="n">
        <v>92620.03</v>
      </c>
      <c r="V49" s="18" t="n">
        <v>91661.16</v>
      </c>
      <c r="W49" s="18" t="n">
        <v>92059.42999999999</v>
      </c>
      <c r="X49" s="18" t="n">
        <v>90816.92</v>
      </c>
      <c r="Y49" s="18" t="n">
        <v>86294.23</v>
      </c>
      <c r="Z49" s="34" t="n">
        <v>86294.23</v>
      </c>
      <c r="AA49" s="18" t="n">
        <v>82172.25999999999</v>
      </c>
      <c r="AB49" s="19" t="n">
        <v>87397.10000000001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비지배주주지분</t>
        </is>
      </c>
      <c r="E50" s="18" t="n">
        <v>1244.72</v>
      </c>
      <c r="F50" s="34" t="n">
        <v>1244.72</v>
      </c>
      <c r="G50" s="18" t="n">
        <v>1251.08</v>
      </c>
      <c r="H50" s="18" t="n">
        <v>1262.28</v>
      </c>
      <c r="I50" s="18" t="n">
        <v>1304.51</v>
      </c>
      <c r="J50" s="18" t="n">
        <v>1273.81</v>
      </c>
      <c r="K50" s="34" t="n">
        <v>1273.81</v>
      </c>
      <c r="L50" s="18" t="n">
        <v>1273.02</v>
      </c>
      <c r="M50" s="18" t="n">
        <v>1263.3</v>
      </c>
      <c r="N50" s="18" t="n">
        <v>1262.63</v>
      </c>
      <c r="O50" s="18" t="n">
        <v>1088.95</v>
      </c>
      <c r="P50" s="34" t="n">
        <v>1088.95</v>
      </c>
      <c r="Q50" s="18" t="n">
        <v>1145.3</v>
      </c>
      <c r="R50" s="18" t="n">
        <v>1158.21</v>
      </c>
      <c r="S50" s="18" t="n">
        <v>1137.81</v>
      </c>
      <c r="T50" s="18" t="n">
        <v>1136.75</v>
      </c>
      <c r="U50" s="34" t="n">
        <v>1136.75</v>
      </c>
      <c r="V50" s="18" t="n">
        <v>1121.15</v>
      </c>
      <c r="W50" s="18" t="n">
        <v>1104.84</v>
      </c>
      <c r="X50" s="18" t="n">
        <v>1104.73</v>
      </c>
      <c r="Y50" s="18" t="n">
        <v>1109.3</v>
      </c>
      <c r="Z50" s="34" t="n">
        <v>1109.3</v>
      </c>
      <c r="AA50" s="18" t="n">
        <v>1157.26</v>
      </c>
      <c r="AB50" s="19" t="n">
        <v>1154.1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85942.50999999999</v>
      </c>
      <c r="F51" s="34" t="n">
        <v>85942.50999999999</v>
      </c>
      <c r="G51" s="18" t="n">
        <v>84131.42</v>
      </c>
      <c r="H51" s="18" t="n">
        <v>84757.91</v>
      </c>
      <c r="I51" s="18" t="n">
        <v>92167.39999999999</v>
      </c>
      <c r="J51" s="18" t="n">
        <v>90138.28</v>
      </c>
      <c r="K51" s="34" t="n">
        <v>90138.28</v>
      </c>
      <c r="L51" s="18" t="n">
        <v>86568.08</v>
      </c>
      <c r="M51" s="18" t="n">
        <v>90937.02</v>
      </c>
      <c r="N51" s="18" t="n">
        <v>93132.24000000001</v>
      </c>
      <c r="O51" s="18" t="n">
        <v>94060.72</v>
      </c>
      <c r="P51" s="34" t="n">
        <v>94060.72</v>
      </c>
      <c r="Q51" s="18" t="n">
        <v>93419.62</v>
      </c>
      <c r="R51" s="18" t="n">
        <v>96142.89999999999</v>
      </c>
      <c r="S51" s="18" t="n">
        <v>94617.64</v>
      </c>
      <c r="T51" s="18" t="n">
        <v>89328.97</v>
      </c>
      <c r="U51" s="34" t="n">
        <v>89328.97</v>
      </c>
      <c r="V51" s="18" t="n">
        <v>88355.95</v>
      </c>
      <c r="W51" s="18" t="n">
        <v>88606.37</v>
      </c>
      <c r="X51" s="18" t="n">
        <v>87438.98</v>
      </c>
      <c r="Y51" s="18" t="n">
        <v>82995.86</v>
      </c>
      <c r="Z51" s="34" t="n">
        <v>82995.86</v>
      </c>
      <c r="AA51" s="18" t="n">
        <v>101500.52</v>
      </c>
      <c r="AB51" s="19" t="n">
        <v>106797.44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101696.2</v>
      </c>
      <c r="F52" s="34" t="n">
        <v>101696.2</v>
      </c>
      <c r="G52" s="18" t="n">
        <v>108728.18</v>
      </c>
      <c r="H52" s="18" t="n">
        <v>106911.44</v>
      </c>
      <c r="I52" s="18" t="n">
        <v>108305.32</v>
      </c>
      <c r="J52" s="18" t="n">
        <v>101804.64</v>
      </c>
      <c r="K52" s="34" t="n">
        <v>101804.64</v>
      </c>
      <c r="L52" s="18" t="n">
        <v>114230.85</v>
      </c>
      <c r="M52" s="18" t="n">
        <v>113325.07</v>
      </c>
      <c r="N52" s="18" t="n">
        <v>111058.81</v>
      </c>
      <c r="O52" s="18" t="n">
        <v>103880.71</v>
      </c>
      <c r="P52" s="34" t="n">
        <v>103880.71</v>
      </c>
      <c r="Q52" s="18" t="n">
        <v>109102.77</v>
      </c>
      <c r="R52" s="18" t="n">
        <v>108103.55</v>
      </c>
      <c r="S52" s="18" t="n">
        <v>116166.39</v>
      </c>
      <c r="T52" s="18" t="n">
        <v>101975.37</v>
      </c>
      <c r="U52" s="34" t="n">
        <v>101975.37</v>
      </c>
      <c r="V52" s="18" t="n">
        <v>124967.49</v>
      </c>
      <c r="W52" s="18" t="n">
        <v>123184.21</v>
      </c>
      <c r="X52" s="18" t="n">
        <v>119307.83</v>
      </c>
      <c r="Y52" s="18" t="n">
        <v>103409.69</v>
      </c>
      <c r="Z52" s="34" t="n">
        <v>103409.69</v>
      </c>
      <c r="AA52" s="18" t="n">
        <v>143794.67</v>
      </c>
      <c r="AB52" s="19" t="n">
        <v>141491.14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373.78</v>
      </c>
      <c r="F53" s="34" t="n">
        <v>373.78</v>
      </c>
      <c r="G53" s="18" t="n">
        <v>373.78</v>
      </c>
      <c r="H53" s="18" t="n">
        <v>373.78</v>
      </c>
      <c r="I53" s="18" t="n">
        <v>373.78</v>
      </c>
      <c r="J53" s="18" t="n">
        <v>373.78</v>
      </c>
      <c r="K53" s="34" t="n">
        <v>373.78</v>
      </c>
      <c r="L53" s="18" t="n">
        <v>373.78</v>
      </c>
      <c r="M53" s="18" t="n">
        <v>373.78</v>
      </c>
      <c r="N53" s="18" t="n">
        <v>373.78</v>
      </c>
      <c r="O53" s="18" t="n">
        <v>373.78</v>
      </c>
      <c r="P53" s="34" t="n">
        <v>373.78</v>
      </c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-17209.95</v>
      </c>
      <c r="F54" s="34" t="n">
        <v>-17209.95</v>
      </c>
      <c r="G54" s="18" t="n">
        <v>-28114.37</v>
      </c>
      <c r="H54" s="18" t="n">
        <v>-17959.73</v>
      </c>
      <c r="I54" s="18" t="n">
        <v>-29459.44</v>
      </c>
      <c r="J54" s="18" t="n">
        <v>-29294.75</v>
      </c>
      <c r="K54" s="34" t="n">
        <v>-29294.75</v>
      </c>
      <c r="L54" s="18" t="n">
        <v>-34067.91</v>
      </c>
      <c r="M54" s="18" t="n">
        <v>-15665.37</v>
      </c>
      <c r="N54" s="18" t="n">
        <v>-23570.87</v>
      </c>
      <c r="O54" s="18" t="n">
        <v>-24062.66</v>
      </c>
      <c r="P54" s="34" t="n">
        <v>-24062.66</v>
      </c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25737.21</v>
      </c>
      <c r="F55" s="34" t="n">
        <v>25737.21</v>
      </c>
      <c r="G55" s="18" t="n">
        <v>28680.07</v>
      </c>
      <c r="H55" s="18" t="n">
        <v>18528</v>
      </c>
      <c r="I55" s="18" t="n">
        <v>30031.78</v>
      </c>
      <c r="J55" s="18" t="n">
        <v>47838.79</v>
      </c>
      <c r="K55" s="34" t="n">
        <v>47838.79</v>
      </c>
      <c r="L55" s="18" t="n">
        <v>34642.94</v>
      </c>
      <c r="M55" s="18" t="n">
        <v>16241.85</v>
      </c>
      <c r="N55" s="18" t="n">
        <v>49463.78</v>
      </c>
      <c r="O55" s="18" t="n">
        <v>44115.72</v>
      </c>
      <c r="P55" s="34" t="n">
        <v>44115.72</v>
      </c>
      <c r="Q55" s="18" t="n">
        <v>50310.95</v>
      </c>
      <c r="R55" s="18" t="n">
        <v>48561.86</v>
      </c>
      <c r="S55" s="18" t="n">
        <v>53085.56</v>
      </c>
      <c r="T55" s="18" t="n">
        <v>38602.86</v>
      </c>
      <c r="U55" s="34" t="n">
        <v>38602.86</v>
      </c>
      <c r="V55" s="18" t="n">
        <v>62447.27</v>
      </c>
      <c r="W55" s="18" t="n">
        <v>47590.46</v>
      </c>
      <c r="X55" s="18" t="n">
        <v>61098.43</v>
      </c>
      <c r="Y55" s="18" t="n">
        <v>36388.36</v>
      </c>
      <c r="Z55" s="34" t="n">
        <v>36388.36</v>
      </c>
      <c r="AA55" s="18" t="n">
        <v>70277.19</v>
      </c>
      <c r="AB55" s="19" t="n">
        <v>77425.28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선급금</t>
        </is>
      </c>
      <c r="F56" s="9" t="n"/>
      <c r="G56" s="18" t="n">
        <v>493.78</v>
      </c>
      <c r="H56" s="18" t="n">
        <v>440.94</v>
      </c>
      <c r="I56" s="18" t="n">
        <v>413.96</v>
      </c>
      <c r="K56" s="9" t="n"/>
      <c r="L56" s="18" t="n">
        <v>641.51</v>
      </c>
      <c r="M56" s="18" t="n">
        <v>284.67</v>
      </c>
      <c r="N56" s="18" t="n">
        <v>167.83</v>
      </c>
      <c r="P56" s="9" t="n"/>
      <c r="Q56" s="18" t="n">
        <v>177.32</v>
      </c>
      <c r="R56" s="18" t="n">
        <v>316.36</v>
      </c>
      <c r="S56" s="18" t="n">
        <v>281.84</v>
      </c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선급금등</t>
        </is>
      </c>
      <c r="F57" s="9" t="n"/>
      <c r="G57" s="18" t="n">
        <v>493.78</v>
      </c>
      <c r="H57" s="18" t="n">
        <v>440.94</v>
      </c>
      <c r="I57" s="18" t="n">
        <v>413.96</v>
      </c>
      <c r="K57" s="9" t="n"/>
      <c r="L57" s="18" t="n">
        <v>641.51</v>
      </c>
      <c r="M57" s="18" t="n">
        <v>284.67</v>
      </c>
      <c r="N57" s="18" t="n">
        <v>167.83</v>
      </c>
      <c r="P57" s="9" t="n"/>
      <c r="Q57" s="18" t="n">
        <v>177.32</v>
      </c>
      <c r="R57" s="18" t="n">
        <v>316.36</v>
      </c>
      <c r="S57" s="18" t="n">
        <v>281.84</v>
      </c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기타유동자산</t>
        </is>
      </c>
      <c r="F58" s="9" t="n"/>
      <c r="G58" s="18" t="n">
        <v>585.58</v>
      </c>
      <c r="H58" s="18" t="n">
        <v>1077.17</v>
      </c>
      <c r="I58" s="18" t="n">
        <v>944.16</v>
      </c>
      <c r="K58" s="9" t="n"/>
      <c r="L58" s="18" t="n">
        <v>708.9</v>
      </c>
      <c r="M58" s="18" t="n">
        <v>683.4</v>
      </c>
      <c r="N58" s="18" t="n">
        <v>907.52</v>
      </c>
      <c r="P58" s="9" t="n"/>
      <c r="Q58" s="18" t="n">
        <v>238.55</v>
      </c>
      <c r="R58" s="18" t="n">
        <v>1124.52</v>
      </c>
      <c r="S58" s="18" t="n">
        <v>1183.88</v>
      </c>
      <c r="T58" s="18" t="n">
        <v>3385.27</v>
      </c>
      <c r="U58" s="34" t="n">
        <v>3385.27</v>
      </c>
      <c r="V58" s="18" t="n">
        <v>1732.31</v>
      </c>
      <c r="W58" s="18" t="n">
        <v>1138.47</v>
      </c>
      <c r="X58" s="18" t="n">
        <v>877.36</v>
      </c>
      <c r="Y58" s="18" t="n">
        <v>826.02</v>
      </c>
      <c r="Z58" s="34" t="n">
        <v>826.02</v>
      </c>
      <c r="AA58" s="18" t="n">
        <v>874.14</v>
      </c>
      <c r="AB58" s="19" t="n">
        <v>856.24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선수금</t>
        </is>
      </c>
      <c r="F59" s="9" t="n"/>
      <c r="G59" s="18" t="n">
        <v>561.14</v>
      </c>
      <c r="K59" s="9" t="n"/>
      <c r="P59" s="9" t="n"/>
      <c r="Q59" s="18" t="n">
        <v>284.82</v>
      </c>
      <c r="R59" s="18" t="n">
        <v>285.91</v>
      </c>
      <c r="S59" s="18" t="n">
        <v>19.2</v>
      </c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기타유동부채</t>
        </is>
      </c>
      <c r="F60" s="9" t="n"/>
      <c r="G60" s="18" t="n">
        <v>561.14</v>
      </c>
      <c r="H60" s="18" t="n">
        <v>12486.72</v>
      </c>
      <c r="K60" s="9" t="n"/>
      <c r="M60" s="18" t="n">
        <v>6114.06</v>
      </c>
      <c r="P60" s="9" t="n"/>
      <c r="Q60" s="18" t="n">
        <v>284.82</v>
      </c>
      <c r="R60" s="18" t="n">
        <v>3560.94</v>
      </c>
      <c r="S60" s="18" t="n">
        <v>10983.11</v>
      </c>
      <c r="T60" s="18" t="n">
        <v>9815.719999999999</v>
      </c>
      <c r="U60" s="34" t="n">
        <v>9815.719999999999</v>
      </c>
      <c r="V60" s="18" t="n">
        <v>17624.85</v>
      </c>
      <c r="W60" s="18" t="n">
        <v>16666.11</v>
      </c>
      <c r="X60" s="18" t="n">
        <v>18827.09</v>
      </c>
      <c r="Y60" s="18" t="n">
        <v>14197.33</v>
      </c>
      <c r="Z60" s="34" t="n">
        <v>14197.33</v>
      </c>
      <c r="AA60" s="18" t="n">
        <v>21673.81</v>
      </c>
      <c r="AB60" s="19" t="n">
        <v>14495.62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단기대여금</t>
        </is>
      </c>
      <c r="F61" s="9" t="n"/>
      <c r="K61" s="9" t="n"/>
      <c r="L61" s="18" t="n">
        <v>100</v>
      </c>
      <c r="M61" s="18" t="n">
        <v>100</v>
      </c>
      <c r="N61" s="18" t="n">
        <v>100</v>
      </c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단기금융부채(face)</t>
        </is>
      </c>
      <c r="F62" s="9" t="n"/>
      <c r="K62" s="9" t="n"/>
      <c r="N62" s="18" t="n">
        <v>373.78</v>
      </c>
      <c r="O62" s="18" t="n">
        <v>373.78</v>
      </c>
      <c r="P62" s="34" t="n">
        <v>373.78</v>
      </c>
      <c r="U62" s="9" t="n"/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종속기업및관계기업투자</t>
        </is>
      </c>
      <c r="F63" s="9" t="n"/>
      <c r="K63" s="9" t="n"/>
      <c r="P63" s="9" t="n"/>
      <c r="T63" s="18" t="n">
        <v>0.08</v>
      </c>
      <c r="U63" s="34" t="n">
        <v>0.08</v>
      </c>
      <c r="V63" s="18" t="n">
        <v>0.08</v>
      </c>
      <c r="W63" s="18" t="n">
        <v>0.08</v>
      </c>
      <c r="X63" s="18" t="n">
        <v>0.08</v>
      </c>
      <c r="Y63" s="18" t="n">
        <v>0.08</v>
      </c>
      <c r="Z63" s="34" t="n">
        <v>0.08</v>
      </c>
      <c r="AA63" s="18" t="n">
        <v>0.08</v>
      </c>
      <c r="AB63" s="19" t="n">
        <v>0.08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장기파생상품부채</t>
        </is>
      </c>
      <c r="F64" s="9" t="n"/>
      <c r="K64" s="9" t="n"/>
      <c r="P64" s="9" t="n"/>
      <c r="U64" s="9" t="n"/>
      <c r="Z64" s="9" t="n"/>
      <c r="AA64" s="18" t="n">
        <v>4398.85</v>
      </c>
      <c r="AB64" s="19" t="n">
        <v>3051.45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매출액(수익)</t>
        </is>
      </c>
      <c r="E65" s="18" t="n">
        <v>25182.76</v>
      </c>
      <c r="F65" s="9" t="n"/>
      <c r="G65" s="18" t="n">
        <v>18862.31</v>
      </c>
      <c r="H65" s="18" t="n">
        <v>11488.03</v>
      </c>
      <c r="I65" s="18" t="n">
        <v>14708.67</v>
      </c>
      <c r="J65" s="18" t="n">
        <v>15111.51</v>
      </c>
      <c r="K65" s="34" t="n">
        <v>60170.52</v>
      </c>
      <c r="L65" s="18" t="n">
        <v>12337.22</v>
      </c>
      <c r="M65" s="18" t="n">
        <v>21649.04</v>
      </c>
      <c r="N65" s="18" t="n">
        <v>16814.05</v>
      </c>
      <c r="O65" s="18" t="n">
        <v>15368.7</v>
      </c>
      <c r="P65" s="34" t="n">
        <v>66169.00999999999</v>
      </c>
      <c r="Q65" s="18" t="n">
        <v>8350.07</v>
      </c>
      <c r="R65" s="18" t="n">
        <v>11031.07</v>
      </c>
      <c r="S65" s="18" t="n">
        <v>13232.34</v>
      </c>
      <c r="T65" s="18" t="n">
        <v>13853.74</v>
      </c>
      <c r="U65" s="34" t="n">
        <v>46467.22</v>
      </c>
      <c r="V65" s="18" t="n">
        <v>33980.73</v>
      </c>
      <c r="W65" s="18" t="n">
        <v>31169.7</v>
      </c>
      <c r="X65" s="18" t="n">
        <v>30762</v>
      </c>
      <c r="Y65" s="18" t="n">
        <v>20713.09</v>
      </c>
      <c r="Z65" s="34" t="n">
        <v>116625.52</v>
      </c>
      <c r="AA65" s="18" t="n">
        <v>25936.38</v>
      </c>
      <c r="AB65" s="19" t="n">
        <v>23953.33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매출원가</t>
        </is>
      </c>
      <c r="E66" s="18" t="n">
        <v>11082.08</v>
      </c>
      <c r="F66" s="9" t="n"/>
      <c r="G66" s="18" t="n">
        <v>11490.17</v>
      </c>
      <c r="H66" s="18" t="n">
        <v>8721.190000000001</v>
      </c>
      <c r="I66" s="18" t="n">
        <v>6925.05</v>
      </c>
      <c r="J66" s="18" t="n">
        <v>7259.78</v>
      </c>
      <c r="K66" s="34" t="n">
        <v>34396.19</v>
      </c>
      <c r="L66" s="18" t="n">
        <v>7487.34</v>
      </c>
      <c r="M66" s="18" t="n">
        <v>13662.99</v>
      </c>
      <c r="N66" s="18" t="n">
        <v>9956.1</v>
      </c>
      <c r="O66" s="18" t="n">
        <v>8055.93</v>
      </c>
      <c r="P66" s="34" t="n">
        <v>39162.36</v>
      </c>
      <c r="Q66" s="18" t="n">
        <v>4755.5</v>
      </c>
      <c r="R66" s="18" t="n">
        <v>5864.5</v>
      </c>
      <c r="S66" s="18" t="n">
        <v>8206.59</v>
      </c>
      <c r="T66" s="18" t="n">
        <v>10212.33</v>
      </c>
      <c r="U66" s="34" t="n">
        <v>29038.92</v>
      </c>
      <c r="V66" s="18" t="n">
        <v>21981.49</v>
      </c>
      <c r="W66" s="18" t="n">
        <v>21696.66</v>
      </c>
      <c r="X66" s="18" t="n">
        <v>20054.25</v>
      </c>
      <c r="Y66" s="18" t="n">
        <v>12730.82</v>
      </c>
      <c r="Z66" s="34" t="n">
        <v>76463.22</v>
      </c>
      <c r="AA66" s="18" t="n">
        <v>14405.33</v>
      </c>
      <c r="AB66" s="19" t="n">
        <v>14920.43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매출총이익</t>
        </is>
      </c>
      <c r="E67" s="18" t="n">
        <v>14100.69</v>
      </c>
      <c r="F67" s="9" t="n"/>
      <c r="G67" s="18" t="n">
        <v>7372.14</v>
      </c>
      <c r="H67" s="18" t="n">
        <v>2766.83</v>
      </c>
      <c r="I67" s="18" t="n">
        <v>7783.63</v>
      </c>
      <c r="J67" s="18" t="n">
        <v>7851.73</v>
      </c>
      <c r="K67" s="34" t="n">
        <v>25774.33</v>
      </c>
      <c r="L67" s="18" t="n">
        <v>4849.87</v>
      </c>
      <c r="M67" s="18" t="n">
        <v>7986.05</v>
      </c>
      <c r="N67" s="18" t="n">
        <v>6857.95</v>
      </c>
      <c r="O67" s="18" t="n">
        <v>7312.77</v>
      </c>
      <c r="P67" s="34" t="n">
        <v>27006.64</v>
      </c>
      <c r="Q67" s="18" t="n">
        <v>3594.58</v>
      </c>
      <c r="R67" s="18" t="n">
        <v>5166.57</v>
      </c>
      <c r="S67" s="18" t="n">
        <v>5025.76</v>
      </c>
      <c r="T67" s="18" t="n">
        <v>3641.42</v>
      </c>
      <c r="U67" s="34" t="n">
        <v>17428.33</v>
      </c>
      <c r="V67" s="18" t="n">
        <v>11999.24</v>
      </c>
      <c r="W67" s="18" t="n">
        <v>9473.040000000001</v>
      </c>
      <c r="X67" s="18" t="n">
        <v>10707.75</v>
      </c>
      <c r="Y67" s="18" t="n">
        <v>7982.27</v>
      </c>
      <c r="Z67" s="34" t="n">
        <v>40162.3</v>
      </c>
      <c r="AA67" s="18" t="n">
        <v>11531.05</v>
      </c>
      <c r="AB67" s="19" t="n">
        <v>9032.9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판관비</t>
        </is>
      </c>
      <c r="E68" s="18" t="n">
        <v>5101.73</v>
      </c>
      <c r="F68" s="9" t="n"/>
      <c r="G68" s="18" t="n">
        <v>1962.38</v>
      </c>
      <c r="H68" s="18" t="n">
        <v>3355.34</v>
      </c>
      <c r="I68" s="18" t="n">
        <v>2425.02</v>
      </c>
      <c r="J68" s="18" t="n">
        <v>5565.68</v>
      </c>
      <c r="K68" s="34" t="n">
        <v>13308.42</v>
      </c>
      <c r="L68" s="18" t="n">
        <v>2240.12</v>
      </c>
      <c r="M68" s="18" t="n">
        <v>4302.87</v>
      </c>
      <c r="N68" s="18" t="n">
        <v>2270.81</v>
      </c>
      <c r="O68" s="18" t="n">
        <v>5212.62</v>
      </c>
      <c r="P68" s="34" t="n">
        <v>14026.42</v>
      </c>
      <c r="Q68" s="18" t="n">
        <v>2416.76</v>
      </c>
      <c r="R68" s="18" t="n">
        <v>4125.4</v>
      </c>
      <c r="S68" s="18" t="n">
        <v>3578.85</v>
      </c>
      <c r="T68" s="18" t="n">
        <v>5661.74</v>
      </c>
      <c r="U68" s="34" t="n">
        <v>15782.75</v>
      </c>
      <c r="V68" s="18" t="n">
        <v>2058.27</v>
      </c>
      <c r="W68" s="18" t="n">
        <v>4332.6</v>
      </c>
      <c r="X68" s="18" t="n">
        <v>4508.63</v>
      </c>
      <c r="Y68" s="18" t="n">
        <v>3937.21</v>
      </c>
      <c r="Z68" s="34" t="n">
        <v>14836.71</v>
      </c>
      <c r="AA68" s="18" t="n">
        <v>3489.5</v>
      </c>
      <c r="AB68" s="19" t="n">
        <v>4834.36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영업이익</t>
        </is>
      </c>
      <c r="E69" s="18" t="n">
        <v>8998.959999999999</v>
      </c>
      <c r="F69" s="9" t="n"/>
      <c r="G69" s="18" t="n">
        <v>5409.76</v>
      </c>
      <c r="H69" s="18" t="n">
        <v>-588.5</v>
      </c>
      <c r="I69" s="18" t="n">
        <v>5358.61</v>
      </c>
      <c r="J69" s="18" t="n">
        <v>2286.05</v>
      </c>
      <c r="K69" s="34" t="n">
        <v>12465.92</v>
      </c>
      <c r="L69" s="18" t="n">
        <v>2609.75</v>
      </c>
      <c r="M69" s="18" t="n">
        <v>3683.18</v>
      </c>
      <c r="N69" s="18" t="n">
        <v>4587.14</v>
      </c>
      <c r="O69" s="18" t="n">
        <v>2100.15</v>
      </c>
      <c r="P69" s="34" t="n">
        <v>12980.22</v>
      </c>
      <c r="Q69" s="18" t="n">
        <v>1177.82</v>
      </c>
      <c r="R69" s="18" t="n">
        <v>1041.17</v>
      </c>
      <c r="S69" s="18" t="n">
        <v>1446.91</v>
      </c>
      <c r="T69" s="18" t="n">
        <v>-2020.33</v>
      </c>
      <c r="U69" s="34" t="n">
        <v>1645.57</v>
      </c>
      <c r="V69" s="18" t="n">
        <v>9940.969999999999</v>
      </c>
      <c r="W69" s="18" t="n">
        <v>5140.44</v>
      </c>
      <c r="X69" s="18" t="n">
        <v>6199.11</v>
      </c>
      <c r="Y69" s="18" t="n">
        <v>4045.06</v>
      </c>
      <c r="Z69" s="34" t="n">
        <v>25325.58</v>
      </c>
      <c r="AA69" s="18" t="n">
        <v>8041.55</v>
      </c>
      <c r="AB69" s="19" t="n">
        <v>4198.54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기타영업외수익</t>
        </is>
      </c>
      <c r="E70" s="18" t="n">
        <v>347.27</v>
      </c>
      <c r="F70" s="9" t="n"/>
      <c r="G70" s="18" t="n">
        <v>100.48</v>
      </c>
      <c r="H70" s="18" t="n">
        <v>396.18</v>
      </c>
      <c r="I70" s="18" t="n">
        <v>607.24</v>
      </c>
      <c r="J70" s="18" t="n">
        <v>1140.21</v>
      </c>
      <c r="K70" s="34" t="n">
        <v>2244.11</v>
      </c>
      <c r="L70" s="18" t="n">
        <v>101.82</v>
      </c>
      <c r="M70" s="18" t="n">
        <v>362.68</v>
      </c>
      <c r="N70" s="18" t="n">
        <v>338.63</v>
      </c>
      <c r="O70" s="18" t="n">
        <v>1168.53</v>
      </c>
      <c r="P70" s="34" t="n">
        <v>1971.66</v>
      </c>
      <c r="Q70" s="18" t="n">
        <v>54.94</v>
      </c>
      <c r="R70" s="18" t="n">
        <v>759.26</v>
      </c>
      <c r="S70" s="18" t="n">
        <v>401.28</v>
      </c>
      <c r="T70" s="18" t="n">
        <v>550.3200000000001</v>
      </c>
      <c r="U70" s="34" t="n">
        <v>1765.8</v>
      </c>
      <c r="V70" s="18" t="n">
        <v>29.04</v>
      </c>
      <c r="W70" s="18" t="n">
        <v>109.36</v>
      </c>
      <c r="X70" s="18" t="n">
        <v>202.55</v>
      </c>
      <c r="Y70" s="18" t="n">
        <v>225.17</v>
      </c>
      <c r="Z70" s="34" t="n">
        <v>566.12</v>
      </c>
      <c r="AA70" s="18" t="n">
        <v>21.68</v>
      </c>
      <c r="AB70" s="19" t="n">
        <v>145.36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기타영업외비용</t>
        </is>
      </c>
      <c r="E71" s="18" t="n">
        <v>8.26</v>
      </c>
      <c r="F71" s="9" t="n"/>
      <c r="G71" s="18" t="n">
        <v>0.92</v>
      </c>
      <c r="H71" s="18" t="n">
        <v>1.22</v>
      </c>
      <c r="I71" s="18" t="n">
        <v>0.83</v>
      </c>
      <c r="J71" s="18" t="n">
        <v>3.44</v>
      </c>
      <c r="K71" s="34" t="n">
        <v>6.41</v>
      </c>
      <c r="L71" s="18" t="n">
        <v>6.28</v>
      </c>
      <c r="M71" s="18" t="n">
        <v>3.04</v>
      </c>
      <c r="N71" s="18" t="n">
        <v>42.79</v>
      </c>
      <c r="O71" s="18" t="n">
        <v>2.12</v>
      </c>
      <c r="P71" s="34" t="n">
        <v>54.23</v>
      </c>
      <c r="Q71" s="18" t="n">
        <v>0.45</v>
      </c>
      <c r="R71" s="18" t="n">
        <v>93.67</v>
      </c>
      <c r="S71" s="18" t="n">
        <v>0.45</v>
      </c>
      <c r="T71" s="18" t="n">
        <v>6.22</v>
      </c>
      <c r="U71" s="34" t="n">
        <v>100.79</v>
      </c>
      <c r="V71" s="18" t="n">
        <v>0.51</v>
      </c>
      <c r="W71" s="18" t="n">
        <v>3.94</v>
      </c>
      <c r="X71" s="18" t="n">
        <v>11.6</v>
      </c>
      <c r="Y71" s="18" t="n">
        <v>0.98</v>
      </c>
      <c r="Z71" s="34" t="n">
        <v>17.03</v>
      </c>
      <c r="AA71" s="18" t="n">
        <v>2.45</v>
      </c>
      <c r="AB71" s="19" t="n">
        <v>15.61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금융수익</t>
        </is>
      </c>
      <c r="E72" s="18" t="n">
        <v>412.78</v>
      </c>
      <c r="F72" s="9" t="n"/>
      <c r="G72" s="18" t="n">
        <v>953.6900000000001</v>
      </c>
      <c r="H72" s="18" t="n">
        <v>2343.61</v>
      </c>
      <c r="I72" s="18" t="n">
        <v>3429.97</v>
      </c>
      <c r="J72" s="18" t="n">
        <v>-938.29</v>
      </c>
      <c r="K72" s="34" t="n">
        <v>5788.98</v>
      </c>
      <c r="L72" s="18" t="n">
        <v>3191.48</v>
      </c>
      <c r="M72" s="18" t="n">
        <v>1470.57</v>
      </c>
      <c r="N72" s="18" t="n">
        <v>1730.51</v>
      </c>
      <c r="O72" s="18" t="n">
        <v>867.2</v>
      </c>
      <c r="P72" s="34" t="n">
        <v>7259.76</v>
      </c>
      <c r="Q72" s="18" t="n">
        <v>4471.51</v>
      </c>
      <c r="R72" s="18" t="n">
        <v>1742.05</v>
      </c>
      <c r="S72" s="18" t="n">
        <v>271.23</v>
      </c>
      <c r="T72" s="18" t="n">
        <v>5571.1</v>
      </c>
      <c r="U72" s="34" t="n">
        <v>12055.89</v>
      </c>
      <c r="V72" s="18" t="n">
        <v>1693.21</v>
      </c>
      <c r="W72" s="18" t="n">
        <v>293.9</v>
      </c>
      <c r="X72" s="18" t="n">
        <v>870.38</v>
      </c>
      <c r="Y72" s="18" t="n">
        <v>640.66</v>
      </c>
      <c r="Z72" s="34" t="n">
        <v>3498.15</v>
      </c>
      <c r="AA72" s="18" t="n">
        <v>2726.03</v>
      </c>
      <c r="AB72" s="19" t="n">
        <v>1637.59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이자수익</t>
        </is>
      </c>
      <c r="E73" s="18" t="n">
        <v>186.76</v>
      </c>
      <c r="F73" s="9" t="n"/>
      <c r="G73" s="18" t="n">
        <v>433.43</v>
      </c>
      <c r="H73" s="18" t="n">
        <v>151.28</v>
      </c>
      <c r="I73" s="18" t="n">
        <v>524.16</v>
      </c>
      <c r="J73" s="18" t="n">
        <v>152.95</v>
      </c>
      <c r="K73" s="34" t="n">
        <v>1261.82</v>
      </c>
      <c r="L73" s="18" t="n">
        <v>714.13</v>
      </c>
      <c r="M73" s="18" t="n">
        <v>210.96</v>
      </c>
      <c r="P73" s="9" t="n"/>
      <c r="Q73" s="18" t="n">
        <v>602.03</v>
      </c>
      <c r="R73" s="18" t="n">
        <v>576.41</v>
      </c>
      <c r="S73" s="18" t="n">
        <v>566.52</v>
      </c>
      <c r="U73" s="9" t="n"/>
      <c r="Z73" s="9" t="n"/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금융비용</t>
        </is>
      </c>
      <c r="E74" s="18" t="n">
        <v>636.42</v>
      </c>
      <c r="F74" s="9" t="n"/>
      <c r="G74" s="18" t="n">
        <v>2360.93</v>
      </c>
      <c r="H74" s="18" t="n">
        <v>1391.1</v>
      </c>
      <c r="I74" s="18" t="n">
        <v>22.25</v>
      </c>
      <c r="J74" s="18" t="n">
        <v>2712.82</v>
      </c>
      <c r="K74" s="34" t="n">
        <v>6487.1</v>
      </c>
      <c r="L74" s="18" t="n">
        <v>981.3099999999999</v>
      </c>
      <c r="M74" s="18" t="n">
        <v>-28.03</v>
      </c>
      <c r="N74" s="18" t="n">
        <v>480.04</v>
      </c>
      <c r="O74" s="18" t="n">
        <v>1662.09</v>
      </c>
      <c r="P74" s="34" t="n">
        <v>3095.41</v>
      </c>
      <c r="Q74" s="18" t="n">
        <v>287.35</v>
      </c>
      <c r="R74" s="18" t="n">
        <v>28.05</v>
      </c>
      <c r="S74" s="18" t="n">
        <v>850.6900000000001</v>
      </c>
      <c r="T74" s="18" t="n">
        <v>101.58</v>
      </c>
      <c r="U74" s="34" t="n">
        <v>1267.67</v>
      </c>
      <c r="V74" s="18" t="n">
        <v>1432.12</v>
      </c>
      <c r="W74" s="18" t="n">
        <v>4975.07</v>
      </c>
      <c r="X74" s="18" t="n">
        <v>-2564.46</v>
      </c>
      <c r="Y74" s="18" t="n">
        <v>-252.4</v>
      </c>
      <c r="Z74" s="34" t="n">
        <v>3590.33</v>
      </c>
      <c r="AA74" s="18" t="n">
        <v>4573.3</v>
      </c>
      <c r="AB74" s="19" t="n">
        <v>-1259.81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이자비용</t>
        </is>
      </c>
      <c r="E75" s="18" t="n">
        <v>9.140000000000001</v>
      </c>
      <c r="F75" s="9" t="n"/>
      <c r="G75" s="18" t="n">
        <v>1.33</v>
      </c>
      <c r="H75" s="18" t="n">
        <v>1.5</v>
      </c>
      <c r="I75" s="18" t="n">
        <v>1.53</v>
      </c>
      <c r="J75" s="18" t="n">
        <v>1.93</v>
      </c>
      <c r="K75" s="34" t="n">
        <v>6.29</v>
      </c>
      <c r="L75" s="18" t="n">
        <v>2.15</v>
      </c>
      <c r="M75" s="18" t="n">
        <v>2.08</v>
      </c>
      <c r="P75" s="9" t="n"/>
      <c r="Q75" s="18" t="n">
        <v>1.3</v>
      </c>
      <c r="R75" s="18" t="n">
        <v>0.75</v>
      </c>
      <c r="S75" s="18" t="n">
        <v>0.63</v>
      </c>
      <c r="U75" s="9" t="n"/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법인세비용차감전계속사업이익</t>
        </is>
      </c>
      <c r="E76" s="18" t="n">
        <v>9128.629999999999</v>
      </c>
      <c r="F76" s="9" t="n"/>
      <c r="G76" s="18" t="n">
        <v>4102.09</v>
      </c>
      <c r="H76" s="18" t="n">
        <v>758.97</v>
      </c>
      <c r="I76" s="18" t="n">
        <v>9372.74</v>
      </c>
      <c r="J76" s="18" t="n">
        <v>-228.29</v>
      </c>
      <c r="K76" s="34" t="n">
        <v>14005.51</v>
      </c>
      <c r="L76" s="18" t="n">
        <v>4915.47</v>
      </c>
      <c r="M76" s="18" t="n">
        <v>5541.42</v>
      </c>
      <c r="N76" s="18" t="n">
        <v>5916.42</v>
      </c>
      <c r="O76" s="18" t="n">
        <v>2518.29</v>
      </c>
      <c r="P76" s="34" t="n">
        <v>18891.6</v>
      </c>
      <c r="Q76" s="18" t="n">
        <v>5416.47</v>
      </c>
      <c r="R76" s="18" t="n">
        <v>3420.77</v>
      </c>
      <c r="S76" s="18" t="n">
        <v>1268.29</v>
      </c>
      <c r="T76" s="18" t="n">
        <v>3993.3</v>
      </c>
      <c r="U76" s="34" t="n">
        <v>14098.83</v>
      </c>
      <c r="V76" s="18" t="n">
        <v>10230.59</v>
      </c>
      <c r="W76" s="18" t="n">
        <v>564.7</v>
      </c>
      <c r="X76" s="18" t="n">
        <v>9824.91</v>
      </c>
      <c r="Y76" s="18" t="n">
        <v>5162.32</v>
      </c>
      <c r="Z76" s="34" t="n">
        <v>25782.52</v>
      </c>
      <c r="AA76" s="18" t="n">
        <v>6213.51</v>
      </c>
      <c r="AB76" s="19" t="n">
        <v>7225.69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법인세비용</t>
        </is>
      </c>
      <c r="E77" s="18" t="n">
        <v>1827.88</v>
      </c>
      <c r="F77" s="9" t="n"/>
      <c r="G77" s="18" t="n">
        <v>879.89</v>
      </c>
      <c r="H77" s="18" t="n">
        <v>165.08</v>
      </c>
      <c r="I77" s="18" t="n">
        <v>2054.79</v>
      </c>
      <c r="J77" s="18" t="n">
        <v>-397.71</v>
      </c>
      <c r="K77" s="34" t="n">
        <v>2702.05</v>
      </c>
      <c r="L77" s="18" t="n">
        <v>1116.14</v>
      </c>
      <c r="M77" s="18" t="n">
        <v>1071.67</v>
      </c>
      <c r="N77" s="18" t="n">
        <v>1262.36</v>
      </c>
      <c r="O77" s="18" t="n">
        <v>-14.79</v>
      </c>
      <c r="P77" s="34" t="n">
        <v>3435.38</v>
      </c>
      <c r="Q77" s="18" t="n">
        <v>1165.64</v>
      </c>
      <c r="R77" s="18" t="n">
        <v>756.49</v>
      </c>
      <c r="S77" s="18" t="n">
        <v>309.57</v>
      </c>
      <c r="T77" s="18" t="n">
        <v>392.87</v>
      </c>
      <c r="U77" s="34" t="n">
        <v>2624.57</v>
      </c>
      <c r="V77" s="18" t="n">
        <v>2167.2</v>
      </c>
      <c r="W77" s="18" t="n">
        <v>174.58</v>
      </c>
      <c r="X77" s="18" t="n">
        <v>2033.68</v>
      </c>
      <c r="Y77" s="18" t="n">
        <v>700.6799999999999</v>
      </c>
      <c r="Z77" s="34" t="n">
        <v>5076.14</v>
      </c>
      <c r="AA77" s="18" t="n">
        <v>1258.45</v>
      </c>
      <c r="AB77" s="19" t="n">
        <v>2008.12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당기순이익</t>
        </is>
      </c>
      <c r="E78" s="18" t="n">
        <v>7300.73</v>
      </c>
      <c r="F78" s="9" t="n"/>
      <c r="G78" s="18" t="n">
        <v>3222.21</v>
      </c>
      <c r="H78" s="18" t="n">
        <v>593.89</v>
      </c>
      <c r="I78" s="18" t="n">
        <v>7317.95</v>
      </c>
      <c r="J78" s="18" t="n">
        <v>169.42</v>
      </c>
      <c r="K78" s="34" t="n">
        <v>11303.47</v>
      </c>
      <c r="L78" s="18" t="n">
        <v>3799.32</v>
      </c>
      <c r="M78" s="18" t="n">
        <v>4469.75</v>
      </c>
      <c r="N78" s="18" t="n">
        <v>4654.06</v>
      </c>
      <c r="O78" s="18" t="n">
        <v>2533.08</v>
      </c>
      <c r="P78" s="34" t="n">
        <v>15456.21</v>
      </c>
      <c r="Q78" s="18" t="n">
        <v>4250.83</v>
      </c>
      <c r="R78" s="18" t="n">
        <v>2664.28</v>
      </c>
      <c r="S78" s="18" t="n">
        <v>958.72</v>
      </c>
      <c r="T78" s="18" t="n">
        <v>3600.43</v>
      </c>
      <c r="U78" s="34" t="n">
        <v>11474.26</v>
      </c>
      <c r="V78" s="18" t="n">
        <v>8063.39</v>
      </c>
      <c r="W78" s="18" t="n">
        <v>390.12</v>
      </c>
      <c r="X78" s="18" t="n">
        <v>7791.23</v>
      </c>
      <c r="Y78" s="18" t="n">
        <v>4461.64</v>
      </c>
      <c r="Z78" s="34" t="n">
        <v>20706.38</v>
      </c>
      <c r="AA78" s="18" t="n">
        <v>4955.06</v>
      </c>
      <c r="AB78" s="19" t="n">
        <v>5217.57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(지배주주지분)당기순이익</t>
        </is>
      </c>
      <c r="E79" s="18" t="n">
        <v>7286.94</v>
      </c>
      <c r="F79" s="9" t="n"/>
      <c r="G79" s="18" t="n">
        <v>3222.21</v>
      </c>
      <c r="H79" s="18" t="n">
        <v>588.9400000000001</v>
      </c>
      <c r="I79" s="18" t="n">
        <v>7293.21</v>
      </c>
      <c r="J79" s="18" t="n">
        <v>156.22</v>
      </c>
      <c r="K79" s="34" t="n">
        <v>11260.58</v>
      </c>
      <c r="L79" s="18" t="n">
        <v>3799.32</v>
      </c>
      <c r="M79" s="18" t="n">
        <v>4459.93</v>
      </c>
      <c r="N79" s="18" t="n">
        <v>4660.6</v>
      </c>
      <c r="O79" s="18" t="n">
        <v>2554.34</v>
      </c>
      <c r="P79" s="34" t="n">
        <v>15474.19</v>
      </c>
      <c r="Q79" s="18" t="n">
        <v>4250.83</v>
      </c>
      <c r="R79" s="18" t="n">
        <v>2654.69</v>
      </c>
      <c r="S79" s="18" t="n">
        <v>977.67</v>
      </c>
      <c r="T79" s="18" t="n">
        <v>3604.97</v>
      </c>
      <c r="U79" s="34" t="n">
        <v>11488.16</v>
      </c>
      <c r="V79" s="18" t="n">
        <v>8079.2</v>
      </c>
      <c r="W79" s="18" t="n">
        <v>398.27</v>
      </c>
      <c r="X79" s="18" t="n">
        <v>7795.56</v>
      </c>
      <c r="Y79" s="18" t="n">
        <v>4460.56</v>
      </c>
      <c r="Z79" s="34" t="n">
        <v>20733.59</v>
      </c>
      <c r="AA79" s="18" t="n">
        <v>4916.1</v>
      </c>
      <c r="AB79" s="19" t="n">
        <v>5224.84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(비지배주주지분)당기순이익</t>
        </is>
      </c>
      <c r="E80" s="18" t="n">
        <v>13.79</v>
      </c>
      <c r="F80" s="9" t="n"/>
      <c r="H80" s="18" t="n">
        <v>4.96</v>
      </c>
      <c r="I80" s="18" t="n">
        <v>24.74</v>
      </c>
      <c r="J80" s="18" t="n">
        <v>13.2</v>
      </c>
      <c r="K80" s="9" t="n"/>
      <c r="M80" s="18" t="n">
        <v>9.82</v>
      </c>
      <c r="N80" s="18" t="n">
        <v>-6.54</v>
      </c>
      <c r="O80" s="18" t="n">
        <v>-21.26</v>
      </c>
      <c r="P80" s="9" t="n"/>
      <c r="U80" s="9" t="n"/>
      <c r="V80" s="18" t="n">
        <v>-15.81</v>
      </c>
      <c r="W80" s="18" t="n">
        <v>-8.140000000000001</v>
      </c>
      <c r="X80" s="18" t="n">
        <v>-4.33</v>
      </c>
      <c r="Y80" s="18" t="n">
        <v>1.08</v>
      </c>
      <c r="Z80" s="34" t="n">
        <v>-27.2</v>
      </c>
      <c r="AA80" s="18" t="n">
        <v>38.96</v>
      </c>
      <c r="AB80" s="19" t="n">
        <v>-7.27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총포괄손익</t>
        </is>
      </c>
      <c r="E81" s="18" t="n">
        <v>7528.48</v>
      </c>
      <c r="F81" s="9" t="n"/>
      <c r="G81" s="18" t="n">
        <v>3392.36</v>
      </c>
      <c r="H81" s="18" t="n">
        <v>510.16</v>
      </c>
      <c r="I81" s="18" t="n">
        <v>7386.34</v>
      </c>
      <c r="J81" s="18" t="n">
        <v>-61.1</v>
      </c>
      <c r="K81" s="34" t="n">
        <v>11227.76</v>
      </c>
      <c r="L81" s="18" t="n">
        <v>3900.67</v>
      </c>
      <c r="M81" s="18" t="n">
        <v>4368.94</v>
      </c>
      <c r="N81" s="18" t="n">
        <v>4685.52</v>
      </c>
      <c r="O81" s="18" t="n">
        <v>2077.27</v>
      </c>
      <c r="P81" s="34" t="n">
        <v>15032.4</v>
      </c>
      <c r="Q81" s="18" t="n">
        <v>4289.48</v>
      </c>
      <c r="R81" s="18" t="n">
        <v>2723.28</v>
      </c>
      <c r="S81" s="18" t="n">
        <v>940.03</v>
      </c>
      <c r="T81" s="18" t="n">
        <v>3702.69</v>
      </c>
      <c r="U81" s="34" t="n">
        <v>11655.48</v>
      </c>
      <c r="V81" s="18" t="n">
        <v>8065.05</v>
      </c>
      <c r="W81" s="18" t="n">
        <v>250.42</v>
      </c>
      <c r="X81" s="18" t="n">
        <v>7870.68</v>
      </c>
      <c r="Y81" s="18" t="n">
        <v>4594.96</v>
      </c>
      <c r="Z81" s="34" t="n">
        <v>20781.11</v>
      </c>
      <c r="AA81" s="18" t="n">
        <v>5126.41</v>
      </c>
      <c r="AB81" s="19" t="n">
        <v>5296.92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금융손익</t>
        </is>
      </c>
      <c r="E82" s="18" t="n">
        <v>-223.64</v>
      </c>
      <c r="F82" s="9" t="n"/>
      <c r="G82" s="18" t="n">
        <v>-1407.24</v>
      </c>
      <c r="H82" s="18" t="n">
        <v>952.51</v>
      </c>
      <c r="I82" s="18" t="n">
        <v>3407.72</v>
      </c>
      <c r="J82" s="18" t="n">
        <v>-3651.11</v>
      </c>
      <c r="K82" s="34" t="n">
        <v>-698.12</v>
      </c>
      <c r="L82" s="18" t="n">
        <v>2210.17</v>
      </c>
      <c r="M82" s="18" t="n">
        <v>1498.6</v>
      </c>
      <c r="N82" s="18" t="n">
        <v>1250.47</v>
      </c>
      <c r="O82" s="18" t="n">
        <v>-794.89</v>
      </c>
      <c r="P82" s="34" t="n">
        <v>4164.35</v>
      </c>
      <c r="Q82" s="18" t="n">
        <v>4184.16</v>
      </c>
      <c r="R82" s="18" t="n">
        <v>1714</v>
      </c>
      <c r="S82" s="18" t="n">
        <v>-579.46</v>
      </c>
      <c r="T82" s="18" t="n">
        <v>5469.52</v>
      </c>
      <c r="U82" s="34" t="n">
        <v>10788.22</v>
      </c>
      <c r="V82" s="18" t="n">
        <v>261.09</v>
      </c>
      <c r="W82" s="18" t="n">
        <v>-4681.17</v>
      </c>
      <c r="X82" s="18" t="n">
        <v>3434.84</v>
      </c>
      <c r="Y82" s="18" t="n">
        <v>893.0599999999999</v>
      </c>
      <c r="Z82" s="34" t="n">
        <v>-92.18000000000001</v>
      </c>
      <c r="AA82" s="18" t="n">
        <v>-1847.27</v>
      </c>
      <c r="AB82" s="19" t="n">
        <v>2897.4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이자손익</t>
        </is>
      </c>
      <c r="E83" s="18" t="n">
        <v>177.62</v>
      </c>
      <c r="F83" s="9" t="n"/>
      <c r="G83" s="18" t="n">
        <v>432.1</v>
      </c>
      <c r="H83" s="18" t="n">
        <v>149.78</v>
      </c>
      <c r="I83" s="18" t="n">
        <v>522.63</v>
      </c>
      <c r="J83" s="18" t="n">
        <v>151.02</v>
      </c>
      <c r="K83" s="34" t="n">
        <v>1255.53</v>
      </c>
      <c r="L83" s="18" t="n">
        <v>711.98</v>
      </c>
      <c r="M83" s="18" t="n">
        <v>208.88</v>
      </c>
      <c r="P83" s="9" t="n"/>
      <c r="Q83" s="18" t="n">
        <v>600.73</v>
      </c>
      <c r="R83" s="18" t="n">
        <v>575.66</v>
      </c>
      <c r="S83" s="18" t="n">
        <v>565.89</v>
      </c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기타영업외손익</t>
        </is>
      </c>
      <c r="E84" s="18" t="n">
        <v>339.01</v>
      </c>
      <c r="F84" s="9" t="n"/>
      <c r="G84" s="18" t="n">
        <v>99.56</v>
      </c>
      <c r="H84" s="18" t="n">
        <v>394.96</v>
      </c>
      <c r="I84" s="18" t="n">
        <v>606.41</v>
      </c>
      <c r="J84" s="18" t="n">
        <v>1136.77</v>
      </c>
      <c r="K84" s="34" t="n">
        <v>2237.7</v>
      </c>
      <c r="L84" s="18" t="n">
        <v>95.54000000000001</v>
      </c>
      <c r="M84" s="18" t="n">
        <v>359.64</v>
      </c>
      <c r="N84" s="18" t="n">
        <v>295.84</v>
      </c>
      <c r="O84" s="18" t="n">
        <v>1166.41</v>
      </c>
      <c r="P84" s="34" t="n">
        <v>1917.43</v>
      </c>
      <c r="Q84" s="18" t="n">
        <v>54.49</v>
      </c>
      <c r="R84" s="18" t="n">
        <v>665.59</v>
      </c>
      <c r="S84" s="18" t="n">
        <v>400.83</v>
      </c>
      <c r="T84" s="18" t="n">
        <v>544.1</v>
      </c>
      <c r="U84" s="34" t="n">
        <v>1665.01</v>
      </c>
      <c r="V84" s="18" t="n">
        <v>28.53</v>
      </c>
      <c r="W84" s="18" t="n">
        <v>105.42</v>
      </c>
      <c r="X84" s="18" t="n">
        <v>190.95</v>
      </c>
      <c r="Y84" s="18" t="n">
        <v>224.19</v>
      </c>
      <c r="Z84" s="34" t="n">
        <v>549.09</v>
      </c>
      <c r="AA84" s="18" t="n">
        <v>19.23</v>
      </c>
      <c r="AB84" s="19" t="n">
        <v>129.75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계속사업이익</t>
        </is>
      </c>
      <c r="E85" s="18" t="n">
        <v>7300.73</v>
      </c>
      <c r="F85" s="9" t="n"/>
      <c r="G85" s="18" t="n">
        <v>3222.21</v>
      </c>
      <c r="H85" s="18" t="n">
        <v>593.89</v>
      </c>
      <c r="I85" s="18" t="n">
        <v>7317.95</v>
      </c>
      <c r="J85" s="18" t="n">
        <v>169.42</v>
      </c>
      <c r="K85" s="34" t="n">
        <v>11303.47</v>
      </c>
      <c r="L85" s="18" t="n">
        <v>3799.32</v>
      </c>
      <c r="M85" s="18" t="n">
        <v>4469.75</v>
      </c>
      <c r="N85" s="18" t="n">
        <v>4654.06</v>
      </c>
      <c r="O85" s="18" t="n">
        <v>2533.08</v>
      </c>
      <c r="P85" s="34" t="n">
        <v>15456.21</v>
      </c>
      <c r="Q85" s="18" t="n">
        <v>4250.83</v>
      </c>
      <c r="R85" s="18" t="n">
        <v>2664.28</v>
      </c>
      <c r="S85" s="18" t="n">
        <v>958.72</v>
      </c>
      <c r="T85" s="18" t="n">
        <v>3600.43</v>
      </c>
      <c r="U85" s="34" t="n">
        <v>11474.26</v>
      </c>
      <c r="V85" s="18" t="n">
        <v>8063.39</v>
      </c>
      <c r="W85" s="18" t="n">
        <v>390.12</v>
      </c>
      <c r="X85" s="18" t="n">
        <v>7791.23</v>
      </c>
      <c r="Y85" s="18" t="n">
        <v>4461.64</v>
      </c>
      <c r="Z85" s="34" t="n">
        <v>20706.38</v>
      </c>
      <c r="AA85" s="18" t="n">
        <v>4955.06</v>
      </c>
      <c r="AB85" s="19" t="n">
        <v>5217.57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배당금수익</t>
        </is>
      </c>
      <c r="F86" s="9" t="n"/>
      <c r="H86" s="18" t="n">
        <v>2.3</v>
      </c>
      <c r="K86" s="9" t="n"/>
      <c r="M86" s="18" t="n">
        <v>2.99</v>
      </c>
      <c r="N86" s="18" t="n">
        <v>0.57</v>
      </c>
      <c r="O86" s="18" t="n">
        <v>0</v>
      </c>
      <c r="P86" s="9" t="n"/>
      <c r="Q86" s="18" t="n">
        <v>0.4</v>
      </c>
      <c r="R86" s="18" t="n">
        <v>1.92</v>
      </c>
      <c r="S86" s="18" t="n">
        <v>0.57</v>
      </c>
      <c r="U86" s="9" t="n"/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외환차익</t>
        </is>
      </c>
      <c r="F87" s="9" t="n"/>
      <c r="H87" s="18" t="n">
        <v>377.68</v>
      </c>
      <c r="I87" s="18" t="n">
        <v>859.45</v>
      </c>
      <c r="K87" s="9" t="n"/>
      <c r="M87" s="18" t="n">
        <v>443.54</v>
      </c>
      <c r="N87" s="18" t="n">
        <v>267.5</v>
      </c>
      <c r="O87" s="18" t="n">
        <v>1582.74</v>
      </c>
      <c r="P87" s="9" t="n"/>
      <c r="Q87" s="18" t="n">
        <v>386.01</v>
      </c>
      <c r="R87" s="18" t="n">
        <v>242.02</v>
      </c>
      <c r="S87" s="18" t="n">
        <v>1021.95</v>
      </c>
      <c r="U87" s="9" t="n"/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외화환산이익</t>
        </is>
      </c>
      <c r="F88" s="9" t="n"/>
      <c r="H88" s="18" t="n">
        <v>1500.59</v>
      </c>
      <c r="I88" s="18" t="n">
        <v>2045.64</v>
      </c>
      <c r="K88" s="9" t="n"/>
      <c r="M88" s="18" t="n">
        <v>189.05</v>
      </c>
      <c r="N88" s="18" t="n">
        <v>969.2</v>
      </c>
      <c r="O88" s="18" t="n">
        <v>-1385.16</v>
      </c>
      <c r="P88" s="9" t="n"/>
      <c r="Q88" s="18" t="n">
        <v>1692.06</v>
      </c>
      <c r="R88" s="18" t="n">
        <v>72.65000000000001</v>
      </c>
      <c r="S88" s="18" t="n">
        <v>-805.1</v>
      </c>
      <c r="U88" s="9" t="n"/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외환차손</t>
        </is>
      </c>
      <c r="F89" s="9" t="n"/>
      <c r="H89" s="18" t="n">
        <v>97.64</v>
      </c>
      <c r="I89" s="18" t="n">
        <v>732.14</v>
      </c>
      <c r="K89" s="9" t="n"/>
      <c r="M89" s="18" t="n">
        <v>267.83</v>
      </c>
      <c r="N89" s="18" t="n">
        <v>410.65</v>
      </c>
      <c r="O89" s="18" t="n">
        <v>1718.89</v>
      </c>
      <c r="P89" s="9" t="n"/>
      <c r="Q89" s="18" t="n">
        <v>282.31</v>
      </c>
      <c r="R89" s="18" t="n">
        <v>28.06</v>
      </c>
      <c r="S89" s="18" t="n">
        <v>610.03</v>
      </c>
      <c r="U89" s="9" t="n"/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외화환산손실</t>
        </is>
      </c>
      <c r="F90" s="9" t="n"/>
      <c r="H90" s="18" t="n">
        <v>0.37</v>
      </c>
      <c r="I90" s="18" t="n">
        <v>3.93</v>
      </c>
      <c r="K90" s="9" t="n"/>
      <c r="M90" s="18" t="n">
        <v>-59.11</v>
      </c>
      <c r="N90" s="18" t="n">
        <v>-2.08</v>
      </c>
      <c r="O90" s="18" t="n">
        <v>10.3</v>
      </c>
      <c r="P90" s="9" t="n"/>
      <c r="Q90" s="18" t="n">
        <v>3.73</v>
      </c>
      <c r="R90" s="18" t="n">
        <v>-0.76</v>
      </c>
      <c r="S90" s="18" t="n">
        <v>240.04</v>
      </c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영업활동으로인한현금흐름</t>
        </is>
      </c>
      <c r="E91" s="18" t="n">
        <v>1113.35</v>
      </c>
      <c r="F91" s="9" t="n"/>
      <c r="G91" s="18" t="n">
        <v>11133.24</v>
      </c>
      <c r="H91" s="18" t="n">
        <v>-4724.23</v>
      </c>
      <c r="I91" s="18" t="n">
        <v>9744.459999999999</v>
      </c>
      <c r="J91" s="18" t="n">
        <v>-467.4</v>
      </c>
      <c r="K91" s="34" t="n">
        <v>15686.07</v>
      </c>
      <c r="L91" s="18" t="n">
        <v>1570.97</v>
      </c>
      <c r="M91" s="18" t="n">
        <v>-7062.48</v>
      </c>
      <c r="N91" s="18" t="n">
        <v>9991.33</v>
      </c>
      <c r="O91" s="18" t="n">
        <v>6301.41</v>
      </c>
      <c r="P91" s="34" t="n">
        <v>10801.23</v>
      </c>
      <c r="Q91" s="18" t="n">
        <v>4005.31</v>
      </c>
      <c r="R91" s="18" t="n">
        <v>2331.12</v>
      </c>
      <c r="S91" s="18" t="n">
        <v>7555.15</v>
      </c>
      <c r="T91" s="18" t="n">
        <v>-16600.86</v>
      </c>
      <c r="U91" s="34" t="n">
        <v>-2709.28</v>
      </c>
      <c r="V91" s="18" t="n">
        <v>23775.8</v>
      </c>
      <c r="W91" s="18" t="n">
        <v>-1494.92</v>
      </c>
      <c r="X91" s="18" t="n">
        <v>20047.84</v>
      </c>
      <c r="Y91" s="18" t="n">
        <v>-6055.19</v>
      </c>
      <c r="Z91" s="34" t="n">
        <v>36273.53</v>
      </c>
      <c r="AA91" s="18" t="n">
        <v>6556.69</v>
      </c>
      <c r="AB91" s="19" t="n">
        <v>4205.4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감가상각비</t>
        </is>
      </c>
      <c r="E92" s="18" t="n">
        <v>26.75</v>
      </c>
      <c r="F92" s="9" t="n"/>
      <c r="G92" s="18" t="n">
        <v>72.05</v>
      </c>
      <c r="H92" s="18" t="n">
        <v>74.41</v>
      </c>
      <c r="I92" s="18" t="n">
        <v>74.93000000000001</v>
      </c>
      <c r="J92" s="18" t="n">
        <v>80.78</v>
      </c>
      <c r="K92" s="34" t="n">
        <v>302.17</v>
      </c>
      <c r="L92" s="18" t="n">
        <v>81.62</v>
      </c>
      <c r="M92" s="18" t="n">
        <v>81.64</v>
      </c>
      <c r="P92" s="9" t="n"/>
      <c r="Q92" s="18" t="n">
        <v>82.78</v>
      </c>
      <c r="R92" s="18" t="n">
        <v>79.7</v>
      </c>
      <c r="S92" s="18" t="n">
        <v>78.89</v>
      </c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무형자산상각비</t>
        </is>
      </c>
      <c r="E93" s="18" t="n">
        <v>0.83</v>
      </c>
      <c r="F93" s="9" t="n"/>
      <c r="G93" s="18" t="n">
        <v>0.78</v>
      </c>
      <c r="H93" s="18" t="n">
        <v>0.68</v>
      </c>
      <c r="I93" s="18" t="n">
        <v>1.91</v>
      </c>
      <c r="J93" s="18" t="n">
        <v>4.62</v>
      </c>
      <c r="K93" s="34" t="n">
        <v>7.99</v>
      </c>
      <c r="L93" s="18" t="n">
        <v>5.66</v>
      </c>
      <c r="M93" s="18" t="n">
        <v>5.91</v>
      </c>
      <c r="P93" s="9" t="n"/>
      <c r="Q93" s="18" t="n">
        <v>5.94</v>
      </c>
      <c r="R93" s="18" t="n">
        <v>6</v>
      </c>
      <c r="S93" s="18" t="n">
        <v>5.98</v>
      </c>
      <c r="U93" s="9" t="n"/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배당금수취(CF)</t>
        </is>
      </c>
      <c r="E94" s="18" t="n">
        <v>0</v>
      </c>
      <c r="F94" s="9" t="n"/>
      <c r="I94" s="18" t="n">
        <v>0</v>
      </c>
      <c r="J94" s="18" t="n">
        <v>0</v>
      </c>
      <c r="K94" s="9" t="n"/>
      <c r="N94" s="18" t="n">
        <v>0.57</v>
      </c>
      <c r="O94" s="18" t="n">
        <v>0</v>
      </c>
      <c r="P94" s="9" t="n"/>
      <c r="S94" s="18" t="n">
        <v>0</v>
      </c>
      <c r="T94" s="18" t="n">
        <v>0.57</v>
      </c>
      <c r="U94" s="9" t="n"/>
      <c r="X94" s="18" t="n">
        <v>0.67</v>
      </c>
      <c r="Y94" s="18" t="n">
        <v>0</v>
      </c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법인세납부(CF)</t>
        </is>
      </c>
      <c r="E95" s="18" t="n">
        <v>-36.03</v>
      </c>
      <c r="F95" s="9" t="n"/>
      <c r="G95" s="18" t="n">
        <v>-1605.88</v>
      </c>
      <c r="H95" s="18" t="n">
        <v>-1932.29</v>
      </c>
      <c r="I95" s="18" t="n">
        <v>-1814.66</v>
      </c>
      <c r="J95" s="18" t="n">
        <v>-23.14</v>
      </c>
      <c r="K95" s="34" t="n">
        <v>-5375.97</v>
      </c>
      <c r="L95" s="18" t="n">
        <v>-147.38</v>
      </c>
      <c r="M95" s="18" t="n">
        <v>-813.78</v>
      </c>
      <c r="N95" s="18" t="n">
        <v>-1170.38</v>
      </c>
      <c r="O95" s="18" t="n">
        <v>-1617.23</v>
      </c>
      <c r="P95" s="34" t="n">
        <v>-3748.77</v>
      </c>
      <c r="Q95" s="18" t="n">
        <v>-734.74</v>
      </c>
      <c r="R95" s="18" t="n">
        <v>-1044.58</v>
      </c>
      <c r="S95" s="18" t="n">
        <v>-1480.15</v>
      </c>
      <c r="T95" s="18" t="n">
        <v>-87.48999999999999</v>
      </c>
      <c r="U95" s="34" t="n">
        <v>-3346.96</v>
      </c>
      <c r="V95" s="18" t="n">
        <v>-73.31</v>
      </c>
      <c r="W95" s="18" t="n">
        <v>-98.69</v>
      </c>
      <c r="X95" s="18" t="n">
        <v>-2746.93</v>
      </c>
      <c r="Y95" s="18" t="n">
        <v>-55.84</v>
      </c>
      <c r="Z95" s="34" t="n">
        <v>-2974.77</v>
      </c>
      <c r="AA95" s="18" t="n">
        <v>-1033.9</v>
      </c>
      <c r="AB95" s="19" t="n">
        <v>-1519.44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투자활동으로인한현금흐름</t>
        </is>
      </c>
      <c r="E96" s="18" t="n">
        <v>-757.89</v>
      </c>
      <c r="F96" s="9" t="n"/>
      <c r="G96" s="18" t="n">
        <v>-928.67</v>
      </c>
      <c r="H96" s="18" t="n">
        <v>-702.33</v>
      </c>
      <c r="I96" s="18" t="n">
        <v>39.51</v>
      </c>
      <c r="J96" s="18" t="n">
        <v>4338.87</v>
      </c>
      <c r="K96" s="34" t="n">
        <v>2747.38</v>
      </c>
      <c r="L96" s="18" t="n">
        <v>1235.47</v>
      </c>
      <c r="M96" s="18" t="n">
        <v>-2473.1</v>
      </c>
      <c r="N96" s="18" t="n">
        <v>-64.61</v>
      </c>
      <c r="O96" s="18" t="n">
        <v>-3632.59</v>
      </c>
      <c r="P96" s="34" t="n">
        <v>-4934.83</v>
      </c>
      <c r="Q96" s="18" t="n">
        <v>492.85</v>
      </c>
      <c r="R96" s="18" t="n">
        <v>-12.58</v>
      </c>
      <c r="S96" s="18" t="n">
        <v>-5442.73</v>
      </c>
      <c r="T96" s="18" t="n">
        <v>9559.23</v>
      </c>
      <c r="U96" s="34" t="n">
        <v>4596.77</v>
      </c>
      <c r="V96" s="18" t="n">
        <v>-32.83</v>
      </c>
      <c r="W96" s="18" t="n">
        <v>2708.29</v>
      </c>
      <c r="X96" s="18" t="n">
        <v>-31.67</v>
      </c>
      <c r="Y96" s="18" t="n">
        <v>-20.87</v>
      </c>
      <c r="Z96" s="34" t="n">
        <v>2622.92</v>
      </c>
      <c r="AA96" s="18" t="n">
        <v>-9678.389999999999</v>
      </c>
      <c r="AB96" s="19" t="n">
        <v>20718.54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재무활동으로인한현금흐름</t>
        </is>
      </c>
      <c r="E97" s="18" t="n">
        <v>-2437.02</v>
      </c>
      <c r="F97" s="9" t="n"/>
      <c r="G97" s="18" t="n">
        <v>-4.59</v>
      </c>
      <c r="H97" s="18" t="n">
        <v>-5093.37</v>
      </c>
      <c r="I97" s="18" t="n">
        <v>-6.25</v>
      </c>
      <c r="J97" s="18" t="n">
        <v>-2069.02</v>
      </c>
      <c r="K97" s="34" t="n">
        <v>-7173.23</v>
      </c>
      <c r="L97" s="18" t="n">
        <v>-14.88</v>
      </c>
      <c r="M97" s="18" t="n">
        <v>-7483.04</v>
      </c>
      <c r="N97" s="18" t="n">
        <v>-2504.06</v>
      </c>
      <c r="O97" s="18" t="n">
        <v>-1006</v>
      </c>
      <c r="P97" s="34" t="n">
        <v>-11007.98</v>
      </c>
      <c r="Q97" s="18" t="n">
        <v>-388.28</v>
      </c>
      <c r="R97" s="18" t="n">
        <v>-4941.79</v>
      </c>
      <c r="S97" s="18" t="n">
        <v>-2475.73</v>
      </c>
      <c r="T97" s="18" t="n">
        <v>-9002.040000000001</v>
      </c>
      <c r="U97" s="34" t="n">
        <v>-16807.84</v>
      </c>
      <c r="V97" s="18" t="n">
        <v>-10.94</v>
      </c>
      <c r="W97" s="18" t="n">
        <v>-9050.809999999999</v>
      </c>
      <c r="X97" s="18" t="n">
        <v>-9050.030000000001</v>
      </c>
      <c r="Y97" s="18" t="n">
        <v>-9050.110000000001</v>
      </c>
      <c r="Z97" s="34" t="n">
        <v>-27161.89</v>
      </c>
      <c r="AA97" s="18" t="n">
        <v>25662.8</v>
      </c>
      <c r="AB97" s="19" t="n">
        <v>-9049.209999999999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배당금지급</t>
        </is>
      </c>
      <c r="E98" s="18" t="n">
        <v>0</v>
      </c>
      <c r="F98" s="9" t="n"/>
      <c r="I98" s="18" t="n">
        <v>0</v>
      </c>
      <c r="J98" s="18" t="n">
        <v>0</v>
      </c>
      <c r="K98" s="9" t="n"/>
      <c r="N98" s="18" t="n">
        <v>2490.29</v>
      </c>
      <c r="O98" s="18" t="n">
        <v>0</v>
      </c>
      <c r="P98" s="9" t="n"/>
      <c r="S98" s="18" t="n">
        <v>2465.29</v>
      </c>
      <c r="T98" s="18" t="n">
        <v>0</v>
      </c>
      <c r="U98" s="9" t="n"/>
      <c r="X98" s="18" t="n">
        <v>9038.07</v>
      </c>
      <c r="Y98" s="18" t="n">
        <v>9038.059999999999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단기차입금의감소</t>
        </is>
      </c>
      <c r="E99" s="18" t="n">
        <v>158.45</v>
      </c>
      <c r="F99" s="9" t="n"/>
      <c r="K99" s="9" t="n"/>
      <c r="P99" s="9" t="n"/>
      <c r="Q99" s="18" t="n">
        <v>373.78</v>
      </c>
      <c r="R99" s="18" t="n">
        <v>0</v>
      </c>
      <c r="S99" s="18" t="n">
        <v>0</v>
      </c>
      <c r="T99" s="18" t="n">
        <v>0</v>
      </c>
      <c r="U99" s="34" t="n">
        <v>373.78</v>
      </c>
      <c r="Z99" s="9" t="n"/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현금및현금성자산의증감</t>
        </is>
      </c>
      <c r="E100" s="18" t="n">
        <v>-1832.01</v>
      </c>
      <c r="F100" s="9" t="n"/>
      <c r="G100" s="18" t="n">
        <v>10504.41</v>
      </c>
      <c r="H100" s="18" t="n">
        <v>-10054.63</v>
      </c>
      <c r="I100" s="18" t="n">
        <v>11499.71</v>
      </c>
      <c r="J100" s="18" t="n">
        <v>135.3</v>
      </c>
      <c r="K100" s="34" t="n">
        <v>12084.79</v>
      </c>
      <c r="L100" s="18" t="n">
        <v>4173.17</v>
      </c>
      <c r="M100" s="18" t="n">
        <v>-17002.55</v>
      </c>
      <c r="N100" s="18" t="n">
        <v>8005.5</v>
      </c>
      <c r="O100" s="18" t="n">
        <v>1091.79</v>
      </c>
      <c r="P100" s="34" t="n">
        <v>-3732.09</v>
      </c>
      <c r="Q100" s="18" t="n">
        <v>4859.45</v>
      </c>
      <c r="R100" s="18" t="n">
        <v>-2198.2</v>
      </c>
      <c r="S100" s="18" t="n">
        <v>-884.73</v>
      </c>
      <c r="T100" s="18" t="n">
        <v>-16283.31</v>
      </c>
      <c r="U100" s="34" t="n">
        <v>-14506.79</v>
      </c>
      <c r="V100" s="18" t="n">
        <v>24197.67</v>
      </c>
      <c r="W100" s="18" t="n">
        <v>-9839.5</v>
      </c>
      <c r="X100" s="18" t="n">
        <v>11732.64</v>
      </c>
      <c r="Y100" s="18" t="n">
        <v>-14523.12</v>
      </c>
      <c r="Z100" s="34" t="n">
        <v>11567.69</v>
      </c>
      <c r="AA100" s="18" t="n">
        <v>23426.75</v>
      </c>
      <c r="AB100" s="19" t="n">
        <v>16784.55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기말현금및현금성자산</t>
        </is>
      </c>
      <c r="E101" s="18" t="n">
        <v>-1832.01</v>
      </c>
      <c r="F101" s="9" t="n"/>
      <c r="G101" s="18" t="n">
        <v>26588.15</v>
      </c>
      <c r="H101" s="18" t="n">
        <v>-10054.64</v>
      </c>
      <c r="I101" s="18" t="n">
        <v>11499.71</v>
      </c>
      <c r="J101" s="18" t="n">
        <v>135.31</v>
      </c>
      <c r="K101" s="34" t="n">
        <v>28168.53</v>
      </c>
      <c r="L101" s="18" t="n">
        <v>32341.69</v>
      </c>
      <c r="M101" s="18" t="n">
        <v>-17002.54</v>
      </c>
      <c r="N101" s="18" t="n">
        <v>8005.5</v>
      </c>
      <c r="O101" s="18" t="n">
        <v>1091.79</v>
      </c>
      <c r="P101" s="34" t="n">
        <v>24436.44</v>
      </c>
      <c r="Q101" s="18" t="n">
        <v>29295.89</v>
      </c>
      <c r="R101" s="18" t="n">
        <v>-2198.2</v>
      </c>
      <c r="S101" s="18" t="n">
        <v>-884.73</v>
      </c>
      <c r="U101" s="9" t="n"/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리스부채의상환</t>
        </is>
      </c>
      <c r="F102" s="9" t="n"/>
      <c r="G102" s="18" t="n">
        <v>4.59</v>
      </c>
      <c r="H102" s="18" t="n">
        <v>6.25</v>
      </c>
      <c r="I102" s="18" t="n">
        <v>6.25</v>
      </c>
      <c r="J102" s="18" t="n">
        <v>6.63</v>
      </c>
      <c r="K102" s="34" t="n">
        <v>23.72</v>
      </c>
      <c r="L102" s="18" t="n">
        <v>14.88</v>
      </c>
      <c r="M102" s="18" t="n">
        <v>12.16</v>
      </c>
      <c r="N102" s="18" t="n">
        <v>13.78</v>
      </c>
      <c r="O102" s="18" t="n">
        <v>14.27</v>
      </c>
      <c r="P102" s="34" t="n">
        <v>55.09</v>
      </c>
      <c r="Q102" s="18" t="n">
        <v>14.5</v>
      </c>
      <c r="R102" s="18" t="n">
        <v>11.21</v>
      </c>
      <c r="S102" s="18" t="n">
        <v>10.43</v>
      </c>
      <c r="T102" s="18" t="n">
        <v>10.68</v>
      </c>
      <c r="U102" s="34" t="n">
        <v>46.82</v>
      </c>
      <c r="V102" s="18" t="n">
        <v>10.94</v>
      </c>
      <c r="W102" s="18" t="n">
        <v>12.75</v>
      </c>
      <c r="X102" s="18" t="n">
        <v>11.95</v>
      </c>
      <c r="Y102" s="18" t="n">
        <v>12.04</v>
      </c>
      <c r="Z102" s="34" t="n">
        <v>47.68</v>
      </c>
      <c r="AA102" s="18" t="n">
        <v>9.56</v>
      </c>
      <c r="AB102" s="19" t="n">
        <v>11.14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유형자산의감소</t>
        </is>
      </c>
      <c r="F103" s="9" t="n"/>
      <c r="K103" s="9" t="n"/>
      <c r="L103" s="18" t="n">
        <v>0.5</v>
      </c>
      <c r="M103" s="18" t="n">
        <v>0</v>
      </c>
      <c r="N103" s="18" t="n">
        <v>0</v>
      </c>
      <c r="O103" s="18" t="n">
        <v>0.28</v>
      </c>
      <c r="P103" s="34" t="n">
        <v>0.78</v>
      </c>
      <c r="U103" s="9" t="n"/>
      <c r="X103" s="18" t="n">
        <v>0</v>
      </c>
      <c r="Y103" s="18" t="n">
        <v>1</v>
      </c>
      <c r="Z103" s="9" t="n"/>
      <c r="AB103" s="5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이자수취(CF)</t>
        </is>
      </c>
      <c r="F104" s="9" t="n"/>
      <c r="K104" s="9" t="n"/>
      <c r="O104" s="18" t="n">
        <v>372.76</v>
      </c>
      <c r="P104" s="9" t="n"/>
      <c r="Q104" s="18" t="n">
        <v>565.85</v>
      </c>
      <c r="R104" s="18" t="n">
        <v>641.92</v>
      </c>
      <c r="S104" s="18" t="n">
        <v>535.34</v>
      </c>
      <c r="T104" s="18" t="n">
        <v>566.39</v>
      </c>
      <c r="U104" s="34" t="n">
        <v>2309.5</v>
      </c>
      <c r="V104" s="18" t="n">
        <v>476.2</v>
      </c>
      <c r="W104" s="18" t="n">
        <v>564.23</v>
      </c>
      <c r="X104" s="18" t="n">
        <v>559.49</v>
      </c>
      <c r="Y104" s="18" t="n">
        <v>362.79</v>
      </c>
      <c r="Z104" s="34" t="n">
        <v>1962.71</v>
      </c>
      <c r="AA104" s="18" t="n">
        <v>577.64</v>
      </c>
      <c r="AB104" s="19" t="n">
        <v>568.77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이자지급(CF)</t>
        </is>
      </c>
      <c r="F105" s="9" t="n"/>
      <c r="K105" s="9" t="n"/>
      <c r="P105" s="9" t="n"/>
      <c r="Q105" s="18" t="n">
        <v>-2.74</v>
      </c>
      <c r="R105" s="18" t="n">
        <v>-2.14</v>
      </c>
      <c r="S105" s="18" t="n">
        <v>-1.85</v>
      </c>
      <c r="T105" s="18" t="n">
        <v>-1.59</v>
      </c>
      <c r="U105" s="34" t="n">
        <v>-8.32</v>
      </c>
      <c r="V105" s="18" t="n">
        <v>-1.33</v>
      </c>
      <c r="W105" s="18" t="n">
        <v>-1.08</v>
      </c>
      <c r="X105" s="18" t="n">
        <v>-0.8100000000000001</v>
      </c>
      <c r="Y105" s="18" t="n">
        <v>-0.5600000000000001</v>
      </c>
      <c r="Z105" s="34" t="n">
        <v>-3.78</v>
      </c>
      <c r="AA105" s="18" t="n">
        <v>-6.02</v>
      </c>
      <c r="AB105" s="19" t="n">
        <v>-2.76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유형자산의증가</t>
        </is>
      </c>
      <c r="F106" s="9" t="n"/>
      <c r="K106" s="9" t="n"/>
      <c r="P106" s="9" t="n"/>
      <c r="U106" s="9" t="n"/>
      <c r="Z106" s="9" t="n"/>
      <c r="AA106" s="18" t="n">
        <v>34.07</v>
      </c>
      <c r="AB106" s="19" t="n">
        <v>14.91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CAPEX</t>
        </is>
      </c>
      <c r="F107" s="9" t="n"/>
      <c r="K107" s="9" t="n"/>
      <c r="P107" s="9" t="n"/>
      <c r="U107" s="9" t="n"/>
      <c r="Z107" s="9" t="n"/>
      <c r="AA107" s="18" t="n">
        <v>41.69</v>
      </c>
      <c r="AB107" s="19" t="n">
        <v>14.91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무형자산의증가</t>
        </is>
      </c>
      <c r="F108" s="9" t="n"/>
      <c r="K108" s="9" t="n"/>
      <c r="P108" s="9" t="n"/>
      <c r="U108" s="9" t="n"/>
      <c r="Z108" s="9" t="n"/>
      <c r="AA108" s="18" t="n">
        <v>7.62</v>
      </c>
      <c r="AB108" s="19" t="n">
        <v>0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서호전기(별)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55929.67</v>
      </c>
      <c r="F5" s="34" t="n">
        <v>55929.67</v>
      </c>
      <c r="G5" s="18" t="n">
        <v>64997.47</v>
      </c>
      <c r="H5" s="18" t="n">
        <v>44142.97</v>
      </c>
      <c r="I5" s="18" t="n">
        <v>45171.21</v>
      </c>
      <c r="J5" s="18" t="n">
        <v>43539.37</v>
      </c>
      <c r="K5" s="34" t="n">
        <v>43539.37</v>
      </c>
      <c r="L5" s="18" t="n">
        <v>53798.47</v>
      </c>
      <c r="M5" s="18" t="n">
        <v>48433.27</v>
      </c>
      <c r="N5" s="18" t="n">
        <v>46188.26</v>
      </c>
      <c r="O5" s="18" t="n">
        <v>45430.38</v>
      </c>
      <c r="P5" s="34" t="n">
        <v>45430.38</v>
      </c>
      <c r="Q5" s="18" t="n">
        <v>50250.73</v>
      </c>
      <c r="R5" s="18" t="n">
        <v>48824.61</v>
      </c>
      <c r="S5" s="18" t="n">
        <v>51799.5</v>
      </c>
      <c r="T5" s="18" t="n">
        <v>35474.16</v>
      </c>
      <c r="U5" s="34" t="n">
        <v>35474.16</v>
      </c>
      <c r="V5" s="18" t="n">
        <v>59002.48</v>
      </c>
      <c r="W5" s="18" t="n">
        <v>61595.58</v>
      </c>
      <c r="X5" s="18" t="n">
        <v>55935.48</v>
      </c>
      <c r="Y5" s="18" t="n">
        <v>50657.49</v>
      </c>
      <c r="Z5" s="34" t="n">
        <v>50657.49</v>
      </c>
      <c r="AA5" s="18" t="n">
        <v>89352.19</v>
      </c>
      <c r="AB5" s="19" t="n">
        <v>86646.41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13922.42</v>
      </c>
      <c r="F6" s="34" t="n">
        <v>13922.42</v>
      </c>
      <c r="G6" s="18" t="n">
        <v>24562.34</v>
      </c>
      <c r="H6" s="18" t="n">
        <v>14504.36</v>
      </c>
      <c r="I6" s="18" t="n">
        <v>26709.5</v>
      </c>
      <c r="J6" s="18" t="n">
        <v>25823.65</v>
      </c>
      <c r="K6" s="34" t="n">
        <v>25823.65</v>
      </c>
      <c r="L6" s="18" t="n">
        <v>30389.13</v>
      </c>
      <c r="M6" s="18" t="n">
        <v>12239.91</v>
      </c>
      <c r="N6" s="18" t="n">
        <v>19891.81</v>
      </c>
      <c r="O6" s="18" t="n">
        <v>19908.22</v>
      </c>
      <c r="P6" s="34" t="n">
        <v>19908.22</v>
      </c>
      <c r="Q6" s="18" t="n">
        <v>25426.92</v>
      </c>
      <c r="R6" s="18" t="n">
        <v>23099.74</v>
      </c>
      <c r="S6" s="18" t="n">
        <v>22201.15</v>
      </c>
      <c r="T6" s="18" t="n">
        <v>5836.73</v>
      </c>
      <c r="U6" s="34" t="n">
        <v>5836.73</v>
      </c>
      <c r="V6" s="18" t="n">
        <v>29755.93</v>
      </c>
      <c r="W6" s="18" t="n">
        <v>19457.99</v>
      </c>
      <c r="X6" s="18" t="n">
        <v>30985.03</v>
      </c>
      <c r="Y6" s="18" t="n">
        <v>16298.12</v>
      </c>
      <c r="Z6" s="34" t="n">
        <v>16298.12</v>
      </c>
      <c r="AA6" s="18" t="n">
        <v>39161.7</v>
      </c>
      <c r="AB6" s="19" t="n">
        <v>56809.45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단기투자자산(공정가치)</t>
        </is>
      </c>
      <c r="E7" s="18" t="n">
        <v>21523.62</v>
      </c>
      <c r="F7" s="34" t="n">
        <v>21523.62</v>
      </c>
      <c r="G7" s="18" t="n">
        <v>22710.99</v>
      </c>
      <c r="H7" s="18" t="n">
        <v>3802.16</v>
      </c>
      <c r="I7" s="18" t="n">
        <v>4343.36</v>
      </c>
      <c r="J7" s="18" t="n">
        <v>5067.68</v>
      </c>
      <c r="K7" s="34" t="n">
        <v>5067.68</v>
      </c>
      <c r="O7" s="18" t="n">
        <v>10133.59</v>
      </c>
      <c r="P7" s="34" t="n">
        <v>10133.59</v>
      </c>
      <c r="Q7" s="18" t="n">
        <v>10631.11</v>
      </c>
      <c r="R7" s="18" t="n">
        <v>11024.84</v>
      </c>
      <c r="S7" s="18" t="n">
        <v>10551.01</v>
      </c>
      <c r="U7" s="9" t="n"/>
      <c r="Y7" s="18" t="n">
        <v>10713.5</v>
      </c>
      <c r="Z7" s="34" t="n">
        <v>10713.5</v>
      </c>
      <c r="AA7" s="18" t="n">
        <v>11361.66</v>
      </c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23208.01</v>
      </c>
      <c r="F8" s="34" t="n">
        <v>23208.01</v>
      </c>
      <c r="G8" s="18" t="n">
        <v>20015.5</v>
      </c>
      <c r="H8" s="18" t="n">
        <v>34008.43</v>
      </c>
      <c r="I8" s="18" t="n">
        <v>14015.95</v>
      </c>
      <c r="J8" s="18" t="n">
        <v>12850.86</v>
      </c>
      <c r="K8" s="34" t="n">
        <v>12850.86</v>
      </c>
      <c r="L8" s="18" t="n">
        <v>23553.93</v>
      </c>
      <c r="M8" s="18" t="n">
        <v>38292.09</v>
      </c>
      <c r="N8" s="18" t="n">
        <v>26801.37</v>
      </c>
      <c r="O8" s="18" t="n">
        <v>17197.12</v>
      </c>
      <c r="P8" s="34" t="n">
        <v>17197.12</v>
      </c>
      <c r="Q8" s="18" t="n">
        <v>15966.47</v>
      </c>
      <c r="R8" s="18" t="n">
        <v>15724.94</v>
      </c>
      <c r="S8" s="18" t="n">
        <v>23265.23</v>
      </c>
      <c r="T8" s="18" t="n">
        <v>18147.66</v>
      </c>
      <c r="U8" s="34" t="n">
        <v>18147.66</v>
      </c>
      <c r="V8" s="18" t="n">
        <v>18772.41</v>
      </c>
      <c r="W8" s="18" t="n">
        <v>31772.31</v>
      </c>
      <c r="X8" s="18" t="n">
        <v>20356.41</v>
      </c>
      <c r="Y8" s="18" t="n">
        <v>20171.61</v>
      </c>
      <c r="Z8" s="34" t="n">
        <v>20171.61</v>
      </c>
      <c r="AA8" s="18" t="n">
        <v>22825.97</v>
      </c>
      <c r="AB8" s="19" t="n">
        <v>26496.17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계약자산</t>
        </is>
      </c>
      <c r="E9" s="18" t="n">
        <v>11479.36</v>
      </c>
      <c r="F9" s="34" t="n">
        <v>11479.36</v>
      </c>
      <c r="G9" s="18" t="n">
        <v>13064.41</v>
      </c>
      <c r="H9" s="18" t="n">
        <v>14445.73</v>
      </c>
      <c r="I9" s="18" t="n">
        <v>11476.15</v>
      </c>
      <c r="J9" s="18" t="n">
        <v>9312.34</v>
      </c>
      <c r="K9" s="34" t="n">
        <v>9312.34</v>
      </c>
      <c r="L9" s="18" t="n">
        <v>13407.21</v>
      </c>
      <c r="M9" s="18" t="n">
        <v>26300.75</v>
      </c>
      <c r="N9" s="18" t="n">
        <v>19297.7</v>
      </c>
      <c r="O9" s="18" t="n">
        <v>10124.89</v>
      </c>
      <c r="P9" s="34" t="n">
        <v>10124.89</v>
      </c>
      <c r="Q9" s="18" t="n">
        <v>9393.4</v>
      </c>
      <c r="R9" s="18" t="n">
        <v>10686.32</v>
      </c>
      <c r="S9" s="18" t="n">
        <v>6890.09</v>
      </c>
      <c r="U9" s="9" t="n"/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2830.29</v>
      </c>
      <c r="F10" s="34" t="n">
        <v>2830.29</v>
      </c>
      <c r="G10" s="18" t="n">
        <v>1188.56</v>
      </c>
      <c r="H10" s="18" t="n">
        <v>1360.06</v>
      </c>
      <c r="I10" s="18" t="n">
        <v>1252.06</v>
      </c>
      <c r="J10" s="18" t="n">
        <v>1441.26</v>
      </c>
      <c r="K10" s="34" t="n">
        <v>1441.26</v>
      </c>
      <c r="L10" s="18" t="n">
        <v>4097.84</v>
      </c>
      <c r="M10" s="18" t="n">
        <v>3019.72</v>
      </c>
      <c r="N10" s="18" t="n">
        <v>2472.66</v>
      </c>
      <c r="O10" s="18" t="n">
        <v>832.14</v>
      </c>
      <c r="P10" s="34" t="n">
        <v>832.14</v>
      </c>
      <c r="Q10" s="18" t="n">
        <v>1232.5</v>
      </c>
      <c r="R10" s="18" t="n">
        <v>1012.18</v>
      </c>
      <c r="S10" s="18" t="n">
        <v>3552.36</v>
      </c>
      <c r="T10" s="18" t="n">
        <v>8218.34</v>
      </c>
      <c r="U10" s="34" t="n">
        <v>8218.34</v>
      </c>
      <c r="V10" s="18" t="n">
        <v>8838.309999999999</v>
      </c>
      <c r="W10" s="18" t="n">
        <v>9323.15</v>
      </c>
      <c r="X10" s="18" t="n">
        <v>3865.22</v>
      </c>
      <c r="Y10" s="18" t="n">
        <v>2787.45</v>
      </c>
      <c r="Z10" s="34" t="n">
        <v>2787.45</v>
      </c>
      <c r="AA10" s="18" t="n">
        <v>5478.62</v>
      </c>
      <c r="AB10" s="19" t="n">
        <v>2766.23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41787.63</v>
      </c>
      <c r="F11" s="34" t="n">
        <v>41787.63</v>
      </c>
      <c r="G11" s="18" t="n">
        <v>39212.4</v>
      </c>
      <c r="H11" s="18" t="n">
        <v>57889.49</v>
      </c>
      <c r="I11" s="18" t="n">
        <v>58006.59</v>
      </c>
      <c r="J11" s="18" t="n">
        <v>52852.32</v>
      </c>
      <c r="K11" s="34" t="n">
        <v>52852.32</v>
      </c>
      <c r="L11" s="18" t="n">
        <v>55296.01</v>
      </c>
      <c r="M11" s="18" t="n">
        <v>59703.95</v>
      </c>
      <c r="N11" s="18" t="n">
        <v>59323.17</v>
      </c>
      <c r="O11" s="18" t="n">
        <v>53121.89</v>
      </c>
      <c r="P11" s="34" t="n">
        <v>53121.89</v>
      </c>
      <c r="Q11" s="18" t="n">
        <v>54149.89</v>
      </c>
      <c r="R11" s="18" t="n">
        <v>54392.78</v>
      </c>
      <c r="S11" s="18" t="n">
        <v>59832.75</v>
      </c>
      <c r="T11" s="18" t="n">
        <v>62266.26</v>
      </c>
      <c r="U11" s="34" t="n">
        <v>62266.26</v>
      </c>
      <c r="V11" s="18" t="n">
        <v>61597.3</v>
      </c>
      <c r="W11" s="18" t="n">
        <v>57138.1</v>
      </c>
      <c r="X11" s="18" t="n">
        <v>58489.25</v>
      </c>
      <c r="Y11" s="18" t="n">
        <v>48377.22</v>
      </c>
      <c r="Z11" s="34" t="n">
        <v>48377.22</v>
      </c>
      <c r="AA11" s="18" t="n">
        <v>49477.05</v>
      </c>
      <c r="AB11" s="19" t="n">
        <v>49828.79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8151.48</v>
      </c>
      <c r="F12" s="34" t="n">
        <v>8151.48</v>
      </c>
      <c r="G12" s="18" t="n">
        <v>4913.14</v>
      </c>
      <c r="H12" s="18" t="n">
        <v>23670.75</v>
      </c>
      <c r="I12" s="18" t="n">
        <v>23848.97</v>
      </c>
      <c r="J12" s="18" t="n">
        <v>18168.26</v>
      </c>
      <c r="K12" s="34" t="n">
        <v>18168.26</v>
      </c>
      <c r="L12" s="18" t="n">
        <v>21240.55</v>
      </c>
      <c r="M12" s="18" t="n">
        <v>25973.74</v>
      </c>
      <c r="N12" s="18" t="n">
        <v>25558.47</v>
      </c>
      <c r="O12" s="18" t="n">
        <v>19677.28</v>
      </c>
      <c r="P12" s="34" t="n">
        <v>19677.28</v>
      </c>
      <c r="Q12" s="18" t="n">
        <v>20975.56</v>
      </c>
      <c r="R12" s="18" t="n">
        <v>21424.67</v>
      </c>
      <c r="S12" s="18" t="n">
        <v>26833.1</v>
      </c>
      <c r="T12" s="18" t="n">
        <v>28633.71</v>
      </c>
      <c r="U12" s="34" t="n">
        <v>28633.71</v>
      </c>
      <c r="V12" s="18" t="n">
        <v>28280.45</v>
      </c>
      <c r="W12" s="18" t="n">
        <v>23263.14</v>
      </c>
      <c r="X12" s="18" t="n">
        <v>25038.47</v>
      </c>
      <c r="Y12" s="18" t="n">
        <v>14851.52</v>
      </c>
      <c r="Z12" s="34" t="n">
        <v>14851.52</v>
      </c>
      <c r="AA12" s="18" t="n">
        <v>15358.14</v>
      </c>
      <c r="AB12" s="19" t="n">
        <v>15677.14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25589.81</v>
      </c>
      <c r="F13" s="34" t="n">
        <v>25589.81</v>
      </c>
      <c r="G13" s="18" t="n">
        <v>22350.27</v>
      </c>
      <c r="H13" s="18" t="n">
        <v>41106.68</v>
      </c>
      <c r="I13" s="18" t="n">
        <v>41279.3</v>
      </c>
      <c r="J13" s="18" t="n">
        <v>35598.59</v>
      </c>
      <c r="K13" s="34" t="n">
        <v>35598.59</v>
      </c>
      <c r="L13" s="18" t="n">
        <v>38670.88</v>
      </c>
      <c r="M13" s="18" t="n">
        <v>43404.07</v>
      </c>
      <c r="N13" s="18" t="n">
        <v>42988.8</v>
      </c>
      <c r="O13" s="18" t="n">
        <v>36909.95</v>
      </c>
      <c r="P13" s="34" t="n">
        <v>36909.95</v>
      </c>
      <c r="Q13" s="18" t="n">
        <v>38208.23</v>
      </c>
      <c r="R13" s="18" t="n">
        <v>38657.34</v>
      </c>
      <c r="S13" s="18" t="n">
        <v>44065.77</v>
      </c>
      <c r="T13" s="18" t="n">
        <v>45866.46</v>
      </c>
      <c r="U13" s="34" t="n">
        <v>45866.46</v>
      </c>
      <c r="V13" s="18" t="n">
        <v>45513.2</v>
      </c>
      <c r="W13" s="18" t="n">
        <v>40495.89</v>
      </c>
      <c r="X13" s="18" t="n">
        <v>42271.22</v>
      </c>
      <c r="Y13" s="18" t="n">
        <v>32084.27</v>
      </c>
      <c r="Z13" s="34" t="n">
        <v>32084.27</v>
      </c>
      <c r="AA13" s="18" t="n">
        <v>32590.89</v>
      </c>
      <c r="AB13" s="19" t="n">
        <v>32909.89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종속기업및관계기업투자</t>
        </is>
      </c>
      <c r="E14" s="18" t="n">
        <v>17430.33</v>
      </c>
      <c r="F14" s="34" t="n">
        <v>17430.33</v>
      </c>
      <c r="G14" s="18" t="n">
        <v>17430.33</v>
      </c>
      <c r="H14" s="18" t="n">
        <v>17430.33</v>
      </c>
      <c r="I14" s="18" t="n">
        <v>17430.33</v>
      </c>
      <c r="J14" s="18" t="n">
        <v>17430.33</v>
      </c>
      <c r="K14" s="34" t="n">
        <v>17430.33</v>
      </c>
      <c r="L14" s="18" t="n">
        <v>17430.33</v>
      </c>
      <c r="M14" s="18" t="n">
        <v>17430.33</v>
      </c>
      <c r="N14" s="18" t="n">
        <v>17430.33</v>
      </c>
      <c r="O14" s="18" t="n">
        <v>17232.67</v>
      </c>
      <c r="P14" s="34" t="n">
        <v>17232.67</v>
      </c>
      <c r="Q14" s="18" t="n">
        <v>17232.67</v>
      </c>
      <c r="R14" s="18" t="n">
        <v>17232.67</v>
      </c>
      <c r="S14" s="18" t="n">
        <v>17232.67</v>
      </c>
      <c r="T14" s="18" t="n">
        <v>17232.75</v>
      </c>
      <c r="U14" s="34" t="n">
        <v>17232.75</v>
      </c>
      <c r="V14" s="18" t="n">
        <v>17232.75</v>
      </c>
      <c r="W14" s="18" t="n">
        <v>17232.75</v>
      </c>
      <c r="X14" s="18" t="n">
        <v>17232.75</v>
      </c>
      <c r="Y14" s="18" t="n">
        <v>17232.75</v>
      </c>
      <c r="Z14" s="34" t="n">
        <v>17232.75</v>
      </c>
      <c r="AA14" s="18" t="n">
        <v>17232.75</v>
      </c>
      <c r="AB14" s="19" t="n">
        <v>17232.75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14703.75</v>
      </c>
      <c r="F15" s="34" t="n">
        <v>14703.75</v>
      </c>
      <c r="G15" s="18" t="n">
        <v>14468.48</v>
      </c>
      <c r="H15" s="18" t="n">
        <v>14422.79</v>
      </c>
      <c r="I15" s="18" t="n">
        <v>14375.36</v>
      </c>
      <c r="J15" s="18" t="n">
        <v>14479.71</v>
      </c>
      <c r="K15" s="34" t="n">
        <v>14479.71</v>
      </c>
      <c r="L15" s="18" t="n">
        <v>14456.42</v>
      </c>
      <c r="M15" s="18" t="n">
        <v>14399.11</v>
      </c>
      <c r="N15" s="18" t="n">
        <v>14393.61</v>
      </c>
      <c r="O15" s="18" t="n">
        <v>14334.51</v>
      </c>
      <c r="P15" s="34" t="n">
        <v>14334.51</v>
      </c>
      <c r="Q15" s="18" t="n">
        <v>14306.82</v>
      </c>
      <c r="R15" s="18" t="n">
        <v>14247.71</v>
      </c>
      <c r="S15" s="18" t="n">
        <v>14197.87</v>
      </c>
      <c r="T15" s="18" t="n">
        <v>14166.47</v>
      </c>
      <c r="U15" s="34" t="n">
        <v>14166.47</v>
      </c>
      <c r="V15" s="18" t="n">
        <v>14136.31</v>
      </c>
      <c r="W15" s="18" t="n">
        <v>14219.64</v>
      </c>
      <c r="X15" s="18" t="n">
        <v>14177.52</v>
      </c>
      <c r="Y15" s="18" t="n">
        <v>14125.54</v>
      </c>
      <c r="Z15" s="34" t="n">
        <v>14125.54</v>
      </c>
      <c r="AA15" s="18" t="n">
        <v>14093.4</v>
      </c>
      <c r="AB15" s="19" t="n">
        <v>14159.96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토지</t>
        </is>
      </c>
      <c r="E16" s="18" t="n">
        <v>0</v>
      </c>
      <c r="F16" s="34" t="n">
        <v>0</v>
      </c>
      <c r="G16" s="18" t="n">
        <v>11779.04</v>
      </c>
      <c r="H16" s="18" t="n">
        <v>11779.04</v>
      </c>
      <c r="I16" s="18" t="n">
        <v>11779.04</v>
      </c>
      <c r="J16" s="18" t="n">
        <v>0</v>
      </c>
      <c r="K16" s="34" t="n">
        <v>0</v>
      </c>
      <c r="L16" s="18" t="n">
        <v>11779.04</v>
      </c>
      <c r="M16" s="18" t="n">
        <v>11779.04</v>
      </c>
      <c r="O16" s="18" t="n">
        <v>11779.04</v>
      </c>
      <c r="P16" s="34" t="n">
        <v>11779.04</v>
      </c>
      <c r="Q16" s="18" t="n">
        <v>11779.04</v>
      </c>
      <c r="R16" s="18" t="n">
        <v>11779.04</v>
      </c>
      <c r="S16" s="18" t="n">
        <v>11779.04</v>
      </c>
      <c r="U16" s="9" t="n"/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설비자산</t>
        </is>
      </c>
      <c r="E17" s="18" t="n">
        <v>179.07</v>
      </c>
      <c r="F17" s="34" t="n">
        <v>179.07</v>
      </c>
      <c r="G17" s="18" t="n">
        <v>3601.96</v>
      </c>
      <c r="H17" s="18" t="n">
        <v>3601.96</v>
      </c>
      <c r="I17" s="18" t="n">
        <v>3601.96</v>
      </c>
      <c r="J17" s="18" t="n">
        <v>241.11</v>
      </c>
      <c r="K17" s="34" t="n">
        <v>241.11</v>
      </c>
      <c r="L17" s="18" t="n">
        <v>3664</v>
      </c>
      <c r="M17" s="18" t="n">
        <v>3664</v>
      </c>
      <c r="N17" s="18" t="n">
        <v>35.2</v>
      </c>
      <c r="O17" s="18" t="n">
        <v>3664</v>
      </c>
      <c r="P17" s="34" t="n">
        <v>3664</v>
      </c>
      <c r="Q17" s="18" t="n">
        <v>3664</v>
      </c>
      <c r="R17" s="18" t="n">
        <v>3664</v>
      </c>
      <c r="S17" s="18" t="n">
        <v>3664</v>
      </c>
      <c r="U17" s="9" t="n"/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106.07</v>
      </c>
      <c r="F18" s="34" t="n">
        <v>106.07</v>
      </c>
      <c r="G18" s="18" t="n">
        <v>171.89</v>
      </c>
      <c r="H18" s="18" t="n">
        <v>171.89</v>
      </c>
      <c r="I18" s="18" t="n">
        <v>162.74</v>
      </c>
      <c r="J18" s="18" t="n">
        <v>257.72</v>
      </c>
      <c r="K18" s="34" t="n">
        <v>257.72</v>
      </c>
      <c r="L18" s="18" t="n">
        <v>282.43</v>
      </c>
      <c r="M18" s="18" t="n">
        <v>282.43</v>
      </c>
      <c r="N18" s="18" t="n">
        <v>288.67</v>
      </c>
      <c r="O18" s="18" t="n">
        <v>288.67</v>
      </c>
      <c r="P18" s="34" t="n">
        <v>288.67</v>
      </c>
      <c r="Q18" s="18" t="n">
        <v>269.45</v>
      </c>
      <c r="R18" s="18" t="n">
        <v>245.01</v>
      </c>
      <c r="S18" s="18" t="n">
        <v>245.01</v>
      </c>
      <c r="U18" s="9" t="n"/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1408.49</v>
      </c>
      <c r="F19" s="34" t="n">
        <v>1408.49</v>
      </c>
      <c r="G19" s="18" t="n">
        <v>331.47</v>
      </c>
      <c r="H19" s="18" t="n">
        <v>232.26</v>
      </c>
      <c r="I19" s="18" t="n">
        <v>183.59</v>
      </c>
      <c r="J19" s="18" t="n">
        <v>1694.71</v>
      </c>
      <c r="K19" s="34" t="n">
        <v>1694.71</v>
      </c>
      <c r="L19" s="18" t="n">
        <v>348.88</v>
      </c>
      <c r="M19" s="18" t="n">
        <v>282.43</v>
      </c>
      <c r="N19" s="18" t="n">
        <v>288.67</v>
      </c>
      <c r="O19" s="18" t="n">
        <v>494.6</v>
      </c>
      <c r="P19" s="34" t="n">
        <v>494.6</v>
      </c>
      <c r="Q19" s="18" t="n">
        <v>269.45</v>
      </c>
      <c r="R19" s="18" t="n">
        <v>245.01</v>
      </c>
      <c r="S19" s="18" t="n">
        <v>245.01</v>
      </c>
      <c r="T19" s="18" t="n">
        <v>202.38</v>
      </c>
      <c r="U19" s="34" t="n">
        <v>202.38</v>
      </c>
      <c r="W19" s="18" t="n">
        <v>12.88</v>
      </c>
      <c r="Y19" s="18" t="n">
        <v>239.78</v>
      </c>
      <c r="Z19" s="34" t="n">
        <v>239.78</v>
      </c>
      <c r="AA19" s="18" t="n">
        <v>128.59</v>
      </c>
      <c r="AB19" s="19" t="n">
        <v>48.7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191.65</v>
      </c>
      <c r="F20" s="34" t="n">
        <v>191.65</v>
      </c>
      <c r="G20" s="18" t="n">
        <v>190.93</v>
      </c>
      <c r="H20" s="18" t="n">
        <v>190.32</v>
      </c>
      <c r="I20" s="18" t="n">
        <v>189.7</v>
      </c>
      <c r="J20" s="18" t="n">
        <v>189.09</v>
      </c>
      <c r="K20" s="34" t="n">
        <v>189.09</v>
      </c>
      <c r="L20" s="18" t="n">
        <v>188.47</v>
      </c>
      <c r="M20" s="18" t="n">
        <v>187.86</v>
      </c>
      <c r="N20" s="18" t="n">
        <v>592.24</v>
      </c>
      <c r="O20" s="18" t="n">
        <v>591.63</v>
      </c>
      <c r="P20" s="34" t="n">
        <v>591.63</v>
      </c>
      <c r="Q20" s="18" t="n">
        <v>591.01</v>
      </c>
      <c r="R20" s="18" t="n">
        <v>590.39</v>
      </c>
      <c r="S20" s="18" t="n">
        <v>589.78</v>
      </c>
      <c r="T20" s="18" t="n">
        <v>1508.96</v>
      </c>
      <c r="U20" s="34" t="n">
        <v>1508.96</v>
      </c>
      <c r="V20" s="18" t="n">
        <v>1508.34</v>
      </c>
      <c r="W20" s="18" t="n">
        <v>1507.72</v>
      </c>
      <c r="X20" s="18" t="n">
        <v>1507.1</v>
      </c>
      <c r="Y20" s="18" t="n">
        <v>1515.21</v>
      </c>
      <c r="Z20" s="34" t="n">
        <v>1515.21</v>
      </c>
      <c r="AA20" s="18" t="n">
        <v>1518.71</v>
      </c>
      <c r="AB20" s="19" t="n">
        <v>1517.48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장기매출채권및기타채권</t>
        </is>
      </c>
      <c r="E21" s="18" t="n">
        <v>1073.56</v>
      </c>
      <c r="F21" s="34" t="n">
        <v>1073.56</v>
      </c>
      <c r="G21" s="18" t="n">
        <v>1624.47</v>
      </c>
      <c r="H21" s="18" t="n">
        <v>1281.53</v>
      </c>
      <c r="I21" s="18" t="n">
        <v>1283.6</v>
      </c>
      <c r="J21" s="18" t="n">
        <v>1286.74</v>
      </c>
      <c r="K21" s="34" t="n">
        <v>1286.74</v>
      </c>
      <c r="L21" s="18" t="n">
        <v>612.03</v>
      </c>
      <c r="M21" s="18" t="n">
        <v>613.13</v>
      </c>
      <c r="N21" s="18" t="n">
        <v>203.99</v>
      </c>
      <c r="O21" s="18" t="n">
        <v>205.93</v>
      </c>
      <c r="P21" s="34" t="n">
        <v>205.93</v>
      </c>
      <c r="R21" s="18" t="n">
        <v>337.05</v>
      </c>
      <c r="U21" s="9" t="n"/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장기대여금</t>
        </is>
      </c>
      <c r="E22" s="18" t="n">
        <v>8</v>
      </c>
      <c r="F22" s="34" t="n">
        <v>8</v>
      </c>
      <c r="G22" s="18" t="n">
        <v>6.8</v>
      </c>
      <c r="H22" s="18" t="n">
        <v>5.6</v>
      </c>
      <c r="K22" s="9" t="n"/>
      <c r="P22" s="9" t="n"/>
      <c r="U22" s="9" t="n"/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자산총계</t>
        </is>
      </c>
      <c r="E23" s="18" t="n">
        <v>97717.3</v>
      </c>
      <c r="F23" s="34" t="n">
        <v>97717.3</v>
      </c>
      <c r="G23" s="18" t="n">
        <v>104209.87</v>
      </c>
      <c r="H23" s="18" t="n">
        <v>102032.47</v>
      </c>
      <c r="I23" s="18" t="n">
        <v>103177.8</v>
      </c>
      <c r="J23" s="18" t="n">
        <v>96391.67999999999</v>
      </c>
      <c r="K23" s="34" t="n">
        <v>96391.67999999999</v>
      </c>
      <c r="L23" s="18" t="n">
        <v>109094.48</v>
      </c>
      <c r="M23" s="18" t="n">
        <v>108137.21</v>
      </c>
      <c r="N23" s="18" t="n">
        <v>105511.42</v>
      </c>
      <c r="O23" s="18" t="n">
        <v>98552.27</v>
      </c>
      <c r="P23" s="34" t="n">
        <v>98552.27</v>
      </c>
      <c r="Q23" s="18" t="n">
        <v>104400.61</v>
      </c>
      <c r="R23" s="18" t="n">
        <v>103217.4</v>
      </c>
      <c r="S23" s="18" t="n">
        <v>111632.26</v>
      </c>
      <c r="T23" s="18" t="n">
        <v>97740.42</v>
      </c>
      <c r="U23" s="34" t="n">
        <v>97740.42</v>
      </c>
      <c r="V23" s="18" t="n">
        <v>120599.78</v>
      </c>
      <c r="W23" s="18" t="n">
        <v>118733.68</v>
      </c>
      <c r="X23" s="18" t="n">
        <v>114424.73</v>
      </c>
      <c r="Y23" s="18" t="n">
        <v>99034.71000000001</v>
      </c>
      <c r="Z23" s="34" t="n">
        <v>99034.71000000001</v>
      </c>
      <c r="AA23" s="18" t="n">
        <v>138829.24</v>
      </c>
      <c r="AB23" s="19" t="n">
        <v>136475.19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유동부채</t>
        </is>
      </c>
      <c r="E24" s="18" t="n">
        <v>12974.28</v>
      </c>
      <c r="F24" s="34" t="n">
        <v>12974.28</v>
      </c>
      <c r="G24" s="18" t="n">
        <v>21452.1</v>
      </c>
      <c r="H24" s="18" t="n">
        <v>19155.36</v>
      </c>
      <c r="I24" s="18" t="n">
        <v>13307.85</v>
      </c>
      <c r="J24" s="18" t="n">
        <v>8625.450000000001</v>
      </c>
      <c r="K24" s="34" t="n">
        <v>8625.450000000001</v>
      </c>
      <c r="L24" s="18" t="n">
        <v>24907.24</v>
      </c>
      <c r="M24" s="18" t="n">
        <v>19743.48</v>
      </c>
      <c r="N24" s="18" t="n">
        <v>14948.52</v>
      </c>
      <c r="O24" s="18" t="n">
        <v>6379.66</v>
      </c>
      <c r="P24" s="34" t="n">
        <v>6379.66</v>
      </c>
      <c r="Q24" s="18" t="n">
        <v>12643.01</v>
      </c>
      <c r="R24" s="18" t="n">
        <v>8837.129999999999</v>
      </c>
      <c r="S24" s="18" t="n">
        <v>18362.4</v>
      </c>
      <c r="T24" s="18" t="n">
        <v>10465.81</v>
      </c>
      <c r="U24" s="34" t="n">
        <v>10465.81</v>
      </c>
      <c r="V24" s="18" t="n">
        <v>34020.4</v>
      </c>
      <c r="W24" s="18" t="n">
        <v>31552.24</v>
      </c>
      <c r="X24" s="18" t="n">
        <v>28235.36</v>
      </c>
      <c r="Y24" s="18" t="n">
        <v>17365.25</v>
      </c>
      <c r="Z24" s="34" t="n">
        <v>17365.25</v>
      </c>
      <c r="AA24" s="18" t="n">
        <v>35292.47</v>
      </c>
      <c r="AB24" s="19" t="n">
        <v>28741.04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매입채무및기타채무</t>
        </is>
      </c>
      <c r="E25" s="18" t="n">
        <v>1015.01</v>
      </c>
      <c r="F25" s="34" t="n">
        <v>1015.01</v>
      </c>
      <c r="G25" s="18" t="n">
        <v>12443.81</v>
      </c>
      <c r="H25" s="18" t="n">
        <v>4689.12</v>
      </c>
      <c r="I25" s="18" t="n">
        <v>1853.89</v>
      </c>
      <c r="J25" s="18" t="n">
        <v>211.17</v>
      </c>
      <c r="K25" s="34" t="n">
        <v>211.17</v>
      </c>
      <c r="L25" s="18" t="n">
        <v>20282.18</v>
      </c>
      <c r="M25" s="18" t="n">
        <v>9216.9</v>
      </c>
      <c r="N25" s="18" t="n">
        <v>4026.43</v>
      </c>
      <c r="O25" s="18" t="n">
        <v>349.35</v>
      </c>
      <c r="P25" s="34" t="n">
        <v>349.35</v>
      </c>
      <c r="Q25" s="18" t="n">
        <v>7458.41</v>
      </c>
      <c r="R25" s="18" t="n">
        <v>7558.68</v>
      </c>
      <c r="S25" s="18" t="n">
        <v>13702.69</v>
      </c>
      <c r="T25" s="18" t="n">
        <v>39.84</v>
      </c>
      <c r="U25" s="34" t="n">
        <v>39.84</v>
      </c>
      <c r="V25" s="18" t="n">
        <v>13286.04</v>
      </c>
      <c r="W25" s="18" t="n">
        <v>12053.37</v>
      </c>
      <c r="X25" s="18" t="n">
        <v>7519.24</v>
      </c>
      <c r="Y25" s="18" t="n">
        <v>810.63</v>
      </c>
      <c r="Z25" s="34" t="n">
        <v>810.63</v>
      </c>
      <c r="AA25" s="18" t="n">
        <v>6393.75</v>
      </c>
      <c r="AB25" s="19" t="n">
        <v>6323.24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3423.36</v>
      </c>
      <c r="F26" s="34" t="n">
        <v>3423.36</v>
      </c>
      <c r="G26" s="18" t="n">
        <v>3126.46</v>
      </c>
      <c r="H26" s="18" t="n">
        <v>1698.34</v>
      </c>
      <c r="I26" s="18" t="n">
        <v>1869.13</v>
      </c>
      <c r="J26" s="18" t="n">
        <v>1740.15</v>
      </c>
      <c r="K26" s="34" t="n">
        <v>1740.15</v>
      </c>
      <c r="L26" s="18" t="n">
        <v>2783.33</v>
      </c>
      <c r="M26" s="18" t="n">
        <v>2946.92</v>
      </c>
      <c r="N26" s="18" t="n">
        <v>3095.79</v>
      </c>
      <c r="O26" s="18" t="n">
        <v>1544.42</v>
      </c>
      <c r="P26" s="34" t="n">
        <v>1544.42</v>
      </c>
      <c r="Q26" s="18" t="n">
        <v>1583.16</v>
      </c>
      <c r="R26" s="18" t="n">
        <v>1107.12</v>
      </c>
      <c r="S26" s="18" t="n">
        <v>45.62</v>
      </c>
      <c r="U26" s="9" t="n"/>
      <c r="V26" s="18" t="n">
        <v>2392.14</v>
      </c>
      <c r="W26" s="18" t="n">
        <v>2926.87</v>
      </c>
      <c r="X26" s="18" t="n">
        <v>1962.69</v>
      </c>
      <c r="Y26" s="18" t="n">
        <v>2387.58</v>
      </c>
      <c r="Z26" s="34" t="n">
        <v>2387.58</v>
      </c>
      <c r="AA26" s="18" t="n">
        <v>6569.61</v>
      </c>
      <c r="AB26" s="19" t="n">
        <v>7155.5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계약부채</t>
        </is>
      </c>
      <c r="E27" s="18" t="n">
        <v>8047.2</v>
      </c>
      <c r="F27" s="34" t="n">
        <v>8047.2</v>
      </c>
      <c r="G27" s="18" t="n">
        <v>8893.32</v>
      </c>
      <c r="H27" s="18" t="n">
        <v>11537.59</v>
      </c>
      <c r="I27" s="18" t="n">
        <v>7243.43</v>
      </c>
      <c r="J27" s="18" t="n">
        <v>4586.2</v>
      </c>
      <c r="K27" s="34" t="n">
        <v>4586.2</v>
      </c>
      <c r="L27" s="18" t="n">
        <v>5895.87</v>
      </c>
      <c r="M27" s="18" t="n">
        <v>5733.5</v>
      </c>
      <c r="N27" s="18" t="n">
        <v>4820.67</v>
      </c>
      <c r="O27" s="18" t="n">
        <v>3096.11</v>
      </c>
      <c r="P27" s="34" t="n">
        <v>3096.11</v>
      </c>
      <c r="Q27" s="18" t="n">
        <v>3429.08</v>
      </c>
      <c r="R27" s="18" t="n">
        <v>2622.71</v>
      </c>
      <c r="S27" s="18" t="n">
        <v>10579.6</v>
      </c>
      <c r="U27" s="9" t="n"/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단기충당부채</t>
        </is>
      </c>
      <c r="E28" s="18" t="n">
        <v>192.47</v>
      </c>
      <c r="F28" s="34" t="n">
        <v>192.47</v>
      </c>
      <c r="G28" s="18" t="n">
        <v>192.47</v>
      </c>
      <c r="H28" s="18" t="n">
        <v>1318.43</v>
      </c>
      <c r="I28" s="18" t="n">
        <v>2640.31</v>
      </c>
      <c r="J28" s="18" t="n">
        <v>3203.3</v>
      </c>
      <c r="K28" s="34" t="n">
        <v>3203.3</v>
      </c>
      <c r="L28" s="18" t="n">
        <v>3274.76</v>
      </c>
      <c r="M28" s="18" t="n">
        <v>3152.84</v>
      </c>
      <c r="N28" s="18" t="n">
        <v>3194.94</v>
      </c>
      <c r="O28" s="18" t="n">
        <v>2171.6</v>
      </c>
      <c r="P28" s="34" t="n">
        <v>2171.6</v>
      </c>
      <c r="Q28" s="18" t="n">
        <v>2022.32</v>
      </c>
      <c r="R28" s="18" t="n">
        <v>1779.8</v>
      </c>
      <c r="S28" s="18" t="n">
        <v>1439.22</v>
      </c>
      <c r="T28" s="18" t="n">
        <v>702.4299999999999</v>
      </c>
      <c r="U28" s="34" t="n">
        <v>702.4299999999999</v>
      </c>
      <c r="V28" s="18" t="n">
        <v>816.61</v>
      </c>
      <c r="W28" s="18" t="n">
        <v>726.9400000000001</v>
      </c>
      <c r="X28" s="18" t="n">
        <v>843.27</v>
      </c>
      <c r="Y28" s="18" t="n">
        <v>848.6900000000001</v>
      </c>
      <c r="Z28" s="34" t="n">
        <v>848.6900000000001</v>
      </c>
      <c r="AA28" s="18" t="n">
        <v>889.13</v>
      </c>
      <c r="AB28" s="19" t="n">
        <v>943.61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15.34</v>
      </c>
      <c r="F29" s="34" t="n">
        <v>15.34</v>
      </c>
      <c r="G29" s="18" t="n">
        <v>22.85</v>
      </c>
      <c r="H29" s="18" t="n">
        <v>23.55</v>
      </c>
      <c r="I29" s="18" t="n">
        <v>23.15</v>
      </c>
      <c r="J29" s="18" t="n">
        <v>45.26</v>
      </c>
      <c r="K29" s="34" t="n">
        <v>45.26</v>
      </c>
      <c r="L29" s="18" t="n">
        <v>58.01</v>
      </c>
      <c r="M29" s="18" t="n">
        <v>58.39</v>
      </c>
      <c r="N29" s="18" t="n">
        <v>58.52</v>
      </c>
      <c r="O29" s="18" t="n">
        <v>58.98</v>
      </c>
      <c r="P29" s="34" t="n">
        <v>58.98</v>
      </c>
      <c r="Q29" s="18" t="n">
        <v>56.83</v>
      </c>
      <c r="R29" s="18" t="n">
        <v>47.07</v>
      </c>
      <c r="S29" s="18" t="n">
        <v>47.37</v>
      </c>
      <c r="T29" s="18" t="n">
        <v>47.68</v>
      </c>
      <c r="U29" s="34" t="n">
        <v>47.68</v>
      </c>
      <c r="V29" s="18" t="n">
        <v>45.44</v>
      </c>
      <c r="W29" s="18" t="n">
        <v>39.48</v>
      </c>
      <c r="Y29" s="18" t="n">
        <v>27.43</v>
      </c>
      <c r="Z29" s="34" t="n">
        <v>27.43</v>
      </c>
      <c r="AA29" s="18" t="n">
        <v>18.97</v>
      </c>
      <c r="AB29" s="19" t="n">
        <v>34.57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61.03</v>
      </c>
      <c r="F30" s="34" t="n">
        <v>61.03</v>
      </c>
      <c r="G30" s="18" t="n">
        <v>92.54000000000001</v>
      </c>
      <c r="H30" s="18" t="n">
        <v>86.88</v>
      </c>
      <c r="I30" s="18" t="n">
        <v>81.19</v>
      </c>
      <c r="J30" s="18" t="n">
        <v>167.93</v>
      </c>
      <c r="K30" s="34" t="n">
        <v>167.93</v>
      </c>
      <c r="L30" s="18" t="n">
        <v>179.35</v>
      </c>
      <c r="M30" s="18" t="n">
        <v>164.99</v>
      </c>
      <c r="N30" s="18" t="n">
        <v>150.27</v>
      </c>
      <c r="O30" s="18" t="n">
        <v>135.81</v>
      </c>
      <c r="P30" s="34" t="n">
        <v>135.81</v>
      </c>
      <c r="Q30" s="18" t="n">
        <v>121.24</v>
      </c>
      <c r="R30" s="18" t="n">
        <v>99.59999999999999</v>
      </c>
      <c r="S30" s="18" t="n">
        <v>87.94</v>
      </c>
      <c r="T30" s="18" t="n">
        <v>76.20999999999999</v>
      </c>
      <c r="U30" s="34" t="n">
        <v>76.20999999999999</v>
      </c>
      <c r="V30" s="18" t="n">
        <v>64.41</v>
      </c>
      <c r="W30" s="18" t="n">
        <v>52.53</v>
      </c>
      <c r="X30" s="18" t="n">
        <v>7.09</v>
      </c>
      <c r="Y30" s="18" t="n">
        <v>28.53</v>
      </c>
      <c r="Z30" s="34" t="n">
        <v>28.53</v>
      </c>
      <c r="AA30" s="18" t="n">
        <v>18.97</v>
      </c>
      <c r="AB30" s="19" t="n">
        <v>34.57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단기금융부채</t>
        </is>
      </c>
      <c r="E31" s="18" t="n">
        <v>15.34</v>
      </c>
      <c r="F31" s="34" t="n">
        <v>15.34</v>
      </c>
      <c r="G31" s="18" t="n">
        <v>22.85</v>
      </c>
      <c r="H31" s="18" t="n">
        <v>23.55</v>
      </c>
      <c r="I31" s="18" t="n">
        <v>23.15</v>
      </c>
      <c r="J31" s="18" t="n">
        <v>45.26</v>
      </c>
      <c r="K31" s="34" t="n">
        <v>45.26</v>
      </c>
      <c r="L31" s="18" t="n">
        <v>58.01</v>
      </c>
      <c r="M31" s="18" t="n">
        <v>58.39</v>
      </c>
      <c r="N31" s="18" t="n">
        <v>58.52</v>
      </c>
      <c r="O31" s="18" t="n">
        <v>58.98</v>
      </c>
      <c r="P31" s="34" t="n">
        <v>58.98</v>
      </c>
      <c r="Q31" s="18" t="n">
        <v>56.83</v>
      </c>
      <c r="R31" s="18" t="n">
        <v>47.07</v>
      </c>
      <c r="S31" s="18" t="n">
        <v>47.37</v>
      </c>
      <c r="T31" s="18" t="n">
        <v>47.68</v>
      </c>
      <c r="U31" s="34" t="n">
        <v>47.68</v>
      </c>
      <c r="V31" s="18" t="n">
        <v>45.44</v>
      </c>
      <c r="W31" s="18" t="n">
        <v>39.48</v>
      </c>
      <c r="Y31" s="18" t="n">
        <v>27.43</v>
      </c>
      <c r="Z31" s="34" t="n">
        <v>27.43</v>
      </c>
      <c r="AA31" s="18" t="n">
        <v>18.97</v>
      </c>
      <c r="AB31" s="19" t="n">
        <v>34.57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690.73</v>
      </c>
      <c r="F32" s="34" t="n">
        <v>690.73</v>
      </c>
      <c r="G32" s="18" t="n">
        <v>686.8200000000001</v>
      </c>
      <c r="H32" s="18" t="n">
        <v>504.87</v>
      </c>
      <c r="I32" s="18" t="n">
        <v>551.95</v>
      </c>
      <c r="J32" s="18" t="n">
        <v>714.38</v>
      </c>
      <c r="K32" s="34" t="n">
        <v>714.38</v>
      </c>
      <c r="L32" s="18" t="n">
        <v>721.45</v>
      </c>
      <c r="M32" s="18" t="n">
        <v>745.21</v>
      </c>
      <c r="N32" s="18" t="n">
        <v>814.13</v>
      </c>
      <c r="O32" s="18" t="n">
        <v>1278.89</v>
      </c>
      <c r="P32" s="34" t="n">
        <v>1278.89</v>
      </c>
      <c r="Q32" s="18" t="n">
        <v>1390.02</v>
      </c>
      <c r="R32" s="18" t="n">
        <v>1548.57</v>
      </c>
      <c r="S32" s="18" t="n">
        <v>1596.81</v>
      </c>
      <c r="T32" s="18" t="n">
        <v>874.99</v>
      </c>
      <c r="U32" s="34" t="n">
        <v>874.99</v>
      </c>
      <c r="V32" s="18" t="n">
        <v>865.5599999999999</v>
      </c>
      <c r="W32" s="18" t="n">
        <v>860.6799999999999</v>
      </c>
      <c r="X32" s="18" t="n">
        <v>898.0599999999999</v>
      </c>
      <c r="Y32" s="18" t="n">
        <v>852.6</v>
      </c>
      <c r="Z32" s="34" t="n">
        <v>852.6</v>
      </c>
      <c r="AA32" s="18" t="n">
        <v>5250.35</v>
      </c>
      <c r="AB32" s="19" t="n">
        <v>3983.95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비유동리스부채</t>
        </is>
      </c>
      <c r="E33" s="18" t="n">
        <v>45.69</v>
      </c>
      <c r="F33" s="34" t="n">
        <v>45.69</v>
      </c>
      <c r="G33" s="18" t="n">
        <v>69.69</v>
      </c>
      <c r="H33" s="18" t="n">
        <v>63.33</v>
      </c>
      <c r="I33" s="18" t="n">
        <v>58.04</v>
      </c>
      <c r="J33" s="18" t="n">
        <v>122.67</v>
      </c>
      <c r="K33" s="34" t="n">
        <v>122.67</v>
      </c>
      <c r="L33" s="18" t="n">
        <v>121.34</v>
      </c>
      <c r="M33" s="18" t="n">
        <v>106.6</v>
      </c>
      <c r="N33" s="18" t="n">
        <v>91.75</v>
      </c>
      <c r="O33" s="18" t="n">
        <v>76.83</v>
      </c>
      <c r="P33" s="34" t="n">
        <v>76.83</v>
      </c>
      <c r="Q33" s="18" t="n">
        <v>64.41</v>
      </c>
      <c r="R33" s="18" t="n">
        <v>52.53</v>
      </c>
      <c r="S33" s="18" t="n">
        <v>40.57</v>
      </c>
      <c r="T33" s="18" t="n">
        <v>28.53</v>
      </c>
      <c r="U33" s="34" t="n">
        <v>28.53</v>
      </c>
      <c r="V33" s="18" t="n">
        <v>18.97</v>
      </c>
      <c r="W33" s="18" t="n">
        <v>13.05</v>
      </c>
      <c r="X33" s="18" t="n">
        <v>7.09</v>
      </c>
      <c r="Y33" s="18" t="n">
        <v>1.1</v>
      </c>
      <c r="Z33" s="34" t="n">
        <v>1.1</v>
      </c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장기금융부채</t>
        </is>
      </c>
      <c r="E34" s="18" t="n">
        <v>45.69</v>
      </c>
      <c r="F34" s="34" t="n">
        <v>45.69</v>
      </c>
      <c r="G34" s="18" t="n">
        <v>69.69</v>
      </c>
      <c r="H34" s="18" t="n">
        <v>63.33</v>
      </c>
      <c r="I34" s="18" t="n">
        <v>58.04</v>
      </c>
      <c r="J34" s="18" t="n">
        <v>122.67</v>
      </c>
      <c r="K34" s="34" t="n">
        <v>122.67</v>
      </c>
      <c r="L34" s="18" t="n">
        <v>121.34</v>
      </c>
      <c r="M34" s="18" t="n">
        <v>106.6</v>
      </c>
      <c r="N34" s="18" t="n">
        <v>91.75</v>
      </c>
      <c r="O34" s="18" t="n">
        <v>76.83</v>
      </c>
      <c r="P34" s="34" t="n">
        <v>76.83</v>
      </c>
      <c r="Q34" s="18" t="n">
        <v>64.41</v>
      </c>
      <c r="R34" s="18" t="n">
        <v>52.53</v>
      </c>
      <c r="S34" s="18" t="n">
        <v>40.57</v>
      </c>
      <c r="T34" s="18" t="n">
        <v>28.53</v>
      </c>
      <c r="U34" s="34" t="n">
        <v>28.53</v>
      </c>
      <c r="V34" s="18" t="n">
        <v>18.97</v>
      </c>
      <c r="W34" s="18" t="n">
        <v>13.05</v>
      </c>
      <c r="X34" s="18" t="n">
        <v>7.09</v>
      </c>
      <c r="Y34" s="18" t="n">
        <v>1.1</v>
      </c>
      <c r="Z34" s="34" t="n">
        <v>1.1</v>
      </c>
      <c r="AA34" s="18" t="n">
        <v>4398.85</v>
      </c>
      <c r="AB34" s="19" t="n">
        <v>3051.45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장기매입채무및기타채무</t>
        </is>
      </c>
      <c r="E35" s="18" t="n">
        <v>617.13</v>
      </c>
      <c r="F35" s="34" t="n">
        <v>617.13</v>
      </c>
      <c r="G35" s="18" t="n">
        <v>1234.26</v>
      </c>
      <c r="H35" s="18" t="n">
        <v>883.08</v>
      </c>
      <c r="I35" s="18" t="n">
        <v>493.92</v>
      </c>
      <c r="J35" s="18" t="n">
        <v>591.71</v>
      </c>
      <c r="K35" s="34" t="n">
        <v>591.71</v>
      </c>
      <c r="L35" s="18" t="n">
        <v>1200.2</v>
      </c>
      <c r="M35" s="18" t="n">
        <v>1264.24</v>
      </c>
      <c r="N35" s="18" t="n">
        <v>642.96</v>
      </c>
      <c r="O35" s="18" t="n">
        <v>1441.78</v>
      </c>
      <c r="P35" s="34" t="n">
        <v>1441.78</v>
      </c>
      <c r="Q35" s="18" t="n">
        <v>720.89</v>
      </c>
      <c r="R35" s="18" t="n">
        <v>787.8</v>
      </c>
      <c r="S35" s="18" t="n">
        <v>813.35</v>
      </c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27.91</v>
      </c>
      <c r="F36" s="34" t="n">
        <v>27.91</v>
      </c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13665</v>
      </c>
      <c r="F37" s="34" t="n">
        <v>13665</v>
      </c>
      <c r="G37" s="18" t="n">
        <v>22138.92</v>
      </c>
      <c r="H37" s="18" t="n">
        <v>19660.23</v>
      </c>
      <c r="I37" s="18" t="n">
        <v>13859.8</v>
      </c>
      <c r="J37" s="18" t="n">
        <v>9339.83</v>
      </c>
      <c r="K37" s="34" t="n">
        <v>9339.83</v>
      </c>
      <c r="L37" s="18" t="n">
        <v>25628.69</v>
      </c>
      <c r="M37" s="18" t="n">
        <v>20488.69</v>
      </c>
      <c r="N37" s="18" t="n">
        <v>15762.65</v>
      </c>
      <c r="O37" s="18" t="n">
        <v>7658.55</v>
      </c>
      <c r="P37" s="34" t="n">
        <v>7658.55</v>
      </c>
      <c r="Q37" s="18" t="n">
        <v>14033.03</v>
      </c>
      <c r="R37" s="18" t="n">
        <v>10385.7</v>
      </c>
      <c r="S37" s="18" t="n">
        <v>19959.21</v>
      </c>
      <c r="T37" s="18" t="n">
        <v>11340.8</v>
      </c>
      <c r="U37" s="34" t="n">
        <v>11340.8</v>
      </c>
      <c r="V37" s="18" t="n">
        <v>34885.96</v>
      </c>
      <c r="W37" s="18" t="n">
        <v>32412.92</v>
      </c>
      <c r="X37" s="18" t="n">
        <v>29133.42</v>
      </c>
      <c r="Y37" s="18" t="n">
        <v>18217.85</v>
      </c>
      <c r="Z37" s="34" t="n">
        <v>18217.85</v>
      </c>
      <c r="AA37" s="18" t="n">
        <v>40542.82</v>
      </c>
      <c r="AB37" s="19" t="n">
        <v>32724.99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2575</v>
      </c>
      <c r="F38" s="34" t="n">
        <v>2575</v>
      </c>
      <c r="G38" s="18" t="n">
        <v>2575</v>
      </c>
      <c r="H38" s="18" t="n">
        <v>2575</v>
      </c>
      <c r="I38" s="18" t="n">
        <v>2575</v>
      </c>
      <c r="J38" s="18" t="n">
        <v>2575</v>
      </c>
      <c r="K38" s="34" t="n">
        <v>2575</v>
      </c>
      <c r="L38" s="18" t="n">
        <v>2575</v>
      </c>
      <c r="M38" s="18" t="n">
        <v>2575</v>
      </c>
      <c r="N38" s="18" t="n">
        <v>2575</v>
      </c>
      <c r="O38" s="18" t="n">
        <v>2575</v>
      </c>
      <c r="P38" s="34" t="n">
        <v>2575</v>
      </c>
      <c r="Q38" s="18" t="n">
        <v>2575</v>
      </c>
      <c r="R38" s="18" t="n">
        <v>2575</v>
      </c>
      <c r="S38" s="18" t="n">
        <v>2575</v>
      </c>
      <c r="T38" s="18" t="n">
        <v>2575</v>
      </c>
      <c r="U38" s="34" t="n">
        <v>2575</v>
      </c>
      <c r="V38" s="18" t="n">
        <v>2575</v>
      </c>
      <c r="W38" s="18" t="n">
        <v>2575</v>
      </c>
      <c r="X38" s="18" t="n">
        <v>2575</v>
      </c>
      <c r="Y38" s="18" t="n">
        <v>2575</v>
      </c>
      <c r="Z38" s="34" t="n">
        <v>2575</v>
      </c>
      <c r="AA38" s="18" t="n">
        <v>2575</v>
      </c>
      <c r="AB38" s="19" t="n">
        <v>2575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보통주자본금</t>
        </is>
      </c>
      <c r="E39" s="18" t="n">
        <v>2575</v>
      </c>
      <c r="F39" s="34" t="n">
        <v>2575</v>
      </c>
      <c r="G39" s="18" t="n">
        <v>2575</v>
      </c>
      <c r="H39" s="18" t="n">
        <v>2575</v>
      </c>
      <c r="I39" s="18" t="n">
        <v>2575</v>
      </c>
      <c r="J39" s="18" t="n">
        <v>2575</v>
      </c>
      <c r="K39" s="34" t="n">
        <v>2575</v>
      </c>
      <c r="L39" s="18" t="n">
        <v>2575</v>
      </c>
      <c r="M39" s="18" t="n">
        <v>2575</v>
      </c>
      <c r="N39" s="18" t="n">
        <v>2575</v>
      </c>
      <c r="O39" s="18" t="n">
        <v>2575</v>
      </c>
      <c r="P39" s="34" t="n">
        <v>2575</v>
      </c>
      <c r="Q39" s="18" t="n">
        <v>2575</v>
      </c>
      <c r="R39" s="18" t="n">
        <v>2575</v>
      </c>
      <c r="S39" s="18" t="n">
        <v>2575</v>
      </c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10207.77</v>
      </c>
      <c r="F40" s="34" t="n">
        <v>10207.77</v>
      </c>
      <c r="G40" s="18" t="n">
        <v>10207.77</v>
      </c>
      <c r="H40" s="18" t="n">
        <v>10207.77</v>
      </c>
      <c r="I40" s="18" t="n">
        <v>10207.77</v>
      </c>
      <c r="J40" s="18" t="n">
        <v>10203.49</v>
      </c>
      <c r="K40" s="34" t="n">
        <v>10203.49</v>
      </c>
      <c r="L40" s="18" t="n">
        <v>10203.49</v>
      </c>
      <c r="M40" s="18" t="n">
        <v>10203.49</v>
      </c>
      <c r="N40" s="18" t="n">
        <v>10203.49</v>
      </c>
      <c r="O40" s="18" t="n">
        <v>10203.49</v>
      </c>
      <c r="P40" s="34" t="n">
        <v>10203.49</v>
      </c>
      <c r="Q40" s="18" t="n">
        <v>10203.49</v>
      </c>
      <c r="R40" s="18" t="n">
        <v>10203.49</v>
      </c>
      <c r="S40" s="18" t="n">
        <v>10203.49</v>
      </c>
      <c r="T40" s="18" t="n">
        <v>6275.23</v>
      </c>
      <c r="U40" s="34" t="n">
        <v>6275.23</v>
      </c>
      <c r="V40" s="18" t="n">
        <v>6275.23</v>
      </c>
      <c r="W40" s="18" t="n">
        <v>6275.23</v>
      </c>
      <c r="X40" s="18" t="n">
        <v>6275.23</v>
      </c>
      <c r="Y40" s="18" t="n">
        <v>6275.23</v>
      </c>
      <c r="Z40" s="34" t="n">
        <v>6275.23</v>
      </c>
      <c r="AA40" s="18" t="n">
        <v>17819.44</v>
      </c>
      <c r="AB40" s="19" t="n">
        <v>17819.44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-321.99</v>
      </c>
      <c r="F41" s="34" t="n">
        <v>-321.99</v>
      </c>
      <c r="G41" s="18" t="n">
        <v>-321.99</v>
      </c>
      <c r="H41" s="18" t="n">
        <v>-321.99</v>
      </c>
      <c r="I41" s="18" t="n">
        <v>-321.99</v>
      </c>
      <c r="J41" s="18" t="n">
        <v>-4440.1</v>
      </c>
      <c r="K41" s="34" t="n">
        <v>-4440.1</v>
      </c>
      <c r="L41" s="18" t="n">
        <v>-4440.1</v>
      </c>
      <c r="M41" s="18" t="n">
        <v>-4440.1</v>
      </c>
      <c r="N41" s="18" t="n">
        <v>-4440.1</v>
      </c>
      <c r="O41" s="18" t="n">
        <v>-6423.58</v>
      </c>
      <c r="P41" s="34" t="n">
        <v>-6423.58</v>
      </c>
      <c r="Q41" s="18" t="n">
        <v>-6423.58</v>
      </c>
      <c r="R41" s="18" t="n">
        <v>-6423.58</v>
      </c>
      <c r="S41" s="18" t="n">
        <v>-6423.58</v>
      </c>
      <c r="T41" s="18" t="n">
        <v>-13333.41</v>
      </c>
      <c r="U41" s="34" t="n">
        <v>-13333.41</v>
      </c>
      <c r="V41" s="18" t="n">
        <v>-13333.41</v>
      </c>
      <c r="W41" s="18" t="n">
        <v>-13333.41</v>
      </c>
      <c r="X41" s="18" t="n">
        <v>-13333.41</v>
      </c>
      <c r="Y41" s="18" t="n">
        <v>-13333.41</v>
      </c>
      <c r="Z41" s="34" t="n">
        <v>-13333.41</v>
      </c>
      <c r="AA41" s="18" t="n">
        <v>-2461.31</v>
      </c>
      <c r="AB41" s="19" t="n">
        <v>-2461.31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-14.97</v>
      </c>
      <c r="F42" s="34" t="n">
        <v>-14.97</v>
      </c>
      <c r="G42" s="18" t="n">
        <v>-14.34</v>
      </c>
      <c r="H42" s="18" t="n">
        <v>-13.78</v>
      </c>
      <c r="I42" s="18" t="n">
        <v>-12.13</v>
      </c>
      <c r="J42" s="18" t="n">
        <v>-10.45</v>
      </c>
      <c r="K42" s="34" t="n">
        <v>-10.45</v>
      </c>
      <c r="L42" s="18" t="n">
        <v>-13.33</v>
      </c>
      <c r="M42" s="18" t="n">
        <v>-13.74</v>
      </c>
      <c r="N42" s="18" t="n">
        <v>-12.42</v>
      </c>
      <c r="O42" s="18" t="n">
        <v>-12.19</v>
      </c>
      <c r="P42" s="34" t="n">
        <v>-12.19</v>
      </c>
      <c r="Q42" s="18" t="n">
        <v>-9.69</v>
      </c>
      <c r="R42" s="18" t="n">
        <v>-11.7</v>
      </c>
      <c r="S42" s="18" t="n">
        <v>-3.85</v>
      </c>
      <c r="T42" s="18" t="n">
        <v>-4.54</v>
      </c>
      <c r="U42" s="34" t="n">
        <v>-4.54</v>
      </c>
      <c r="V42" s="18" t="n">
        <v>-6.81</v>
      </c>
      <c r="W42" s="18" t="n">
        <v>3.27</v>
      </c>
      <c r="X42" s="18" t="n">
        <v>5.5</v>
      </c>
      <c r="Y42" s="18" t="n">
        <v>8.6</v>
      </c>
      <c r="Z42" s="34" t="n">
        <v>8.6</v>
      </c>
      <c r="AA42" s="18" t="n">
        <v>14.99</v>
      </c>
      <c r="AB42" s="19" t="n">
        <v>18.92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76506.16</v>
      </c>
      <c r="F43" s="34" t="n">
        <v>76506.16</v>
      </c>
      <c r="G43" s="18" t="n">
        <v>74524.17</v>
      </c>
      <c r="H43" s="18" t="n">
        <v>74824.91</v>
      </c>
      <c r="I43" s="18" t="n">
        <v>81769.02</v>
      </c>
      <c r="J43" s="18" t="n">
        <v>81562.38</v>
      </c>
      <c r="K43" s="34" t="n">
        <v>81562.38</v>
      </c>
      <c r="L43" s="18" t="n">
        <v>77979.19</v>
      </c>
      <c r="M43" s="18" t="n">
        <v>82162.35000000001</v>
      </c>
      <c r="N43" s="18" t="n">
        <v>84261.27</v>
      </c>
      <c r="O43" s="18" t="n">
        <v>132526.94</v>
      </c>
      <c r="P43" s="34" t="n">
        <v>132526.94</v>
      </c>
      <c r="Q43" s="18" t="n">
        <v>131469.68</v>
      </c>
      <c r="R43" s="18" t="n">
        <v>136401.92</v>
      </c>
      <c r="S43" s="18" t="n">
        <v>134068.92</v>
      </c>
      <c r="T43" s="18" t="n">
        <v>90887.33</v>
      </c>
      <c r="U43" s="34" t="n">
        <v>90887.33</v>
      </c>
      <c r="V43" s="18" t="n">
        <v>90203.8</v>
      </c>
      <c r="W43" s="18" t="n">
        <v>90800.67</v>
      </c>
      <c r="X43" s="18" t="n">
        <v>89768.98</v>
      </c>
      <c r="Y43" s="18" t="n">
        <v>85291.42999999999</v>
      </c>
      <c r="Z43" s="34" t="n">
        <v>85291.42999999999</v>
      </c>
      <c r="AA43" s="18" t="n">
        <v>80338.3</v>
      </c>
      <c r="AB43" s="19" t="n">
        <v>85798.16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84052.3</v>
      </c>
      <c r="F44" s="34" t="n">
        <v>84052.3</v>
      </c>
      <c r="G44" s="18" t="n">
        <v>82070.95</v>
      </c>
      <c r="H44" s="18" t="n">
        <v>82372.24000000001</v>
      </c>
      <c r="I44" s="18" t="n">
        <v>89318</v>
      </c>
      <c r="J44" s="18" t="n">
        <v>87051.85000000001</v>
      </c>
      <c r="K44" s="34" t="n">
        <v>87051.85000000001</v>
      </c>
      <c r="L44" s="18" t="n">
        <v>83465.78999999999</v>
      </c>
      <c r="M44" s="18" t="n">
        <v>87648.53</v>
      </c>
      <c r="N44" s="18" t="n">
        <v>89748.77</v>
      </c>
      <c r="O44" s="18" t="n">
        <v>90893.72</v>
      </c>
      <c r="P44" s="34" t="n">
        <v>90893.72</v>
      </c>
      <c r="Q44" s="18" t="n">
        <v>90367.58</v>
      </c>
      <c r="R44" s="18" t="n">
        <v>92831.7</v>
      </c>
      <c r="S44" s="18" t="n">
        <v>91673.03999999999</v>
      </c>
      <c r="T44" s="18" t="n">
        <v>86399.62</v>
      </c>
      <c r="U44" s="34" t="n">
        <v>86399.62</v>
      </c>
      <c r="V44" s="18" t="n">
        <v>85713.82000000001</v>
      </c>
      <c r="W44" s="18" t="n">
        <v>86320.75999999999</v>
      </c>
      <c r="X44" s="18" t="n">
        <v>85291.31</v>
      </c>
      <c r="Y44" s="18" t="n">
        <v>80816.86</v>
      </c>
      <c r="Z44" s="34" t="n">
        <v>80816.86</v>
      </c>
      <c r="AA44" s="18" t="n">
        <v>98286.42</v>
      </c>
      <c r="AB44" s="19" t="n">
        <v>103750.21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97717.3</v>
      </c>
      <c r="F45" s="34" t="n">
        <v>97717.3</v>
      </c>
      <c r="G45" s="18" t="n">
        <v>104209.87</v>
      </c>
      <c r="H45" s="18" t="n">
        <v>102032.47</v>
      </c>
      <c r="I45" s="18" t="n">
        <v>103177.8</v>
      </c>
      <c r="J45" s="18" t="n">
        <v>96391.67999999999</v>
      </c>
      <c r="K45" s="34" t="n">
        <v>96391.67999999999</v>
      </c>
      <c r="L45" s="18" t="n">
        <v>109094.48</v>
      </c>
      <c r="M45" s="18" t="n">
        <v>108137.21</v>
      </c>
      <c r="N45" s="18" t="n">
        <v>105511.42</v>
      </c>
      <c r="O45" s="18" t="n">
        <v>98552.27</v>
      </c>
      <c r="P45" s="34" t="n">
        <v>98552.27</v>
      </c>
      <c r="Q45" s="18" t="n">
        <v>104400.61</v>
      </c>
      <c r="R45" s="18" t="n">
        <v>103217.4</v>
      </c>
      <c r="S45" s="18" t="n">
        <v>111632.26</v>
      </c>
      <c r="T45" s="18" t="n">
        <v>97740.42</v>
      </c>
      <c r="U45" s="34" t="n">
        <v>97740.42</v>
      </c>
      <c r="V45" s="18" t="n">
        <v>120599.78</v>
      </c>
      <c r="W45" s="18" t="n">
        <v>118733.68</v>
      </c>
      <c r="X45" s="18" t="n">
        <v>114424.73</v>
      </c>
      <c r="Y45" s="18" t="n">
        <v>99034.71000000001</v>
      </c>
      <c r="Z45" s="34" t="n">
        <v>99034.71000000001</v>
      </c>
      <c r="AA45" s="18" t="n">
        <v>138829.24</v>
      </c>
      <c r="AB45" s="19" t="n">
        <v>136475.19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지배주주지분</t>
        </is>
      </c>
      <c r="E46" s="18" t="n">
        <v>84052.3</v>
      </c>
      <c r="F46" s="34" t="n">
        <v>84052.3</v>
      </c>
      <c r="G46" s="18" t="n">
        <v>82070.95</v>
      </c>
      <c r="H46" s="18" t="n">
        <v>82372.24000000001</v>
      </c>
      <c r="I46" s="18" t="n">
        <v>89318</v>
      </c>
      <c r="J46" s="18" t="n">
        <v>87051.85000000001</v>
      </c>
      <c r="K46" s="34" t="n">
        <v>87051.85000000001</v>
      </c>
      <c r="L46" s="18" t="n">
        <v>83465.78999999999</v>
      </c>
      <c r="M46" s="18" t="n">
        <v>87648.53</v>
      </c>
      <c r="N46" s="18" t="n">
        <v>89748.77</v>
      </c>
      <c r="O46" s="18" t="n">
        <v>90893.72</v>
      </c>
      <c r="P46" s="34" t="n">
        <v>90893.72</v>
      </c>
      <c r="Q46" s="18" t="n">
        <v>90367.58</v>
      </c>
      <c r="R46" s="18" t="n">
        <v>92831.7</v>
      </c>
      <c r="S46" s="18" t="n">
        <v>91673.03999999999</v>
      </c>
      <c r="T46" s="18" t="n">
        <v>86399.62</v>
      </c>
      <c r="U46" s="34" t="n">
        <v>86399.62</v>
      </c>
      <c r="V46" s="18" t="n">
        <v>85713.82000000001</v>
      </c>
      <c r="W46" s="18" t="n">
        <v>86320.75999999999</v>
      </c>
      <c r="X46" s="18" t="n">
        <v>85291.31</v>
      </c>
      <c r="Y46" s="18" t="n">
        <v>80816.86</v>
      </c>
      <c r="Z46" s="34" t="n">
        <v>80816.86</v>
      </c>
      <c r="AA46" s="18" t="n">
        <v>98286.42</v>
      </c>
      <c r="AB46" s="19" t="n">
        <v>103750.21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이자발생자산</t>
        </is>
      </c>
      <c r="E47" s="18" t="n">
        <v>22073.9</v>
      </c>
      <c r="F47" s="34" t="n">
        <v>22073.9</v>
      </c>
      <c r="G47" s="18" t="n">
        <v>29475.48</v>
      </c>
      <c r="H47" s="18" t="n">
        <v>38175.11</v>
      </c>
      <c r="I47" s="18" t="n">
        <v>50558.47</v>
      </c>
      <c r="J47" s="18" t="n">
        <v>43991.91</v>
      </c>
      <c r="K47" s="34" t="n">
        <v>43991.91</v>
      </c>
      <c r="L47" s="18" t="n">
        <v>51629.68</v>
      </c>
      <c r="M47" s="18" t="n">
        <v>38213.65</v>
      </c>
      <c r="N47" s="18" t="n">
        <v>45450.28</v>
      </c>
      <c r="O47" s="18" t="n">
        <v>39585.5</v>
      </c>
      <c r="P47" s="34" t="n">
        <v>39585.5</v>
      </c>
      <c r="Q47" s="18" t="n">
        <v>46402.48</v>
      </c>
      <c r="R47" s="18" t="n">
        <v>44524.41</v>
      </c>
      <c r="S47" s="18" t="n">
        <v>49034.25</v>
      </c>
      <c r="T47" s="18" t="n">
        <v>34470.44</v>
      </c>
      <c r="U47" s="34" t="n">
        <v>34470.44</v>
      </c>
      <c r="V47" s="18" t="n">
        <v>58036.38</v>
      </c>
      <c r="W47" s="18" t="n">
        <v>42721.13</v>
      </c>
      <c r="X47" s="18" t="n">
        <v>56023.5</v>
      </c>
      <c r="Y47" s="18" t="n">
        <v>31149.64</v>
      </c>
      <c r="Z47" s="34" t="n">
        <v>31149.64</v>
      </c>
      <c r="AA47" s="18" t="n">
        <v>64475.3</v>
      </c>
      <c r="AB47" s="19" t="n">
        <v>72486.59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기타유동자산</t>
        </is>
      </c>
      <c r="F48" s="9" t="n"/>
      <c r="G48" s="18" t="n">
        <v>533.3200000000001</v>
      </c>
      <c r="H48" s="18" t="n">
        <v>590</v>
      </c>
      <c r="I48" s="18" t="n">
        <v>439.7</v>
      </c>
      <c r="K48" s="9" t="n"/>
      <c r="L48" s="18" t="n">
        <v>1076.86</v>
      </c>
      <c r="M48" s="18" t="n">
        <v>256.46</v>
      </c>
      <c r="N48" s="18" t="n">
        <v>47.37</v>
      </c>
      <c r="P48" s="9" t="n"/>
      <c r="Q48" s="18" t="n">
        <v>654.78</v>
      </c>
      <c r="R48" s="18" t="n">
        <v>915.13</v>
      </c>
      <c r="S48" s="18" t="n">
        <v>924.91</v>
      </c>
      <c r="T48" s="18" t="n">
        <v>3271.43</v>
      </c>
      <c r="U48" s="34" t="n">
        <v>3271.43</v>
      </c>
      <c r="V48" s="18" t="n">
        <v>1635.82</v>
      </c>
      <c r="W48" s="18" t="n">
        <v>1042.13</v>
      </c>
      <c r="X48" s="18" t="n">
        <v>728.8200000000001</v>
      </c>
      <c r="Y48" s="18" t="n">
        <v>686.8200000000001</v>
      </c>
      <c r="Z48" s="34" t="n">
        <v>686.8200000000001</v>
      </c>
      <c r="AA48" s="18" t="n">
        <v>568.78</v>
      </c>
      <c r="AB48" s="19" t="n">
        <v>574.5599999999999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선급금</t>
        </is>
      </c>
      <c r="F49" s="9" t="n"/>
      <c r="G49" s="18" t="n">
        <v>218.35</v>
      </c>
      <c r="H49" s="18" t="n">
        <v>238.12</v>
      </c>
      <c r="I49" s="18" t="n">
        <v>181.93</v>
      </c>
      <c r="K49" s="9" t="n"/>
      <c r="L49" s="18" t="n">
        <v>519.91</v>
      </c>
      <c r="M49" s="18" t="n">
        <v>111.75</v>
      </c>
      <c r="N49" s="18" t="n">
        <v>32.83</v>
      </c>
      <c r="P49" s="9" t="n"/>
      <c r="Q49" s="18" t="n">
        <v>61.5</v>
      </c>
      <c r="R49" s="18" t="n">
        <v>237.5</v>
      </c>
      <c r="S49" s="18" t="n">
        <v>234.54</v>
      </c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선급금등</t>
        </is>
      </c>
      <c r="F50" s="9" t="n"/>
      <c r="G50" s="18" t="n">
        <v>218.35</v>
      </c>
      <c r="H50" s="18" t="n">
        <v>238.12</v>
      </c>
      <c r="I50" s="18" t="n">
        <v>181.93</v>
      </c>
      <c r="K50" s="9" t="n"/>
      <c r="L50" s="18" t="n">
        <v>519.91</v>
      </c>
      <c r="M50" s="18" t="n">
        <v>111.75</v>
      </c>
      <c r="N50" s="18" t="n">
        <v>32.83</v>
      </c>
      <c r="P50" s="9" t="n"/>
      <c r="Q50" s="18" t="n">
        <v>61.5</v>
      </c>
      <c r="R50" s="18" t="n">
        <v>237.5</v>
      </c>
      <c r="S50" s="18" t="n">
        <v>234.54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이연법인세자산</t>
        </is>
      </c>
      <c r="F51" s="9" t="n"/>
      <c r="G51" s="18" t="n">
        <v>425.47</v>
      </c>
      <c r="H51" s="18" t="n">
        <v>833.4</v>
      </c>
      <c r="I51" s="18" t="n">
        <v>857.79</v>
      </c>
      <c r="J51" s="18" t="n">
        <v>1147.96</v>
      </c>
      <c r="K51" s="34" t="n">
        <v>1147.96</v>
      </c>
      <c r="L51" s="18" t="n">
        <v>1301.75</v>
      </c>
      <c r="M51" s="18" t="n">
        <v>1099.78</v>
      </c>
      <c r="N51" s="18" t="n">
        <v>1144.53</v>
      </c>
      <c r="O51" s="18" t="n">
        <v>1079.87</v>
      </c>
      <c r="P51" s="34" t="n">
        <v>1079.87</v>
      </c>
      <c r="Q51" s="18" t="n">
        <v>709.86</v>
      </c>
      <c r="R51" s="18" t="n">
        <v>560.29</v>
      </c>
      <c r="S51" s="18" t="n">
        <v>638.5</v>
      </c>
      <c r="T51" s="18" t="n">
        <v>176.58</v>
      </c>
      <c r="U51" s="34" t="n">
        <v>176.58</v>
      </c>
      <c r="V51" s="18" t="n">
        <v>296.16</v>
      </c>
      <c r="W51" s="18" t="n">
        <v>862.42</v>
      </c>
      <c r="X51" s="18" t="n">
        <v>494.5</v>
      </c>
      <c r="Y51" s="18" t="n">
        <v>374.92</v>
      </c>
      <c r="Z51" s="34" t="n">
        <v>374.92</v>
      </c>
      <c r="AA51" s="18" t="n">
        <v>1107.97</v>
      </c>
      <c r="AB51" s="19" t="n">
        <v>1155.26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선수금</t>
        </is>
      </c>
      <c r="F52" s="9" t="n"/>
      <c r="G52" s="18" t="n">
        <v>472.47</v>
      </c>
      <c r="K52" s="9" t="n"/>
      <c r="P52" s="9" t="n"/>
      <c r="Q52" s="18" t="n">
        <v>274.46</v>
      </c>
      <c r="R52" s="18" t="n">
        <v>273.01</v>
      </c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기타유동부채</t>
        </is>
      </c>
      <c r="F53" s="9" t="n"/>
      <c r="G53" s="18" t="n">
        <v>472.47</v>
      </c>
      <c r="K53" s="9" t="n"/>
      <c r="P53" s="9" t="n"/>
      <c r="Q53" s="18" t="n">
        <v>274.46</v>
      </c>
      <c r="R53" s="18" t="n">
        <v>273.01</v>
      </c>
      <c r="T53" s="18" t="n">
        <v>9675.860000000001</v>
      </c>
      <c r="U53" s="34" t="n">
        <v>9675.860000000001</v>
      </c>
      <c r="V53" s="18" t="n">
        <v>17480.17</v>
      </c>
      <c r="W53" s="18" t="n">
        <v>15805.59</v>
      </c>
      <c r="X53" s="18" t="n">
        <v>17876.68</v>
      </c>
      <c r="Y53" s="18" t="n">
        <v>13290.92</v>
      </c>
      <c r="Z53" s="34" t="n">
        <v>13290.92</v>
      </c>
      <c r="AA53" s="18" t="n">
        <v>21421.02</v>
      </c>
      <c r="AB53" s="19" t="n">
        <v>14284.11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확정급여부채</t>
        </is>
      </c>
      <c r="F54" s="9" t="n"/>
      <c r="K54" s="9" t="n"/>
      <c r="M54" s="18" t="n">
        <v>6.49</v>
      </c>
      <c r="N54" s="18" t="n">
        <v>79.43000000000001</v>
      </c>
      <c r="O54" s="18" t="n">
        <v>481.18</v>
      </c>
      <c r="P54" s="34" t="n">
        <v>481.18</v>
      </c>
      <c r="Q54" s="18" t="n">
        <v>4551.01</v>
      </c>
      <c r="R54" s="18" t="n">
        <v>4764.29</v>
      </c>
      <c r="S54" s="18" t="n">
        <v>4866.43</v>
      </c>
      <c r="U54" s="9" t="n"/>
      <c r="X54" s="18" t="n">
        <v>39.47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단기금융자산</t>
        </is>
      </c>
      <c r="F55" s="9" t="n"/>
      <c r="K55" s="9" t="n"/>
      <c r="P55" s="9" t="n"/>
      <c r="U55" s="9" t="n"/>
      <c r="Z55" s="9" t="n"/>
      <c r="AA55" s="18" t="n">
        <v>9955.459999999999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장기파생상품부채</t>
        </is>
      </c>
      <c r="F56" s="9" t="n"/>
      <c r="K56" s="9" t="n"/>
      <c r="P56" s="9" t="n"/>
      <c r="U56" s="9" t="n"/>
      <c r="Z56" s="9" t="n"/>
      <c r="AA56" s="18" t="n">
        <v>4398.85</v>
      </c>
      <c r="AB56" s="19" t="n">
        <v>3051.45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21650.04</v>
      </c>
      <c r="F57" s="9" t="n"/>
      <c r="G57" s="18" t="n">
        <v>16225.75</v>
      </c>
      <c r="H57" s="18" t="n">
        <v>8406.219999999999</v>
      </c>
      <c r="I57" s="18" t="n">
        <v>10825.7</v>
      </c>
      <c r="J57" s="18" t="n">
        <v>11268.65</v>
      </c>
      <c r="K57" s="34" t="n">
        <v>46726.32</v>
      </c>
      <c r="L57" s="18" t="n">
        <v>9778.559999999999</v>
      </c>
      <c r="M57" s="18" t="n">
        <v>18529.86</v>
      </c>
      <c r="N57" s="18" t="n">
        <v>13481.89</v>
      </c>
      <c r="O57" s="18" t="n">
        <v>11855.75</v>
      </c>
      <c r="P57" s="34" t="n">
        <v>53646.06</v>
      </c>
      <c r="Q57" s="18" t="n">
        <v>5796.88</v>
      </c>
      <c r="R57" s="18" t="n">
        <v>8058.11</v>
      </c>
      <c r="S57" s="18" t="n">
        <v>10765.81</v>
      </c>
      <c r="T57" s="18" t="n">
        <v>11639.52</v>
      </c>
      <c r="U57" s="34" t="n">
        <v>36260.32</v>
      </c>
      <c r="V57" s="18" t="n">
        <v>31789.4</v>
      </c>
      <c r="W57" s="18" t="n">
        <v>28745.86</v>
      </c>
      <c r="X57" s="18" t="n">
        <v>29113.37</v>
      </c>
      <c r="Y57" s="18" t="n">
        <v>18482.87</v>
      </c>
      <c r="Z57" s="34" t="n">
        <v>108131.5</v>
      </c>
      <c r="AA57" s="18" t="n">
        <v>20370.73</v>
      </c>
      <c r="AB57" s="19" t="n">
        <v>21504.99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8361.450000000001</v>
      </c>
      <c r="F58" s="9" t="n"/>
      <c r="G58" s="18" t="n">
        <v>9758.27</v>
      </c>
      <c r="H58" s="18" t="n">
        <v>6226.72</v>
      </c>
      <c r="I58" s="18" t="n">
        <v>4299.53</v>
      </c>
      <c r="J58" s="18" t="n">
        <v>4713.79</v>
      </c>
      <c r="K58" s="34" t="n">
        <v>24998.31</v>
      </c>
      <c r="L58" s="18" t="n">
        <v>5783.36</v>
      </c>
      <c r="M58" s="18" t="n">
        <v>11551.75</v>
      </c>
      <c r="N58" s="18" t="n">
        <v>7746.34</v>
      </c>
      <c r="O58" s="18" t="n">
        <v>5409.54</v>
      </c>
      <c r="P58" s="34" t="n">
        <v>30490.99</v>
      </c>
      <c r="Q58" s="18" t="n">
        <v>2958.1</v>
      </c>
      <c r="R58" s="18" t="n">
        <v>3886.31</v>
      </c>
      <c r="S58" s="18" t="n">
        <v>6312.47</v>
      </c>
      <c r="T58" s="18" t="n">
        <v>8562.049999999999</v>
      </c>
      <c r="U58" s="34" t="n">
        <v>21718.93</v>
      </c>
      <c r="V58" s="18" t="n">
        <v>20328.68</v>
      </c>
      <c r="W58" s="18" t="n">
        <v>19742.04</v>
      </c>
      <c r="X58" s="18" t="n">
        <v>18737.09</v>
      </c>
      <c r="Y58" s="18" t="n">
        <v>11227.15</v>
      </c>
      <c r="Z58" s="34" t="n">
        <v>70034.96000000001</v>
      </c>
      <c r="AA58" s="18" t="n">
        <v>10529.8</v>
      </c>
      <c r="AB58" s="19" t="n">
        <v>13032.11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13288.59</v>
      </c>
      <c r="F59" s="9" t="n"/>
      <c r="G59" s="18" t="n">
        <v>6467.48</v>
      </c>
      <c r="H59" s="18" t="n">
        <v>2179.5</v>
      </c>
      <c r="I59" s="18" t="n">
        <v>6526.16</v>
      </c>
      <c r="J59" s="18" t="n">
        <v>6554.86</v>
      </c>
      <c r="K59" s="34" t="n">
        <v>21728</v>
      </c>
      <c r="L59" s="18" t="n">
        <v>3995.2</v>
      </c>
      <c r="M59" s="18" t="n">
        <v>6978.11</v>
      </c>
      <c r="N59" s="18" t="n">
        <v>5735.55</v>
      </c>
      <c r="O59" s="18" t="n">
        <v>6446.23</v>
      </c>
      <c r="P59" s="34" t="n">
        <v>23155.09</v>
      </c>
      <c r="Q59" s="18" t="n">
        <v>2838.78</v>
      </c>
      <c r="R59" s="18" t="n">
        <v>4171.8</v>
      </c>
      <c r="S59" s="18" t="n">
        <v>4453.34</v>
      </c>
      <c r="T59" s="18" t="n">
        <v>3077.47</v>
      </c>
      <c r="U59" s="34" t="n">
        <v>14541.39</v>
      </c>
      <c r="V59" s="18" t="n">
        <v>11460.72</v>
      </c>
      <c r="W59" s="18" t="n">
        <v>9003.82</v>
      </c>
      <c r="X59" s="18" t="n">
        <v>10376.28</v>
      </c>
      <c r="Y59" s="18" t="n">
        <v>7255.72</v>
      </c>
      <c r="Z59" s="34" t="n">
        <v>38096.54</v>
      </c>
      <c r="AA59" s="18" t="n">
        <v>9840.93</v>
      </c>
      <c r="AB59" s="19" t="n">
        <v>8472.870000000001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4241.61</v>
      </c>
      <c r="F60" s="9" t="n"/>
      <c r="G60" s="18" t="n">
        <v>1161.44</v>
      </c>
      <c r="H60" s="18" t="n">
        <v>3093.34</v>
      </c>
      <c r="I60" s="18" t="n">
        <v>1573.92</v>
      </c>
      <c r="J60" s="18" t="n">
        <v>4610.65</v>
      </c>
      <c r="K60" s="34" t="n">
        <v>10439.35</v>
      </c>
      <c r="L60" s="18" t="n">
        <v>1401.72</v>
      </c>
      <c r="M60" s="18" t="n">
        <v>3480.79</v>
      </c>
      <c r="N60" s="18" t="n">
        <v>1219.86</v>
      </c>
      <c r="O60" s="18" t="n">
        <v>3839.36</v>
      </c>
      <c r="P60" s="34" t="n">
        <v>9941.73</v>
      </c>
      <c r="Q60" s="18" t="n">
        <v>1459.24</v>
      </c>
      <c r="R60" s="18" t="n">
        <v>3273.48</v>
      </c>
      <c r="S60" s="18" t="n">
        <v>2545.09</v>
      </c>
      <c r="T60" s="18" t="n">
        <v>4624.57</v>
      </c>
      <c r="U60" s="34" t="n">
        <v>11902.38</v>
      </c>
      <c r="V60" s="18" t="n">
        <v>1149.87</v>
      </c>
      <c r="W60" s="18" t="n">
        <v>3584.03</v>
      </c>
      <c r="X60" s="18" t="n">
        <v>3632.24</v>
      </c>
      <c r="Y60" s="18" t="n">
        <v>3020.69</v>
      </c>
      <c r="Z60" s="34" t="n">
        <v>11386.83</v>
      </c>
      <c r="AA60" s="18" t="n">
        <v>2614.19</v>
      </c>
      <c r="AB60" s="19" t="n">
        <v>3803.39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9046.98</v>
      </c>
      <c r="F61" s="9" t="n"/>
      <c r="G61" s="18" t="n">
        <v>5306.03</v>
      </c>
      <c r="H61" s="18" t="n">
        <v>-913.84</v>
      </c>
      <c r="I61" s="18" t="n">
        <v>4952.24</v>
      </c>
      <c r="J61" s="18" t="n">
        <v>1944.2</v>
      </c>
      <c r="K61" s="34" t="n">
        <v>11288.63</v>
      </c>
      <c r="L61" s="18" t="n">
        <v>2593.48</v>
      </c>
      <c r="M61" s="18" t="n">
        <v>3497.32</v>
      </c>
      <c r="N61" s="18" t="n">
        <v>4515.69</v>
      </c>
      <c r="O61" s="18" t="n">
        <v>2606.87</v>
      </c>
      <c r="P61" s="34" t="n">
        <v>13213.36</v>
      </c>
      <c r="Q61" s="18" t="n">
        <v>1379.54</v>
      </c>
      <c r="R61" s="18" t="n">
        <v>898.3099999999999</v>
      </c>
      <c r="S61" s="18" t="n">
        <v>1908.25</v>
      </c>
      <c r="T61" s="18" t="n">
        <v>-1547.1</v>
      </c>
      <c r="U61" s="34" t="n">
        <v>2639</v>
      </c>
      <c r="V61" s="18" t="n">
        <v>10310.85</v>
      </c>
      <c r="W61" s="18" t="n">
        <v>5419.79</v>
      </c>
      <c r="X61" s="18" t="n">
        <v>6744.04</v>
      </c>
      <c r="Y61" s="18" t="n">
        <v>4235.01</v>
      </c>
      <c r="Z61" s="34" t="n">
        <v>26709.69</v>
      </c>
      <c r="AA61" s="18" t="n">
        <v>7226.74</v>
      </c>
      <c r="AB61" s="19" t="n">
        <v>4669.48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E62" s="18" t="n">
        <v>287.89</v>
      </c>
      <c r="F62" s="9" t="n"/>
      <c r="G62" s="18" t="n">
        <v>90.37</v>
      </c>
      <c r="H62" s="18" t="n">
        <v>395.03</v>
      </c>
      <c r="I62" s="18" t="n">
        <v>607.12</v>
      </c>
      <c r="J62" s="18" t="n">
        <v>1107.66</v>
      </c>
      <c r="K62" s="34" t="n">
        <v>2200.18</v>
      </c>
      <c r="L62" s="18" t="n">
        <v>94.79000000000001</v>
      </c>
      <c r="M62" s="18" t="n">
        <v>354.65</v>
      </c>
      <c r="N62" s="18" t="n">
        <v>120.48</v>
      </c>
      <c r="O62" s="18" t="n">
        <v>881.36</v>
      </c>
      <c r="P62" s="34" t="n">
        <v>1451.28</v>
      </c>
      <c r="Q62" s="18" t="n">
        <v>50.12</v>
      </c>
      <c r="R62" s="18" t="n">
        <v>689.96</v>
      </c>
      <c r="S62" s="18" t="n">
        <v>288.18</v>
      </c>
      <c r="T62" s="18" t="n">
        <v>361.68</v>
      </c>
      <c r="U62" s="34" t="n">
        <v>1389.94</v>
      </c>
      <c r="V62" s="18" t="n">
        <v>1.92</v>
      </c>
      <c r="W62" s="18" t="n">
        <v>29.84</v>
      </c>
      <c r="X62" s="18" t="n">
        <v>40.01</v>
      </c>
      <c r="Y62" s="18" t="n">
        <v>6.14</v>
      </c>
      <c r="Z62" s="34" t="n">
        <v>77.91</v>
      </c>
      <c r="AA62" s="18" t="n">
        <v>18</v>
      </c>
      <c r="AB62" s="19" t="n">
        <v>13.54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E63" s="18" t="n">
        <v>3.05</v>
      </c>
      <c r="F63" s="9" t="n"/>
      <c r="G63" s="18" t="n">
        <v>0.87</v>
      </c>
      <c r="H63" s="18" t="n">
        <v>0.87</v>
      </c>
      <c r="I63" s="18" t="n">
        <v>0.53</v>
      </c>
      <c r="J63" s="18" t="n">
        <v>0.75</v>
      </c>
      <c r="K63" s="34" t="n">
        <v>3.02</v>
      </c>
      <c r="L63" s="18" t="n">
        <v>1.28</v>
      </c>
      <c r="M63" s="18" t="n">
        <v>3.04</v>
      </c>
      <c r="N63" s="18" t="n">
        <v>32.79</v>
      </c>
      <c r="O63" s="18" t="n">
        <v>1.98</v>
      </c>
      <c r="P63" s="34" t="n">
        <v>39.09</v>
      </c>
      <c r="Q63" s="18" t="n">
        <v>0.45</v>
      </c>
      <c r="R63" s="18" t="n">
        <v>93.59</v>
      </c>
      <c r="S63" s="18" t="n">
        <v>0.45</v>
      </c>
      <c r="T63" s="18" t="n">
        <v>0.8100000000000001</v>
      </c>
      <c r="U63" s="34" t="n">
        <v>95.3</v>
      </c>
      <c r="V63" s="18" t="n">
        <v>0.51</v>
      </c>
      <c r="W63" s="18" t="n">
        <v>3.94</v>
      </c>
      <c r="X63" s="18" t="n">
        <v>11.25</v>
      </c>
      <c r="Y63" s="18" t="n">
        <v>0.51</v>
      </c>
      <c r="Z63" s="34" t="n">
        <v>16.21</v>
      </c>
      <c r="AA63" s="18" t="n">
        <v>2.45</v>
      </c>
      <c r="AB63" s="19" t="n">
        <v>5.48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금융수익</t>
        </is>
      </c>
      <c r="E64" s="18" t="n">
        <v>362.35</v>
      </c>
      <c r="F64" s="9" t="n"/>
      <c r="G64" s="18" t="n">
        <v>914.0700000000001</v>
      </c>
      <c r="H64" s="18" t="n">
        <v>2291.63</v>
      </c>
      <c r="I64" s="18" t="n">
        <v>3350.51</v>
      </c>
      <c r="J64" s="18" t="n">
        <v>-985.36</v>
      </c>
      <c r="K64" s="34" t="n">
        <v>5570.85</v>
      </c>
      <c r="L64" s="18" t="n">
        <v>3148.24</v>
      </c>
      <c r="M64" s="18" t="n">
        <v>1408.06</v>
      </c>
      <c r="N64" s="18" t="n">
        <v>1676.75</v>
      </c>
      <c r="O64" s="18" t="n">
        <v>841.3099999999999</v>
      </c>
      <c r="P64" s="34" t="n">
        <v>7074.36</v>
      </c>
      <c r="Q64" s="18" t="n">
        <v>4385.12</v>
      </c>
      <c r="R64" s="18" t="n">
        <v>1708.06</v>
      </c>
      <c r="S64" s="18" t="n">
        <v>261.86</v>
      </c>
      <c r="T64" s="18" t="n">
        <v>5458.78</v>
      </c>
      <c r="U64" s="34" t="n">
        <v>11813.82</v>
      </c>
      <c r="V64" s="18" t="n">
        <v>1666.56</v>
      </c>
      <c r="W64" s="18" t="n">
        <v>258.59</v>
      </c>
      <c r="X64" s="18" t="n">
        <v>849.17</v>
      </c>
      <c r="Y64" s="18" t="n">
        <v>596.55</v>
      </c>
      <c r="Z64" s="34" t="n">
        <v>3370.87</v>
      </c>
      <c r="AA64" s="18" t="n">
        <v>2625.29</v>
      </c>
      <c r="AB64" s="19" t="n">
        <v>1569.06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이자수익</t>
        </is>
      </c>
      <c r="E65" s="18" t="n">
        <v>178.28</v>
      </c>
      <c r="F65" s="9" t="n"/>
      <c r="G65" s="18" t="n">
        <v>425.9</v>
      </c>
      <c r="H65" s="18" t="n">
        <v>141.47</v>
      </c>
      <c r="I65" s="18" t="n">
        <v>505.65</v>
      </c>
      <c r="J65" s="18" t="n">
        <v>134.03</v>
      </c>
      <c r="K65" s="34" t="n">
        <v>1207.05</v>
      </c>
      <c r="L65" s="18" t="n">
        <v>694.54</v>
      </c>
      <c r="M65" s="18" t="n">
        <v>193.18</v>
      </c>
      <c r="P65" s="9" t="n"/>
      <c r="Q65" s="18" t="n">
        <v>569.48</v>
      </c>
      <c r="U65" s="9" t="n"/>
      <c r="Z65" s="9" t="n"/>
      <c r="AB65" s="5" t="n"/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625.66</v>
      </c>
      <c r="F66" s="9" t="n"/>
      <c r="G66" s="18" t="n">
        <v>2349.49</v>
      </c>
      <c r="H66" s="18" t="n">
        <v>1382.06</v>
      </c>
      <c r="I66" s="18" t="n">
        <v>6.63</v>
      </c>
      <c r="J66" s="18" t="n">
        <v>2677.08</v>
      </c>
      <c r="K66" s="34" t="n">
        <v>6415.26</v>
      </c>
      <c r="L66" s="18" t="n">
        <v>964.97</v>
      </c>
      <c r="M66" s="18" t="n">
        <v>-30.3</v>
      </c>
      <c r="N66" s="18" t="n">
        <v>471.55</v>
      </c>
      <c r="O66" s="18" t="n">
        <v>1725.06</v>
      </c>
      <c r="P66" s="34" t="n">
        <v>3131.28</v>
      </c>
      <c r="Q66" s="18" t="n">
        <v>273.73</v>
      </c>
      <c r="R66" s="18" t="n">
        <v>29.67</v>
      </c>
      <c r="S66" s="18" t="n">
        <v>822.4</v>
      </c>
      <c r="T66" s="18" t="n">
        <v>124.99</v>
      </c>
      <c r="U66" s="34" t="n">
        <v>1250.79</v>
      </c>
      <c r="V66" s="18" t="n">
        <v>1427.77</v>
      </c>
      <c r="W66" s="18" t="n">
        <v>4896.65</v>
      </c>
      <c r="X66" s="18" t="n">
        <v>-2533.6</v>
      </c>
      <c r="Y66" s="18" t="n">
        <v>-233.67</v>
      </c>
      <c r="Z66" s="34" t="n">
        <v>3557.15</v>
      </c>
      <c r="AA66" s="18" t="n">
        <v>4559.89</v>
      </c>
      <c r="AB66" s="19" t="n">
        <v>-1267.89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이자비용</t>
        </is>
      </c>
      <c r="E67" s="18" t="n">
        <v>4.49</v>
      </c>
      <c r="F67" s="9" t="n"/>
      <c r="G67" s="18" t="n">
        <v>0.47</v>
      </c>
      <c r="H67" s="18" t="n">
        <v>0.59</v>
      </c>
      <c r="I67" s="18" t="n">
        <v>0.55</v>
      </c>
      <c r="J67" s="18" t="n">
        <v>0.93</v>
      </c>
      <c r="K67" s="34" t="n">
        <v>2.54</v>
      </c>
      <c r="L67" s="18" t="n">
        <v>1.23</v>
      </c>
      <c r="M67" s="18" t="n">
        <v>1.14</v>
      </c>
      <c r="P67" s="9" t="n"/>
      <c r="Q67" s="18" t="n">
        <v>0.93</v>
      </c>
      <c r="U67" s="9" t="n"/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법인세비용차감전계속사업이익</t>
        </is>
      </c>
      <c r="E68" s="18" t="n">
        <v>9068.51</v>
      </c>
      <c r="F68" s="9" t="n"/>
      <c r="G68" s="18" t="n">
        <v>3960.12</v>
      </c>
      <c r="H68" s="18" t="n">
        <v>389.89</v>
      </c>
      <c r="I68" s="18" t="n">
        <v>8902.709999999999</v>
      </c>
      <c r="J68" s="18" t="n">
        <v>-611.3200000000001</v>
      </c>
      <c r="K68" s="34" t="n">
        <v>12641.4</v>
      </c>
      <c r="L68" s="18" t="n">
        <v>4870.27</v>
      </c>
      <c r="M68" s="18" t="n">
        <v>5287.29</v>
      </c>
      <c r="N68" s="18" t="n">
        <v>5808.58</v>
      </c>
      <c r="O68" s="18" t="n">
        <v>2602.51</v>
      </c>
      <c r="P68" s="34" t="n">
        <v>18568.65</v>
      </c>
      <c r="Q68" s="18" t="n">
        <v>5540.6</v>
      </c>
      <c r="R68" s="18" t="n">
        <v>3173.08</v>
      </c>
      <c r="S68" s="18" t="n">
        <v>1635.44</v>
      </c>
      <c r="T68" s="18" t="n">
        <v>4147.56</v>
      </c>
      <c r="U68" s="34" t="n">
        <v>14496.68</v>
      </c>
      <c r="V68" s="18" t="n">
        <v>10551.05</v>
      </c>
      <c r="W68" s="18" t="n">
        <v>807.63</v>
      </c>
      <c r="X68" s="18" t="n">
        <v>10155.58</v>
      </c>
      <c r="Y68" s="18" t="n">
        <v>5070.87</v>
      </c>
      <c r="Z68" s="34" t="n">
        <v>26585.13</v>
      </c>
      <c r="AA68" s="18" t="n">
        <v>5307.68</v>
      </c>
      <c r="AB68" s="19" t="n">
        <v>7514.48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</t>
        </is>
      </c>
      <c r="E69" s="18" t="n">
        <v>1810.77</v>
      </c>
      <c r="F69" s="9" t="n"/>
      <c r="G69" s="18" t="n">
        <v>854.98</v>
      </c>
      <c r="H69" s="18" t="n">
        <v>89.15000000000001</v>
      </c>
      <c r="I69" s="18" t="n">
        <v>1958.6</v>
      </c>
      <c r="J69" s="18" t="n">
        <v>-398.99</v>
      </c>
      <c r="K69" s="34" t="n">
        <v>2503.74</v>
      </c>
      <c r="L69" s="18" t="n">
        <v>982.58</v>
      </c>
      <c r="M69" s="18" t="n">
        <v>1104.13</v>
      </c>
      <c r="N69" s="18" t="n">
        <v>1219.37</v>
      </c>
      <c r="O69" s="18" t="n">
        <v>197.39</v>
      </c>
      <c r="P69" s="34" t="n">
        <v>3503.47</v>
      </c>
      <c r="Q69" s="18" t="n">
        <v>1138.65</v>
      </c>
      <c r="R69" s="18" t="n">
        <v>706.95</v>
      </c>
      <c r="S69" s="18" t="n">
        <v>336.65</v>
      </c>
      <c r="T69" s="18" t="n">
        <v>475.12</v>
      </c>
      <c r="U69" s="34" t="n">
        <v>2657.37</v>
      </c>
      <c r="V69" s="18" t="n">
        <v>2196.51</v>
      </c>
      <c r="W69" s="18" t="n">
        <v>210.76</v>
      </c>
      <c r="X69" s="18" t="n">
        <v>2149.2</v>
      </c>
      <c r="Y69" s="18" t="n">
        <v>577.64</v>
      </c>
      <c r="Z69" s="34" t="n">
        <v>5134.11</v>
      </c>
      <c r="AA69" s="18" t="n">
        <v>1222.74</v>
      </c>
      <c r="AB69" s="19" t="n">
        <v>2054.62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당기순이익</t>
        </is>
      </c>
      <c r="E70" s="18" t="n">
        <v>7257.74</v>
      </c>
      <c r="F70" s="9" t="n"/>
      <c r="G70" s="18" t="n">
        <v>3105.14</v>
      </c>
      <c r="H70" s="18" t="n">
        <v>300.73</v>
      </c>
      <c r="I70" s="18" t="n">
        <v>6944.11</v>
      </c>
      <c r="J70" s="18" t="n">
        <v>-212.33</v>
      </c>
      <c r="K70" s="34" t="n">
        <v>10137.65</v>
      </c>
      <c r="L70" s="18" t="n">
        <v>3887.69</v>
      </c>
      <c r="M70" s="18" t="n">
        <v>4183.16</v>
      </c>
      <c r="N70" s="18" t="n">
        <v>4589.21</v>
      </c>
      <c r="O70" s="18" t="n">
        <v>2405.13</v>
      </c>
      <c r="P70" s="34" t="n">
        <v>15065.19</v>
      </c>
      <c r="Q70" s="18" t="n">
        <v>4401.95</v>
      </c>
      <c r="R70" s="18" t="n">
        <v>2466.12</v>
      </c>
      <c r="S70" s="18" t="n">
        <v>1298.79</v>
      </c>
      <c r="T70" s="18" t="n">
        <v>3672.44</v>
      </c>
      <c r="U70" s="34" t="n">
        <v>11839.3</v>
      </c>
      <c r="V70" s="18" t="n">
        <v>8354.540000000001</v>
      </c>
      <c r="W70" s="18" t="n">
        <v>596.87</v>
      </c>
      <c r="X70" s="18" t="n">
        <v>8006.38</v>
      </c>
      <c r="Y70" s="18" t="n">
        <v>4493.23</v>
      </c>
      <c r="Z70" s="34" t="n">
        <v>21451.02</v>
      </c>
      <c r="AA70" s="18" t="n">
        <v>4084.94</v>
      </c>
      <c r="AB70" s="19" t="n">
        <v>5459.86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총포괄손익</t>
        </is>
      </c>
      <c r="E71" s="18" t="n">
        <v>7384.75</v>
      </c>
      <c r="F71" s="9" t="n"/>
      <c r="G71" s="18" t="n">
        <v>3104.5</v>
      </c>
      <c r="H71" s="18" t="n">
        <v>302.57</v>
      </c>
      <c r="I71" s="18" t="n">
        <v>6945.76</v>
      </c>
      <c r="J71" s="18" t="n">
        <v>-204.96</v>
      </c>
      <c r="K71" s="34" t="n">
        <v>10147.87</v>
      </c>
      <c r="L71" s="18" t="n">
        <v>3884.81</v>
      </c>
      <c r="M71" s="18" t="n">
        <v>4182.74</v>
      </c>
      <c r="N71" s="18" t="n">
        <v>4590.54</v>
      </c>
      <c r="O71" s="18" t="n">
        <v>2136.68</v>
      </c>
      <c r="P71" s="34" t="n">
        <v>14794.77</v>
      </c>
      <c r="Q71" s="18" t="n">
        <v>4404.45</v>
      </c>
      <c r="R71" s="18" t="n">
        <v>2464.12</v>
      </c>
      <c r="S71" s="18" t="n">
        <v>1306.63</v>
      </c>
      <c r="T71" s="18" t="n">
        <v>3717.94</v>
      </c>
      <c r="U71" s="34" t="n">
        <v>11893.14</v>
      </c>
      <c r="V71" s="18" t="n">
        <v>8352.26</v>
      </c>
      <c r="W71" s="18" t="n">
        <v>606.95</v>
      </c>
      <c r="X71" s="18" t="n">
        <v>8008.61</v>
      </c>
      <c r="Y71" s="18" t="n">
        <v>4563.62</v>
      </c>
      <c r="Z71" s="34" t="n">
        <v>21531.44</v>
      </c>
      <c r="AA71" s="18" t="n">
        <v>4091.33</v>
      </c>
      <c r="AB71" s="19" t="n">
        <v>5463.78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금융손익</t>
        </is>
      </c>
      <c r="E72" s="18" t="n">
        <v>-263.31</v>
      </c>
      <c r="F72" s="9" t="n"/>
      <c r="G72" s="18" t="n">
        <v>-1435.42</v>
      </c>
      <c r="H72" s="18" t="n">
        <v>909.5700000000001</v>
      </c>
      <c r="I72" s="18" t="n">
        <v>3343.88</v>
      </c>
      <c r="J72" s="18" t="n">
        <v>-3662.44</v>
      </c>
      <c r="K72" s="34" t="n">
        <v>-844.41</v>
      </c>
      <c r="L72" s="18" t="n">
        <v>2183.27</v>
      </c>
      <c r="M72" s="18" t="n">
        <v>1438.36</v>
      </c>
      <c r="N72" s="18" t="n">
        <v>1205.2</v>
      </c>
      <c r="O72" s="18" t="n">
        <v>-883.75</v>
      </c>
      <c r="P72" s="34" t="n">
        <v>3943.08</v>
      </c>
      <c r="Q72" s="18" t="n">
        <v>4111.39</v>
      </c>
      <c r="R72" s="18" t="n">
        <v>1678.39</v>
      </c>
      <c r="S72" s="18" t="n">
        <v>-560.54</v>
      </c>
      <c r="T72" s="18" t="n">
        <v>5333.79</v>
      </c>
      <c r="U72" s="34" t="n">
        <v>10563.03</v>
      </c>
      <c r="V72" s="18" t="n">
        <v>238.79</v>
      </c>
      <c r="W72" s="18" t="n">
        <v>-4638.06</v>
      </c>
      <c r="X72" s="18" t="n">
        <v>3382.77</v>
      </c>
      <c r="Y72" s="18" t="n">
        <v>830.22</v>
      </c>
      <c r="Z72" s="34" t="n">
        <v>-186.28</v>
      </c>
      <c r="AA72" s="18" t="n">
        <v>-1934.6</v>
      </c>
      <c r="AB72" s="19" t="n">
        <v>2836.95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이자손익</t>
        </is>
      </c>
      <c r="E73" s="18" t="n">
        <v>173.79</v>
      </c>
      <c r="F73" s="9" t="n"/>
      <c r="G73" s="18" t="n">
        <v>425.43</v>
      </c>
      <c r="H73" s="18" t="n">
        <v>140.88</v>
      </c>
      <c r="I73" s="18" t="n">
        <v>505.1</v>
      </c>
      <c r="J73" s="18" t="n">
        <v>133.1</v>
      </c>
      <c r="K73" s="34" t="n">
        <v>1204.51</v>
      </c>
      <c r="L73" s="18" t="n">
        <v>693.3099999999999</v>
      </c>
      <c r="M73" s="18" t="n">
        <v>192.04</v>
      </c>
      <c r="P73" s="9" t="n"/>
      <c r="Q73" s="18" t="n">
        <v>568.55</v>
      </c>
      <c r="U73" s="9" t="n"/>
      <c r="Z73" s="9" t="n"/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284.84</v>
      </c>
      <c r="F74" s="9" t="n"/>
      <c r="G74" s="18" t="n">
        <v>89.5</v>
      </c>
      <c r="H74" s="18" t="n">
        <v>394.16</v>
      </c>
      <c r="I74" s="18" t="n">
        <v>606.59</v>
      </c>
      <c r="J74" s="18" t="n">
        <v>1106.91</v>
      </c>
      <c r="K74" s="34" t="n">
        <v>2197.16</v>
      </c>
      <c r="L74" s="18" t="n">
        <v>93.51000000000001</v>
      </c>
      <c r="M74" s="18" t="n">
        <v>351.61</v>
      </c>
      <c r="N74" s="18" t="n">
        <v>87.69</v>
      </c>
      <c r="O74" s="18" t="n">
        <v>879.38</v>
      </c>
      <c r="P74" s="34" t="n">
        <v>1412.19</v>
      </c>
      <c r="Q74" s="18" t="n">
        <v>49.67</v>
      </c>
      <c r="R74" s="18" t="n">
        <v>596.37</v>
      </c>
      <c r="S74" s="18" t="n">
        <v>287.73</v>
      </c>
      <c r="T74" s="18" t="n">
        <v>360.87</v>
      </c>
      <c r="U74" s="34" t="n">
        <v>1294.64</v>
      </c>
      <c r="V74" s="18" t="n">
        <v>1.41</v>
      </c>
      <c r="W74" s="18" t="n">
        <v>25.9</v>
      </c>
      <c r="X74" s="18" t="n">
        <v>28.76</v>
      </c>
      <c r="Y74" s="18" t="n">
        <v>5.63</v>
      </c>
      <c r="Z74" s="34" t="n">
        <v>61.7</v>
      </c>
      <c r="AA74" s="18" t="n">
        <v>15.55</v>
      </c>
      <c r="AB74" s="19" t="n">
        <v>8.06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7257.74</v>
      </c>
      <c r="F75" s="9" t="n"/>
      <c r="G75" s="18" t="n">
        <v>3105.14</v>
      </c>
      <c r="H75" s="18" t="n">
        <v>300.73</v>
      </c>
      <c r="I75" s="18" t="n">
        <v>6944.11</v>
      </c>
      <c r="J75" s="18" t="n">
        <v>-212.33</v>
      </c>
      <c r="K75" s="34" t="n">
        <v>10137.65</v>
      </c>
      <c r="L75" s="18" t="n">
        <v>3887.69</v>
      </c>
      <c r="M75" s="18" t="n">
        <v>4183.16</v>
      </c>
      <c r="N75" s="18" t="n">
        <v>4589.21</v>
      </c>
      <c r="O75" s="18" t="n">
        <v>2405.13</v>
      </c>
      <c r="P75" s="34" t="n">
        <v>15065.19</v>
      </c>
      <c r="Q75" s="18" t="n">
        <v>4401.95</v>
      </c>
      <c r="R75" s="18" t="n">
        <v>2466.12</v>
      </c>
      <c r="S75" s="18" t="n">
        <v>1298.79</v>
      </c>
      <c r="T75" s="18" t="n">
        <v>3672.44</v>
      </c>
      <c r="U75" s="34" t="n">
        <v>11839.3</v>
      </c>
      <c r="V75" s="18" t="n">
        <v>8354.540000000001</v>
      </c>
      <c r="W75" s="18" t="n">
        <v>596.87</v>
      </c>
      <c r="X75" s="18" t="n">
        <v>8006.38</v>
      </c>
      <c r="Y75" s="18" t="n">
        <v>4493.23</v>
      </c>
      <c r="Z75" s="34" t="n">
        <v>21451.02</v>
      </c>
      <c r="AA75" s="18" t="n">
        <v>4084.94</v>
      </c>
      <c r="AB75" s="19" t="n">
        <v>5459.86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7257.74</v>
      </c>
      <c r="F76" s="9" t="n"/>
      <c r="G76" s="18" t="n">
        <v>3105.14</v>
      </c>
      <c r="H76" s="18" t="n">
        <v>300.73</v>
      </c>
      <c r="I76" s="18" t="n">
        <v>6944.11</v>
      </c>
      <c r="J76" s="18" t="n">
        <v>-212.33</v>
      </c>
      <c r="K76" s="34" t="n">
        <v>10137.65</v>
      </c>
      <c r="L76" s="18" t="n">
        <v>3887.69</v>
      </c>
      <c r="M76" s="18" t="n">
        <v>4183.16</v>
      </c>
      <c r="N76" s="18" t="n">
        <v>4589.21</v>
      </c>
      <c r="O76" s="18" t="n">
        <v>2405.13</v>
      </c>
      <c r="P76" s="34" t="n">
        <v>15065.19</v>
      </c>
      <c r="Q76" s="18" t="n">
        <v>4401.95</v>
      </c>
      <c r="R76" s="18" t="n">
        <v>2466.12</v>
      </c>
      <c r="S76" s="18" t="n">
        <v>1298.79</v>
      </c>
      <c r="T76" s="18" t="n">
        <v>3672.44</v>
      </c>
      <c r="U76" s="34" t="n">
        <v>11839.3</v>
      </c>
      <c r="V76" s="18" t="n">
        <v>8354.540000000001</v>
      </c>
      <c r="W76" s="18" t="n">
        <v>596.87</v>
      </c>
      <c r="X76" s="18" t="n">
        <v>8006.38</v>
      </c>
      <c r="Y76" s="18" t="n">
        <v>4493.23</v>
      </c>
      <c r="Z76" s="34" t="n">
        <v>21451.02</v>
      </c>
      <c r="AA76" s="18" t="n">
        <v>4084.94</v>
      </c>
      <c r="AB76" s="19" t="n">
        <v>5459.86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배당금수익</t>
        </is>
      </c>
      <c r="F77" s="9" t="n"/>
      <c r="H77" s="18" t="n">
        <v>2.3</v>
      </c>
      <c r="I77" s="18" t="n">
        <v>0</v>
      </c>
      <c r="K77" s="9" t="n"/>
      <c r="M77" s="18" t="n">
        <v>2.99</v>
      </c>
      <c r="N77" s="18" t="n">
        <v>0.57</v>
      </c>
      <c r="O77" s="18" t="n">
        <v>0</v>
      </c>
      <c r="P77" s="9" t="n"/>
      <c r="Q77" s="18" t="n">
        <v>0.4</v>
      </c>
      <c r="R77" s="18" t="n">
        <v>1.92</v>
      </c>
      <c r="S77" s="18" t="n">
        <v>0.57</v>
      </c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외환차익</t>
        </is>
      </c>
      <c r="F78" s="9" t="n"/>
      <c r="H78" s="18" t="n">
        <v>335.29</v>
      </c>
      <c r="I78" s="18" t="n">
        <v>804.26</v>
      </c>
      <c r="K78" s="9" t="n"/>
      <c r="M78" s="18" t="n">
        <v>417</v>
      </c>
      <c r="N78" s="18" t="n">
        <v>213.93</v>
      </c>
      <c r="O78" s="18" t="n">
        <v>1579.56</v>
      </c>
      <c r="P78" s="9" t="n"/>
      <c r="Q78" s="18" t="n">
        <v>340.19</v>
      </c>
      <c r="R78" s="18" t="n">
        <v>227.94</v>
      </c>
      <c r="S78" s="18" t="n">
        <v>1015.92</v>
      </c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외화환산이익</t>
        </is>
      </c>
      <c r="F79" s="9" t="n"/>
      <c r="H79" s="18" t="n">
        <v>1500.81</v>
      </c>
      <c r="I79" s="18" t="n">
        <v>2039.88</v>
      </c>
      <c r="K79" s="9" t="n"/>
      <c r="M79" s="18" t="n">
        <v>170.86</v>
      </c>
      <c r="N79" s="18" t="n">
        <v>993.64</v>
      </c>
      <c r="O79" s="18" t="n">
        <v>-1377.49</v>
      </c>
      <c r="P79" s="9" t="n"/>
      <c r="Q79" s="18" t="n">
        <v>1684.04</v>
      </c>
      <c r="R79" s="18" t="n">
        <v>64.90000000000001</v>
      </c>
      <c r="S79" s="18" t="n">
        <v>-790.03</v>
      </c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외환차손</t>
        </is>
      </c>
      <c r="F80" s="9" t="n"/>
      <c r="H80" s="18" t="n">
        <v>87.31999999999999</v>
      </c>
      <c r="I80" s="18" t="n">
        <v>722.33</v>
      </c>
      <c r="K80" s="9" t="n"/>
      <c r="M80" s="18" t="n">
        <v>267.13</v>
      </c>
      <c r="N80" s="18" t="n">
        <v>404.77</v>
      </c>
      <c r="O80" s="18" t="n">
        <v>1715.69</v>
      </c>
      <c r="P80" s="9" t="n"/>
      <c r="Q80" s="18" t="n">
        <v>271.05</v>
      </c>
      <c r="R80" s="18" t="n">
        <v>28.78</v>
      </c>
      <c r="S80" s="18" t="n">
        <v>591.95</v>
      </c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외화환산손실</t>
        </is>
      </c>
      <c r="F81" s="9" t="n"/>
      <c r="H81" s="18" t="n">
        <v>2.56</v>
      </c>
      <c r="I81" s="18" t="n">
        <v>-0.9</v>
      </c>
      <c r="K81" s="9" t="n"/>
      <c r="M81" s="18" t="n">
        <v>-59.73</v>
      </c>
      <c r="N81" s="18" t="n">
        <v>-3.73</v>
      </c>
      <c r="O81" s="18" t="n">
        <v>3.25</v>
      </c>
      <c r="P81" s="9" t="n"/>
      <c r="Q81" s="18" t="n">
        <v>1.76</v>
      </c>
      <c r="R81" s="18" t="n">
        <v>0.15</v>
      </c>
      <c r="S81" s="18" t="n">
        <v>229.82</v>
      </c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영업활동으로인한현금흐름</t>
        </is>
      </c>
      <c r="E82" s="18" t="n">
        <v>1224.71</v>
      </c>
      <c r="F82" s="9" t="n"/>
      <c r="G82" s="18" t="n">
        <v>10778.11</v>
      </c>
      <c r="H82" s="18" t="n">
        <v>-4713.08</v>
      </c>
      <c r="I82" s="18" t="n">
        <v>10412.84</v>
      </c>
      <c r="J82" s="18" t="n">
        <v>-1229.43</v>
      </c>
      <c r="K82" s="34" t="n">
        <v>15248.44</v>
      </c>
      <c r="L82" s="18" t="n">
        <v>1418.84</v>
      </c>
      <c r="M82" s="18" t="n">
        <v>-6892.16</v>
      </c>
      <c r="N82" s="18" t="n">
        <v>9655.620000000001</v>
      </c>
      <c r="O82" s="18" t="n">
        <v>5461.46</v>
      </c>
      <c r="P82" s="34" t="n">
        <v>9643.76</v>
      </c>
      <c r="Q82" s="18" t="n">
        <v>4262.01</v>
      </c>
      <c r="R82" s="18" t="n">
        <v>2247.69</v>
      </c>
      <c r="S82" s="18" t="n">
        <v>7499.27</v>
      </c>
      <c r="T82" s="18" t="n">
        <v>-16499.05</v>
      </c>
      <c r="U82" s="34" t="n">
        <v>-2490.08</v>
      </c>
      <c r="V82" s="18" t="n">
        <v>23489.83</v>
      </c>
      <c r="W82" s="18" t="n">
        <v>-2144.33</v>
      </c>
      <c r="X82" s="18" t="n">
        <v>19923.64</v>
      </c>
      <c r="Y82" s="18" t="n">
        <v>-6144.27</v>
      </c>
      <c r="Z82" s="34" t="n">
        <v>35124.87</v>
      </c>
      <c r="AA82" s="18" t="n">
        <v>6183.06</v>
      </c>
      <c r="AB82" s="19" t="n">
        <v>5162.47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감가상각비</t>
        </is>
      </c>
      <c r="E83" s="18" t="n">
        <v>45.11</v>
      </c>
      <c r="F83" s="9" t="n"/>
      <c r="G83" s="18" t="n">
        <v>45.81</v>
      </c>
      <c r="H83" s="18" t="n">
        <v>47.83</v>
      </c>
      <c r="I83" s="18" t="n">
        <v>47.43</v>
      </c>
      <c r="J83" s="18" t="n">
        <v>52.66</v>
      </c>
      <c r="K83" s="34" t="n">
        <v>193.73</v>
      </c>
      <c r="L83" s="18" t="n">
        <v>57.32</v>
      </c>
      <c r="M83" s="18" t="n">
        <v>57.31</v>
      </c>
      <c r="P83" s="9" t="n"/>
      <c r="Q83" s="18" t="n">
        <v>56.55</v>
      </c>
      <c r="R83" s="18" t="n">
        <v>52.82</v>
      </c>
      <c r="S83" s="18" t="n">
        <v>51.61</v>
      </c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무형자산상각비</t>
        </is>
      </c>
      <c r="E84" s="18" t="n">
        <v>0.77</v>
      </c>
      <c r="F84" s="9" t="n"/>
      <c r="G84" s="18" t="n">
        <v>0.72</v>
      </c>
      <c r="H84" s="18" t="n">
        <v>0.61</v>
      </c>
      <c r="I84" s="18" t="n">
        <v>0.62</v>
      </c>
      <c r="J84" s="18" t="n">
        <v>0.61</v>
      </c>
      <c r="K84" s="34" t="n">
        <v>2.56</v>
      </c>
      <c r="L84" s="18" t="n">
        <v>0.62</v>
      </c>
      <c r="M84" s="18" t="n">
        <v>0.61</v>
      </c>
      <c r="P84" s="9" t="n"/>
      <c r="Q84" s="18" t="n">
        <v>0.62</v>
      </c>
      <c r="R84" s="18" t="n">
        <v>0.61</v>
      </c>
      <c r="S84" s="18" t="n">
        <v>0.62</v>
      </c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배당금수취(CF)</t>
        </is>
      </c>
      <c r="E85" s="18" t="n">
        <v>0</v>
      </c>
      <c r="F85" s="9" t="n"/>
      <c r="I85" s="18" t="n">
        <v>0</v>
      </c>
      <c r="J85" s="18" t="n">
        <v>0</v>
      </c>
      <c r="K85" s="9" t="n"/>
      <c r="N85" s="18" t="n">
        <v>0.57</v>
      </c>
      <c r="O85" s="18" t="n">
        <v>0</v>
      </c>
      <c r="P85" s="9" t="n"/>
      <c r="S85" s="18" t="n">
        <v>0</v>
      </c>
      <c r="T85" s="18" t="n">
        <v>0.57</v>
      </c>
      <c r="U85" s="9" t="n"/>
      <c r="X85" s="18" t="n">
        <v>0.67</v>
      </c>
      <c r="Y85" s="18" t="n">
        <v>0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법인세납부(CF)</t>
        </is>
      </c>
      <c r="E86" s="18" t="n">
        <v>-39.06</v>
      </c>
      <c r="F86" s="9" t="n"/>
      <c r="G86" s="18" t="n">
        <v>-1605.43</v>
      </c>
      <c r="H86" s="18" t="n">
        <v>-1925.36</v>
      </c>
      <c r="I86" s="18" t="n">
        <v>-1812.65</v>
      </c>
      <c r="J86" s="18" t="n">
        <v>-21.23</v>
      </c>
      <c r="K86" s="34" t="n">
        <v>-5364.67</v>
      </c>
      <c r="L86" s="18" t="n">
        <v>-92.43000000000001</v>
      </c>
      <c r="M86" s="18" t="n">
        <v>-738.47</v>
      </c>
      <c r="N86" s="18" t="n">
        <v>-1115.6</v>
      </c>
      <c r="O86" s="18" t="n">
        <v>-1613.15</v>
      </c>
      <c r="P86" s="34" t="n">
        <v>-3559.65</v>
      </c>
      <c r="Q86" s="18" t="n">
        <v>-730.5599999999999</v>
      </c>
      <c r="R86" s="18" t="n">
        <v>-1032.9</v>
      </c>
      <c r="S86" s="18" t="n">
        <v>-1478.43</v>
      </c>
      <c r="T86" s="18" t="n">
        <v>-82.95999999999999</v>
      </c>
      <c r="U86" s="34" t="n">
        <v>-3324.85</v>
      </c>
      <c r="V86" s="18" t="n">
        <v>-71.48999999999999</v>
      </c>
      <c r="W86" s="18" t="n">
        <v>-96.81</v>
      </c>
      <c r="X86" s="18" t="n">
        <v>-2746.06</v>
      </c>
      <c r="Y86" s="18" t="n">
        <v>-51.92</v>
      </c>
      <c r="Z86" s="34" t="n">
        <v>-2966.28</v>
      </c>
      <c r="AA86" s="18" t="n">
        <v>-1031.62</v>
      </c>
      <c r="AB86" s="19" t="n">
        <v>-1517.13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투자활동으로인한현금흐름</t>
        </is>
      </c>
      <c r="E87" s="18" t="n">
        <v>109</v>
      </c>
      <c r="F87" s="9" t="n"/>
      <c r="G87" s="18" t="n">
        <v>-297.89</v>
      </c>
      <c r="H87" s="18" t="n">
        <v>-828.83</v>
      </c>
      <c r="I87" s="18" t="n">
        <v>179.36</v>
      </c>
      <c r="J87" s="18" t="n">
        <v>3900.95</v>
      </c>
      <c r="K87" s="34" t="n">
        <v>2953.59</v>
      </c>
      <c r="L87" s="18" t="n">
        <v>1861.81</v>
      </c>
      <c r="M87" s="18" t="n">
        <v>-3870.24</v>
      </c>
      <c r="N87" s="18" t="n">
        <v>-53.52</v>
      </c>
      <c r="O87" s="18" t="n">
        <v>-3903.41</v>
      </c>
      <c r="P87" s="34" t="n">
        <v>-5965.36</v>
      </c>
      <c r="Q87" s="18" t="n">
        <v>545.49</v>
      </c>
      <c r="R87" s="18" t="n">
        <v>1.18</v>
      </c>
      <c r="S87" s="18" t="n">
        <v>-5439.16</v>
      </c>
      <c r="T87" s="18" t="n">
        <v>9554.84</v>
      </c>
      <c r="U87" s="34" t="n">
        <v>4662.35</v>
      </c>
      <c r="V87" s="18" t="n">
        <v>-21.43</v>
      </c>
      <c r="W87" s="18" t="n">
        <v>2715.59</v>
      </c>
      <c r="X87" s="18" t="n">
        <v>-10.73</v>
      </c>
      <c r="Y87" s="18" t="n">
        <v>-5.05</v>
      </c>
      <c r="Z87" s="34" t="n">
        <v>2678.38</v>
      </c>
      <c r="AA87" s="18" t="n">
        <v>-9658.379999999999</v>
      </c>
      <c r="AB87" s="19" t="n">
        <v>20726.8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재무활동으로인한현금흐름</t>
        </is>
      </c>
      <c r="E88" s="18" t="n">
        <v>-3113.43</v>
      </c>
      <c r="F88" s="9" t="n"/>
      <c r="G88" s="18" t="n">
        <v>-4.59</v>
      </c>
      <c r="H88" s="18" t="n">
        <v>-5093.37</v>
      </c>
      <c r="I88" s="18" t="n">
        <v>-6.25</v>
      </c>
      <c r="J88" s="18" t="n">
        <v>-2069.02</v>
      </c>
      <c r="K88" s="34" t="n">
        <v>-7173.23</v>
      </c>
      <c r="L88" s="18" t="n">
        <v>-14.88</v>
      </c>
      <c r="M88" s="18" t="n">
        <v>-7484</v>
      </c>
      <c r="N88" s="18" t="n">
        <v>-2504.38</v>
      </c>
      <c r="O88" s="18" t="n">
        <v>-1006.19</v>
      </c>
      <c r="P88" s="34" t="n">
        <v>-11009.45</v>
      </c>
      <c r="Q88" s="18" t="n">
        <v>-14.57</v>
      </c>
      <c r="R88" s="18" t="n">
        <v>-4943.19</v>
      </c>
      <c r="S88" s="18" t="n">
        <v>-2476.95</v>
      </c>
      <c r="T88" s="18" t="n">
        <v>-9003.09</v>
      </c>
      <c r="U88" s="34" t="n">
        <v>-16437.8</v>
      </c>
      <c r="V88" s="18" t="n">
        <v>-11.8</v>
      </c>
      <c r="W88" s="18" t="n">
        <v>-9049.950000000001</v>
      </c>
      <c r="X88" s="18" t="n">
        <v>-9050.030000000001</v>
      </c>
      <c r="Y88" s="18" t="n">
        <v>-9050.110000000001</v>
      </c>
      <c r="Z88" s="34" t="n">
        <v>-27161.89</v>
      </c>
      <c r="AA88" s="18" t="n">
        <v>25662.8</v>
      </c>
      <c r="AB88" s="19" t="n">
        <v>-9049.209999999999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배당금지급</t>
        </is>
      </c>
      <c r="E89" s="18" t="n">
        <v>0</v>
      </c>
      <c r="F89" s="9" t="n"/>
      <c r="I89" s="18" t="n">
        <v>0</v>
      </c>
      <c r="J89" s="18" t="n">
        <v>0</v>
      </c>
      <c r="K89" s="9" t="n"/>
      <c r="N89" s="18" t="n">
        <v>2490.29</v>
      </c>
      <c r="O89" s="18" t="n">
        <v>0</v>
      </c>
      <c r="P89" s="9" t="n"/>
      <c r="S89" s="18" t="n">
        <v>2465.29</v>
      </c>
      <c r="T89" s="18" t="n">
        <v>0</v>
      </c>
      <c r="U89" s="9" t="n"/>
      <c r="X89" s="18" t="n">
        <v>9038.07</v>
      </c>
      <c r="Y89" s="18" t="n">
        <v>9038.059999999999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E90" s="18" t="n">
        <v>0.2</v>
      </c>
      <c r="F90" s="9" t="n"/>
      <c r="K90" s="9" t="n"/>
      <c r="P90" s="9" t="n"/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리스부채의상환</t>
        </is>
      </c>
      <c r="E91" s="18" t="n">
        <v>3.9</v>
      </c>
      <c r="F91" s="9" t="n"/>
      <c r="G91" s="18" t="n">
        <v>4.59</v>
      </c>
      <c r="H91" s="18" t="n">
        <v>6.25</v>
      </c>
      <c r="I91" s="18" t="n">
        <v>6.25</v>
      </c>
      <c r="J91" s="18" t="n">
        <v>6.63</v>
      </c>
      <c r="K91" s="34" t="n">
        <v>23.72</v>
      </c>
      <c r="L91" s="18" t="n">
        <v>14.88</v>
      </c>
      <c r="M91" s="18" t="n">
        <v>13.13</v>
      </c>
      <c r="N91" s="18" t="n">
        <v>14.08</v>
      </c>
      <c r="O91" s="18" t="n">
        <v>14.46</v>
      </c>
      <c r="P91" s="34" t="n">
        <v>56.55</v>
      </c>
      <c r="Q91" s="18" t="n">
        <v>14.57</v>
      </c>
      <c r="R91" s="18" t="n">
        <v>12.61</v>
      </c>
      <c r="S91" s="18" t="n">
        <v>11.65</v>
      </c>
      <c r="T91" s="18" t="n">
        <v>11.73</v>
      </c>
      <c r="U91" s="34" t="n">
        <v>50.56</v>
      </c>
      <c r="V91" s="18" t="n">
        <v>11.8</v>
      </c>
      <c r="W91" s="18" t="n">
        <v>11.89</v>
      </c>
      <c r="X91" s="18" t="n">
        <v>11.95</v>
      </c>
      <c r="Y91" s="18" t="n">
        <v>12.04</v>
      </c>
      <c r="Z91" s="34" t="n">
        <v>47.68</v>
      </c>
      <c r="AA91" s="18" t="n">
        <v>9.56</v>
      </c>
      <c r="AB91" s="19" t="n">
        <v>11.14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-1735.67</v>
      </c>
      <c r="F92" s="9" t="n"/>
      <c r="G92" s="18" t="n">
        <v>10639.91</v>
      </c>
      <c r="H92" s="18" t="n">
        <v>-10057.98</v>
      </c>
      <c r="I92" s="18" t="n">
        <v>12205.14</v>
      </c>
      <c r="J92" s="18" t="n">
        <v>-885.84</v>
      </c>
      <c r="K92" s="34" t="n">
        <v>11901.23</v>
      </c>
      <c r="L92" s="18" t="n">
        <v>4565.48</v>
      </c>
      <c r="M92" s="18" t="n">
        <v>-18149.22</v>
      </c>
      <c r="N92" s="18" t="n">
        <v>7651.89</v>
      </c>
      <c r="O92" s="18" t="n">
        <v>16.42</v>
      </c>
      <c r="P92" s="34" t="n">
        <v>-5915.43</v>
      </c>
      <c r="Q92" s="18" t="n">
        <v>5518.7</v>
      </c>
      <c r="R92" s="18" t="n">
        <v>-2327.19</v>
      </c>
      <c r="S92" s="18" t="n">
        <v>-898.59</v>
      </c>
      <c r="T92" s="18" t="n">
        <v>-16364.41</v>
      </c>
      <c r="U92" s="34" t="n">
        <v>-14071.49</v>
      </c>
      <c r="V92" s="18" t="n">
        <v>23919.2</v>
      </c>
      <c r="W92" s="18" t="n">
        <v>-10297.94</v>
      </c>
      <c r="X92" s="18" t="n">
        <v>11527.03</v>
      </c>
      <c r="Y92" s="18" t="n">
        <v>-14686.9</v>
      </c>
      <c r="Z92" s="34" t="n">
        <v>10461.39</v>
      </c>
      <c r="AA92" s="18" t="n">
        <v>22863.58</v>
      </c>
      <c r="AB92" s="19" t="n">
        <v>17647.75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-1735.68</v>
      </c>
      <c r="F93" s="9" t="n"/>
      <c r="G93" s="18" t="n">
        <v>24562.34</v>
      </c>
      <c r="H93" s="18" t="n">
        <v>-10057.98</v>
      </c>
      <c r="I93" s="18" t="n">
        <v>12205.14</v>
      </c>
      <c r="J93" s="18" t="n">
        <v>-885.85</v>
      </c>
      <c r="K93" s="34" t="n">
        <v>25823.65</v>
      </c>
      <c r="L93" s="18" t="n">
        <v>30389.13</v>
      </c>
      <c r="M93" s="18" t="n">
        <v>-18149.22</v>
      </c>
      <c r="N93" s="18" t="n">
        <v>7651.9</v>
      </c>
      <c r="O93" s="18" t="n">
        <v>16.41</v>
      </c>
      <c r="P93" s="34" t="n">
        <v>19908.22</v>
      </c>
      <c r="Q93" s="18" t="n">
        <v>25426.92</v>
      </c>
      <c r="R93" s="18" t="n">
        <v>-2327.18</v>
      </c>
      <c r="S93" s="18" t="n">
        <v>-898.59</v>
      </c>
      <c r="U93" s="9" t="n"/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이자수취(CF)</t>
        </is>
      </c>
      <c r="F94" s="9" t="n"/>
      <c r="K94" s="9" t="n"/>
      <c r="O94" s="18" t="n">
        <v>344.94</v>
      </c>
      <c r="P94" s="9" t="n"/>
      <c r="Q94" s="18" t="n">
        <v>539.71</v>
      </c>
      <c r="R94" s="18" t="n">
        <v>636.5599999999999</v>
      </c>
      <c r="S94" s="18" t="n">
        <v>524.05</v>
      </c>
      <c r="T94" s="18" t="n">
        <v>536.85</v>
      </c>
      <c r="U94" s="34" t="n">
        <v>2237.17</v>
      </c>
      <c r="V94" s="18" t="n">
        <v>464.24</v>
      </c>
      <c r="W94" s="18" t="n">
        <v>553.25</v>
      </c>
      <c r="X94" s="18" t="n">
        <v>553.6900000000001</v>
      </c>
      <c r="Y94" s="18" t="n">
        <v>337.21</v>
      </c>
      <c r="Z94" s="34" t="n">
        <v>1908.39</v>
      </c>
      <c r="AA94" s="18" t="n">
        <v>557.66</v>
      </c>
      <c r="AB94" s="19" t="n">
        <v>553.27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이자지급(CF)</t>
        </is>
      </c>
      <c r="F95" s="9" t="n"/>
      <c r="K95" s="9" t="n"/>
      <c r="P95" s="9" t="n"/>
      <c r="Q95" s="18" t="n">
        <v>-0.93</v>
      </c>
      <c r="R95" s="18" t="n">
        <v>-0.74</v>
      </c>
      <c r="S95" s="18" t="n">
        <v>-0.62</v>
      </c>
      <c r="T95" s="18" t="n">
        <v>-0.55</v>
      </c>
      <c r="U95" s="34" t="n">
        <v>-2.84</v>
      </c>
      <c r="V95" s="18" t="n">
        <v>-0.47</v>
      </c>
      <c r="W95" s="18" t="n">
        <v>-0.4</v>
      </c>
      <c r="X95" s="18" t="n">
        <v>-0.31</v>
      </c>
      <c r="Y95" s="18" t="n">
        <v>-0.24</v>
      </c>
      <c r="Z95" s="34" t="n">
        <v>-1.42</v>
      </c>
      <c r="AA95" s="18" t="n">
        <v>-5.89</v>
      </c>
      <c r="AB95" s="19" t="n">
        <v>0.16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유형자산의증가</t>
        </is>
      </c>
      <c r="F96" s="9" t="n"/>
      <c r="K96" s="9" t="n"/>
      <c r="P96" s="9" t="n"/>
      <c r="Q96" s="18" t="n">
        <v>3.27</v>
      </c>
      <c r="R96" s="18" t="n">
        <v>2.5</v>
      </c>
      <c r="S96" s="18" t="n">
        <v>1.78</v>
      </c>
      <c r="T96" s="18" t="n">
        <v>22.15</v>
      </c>
      <c r="U96" s="34" t="n">
        <v>29.7</v>
      </c>
      <c r="V96" s="18" t="n">
        <v>13.86</v>
      </c>
      <c r="W96" s="18" t="n">
        <v>16.95</v>
      </c>
      <c r="X96" s="18" t="n">
        <v>9.5</v>
      </c>
      <c r="Y96" s="18" t="n">
        <v>125.06</v>
      </c>
      <c r="Z96" s="34" t="n">
        <v>165.37</v>
      </c>
      <c r="AA96" s="18" t="n">
        <v>17.09</v>
      </c>
      <c r="AB96" s="19" t="n">
        <v>6.65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CAPEX</t>
        </is>
      </c>
      <c r="F97" s="9" t="n"/>
      <c r="K97" s="9" t="n"/>
      <c r="P97" s="9" t="n"/>
      <c r="Q97" s="18" t="n">
        <v>3.27</v>
      </c>
      <c r="R97" s="18" t="n">
        <v>2.5</v>
      </c>
      <c r="S97" s="18" t="n">
        <v>1.78</v>
      </c>
      <c r="T97" s="18" t="n">
        <v>941.95</v>
      </c>
      <c r="U97" s="34" t="n">
        <v>949.5</v>
      </c>
      <c r="V97" s="18" t="n">
        <v>13.86</v>
      </c>
      <c r="W97" s="18" t="n">
        <v>16.95</v>
      </c>
      <c r="X97" s="18" t="n">
        <v>9.5</v>
      </c>
      <c r="Y97" s="18" t="n">
        <v>135.07</v>
      </c>
      <c r="Z97" s="34" t="n">
        <v>175.38</v>
      </c>
      <c r="AA97" s="18" t="n">
        <v>21.69</v>
      </c>
      <c r="AB97" s="19" t="n">
        <v>6.65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유형자산의감소</t>
        </is>
      </c>
      <c r="F98" s="9" t="n"/>
      <c r="K98" s="9" t="n"/>
      <c r="P98" s="9" t="n"/>
      <c r="U98" s="9" t="n"/>
      <c r="X98" s="18" t="n">
        <v>0</v>
      </c>
      <c r="Y98" s="18" t="n">
        <v>0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무형자산의증가</t>
        </is>
      </c>
      <c r="F99" s="9" t="n"/>
      <c r="K99" s="9" t="n"/>
      <c r="P99" s="9" t="n"/>
      <c r="U99" s="9" t="n"/>
      <c r="Z99" s="9" t="n"/>
      <c r="AA99" s="18" t="n">
        <v>4.6</v>
      </c>
      <c r="AB99" s="19" t="n">
        <v>0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0.3573</v>
      </c>
      <c r="F10" s="34" t="n"/>
      <c r="G10" s="18" t="n">
        <v>0.2868</v>
      </c>
      <c r="H10" s="18" t="n">
        <v>-0.0512</v>
      </c>
      <c r="I10" s="18" t="n">
        <v>0.3643</v>
      </c>
      <c r="J10" s="18" t="n">
        <v>0.1513</v>
      </c>
      <c r="K10" s="34">
        <f>SUM(G10:J10)</f>
        <v/>
      </c>
      <c r="L10" s="18" t="n">
        <v>0.2115</v>
      </c>
      <c r="M10" s="18" t="n">
        <v>0.1701</v>
      </c>
      <c r="N10" s="18" t="n">
        <v>0.2728</v>
      </c>
      <c r="O10" s="18" t="n">
        <v>0.1367</v>
      </c>
      <c r="P10" s="34">
        <f>SUM(L10:O10)</f>
        <v/>
      </c>
      <c r="Q10" s="18" t="n">
        <v>0.1411</v>
      </c>
      <c r="R10" s="18" t="n">
        <v>0.0944</v>
      </c>
      <c r="S10" s="18" t="n">
        <v>0.1093</v>
      </c>
      <c r="T10" s="18" t="n">
        <v>-0.1458</v>
      </c>
      <c r="U10" s="34">
        <f>SUM(Q10:T10)</f>
        <v/>
      </c>
      <c r="V10" s="18" t="n">
        <v>0.2925</v>
      </c>
      <c r="W10" s="18" t="n">
        <v>0.1649</v>
      </c>
      <c r="X10" s="18" t="n">
        <v>0.2015</v>
      </c>
      <c r="Y10" s="18" t="n">
        <v>0.1953</v>
      </c>
      <c r="Z10" s="34">
        <f>SUM(V10:Y10)</f>
        <v/>
      </c>
      <c r="AA10" s="18" t="n">
        <v>0.31</v>
      </c>
      <c r="AB10" s="19" t="n">
        <v>0.1753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세전이익</t>
        </is>
      </c>
      <c r="B13" t="inlineStr">
        <is>
          <t>손익</t>
        </is>
      </c>
      <c r="C13" t="inlineStr">
        <is>
          <t>억원</t>
        </is>
      </c>
      <c r="D13" t="inlineStr">
        <is>
          <t>법인세비용차감전계속사업이익</t>
        </is>
      </c>
      <c r="E13" s="18">
        <f>IFERROR(VLOOKUP($D13,BS연결,MATCH(E$1,BS연결H,0),0)/100,"")</f>
        <v/>
      </c>
      <c r="F13" s="34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4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4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4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4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IFERROR(AC9+AC11+AC12,"")</f>
        <v/>
      </c>
      <c r="AD13" s="20">
        <f>IFERROR(AD9+AD11+AD12,"")</f>
        <v/>
      </c>
      <c r="AE13" s="35">
        <f>SUM(AA13:AD13)</f>
        <v/>
      </c>
      <c r="AF13" s="20">
        <f>IFERROR(AF9+AF11+AF12,"")</f>
        <v/>
      </c>
      <c r="AG13" s="20">
        <f>IFERROR(AG9+AG11+AG12,"")</f>
        <v/>
      </c>
      <c r="AH13" s="20">
        <f>IFERROR(AH9+AH11+AH12,"")</f>
        <v/>
      </c>
      <c r="AI13" s="20">
        <f>IFERROR(AI9+AI11+AI12,"")</f>
        <v/>
      </c>
      <c r="AJ13" s="35">
        <f>SUM(AF13:AI13)</f>
        <v/>
      </c>
      <c r="AK13" s="20">
        <f>IFERROR(AK9+AK11+AK12,"")</f>
        <v/>
      </c>
      <c r="AL13" s="20">
        <f>IFERROR(AL9+AL11+AL12,"")</f>
        <v/>
      </c>
      <c r="AM13" s="20">
        <f>IFERROR(AM9+AM11+AM12,"")</f>
        <v/>
      </c>
      <c r="AN13" s="20">
        <f>IFERROR(AN9+AN11+AN12,"")</f>
        <v/>
      </c>
      <c r="AO13" s="35">
        <f>SUM(AK13:AN13)</f>
        <v/>
      </c>
    </row>
    <row r="14">
      <c r="A14" s="12" t="inlineStr">
        <is>
          <t>법인세비용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IFERROR(AC13*변수!AC27,"")</f>
        <v/>
      </c>
      <c r="AD14" s="20">
        <f>IFERROR(AD13*변수!AD27,"")</f>
        <v/>
      </c>
      <c r="AE14" s="35">
        <f>SUM(AA14:AD14)</f>
        <v/>
      </c>
      <c r="AF14" s="20">
        <f>IFERROR(AF13*변수!AF27,"")</f>
        <v/>
      </c>
      <c r="AG14" s="20">
        <f>IFERROR(AG13*변수!AG27,"")</f>
        <v/>
      </c>
      <c r="AH14" s="20">
        <f>IFERROR(AH13*변수!AH27,"")</f>
        <v/>
      </c>
      <c r="AI14" s="20">
        <f>IFERROR(AI13*변수!AI27,"")</f>
        <v/>
      </c>
      <c r="AJ14" s="35">
        <f>SUM(AF14:AI14)</f>
        <v/>
      </c>
      <c r="AK14" s="20">
        <f>IFERROR(AK13*변수!AK27,"")</f>
        <v/>
      </c>
      <c r="AL14" s="20">
        <f>IFERROR(AL13*변수!AL27,"")</f>
        <v/>
      </c>
      <c r="AM14" s="20">
        <f>IFERROR(AM13*변수!AM27,"")</f>
        <v/>
      </c>
      <c r="AN14" s="20">
        <f>IFERROR(AN13*변수!AN27,"")</f>
        <v/>
      </c>
      <c r="AO14" s="35">
        <f>SUM(AK14:AN14)</f>
        <v/>
      </c>
    </row>
    <row r="15">
      <c r="A15" s="12" t="inlineStr">
        <is>
          <t>당기순이익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당기순이익</t>
        </is>
      </c>
      <c r="E15" s="18">
        <f>IFERROR(VLOOKUP($D15,BS연결,MATCH(E$1,BS연결H,0),0)/100,"")</f>
        <v/>
      </c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IFERROR(AC13-AC14,"")</f>
        <v/>
      </c>
      <c r="AD15" s="20">
        <f>IFERROR(AD13-AD14,"")</f>
        <v/>
      </c>
      <c r="AE15" s="35">
        <f>SUM(AA15:AD15)</f>
        <v/>
      </c>
      <c r="AF15" s="20">
        <f>IFERROR(AF13-AF14,"")</f>
        <v/>
      </c>
      <c r="AG15" s="20">
        <f>IFERROR(AG13-AG14,"")</f>
        <v/>
      </c>
      <c r="AH15" s="20">
        <f>IFERROR(AH13-AH14,"")</f>
        <v/>
      </c>
      <c r="AI15" s="20">
        <f>IFERROR(AI13-AI14,"")</f>
        <v/>
      </c>
      <c r="AJ15" s="35">
        <f>SUM(AF15:AI15)</f>
        <v/>
      </c>
      <c r="AK15" s="20">
        <f>IFERROR(AK13-AK14,"")</f>
        <v/>
      </c>
      <c r="AL15" s="20">
        <f>IFERROR(AL13-AL14,"")</f>
        <v/>
      </c>
      <c r="AM15" s="20">
        <f>IFERROR(AM13-AM14,"")</f>
        <v/>
      </c>
      <c r="AN15" s="20">
        <f>IFERROR(AN13-AN14,"")</f>
        <v/>
      </c>
      <c r="AO15" s="35">
        <f>SUM(AK15:AN15)</f>
        <v/>
      </c>
    </row>
    <row r="16">
      <c r="A16" s="12" t="inlineStr">
        <is>
          <t>지배주주순이익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(지배주주지분)당기순이익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IFERROR(AC15*변수!AC28,"")</f>
        <v/>
      </c>
      <c r="AD16" s="20">
        <f>IFERROR(AD15*변수!AD28,"")</f>
        <v/>
      </c>
      <c r="AE16" s="35">
        <f>SUM(AA16:AD16)</f>
        <v/>
      </c>
      <c r="AF16" s="20">
        <f>IFERROR(AF15*변수!AF28,"")</f>
        <v/>
      </c>
      <c r="AG16" s="20">
        <f>IFERROR(AG15*변수!AG28,"")</f>
        <v/>
      </c>
      <c r="AH16" s="20">
        <f>IFERROR(AH15*변수!AH28,"")</f>
        <v/>
      </c>
      <c r="AI16" s="20">
        <f>IFERROR(AI15*변수!AI28,"")</f>
        <v/>
      </c>
      <c r="AJ16" s="35">
        <f>SUM(AF16:AI16)</f>
        <v/>
      </c>
      <c r="AK16" s="20">
        <f>IFERROR(AK15*변수!AK28,"")</f>
        <v/>
      </c>
      <c r="AL16" s="20">
        <f>IFERROR(AL15*변수!AL28,"")</f>
        <v/>
      </c>
      <c r="AM16" s="20">
        <f>IFERROR(AM15*변수!AM28,"")</f>
        <v/>
      </c>
      <c r="AN16" s="20">
        <f>IFERROR(AN15*변수!AN28,"")</f>
        <v/>
      </c>
      <c r="AO16" s="35">
        <f>SUM(AK16:AN16)</f>
        <v/>
      </c>
    </row>
    <row r="17">
      <c r="A17" s="12" t="inlineStr">
        <is>
          <t>감가상각비</t>
        </is>
      </c>
      <c r="B17" t="inlineStr">
        <is>
          <t>손익</t>
        </is>
      </c>
      <c r="C17" t="inlineStr">
        <is>
          <t>억원</t>
        </is>
      </c>
      <c r="D17" t="inlineStr">
        <is>
          <t>감가상각비</t>
        </is>
      </c>
      <c r="E17" s="18">
        <f>IFERROR(VLOOKUP($D17,BS연결,MATCH(E$1,BS연결H,0),0)/100,"")</f>
        <v/>
      </c>
      <c r="F17" s="34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 t="n"/>
      <c r="O17" s="18" t="n"/>
      <c r="P17" s="34">
        <f>SUM(L17:O17)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 t="n"/>
      <c r="U17" s="34">
        <f>SUM(Q17:T17)</f>
        <v/>
      </c>
      <c r="V17" s="18" t="n"/>
      <c r="W17" s="18" t="n"/>
      <c r="X17" s="18" t="n"/>
      <c r="Y17" s="18" t="n"/>
      <c r="Z17" s="34">
        <f>SUM(V17:Y17)</f>
        <v/>
      </c>
      <c r="AA17" s="18" t="n"/>
      <c r="AB17" s="19" t="n"/>
      <c r="AC17" s="20" t="n">
        <v>0.8100000000000001</v>
      </c>
      <c r="AD17" s="20" t="n">
        <v>0.8100000000000001</v>
      </c>
      <c r="AE17" s="35">
        <f>SUM(AA17:AD17)</f>
        <v/>
      </c>
      <c r="AF17" s="20" t="n">
        <v>0.8100000000000001</v>
      </c>
      <c r="AG17" s="20" t="n">
        <v>0.8100000000000001</v>
      </c>
      <c r="AH17" s="20">
        <f>IFERROR(AC17*(1+변수!AH29),"")</f>
        <v/>
      </c>
      <c r="AI17" s="20">
        <f>IFERROR(AD17*(1+변수!AI29),"")</f>
        <v/>
      </c>
      <c r="AJ17" s="35">
        <f>SUM(AF17:AI17)</f>
        <v/>
      </c>
      <c r="AK17" s="20">
        <f>IFERROR(AF17*(1+변수!AK29),"")</f>
        <v/>
      </c>
      <c r="AL17" s="20">
        <f>IFERROR(AG17*(1+변수!AL29),"")</f>
        <v/>
      </c>
      <c r="AM17" s="20">
        <f>IFERROR(AH17*(1+변수!AM29),"")</f>
        <v/>
      </c>
      <c r="AN17" s="20">
        <f>IFERROR(AI17*(1+변수!AN29),"")</f>
        <v/>
      </c>
      <c r="AO17" s="35">
        <f>SUM(AK17:AN17)</f>
        <v/>
      </c>
    </row>
    <row r="18">
      <c r="A18" s="12" t="inlineStr">
        <is>
          <t>EBITDA</t>
        </is>
      </c>
      <c r="B18" t="inlineStr">
        <is>
          <t>손익</t>
        </is>
      </c>
      <c r="C18" t="inlineStr">
        <is>
          <t>억원</t>
        </is>
      </c>
      <c r="D18" t="inlineStr">
        <is>
          <t>EBITDA</t>
        </is>
      </c>
      <c r="E18" s="18" t="n">
        <v>90.26000000000001</v>
      </c>
      <c r="F18" s="34" t="n"/>
      <c r="G18" s="18" t="n">
        <v>54.82</v>
      </c>
      <c r="H18" s="18" t="n">
        <v>-5.14</v>
      </c>
      <c r="I18" s="18" t="n">
        <v>54.34</v>
      </c>
      <c r="J18" s="18" t="n">
        <v>23.67</v>
      </c>
      <c r="K18" s="34">
        <f>SUM(G18:J18)</f>
        <v/>
      </c>
      <c r="L18" s="18" t="n">
        <v>26.91</v>
      </c>
      <c r="M18" s="18" t="n">
        <v>37.65</v>
      </c>
      <c r="N18" s="18" t="n"/>
      <c r="O18" s="18" t="n"/>
      <c r="P18" s="34">
        <f>SUM(L18:O18)</f>
        <v/>
      </c>
      <c r="Q18" s="18" t="n">
        <v>12.61</v>
      </c>
      <c r="R18" s="18" t="n">
        <v>11.21</v>
      </c>
      <c r="S18" s="18" t="n">
        <v>15.26</v>
      </c>
      <c r="T18" s="18" t="n"/>
      <c r="U18" s="34">
        <f>SUM(Q18:T18)</f>
        <v/>
      </c>
      <c r="V18" s="18" t="n"/>
      <c r="W18" s="18" t="n"/>
      <c r="X18" s="18" t="n"/>
      <c r="Y18" s="18" t="n"/>
      <c r="Z18" s="34">
        <f>SUM(V18:Y18)</f>
        <v/>
      </c>
      <c r="AA18" s="18" t="n"/>
      <c r="AB18" s="19" t="n"/>
      <c r="AC18" s="20" t="n">
        <v>52.1</v>
      </c>
      <c r="AD18" s="20" t="n">
        <v>47.18</v>
      </c>
      <c r="AE18" s="35">
        <f>SUM(AA18:AD18)</f>
        <v/>
      </c>
      <c r="AF18" s="20" t="n">
        <v>45.71</v>
      </c>
      <c r="AG18" s="20" t="n">
        <v>60.48</v>
      </c>
      <c r="AH18" s="20">
        <f>IFERROR(AC18*(1+변수!AH30),"")</f>
        <v/>
      </c>
      <c r="AI18" s="20">
        <f>IFERROR(AD18*(1+변수!AI30),"")</f>
        <v/>
      </c>
      <c r="AJ18" s="35">
        <f>SUM(AF18:AI18)</f>
        <v/>
      </c>
      <c r="AK18" s="20">
        <f>IFERROR(AF18*(1+변수!AK30),"")</f>
        <v/>
      </c>
      <c r="AL18" s="20">
        <f>IFERROR(AG18*(1+변수!AL30),"")</f>
        <v/>
      </c>
      <c r="AM18" s="20">
        <f>IFERROR(AH18*(1+변수!AM30),"")</f>
        <v/>
      </c>
      <c r="AN18" s="20">
        <f>IFERROR(AI18*(1+변수!AN30),"")</f>
        <v/>
      </c>
      <c r="AO18" s="35">
        <f>SUM(AK18:AN18)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IFERROR(VLOOKUP($D19,BS연결,MATCH(E$1,BS연결H,0),0)/100,"")</f>
        <v/>
      </c>
      <c r="F19" s="34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IFERROR(AC20+AC21,"")</f>
        <v/>
      </c>
      <c r="AD19" s="20">
        <f>IFERROR(AD20+AD21,"")</f>
        <v/>
      </c>
      <c r="AE19" s="35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5">
        <f>AI19</f>
        <v/>
      </c>
      <c r="AK19" s="20">
        <f>IFERROR(AK20+AK21,"")</f>
        <v/>
      </c>
      <c r="AL19" s="20">
        <f>IFERROR(AL20+AL21,"")</f>
        <v/>
      </c>
      <c r="AM19" s="20">
        <f>IFERROR(AM20+AM21,"")</f>
        <v/>
      </c>
      <c r="AN19" s="20">
        <f>IFERROR(AN20+AN21,"")</f>
        <v/>
      </c>
      <c r="AO19" s="35">
        <f>AN19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IFERROR(VLOOKUP($D20,BS연결,MATCH(E$1,BS연결H,0),0)/100,"")</f>
        <v/>
      </c>
      <c r="F20" s="34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IFERROR(AB20*(1+변수!AC31),"")</f>
        <v/>
      </c>
      <c r="AD20" s="20">
        <f>IFERROR(AC20*(1+변수!AD31),"")</f>
        <v/>
      </c>
      <c r="AE20" s="35">
        <f>AD20</f>
        <v/>
      </c>
      <c r="AF20" s="20">
        <f>IFERROR(AD20*(1+변수!AF31),"")</f>
        <v/>
      </c>
      <c r="AG20" s="20">
        <f>IFERROR(AF20*(1+변수!AG31),"")</f>
        <v/>
      </c>
      <c r="AH20" s="20">
        <f>IFERROR(AG20*(1+변수!AH31),"")</f>
        <v/>
      </c>
      <c r="AI20" s="20">
        <f>IFERROR(AH20*(1+변수!AI31),"")</f>
        <v/>
      </c>
      <c r="AJ20" s="35">
        <f>AI20</f>
        <v/>
      </c>
      <c r="AK20" s="20">
        <f>IFERROR(AI20*(1+변수!AK31),"")</f>
        <v/>
      </c>
      <c r="AL20" s="20">
        <f>IFERROR(AK20*(1+변수!AL31),"")</f>
        <v/>
      </c>
      <c r="AM20" s="20">
        <f>IFERROR(AL20*(1+변수!AM31),"")</f>
        <v/>
      </c>
      <c r="AN20" s="20">
        <f>IFERROR(AM20*(1+변수!AN31),"")</f>
        <v/>
      </c>
      <c r="AO20" s="35">
        <f>AN20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IFERROR(AB21+AC15-변수!AC32,"")</f>
        <v/>
      </c>
      <c r="AD21" s="20">
        <f>IFERROR(AC21+AD15-변수!AD32,"")</f>
        <v/>
      </c>
      <c r="AE21" s="35">
        <f>AD21</f>
        <v/>
      </c>
      <c r="AF21" s="20">
        <f>IFERROR(AD21+AF15-변수!AF32,"")</f>
        <v/>
      </c>
      <c r="AG21" s="20">
        <f>IFERROR(AF21+AG15-변수!AG32,"")</f>
        <v/>
      </c>
      <c r="AH21" s="20">
        <f>IFERROR(AG21+AH15-변수!AH32,"")</f>
        <v/>
      </c>
      <c r="AI21" s="20">
        <f>IFERROR(AH21+AI15-변수!AI32,"")</f>
        <v/>
      </c>
      <c r="AJ21" s="35">
        <f>AI21</f>
        <v/>
      </c>
      <c r="AK21" s="20">
        <f>IFERROR(AI21+AK15-변수!AK32,"")</f>
        <v/>
      </c>
      <c r="AL21" s="20">
        <f>IFERROR(AK21+AL15-변수!AL32,"")</f>
        <v/>
      </c>
      <c r="AM21" s="20">
        <f>IFERROR(AL21+AM15-변수!AM32,"")</f>
        <v/>
      </c>
      <c r="AN21" s="20">
        <f>IFERROR(AM21+AN15-변수!AN32,"")</f>
        <v/>
      </c>
      <c r="AO21" s="35">
        <f>AN21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IFERROR(AB22+AC16-변수!AC33,"")</f>
        <v/>
      </c>
      <c r="AD22" s="20">
        <f>IFERROR(AC22+AD16-변수!AD33,"")</f>
        <v/>
      </c>
      <c r="AE22" s="35">
        <f>AD22</f>
        <v/>
      </c>
      <c r="AF22" s="20">
        <f>IFERROR(AD22+AF16-변수!AF33,"")</f>
        <v/>
      </c>
      <c r="AG22" s="20">
        <f>IFERROR(AF22+AG16-변수!AG33,"")</f>
        <v/>
      </c>
      <c r="AH22" s="20">
        <f>IFERROR(AG22+AH16-변수!AH33,"")</f>
        <v/>
      </c>
      <c r="AI22" s="20">
        <f>IFERROR(AH22+AI16-변수!AI33,"")</f>
        <v/>
      </c>
      <c r="AJ22" s="35">
        <f>AI22</f>
        <v/>
      </c>
      <c r="AK22" s="20">
        <f>IFERROR(AI22+AK16-변수!AK33,"")</f>
        <v/>
      </c>
      <c r="AL22" s="20">
        <f>IFERROR(AK22+AL16-변수!AL33,"")</f>
        <v/>
      </c>
      <c r="AM22" s="20">
        <f>IFERROR(AL22+AM16-변수!AM33,"")</f>
        <v/>
      </c>
      <c r="AN22" s="20">
        <f>IFERROR(AM22+AN16-변수!AN33,"")</f>
        <v/>
      </c>
      <c r="AO22" s="35">
        <f>AN22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 t="n"/>
      <c r="R23" s="18" t="n"/>
      <c r="S23" s="18" t="n"/>
      <c r="T23" s="18" t="n"/>
      <c r="U23" s="34">
        <f>T23</f>
        <v/>
      </c>
      <c r="V23" s="18" t="n"/>
      <c r="W23" s="18" t="n"/>
      <c r="X23" s="18" t="n"/>
      <c r="Y23" s="18" t="n"/>
      <c r="Z23" s="34">
        <f>Y23</f>
        <v/>
      </c>
      <c r="AA23" s="18" t="n"/>
      <c r="AB23" s="19" t="n"/>
      <c r="AC23" s="20" t="n"/>
      <c r="AD23" s="20" t="n"/>
      <c r="AE23" s="35">
        <f>AD23</f>
        <v/>
      </c>
      <c r="AF23" s="20" t="n"/>
      <c r="AG23" s="20" t="n"/>
      <c r="AH23" s="20" t="n"/>
      <c r="AI23" s="20" t="n"/>
      <c r="AJ23" s="35">
        <f>AI23</f>
        <v/>
      </c>
      <c r="AK23" s="20" t="n"/>
      <c r="AL23" s="20" t="n"/>
      <c r="AM23" s="20" t="n"/>
      <c r="AN23" s="20" t="n"/>
      <c r="AO23" s="35">
        <f>AN23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 t="n"/>
      <c r="R24" s="18" t="n"/>
      <c r="S24" s="18" t="n"/>
      <c r="T24" s="18" t="n"/>
      <c r="U24" s="34">
        <f>T24</f>
        <v/>
      </c>
      <c r="V24" s="18" t="n"/>
      <c r="W24" s="18" t="n"/>
      <c r="X24" s="18" t="n"/>
      <c r="Y24" s="18" t="n"/>
      <c r="Z24" s="34">
        <f>Y24</f>
        <v/>
      </c>
      <c r="AA24" s="18" t="n"/>
      <c r="AB24" s="19" t="n"/>
      <c r="AC24" s="20" t="n"/>
      <c r="AD24" s="20" t="n"/>
      <c r="AE24" s="35">
        <f>AD24</f>
        <v/>
      </c>
      <c r="AF24" s="20" t="n"/>
      <c r="AG24" s="20" t="n"/>
      <c r="AH24" s="20" t="n"/>
      <c r="AI24" s="20" t="n"/>
      <c r="AJ24" s="35">
        <f>AI24</f>
        <v/>
      </c>
      <c r="AK24" s="20" t="n"/>
      <c r="AL24" s="20" t="n"/>
      <c r="AM24" s="20" t="n"/>
      <c r="AN24" s="20" t="n"/>
      <c r="AO24" s="35">
        <f>AN24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IFERROR(VLOOKUP($D25,BS연결,MATCH(E$1,BS연결H,0),0)/100,"")</f>
        <v/>
      </c>
      <c r="F25" s="34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IFERROR(AB25*(1+변수!AC36),"")</f>
        <v/>
      </c>
      <c r="AD25" s="20">
        <f>IFERROR(AC25*(1+변수!AD36),"")</f>
        <v/>
      </c>
      <c r="AE25" s="35">
        <f>AD25</f>
        <v/>
      </c>
      <c r="AF25" s="20">
        <f>IFERROR(AD25*(1+변수!AF36),"")</f>
        <v/>
      </c>
      <c r="AG25" s="20">
        <f>IFERROR(AF25*(1+변수!AG36),"")</f>
        <v/>
      </c>
      <c r="AH25" s="20">
        <f>IFERROR(AG25*(1+변수!AH36),"")</f>
        <v/>
      </c>
      <c r="AI25" s="20">
        <f>IFERROR(AH25*(1+변수!AI36),"")</f>
        <v/>
      </c>
      <c r="AJ25" s="35">
        <f>AI25</f>
        <v/>
      </c>
      <c r="AK25" s="20">
        <f>IFERROR(AI25*(1+변수!AK36),"")</f>
        <v/>
      </c>
      <c r="AL25" s="20">
        <f>IFERROR(AK25*(1+변수!AL36),"")</f>
        <v/>
      </c>
      <c r="AM25" s="20">
        <f>IFERROR(AL25*(1+변수!AM36),"")</f>
        <v/>
      </c>
      <c r="AN25" s="20">
        <f>IFERROR(AM25*(1+변수!AN36),"")</f>
        <v/>
      </c>
      <c r="AO25" s="35">
        <f>AN25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IFERROR(VLOOKUP($D26,BS연결,MATCH(E$1,BS연결H,0),0)/100,"")</f>
        <v/>
      </c>
      <c r="F26" s="34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4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4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4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4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5">
        <f>AD26</f>
        <v/>
      </c>
      <c r="AF26" s="20" t="n"/>
      <c r="AG26" s="20" t="n"/>
      <c r="AH26" s="20" t="n"/>
      <c r="AI26" s="20" t="n"/>
      <c r="AJ26" s="35">
        <f>AI26</f>
        <v/>
      </c>
      <c r="AK26" s="20" t="n"/>
      <c r="AL26" s="20" t="n"/>
      <c r="AM26" s="20" t="n"/>
      <c r="AN26" s="20" t="n"/>
      <c r="AO26" s="35">
        <f>AN26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 t="n"/>
      <c r="F27" s="34" t="n"/>
      <c r="G27" s="18" t="n"/>
      <c r="H27" s="18" t="n"/>
      <c r="I27" s="18" t="n"/>
      <c r="J27" s="18" t="n"/>
      <c r="K27" s="34">
        <f>SUM(G27:J27)</f>
        <v/>
      </c>
      <c r="L27" s="18" t="n"/>
      <c r="M27" s="18" t="n"/>
      <c r="N27" s="18" t="n"/>
      <c r="O27" s="18" t="n"/>
      <c r="P27" s="34">
        <f>SUM(L27:O27)</f>
        <v/>
      </c>
      <c r="Q27" s="18" t="n"/>
      <c r="R27" s="18" t="n"/>
      <c r="S27" s="18" t="n"/>
      <c r="T27" s="18" t="n"/>
      <c r="U27" s="34">
        <f>SUM(Q27:T27)</f>
        <v/>
      </c>
      <c r="V27" s="18" t="n"/>
      <c r="W27" s="18" t="n"/>
      <c r="X27" s="18" t="n"/>
      <c r="Y27" s="18" t="n"/>
      <c r="Z27" s="34">
        <f>SUM(V27:Y27)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5">
        <f>SUM(AA27:AD27)</f>
        <v/>
      </c>
      <c r="AF27" s="20" t="n"/>
      <c r="AG27" s="20" t="n"/>
      <c r="AH27" s="20" t="n"/>
      <c r="AI27" s="20" t="n"/>
      <c r="AJ27" s="35">
        <f>SUM(AF27:AI27)</f>
        <v/>
      </c>
      <c r="AK27" s="20" t="n"/>
      <c r="AL27" s="20" t="n"/>
      <c r="AM27" s="20" t="n"/>
      <c r="AN27" s="20" t="n"/>
      <c r="AO27" s="35">
        <f>SUM(AK27:AN27)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영업활동현금흐름</t>
        </is>
      </c>
      <c r="E28" s="18" t="n">
        <v>11.13</v>
      </c>
      <c r="F28" s="34" t="n"/>
      <c r="G28" s="18" t="n">
        <v>111.33</v>
      </c>
      <c r="H28" s="18" t="n">
        <v>-47.24</v>
      </c>
      <c r="I28" s="18" t="n">
        <v>97.44</v>
      </c>
      <c r="J28" s="18" t="n">
        <v>-4.67</v>
      </c>
      <c r="K28" s="34">
        <f>SUM(G28:J28)</f>
        <v/>
      </c>
      <c r="L28" s="18" t="n">
        <v>15.71</v>
      </c>
      <c r="M28" s="18" t="n">
        <v>-70.62</v>
      </c>
      <c r="N28" s="18" t="n">
        <v>99.91</v>
      </c>
      <c r="O28" s="18" t="n">
        <v>63.01</v>
      </c>
      <c r="P28" s="34">
        <f>SUM(L28:O28)</f>
        <v/>
      </c>
      <c r="Q28" s="18" t="n">
        <v>40.05</v>
      </c>
      <c r="R28" s="18" t="n">
        <v>23.31</v>
      </c>
      <c r="S28" s="18" t="n">
        <v>75.55</v>
      </c>
      <c r="T28" s="18" t="n">
        <v>-166.01</v>
      </c>
      <c r="U28" s="34">
        <f>SUM(Q28:T28)</f>
        <v/>
      </c>
      <c r="V28" s="18" t="n">
        <v>237.76</v>
      </c>
      <c r="W28" s="18" t="n">
        <v>-14.95</v>
      </c>
      <c r="X28" s="18" t="n">
        <v>200.48</v>
      </c>
      <c r="Y28" s="18" t="n">
        <v>-60.55</v>
      </c>
      <c r="Z28" s="34">
        <f>SUM(V28:Y28)</f>
        <v/>
      </c>
      <c r="AA28" s="18" t="n">
        <v>65.56999999999999</v>
      </c>
      <c r="AB28" s="19" t="n">
        <v>42.05</v>
      </c>
      <c r="AC28" s="20" t="n"/>
      <c r="AD28" s="20" t="n"/>
      <c r="AE28" s="35">
        <f>SUM(AA28:AD28)</f>
        <v/>
      </c>
      <c r="AF28" s="20" t="n"/>
      <c r="AG28" s="20" t="n"/>
      <c r="AH28" s="20" t="n"/>
      <c r="AI28" s="20" t="n"/>
      <c r="AJ28" s="35">
        <f>SUM(AF28:AI28)</f>
        <v/>
      </c>
      <c r="AK28" s="20" t="n"/>
      <c r="AL28" s="20" t="n"/>
      <c r="AM28" s="20" t="n"/>
      <c r="AN28" s="20" t="n"/>
      <c r="AO28" s="35">
        <f>SUM(AK28:AN28)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6" t="n">
        <v>5.087</v>
      </c>
      <c r="F29" s="27">
        <f>E29</f>
        <v/>
      </c>
      <c r="G29" s="26" t="n">
        <v>5.087</v>
      </c>
      <c r="H29" s="26" t="n">
        <v>5.087</v>
      </c>
      <c r="I29" s="26" t="n">
        <v>5.087</v>
      </c>
      <c r="J29" s="26" t="n">
        <v>4.981</v>
      </c>
      <c r="K29" s="27">
        <f>J29</f>
        <v/>
      </c>
      <c r="L29" s="26" t="n">
        <v>4.981</v>
      </c>
      <c r="M29" s="26" t="n">
        <v>4.981</v>
      </c>
      <c r="N29" s="26" t="n">
        <v>4.981</v>
      </c>
      <c r="O29" s="26" t="n">
        <v>4.931</v>
      </c>
      <c r="P29" s="27">
        <f>O29</f>
        <v/>
      </c>
      <c r="Q29" s="26" t="n">
        <v>4.931</v>
      </c>
      <c r="R29" s="26" t="n">
        <v>4.931</v>
      </c>
      <c r="S29" s="26" t="n">
        <v>4.931</v>
      </c>
      <c r="T29" s="26" t="n">
        <v>4.519</v>
      </c>
      <c r="U29" s="27">
        <f>T29</f>
        <v/>
      </c>
      <c r="V29" s="26" t="n">
        <v>4.519</v>
      </c>
      <c r="W29" s="26" t="n">
        <v>4.519</v>
      </c>
      <c r="X29" s="26" t="n">
        <v>4.519</v>
      </c>
      <c r="Y29" s="26" t="n">
        <v>4.519</v>
      </c>
      <c r="Z29" s="27">
        <f>Y29</f>
        <v/>
      </c>
      <c r="AA29" s="26" t="n">
        <v>5.034</v>
      </c>
      <c r="AB29" s="28" t="n">
        <v>5.034</v>
      </c>
      <c r="AC29" s="36">
        <f>IFERROR(AB29*(1+변수!AC40),"")</f>
        <v/>
      </c>
      <c r="AD29" s="36">
        <f>IFERROR(AC29*(1+변수!AD40),"")</f>
        <v/>
      </c>
      <c r="AE29" s="30">
        <f>AD29</f>
        <v/>
      </c>
      <c r="AF29" s="36">
        <f>IFERROR(AD29*(1+변수!AF40),"")</f>
        <v/>
      </c>
      <c r="AG29" s="36">
        <f>IFERROR(AF29*(1+변수!AG40),"")</f>
        <v/>
      </c>
      <c r="AH29" s="36">
        <f>IFERROR(AG29*(1+변수!AH40),"")</f>
        <v/>
      </c>
      <c r="AI29" s="36">
        <f>IFERROR(AH29*(1+변수!AI40),"")</f>
        <v/>
      </c>
      <c r="AJ29" s="30">
        <f>AI29</f>
        <v/>
      </c>
      <c r="AK29" s="36">
        <f>IFERROR(AI29*(1+변수!AK40),"")</f>
        <v/>
      </c>
      <c r="AL29" s="36">
        <f>IFERROR(AK29*(1+변수!AL40),"")</f>
        <v/>
      </c>
      <c r="AM29" s="36">
        <f>IFERROR(AL29*(1+변수!AM40),"")</f>
        <v/>
      </c>
      <c r="AN29" s="36">
        <f>IFERROR(AM29*(1+변수!AN40),"")</f>
        <v/>
      </c>
      <c r="AO29" s="30">
        <f>AN29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IFERROR(E16*100/E29,"")</f>
        <v/>
      </c>
      <c r="F30" s="34" t="n"/>
      <c r="G30" s="18">
        <f>IFERROR(G16*100/G29,"")</f>
        <v/>
      </c>
      <c r="H30" s="18">
        <f>IFERROR(H16*100/H29,"")</f>
        <v/>
      </c>
      <c r="I30" s="18">
        <f>IFERROR(I16*100/I29,"")</f>
        <v/>
      </c>
      <c r="J30" s="18">
        <f>IFERROR(J16*100/J29,"")</f>
        <v/>
      </c>
      <c r="K30" s="34">
        <f>SUM(G30:J30)</f>
        <v/>
      </c>
      <c r="L30" s="18">
        <f>IFERROR(L16*100/L29,"")</f>
        <v/>
      </c>
      <c r="M30" s="18">
        <f>IFERROR(M16*100/M29,"")</f>
        <v/>
      </c>
      <c r="N30" s="18">
        <f>IFERROR(N16*100/N29,"")</f>
        <v/>
      </c>
      <c r="O30" s="18">
        <f>IFERROR(O16*100/O29,"")</f>
        <v/>
      </c>
      <c r="P30" s="34">
        <f>SUM(L30:O30)</f>
        <v/>
      </c>
      <c r="Q30" s="18">
        <f>IFERROR(Q16*100/Q29,"")</f>
        <v/>
      </c>
      <c r="R30" s="18">
        <f>IFERROR(R16*100/R29,"")</f>
        <v/>
      </c>
      <c r="S30" s="18">
        <f>IFERROR(S16*100/S29,"")</f>
        <v/>
      </c>
      <c r="T30" s="18">
        <f>IFERROR(T16*100/T29,"")</f>
        <v/>
      </c>
      <c r="U30" s="34">
        <f>SUM(Q30:T30)</f>
        <v/>
      </c>
      <c r="V30" s="18">
        <f>IFERROR(V16*100/V29,"")</f>
        <v/>
      </c>
      <c r="W30" s="18">
        <f>IFERROR(W16*100/W29,"")</f>
        <v/>
      </c>
      <c r="X30" s="18">
        <f>IFERROR(X16*100/X29,"")</f>
        <v/>
      </c>
      <c r="Y30" s="18">
        <f>IFERROR(Y16*100/Y29,"")</f>
        <v/>
      </c>
      <c r="Z30" s="34">
        <f>SUM(V30:Y30)</f>
        <v/>
      </c>
      <c r="AA30" s="18">
        <f>IFERROR(AA16*100/AA29,"")</f>
        <v/>
      </c>
      <c r="AB30" s="19">
        <f>IFERROR(AB16*100/AB29,"")</f>
        <v/>
      </c>
      <c r="AC30" s="20">
        <f>IFERROR(AC16*100/AC29,"")</f>
        <v/>
      </c>
      <c r="AD30" s="20">
        <f>IFERROR(AD16*100/AD29,"")</f>
        <v/>
      </c>
      <c r="AE30" s="35">
        <f>SUM(AA30:AD30)</f>
        <v/>
      </c>
      <c r="AF30" s="20">
        <f>IFERROR(AF16*100/AF29,"")</f>
        <v/>
      </c>
      <c r="AG30" s="20">
        <f>IFERROR(AG16*100/AG29,"")</f>
        <v/>
      </c>
      <c r="AH30" s="20">
        <f>IFERROR(AH16*100/AH29,"")</f>
        <v/>
      </c>
      <c r="AI30" s="20">
        <f>IFERROR(AI16*100/AI29,"")</f>
        <v/>
      </c>
      <c r="AJ30" s="35">
        <f>SUM(AF30:AI30)</f>
        <v/>
      </c>
      <c r="AK30" s="20">
        <f>IFERROR(AK16*100/AK29,"")</f>
        <v/>
      </c>
      <c r="AL30" s="20">
        <f>IFERROR(AL16*100/AL29,"")</f>
        <v/>
      </c>
      <c r="AM30" s="20">
        <f>IFERROR(AM16*100/AM29,"")</f>
        <v/>
      </c>
      <c r="AN30" s="20">
        <f>IFERROR(AN16*100/AN29,"")</f>
        <v/>
      </c>
      <c r="AO30" s="35">
        <f>SUM(AK30:AN30)</f>
        <v/>
      </c>
    </row>
    <row r="31">
      <c r="A31" s="12" t="inlineStr">
        <is>
          <t>BPS</t>
        </is>
      </c>
      <c r="B31" t="inlineStr">
        <is>
          <t>주당</t>
        </is>
      </c>
      <c r="C31" t="inlineStr">
        <is>
          <t>원</t>
        </is>
      </c>
      <c r="D31" t="inlineStr">
        <is>
          <t>BPS</t>
        </is>
      </c>
      <c r="E31" s="18">
        <f>IFERROR(E22*100/E29,"")</f>
        <v/>
      </c>
      <c r="F31" s="34">
        <f>E31</f>
        <v/>
      </c>
      <c r="G31" s="18">
        <f>IFERROR(G22*100/G29,"")</f>
        <v/>
      </c>
      <c r="H31" s="18">
        <f>IFERROR(H22*100/H29,"")</f>
        <v/>
      </c>
      <c r="I31" s="18">
        <f>IFERROR(I22*100/I29,"")</f>
        <v/>
      </c>
      <c r="J31" s="18">
        <f>IFERROR(J22*100/J29,"")</f>
        <v/>
      </c>
      <c r="K31" s="34">
        <f>J31</f>
        <v/>
      </c>
      <c r="L31" s="18">
        <f>IFERROR(L22*100/L29,"")</f>
        <v/>
      </c>
      <c r="M31" s="18">
        <f>IFERROR(M22*100/M29,"")</f>
        <v/>
      </c>
      <c r="N31" s="18">
        <f>IFERROR(N22*100/N29,"")</f>
        <v/>
      </c>
      <c r="O31" s="18">
        <f>IFERROR(O22*100/O29,"")</f>
        <v/>
      </c>
      <c r="P31" s="34">
        <f>O31</f>
        <v/>
      </c>
      <c r="Q31" s="18">
        <f>IFERROR(Q22*100/Q29,"")</f>
        <v/>
      </c>
      <c r="R31" s="18">
        <f>IFERROR(R22*100/R29,"")</f>
        <v/>
      </c>
      <c r="S31" s="18">
        <f>IFERROR(S22*100/S29,"")</f>
        <v/>
      </c>
      <c r="T31" s="18">
        <f>IFERROR(T22*100/T29,"")</f>
        <v/>
      </c>
      <c r="U31" s="34">
        <f>T31</f>
        <v/>
      </c>
      <c r="V31" s="18">
        <f>IFERROR(V22*100/V29,"")</f>
        <v/>
      </c>
      <c r="W31" s="18">
        <f>IFERROR(W22*100/W29,"")</f>
        <v/>
      </c>
      <c r="X31" s="18">
        <f>IFERROR(X22*100/X29,"")</f>
        <v/>
      </c>
      <c r="Y31" s="18">
        <f>IFERROR(Y22*100/Y29,"")</f>
        <v/>
      </c>
      <c r="Z31" s="34">
        <f>Y31</f>
        <v/>
      </c>
      <c r="AA31" s="18">
        <f>IFERROR(AA22*100/AA29,"")</f>
        <v/>
      </c>
      <c r="AB31" s="19">
        <f>IFERROR(AB22*100/AB29,"")</f>
        <v/>
      </c>
      <c r="AC31" s="20">
        <f>IFERROR(AC22*100/AC29,"")</f>
        <v/>
      </c>
      <c r="AD31" s="20">
        <f>IFERROR(AD22*100/AD29,"")</f>
        <v/>
      </c>
      <c r="AE31" s="35">
        <f>AD31</f>
        <v/>
      </c>
      <c r="AF31" s="20">
        <f>IFERROR(AF22*100/AF29,"")</f>
        <v/>
      </c>
      <c r="AG31" s="20">
        <f>IFERROR(AG22*100/AG29,"")</f>
        <v/>
      </c>
      <c r="AH31" s="20">
        <f>IFERROR(AH22*100/AH29,"")</f>
        <v/>
      </c>
      <c r="AI31" s="20">
        <f>IFERROR(AI22*100/AI29,"")</f>
        <v/>
      </c>
      <c r="AJ31" s="35">
        <f>AI31</f>
        <v/>
      </c>
      <c r="AK31" s="20">
        <f>IFERROR(AK22*100/AK29,"")</f>
        <v/>
      </c>
      <c r="AL31" s="20">
        <f>IFERROR(AL22*100/AL29,"")</f>
        <v/>
      </c>
      <c r="AM31" s="20">
        <f>IFERROR(AM22*100/AM29,"")</f>
        <v/>
      </c>
      <c r="AN31" s="20">
        <f>IFERROR(AN22*100/AN29,"")</f>
        <v/>
      </c>
      <c r="AO31" s="35">
        <f>AN31</f>
        <v/>
      </c>
    </row>
    <row r="32">
      <c r="A32" s="12" t="inlineStr">
        <is>
          <t>DPS</t>
        </is>
      </c>
      <c r="B32" t="inlineStr">
        <is>
          <t>주당</t>
        </is>
      </c>
      <c r="C32" t="inlineStr">
        <is>
          <t>원</t>
        </is>
      </c>
      <c r="D32" t="inlineStr">
        <is>
          <t>DPS(보통주)</t>
        </is>
      </c>
      <c r="E32" s="18" t="n">
        <v>1000</v>
      </c>
      <c r="F32" s="34" t="n">
        <v>1000</v>
      </c>
      <c r="G32" s="18" t="n"/>
      <c r="H32" s="18" t="n"/>
      <c r="I32" s="18" t="n"/>
      <c r="J32" s="18" t="n">
        <v>1500</v>
      </c>
      <c r="K32" s="34">
        <f>SUM(G32:J32)</f>
        <v/>
      </c>
      <c r="L32" s="18" t="n"/>
      <c r="M32" s="18" t="n"/>
      <c r="N32" s="18" t="n"/>
      <c r="O32" s="18" t="n">
        <v>1500</v>
      </c>
      <c r="P32" s="34">
        <f>SUM(L32:O32)</f>
        <v/>
      </c>
      <c r="Q32" s="18" t="n"/>
      <c r="R32" s="18" t="n"/>
      <c r="S32" s="18" t="n"/>
      <c r="T32" s="18" t="n">
        <v>2500</v>
      </c>
      <c r="U32" s="34">
        <f>SUM(Q32:T32)</f>
        <v/>
      </c>
      <c r="V32" s="18" t="n"/>
      <c r="W32" s="18" t="n"/>
      <c r="X32" s="18" t="n"/>
      <c r="Y32" s="18" t="n">
        <v>6000</v>
      </c>
      <c r="Z32" s="34">
        <f>SUM(V32:Y32)</f>
        <v/>
      </c>
      <c r="AA32" s="18" t="n"/>
      <c r="AB32" s="19" t="n"/>
      <c r="AC32" s="20" t="n"/>
      <c r="AD32" s="20">
        <f>IFERROR(Y32*(1+변수!AD41),"")</f>
        <v/>
      </c>
      <c r="AE32" s="35">
        <f>SUM(AA32:AD32)</f>
        <v/>
      </c>
      <c r="AF32" s="20" t="n"/>
      <c r="AG32" s="20" t="n"/>
      <c r="AH32" s="20" t="n"/>
      <c r="AI32" s="20">
        <f>IFERROR(AD32*(1+변수!AI41),"")</f>
        <v/>
      </c>
      <c r="AJ32" s="35">
        <f>SUM(AF32:AI32)</f>
        <v/>
      </c>
      <c r="AK32" s="20" t="n"/>
      <c r="AL32" s="20" t="n"/>
      <c r="AM32" s="20" t="n"/>
      <c r="AN32" s="20">
        <f>IFERROR(AI32*(1+변수!AN41),"")</f>
        <v/>
      </c>
      <c r="AO32" s="35">
        <f>SUM(AK32:AN32)</f>
        <v/>
      </c>
    </row>
    <row r="33">
      <c r="A33" s="12" t="inlineStr">
        <is>
          <t>PER</t>
        </is>
      </c>
      <c r="B33" t="inlineStr">
        <is>
          <t>주당</t>
        </is>
      </c>
      <c r="C33" t="inlineStr">
        <is>
          <t>배</t>
        </is>
      </c>
      <c r="D33" t="inlineStr">
        <is>
          <t>PER</t>
        </is>
      </c>
      <c r="E33" s="18" t="n"/>
      <c r="F33" s="34" t="n"/>
      <c r="G33" s="18" t="n"/>
      <c r="H33" s="18" t="n"/>
      <c r="I33" s="18" t="n">
        <v>5.08</v>
      </c>
      <c r="J33" s="18" t="n">
        <v>8.4</v>
      </c>
      <c r="K33" s="34">
        <f>SUM(G33:J33)</f>
        <v/>
      </c>
      <c r="L33" s="18" t="n">
        <v>7.68</v>
      </c>
      <c r="M33" s="18" t="n">
        <v>5.93</v>
      </c>
      <c r="N33" s="18" t="n">
        <v>7.15</v>
      </c>
      <c r="O33" s="18" t="n">
        <v>6.17</v>
      </c>
      <c r="P33" s="34">
        <f>SUM(L33:O33)</f>
        <v/>
      </c>
      <c r="Q33" s="18" t="n">
        <v>5.91</v>
      </c>
      <c r="R33" s="18" t="n">
        <v>6.9</v>
      </c>
      <c r="S33" s="18" t="n">
        <v>9.23</v>
      </c>
      <c r="T33" s="18" t="n">
        <v>9.08</v>
      </c>
      <c r="U33" s="34">
        <f>SUM(Q33:T33)</f>
        <v/>
      </c>
      <c r="V33" s="18" t="n">
        <v>6.48</v>
      </c>
      <c r="W33" s="18" t="n">
        <v>11.13</v>
      </c>
      <c r="X33" s="18" t="n">
        <v>8.77</v>
      </c>
      <c r="Y33" s="18" t="n">
        <v>9.880000000000001</v>
      </c>
      <c r="Z33" s="34">
        <f>SUM(V33:Y33)</f>
        <v/>
      </c>
      <c r="AA33" s="18" t="n">
        <v>13.25</v>
      </c>
      <c r="AB33" s="19" t="n">
        <v>9.43</v>
      </c>
      <c r="AC33" s="20">
        <f>IFERROR(X33*(1+변수!AC42),"")</f>
        <v/>
      </c>
      <c r="AD33" s="20">
        <f>IFERROR(Y33*(1+변수!AD42),"")</f>
        <v/>
      </c>
      <c r="AE33" s="35">
        <f>SUM(AA33:AD33)</f>
        <v/>
      </c>
      <c r="AF33" s="20">
        <f>IFERROR(AA33*(1+변수!AF42),"")</f>
        <v/>
      </c>
      <c r="AG33" s="20">
        <f>IFERROR(AB33*(1+변수!AG42),"")</f>
        <v/>
      </c>
      <c r="AH33" s="20">
        <f>IFERROR(AC33*(1+변수!AH42),"")</f>
        <v/>
      </c>
      <c r="AI33" s="20">
        <f>IFERROR(AD33*(1+변수!AI42),"")</f>
        <v/>
      </c>
      <c r="AJ33" s="35">
        <f>SUM(AF33:AI33)</f>
        <v/>
      </c>
      <c r="AK33" s="20">
        <f>IFERROR(AF33*(1+변수!AK42),"")</f>
        <v/>
      </c>
      <c r="AL33" s="20">
        <f>IFERROR(AG33*(1+변수!AL42),"")</f>
        <v/>
      </c>
      <c r="AM33" s="20">
        <f>IFERROR(AH33*(1+변수!AM42),"")</f>
        <v/>
      </c>
      <c r="AN33" s="20">
        <f>IFERROR(AI33*(1+변수!AN42),"")</f>
        <v/>
      </c>
      <c r="AO33" s="35">
        <f>SUM(AK33:AN33)</f>
        <v/>
      </c>
    </row>
    <row r="34">
      <c r="A34" s="12" t="inlineStr">
        <is>
          <t>PBR</t>
        </is>
      </c>
      <c r="B34" t="inlineStr">
        <is>
          <t>주당</t>
        </is>
      </c>
      <c r="C34" t="inlineStr">
        <is>
          <t>배</t>
        </is>
      </c>
      <c r="D34" t="inlineStr">
        <is>
          <t>PBR</t>
        </is>
      </c>
      <c r="E34" s="18" t="n">
        <v>1.24</v>
      </c>
      <c r="F34" s="34" t="n">
        <v>1.26</v>
      </c>
      <c r="G34" s="18" t="n">
        <v>1.26</v>
      </c>
      <c r="H34" s="18" t="n">
        <v>1.21</v>
      </c>
      <c r="I34" s="18" t="n">
        <v>1.03</v>
      </c>
      <c r="J34" s="18" t="n">
        <v>1.04</v>
      </c>
      <c r="K34" s="34">
        <f>SUM(G34:J34)</f>
        <v/>
      </c>
      <c r="L34" s="18" t="n">
        <v>1.05</v>
      </c>
      <c r="M34" s="18" t="n">
        <v>1.03</v>
      </c>
      <c r="N34" s="18" t="n">
        <v>1.02</v>
      </c>
      <c r="O34" s="18" t="n">
        <v>1.02</v>
      </c>
      <c r="P34" s="34">
        <f>SUM(L34:O34)</f>
        <v/>
      </c>
      <c r="Q34" s="18" t="n">
        <v>1.01</v>
      </c>
      <c r="R34" s="18" t="n">
        <v>1.02</v>
      </c>
      <c r="S34" s="18" t="n">
        <v>1.03</v>
      </c>
      <c r="T34" s="18" t="n">
        <v>1.11</v>
      </c>
      <c r="U34" s="34">
        <f>SUM(Q34:T34)</f>
        <v/>
      </c>
      <c r="V34" s="18" t="n">
        <v>1.12</v>
      </c>
      <c r="W34" s="18" t="n">
        <v>1.65</v>
      </c>
      <c r="X34" s="18" t="n">
        <v>2.02</v>
      </c>
      <c r="Y34" s="18" t="n">
        <v>2.5</v>
      </c>
      <c r="Z34" s="34">
        <f>SUM(V34:Y34)</f>
        <v/>
      </c>
      <c r="AA34" s="18" t="n">
        <v>2.51</v>
      </c>
      <c r="AB34" s="19" t="n">
        <v>2.12</v>
      </c>
      <c r="AC34" s="20">
        <f>IFERROR(X34*(1+변수!AC43),"")</f>
        <v/>
      </c>
      <c r="AD34" s="20">
        <f>IFERROR(Y34*(1+변수!AD43),"")</f>
        <v/>
      </c>
      <c r="AE34" s="35">
        <f>SUM(AA34:AD34)</f>
        <v/>
      </c>
      <c r="AF34" s="20">
        <f>IFERROR(AA34*(1+변수!AF43),"")</f>
        <v/>
      </c>
      <c r="AG34" s="20">
        <f>IFERROR(AB34*(1+변수!AG43),"")</f>
        <v/>
      </c>
      <c r="AH34" s="20">
        <f>IFERROR(AC34*(1+변수!AH43),"")</f>
        <v/>
      </c>
      <c r="AI34" s="20">
        <f>IFERROR(AD34*(1+변수!AI43),"")</f>
        <v/>
      </c>
      <c r="AJ34" s="35">
        <f>SUM(AF34:AI34)</f>
        <v/>
      </c>
      <c r="AK34" s="20">
        <f>IFERROR(AF34*(1+변수!AK43),"")</f>
        <v/>
      </c>
      <c r="AL34" s="20">
        <f>IFERROR(AG34*(1+변수!AL43),"")</f>
        <v/>
      </c>
      <c r="AM34" s="20">
        <f>IFERROR(AH34*(1+변수!AM43),"")</f>
        <v/>
      </c>
      <c r="AN34" s="20">
        <f>IFERROR(AI34*(1+변수!AN43),"")</f>
        <v/>
      </c>
      <c r="AO34" s="35">
        <f>SUM(AK34:AN34)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18" t="n">
        <v>251.83</v>
      </c>
      <c r="F35" s="34" t="n"/>
      <c r="G35" s="18" t="n">
        <v>188.62</v>
      </c>
      <c r="H35" s="18" t="n">
        <v>114.88</v>
      </c>
      <c r="I35" s="18" t="n">
        <v>147.09</v>
      </c>
      <c r="J35" s="18" t="n">
        <v>151.12</v>
      </c>
      <c r="K35" s="34">
        <f>SUM(G35:J35)</f>
        <v/>
      </c>
      <c r="L35" s="18" t="n">
        <v>123.37</v>
      </c>
      <c r="M35" s="18" t="n">
        <v>216.49</v>
      </c>
      <c r="N35" s="18" t="n">
        <v>168.14</v>
      </c>
      <c r="O35" s="18" t="n">
        <v>153.69</v>
      </c>
      <c r="P35" s="34">
        <f>SUM(L35:O35)</f>
        <v/>
      </c>
      <c r="Q35" s="18" t="n">
        <v>83.5</v>
      </c>
      <c r="R35" s="18" t="n">
        <v>110.31</v>
      </c>
      <c r="S35" s="18" t="n">
        <v>132.32</v>
      </c>
      <c r="T35" s="18" t="n">
        <v>138.54</v>
      </c>
      <c r="U35" s="34">
        <f>SUM(Q35:T35)</f>
        <v/>
      </c>
      <c r="V35" s="18" t="n">
        <v>339.81</v>
      </c>
      <c r="W35" s="18" t="n">
        <v>311.7</v>
      </c>
      <c r="X35" s="18" t="n">
        <v>307.62</v>
      </c>
      <c r="Y35" s="18" t="n">
        <v>207.13</v>
      </c>
      <c r="Z35" s="34">
        <f>SUM(V35:Y35)</f>
        <v/>
      </c>
      <c r="AA35" s="18" t="n">
        <v>259.36</v>
      </c>
      <c r="AB35" s="19" t="n">
        <v>239.53</v>
      </c>
      <c r="AC35" s="20">
        <f>IFERROR(AC5*변수!AC44,"")</f>
        <v/>
      </c>
      <c r="AD35" s="20">
        <f>IFERROR(AD5*변수!AD44,"")</f>
        <v/>
      </c>
      <c r="AE35" s="35">
        <f>SUM(AA35:AD35)</f>
        <v/>
      </c>
      <c r="AF35" s="20">
        <f>IFERROR(AF5*변수!AF44,"")</f>
        <v/>
      </c>
      <c r="AG35" s="20">
        <f>IFERROR(AG5*변수!AG44,"")</f>
        <v/>
      </c>
      <c r="AH35" s="20">
        <f>IFERROR(AH5*변수!AH44,"")</f>
        <v/>
      </c>
      <c r="AI35" s="20">
        <f>IFERROR(AI5*변수!AI44,"")</f>
        <v/>
      </c>
      <c r="AJ35" s="35">
        <f>SUM(AF35:AI35)</f>
        <v/>
      </c>
      <c r="AK35" s="20">
        <f>IFERROR(AK5*변수!AK44,"")</f>
        <v/>
      </c>
      <c r="AL35" s="20">
        <f>IFERROR(AL5*변수!AL44,"")</f>
        <v/>
      </c>
      <c r="AM35" s="20">
        <f>IFERROR(AM5*변수!AM44,"")</f>
        <v/>
      </c>
      <c r="AN35" s="20">
        <f>IFERROR(AN5*변수!AN44,"")</f>
        <v/>
      </c>
      <c r="AO35" s="35">
        <f>SUM(AK35:AN35)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18" t="n">
        <v>89.98999999999999</v>
      </c>
      <c r="F36" s="34" t="n"/>
      <c r="G36" s="18" t="n">
        <v>54.1</v>
      </c>
      <c r="H36" s="18" t="n">
        <v>-5.88</v>
      </c>
      <c r="I36" s="18" t="n">
        <v>53.59</v>
      </c>
      <c r="J36" s="18" t="n">
        <v>22.86</v>
      </c>
      <c r="K36" s="34">
        <f>SUM(G36:J36)</f>
        <v/>
      </c>
      <c r="L36" s="18" t="n">
        <v>26.1</v>
      </c>
      <c r="M36" s="18" t="n">
        <v>36.83</v>
      </c>
      <c r="N36" s="18" t="n">
        <v>45.87</v>
      </c>
      <c r="O36" s="18" t="n">
        <v>21</v>
      </c>
      <c r="P36" s="34">
        <f>SUM(L36:O36)</f>
        <v/>
      </c>
      <c r="Q36" s="18" t="n">
        <v>11.78</v>
      </c>
      <c r="R36" s="18" t="n">
        <v>10.41</v>
      </c>
      <c r="S36" s="18" t="n">
        <v>14.47</v>
      </c>
      <c r="T36" s="18" t="n">
        <v>-20.2</v>
      </c>
      <c r="U36" s="34">
        <f>SUM(Q36:T36)</f>
        <v/>
      </c>
      <c r="V36" s="18" t="n">
        <v>99.41</v>
      </c>
      <c r="W36" s="18" t="n">
        <v>51.4</v>
      </c>
      <c r="X36" s="18" t="n">
        <v>61.99</v>
      </c>
      <c r="Y36" s="18" t="n">
        <v>40.45</v>
      </c>
      <c r="Z36" s="34">
        <f>SUM(V36:Y36)</f>
        <v/>
      </c>
      <c r="AA36" s="18" t="n">
        <v>80.42</v>
      </c>
      <c r="AB36" s="19" t="n">
        <v>41.99</v>
      </c>
      <c r="AC36" s="20">
        <f>IFERROR(AC35*변수!AC45,"")</f>
        <v/>
      </c>
      <c r="AD36" s="20">
        <f>IFERROR(AD35*변수!AD45,"")</f>
        <v/>
      </c>
      <c r="AE36" s="35">
        <f>SUM(AA36:AD36)</f>
        <v/>
      </c>
      <c r="AF36" s="20">
        <f>IFERROR(AF35*변수!AF45,"")</f>
        <v/>
      </c>
      <c r="AG36" s="20">
        <f>IFERROR(AG35*변수!AG45,"")</f>
        <v/>
      </c>
      <c r="AH36" s="20">
        <f>IFERROR(AH35*변수!AH45,"")</f>
        <v/>
      </c>
      <c r="AI36" s="20">
        <f>IFERROR(AI35*변수!AI45,"")</f>
        <v/>
      </c>
      <c r="AJ36" s="35">
        <f>SUM(AF36:AI36)</f>
        <v/>
      </c>
      <c r="AK36" s="20">
        <f>IFERROR(AK35*변수!AK45,"")</f>
        <v/>
      </c>
      <c r="AL36" s="20">
        <f>IFERROR(AL35*변수!AL45,"")</f>
        <v/>
      </c>
      <c r="AM36" s="20">
        <f>IFERROR(AM35*변수!AM45,"")</f>
        <v/>
      </c>
      <c r="AN36" s="20">
        <f>IFERROR(AN35*변수!AN45,"")</f>
        <v/>
      </c>
      <c r="AO36" s="35">
        <f>SUM(AK36:AN36)</f>
        <v/>
      </c>
    </row>
    <row r="37">
      <c r="B37" s="2" t="inlineStr">
        <is>
          <t>비율(참고)</t>
        </is>
      </c>
      <c r="F37" s="9" t="n"/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s="12" t="inlineStr">
        <is>
          <t>OPM</t>
        </is>
      </c>
      <c r="C38" t="inlineStr">
        <is>
          <t>%</t>
        </is>
      </c>
      <c r="D38" t="inlineStr">
        <is>
          <t>영업이익 / 매출액</t>
        </is>
      </c>
      <c r="E38" s="21">
        <f>IFERROR(E9/E5,"")</f>
        <v/>
      </c>
      <c r="F38" s="22">
        <f>IFERROR(F9/F5,"")</f>
        <v/>
      </c>
      <c r="G38" s="21">
        <f>IFERROR(G9/G5,"")</f>
        <v/>
      </c>
      <c r="H38" s="21">
        <f>IFERROR(H9/H5,"")</f>
        <v/>
      </c>
      <c r="I38" s="21">
        <f>IFERROR(I9/I5,"")</f>
        <v/>
      </c>
      <c r="J38" s="21">
        <f>IFERROR(J9/J5,"")</f>
        <v/>
      </c>
      <c r="K38" s="22">
        <f>IFERROR(K9/K5,"")</f>
        <v/>
      </c>
      <c r="L38" s="21">
        <f>IFERROR(L9/L5,"")</f>
        <v/>
      </c>
      <c r="M38" s="21">
        <f>IFERROR(M9/M5,"")</f>
        <v/>
      </c>
      <c r="N38" s="21">
        <f>IFERROR(N9/N5,"")</f>
        <v/>
      </c>
      <c r="O38" s="21">
        <f>IFERROR(O9/O5,"")</f>
        <v/>
      </c>
      <c r="P38" s="22">
        <f>IFERROR(P9/P5,"")</f>
        <v/>
      </c>
      <c r="Q38" s="21">
        <f>IFERROR(Q9/Q5,"")</f>
        <v/>
      </c>
      <c r="R38" s="21">
        <f>IFERROR(R9/R5,"")</f>
        <v/>
      </c>
      <c r="S38" s="21">
        <f>IFERROR(S9/S5,"")</f>
        <v/>
      </c>
      <c r="T38" s="21">
        <f>IFERROR(T9/T5,"")</f>
        <v/>
      </c>
      <c r="U38" s="22">
        <f>IFERROR(U9/U5,"")</f>
        <v/>
      </c>
      <c r="V38" s="21">
        <f>IFERROR(V9/V5,"")</f>
        <v/>
      </c>
      <c r="W38" s="21">
        <f>IFERROR(W9/W5,"")</f>
        <v/>
      </c>
      <c r="X38" s="21">
        <f>IFERROR(X9/X5,"")</f>
        <v/>
      </c>
      <c r="Y38" s="21">
        <f>IFERROR(Y9/Y5,"")</f>
        <v/>
      </c>
      <c r="Z38" s="22">
        <f>IFERROR(Z9/Z5,"")</f>
        <v/>
      </c>
      <c r="AA38" s="21">
        <f>IFERROR(AA9/AA5,"")</f>
        <v/>
      </c>
      <c r="AB38" s="23">
        <f>IFERROR(AB9/AB5,"")</f>
        <v/>
      </c>
      <c r="AC38" s="31">
        <f>IFERROR(AC9/AC5,"")</f>
        <v/>
      </c>
      <c r="AD38" s="31">
        <f>IFERROR(AD9/AD5,"")</f>
        <v/>
      </c>
      <c r="AE38" s="25">
        <f>IFERROR(AE9/AE5,"")</f>
        <v/>
      </c>
      <c r="AF38" s="31">
        <f>IFERROR(AF9/AF5,"")</f>
        <v/>
      </c>
      <c r="AG38" s="31">
        <f>IFERROR(AG9/AG5,"")</f>
        <v/>
      </c>
      <c r="AH38" s="31">
        <f>IFERROR(AH9/AH5,"")</f>
        <v/>
      </c>
      <c r="AI38" s="31">
        <f>IFERROR(AI9/AI5,"")</f>
        <v/>
      </c>
      <c r="AJ38" s="25">
        <f>IFERROR(AJ9/AJ5,"")</f>
        <v/>
      </c>
      <c r="AK38" s="31">
        <f>IFERROR(AK9/AK5,"")</f>
        <v/>
      </c>
      <c r="AL38" s="31">
        <f>IFERROR(AL9/AL5,"")</f>
        <v/>
      </c>
      <c r="AM38" s="31">
        <f>IFERROR(AM9/AM5,"")</f>
        <v/>
      </c>
      <c r="AN38" s="31">
        <f>IFERROR(AN9/AN5,"")</f>
        <v/>
      </c>
      <c r="AO38" s="25">
        <f>IFERROR(AO9/AO5,"")</f>
        <v/>
      </c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21">
        <f>IFERROR(E16/E5,"")</f>
        <v/>
      </c>
      <c r="F39" s="22">
        <f>IFERROR(F16/F5,"")</f>
        <v/>
      </c>
      <c r="G39" s="21">
        <f>IFERROR(G16/G5,"")</f>
        <v/>
      </c>
      <c r="H39" s="21">
        <f>IFERROR(H16/H5,"")</f>
        <v/>
      </c>
      <c r="I39" s="21">
        <f>IFERROR(I16/I5,"")</f>
        <v/>
      </c>
      <c r="J39" s="21">
        <f>IFERROR(J16/J5,"")</f>
        <v/>
      </c>
      <c r="K39" s="22">
        <f>IFERROR(K16/K5,"")</f>
        <v/>
      </c>
      <c r="L39" s="21">
        <f>IFERROR(L16/L5,"")</f>
        <v/>
      </c>
      <c r="M39" s="21">
        <f>IFERROR(M16/M5,"")</f>
        <v/>
      </c>
      <c r="N39" s="21">
        <f>IFERROR(N16/N5,"")</f>
        <v/>
      </c>
      <c r="O39" s="21">
        <f>IFERROR(O16/O5,"")</f>
        <v/>
      </c>
      <c r="P39" s="22">
        <f>IFERROR(P16/P5,"")</f>
        <v/>
      </c>
      <c r="Q39" s="21">
        <f>IFERROR(Q16/Q5,"")</f>
        <v/>
      </c>
      <c r="R39" s="21">
        <f>IFERROR(R16/R5,"")</f>
        <v/>
      </c>
      <c r="S39" s="21">
        <f>IFERROR(S16/S5,"")</f>
        <v/>
      </c>
      <c r="T39" s="21">
        <f>IFERROR(T16/T5,"")</f>
        <v/>
      </c>
      <c r="U39" s="22">
        <f>IFERROR(U16/U5,"")</f>
        <v/>
      </c>
      <c r="V39" s="21">
        <f>IFERROR(V16/V5,"")</f>
        <v/>
      </c>
      <c r="W39" s="21">
        <f>IFERROR(W16/W5,"")</f>
        <v/>
      </c>
      <c r="X39" s="21">
        <f>IFERROR(X16/X5,"")</f>
        <v/>
      </c>
      <c r="Y39" s="21">
        <f>IFERROR(Y16/Y5,"")</f>
        <v/>
      </c>
      <c r="Z39" s="22">
        <f>IFERROR(Z16/Z5,"")</f>
        <v/>
      </c>
      <c r="AA39" s="21">
        <f>IFERROR(AA16/AA5,"")</f>
        <v/>
      </c>
      <c r="AB39" s="23">
        <f>IFERROR(AB16/AB5,"")</f>
        <v/>
      </c>
      <c r="AC39" s="31">
        <f>IFERROR(AC16/AC5,"")</f>
        <v/>
      </c>
      <c r="AD39" s="31">
        <f>IFERROR(AD16/AD5,"")</f>
        <v/>
      </c>
      <c r="AE39" s="25">
        <f>IFERROR(AE16/AE5,"")</f>
        <v/>
      </c>
      <c r="AF39" s="31">
        <f>IFERROR(AF16/AF5,"")</f>
        <v/>
      </c>
      <c r="AG39" s="31">
        <f>IFERROR(AG16/AG5,"")</f>
        <v/>
      </c>
      <c r="AH39" s="31">
        <f>IFERROR(AH16/AH5,"")</f>
        <v/>
      </c>
      <c r="AI39" s="31">
        <f>IFERROR(AI16/AI5,"")</f>
        <v/>
      </c>
      <c r="AJ39" s="25">
        <f>IFERROR(AJ16/AJ5,"")</f>
        <v/>
      </c>
      <c r="AK39" s="31">
        <f>IFERROR(AK16/AK5,"")</f>
        <v/>
      </c>
      <c r="AL39" s="31">
        <f>IFERROR(AL16/AL5,"")</f>
        <v/>
      </c>
      <c r="AM39" s="31">
        <f>IFERROR(AM16/AM5,"")</f>
        <v/>
      </c>
      <c r="AN39" s="31">
        <f>IFERROR(AN16/AN5,"")</f>
        <v/>
      </c>
      <c r="AO39" s="25">
        <f>IFERROR(AO16/AO5,"")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21">
        <f>IFERROR(E6/E5,"")</f>
        <v/>
      </c>
      <c r="F40" s="22">
        <f>IFERROR(F6/F5,"")</f>
        <v/>
      </c>
      <c r="G40" s="21">
        <f>IFERROR(G6/G5,"")</f>
        <v/>
      </c>
      <c r="H40" s="21">
        <f>IFERROR(H6/H5,"")</f>
        <v/>
      </c>
      <c r="I40" s="21">
        <f>IFERROR(I6/I5,"")</f>
        <v/>
      </c>
      <c r="J40" s="21">
        <f>IFERROR(J6/J5,"")</f>
        <v/>
      </c>
      <c r="K40" s="22">
        <f>IFERROR(K6/K5,"")</f>
        <v/>
      </c>
      <c r="L40" s="21">
        <f>IFERROR(L6/L5,"")</f>
        <v/>
      </c>
      <c r="M40" s="21">
        <f>IFERROR(M6/M5,"")</f>
        <v/>
      </c>
      <c r="N40" s="21">
        <f>IFERROR(N6/N5,"")</f>
        <v/>
      </c>
      <c r="O40" s="21">
        <f>IFERROR(O6/O5,"")</f>
        <v/>
      </c>
      <c r="P40" s="22">
        <f>IFERROR(P6/P5,"")</f>
        <v/>
      </c>
      <c r="Q40" s="21">
        <f>IFERROR(Q6/Q5,"")</f>
        <v/>
      </c>
      <c r="R40" s="21">
        <f>IFERROR(R6/R5,"")</f>
        <v/>
      </c>
      <c r="S40" s="21">
        <f>IFERROR(S6/S5,"")</f>
        <v/>
      </c>
      <c r="T40" s="21">
        <f>IFERROR(T6/T5,"")</f>
        <v/>
      </c>
      <c r="U40" s="22">
        <f>IFERROR(U6/U5,"")</f>
        <v/>
      </c>
      <c r="V40" s="21">
        <f>IFERROR(V6/V5,"")</f>
        <v/>
      </c>
      <c r="W40" s="21">
        <f>IFERROR(W6/W5,"")</f>
        <v/>
      </c>
      <c r="X40" s="21">
        <f>IFERROR(X6/X5,"")</f>
        <v/>
      </c>
      <c r="Y40" s="21">
        <f>IFERROR(Y6/Y5,"")</f>
        <v/>
      </c>
      <c r="Z40" s="22">
        <f>IFERROR(Z6/Z5,"")</f>
        <v/>
      </c>
      <c r="AA40" s="21">
        <f>IFERROR(AA6/AA5,"")</f>
        <v/>
      </c>
      <c r="AB40" s="23">
        <f>IFERROR(AB6/AB5,"")</f>
        <v/>
      </c>
      <c r="AC40" s="31">
        <f>IFERROR(AC6/AC5,"")</f>
        <v/>
      </c>
      <c r="AD40" s="31">
        <f>IFERROR(AD6/AD5,"")</f>
        <v/>
      </c>
      <c r="AE40" s="25">
        <f>IFERROR(AE6/AE5,"")</f>
        <v/>
      </c>
      <c r="AF40" s="31">
        <f>IFERROR(AF6/AF5,"")</f>
        <v/>
      </c>
      <c r="AG40" s="31">
        <f>IFERROR(AG6/AG5,"")</f>
        <v/>
      </c>
      <c r="AH40" s="31">
        <f>IFERROR(AH6/AH5,"")</f>
        <v/>
      </c>
      <c r="AI40" s="31">
        <f>IFERROR(AI6/AI5,"")</f>
        <v/>
      </c>
      <c r="AJ40" s="25">
        <f>IFERROR(AJ6/AJ5,"")</f>
        <v/>
      </c>
      <c r="AK40" s="31">
        <f>IFERROR(AK6/AK5,"")</f>
        <v/>
      </c>
      <c r="AL40" s="31">
        <f>IFERROR(AL6/AL5,"")</f>
        <v/>
      </c>
      <c r="AM40" s="31">
        <f>IFERROR(AM6/AM5,"")</f>
        <v/>
      </c>
      <c r="AN40" s="31">
        <f>IFERROR(AN6/AN5,"")</f>
        <v/>
      </c>
      <c r="AO40" s="25">
        <f>IFERROR(AO6/AO5,"")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21">
        <f>IFERROR(E8/E5,"")</f>
        <v/>
      </c>
      <c r="F41" s="22">
        <f>IFERROR(F8/F5,"")</f>
        <v/>
      </c>
      <c r="G41" s="21">
        <f>IFERROR(G8/G5,"")</f>
        <v/>
      </c>
      <c r="H41" s="21">
        <f>IFERROR(H8/H5,"")</f>
        <v/>
      </c>
      <c r="I41" s="21">
        <f>IFERROR(I8/I5,"")</f>
        <v/>
      </c>
      <c r="J41" s="21">
        <f>IFERROR(J8/J5,"")</f>
        <v/>
      </c>
      <c r="K41" s="22">
        <f>IFERROR(K8/K5,"")</f>
        <v/>
      </c>
      <c r="L41" s="21">
        <f>IFERROR(L8/L5,"")</f>
        <v/>
      </c>
      <c r="M41" s="21">
        <f>IFERROR(M8/M5,"")</f>
        <v/>
      </c>
      <c r="N41" s="21">
        <f>IFERROR(N8/N5,"")</f>
        <v/>
      </c>
      <c r="O41" s="21">
        <f>IFERROR(O8/O5,"")</f>
        <v/>
      </c>
      <c r="P41" s="22">
        <f>IFERROR(P8/P5,"")</f>
        <v/>
      </c>
      <c r="Q41" s="21">
        <f>IFERROR(Q8/Q5,"")</f>
        <v/>
      </c>
      <c r="R41" s="21">
        <f>IFERROR(R8/R5,"")</f>
        <v/>
      </c>
      <c r="S41" s="21">
        <f>IFERROR(S8/S5,"")</f>
        <v/>
      </c>
      <c r="T41" s="21">
        <f>IFERROR(T8/T5,"")</f>
        <v/>
      </c>
      <c r="U41" s="22">
        <f>IFERROR(U8/U5,"")</f>
        <v/>
      </c>
      <c r="V41" s="21">
        <f>IFERROR(V8/V5,"")</f>
        <v/>
      </c>
      <c r="W41" s="21">
        <f>IFERROR(W8/W5,"")</f>
        <v/>
      </c>
      <c r="X41" s="21">
        <f>IFERROR(X8/X5,"")</f>
        <v/>
      </c>
      <c r="Y41" s="21">
        <f>IFERROR(Y8/Y5,"")</f>
        <v/>
      </c>
      <c r="Z41" s="22">
        <f>IFERROR(Z8/Z5,"")</f>
        <v/>
      </c>
      <c r="AA41" s="21">
        <f>IFERROR(AA8/AA5,"")</f>
        <v/>
      </c>
      <c r="AB41" s="23">
        <f>IFERROR(AB8/AB5,"")</f>
        <v/>
      </c>
      <c r="AC41" s="31">
        <f>IFERROR(AC8/AC5,"")</f>
        <v/>
      </c>
      <c r="AD41" s="31">
        <f>IFERROR(AD8/AD5,"")</f>
        <v/>
      </c>
      <c r="AE41" s="25">
        <f>IFERROR(AE8/AE5,"")</f>
        <v/>
      </c>
      <c r="AF41" s="31">
        <f>IFERROR(AF8/AF5,"")</f>
        <v/>
      </c>
      <c r="AG41" s="31">
        <f>IFERROR(AG8/AG5,"")</f>
        <v/>
      </c>
      <c r="AH41" s="31">
        <f>IFERROR(AH8/AH5,"")</f>
        <v/>
      </c>
      <c r="AI41" s="31">
        <f>IFERROR(AI8/AI5,"")</f>
        <v/>
      </c>
      <c r="AJ41" s="25">
        <f>IFERROR(AJ8/AJ5,"")</f>
        <v/>
      </c>
      <c r="AK41" s="31">
        <f>IFERROR(AK8/AK5,"")</f>
        <v/>
      </c>
      <c r="AL41" s="31">
        <f>IFERROR(AL8/AL5,"")</f>
        <v/>
      </c>
      <c r="AM41" s="31">
        <f>IFERROR(AM8/AM5,"")</f>
        <v/>
      </c>
      <c r="AN41" s="31">
        <f>IFERROR(AN8/AN5,"")</f>
        <v/>
      </c>
      <c r="AO41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변수!D48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감가상각비</t>
        </is>
      </c>
      <c r="D17" t="inlineStr">
        <is>
          <t>감가상각비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EBITDA</t>
        </is>
      </c>
      <c r="D18" t="inlineStr">
        <is>
          <t>EBITDA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6">
        <f>IFERROR(VLOOKUP($A29,subQ,MATCH(E$1,SUBQH,0),0),"")</f>
        <v/>
      </c>
      <c r="F29" s="26">
        <f>IFERROR(VLOOKUP($A29,subQ,MATCH(F$1,SUBQH,0),0),"")</f>
        <v/>
      </c>
      <c r="G29" s="26">
        <f>IFERROR(VLOOKUP($A29,subQ,MATCH(G$1,SUBQH,0),0),"")</f>
        <v/>
      </c>
      <c r="H29" s="26">
        <f>IFERROR(VLOOKUP($A29,subQ,MATCH(H$1,SUBQH,0),0),"")</f>
        <v/>
      </c>
      <c r="I29" s="26">
        <f>IFERROR(VLOOKUP($A29,subQ,MATCH(I$1,SUBQH,0),0),"")</f>
        <v/>
      </c>
      <c r="J29" s="26">
        <f>IFERROR(VLOOKUP($A29,subQ,MATCH(J$1,SUBQH,0),0),"")</f>
        <v/>
      </c>
      <c r="K29" s="26">
        <f>IFERROR(VLOOKUP($A29,subQ,MATCH(K$1,SUBQH,0),0),"")</f>
        <v/>
      </c>
      <c r="L29" s="26">
        <f>IFERROR(VLOOKUP($A29,subQ,MATCH(L$1,SUBQH,0),0),"")</f>
        <v/>
      </c>
      <c r="M29" s="26">
        <f>IFERROR(VLOOKUP($A29,subQ,MATCH(M$1,SUBQH,0),0),"")</f>
        <v/>
      </c>
      <c r="N29" s="26">
        <f>IFERROR(VLOOKUP($A29,subQ,MATCH(N$1,SUBQH,0),0),"")</f>
        <v/>
      </c>
      <c r="O29" s="26">
        <f>IFERROR(VLOOKUP($A29,subQ,MATCH(O$1,SUBQH,0),0),"")</f>
        <v/>
      </c>
      <c r="P29" s="26">
        <f>IFERROR(VLOOKUP($A29,subQ,MATCH(P$1,SUBQH,0),0),"")</f>
        <v/>
      </c>
      <c r="Q29" s="26">
        <f>IFERROR(VLOOKUP($A29,subQ,MATCH(Q$1,SUBQH,0),0),"")</f>
        <v/>
      </c>
      <c r="R29" s="26">
        <f>IFERROR(VLOOKUP($A29,subQ,MATCH(R$1,SUBQH,0),0),"")</f>
        <v/>
      </c>
      <c r="S29" s="26">
        <f>IFERROR(VLOOKUP($A29,subQ,MATCH(S$1,SUBQH,0),0),"")</f>
        <v/>
      </c>
      <c r="T29" s="26">
        <f>IFERROR(VLOOKUP($A29,subQ,MATCH(T$1,SUBQH,0),0),"")</f>
        <v/>
      </c>
      <c r="U29" s="26">
        <f>IFERROR(VLOOKUP($A29,subQ,MATCH(U$1,SUBQH,0),0),"")</f>
        <v/>
      </c>
      <c r="V29" s="26">
        <f>IFERROR(VLOOKUP($A29,subQ,MATCH(V$1,SUBQH,0),0),"")</f>
        <v/>
      </c>
      <c r="W29" s="43">
        <f>IFERROR(VLOOKUP($A29,subQ,MATCH(W$1,SUBQH,0),0),"")</f>
        <v/>
      </c>
      <c r="X29" s="36">
        <f>IFERROR(VLOOKUP($A29,subQ,MATCH(X$1,SUBQH,0),0),"")</f>
        <v/>
      </c>
      <c r="Y29" s="36">
        <f>IFERROR(VLOOKUP($A29,subQ,MATCH(Y$1,SUBQH,0),0),"")</f>
        <v/>
      </c>
      <c r="Z29" s="36">
        <f>IFERROR(VLOOKUP($A29,subQ,MATCH(Z$1,SUBQH,0),0),"")</f>
        <v/>
      </c>
      <c r="AA29" s="36">
        <f>IFERROR(VLOOKUP($A29,subQ,MATCH(AA$1,SUBQH,0),0),"")</f>
        <v/>
      </c>
      <c r="AB29" s="36">
        <f>IFERROR(VLOOKUP($A29,subQ,MATCH(AB$1,SUBQH,0),0),"")</f>
        <v/>
      </c>
      <c r="AC29" s="36">
        <f>IFERROR(VLOOKUP($A29,subQ,MATCH(AC$1,SUBQH,0),0),"")</f>
        <v/>
      </c>
      <c r="AD29" s="36">
        <f>IFERROR(VLOOKUP($A29,subQ,MATCH(AD$1,SUBQH,0),0),"")</f>
        <v/>
      </c>
      <c r="AE29" s="36">
        <f>IFERROR(VLOOKUP($A29,subQ,MATCH(AE$1,SUBQH,0),0),"")</f>
        <v/>
      </c>
      <c r="AF29" s="36">
        <f>IFERROR(VLOOKUP($A29,subQ,MATCH(AF$1,SUBQH,0),0),"")</f>
        <v/>
      </c>
      <c r="AG29" s="36">
        <f>IFERROR(VLOOKUP($A29,subQ,MATCH(AG$1,SUBQH,0),0),"")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1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OPM</t>
        </is>
      </c>
      <c r="D37" t="inlineStr">
        <is>
          <t>영업이익률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21">
        <f>IFERROR(VLOOKUP($A37,subQ,MATCH(U$1,SUBQH,0),0),"")</f>
        <v/>
      </c>
      <c r="V37" s="21">
        <f>IFERROR(VLOOKUP($A37,subQ,MATCH(V$1,SUBQH,0),0),"")</f>
        <v/>
      </c>
      <c r="W37" s="42">
        <f>IFERROR(VLOOKUP($A37,subQ,MATCH(W$1,SUBQH,0),0),"")</f>
        <v/>
      </c>
      <c r="X37" s="31">
        <f>IFERROR(VLOOKUP($A37,subQ,MATCH(X$1,SUBQH,0),0),"")</f>
        <v/>
      </c>
      <c r="Y37" s="31">
        <f>IFERROR(VLOOKUP($A37,subQ,MATCH(Y$1,SUBQH,0),0),"")</f>
        <v/>
      </c>
      <c r="Z37" s="31">
        <f>IFERROR(VLOOKUP($A37,subQ,MATCH(Z$1,SUBQH,0),0),"")</f>
        <v/>
      </c>
      <c r="AA37" s="31">
        <f>IFERROR(VLOOKUP($A37,subQ,MATCH(AA$1,SUBQH,0),0),"")</f>
        <v/>
      </c>
      <c r="AB37" s="31">
        <f>IFERROR(VLOOKUP($A37,subQ,MATCH(AB$1,SUBQH,0),0),"")</f>
        <v/>
      </c>
      <c r="AC37" s="31">
        <f>IFERROR(VLOOKUP($A37,subQ,MATCH(AC$1,SUBQH,0),0),"")</f>
        <v/>
      </c>
      <c r="AD37" s="31">
        <f>IFERROR(VLOOKUP($A37,subQ,MATCH(AD$1,SUBQH,0),0),"")</f>
        <v/>
      </c>
      <c r="AE37" s="31">
        <f>IFERROR(VLOOKUP($A37,subQ,MATCH(AE$1,SUBQH,0),0),"")</f>
        <v/>
      </c>
      <c r="AF37" s="31">
        <f>IFERROR(VLOOKUP($A37,subQ,MATCH(AF$1,SUBQH,0),0),"")</f>
        <v/>
      </c>
      <c r="AG37" s="31">
        <f>IFERROR(VLOOKUP($A37,subQ,MATCH(AG$1,SUBQH,0),0),"")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21">
        <f>IFERROR(VLOOKUP($A38,subQ,MATCH(O$1,SUBQH,0),0),"")</f>
        <v/>
      </c>
      <c r="P38" s="21">
        <f>IFERROR(VLOOKUP($A38,subQ,MATCH(P$1,SUBQH,0),0),"")</f>
        <v/>
      </c>
      <c r="Q38" s="21">
        <f>IFERROR(VLOOKUP($A38,subQ,MATCH(Q$1,SUBQH,0),0),"")</f>
        <v/>
      </c>
      <c r="R38" s="21">
        <f>IFERROR(VLOOKUP($A38,subQ,MATCH(R$1,SUBQH,0),0),"")</f>
        <v/>
      </c>
      <c r="S38" s="21">
        <f>IFERROR(VLOOKUP($A38,subQ,MATCH(S$1,SUBQH,0),0),"")</f>
        <v/>
      </c>
      <c r="T38" s="21">
        <f>IFERROR(VLOOKUP($A38,subQ,MATCH(T$1,SUBQH,0),0),"")</f>
        <v/>
      </c>
      <c r="U38" s="21">
        <f>IFERROR(VLOOKUP($A38,subQ,MATCH(U$1,SUBQH,0),0),"")</f>
        <v/>
      </c>
      <c r="V38" s="21">
        <f>IFERROR(VLOOKUP($A38,subQ,MATCH(V$1,SUBQH,0),0),"")</f>
        <v/>
      </c>
      <c r="W38" s="42">
        <f>IFERROR(VLOOKUP($A38,subQ,MATCH(W$1,SUBQH,0),0),"")</f>
        <v/>
      </c>
      <c r="X38" s="31">
        <f>IFERROR(VLOOKUP($A38,subQ,MATCH(X$1,SUBQH,0),0),"")</f>
        <v/>
      </c>
      <c r="Y38" s="31">
        <f>IFERROR(VLOOKUP($A38,subQ,MATCH(Y$1,SUBQH,0),0),"")</f>
        <v/>
      </c>
      <c r="Z38" s="31">
        <f>IFERROR(VLOOKUP($A38,subQ,MATCH(Z$1,SUBQH,0),0),"")</f>
        <v/>
      </c>
      <c r="AA38" s="31">
        <f>IFERROR(VLOOKUP($A38,subQ,MATCH(AA$1,SUBQH,0),0),"")</f>
        <v/>
      </c>
      <c r="AB38" s="31">
        <f>IFERROR(VLOOKUP($A38,subQ,MATCH(AB$1,SUBQH,0),0),"")</f>
        <v/>
      </c>
      <c r="AC38" s="31">
        <f>IFERROR(VLOOKUP($A38,subQ,MATCH(AC$1,SUBQH,0),0),"")</f>
        <v/>
      </c>
      <c r="AD38" s="31">
        <f>IFERROR(VLOOKUP($A38,subQ,MATCH(AD$1,SUBQH,0),0),"")</f>
        <v/>
      </c>
      <c r="AE38" s="31">
        <f>IFERROR(VLOOKUP($A38,subQ,MATCH(AE$1,SUBQH,0),0),"")</f>
        <v/>
      </c>
      <c r="AF38" s="31">
        <f>IFERROR(VLOOKUP($A38,subQ,MATCH(AF$1,SUBQH,0),0),"")</f>
        <v/>
      </c>
      <c r="AG38" s="31">
        <f>IFERROR(VLOOKUP($A38,subQ,MATCH(AG$1,SUBQH,0),0),"")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21">
        <f>IFERROR(I5/E5-1,"")</f>
        <v/>
      </c>
      <c r="J39" s="21">
        <f>IFERROR(J5/F5-1,"")</f>
        <v/>
      </c>
      <c r="K39" s="21">
        <f>IFERROR(K5/G5-1,"")</f>
        <v/>
      </c>
      <c r="L39" s="21">
        <f>IFERROR(L5/H5-1,"")</f>
        <v/>
      </c>
      <c r="M39" s="21">
        <f>IFERROR(M5/I5-1,"")</f>
        <v/>
      </c>
      <c r="N39" s="21">
        <f>IFERROR(N5/J5-1,"")</f>
        <v/>
      </c>
      <c r="O39" s="21">
        <f>IFERROR(O5/K5-1,"")</f>
        <v/>
      </c>
      <c r="P39" s="21">
        <f>IFERROR(P5/L5-1,"")</f>
        <v/>
      </c>
      <c r="Q39" s="21">
        <f>IFERROR(Q5/M5-1,"")</f>
        <v/>
      </c>
      <c r="R39" s="21">
        <f>IFERROR(R5/N5-1,"")</f>
        <v/>
      </c>
      <c r="S39" s="21">
        <f>IFERROR(S5/O5-1,"")</f>
        <v/>
      </c>
      <c r="T39" s="21">
        <f>IFERROR(T5/P5-1,"")</f>
        <v/>
      </c>
      <c r="U39" s="21">
        <f>IFERROR(U5/Q5-1,"")</f>
        <v/>
      </c>
      <c r="V39" s="21">
        <f>IFERROR(V5/R5-1,"")</f>
        <v/>
      </c>
      <c r="W39" s="42">
        <f>IFERROR(W5/S5-1,"")</f>
        <v/>
      </c>
      <c r="X39" s="31">
        <f>IFERROR(X5/T5-1,"")</f>
        <v/>
      </c>
      <c r="Y39" s="31">
        <f>IFERROR(Y5/U5-1,"")</f>
        <v/>
      </c>
      <c r="Z39" s="31">
        <f>IFERROR(Z5/V5-1,"")</f>
        <v/>
      </c>
      <c r="AA39" s="31">
        <f>IFERROR(AA5/W5-1,"")</f>
        <v/>
      </c>
      <c r="AB39" s="31">
        <f>IFERROR(AB5/X5-1,"")</f>
        <v/>
      </c>
      <c r="AC39" s="31">
        <f>IFERROR(AC5/Y5-1,"")</f>
        <v/>
      </c>
      <c r="AD39" s="31">
        <f>IFERROR(AD5/Z5-1,"")</f>
        <v/>
      </c>
      <c r="AE39" s="31">
        <f>IFERROR(AE5/AA5-1,"")</f>
        <v/>
      </c>
      <c r="AF39" s="31">
        <f>IFERROR(AF5/AB5-1,"")</f>
        <v/>
      </c>
      <c r="AG39" s="31">
        <f>IFERROR(AG5/AC5-1,"")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21">
        <f>IFERROR(I9/E9-1,"")</f>
        <v/>
      </c>
      <c r="J40" s="21">
        <f>IFERROR(J9/F9-1,"")</f>
        <v/>
      </c>
      <c r="K40" s="21">
        <f>IFERROR(K9/G9-1,"")</f>
        <v/>
      </c>
      <c r="L40" s="21">
        <f>IFERROR(L9/H9-1,"")</f>
        <v/>
      </c>
      <c r="M40" s="21">
        <f>IFERROR(M9/I9-1,"")</f>
        <v/>
      </c>
      <c r="N40" s="21">
        <f>IFERROR(N9/J9-1,"")</f>
        <v/>
      </c>
      <c r="O40" s="21">
        <f>IFERROR(O9/K9-1,"")</f>
        <v/>
      </c>
      <c r="P40" s="21">
        <f>IFERROR(P9/L9-1,"")</f>
        <v/>
      </c>
      <c r="Q40" s="21">
        <f>IFERROR(Q9/M9-1,"")</f>
        <v/>
      </c>
      <c r="R40" s="21">
        <f>IFERROR(R9/N9-1,"")</f>
        <v/>
      </c>
      <c r="S40" s="21">
        <f>IFERROR(S9/O9-1,"")</f>
        <v/>
      </c>
      <c r="T40" s="21">
        <f>IFERROR(T9/P9-1,"")</f>
        <v/>
      </c>
      <c r="U40" s="21">
        <f>IFERROR(U9/Q9-1,"")</f>
        <v/>
      </c>
      <c r="V40" s="21">
        <f>IFERROR(V9/R9-1,"")</f>
        <v/>
      </c>
      <c r="W40" s="42">
        <f>IFERROR(W9/S9-1,"")</f>
        <v/>
      </c>
      <c r="X40" s="31">
        <f>IFERROR(X9/T9-1,"")</f>
        <v/>
      </c>
      <c r="Y40" s="31">
        <f>IFERROR(Y9/U9-1,"")</f>
        <v/>
      </c>
      <c r="Z40" s="31">
        <f>IFERROR(Z9/V9-1,"")</f>
        <v/>
      </c>
      <c r="AA40" s="31">
        <f>IFERROR(AA9/W9-1,"")</f>
        <v/>
      </c>
      <c r="AB40" s="31">
        <f>IFERROR(AB9/X9-1,"")</f>
        <v/>
      </c>
      <c r="AC40" s="31">
        <f>IFERROR(AC9/Y9-1,"")</f>
        <v/>
      </c>
      <c r="AD40" s="31">
        <f>IFERROR(AD9/Z9-1,"")</f>
        <v/>
      </c>
      <c r="AE40" s="31">
        <f>IFERROR(AE9/AA9-1,"")</f>
        <v/>
      </c>
      <c r="AF40" s="31">
        <f>IFERROR(AF9/AB9-1,"")</f>
        <v/>
      </c>
      <c r="AG40" s="31">
        <f>IFERROR(AG9/AC9-1,"")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21">
        <f>IFERROR(I16/E16-1,"")</f>
        <v/>
      </c>
      <c r="J41" s="21">
        <f>IFERROR(J16/F16-1,"")</f>
        <v/>
      </c>
      <c r="K41" s="21">
        <f>IFERROR(K16/G16-1,"")</f>
        <v/>
      </c>
      <c r="L41" s="21">
        <f>IFERROR(L16/H16-1,"")</f>
        <v/>
      </c>
      <c r="M41" s="21">
        <f>IFERROR(M16/I16-1,"")</f>
        <v/>
      </c>
      <c r="N41" s="21">
        <f>IFERROR(N16/J16-1,"")</f>
        <v/>
      </c>
      <c r="O41" s="21">
        <f>IFERROR(O16/K16-1,"")</f>
        <v/>
      </c>
      <c r="P41" s="21">
        <f>IFERROR(P16/L16-1,"")</f>
        <v/>
      </c>
      <c r="Q41" s="21">
        <f>IFERROR(Q16/M16-1,"")</f>
        <v/>
      </c>
      <c r="R41" s="21">
        <f>IFERROR(R16/N16-1,"")</f>
        <v/>
      </c>
      <c r="S41" s="21">
        <f>IFERROR(S16/O16-1,"")</f>
        <v/>
      </c>
      <c r="T41" s="21">
        <f>IFERROR(T16/P16-1,"")</f>
        <v/>
      </c>
      <c r="U41" s="21">
        <f>IFERROR(U16/Q16-1,"")</f>
        <v/>
      </c>
      <c r="V41" s="21">
        <f>IFERROR(V16/R16-1,"")</f>
        <v/>
      </c>
      <c r="W41" s="42">
        <f>IFERROR(W16/S16-1,"")</f>
        <v/>
      </c>
      <c r="X41" s="31">
        <f>IFERROR(X16/T16-1,"")</f>
        <v/>
      </c>
      <c r="Y41" s="31">
        <f>IFERROR(Y16/U16-1,"")</f>
        <v/>
      </c>
      <c r="Z41" s="31">
        <f>IFERROR(Z16/V16-1,"")</f>
        <v/>
      </c>
      <c r="AA41" s="31">
        <f>IFERROR(AA16/W16-1,"")</f>
        <v/>
      </c>
      <c r="AB41" s="31">
        <f>IFERROR(AB16/X16-1,"")</f>
        <v/>
      </c>
      <c r="AC41" s="31">
        <f>IFERROR(AC16/Y16-1,"")</f>
        <v/>
      </c>
      <c r="AD41" s="31">
        <f>IFERROR(AD16/Z16-1,"")</f>
        <v/>
      </c>
      <c r="AE41" s="31">
        <f>IFERROR(AE16/AA16-1,"")</f>
        <v/>
      </c>
      <c r="AF41" s="31">
        <f>IFERROR(AF16/AB16-1,"")</f>
        <v/>
      </c>
      <c r="AG41" s="31">
        <f>IFERROR(AG16/AC16-1,"")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변수!D48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감가상각비</t>
        </is>
      </c>
      <c r="D17" t="inlineStr">
        <is>
          <t>감가상각비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EBITDA</t>
        </is>
      </c>
      <c r="D18" t="inlineStr">
        <is>
          <t>EBITDA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6">
        <f>IFERROR(VLOOKUP($A29,subQ,MATCH(E$1,SUBQH,0),0),"")</f>
        <v/>
      </c>
      <c r="F29" s="26">
        <f>IFERROR(VLOOKUP($A29,subQ,MATCH(F$1,SUBQH,0),0),"")</f>
        <v/>
      </c>
      <c r="G29" s="26">
        <f>IFERROR(VLOOKUP($A29,subQ,MATCH(G$1,SUBQH,0),0),"")</f>
        <v/>
      </c>
      <c r="H29" s="26">
        <f>IFERROR(VLOOKUP($A29,subQ,MATCH(H$1,SUBQH,0),0),"")</f>
        <v/>
      </c>
      <c r="I29" s="43">
        <f>IFERROR(VLOOKUP($A29,subQ,MATCH(I$1,SUBQH,0),0),"")</f>
        <v/>
      </c>
      <c r="J29" s="36">
        <f>IFERROR(VLOOKUP($A29,subQ,MATCH(J$1,SUBQH,0),0),"")</f>
        <v/>
      </c>
      <c r="K29" s="36">
        <f>IFERROR(VLOOKUP($A29,subQ,MATCH(K$1,SUBQH,0),0),"")</f>
        <v/>
      </c>
      <c r="L29" s="36">
        <f>IFERROR(VLOOKUP($A29,subQ,MATCH(L$1,SUBQH,0),0),"")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1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OPM</t>
        </is>
      </c>
      <c r="D37" t="inlineStr">
        <is>
          <t>영업이익률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42">
        <f>IFERROR(VLOOKUP($A37,subQ,MATCH(I$1,SUBQH,0),0),"")</f>
        <v/>
      </c>
      <c r="J37" s="31">
        <f>IFERROR(VLOOKUP($A37,subQ,MATCH(J$1,SUBQH,0),0),"")</f>
        <v/>
      </c>
      <c r="K37" s="31">
        <f>IFERROR(VLOOKUP($A37,subQ,MATCH(K$1,SUBQH,0),0),"")</f>
        <v/>
      </c>
      <c r="L37" s="31">
        <f>IFERROR(VLOOKUP($A37,subQ,MATCH(L$1,SUBQH,0),0),"")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42">
        <f>IFERROR(VLOOKUP($A38,subQ,MATCH(I$1,SUBQH,0),0),"")</f>
        <v/>
      </c>
      <c r="J38" s="31">
        <f>IFERROR(VLOOKUP($A38,subQ,MATCH(J$1,SUBQH,0),0),"")</f>
        <v/>
      </c>
      <c r="K38" s="31">
        <f>IFERROR(VLOOKUP($A38,subQ,MATCH(K$1,SUBQH,0),0),"")</f>
        <v/>
      </c>
      <c r="L38" s="31">
        <f>IFERROR(VLOOKUP($A38,subQ,MATCH(L$1,SUBQH,0),0),"")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21">
        <f>IFERROR(F5/E5-1,"")</f>
        <v/>
      </c>
      <c r="G39" s="21">
        <f>IFERROR(G5/F5-1,"")</f>
        <v/>
      </c>
      <c r="H39" s="21">
        <f>IFERROR(H5/G5-1,"")</f>
        <v/>
      </c>
      <c r="I39" s="42">
        <f>IFERROR(I5/H5-1,"")</f>
        <v/>
      </c>
      <c r="J39" s="31">
        <f>IFERROR(J5/I5-1,"")</f>
        <v/>
      </c>
      <c r="K39" s="31">
        <f>IFERROR(K5/J5-1,"")</f>
        <v/>
      </c>
      <c r="L39" s="31">
        <f>IFERROR(L5/K5-1,"")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21">
        <f>IFERROR(F9/E9-1,"")</f>
        <v/>
      </c>
      <c r="G40" s="21">
        <f>IFERROR(G9/F9-1,"")</f>
        <v/>
      </c>
      <c r="H40" s="21">
        <f>IFERROR(H9/G9-1,"")</f>
        <v/>
      </c>
      <c r="I40" s="42">
        <f>IFERROR(I9/H9-1,"")</f>
        <v/>
      </c>
      <c r="J40" s="31">
        <f>IFERROR(J9/I9-1,"")</f>
        <v/>
      </c>
      <c r="K40" s="31">
        <f>IFERROR(K9/J9-1,"")</f>
        <v/>
      </c>
      <c r="L40" s="31">
        <f>IFERROR(L9/K9-1,"")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21">
        <f>IFERROR(F16/E16-1,"")</f>
        <v/>
      </c>
      <c r="G41" s="21">
        <f>IFERROR(G16/F16-1,"")</f>
        <v/>
      </c>
      <c r="H41" s="21">
        <f>IFERROR(H16/G16-1,"")</f>
        <v/>
      </c>
      <c r="I41" s="42">
        <f>IFERROR(I16/H16-1,"")</f>
        <v/>
      </c>
      <c r="J41" s="31">
        <f>IFERROR(J16/I16-1,"")</f>
        <v/>
      </c>
      <c r="K41" s="31">
        <f>IFERROR(K16/J16-1,"")</f>
        <v/>
      </c>
      <c r="L41" s="31">
        <f>IFERROR(L16/K16-1,"")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변수!D48</f>
        <v/>
      </c>
    </row>
    <row r="2">
      <c r="B2" s="1" t="inlineStr">
        <is>
          <t>기준일</t>
        </is>
      </c>
      <c r="C2">
        <f>변수!D49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IFERROR(E7*변수!D54+F7*(1-변수!D54),"")</f>
        <v/>
      </c>
    </row>
    <row r="15">
      <c r="C15" t="inlineStr">
        <is>
          <t>적정가치 @PER_lo</t>
        </is>
      </c>
      <c r="D15" s="26">
        <f>변수!D51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변수!D52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변수!D53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변수!D50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3674.9</v>
      </c>
    </row>
    <row r="30">
      <c r="C30" s="2" t="inlineStr">
        <is>
          <t>bps_latest</t>
        </is>
      </c>
      <c r="D30" t="n">
        <v>20988</v>
      </c>
    </row>
    <row r="31">
      <c r="C31" s="2" t="inlineStr">
        <is>
          <t>per_now</t>
        </is>
      </c>
      <c r="D31" t="n">
        <v>12.25</v>
      </c>
    </row>
    <row r="32">
      <c r="C32" s="2" t="inlineStr">
        <is>
          <t>pbr_now</t>
        </is>
      </c>
      <c r="D32" t="n">
        <v>2.14</v>
      </c>
    </row>
    <row r="33">
      <c r="C33" s="2" t="inlineStr">
        <is>
          <t>roe_fwd</t>
        </is>
      </c>
      <c r="D33" t="n">
        <v>0.1751</v>
      </c>
    </row>
    <row r="34">
      <c r="C34" s="2" t="inlineStr">
        <is>
          <t>fair_pbr</t>
        </is>
      </c>
      <c r="D34" t="n">
        <v>1.95</v>
      </c>
    </row>
    <row r="35">
      <c r="C35" s="2" t="inlineStr">
        <is>
          <t>fair_value_pbr</t>
        </is>
      </c>
      <c r="D35" t="n">
        <v>40900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2026-09-30T00:00:00Z</dcterms:created>
  <dcterms:modified xmlns:dcterms="http://purl.org/dc/terms/" xmlns:xsi="http://www.w3.org/2001/XMLSchema-instance" xsi:type="dcterms:W3CDTF">2026-09-30T00:00:00Z</dcterms:modified>
</cp:coreProperties>
</file>