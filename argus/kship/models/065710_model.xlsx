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147342억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152564억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159050억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164267억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171348억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181480억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147342억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152564억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159050억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164267억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171348억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181480억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763억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812억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572억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633억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763억 × 3.40%(주석 이자수익 ÷ 평균 이자발생자산(2025Q3~2026Q2)) − 총차입금 0억 × 0.00%(없음) (연율) ÷ 4
[interest]</t>
      </text>
    </comment>
    <comment ref="AL12" authorId="0" shapeId="0">
      <text>
        <t>추정: 이자발생자산 812억 × 3.40%(주석 이자수익 ÷ 평균 이자발생자산(2025Q3~2026Q2)) − 총차입금 0억 × 0.00%(없음) (연율) ÷ 4
[interest]</t>
      </text>
    </comment>
    <comment ref="AM12" authorId="0" shapeId="0">
      <text>
        <t>추정: 이자발생자산 572억 × 3.40%(주석 이자수익 ÷ 평균 이자발생자산(2025Q3~2026Q2)) − 총차입금 0억 × 0.00%(없음) (연율) ÷ 4
[interest]</t>
      </text>
    </comment>
    <comment ref="AN12" authorId="0" shapeId="0">
      <text>
        <t>추정: 이자발생자산 633억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43050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43466.7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0.1819167</v>
      </c>
      <c r="AI21" s="24" t="n">
        <v>0.194110361</v>
      </c>
      <c r="AJ21" s="25" t="n"/>
      <c r="AK21" s="24" t="n">
        <v>0.193950398</v>
      </c>
      <c r="AL21" s="24" t="n">
        <v>0.173813146</v>
      </c>
      <c r="AM21" s="24" t="n">
        <v>0.162932852</v>
      </c>
      <c r="AN21" s="24" t="n">
        <v>0.189526518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0.185274611</v>
      </c>
      <c r="AI23" s="24" t="n">
        <v>0.185276895</v>
      </c>
      <c r="AJ23" s="25">
        <f>IFERROR(subQ!AJ9/subQ!AJ5,"")</f>
        <v/>
      </c>
      <c r="AK23" s="24" t="n">
        <v>0.185290153</v>
      </c>
      <c r="AL23" s="24" t="n">
        <v>0.185292951</v>
      </c>
      <c r="AM23" s="24" t="n">
        <v>0.185282523</v>
      </c>
      <c r="AN23" s="24" t="n">
        <v>0.185293538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-0.003986799</v>
      </c>
      <c r="AD30" s="30" t="n">
        <v>0.005360371</v>
      </c>
      <c r="AE30" s="31" t="n"/>
      <c r="AF30" s="30" t="n">
        <v>0.001959121</v>
      </c>
      <c r="AG30" s="30" t="n">
        <v>302.000337721</v>
      </c>
      <c r="AH30" s="30" t="n">
        <v>0.003124256</v>
      </c>
      <c r="AI30" s="30" t="n">
        <v>-0.002092481</v>
      </c>
      <c r="AJ30" s="31" t="n"/>
      <c r="AK30" s="30" t="n">
        <v>0.006109544</v>
      </c>
      <c r="AL30" s="30" t="n">
        <v>302.007189902</v>
      </c>
      <c r="AM30" s="30" t="n">
        <v>0.001172659</v>
      </c>
      <c r="AN30" s="30" t="n">
        <v>0.003371684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0.000507115</v>
      </c>
      <c r="AD31" s="30" t="n">
        <v>0.001206204</v>
      </c>
      <c r="AE31" s="31" t="n"/>
      <c r="AF31" s="30" t="n">
        <v>-0.002109312</v>
      </c>
      <c r="AG31" s="30" t="n">
        <v>302.015091283</v>
      </c>
      <c r="AH31" s="30" t="n">
        <v>-0.002032197</v>
      </c>
      <c r="AI31" s="30" t="n">
        <v>0.003124236</v>
      </c>
      <c r="AJ31" s="31" t="n"/>
      <c r="AK31" s="30" t="n">
        <v>0.001430277</v>
      </c>
      <c r="AL31" s="30" t="n">
        <v>302.021198443</v>
      </c>
      <c r="AM31" s="30" t="n">
        <v>-0.004694966</v>
      </c>
      <c r="AN31" s="30" t="n">
        <v>0.007824104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0.081357268</v>
      </c>
      <c r="AI34" s="24" t="n">
        <v>0.069838199</v>
      </c>
      <c r="AJ34" s="25" t="n"/>
      <c r="AK34" s="24" t="n">
        <v>0.06387691199999999</v>
      </c>
      <c r="AL34" s="24" t="n">
        <v>-0.295354596</v>
      </c>
      <c r="AM34" s="24" t="n">
        <v>0.10662401</v>
      </c>
      <c r="AN34" s="24" t="n">
        <v>0.091121643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43050</v>
      </c>
      <c r="E42" s="2" t="inlineStr">
        <is>
          <t>원 — 네이버 정규장 종가(aik 확정종가 대조 · aik 43,450원)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0.1977921026407574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0.1683227007507426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0.9999029521942507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0.03404456940860105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11.7</v>
      </c>
    </row>
    <row r="32">
      <c r="C32" s="2" t="inlineStr">
        <is>
          <t>pbr_now</t>
        </is>
      </c>
      <c r="D32" t="n">
        <v>2.05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