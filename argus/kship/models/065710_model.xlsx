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147342억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152552억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159017억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164214억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171275억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181401억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147342억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152552억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159017억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164214억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171275억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181401억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763억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812억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572억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633억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763억 × 3.40%(주석 이자수익 ÷ 평균 이자발생자산(2025Q3~2026Q2)) − 총차입금 0억 × 0.00%(없음) (연율) ÷ 4
[interest]</t>
      </text>
    </comment>
    <comment ref="AL12" authorId="0" shapeId="0">
      <text>
        <t>추정: 이자발생자산 812억 × 3.40%(주석 이자수익 ÷ 평균 이자발생자산(2025Q3~2026Q2)) − 총차입금 0억 × 0.00%(없음) (연율) ÷ 4
[interest]</t>
      </text>
    </comment>
    <comment ref="AM12" authorId="0" shapeId="0">
      <text>
        <t>추정: 이자발생자산 572억 × 3.40%(주석 이자수익 ÷ 평균 이자발생자산(2025Q3~2026Q2)) − 총차입금 0억 × 0.00%(없음) (연율) ÷ 4
[interest]</t>
      </text>
    </comment>
    <comment ref="AN12" authorId="0" shapeId="0">
      <text>
        <t>추정: 이자발생자산 633억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43100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43400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0.1819167</v>
      </c>
      <c r="AI21" s="24" t="n">
        <v>0.19399049</v>
      </c>
      <c r="AJ21" s="25" t="n"/>
      <c r="AK21" s="24" t="n">
        <v>0.193702802</v>
      </c>
      <c r="AL21" s="24" t="n">
        <v>0.173409507</v>
      </c>
      <c r="AM21" s="24" t="n">
        <v>0.16244384</v>
      </c>
      <c r="AN21" s="24" t="n">
        <v>0.189110501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0.185274611</v>
      </c>
      <c r="AI23" s="24" t="n">
        <v>0.185295496</v>
      </c>
      <c r="AJ23" s="25">
        <f>IFERROR(subQ!AJ9/subQ!AJ5,"")</f>
        <v/>
      </c>
      <c r="AK23" s="24" t="n">
        <v>0.185294016</v>
      </c>
      <c r="AL23" s="24" t="n">
        <v>0.185277307</v>
      </c>
      <c r="AM23" s="24" t="n">
        <v>0.18528159</v>
      </c>
      <c r="AN23" s="24" t="n">
        <v>0.185292545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-0.004631899</v>
      </c>
      <c r="AD30" s="30" t="n">
        <v>0.004773709</v>
      </c>
      <c r="AE30" s="31" t="n"/>
      <c r="AF30" s="30" t="n">
        <v>0.001389088</v>
      </c>
      <c r="AG30" s="30" t="n">
        <v>301.999587044</v>
      </c>
      <c r="AH30" s="30" t="n">
        <v>0.002369067</v>
      </c>
      <c r="AI30" s="30" t="n">
        <v>-0.002785396</v>
      </c>
      <c r="AJ30" s="31" t="n"/>
      <c r="AK30" s="30" t="n">
        <v>0.007414663</v>
      </c>
      <c r="AL30" s="30" t="n">
        <v>302.002181462</v>
      </c>
      <c r="AM30" s="30" t="n">
        <v>0.0060292</v>
      </c>
      <c r="AN30" s="30" t="n">
        <v>-0.001921931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-0.001039757</v>
      </c>
      <c r="AD31" s="30" t="n">
        <v>-0.000211803</v>
      </c>
      <c r="AE31" s="31" t="n"/>
      <c r="AF31" s="30" t="n">
        <v>-0.003493535</v>
      </c>
      <c r="AG31" s="30" t="n">
        <v>302.013290673</v>
      </c>
      <c r="AH31" s="30" t="n">
        <v>-0.003819309</v>
      </c>
      <c r="AI31" s="30" t="n">
        <v>0.001474076</v>
      </c>
      <c r="AJ31" s="31" t="n"/>
      <c r="AK31" s="30" t="n">
        <v>0.001799901</v>
      </c>
      <c r="AL31" s="30" t="n">
        <v>302.014993786</v>
      </c>
      <c r="AM31" s="30" t="n">
        <v>-0.00100984</v>
      </c>
      <c r="AN31" s="30" t="n">
        <v>0.001423144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0.081357268</v>
      </c>
      <c r="AI34" s="24" t="n">
        <v>0.069838199</v>
      </c>
      <c r="AJ34" s="25" t="n"/>
      <c r="AK34" s="24" t="n">
        <v>0.063863806</v>
      </c>
      <c r="AL34" s="24" t="n">
        <v>-0.295382872</v>
      </c>
      <c r="AM34" s="24" t="n">
        <v>0.106577153</v>
      </c>
      <c r="AN34" s="24" t="n">
        <v>0.091098682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43100</v>
      </c>
      <c r="E42" s="2" t="inlineStr">
        <is>
          <t>원 — 네이버 정규장 종가(aik 확정종가 대조 · aik 43,350원)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0.1978042513431441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0.16832298733804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0.9998835290692033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0.03404494335299118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U39" s="9" t="n"/>
      <c r="Z39" s="9" t="n"/>
      <c r="AA39" s="18" t="n">
        <v>4398.85</v>
      </c>
      <c r="AB39" s="19" t="n">
        <v>3051.45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34.57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3051.45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11.71</v>
      </c>
    </row>
    <row r="32">
      <c r="C32" s="2" t="inlineStr">
        <is>
          <t>pbr_now</t>
        </is>
      </c>
      <c r="D32" t="n">
        <v>2.05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