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148126억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155047억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162349억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167708억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173718억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181651억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148126억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155047억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162349억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167708억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173718억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181651억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764억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814억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575억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637억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764억 × 3.40%(주석 이자수익 ÷ 평균 이자발생자산(2025Q3~2026Q2)) − 총차입금 0억 × 0.00%(없음) (연율) ÷ 4
[interest]</t>
      </text>
    </comment>
    <comment ref="AL12" authorId="0" shapeId="0">
      <text>
        <t>추정: 이자발생자산 814억 × 3.40%(주석 이자수익 ÷ 평균 이자발생자산(2025Q3~2026Q2)) − 총차입금 0억 × 0.00%(없음) (연율) ÷ 4
[interest]</t>
      </text>
    </comment>
    <comment ref="AM12" authorId="0" shapeId="0">
      <text>
        <t>추정: 이자발생자산 575억 × 3.40%(주석 이자수익 ÷ 평균 이자발생자산(2025Q3~2026Q2)) − 총차입금 0억 × 0.00%(없음) (연율) ÷ 4
[interest]</t>
      </text>
    </comment>
    <comment ref="AN12" authorId="0" shapeId="0">
      <text>
        <t>추정: 이자발생자산 637억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42950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44350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43300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0.188238269</v>
      </c>
      <c r="AI21" s="24" t="n">
        <v>0.213529388</v>
      </c>
      <c r="AJ21" s="25" t="n"/>
      <c r="AK21" s="24" t="n">
        <v>0.218710024</v>
      </c>
      <c r="AL21" s="24" t="n">
        <v>0.198404074</v>
      </c>
      <c r="AM21" s="24" t="n">
        <v>0.17276707</v>
      </c>
      <c r="AN21" s="24" t="n">
        <v>0.17157815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0.185292151</v>
      </c>
      <c r="AI23" s="24" t="n">
        <v>0.185275427</v>
      </c>
      <c r="AJ23" s="25">
        <f>IFERROR(subQ!AJ9/subQ!AJ5,"")</f>
        <v/>
      </c>
      <c r="AK23" s="24" t="n">
        <v>0.185284258</v>
      </c>
      <c r="AL23" s="24" t="n">
        <v>0.185273467</v>
      </c>
      <c r="AM23" s="24" t="n">
        <v>0.185291754</v>
      </c>
      <c r="AN23" s="24" t="n">
        <v>0.185290315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-0.005567641</v>
      </c>
      <c r="AD30" s="30" t="n">
        <v>0.00374427</v>
      </c>
      <c r="AE30" s="31" t="n"/>
      <c r="AF30" s="30" t="n">
        <v>0.000287313</v>
      </c>
      <c r="AG30" s="30" t="n">
        <v>301.998488994</v>
      </c>
      <c r="AH30" s="30" t="n">
        <v>0.006376066</v>
      </c>
      <c r="AI30" s="30" t="n">
        <v>0.000144971</v>
      </c>
      <c r="AJ30" s="31" t="n"/>
      <c r="AK30" s="30" t="n">
        <v>-0.008339493999999999</v>
      </c>
      <c r="AL30" s="30" t="n">
        <v>302.009455289</v>
      </c>
      <c r="AM30" s="30" t="n">
        <v>0.006939519</v>
      </c>
      <c r="AN30" s="30" t="n">
        <v>-0.003552123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0.0007493689999999999</v>
      </c>
      <c r="AD31" s="30" t="n">
        <v>0.001270828</v>
      </c>
      <c r="AE31" s="31" t="n"/>
      <c r="AF31" s="30" t="n">
        <v>-0.002135079</v>
      </c>
      <c r="AG31" s="30" t="n">
        <v>302.015365189</v>
      </c>
      <c r="AH31" s="30" t="n">
        <v>0.003290522</v>
      </c>
      <c r="AI31" s="30" t="n">
        <v>-0.002744898</v>
      </c>
      <c r="AJ31" s="31" t="n"/>
      <c r="AK31" s="30" t="n">
        <v>0.008822557</v>
      </c>
      <c r="AL31" s="30" t="n">
        <v>302.005819446</v>
      </c>
      <c r="AM31" s="30" t="n">
        <v>0.013399169</v>
      </c>
      <c r="AN31" s="30" t="n">
        <v>0.003140433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0.08175147100000001</v>
      </c>
      <c r="AI34" s="24" t="n">
        <v>0.070821887</v>
      </c>
      <c r="AJ34" s="25" t="n"/>
      <c r="AK34" s="24" t="n">
        <v>0.064972972</v>
      </c>
      <c r="AL34" s="24" t="n">
        <v>-0.293197321</v>
      </c>
      <c r="AM34" s="24" t="n">
        <v>0.107426664</v>
      </c>
      <c r="AN34" s="24" t="n">
        <v>0.090693548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42950</v>
      </c>
      <c r="E42" s="2" t="inlineStr">
        <is>
          <t>원 — 네이버 정규장 종가(aik 확정종가 대조 · aik 43,350원)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0.1977996507872738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0.168323249783924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0.9999422143462516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0.03403720218194575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17.87</v>
      </c>
      <c r="AB34" s="19" t="n">
        <v>81.01000000000001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T38" s="18" t="n">
        <v>28.53</v>
      </c>
      <c r="U38" s="37" t="n">
        <v>28.53</v>
      </c>
      <c r="V38" s="18" t="n">
        <v>18.97</v>
      </c>
      <c r="W38" s="18" t="n">
        <v>13.05</v>
      </c>
      <c r="X38" s="18" t="n">
        <v>7.09</v>
      </c>
      <c r="Y38" s="18" t="n">
        <v>1.1</v>
      </c>
      <c r="Z38" s="37" t="n">
        <v>1.1</v>
      </c>
      <c r="AA38" s="18" t="n">
        <v>17.87</v>
      </c>
      <c r="AB38" s="19" t="n">
        <v>81.01000000000001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T39" s="18" t="n">
        <v>28.53</v>
      </c>
      <c r="U39" s="37" t="n">
        <v>28.53</v>
      </c>
      <c r="V39" s="18" t="n">
        <v>18.97</v>
      </c>
      <c r="W39" s="18" t="n">
        <v>13.05</v>
      </c>
      <c r="X39" s="18" t="n">
        <v>7.09</v>
      </c>
      <c r="Y39" s="18" t="n">
        <v>1.1</v>
      </c>
      <c r="Z39" s="37" t="n">
        <v>1.1</v>
      </c>
      <c r="AA39" s="18" t="n">
        <v>4416.72</v>
      </c>
      <c r="AB39" s="19" t="n">
        <v>3132.46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115.58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19" t="n">
        <v>81.01000000000001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3132.46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11.67</v>
      </c>
    </row>
    <row r="32">
      <c r="C32" s="2" t="inlineStr">
        <is>
          <t>pbr_now</t>
        </is>
      </c>
      <c r="D32" t="n">
        <v>2.05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