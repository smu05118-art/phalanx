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BS연결!$C$5:$AO$95</definedName>
    <definedName name="BS별도H">BS별도!$C$1:$AO$1</definedName>
    <definedName name="BS별도">BS별도!$C$5:$AO$84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(1+-19.8%) — g=최근 4분기 합 YoY -19.8% 클립(−30~+50%), 연차별 절반 감쇠(가정)</t>
      </text>
    </comment>
    <comment ref="AD21" authorId="0" shapeId="0">
      <text>
        <t>모델값 역산(implied): v / 전년동기 − 1
전년동기 × (1+-19.8%) — g=최근 4분기 합 YoY -19.8% 클립(−30~+50%), 연차별 절반 감쇠(가정)</t>
      </text>
    </comment>
    <comment ref="AF21" authorId="0" shapeId="0">
      <text>
        <t>모델값 역산(implied): v / 전년동기 − 1
전년동기 × (1+-19.8%) — g=최근 4분기 합 YoY -19.8% 클립(−30~+50%), 연차별 절반 감쇠(가정)</t>
      </text>
    </comment>
    <comment ref="AG21" authorId="0" shapeId="0">
      <text>
        <t>모델값 역산(implied): v / 전년동기 − 1
전년동기 × (1+-19.8%) — g=최근 4분기 합 YoY -19.8% 클립(−30~+50%), 연차별 절반 감쇠(가정)</t>
      </text>
    </comment>
    <comment ref="AH21" authorId="0" shapeId="0">
      <text>
        <t>모델값 역산(implied): v / 전년동기 − 1
전년동기 × (1+-9.9%) — g=최근 4분기 합 YoY -19.8% 클립(−30~+50%), 연차별 절반 감쇠(가정)</t>
      </text>
    </comment>
    <comment ref="AI21" authorId="0" shapeId="0">
      <text>
        <t>모델값 역산(implied): v / 전년동기 − 1
전년동기 × (1+-9.9%) — g=최근 4분기 합 YoY -19.8% 클립(−30~+50%), 연차별 절반 감쇠(가정)</t>
      </text>
    </comment>
    <comment ref="AK21" authorId="0" shapeId="0">
      <text>
        <t>모델값 역산(implied): v / 전년동기 − 1
전년동기 × (1+-9.9%) — g=최근 4분기 합 YoY -19.8% 클립(−30~+50%), 연차별 절반 감쇠(가정)</t>
      </text>
    </comment>
    <comment ref="AL21" authorId="0" shapeId="0">
      <text>
        <t>모델값 역산(implied): v / 전년동기 − 1
전년동기 × (1+-9.9%) — g=최근 4분기 합 YoY -19.8% 클립(−30~+50%), 연차별 절반 감쇠(가정)</t>
      </text>
    </comment>
    <comment ref="AM21" authorId="0" shapeId="0">
      <text>
        <t>모델값 역산(implied): v / 전년동기 − 1
전년동기 × (1+-5.0%) — g=최근 4분기 합 YoY -19.8% 클립(−30~+50%), 연차별 절반 감쇠(가정)</t>
      </text>
    </comment>
    <comment ref="AN21" authorId="0" shapeId="0">
      <text>
        <t>모델값 역산(implied): v / 전년동기 − 1
전년동기 × (1+-5.0%) — g=최근 4분기 합 YoY -19.8% 클립(−30~+50%), 연차별 절반 감쇠(가정)</t>
      </text>
    </comment>
    <comment ref="AC22" authorId="0" shapeId="0">
      <text>
        <t>3절 스칼라 '판관비율' 참조 — 숫자로 덮어쓰면 이 분기만 바뀐다
매출액 × 판관비율 23.30%(최근 4분기 중위)</t>
      </text>
    </comment>
    <comment ref="AD22" authorId="0" shapeId="0">
      <text>
        <t>3절 스칼라 '판관비율' 참조 — 숫자로 덮어쓰면 이 분기만 바뀐다
매출액 × 판관비율 23.30%(최근 4분기 중위)</t>
      </text>
    </comment>
    <comment ref="AF22" authorId="0" shapeId="0">
      <text>
        <t>3절 스칼라 '판관비율' 참조 — 숫자로 덮어쓰면 이 분기만 바뀐다
매출액 × 판관비율 23.30%(최근 4분기 중위)</t>
      </text>
    </comment>
    <comment ref="AG22" authorId="0" shapeId="0">
      <text>
        <t>3절 스칼라 '판관비율' 참조 — 숫자로 덮어쓰면 이 분기만 바뀐다
매출액 × 판관비율 23.30%(최근 4분기 중위)</t>
      </text>
    </comment>
    <comment ref="AH22" authorId="0" shapeId="0">
      <text>
        <t>3절 스칼라 '판관비율' 참조 — 숫자로 덮어쓰면 이 분기만 바뀐다
매출액 × 판관비율 23.30%(최근 4분기 중위)</t>
      </text>
    </comment>
    <comment ref="AI22" authorId="0" shapeId="0">
      <text>
        <t>3절 스칼라 '판관비율' 참조 — 숫자로 덮어쓰면 이 분기만 바뀐다
매출액 × 판관비율 23.30%(최근 4분기 중위)</t>
      </text>
    </comment>
    <comment ref="AK22" authorId="0" shapeId="0">
      <text>
        <t>3절 스칼라 '판관비율' 참조 — 숫자로 덮어쓰면 이 분기만 바뀐다
매출액 × 판관비율 23.30%(최근 4분기 중위)</t>
      </text>
    </comment>
    <comment ref="AL22" authorId="0" shapeId="0">
      <text>
        <t>3절 스칼라 '판관비율' 참조 — 숫자로 덮어쓰면 이 분기만 바뀐다
매출액 × 판관비율 23.30%(최근 4분기 중위)</t>
      </text>
    </comment>
    <comment ref="AM22" authorId="0" shapeId="0">
      <text>
        <t>3절 스칼라 '판관비율' 참조 — 숫자로 덮어쓰면 이 분기만 바뀐다
매출액 × 판관비율 23.30%(최근 4분기 중위)</t>
      </text>
    </comment>
    <comment ref="AN22" authorId="0" shapeId="0">
      <text>
        <t>3절 스칼라 '판관비율' 참조 — 숫자로 덮어쓰면 이 분기만 바뀐다
매출액 × 판관비율 23.30%(최근 4분기 중위)</t>
      </text>
    </comment>
    <comment ref="AC23" authorId="0" shapeId="0">
      <text>
        <t>모델값 역산(implied): v / 매출액
매출액 × OPM(최근 8분기 OPM 중위 -3.8% 유지(클립 −20~40%))</t>
      </text>
    </comment>
    <comment ref="AD23" authorId="0" shapeId="0">
      <text>
        <t>모델값 역산(implied): v / 매출액
매출액 × OPM(최근 8분기 OPM 중위 -3.8% 유지(클립 −20~40%))</t>
      </text>
    </comment>
    <comment ref="AF23" authorId="0" shapeId="0">
      <text>
        <t>모델값 역산(implied): v / 매출액
매출액 × OPM(최근 8분기 OPM 중위 -3.8% 유지(클립 −20~40%))</t>
      </text>
    </comment>
    <comment ref="AG23" authorId="0" shapeId="0">
      <text>
        <t>모델값 역산(implied): v / 매출액
매출액 × OPM(최근 8분기 OPM 중위 -3.8% 유지(클립 −20~40%))</t>
      </text>
    </comment>
    <comment ref="AH23" authorId="0" shapeId="0">
      <text>
        <t>모델값 역산(implied): v / 매출액
매출액 × OPM(최근 8분기 OPM 중위 -3.8% 유지(클립 −20~40%))</t>
      </text>
    </comment>
    <comment ref="AI23" authorId="0" shapeId="0">
      <text>
        <t>모델값 역산(implied): v / 매출액
매출액 × OPM(최근 8분기 OPM 중위 -3.8% 유지(클립 −20~40%))</t>
      </text>
    </comment>
    <comment ref="AK23" authorId="0" shapeId="0">
      <text>
        <t>모델값 역산(implied): v / 매출액
매출액 × OPM(최근 8분기 OPM 중위 -3.8% 유지(클립 −20~40%))</t>
      </text>
    </comment>
    <comment ref="AL23" authorId="0" shapeId="0">
      <text>
        <t>모델값 역산(implied): v / 매출액
매출액 × OPM(최근 8분기 OPM 중위 -3.8% 유지(클립 −20~40%))</t>
      </text>
    </comment>
    <comment ref="AM23" authorId="0" shapeId="0">
      <text>
        <t>모델값 역산(implied): v / 매출액
매출액 × OPM(최근 8분기 OPM 중위 -3.8% 유지(클립 −20~40%))</t>
      </text>
    </comment>
    <comment ref="AN23" authorId="0" shapeId="0">
      <text>
        <t>모델값 역산(implied): v / 매출액
매출액 × OPM(최근 8분기 OPM 중위 -3.8%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D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F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G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H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I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K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L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M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N26" authorId="0" shapeId="0">
      <text>
        <t>모델값 역산(implied): v / 세전이익
max(세전, 0) × 세율 19.3%(최근 12분기 유효세율 58.1% 가 5~27% 밖 → 클립 대신 최근 8분기 중 세전 &gt; 0 인 5분기(2024Q3~2026Q2)의 법인세/세전 중위 19.3%)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20원 유지</t>
      </text>
    </comment>
    <comment ref="AI37" authorId="0" shapeId="0">
      <text>
        <t>모델값 역산(implied): 모델 v 그대로
직전 결산 DPS 20원 유지</t>
      </text>
    </comment>
    <comment ref="AN37" authorId="0" shapeId="0">
      <text>
        <t>모델값 역산(implied): 모델 v 그대로
직전 결산 DPS 20원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(1+-19.8%) — g=최근 4분기 합 YoY -19.8% 클립(−30~+50%), 연차별 절반 감쇠(가정)
[yoy]</t>
      </text>
    </comment>
    <comment ref="AD5" authorId="0" shapeId="0">
      <text>
        <t>추정: 전년동기 × (1+-19.8%) — g=최근 4분기 합 YoY -19.8% 클립(−30~+50%), 연차별 절반 감쇠(가정)
[yoy]</t>
      </text>
    </comment>
    <comment ref="AF5" authorId="0" shapeId="0">
      <text>
        <t>추정: 전년동기 × (1+-19.8%) — g=최근 4분기 합 YoY -19.8% 클립(−30~+50%), 연차별 절반 감쇠(가정)
[yoy]</t>
      </text>
    </comment>
    <comment ref="AG5" authorId="0" shapeId="0">
      <text>
        <t>추정: 전년동기 × (1+-19.8%) — g=최근 4분기 합 YoY -19.8% 클립(−30~+50%), 연차별 절반 감쇠(가정)
[yoy]</t>
      </text>
    </comment>
    <comment ref="AH5" authorId="0" shapeId="0">
      <text>
        <t>추정: 전년동기 × (1+-9.9%) — g=최근 4분기 합 YoY -19.8% 클립(−30~+50%), 연차별 절반 감쇠(가정)
[yoy]</t>
      </text>
    </comment>
    <comment ref="AI5" authorId="0" shapeId="0">
      <text>
        <t>추정: 전년동기 × (1+-9.9%) — g=최근 4분기 합 YoY -19.8% 클립(−30~+50%), 연차별 절반 감쇠(가정)
[yoy]</t>
      </text>
    </comment>
    <comment ref="AK5" authorId="0" shapeId="0">
      <text>
        <t>추정: 전년동기 × (1+-9.9%) — g=최근 4분기 합 YoY -19.8% 클립(−30~+50%), 연차별 절반 감쇠(가정)
[yoy]</t>
      </text>
    </comment>
    <comment ref="AL5" authorId="0" shapeId="0">
      <text>
        <t>추정: 전년동기 × (1+-9.9%) — g=최근 4분기 합 YoY -19.8% 클립(−30~+50%), 연차별 절반 감쇠(가정)
[yoy]</t>
      </text>
    </comment>
    <comment ref="AM5" authorId="0" shapeId="0">
      <text>
        <t>추정: 전년동기 × (1+-5.0%) — g=최근 4분기 합 YoY -19.8% 클립(−30~+50%), 연차별 절반 감쇠(가정)
[yoy]</t>
      </text>
    </comment>
    <comment ref="AN5" authorId="0" shapeId="0">
      <text>
        <t>추정: 전년동기 × (1+-5.0%) — g=최근 4분기 합 YoY -19.8%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23.30%(최근 4분기 중위)
[ratio]</t>
      </text>
    </comment>
    <comment ref="AD8" authorId="0" shapeId="0">
      <text>
        <t>추정: 매출액 × 판관비율 23.30%(최근 4분기 중위)
[ratio]</t>
      </text>
    </comment>
    <comment ref="AF8" authorId="0" shapeId="0">
      <text>
        <t>추정: 매출액 × 판관비율 23.30%(최근 4분기 중위)
[ratio]</t>
      </text>
    </comment>
    <comment ref="AG8" authorId="0" shapeId="0">
      <text>
        <t>추정: 매출액 × 판관비율 23.30%(최근 4분기 중위)
[ratio]</t>
      </text>
    </comment>
    <comment ref="AH8" authorId="0" shapeId="0">
      <text>
        <t>추정: 매출액 × 판관비율 23.30%(최근 4분기 중위)
[ratio]</t>
      </text>
    </comment>
    <comment ref="AI8" authorId="0" shapeId="0">
      <text>
        <t>추정: 매출액 × 판관비율 23.30%(최근 4분기 중위)
[ratio]</t>
      </text>
    </comment>
    <comment ref="AK8" authorId="0" shapeId="0">
      <text>
        <t>추정: 매출액 × 판관비율 23.30%(최근 4분기 중위)
[ratio]</t>
      </text>
    </comment>
    <comment ref="AL8" authorId="0" shapeId="0">
      <text>
        <t>추정: 매출액 × 판관비율 23.30%(최근 4분기 중위)
[ratio]</t>
      </text>
    </comment>
    <comment ref="AM8" authorId="0" shapeId="0">
      <text>
        <t>추정: 매출액 × 판관비율 23.30%(최근 4분기 중위)
[ratio]</t>
      </text>
    </comment>
    <comment ref="AN8" authorId="0" shapeId="0">
      <text>
        <t>추정: 매출액 × 판관비율 23.30%(최근 4분기 중위)
[ratio]</t>
      </text>
    </comment>
    <comment ref="AC9" authorId="0" shapeId="0">
      <text>
        <t>추정: 매출액 × OPM(최근 8분기 OPM 중위 -3.8% 유지(클립 −20~40%))
[ratio]</t>
      </text>
    </comment>
    <comment ref="AD9" authorId="0" shapeId="0">
      <text>
        <t>추정: 매출액 × OPM(최근 8분기 OPM 중위 -3.8% 유지(클립 −20~40%))
[ratio]</t>
      </text>
    </comment>
    <comment ref="AF9" authorId="0" shapeId="0">
      <text>
        <t>추정: 매출액 × OPM(최근 8분기 OPM 중위 -3.8% 유지(클립 −20~40%))
[ratio]</t>
      </text>
    </comment>
    <comment ref="AG9" authorId="0" shapeId="0">
      <text>
        <t>추정: 매출액 × OPM(최근 8분기 OPM 중위 -3.8% 유지(클립 −20~40%))
[ratio]</t>
      </text>
    </comment>
    <comment ref="AH9" authorId="0" shapeId="0">
      <text>
        <t>추정: 매출액 × OPM(최근 8분기 OPM 중위 -3.8% 유지(클립 −20~40%))
[ratio]</t>
      </text>
    </comment>
    <comment ref="AI9" authorId="0" shapeId="0">
      <text>
        <t>추정: 매출액 × OPM(최근 8분기 OPM 중위 -3.8% 유지(클립 −20~40%))
[ratio]</t>
      </text>
    </comment>
    <comment ref="AK9" authorId="0" shapeId="0">
      <text>
        <t>추정: 매출액 × OPM(최근 8분기 OPM 중위 -3.8% 유지(클립 −20~40%))
[ratio]</t>
      </text>
    </comment>
    <comment ref="AL9" authorId="0" shapeId="0">
      <text>
        <t>추정: 매출액 × OPM(최근 8분기 OPM 중위 -3.8% 유지(클립 −20~40%))
[ratio]</t>
      </text>
    </comment>
    <comment ref="AM9" authorId="0" shapeId="0">
      <text>
        <t>추정: 매출액 × OPM(최근 8분기 OPM 중위 -3.8% 유지(클립 −20~40%))
[ratio]</t>
      </text>
    </comment>
    <comment ref="AN9" authorId="0" shapeId="0">
      <text>
        <t>추정: 매출액 × OPM(최근 8분기 OPM 중위 -3.8% 유지(클립 −20~40%))
[ratio]</t>
      </text>
    </comment>
    <comment ref="AC10" authorId="0" shapeId="0">
      <text>
        <t>추정: 최근 8분기 OPM 중위 -3.8% 유지(클립 −20~40%)
[divide]</t>
      </text>
    </comment>
    <comment ref="AD10" authorId="0" shapeId="0">
      <text>
        <t>추정: 최근 8분기 OPM 중위 -3.8% 유지(클립 −20~40%)
[divide]</t>
      </text>
    </comment>
    <comment ref="AF10" authorId="0" shapeId="0">
      <text>
        <t>추정: 최근 8분기 OPM 중위 -3.8% 유지(클립 −20~40%)
[divide]</t>
      </text>
    </comment>
    <comment ref="AG10" authorId="0" shapeId="0">
      <text>
        <t>추정: 최근 8분기 OPM 중위 -3.8% 유지(클립 −20~40%)
[divide]</t>
      </text>
    </comment>
    <comment ref="AH10" authorId="0" shapeId="0">
      <text>
        <t>추정: 최근 8분기 OPM 중위 -3.8% 유지(클립 −20~40%)
[divide]</t>
      </text>
    </comment>
    <comment ref="AI10" authorId="0" shapeId="0">
      <text>
        <t>추정: 최근 8분기 OPM 중위 -3.8% 유지(클립 −20~40%)
[divide]</t>
      </text>
    </comment>
    <comment ref="AK10" authorId="0" shapeId="0">
      <text>
        <t>추정: 최근 8분기 OPM 중위 -3.8% 유지(클립 −20~40%)
[divide]</t>
      </text>
    </comment>
    <comment ref="AL10" authorId="0" shapeId="0">
      <text>
        <t>추정: 최근 8분기 OPM 중위 -3.8% 유지(클립 −20~40%)
[divide]</t>
      </text>
    </comment>
    <comment ref="AM10" authorId="0" shapeId="0">
      <text>
        <t>추정: 최근 8분기 OPM 중위 -3.8% 유지(클립 −20~40%)
[divide]</t>
      </text>
    </comment>
    <comment ref="AN10" authorId="0" shapeId="0">
      <text>
        <t>추정: 최근 8분기 OPM 중위 -3.8%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135억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131억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125억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123억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112억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107억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102억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100억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89억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85억 × 3.37%(주석 이자수익 ÷ 평균 이자발생자산(2025Q3~2026Q2)) − 총차입금 219억 × 2.36%(주석 이자비용 ÷ 평균 총차입금(2025Q3~2026Q2)) (연율) ÷ 4; 환율 효과는 환관련손익 행 별도
[identity]</t>
      </text>
    </comment>
    <comment ref="AC12" authorId="0" shapeId="0">
      <text>
        <t>추정: 이자발생자산 135억 × 3.37%(주석 이자수익 ÷ 평균 이자발생자산(2025Q3~2026Q2)) − 총차입금 219억 × 2.36%(주석 이자비용 ÷ 평균 총차입금(2025Q3~2026Q2)) (연율) ÷ 4
[interest]</t>
      </text>
    </comment>
    <comment ref="AD12" authorId="0" shapeId="0">
      <text>
        <t>추정: 이자발생자산 131억 × 3.37%(주석 이자수익 ÷ 평균 이자발생자산(2025Q3~2026Q2)) − 총차입금 219억 × 2.36%(주석 이자비용 ÷ 평균 총차입금(2025Q3~2026Q2)) (연율) ÷ 4
[interest]</t>
      </text>
    </comment>
    <comment ref="AF12" authorId="0" shapeId="0">
      <text>
        <t>추정: 이자발생자산 125억 × 3.37%(주석 이자수익 ÷ 평균 이자발생자산(2025Q3~2026Q2)) − 총차입금 219억 × 2.36%(주석 이자비용 ÷ 평균 총차입금(2025Q3~2026Q2)) (연율) ÷ 4
[interest]</t>
      </text>
    </comment>
    <comment ref="AG12" authorId="0" shapeId="0">
      <text>
        <t>추정: 이자발생자산 123억 × 3.37%(주석 이자수익 ÷ 평균 이자발생자산(2025Q3~2026Q2)) − 총차입금 219억 × 2.36%(주석 이자비용 ÷ 평균 총차입금(2025Q3~2026Q2)) (연율) ÷ 4
[interest]</t>
      </text>
    </comment>
    <comment ref="AH12" authorId="0" shapeId="0">
      <text>
        <t>추정: 이자발생자산 112억 × 3.37%(주석 이자수익 ÷ 평균 이자발생자산(2025Q3~2026Q2)) − 총차입금 219억 × 2.36%(주석 이자비용 ÷ 평균 총차입금(2025Q3~2026Q2)) (연율) ÷ 4
[interest]</t>
      </text>
    </comment>
    <comment ref="AI12" authorId="0" shapeId="0">
      <text>
        <t>추정: 이자발생자산 107억 × 3.37%(주석 이자수익 ÷ 평균 이자발생자산(2025Q3~2026Q2)) − 총차입금 219억 × 2.36%(주석 이자비용 ÷ 평균 총차입금(2025Q3~2026Q2)) (연율) ÷ 4
[interest]</t>
      </text>
    </comment>
    <comment ref="AK12" authorId="0" shapeId="0">
      <text>
        <t>추정: 이자발생자산 102억 × 3.37%(주석 이자수익 ÷ 평균 이자발생자산(2025Q3~2026Q2)) − 총차입금 219억 × 2.36%(주석 이자비용 ÷ 평균 총차입금(2025Q3~2026Q2)) (연율) ÷ 4
[interest]</t>
      </text>
    </comment>
    <comment ref="AL12" authorId="0" shapeId="0">
      <text>
        <t>추정: 이자발생자산 100억 × 3.37%(주석 이자수익 ÷ 평균 이자발생자산(2025Q3~2026Q2)) − 총차입금 219억 × 2.36%(주석 이자비용 ÷ 평균 총차입금(2025Q3~2026Q2)) (연율) ÷ 4
[interest]</t>
      </text>
    </comment>
    <comment ref="AM12" authorId="0" shapeId="0">
      <text>
        <t>추정: 이자발생자산 89억 × 3.37%(주석 이자수익 ÷ 평균 이자발생자산(2025Q3~2026Q2)) − 총차입금 219억 × 2.36%(주석 이자비용 ÷ 평균 총차입금(2025Q3~2026Q2)) (연율) ÷ 4
[interest]</t>
      </text>
    </comment>
    <comment ref="AN12" authorId="0" shapeId="0">
      <text>
        <t>추정: 이자발생자산 85억 × 3.37%(주석 이자수익 ÷ 평균 이자발생자산(2025Q3~2026Q2)) − 총차입금 219억 × 2.36%(주석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D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F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G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H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I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K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L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M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N16" authorId="0" shapeId="0">
      <text>
        <t>추정: max(세전, 0) × 세율 19.3%(최근 12분기 유효세율 58.1% 가 5~27% 밖 → 클립 대신 최근 8분기 중 세전 &gt; 0 인 5분기(2024Q3~2026Q2)의 법인세/세전 중위 19.3%)
[ratio]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AF19" authorId="0" shapeId="0">
      <text>
        <t>추정: 부채총계 + 자본총계(항등식)
[identity]</t>
      </text>
    </comment>
    <comment ref="AG19" authorId="0" shapeId="0">
      <text>
        <t>추정: 부채총계 + 자본총계(항등식)
[identity]</t>
      </text>
    </comment>
    <comment ref="AH19" authorId="0" shapeId="0">
      <text>
        <t>추정: 부채총계 + 자본총계(항등식)
[identity]</t>
      </text>
    </comment>
    <comment ref="AI19" authorId="0" shapeId="0">
      <text>
        <t>추정: 부채총계 + 자본총계(항등식)
[identity]</t>
      </text>
    </comment>
    <comment ref="AK19" authorId="0" shapeId="0">
      <text>
        <t>추정: 부채총계 + 자본총계(항등식)
[identity]</t>
      </text>
    </comment>
    <comment ref="AL19" authorId="0" shapeId="0">
      <text>
        <t>추정: 부채총계 + 자본총계(항등식)
[identity]</t>
      </text>
    </comment>
    <comment ref="AM19" authorId="0" shapeId="0">
      <text>
        <t>추정: 부채총계 + 자본총계(항등식)
[identity]</t>
      </text>
    </comment>
    <comment ref="AN19" authorId="0" shapeId="0">
      <text>
        <t>추정: 부채총계 + 자본총계(항등식)
[identity]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AF20" authorId="0" shapeId="0">
      <text>
        <t>추정: 마지막 실적 유지(가정)
[qoq]</t>
      </text>
    </comment>
    <comment ref="AG20" authorId="0" shapeId="0">
      <text>
        <t>추정: 마지막 실적 유지(가정)
[qoq]</t>
      </text>
    </comment>
    <comment ref="AH20" authorId="0" shapeId="0">
      <text>
        <t>추정: 마지막 실적 유지(가정)
[qoq]</t>
      </text>
    </comment>
    <comment ref="AI20" authorId="0" shapeId="0">
      <text>
        <t>추정: 마지막 실적 유지(가정)
[qoq]</t>
      </text>
    </comment>
    <comment ref="AK20" authorId="0" shapeId="0">
      <text>
        <t>추정: 마지막 실적 유지(가정)
[qoq]</t>
      </text>
    </comment>
    <comment ref="AL20" authorId="0" shapeId="0">
      <text>
        <t>추정: 마지막 실적 유지(가정)
[qoq]</t>
      </text>
    </comment>
    <comment ref="AM20" authorId="0" shapeId="0">
      <text>
        <t>추정: 마지막 실적 유지(가정)
[qoq]</t>
      </text>
    </comment>
    <comment ref="AN20" authorId="0" shapeId="0">
      <text>
        <t>추정: 마지막 실적 유지(가정)
[qoq]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AF21" authorId="0" shapeId="0">
      <text>
        <t>추정: 전분기 + 당기순이익 − 배당(Q2 지급 가정)
[roll]</t>
      </text>
    </comment>
    <comment ref="AG21" authorId="0" shapeId="0">
      <text>
        <t>추정: 전분기 + 당기순이익 − 배당(Q2 지급 가정)
[roll]</t>
      </text>
    </comment>
    <comment ref="AH21" authorId="0" shapeId="0">
      <text>
        <t>추정: 전분기 + 당기순이익 − 배당(Q2 지급 가정)
[roll]</t>
      </text>
    </comment>
    <comment ref="AI21" authorId="0" shapeId="0">
      <text>
        <t>추정: 전분기 + 당기순이익 − 배당(Q2 지급 가정)
[roll]</t>
      </text>
    </comment>
    <comment ref="AK21" authorId="0" shapeId="0">
      <text>
        <t>추정: 전분기 + 당기순이익 − 배당(Q2 지급 가정)
[roll]</t>
      </text>
    </comment>
    <comment ref="AL21" authorId="0" shapeId="0">
      <text>
        <t>추정: 전분기 + 당기순이익 − 배당(Q2 지급 가정)
[roll]</t>
      </text>
    </comment>
    <comment ref="AM21" authorId="0" shapeId="0">
      <text>
        <t>추정: 전분기 + 당기순이익 − 배당(Q2 지급 가정)
[roll]</t>
      </text>
    </comment>
    <comment ref="AN21" authorId="0" shapeId="0">
      <text>
        <t>추정: 전분기 + 당기순이익 − 배당(Q2 지급 가정)
[roll]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AF22" authorId="0" shapeId="0">
      <text>
        <t>추정: 전분기 + 지배주주순이익 − 배당
[roll]</t>
      </text>
    </comment>
    <comment ref="AG22" authorId="0" shapeId="0">
      <text>
        <t>추정: 전분기 + 지배주주순이익 − 배당
[roll]</t>
      </text>
    </comment>
    <comment ref="AH22" authorId="0" shapeId="0">
      <text>
        <t>추정: 전분기 + 지배주주순이익 − 배당
[roll]</t>
      </text>
    </comment>
    <comment ref="AI22" authorId="0" shapeId="0">
      <text>
        <t>추정: 전분기 + 지배주주순이익 − 배당
[roll]</t>
      </text>
    </comment>
    <comment ref="AK22" authorId="0" shapeId="0">
      <text>
        <t>추정: 전분기 + 지배주주순이익 − 배당
[roll]</t>
      </text>
    </comment>
    <comment ref="AL22" authorId="0" shapeId="0">
      <text>
        <t>추정: 전분기 + 지배주주순이익 − 배당
[roll]</t>
      </text>
    </comment>
    <comment ref="AM22" authorId="0" shapeId="0">
      <text>
        <t>추정: 전분기 + 지배주주순이익 − 배당
[roll]</t>
      </text>
    </comment>
    <comment ref="AN22" authorId="0" shapeId="0">
      <text>
        <t>추정: 전분기 + 지배주주순이익 − 배당
[roll]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F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G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H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I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K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L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M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N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AF25" authorId="0" shapeId="0">
      <text>
        <t>추정: 전분기 + FCF 근사 — 순차입금 롤과 같은 가정
[qoq]</t>
      </text>
    </comment>
    <comment ref="AG25" authorId="0" shapeId="0">
      <text>
        <t>추정: 전분기 + FCF 근사 — 순차입금 롤과 같은 가정
[qoq]</t>
      </text>
    </comment>
    <comment ref="AH25" authorId="0" shapeId="0">
      <text>
        <t>추정: 전분기 + FCF 근사 — 순차입금 롤과 같은 가정
[qoq]</t>
      </text>
    </comment>
    <comment ref="AI25" authorId="0" shapeId="0">
      <text>
        <t>추정: 전분기 + FCF 근사 — 순차입금 롤과 같은 가정
[qoq]</t>
      </text>
    </comment>
    <comment ref="AK25" authorId="0" shapeId="0">
      <text>
        <t>추정: 전분기 + FCF 근사 — 순차입금 롤과 같은 가정
[qoq]</t>
      </text>
    </comment>
    <comment ref="AL25" authorId="0" shapeId="0">
      <text>
        <t>추정: 전분기 + FCF 근사 — 순차입금 롤과 같은 가정
[qoq]</t>
      </text>
    </comment>
    <comment ref="AM25" authorId="0" shapeId="0">
      <text>
        <t>추정: 전분기 + FCF 근사 — 순차입금 롤과 같은 가정
[qoq]</t>
      </text>
    </comment>
    <comment ref="AN25" authorId="0" shapeId="0">
      <text>
        <t>추정: 전분기 + FCF 근사 — 순차입금 롤과 같은 가정
[qoq]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20원 유지
[abs]</t>
      </text>
    </comment>
    <comment ref="AI31" authorId="0" shapeId="0">
      <text>
        <t>추정: 직전 결산 DPS 20원 유지
[abs]</t>
      </text>
    </comment>
    <comment ref="AN31" authorId="0" shapeId="0">
      <text>
        <t>추정: 직전 결산 DPS 20원 유지
[abs]</t>
      </text>
    </comment>
    <comment ref="AF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한신기계공업(011700)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19.30%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23.30%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3.36% / 부채 2.36% — 이자손익 = (전분기 이자발생자산 × 자산이자율 − 전분기 총차입금 × 부채이자율)/4, 최소자승 역산(모델 assumptions [0.0337, 0.0236]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PER 중위 58.2배가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assets/models/011700.json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금융손익 실적→추정 단절: 최근 4분기 실적 +6/+3/+1/+15(중위 +5억) → 추정 2026Q3 -0억(차 -5억, -103%)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39.9, "op_wape_pct": 99.1,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173.53, "rev_act": 137.05, "op_pred": -1.18, "op_act": 11.6}, {"q": "2025Q4", "rev_pred": 303.02, "rev_act": 165.06, "op_pred": -2.06, "op_act": -18.69}, {"q": "2026Q1", "rev_pred": 100.73, "rev_act": 75.62, "op_pred": -0.68, "op_act": -16.05}, {"q": "2026Q2", "rev_pred": 151.69, "rev_act": 143.5, "op_pred": -1.03, "op_act": 11.18}]}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3640</v>
      </c>
      <c r="F15" s="9" t="n"/>
      <c r="G15" s="18" t="n">
        <v>8240</v>
      </c>
      <c r="H15" s="18" t="n">
        <v>9450</v>
      </c>
      <c r="I15" s="18" t="n">
        <v>6320</v>
      </c>
      <c r="J15" s="18" t="n">
        <v>6400</v>
      </c>
      <c r="K15" s="9" t="n"/>
      <c r="L15" s="18" t="n">
        <v>6450</v>
      </c>
      <c r="M15" s="18" t="n">
        <v>5550</v>
      </c>
      <c r="N15" s="18" t="n">
        <v>4910</v>
      </c>
      <c r="O15" s="18" t="n">
        <v>4870</v>
      </c>
      <c r="P15" s="9" t="n"/>
      <c r="Q15" s="18" t="n">
        <v>4865</v>
      </c>
      <c r="R15" s="18" t="n">
        <v>4500</v>
      </c>
      <c r="S15" s="18" t="n">
        <v>3350</v>
      </c>
      <c r="T15" s="18" t="n">
        <v>2700</v>
      </c>
      <c r="U15" s="9" t="n"/>
      <c r="V15" s="18" t="n">
        <v>2735</v>
      </c>
      <c r="W15" s="18" t="n">
        <v>4135</v>
      </c>
      <c r="X15" s="18" t="n">
        <v>3360</v>
      </c>
      <c r="Y15" s="18" t="n">
        <v>3055</v>
      </c>
      <c r="Z15" s="9" t="n"/>
      <c r="AA15" s="18" t="n">
        <v>4265</v>
      </c>
      <c r="AB15" s="19" t="n">
        <v>2505</v>
      </c>
      <c r="AC15" s="20" t="n">
        <v>2455</v>
      </c>
      <c r="AD15" s="20" t="n">
        <v>2290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5180</v>
      </c>
      <c r="F16" s="9" t="n"/>
      <c r="G16" s="18" t="n">
        <v>9400</v>
      </c>
      <c r="H16" s="18" t="n">
        <v>14950</v>
      </c>
      <c r="I16" s="18" t="n">
        <v>10100</v>
      </c>
      <c r="J16" s="18" t="n">
        <v>8440</v>
      </c>
      <c r="K16" s="9" t="n"/>
      <c r="L16" s="18" t="n">
        <v>7640</v>
      </c>
      <c r="M16" s="18" t="n">
        <v>7490</v>
      </c>
      <c r="N16" s="18" t="n">
        <v>6410</v>
      </c>
      <c r="O16" s="18" t="n">
        <v>5480</v>
      </c>
      <c r="P16" s="9" t="n"/>
      <c r="Q16" s="18" t="n">
        <v>5950</v>
      </c>
      <c r="R16" s="18" t="n">
        <v>6170</v>
      </c>
      <c r="S16" s="18" t="n">
        <v>5400</v>
      </c>
      <c r="T16" s="18" t="n">
        <v>3975</v>
      </c>
      <c r="U16" s="9" t="n"/>
      <c r="V16" s="18" t="n">
        <v>3775</v>
      </c>
      <c r="W16" s="18" t="n">
        <v>5230</v>
      </c>
      <c r="X16" s="18" t="n">
        <v>4140</v>
      </c>
      <c r="Y16" s="18" t="n">
        <v>3895</v>
      </c>
      <c r="Z16" s="9" t="n"/>
      <c r="AA16" s="18" t="n">
        <v>5910</v>
      </c>
      <c r="AB16" s="19" t="n">
        <v>5880</v>
      </c>
      <c r="AC16" s="20" t="n">
        <v>2960</v>
      </c>
      <c r="AD16" s="20" t="n">
        <v>2850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2850</v>
      </c>
      <c r="F17" s="9" t="n"/>
      <c r="G17" s="18" t="n">
        <v>2995</v>
      </c>
      <c r="H17" s="18" t="n">
        <v>8370</v>
      </c>
      <c r="I17" s="18" t="n">
        <v>6100</v>
      </c>
      <c r="J17" s="18" t="n">
        <v>5690</v>
      </c>
      <c r="K17" s="9" t="n"/>
      <c r="L17" s="18" t="n">
        <v>5760</v>
      </c>
      <c r="M17" s="18" t="n">
        <v>5430</v>
      </c>
      <c r="N17" s="18" t="n">
        <v>4140</v>
      </c>
      <c r="O17" s="18" t="n">
        <v>3940</v>
      </c>
      <c r="P17" s="9" t="n"/>
      <c r="Q17" s="18" t="n">
        <v>4755</v>
      </c>
      <c r="R17" s="18" t="n">
        <v>4040</v>
      </c>
      <c r="S17" s="18" t="n">
        <v>3030</v>
      </c>
      <c r="T17" s="18" t="n">
        <v>2560</v>
      </c>
      <c r="U17" s="9" t="n"/>
      <c r="V17" s="18" t="n">
        <v>2685</v>
      </c>
      <c r="W17" s="18" t="n">
        <v>2360</v>
      </c>
      <c r="X17" s="18" t="n">
        <v>3165</v>
      </c>
      <c r="Y17" s="18" t="n">
        <v>2895</v>
      </c>
      <c r="Z17" s="9" t="n"/>
      <c r="AA17" s="18" t="n">
        <v>2965</v>
      </c>
      <c r="AB17" s="19" t="n">
        <v>2265</v>
      </c>
      <c r="AC17" s="20" t="n">
        <v>1767</v>
      </c>
      <c r="AD17" s="20" t="n">
        <v>2235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3906.9</v>
      </c>
      <c r="F18" s="9" t="n"/>
      <c r="G18" s="18" t="n">
        <v>4746.4</v>
      </c>
      <c r="H18" s="18" t="n">
        <v>10852.3</v>
      </c>
      <c r="I18" s="18" t="n">
        <v>8458.700000000001</v>
      </c>
      <c r="J18" s="18" t="n">
        <v>6960.5</v>
      </c>
      <c r="K18" s="9" t="n"/>
      <c r="L18" s="18" t="n">
        <v>6529.4</v>
      </c>
      <c r="M18" s="18" t="n">
        <v>6127.7</v>
      </c>
      <c r="N18" s="18" t="n">
        <v>4998.9</v>
      </c>
      <c r="O18" s="18" t="n">
        <v>4462.8</v>
      </c>
      <c r="P18" s="9" t="n"/>
      <c r="Q18" s="18" t="n">
        <v>5180.3</v>
      </c>
      <c r="R18" s="18" t="n">
        <v>4725.5</v>
      </c>
      <c r="S18" s="18" t="n">
        <v>3860.9</v>
      </c>
      <c r="T18" s="18" t="n">
        <v>3275.2</v>
      </c>
      <c r="U18" s="9" t="n"/>
      <c r="V18" s="18" t="n">
        <v>3154.1</v>
      </c>
      <c r="W18" s="18" t="n">
        <v>3239</v>
      </c>
      <c r="X18" s="18" t="n">
        <v>3631.2</v>
      </c>
      <c r="Y18" s="18" t="n">
        <v>3255</v>
      </c>
      <c r="Z18" s="9" t="n"/>
      <c r="AA18" s="18" t="n">
        <v>4289</v>
      </c>
      <c r="AB18" s="19" t="n">
        <v>3744.5</v>
      </c>
      <c r="AC18" s="20" t="n">
        <v>2421.5</v>
      </c>
      <c r="AD18" s="20" t="n">
        <v>2474.3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-0.198110489</v>
      </c>
      <c r="AD21" s="24" t="n">
        <v>-0.198103948</v>
      </c>
      <c r="AE21" s="25" t="n"/>
      <c r="AF21" s="24" t="n">
        <v>-0.198121192</v>
      </c>
      <c r="AG21" s="24" t="n">
        <v>-0.198096114</v>
      </c>
      <c r="AH21" s="24" t="n">
        <v>-0.099090082</v>
      </c>
      <c r="AI21" s="24" t="n">
        <v>-0.099048051</v>
      </c>
      <c r="AJ21" s="25" t="n"/>
      <c r="AK21" s="24" t="n">
        <v>-0.099109499</v>
      </c>
      <c r="AL21" s="24" t="n">
        <v>-0.09907013100000001</v>
      </c>
      <c r="AM21" s="24" t="n">
        <v>-0.049489951</v>
      </c>
      <c r="AN21" s="24" t="n">
        <v>-0.049559748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$D$48</f>
        <v/>
      </c>
      <c r="AD22" s="26">
        <f>$D$48</f>
        <v/>
      </c>
      <c r="AE22" s="25">
        <f>IFERROR(subQ!AE8/subQ!AE5,"")</f>
        <v/>
      </c>
      <c r="AF22" s="26">
        <f>$D$48</f>
        <v/>
      </c>
      <c r="AG22" s="26">
        <f>$D$48</f>
        <v/>
      </c>
      <c r="AH22" s="26">
        <f>$D$48</f>
        <v/>
      </c>
      <c r="AI22" s="26">
        <f>$D$48</f>
        <v/>
      </c>
      <c r="AJ22" s="25">
        <f>IFERROR(subQ!AJ8/subQ!AJ5,"")</f>
        <v/>
      </c>
      <c r="AK22" s="26">
        <f>$D$48</f>
        <v/>
      </c>
      <c r="AL22" s="26">
        <f>$D$48</f>
        <v/>
      </c>
      <c r="AM22" s="26">
        <f>$D$48</f>
        <v/>
      </c>
      <c r="AN22" s="26">
        <f>$D$48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-0.038307552</v>
      </c>
      <c r="AD23" s="24" t="n">
        <v>-0.038304624</v>
      </c>
      <c r="AE23" s="25">
        <f>IFERROR(subQ!AE9/subQ!AE5,"")</f>
        <v/>
      </c>
      <c r="AF23" s="24" t="n">
        <v>-0.038258575</v>
      </c>
      <c r="AG23" s="24" t="n">
        <v>-0.038324498</v>
      </c>
      <c r="AH23" s="24" t="n">
        <v>-0.038278962</v>
      </c>
      <c r="AI23" s="24" t="n">
        <v>-0.038322851</v>
      </c>
      <c r="AJ23" s="25">
        <f>IFERROR(subQ!AJ9/subQ!AJ5,"")</f>
        <v/>
      </c>
      <c r="AK23" s="24" t="n">
        <v>-0.038257368</v>
      </c>
      <c r="AL23" s="24" t="n">
        <v>-0.038294589</v>
      </c>
      <c r="AM23" s="24" t="n">
        <v>-0.038253108</v>
      </c>
      <c r="AN23" s="24" t="n">
        <v>-0.038291865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ratio</t>
        </is>
      </c>
      <c r="C26" t="inlineStr">
        <is>
          <t>법인세율(/세전)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4" t="n">
        <v>-0</v>
      </c>
      <c r="AD26" s="24" t="n">
        <v>-0</v>
      </c>
      <c r="AE26" s="25">
        <f>IFERROR(subQ!AE16/subQ!AE15,"")</f>
        <v/>
      </c>
      <c r="AF26" s="24" t="n">
        <v>-0</v>
      </c>
      <c r="AG26" s="24" t="n">
        <v>-0</v>
      </c>
      <c r="AH26" s="24" t="n">
        <v>-0</v>
      </c>
      <c r="AI26" s="24" t="n">
        <v>-0</v>
      </c>
      <c r="AJ26" s="25">
        <f>IFERROR(subQ!AJ16/subQ!AJ15,"")</f>
        <v/>
      </c>
      <c r="AK26" s="24" t="n">
        <v>-0</v>
      </c>
      <c r="AL26" s="24" t="n">
        <v>-0</v>
      </c>
      <c r="AM26" s="24" t="n">
        <v>-0</v>
      </c>
      <c r="AN26" s="24" t="n">
        <v>-0</v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$D$49</f>
        <v/>
      </c>
      <c r="AD27" s="26">
        <f>$D$49</f>
        <v/>
      </c>
      <c r="AE27" s="25">
        <f>IFERROR(subQ!AE18/subQ!AE17,"")</f>
        <v/>
      </c>
      <c r="AF27" s="26">
        <f>$D$49</f>
        <v/>
      </c>
      <c r="AG27" s="26">
        <f>$D$49</f>
        <v/>
      </c>
      <c r="AH27" s="26">
        <f>$D$49</f>
        <v/>
      </c>
      <c r="AI27" s="26">
        <f>$D$49</f>
        <v/>
      </c>
      <c r="AJ27" s="25">
        <f>IFERROR(subQ!AJ18/subQ!AJ17,"")</f>
        <v/>
      </c>
      <c r="AK27" s="26">
        <f>$D$49</f>
        <v/>
      </c>
      <c r="AL27" s="26">
        <f>$D$49</f>
        <v/>
      </c>
      <c r="AM27" s="26">
        <f>$D$49</f>
        <v/>
      </c>
      <c r="AN27" s="26">
        <f>$D$49</f>
        <v/>
      </c>
      <c r="AO27" s="25">
        <f>IFERROR(subQ!AO18/subQ!AO17,"")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1">
        <f>IFERROR(subQ!R20/subQ!Q20-1,"")</f>
        <v/>
      </c>
      <c r="S28" s="21">
        <f>IFERROR(subQ!S20/subQ!R20-1,"")</f>
        <v/>
      </c>
      <c r="T28" s="21">
        <f>IFERROR(subQ!T20/subQ!S20-1,"")</f>
        <v/>
      </c>
      <c r="U28" s="22" t="n"/>
      <c r="V28" s="21">
        <f>IFERROR(subQ!V20/subQ!T20-1,"")</f>
        <v/>
      </c>
      <c r="W28" s="21">
        <f>IFERROR(subQ!W20/subQ!V20-1,"")</f>
        <v/>
      </c>
      <c r="X28" s="21">
        <f>IFERROR(subQ!X20/subQ!W20-1,"")</f>
        <v/>
      </c>
      <c r="Y28" s="21">
        <f>IFERROR(subQ!Y20/subQ!X20-1,"")</f>
        <v/>
      </c>
      <c r="Z28" s="22" t="n"/>
      <c r="AA28" s="21">
        <f>IFERROR(subQ!AA20/subQ!Y20-1,"")</f>
        <v/>
      </c>
      <c r="AB28" s="23">
        <f>IFERROR(subQ!AB20/subQ!AA20-1,"")</f>
        <v/>
      </c>
      <c r="AC28" s="24" t="n">
        <v>-1.1729e-05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-0.003807554</v>
      </c>
      <c r="AD29" s="30" t="n">
        <v>-0.003857632</v>
      </c>
      <c r="AE29" s="31" t="n"/>
      <c r="AF29" s="30" t="n">
        <v>0.001929552</v>
      </c>
      <c r="AG29" s="30" t="n">
        <v>6.470411504</v>
      </c>
      <c r="AH29" s="30" t="n">
        <v>-0.003225667</v>
      </c>
      <c r="AI29" s="30" t="n">
        <v>-0.008024343999999999</v>
      </c>
      <c r="AJ29" s="31" t="n"/>
      <c r="AK29" s="30" t="n">
        <v>0.000368462</v>
      </c>
      <c r="AL29" s="30" t="n">
        <v>6.469186601</v>
      </c>
      <c r="AM29" s="30" t="n">
        <v>0.007650895</v>
      </c>
      <c r="AN29" s="30" t="n">
        <v>0.002768129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-0.004807554</v>
      </c>
      <c r="AD30" s="30" t="n">
        <v>-0.003857632</v>
      </c>
      <c r="AE30" s="31" t="n"/>
      <c r="AF30" s="30" t="n">
        <v>0.001929552</v>
      </c>
      <c r="AG30" s="30" t="n">
        <v>6.470411504</v>
      </c>
      <c r="AH30" s="30" t="n">
        <v>-0.003225667</v>
      </c>
      <c r="AI30" s="30" t="n">
        <v>-0.008024343999999999</v>
      </c>
      <c r="AJ30" s="31" t="n"/>
      <c r="AK30" s="30" t="n">
        <v>0.000368462</v>
      </c>
      <c r="AL30" s="30" t="n">
        <v>6.469186601</v>
      </c>
      <c r="AM30" s="30" t="n">
        <v>0.007650895</v>
      </c>
      <c r="AN30" s="30" t="n">
        <v>0.002768129</v>
      </c>
      <c r="AO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-1.9221e-05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0.035566994</v>
      </c>
      <c r="AD32" s="24" t="n">
        <v>0.041407542</v>
      </c>
      <c r="AE32" s="25" t="n"/>
      <c r="AF32" s="24" t="n">
        <v>0.019351425</v>
      </c>
      <c r="AG32" s="24" t="n">
        <v>0.08261030799999999</v>
      </c>
      <c r="AH32" s="24" t="n">
        <v>0.028358107</v>
      </c>
      <c r="AI32" s="24" t="n">
        <v>0.032971425</v>
      </c>
      <c r="AJ32" s="25" t="n"/>
      <c r="AK32" s="24" t="n">
        <v>0.016249678</v>
      </c>
      <c r="AL32" s="24" t="n">
        <v>0.069098985</v>
      </c>
      <c r="AM32" s="24" t="n">
        <v>0.024630542</v>
      </c>
      <c r="AN32" s="24" t="n">
        <v>0.02849861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-0.032340794</v>
      </c>
      <c r="AD33" s="24" t="n">
        <v>-0.040291076</v>
      </c>
      <c r="AE33" s="25" t="n"/>
      <c r="AF33" s="24" t="n">
        <v>-0.020432596</v>
      </c>
      <c r="AG33" s="24" t="n">
        <v>-0.090768353</v>
      </c>
      <c r="AH33" s="24" t="n">
        <v>-0.037100099</v>
      </c>
      <c r="AI33" s="24" t="n">
        <v>-0.046067939</v>
      </c>
      <c r="AJ33" s="25" t="n"/>
      <c r="AK33" s="24" t="n">
        <v>-0.024585366</v>
      </c>
      <c r="AL33" s="24" t="n">
        <v>-0.108921784</v>
      </c>
      <c r="AM33" s="24" t="n">
        <v>-0.046582108</v>
      </c>
      <c r="AN33" s="24" t="n">
        <v>-0.05792324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8">
        <f>subQ!F31</f>
        <v/>
      </c>
      <c r="G37" s="27">
        <f>subQ!G31</f>
        <v/>
      </c>
      <c r="H37" s="27">
        <f>subQ!H31</f>
        <v/>
      </c>
      <c r="I37" s="27">
        <f>subQ!I31</f>
        <v/>
      </c>
      <c r="J37" s="27">
        <f>subQ!J31</f>
        <v/>
      </c>
      <c r="K37" s="28">
        <f>subQ!K31</f>
        <v/>
      </c>
      <c r="L37" s="27">
        <f>subQ!L31</f>
        <v/>
      </c>
      <c r="M37" s="27">
        <f>subQ!M31</f>
        <v/>
      </c>
      <c r="N37" s="27">
        <f>subQ!N31</f>
        <v/>
      </c>
      <c r="O37" s="27">
        <f>subQ!O31</f>
        <v/>
      </c>
      <c r="P37" s="28">
        <f>subQ!P31</f>
        <v/>
      </c>
      <c r="Q37" s="27">
        <f>subQ!Q31</f>
        <v/>
      </c>
      <c r="R37" s="27">
        <f>subQ!R31</f>
        <v/>
      </c>
      <c r="S37" s="27">
        <f>subQ!S31</f>
        <v/>
      </c>
      <c r="T37" s="27">
        <f>subQ!T31</f>
        <v/>
      </c>
      <c r="U37" s="28">
        <f>subQ!U31</f>
        <v/>
      </c>
      <c r="V37" s="27">
        <f>subQ!V31</f>
        <v/>
      </c>
      <c r="W37" s="27">
        <f>subQ!W31</f>
        <v/>
      </c>
      <c r="X37" s="27">
        <f>subQ!X31</f>
        <v/>
      </c>
      <c r="Y37" s="27">
        <f>subQ!Y31</f>
        <v/>
      </c>
      <c r="Z37" s="28">
        <f>subQ!Z31</f>
        <v/>
      </c>
      <c r="AA37" s="27">
        <f>subQ!AA31</f>
        <v/>
      </c>
      <c r="AB37" s="29">
        <f>subQ!AB31</f>
        <v/>
      </c>
      <c r="AC37" s="33" t="n"/>
      <c r="AD37" s="30" t="n">
        <v>20</v>
      </c>
      <c r="AE37" s="31">
        <f>subQ!AE31</f>
        <v/>
      </c>
      <c r="AF37" s="33" t="n"/>
      <c r="AG37" s="33" t="n"/>
      <c r="AH37" s="33" t="n"/>
      <c r="AI37" s="30" t="n">
        <v>20</v>
      </c>
      <c r="AJ37" s="31">
        <f>subQ!AJ31</f>
        <v/>
      </c>
      <c r="AK37" s="33" t="n"/>
      <c r="AL37" s="33" t="n"/>
      <c r="AM37" s="33" t="n"/>
      <c r="AN37" s="30" t="n">
        <v>20</v>
      </c>
      <c r="AO37" s="31">
        <f>subQ!AO31</f>
        <v/>
      </c>
    </row>
    <row r="38"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2290</v>
      </c>
      <c r="E40" s="2" t="inlineStr">
        <is>
          <t>원 — 네이버 정규장 종가(aik 확정종가 대조 · aik 2,495원)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20261013</t>
        </is>
      </c>
      <c r="E41" s="2" t="inlineStr">
        <is>
          <t>종가 기준일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</v>
      </c>
      <c r="E43" s="2" t="inlineStr">
        <is>
          <t>PER 밴드 하단(배) — sector_default(레퍼런스 TP_PE PB 예시 10/15/20배; 과거 PER 중위 58.2배가 3~40 밖(턴어라운드 왜곡))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15</v>
      </c>
      <c r="E44" s="2" t="inlineStr">
        <is>
          <t>PER 밴드 중단(배)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20</v>
      </c>
      <c r="E45" s="2" t="inlineStr">
        <is>
          <t>PER 밴드 상단(배)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0.193</v>
      </c>
      <c r="E47" s="2" t="inlineStr">
        <is>
          <t>참고(연결 안 됨: MAX(세전,0)×단일 세율로 재현 불가(지주 자회사 합산 등) → 분기별 역산) — 모델 assumptions 값 · 최근 12분기 유효세율 58.1% 가 5~27% 밖 → 클립 대신 최근 8분기 중 세전 &gt; 0 인 5분기(2024Q3~2026Q2)의 법인세/세전 중위 19.3%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0.232998662647957</v>
      </c>
      <c r="E48" s="2" t="inlineStr">
        <is>
          <t>연결 — 판관비 = 매출액 × 판관비율(역산, 재현 오차 ≤ 0.05억 · 모델 assumptions 0.233)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0.03362195070025463</v>
      </c>
      <c r="E50" s="2" t="inlineStr">
        <is>
          <t>연결 — 이자손익 = (전분기 이자발생자산 × 자산이자율 − 전분기 총차입금 × 부채이자율)/4(역산, 재현 오차 ≤ 0.05억 · 모델 assumptions 0.0337)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0.0236363372465433</v>
      </c>
      <c r="E51" s="2" t="inlineStr">
        <is>
          <t>연결 — 같은 수식의 부채 쪽(총차입금 행이 없으면 0)(역산, 재현 오차 ≤ 0.05억 · 모델 assumptions 0.0236)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/>
      <c r="E52" s="2" t="inlineStr">
        <is>
          <t>배당성향(참고 — 모델은 직전 DPS 유지·Q2 지급 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한신기계공업(연)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69346.21000000001</v>
      </c>
      <c r="F5" s="37" t="n">
        <v>69346.21000000001</v>
      </c>
      <c r="G5" s="18" t="n">
        <v>67268.14999999999</v>
      </c>
      <c r="H5" s="18" t="n">
        <v>72146.61</v>
      </c>
      <c r="I5" s="18" t="n">
        <v>76362.58</v>
      </c>
      <c r="J5" s="18" t="n">
        <v>68795.50999999999</v>
      </c>
      <c r="K5" s="37" t="n">
        <v>68795.50999999999</v>
      </c>
      <c r="L5" s="18" t="n">
        <v>80482.57000000001</v>
      </c>
      <c r="M5" s="18" t="n">
        <v>73163.48</v>
      </c>
      <c r="N5" s="18" t="n">
        <v>74245.16</v>
      </c>
      <c r="O5" s="18" t="n">
        <v>67028.09</v>
      </c>
      <c r="P5" s="37" t="n">
        <v>67028.09</v>
      </c>
      <c r="Q5" s="18" t="n">
        <v>67082.78999999999</v>
      </c>
      <c r="R5" s="18" t="n">
        <v>70989.60000000001</v>
      </c>
      <c r="S5" s="18" t="n">
        <v>76974.63</v>
      </c>
      <c r="T5" s="18" t="n">
        <v>72877.25</v>
      </c>
      <c r="U5" s="37" t="n">
        <v>72877.25</v>
      </c>
      <c r="V5" s="18" t="n">
        <v>61910.08</v>
      </c>
      <c r="W5" s="18" t="n">
        <v>60003.52</v>
      </c>
      <c r="X5" s="18" t="n">
        <v>60502.46</v>
      </c>
      <c r="Y5" s="18" t="n">
        <v>55070.88</v>
      </c>
      <c r="Z5" s="37" t="n">
        <v>55070.88</v>
      </c>
      <c r="AA5" s="18" t="n">
        <v>50804.8</v>
      </c>
      <c r="AB5" s="19" t="n">
        <v>55398.57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9854.43</v>
      </c>
      <c r="F6" s="37" t="n">
        <v>9854.43</v>
      </c>
      <c r="G6" s="18" t="n">
        <v>7749.02</v>
      </c>
      <c r="H6" s="18" t="n">
        <v>8628.16</v>
      </c>
      <c r="I6" s="18" t="n">
        <v>18599.67</v>
      </c>
      <c r="J6" s="18" t="n">
        <v>15607.7</v>
      </c>
      <c r="K6" s="37" t="n">
        <v>15607.7</v>
      </c>
      <c r="L6" s="18" t="n">
        <v>16872.49</v>
      </c>
      <c r="M6" s="18" t="n">
        <v>10484.28</v>
      </c>
      <c r="N6" s="18" t="n">
        <v>8225.27</v>
      </c>
      <c r="O6" s="18" t="n">
        <v>8957.040000000001</v>
      </c>
      <c r="P6" s="37" t="n">
        <v>8957.040000000001</v>
      </c>
      <c r="Q6" s="18" t="n">
        <v>7049.78</v>
      </c>
      <c r="R6" s="18" t="n">
        <v>18474.78</v>
      </c>
      <c r="S6" s="18" t="n">
        <v>20872.14</v>
      </c>
      <c r="T6" s="18" t="n">
        <v>32815.56</v>
      </c>
      <c r="U6" s="37" t="n">
        <v>32815.56</v>
      </c>
      <c r="V6" s="18" t="n">
        <v>21293.64</v>
      </c>
      <c r="W6" s="18" t="n">
        <v>17663.54</v>
      </c>
      <c r="X6" s="18" t="n">
        <v>12974.02</v>
      </c>
      <c r="Y6" s="18" t="n">
        <v>17140.3</v>
      </c>
      <c r="Z6" s="37" t="n">
        <v>17140.3</v>
      </c>
      <c r="AA6" s="18" t="n">
        <v>11180.48</v>
      </c>
      <c r="AB6" s="19" t="n">
        <v>8525.98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7.82</v>
      </c>
      <c r="F7" s="37" t="n">
        <v>7.82</v>
      </c>
      <c r="G7" s="18" t="n">
        <v>8.18</v>
      </c>
      <c r="H7" s="18" t="n">
        <v>6.78</v>
      </c>
      <c r="I7" s="18" t="n">
        <v>7.24</v>
      </c>
      <c r="J7" s="18" t="n">
        <v>7.69</v>
      </c>
      <c r="K7" s="37" t="n">
        <v>7.69</v>
      </c>
      <c r="L7" s="18" t="n">
        <v>7.7</v>
      </c>
      <c r="M7" s="18" t="n">
        <v>266.78</v>
      </c>
      <c r="N7" s="18" t="n">
        <v>125.24</v>
      </c>
      <c r="O7" s="18" t="n">
        <v>18.24</v>
      </c>
      <c r="P7" s="37" t="n">
        <v>18.24</v>
      </c>
      <c r="Q7" s="18" t="n">
        <v>15.51</v>
      </c>
      <c r="R7" s="18" t="n">
        <v>428.83</v>
      </c>
      <c r="S7" s="18" t="n">
        <v>191.72</v>
      </c>
      <c r="T7" s="18" t="n">
        <v>147.95</v>
      </c>
      <c r="U7" s="37" t="n">
        <v>147.95</v>
      </c>
      <c r="V7" s="18" t="n">
        <v>94.56999999999999</v>
      </c>
      <c r="W7" s="18" t="n">
        <v>78.05</v>
      </c>
      <c r="X7" s="18" t="n">
        <v>81.53</v>
      </c>
      <c r="Y7" s="18" t="n">
        <v>83.98999999999999</v>
      </c>
      <c r="Z7" s="37" t="n">
        <v>83.98999999999999</v>
      </c>
      <c r="AA7" s="18" t="n">
        <v>54.5</v>
      </c>
      <c r="AB7" s="19" t="n">
        <v>59.07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3235.58</v>
      </c>
      <c r="F8" s="37" t="n">
        <v>3235.58</v>
      </c>
      <c r="G8" s="18" t="n">
        <v>2042.3</v>
      </c>
      <c r="H8" s="18" t="n">
        <v>7539.13</v>
      </c>
      <c r="I8" s="18" t="n">
        <v>23.46</v>
      </c>
      <c r="J8" s="18" t="n">
        <v>7.69</v>
      </c>
      <c r="K8" s="37" t="n">
        <v>7.69</v>
      </c>
      <c r="L8" s="18" t="n">
        <v>3509.95</v>
      </c>
      <c r="M8" s="18" t="n">
        <v>4593.93</v>
      </c>
      <c r="N8" s="18" t="n">
        <v>125.24</v>
      </c>
      <c r="O8" s="18" t="n">
        <v>18.24</v>
      </c>
      <c r="P8" s="37" t="n">
        <v>18.24</v>
      </c>
      <c r="Q8" s="18" t="n">
        <v>15.51</v>
      </c>
      <c r="R8" s="18" t="n">
        <v>428.83</v>
      </c>
      <c r="S8" s="18" t="n">
        <v>191.72</v>
      </c>
      <c r="T8" s="18" t="n">
        <v>3272.15</v>
      </c>
      <c r="U8" s="37" t="n">
        <v>3272.15</v>
      </c>
      <c r="V8" s="18" t="n">
        <v>3036.97</v>
      </c>
      <c r="W8" s="18" t="n">
        <v>2360.89</v>
      </c>
      <c r="X8" s="18" t="n">
        <v>1235.37</v>
      </c>
      <c r="Y8" s="18" t="n">
        <v>994.48</v>
      </c>
      <c r="Z8" s="37" t="n">
        <v>994.48</v>
      </c>
      <c r="AA8" s="18" t="n">
        <v>404.05</v>
      </c>
      <c r="AB8" s="19" t="n">
        <v>1058.73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10219.93</v>
      </c>
      <c r="F9" s="37" t="n">
        <v>10219.93</v>
      </c>
      <c r="G9" s="18" t="n">
        <v>10871.41</v>
      </c>
      <c r="H9" s="18" t="n">
        <v>9295.809999999999</v>
      </c>
      <c r="I9" s="18" t="n">
        <v>9581.51</v>
      </c>
      <c r="J9" s="18" t="n">
        <v>9246.790000000001</v>
      </c>
      <c r="K9" s="37" t="n">
        <v>9246.790000000001</v>
      </c>
      <c r="L9" s="18" t="n">
        <v>9831.620000000001</v>
      </c>
      <c r="M9" s="18" t="n">
        <v>10620.17</v>
      </c>
      <c r="N9" s="18" t="n">
        <v>10383.19</v>
      </c>
      <c r="O9" s="18" t="n">
        <v>21056.56</v>
      </c>
      <c r="P9" s="37" t="n">
        <v>21056.56</v>
      </c>
      <c r="Q9" s="18" t="n">
        <v>23676.22</v>
      </c>
      <c r="R9" s="18" t="n">
        <v>14045.48</v>
      </c>
      <c r="S9" s="18" t="n">
        <v>15216.76</v>
      </c>
      <c r="T9" s="18" t="n">
        <v>526.25</v>
      </c>
      <c r="U9" s="37" t="n">
        <v>526.25</v>
      </c>
      <c r="V9" s="18" t="n">
        <v>4374.12</v>
      </c>
      <c r="W9" s="18" t="n">
        <v>7021.18</v>
      </c>
      <c r="X9" s="18" t="n">
        <v>9034.77</v>
      </c>
      <c r="Y9" s="18" t="n">
        <v>4439.93</v>
      </c>
      <c r="Z9" s="37" t="n">
        <v>4439.93</v>
      </c>
      <c r="AA9" s="18" t="n">
        <v>7693.21</v>
      </c>
      <c r="AB9" s="19" t="n">
        <v>10437.67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28205</v>
      </c>
      <c r="F10" s="37" t="n">
        <v>28205</v>
      </c>
      <c r="G10" s="18" t="n">
        <v>25350.72</v>
      </c>
      <c r="H10" s="18" t="n">
        <v>26056.56</v>
      </c>
      <c r="I10" s="18" t="n">
        <v>26305.71</v>
      </c>
      <c r="J10" s="18" t="n">
        <v>26123.98</v>
      </c>
      <c r="K10" s="37" t="n">
        <v>26123.98</v>
      </c>
      <c r="L10" s="18" t="n">
        <v>28840.98</v>
      </c>
      <c r="M10" s="18" t="n">
        <v>26957.11</v>
      </c>
      <c r="N10" s="18" t="n">
        <v>27305.72</v>
      </c>
      <c r="O10" s="18" t="n">
        <v>20976.55</v>
      </c>
      <c r="P10" s="37" t="n">
        <v>20976.55</v>
      </c>
      <c r="Q10" s="18" t="n">
        <v>19818.57</v>
      </c>
      <c r="R10" s="18" t="n">
        <v>18838.27</v>
      </c>
      <c r="S10" s="18" t="n">
        <v>20844.55</v>
      </c>
      <c r="T10" s="18" t="n">
        <v>21727.37</v>
      </c>
      <c r="U10" s="37" t="n">
        <v>21727.37</v>
      </c>
      <c r="V10" s="18" t="n">
        <v>15652.76</v>
      </c>
      <c r="W10" s="18" t="n">
        <v>16479.66</v>
      </c>
      <c r="X10" s="18" t="n">
        <v>18366.89</v>
      </c>
      <c r="Y10" s="18" t="n">
        <v>18885.1</v>
      </c>
      <c r="Z10" s="37" t="n">
        <v>18885.1</v>
      </c>
      <c r="AA10" s="18" t="n">
        <v>15409.77</v>
      </c>
      <c r="AB10" s="19" t="n">
        <v>16468.85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16867.71</v>
      </c>
      <c r="F11" s="37" t="n">
        <v>16867.71</v>
      </c>
      <c r="G11" s="18" t="n">
        <v>19418.62</v>
      </c>
      <c r="H11" s="18" t="n">
        <v>18903.37</v>
      </c>
      <c r="I11" s="18" t="n">
        <v>19629.27</v>
      </c>
      <c r="J11" s="18" t="n">
        <v>12752.34</v>
      </c>
      <c r="K11" s="37" t="n">
        <v>12752.34</v>
      </c>
      <c r="L11" s="18" t="n">
        <v>18907.64</v>
      </c>
      <c r="M11" s="18" t="n">
        <v>18478.48</v>
      </c>
      <c r="N11" s="18" t="n">
        <v>20149.39</v>
      </c>
      <c r="O11" s="18" t="n">
        <v>12885.1</v>
      </c>
      <c r="P11" s="37" t="n">
        <v>12885.1</v>
      </c>
      <c r="Q11" s="18" t="n">
        <v>13512.02</v>
      </c>
      <c r="R11" s="18" t="n">
        <v>17446.18</v>
      </c>
      <c r="S11" s="18" t="n">
        <v>16988.14</v>
      </c>
      <c r="T11" s="18" t="n">
        <v>12946.85</v>
      </c>
      <c r="U11" s="37" t="n">
        <v>12946.85</v>
      </c>
      <c r="V11" s="18" t="n">
        <v>15334.13</v>
      </c>
      <c r="W11" s="18" t="n">
        <v>14191.42</v>
      </c>
      <c r="X11" s="18" t="n">
        <v>16280.89</v>
      </c>
      <c r="Y11" s="18" t="n">
        <v>12174.6</v>
      </c>
      <c r="Z11" s="37" t="n">
        <v>12174.6</v>
      </c>
      <c r="AA11" s="18" t="n">
        <v>14533.53</v>
      </c>
      <c r="AB11" s="19" t="n">
        <v>16238.21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963.55</v>
      </c>
      <c r="F12" s="37" t="n">
        <v>963.55</v>
      </c>
      <c r="G12" s="18" t="n">
        <v>1836.1</v>
      </c>
      <c r="H12" s="18" t="n">
        <v>1723.57</v>
      </c>
      <c r="I12" s="18" t="n">
        <v>2222.97</v>
      </c>
      <c r="J12" s="18" t="n">
        <v>1554.76</v>
      </c>
      <c r="K12" s="37" t="n">
        <v>1554.76</v>
      </c>
      <c r="L12" s="18" t="n">
        <v>2519.9</v>
      </c>
      <c r="M12" s="18" t="n">
        <v>2029.5</v>
      </c>
      <c r="N12" s="18" t="n">
        <v>1916.25</v>
      </c>
      <c r="O12" s="18" t="n">
        <v>2915.06</v>
      </c>
      <c r="P12" s="37" t="n">
        <v>2915.06</v>
      </c>
      <c r="Q12" s="18" t="n">
        <v>2687.32</v>
      </c>
      <c r="R12" s="18" t="n">
        <v>1536.89</v>
      </c>
      <c r="S12" s="18" t="n">
        <v>2642.14</v>
      </c>
      <c r="T12" s="18" t="n">
        <v>1344.54</v>
      </c>
      <c r="U12" s="37" t="n">
        <v>1344.54</v>
      </c>
      <c r="V12" s="18" t="n">
        <v>688.85</v>
      </c>
      <c r="W12" s="18" t="n">
        <v>738.96</v>
      </c>
      <c r="X12" s="18" t="n">
        <v>1047.17</v>
      </c>
      <c r="Y12" s="18" t="n">
        <v>1417.27</v>
      </c>
      <c r="Z12" s="37" t="n">
        <v>1417.27</v>
      </c>
      <c r="AA12" s="18" t="n">
        <v>1546.71</v>
      </c>
      <c r="AB12" s="19" t="n">
        <v>1840.72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31802.81</v>
      </c>
      <c r="F13" s="37" t="n">
        <v>31802.81</v>
      </c>
      <c r="G13" s="18" t="n">
        <v>31762.93</v>
      </c>
      <c r="H13" s="18" t="n">
        <v>41433.42</v>
      </c>
      <c r="I13" s="18" t="n">
        <v>41298.57</v>
      </c>
      <c r="J13" s="18" t="n">
        <v>42985.98</v>
      </c>
      <c r="K13" s="37" t="n">
        <v>42985.98</v>
      </c>
      <c r="L13" s="18" t="n">
        <v>41826.29</v>
      </c>
      <c r="M13" s="18" t="n">
        <v>41438.44</v>
      </c>
      <c r="N13" s="18" t="n">
        <v>42402.36</v>
      </c>
      <c r="O13" s="18" t="n">
        <v>48827.45</v>
      </c>
      <c r="P13" s="37" t="n">
        <v>48827.45</v>
      </c>
      <c r="Q13" s="18" t="n">
        <v>49323.29</v>
      </c>
      <c r="R13" s="18" t="n">
        <v>48986.3</v>
      </c>
      <c r="S13" s="18" t="n">
        <v>48886.84</v>
      </c>
      <c r="T13" s="18" t="n">
        <v>53681.88</v>
      </c>
      <c r="U13" s="37" t="n">
        <v>53681.88</v>
      </c>
      <c r="V13" s="18" t="n">
        <v>56172.74</v>
      </c>
      <c r="W13" s="18" t="n">
        <v>56082.5</v>
      </c>
      <c r="X13" s="18" t="n">
        <v>67245.5</v>
      </c>
      <c r="Y13" s="18" t="n">
        <v>65098.19</v>
      </c>
      <c r="Z13" s="37" t="n">
        <v>65098.19</v>
      </c>
      <c r="AA13" s="18" t="n">
        <v>65883.17999999999</v>
      </c>
      <c r="AB13" s="19" t="n">
        <v>64470.16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18.25</v>
      </c>
      <c r="F14" s="37" t="n">
        <v>18.25</v>
      </c>
      <c r="G14" s="18" t="n">
        <v>19.91</v>
      </c>
      <c r="H14" s="18" t="n">
        <v>20.66</v>
      </c>
      <c r="I14" s="18" t="n">
        <v>21.56</v>
      </c>
      <c r="J14" s="18" t="n">
        <v>22.46</v>
      </c>
      <c r="K14" s="37" t="n">
        <v>22.46</v>
      </c>
      <c r="L14" s="18" t="n">
        <v>23.66</v>
      </c>
      <c r="M14" s="18" t="n">
        <v>12.43</v>
      </c>
      <c r="N14" s="18" t="n">
        <v>13.48</v>
      </c>
      <c r="O14" s="18" t="n">
        <v>9.800000000000001</v>
      </c>
      <c r="P14" s="37" t="n">
        <v>9.800000000000001</v>
      </c>
      <c r="Q14" s="18" t="n">
        <v>13.33</v>
      </c>
      <c r="R14" s="18" t="n">
        <v>14.05</v>
      </c>
      <c r="S14" s="18" t="n">
        <v>14.5</v>
      </c>
      <c r="T14" s="18" t="n">
        <v>16.95</v>
      </c>
      <c r="U14" s="37" t="n">
        <v>16.95</v>
      </c>
      <c r="V14" s="18" t="n">
        <v>17.48</v>
      </c>
      <c r="W14" s="18" t="n">
        <v>117.85</v>
      </c>
      <c r="X14" s="18" t="n">
        <v>118.31</v>
      </c>
      <c r="Y14" s="18" t="n">
        <v>118.71</v>
      </c>
      <c r="Z14" s="37" t="n">
        <v>118.71</v>
      </c>
      <c r="AA14" s="18" t="n">
        <v>119.22</v>
      </c>
      <c r="AB14" s="19" t="n">
        <v>3906.61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18.25</v>
      </c>
      <c r="F15" s="37" t="n">
        <v>18.25</v>
      </c>
      <c r="G15" s="18" t="n">
        <v>19.91</v>
      </c>
      <c r="H15" s="18" t="n">
        <v>20.66</v>
      </c>
      <c r="I15" s="18" t="n">
        <v>21.56</v>
      </c>
      <c r="J15" s="18" t="n">
        <v>22.46</v>
      </c>
      <c r="K15" s="37" t="n">
        <v>22.46</v>
      </c>
      <c r="L15" s="18" t="n">
        <v>23.66</v>
      </c>
      <c r="M15" s="18" t="n">
        <v>12.43</v>
      </c>
      <c r="N15" s="18" t="n">
        <v>13.48</v>
      </c>
      <c r="O15" s="18" t="n">
        <v>9.800000000000001</v>
      </c>
      <c r="P15" s="37" t="n">
        <v>9.800000000000001</v>
      </c>
      <c r="Q15" s="18" t="n">
        <v>13.33</v>
      </c>
      <c r="R15" s="18" t="n">
        <v>14.05</v>
      </c>
      <c r="S15" s="18" t="n">
        <v>14.5</v>
      </c>
      <c r="T15" s="18" t="n">
        <v>16.95</v>
      </c>
      <c r="U15" s="37" t="n">
        <v>16.95</v>
      </c>
      <c r="V15" s="18" t="n">
        <v>17.48</v>
      </c>
      <c r="W15" s="18" t="n">
        <v>117.85</v>
      </c>
      <c r="X15" s="18" t="n">
        <v>118.31</v>
      </c>
      <c r="Y15" s="18" t="n">
        <v>118.71</v>
      </c>
      <c r="Z15" s="37" t="n">
        <v>118.71</v>
      </c>
      <c r="AA15" s="18" t="n">
        <v>119.22</v>
      </c>
      <c r="AB15" s="19" t="n">
        <v>3906.61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733.38</v>
      </c>
      <c r="F16" s="37" t="n">
        <v>733.38</v>
      </c>
      <c r="G16" s="18" t="n">
        <v>794.23</v>
      </c>
      <c r="H16" s="18" t="n">
        <v>813.41</v>
      </c>
      <c r="I16" s="18" t="n">
        <v>825.8</v>
      </c>
      <c r="K16" s="9" t="n"/>
      <c r="L16" s="18" t="n">
        <v>881.16</v>
      </c>
      <c r="M16" s="18" t="n">
        <v>836.98</v>
      </c>
      <c r="N16" s="18" t="n">
        <v>823.53</v>
      </c>
      <c r="P16" s="9" t="n"/>
      <c r="U16" s="9" t="n"/>
      <c r="Z16" s="9" t="n"/>
      <c r="AB16" s="19" t="n">
        <v>1110.46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4093.44</v>
      </c>
      <c r="F17" s="37" t="n">
        <v>4093.44</v>
      </c>
      <c r="G17" s="18" t="n">
        <v>4070.09</v>
      </c>
      <c r="H17" s="18" t="n">
        <v>13742.86</v>
      </c>
      <c r="I17" s="18" t="n">
        <v>13709.75</v>
      </c>
      <c r="J17" s="18" t="n">
        <v>13676.64</v>
      </c>
      <c r="K17" s="37" t="n">
        <v>13676.64</v>
      </c>
      <c r="L17" s="18" t="n">
        <v>13646.79</v>
      </c>
      <c r="M17" s="18" t="n">
        <v>13580.22</v>
      </c>
      <c r="N17" s="18" t="n">
        <v>13585.58</v>
      </c>
      <c r="O17" s="18" t="n">
        <v>13544.21</v>
      </c>
      <c r="P17" s="37" t="n">
        <v>13544.21</v>
      </c>
      <c r="Q17" s="18" t="n">
        <v>13509.81</v>
      </c>
      <c r="R17" s="18" t="n">
        <v>13476.54</v>
      </c>
      <c r="S17" s="18" t="n">
        <v>13442.8</v>
      </c>
      <c r="T17" s="18" t="n">
        <v>13442.8</v>
      </c>
      <c r="U17" s="37" t="n">
        <v>13442.8</v>
      </c>
      <c r="V17" s="18" t="n">
        <v>13409.69</v>
      </c>
      <c r="W17" s="18" t="n">
        <v>13809.16</v>
      </c>
      <c r="X17" s="18" t="n">
        <v>13774.7</v>
      </c>
      <c r="Y17" s="18" t="n">
        <v>31026.91</v>
      </c>
      <c r="Z17" s="37" t="n">
        <v>31026.91</v>
      </c>
      <c r="AA17" s="18" t="n">
        <v>32645.35</v>
      </c>
      <c r="AB17" s="19" t="n">
        <v>32626.52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26370.3</v>
      </c>
      <c r="F18" s="37" t="n">
        <v>26370.3</v>
      </c>
      <c r="G18" s="18" t="n">
        <v>26270.38</v>
      </c>
      <c r="H18" s="18" t="n">
        <v>26232.08</v>
      </c>
      <c r="I18" s="18" t="n">
        <v>26018.07</v>
      </c>
      <c r="J18" s="18" t="n">
        <v>25488.4</v>
      </c>
      <c r="K18" s="37" t="n">
        <v>25488.4</v>
      </c>
      <c r="L18" s="18" t="n">
        <v>25516.5</v>
      </c>
      <c r="M18" s="18" t="n">
        <v>25607.9</v>
      </c>
      <c r="N18" s="18" t="n">
        <v>26749.66</v>
      </c>
      <c r="O18" s="18" t="n">
        <v>33084.92</v>
      </c>
      <c r="P18" s="37" t="n">
        <v>33084.92</v>
      </c>
      <c r="Q18" s="18" t="n">
        <v>33166.67</v>
      </c>
      <c r="R18" s="18" t="n">
        <v>33383.07</v>
      </c>
      <c r="S18" s="18" t="n">
        <v>33676.08</v>
      </c>
      <c r="T18" s="18" t="n">
        <v>33030.49</v>
      </c>
      <c r="U18" s="37" t="n">
        <v>33030.49</v>
      </c>
      <c r="V18" s="18" t="n">
        <v>33244.06</v>
      </c>
      <c r="W18" s="18" t="n">
        <v>32993.17</v>
      </c>
      <c r="X18" s="18" t="n">
        <v>44170.54</v>
      </c>
      <c r="Y18" s="18" t="n">
        <v>26786.27</v>
      </c>
      <c r="Z18" s="37" t="n">
        <v>26786.27</v>
      </c>
      <c r="AA18" s="18" t="n">
        <v>25880.76</v>
      </c>
      <c r="AB18" s="19" t="n">
        <v>25757.28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587.4400000000001</v>
      </c>
      <c r="F19" s="37" t="n">
        <v>587.4400000000001</v>
      </c>
      <c r="G19" s="18" t="n">
        <v>608.3200000000001</v>
      </c>
      <c r="H19" s="18" t="n">
        <v>624.42</v>
      </c>
      <c r="I19" s="18" t="n">
        <v>723.4</v>
      </c>
      <c r="J19" s="18" t="n">
        <v>999.15</v>
      </c>
      <c r="K19" s="37" t="n">
        <v>999.15</v>
      </c>
      <c r="L19" s="18" t="n">
        <v>991.23</v>
      </c>
      <c r="M19" s="18" t="n">
        <v>975.87</v>
      </c>
      <c r="O19" s="18" t="n">
        <v>900.17</v>
      </c>
      <c r="P19" s="37" t="n">
        <v>900.17</v>
      </c>
      <c r="Q19" s="18" t="n">
        <v>852.96</v>
      </c>
      <c r="R19" s="18" t="n">
        <v>1146.35</v>
      </c>
      <c r="S19" s="18" t="n">
        <v>828.3</v>
      </c>
      <c r="T19" s="18" t="n">
        <v>729.3099999999999</v>
      </c>
      <c r="U19" s="37" t="n">
        <v>729.3099999999999</v>
      </c>
      <c r="V19" s="18" t="n">
        <v>702.9400000000001</v>
      </c>
      <c r="W19" s="18" t="n">
        <v>695.34</v>
      </c>
      <c r="X19" s="18" t="n">
        <v>688.8099999999999</v>
      </c>
      <c r="Y19" s="18" t="n">
        <v>615.0700000000001</v>
      </c>
      <c r="Z19" s="37" t="n">
        <v>615.0700000000001</v>
      </c>
      <c r="AA19" s="18" t="n">
        <v>589.09</v>
      </c>
      <c r="AB19" s="19" t="n">
        <v>563.12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101149.02</v>
      </c>
      <c r="F20" s="37" t="n">
        <v>101149.02</v>
      </c>
      <c r="G20" s="18" t="n">
        <v>99031.09</v>
      </c>
      <c r="H20" s="18" t="n">
        <v>113580.03</v>
      </c>
      <c r="I20" s="18" t="n">
        <v>117661.16</v>
      </c>
      <c r="J20" s="18" t="n">
        <v>111781.49</v>
      </c>
      <c r="K20" s="37" t="n">
        <v>111781.49</v>
      </c>
      <c r="L20" s="18" t="n">
        <v>122308.86</v>
      </c>
      <c r="M20" s="18" t="n">
        <v>114601.92</v>
      </c>
      <c r="N20" s="18" t="n">
        <v>116647.51</v>
      </c>
      <c r="O20" s="18" t="n">
        <v>115855.54</v>
      </c>
      <c r="P20" s="37" t="n">
        <v>115855.54</v>
      </c>
      <c r="Q20" s="18" t="n">
        <v>116406.08</v>
      </c>
      <c r="R20" s="18" t="n">
        <v>119975.9</v>
      </c>
      <c r="S20" s="18" t="n">
        <v>125861.48</v>
      </c>
      <c r="T20" s="18" t="n">
        <v>126559.13</v>
      </c>
      <c r="U20" s="37" t="n">
        <v>126559.13</v>
      </c>
      <c r="V20" s="18" t="n">
        <v>118082.82</v>
      </c>
      <c r="W20" s="18" t="n">
        <v>116086.02</v>
      </c>
      <c r="X20" s="18" t="n">
        <v>127747.95</v>
      </c>
      <c r="Y20" s="18" t="n">
        <v>120169.07</v>
      </c>
      <c r="Z20" s="37" t="n">
        <v>120169.07</v>
      </c>
      <c r="AA20" s="18" t="n">
        <v>116687.98</v>
      </c>
      <c r="AB20" s="19" t="n">
        <v>119868.72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10890.43</v>
      </c>
      <c r="F21" s="37" t="n">
        <v>10890.43</v>
      </c>
      <c r="G21" s="18" t="n">
        <v>9775.809999999999</v>
      </c>
      <c r="H21" s="18" t="n">
        <v>11923.85</v>
      </c>
      <c r="I21" s="18" t="n">
        <v>14752.56</v>
      </c>
      <c r="J21" s="18" t="n">
        <v>21936.67</v>
      </c>
      <c r="K21" s="37" t="n">
        <v>21936.67</v>
      </c>
      <c r="L21" s="18" t="n">
        <v>25945.25</v>
      </c>
      <c r="M21" s="18" t="n">
        <v>21695.91</v>
      </c>
      <c r="N21" s="18" t="n">
        <v>21825.37</v>
      </c>
      <c r="O21" s="18" t="n">
        <v>14800.97</v>
      </c>
      <c r="P21" s="37" t="n">
        <v>14800.97</v>
      </c>
      <c r="Q21" s="18" t="n">
        <v>19207.76</v>
      </c>
      <c r="R21" s="18" t="n">
        <v>19686.23</v>
      </c>
      <c r="S21" s="18" t="n">
        <v>23790.5</v>
      </c>
      <c r="T21" s="18" t="n">
        <v>26595.44</v>
      </c>
      <c r="U21" s="37" t="n">
        <v>26595.44</v>
      </c>
      <c r="V21" s="18" t="n">
        <v>17750.88</v>
      </c>
      <c r="W21" s="18" t="n">
        <v>16141.81</v>
      </c>
      <c r="X21" s="18" t="n">
        <v>18585.79</v>
      </c>
      <c r="Y21" s="18" t="n">
        <v>24104.92</v>
      </c>
      <c r="Z21" s="37" t="n">
        <v>24104.92</v>
      </c>
      <c r="AA21" s="18" t="n">
        <v>22559.26</v>
      </c>
      <c r="AB21" s="19" t="n">
        <v>23422.25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7599.17</v>
      </c>
      <c r="F22" s="37" t="n">
        <v>7599.17</v>
      </c>
      <c r="G22" s="18" t="n">
        <v>6403.23</v>
      </c>
      <c r="H22" s="18" t="n">
        <v>5841.22</v>
      </c>
      <c r="I22" s="18" t="n">
        <v>5542.57</v>
      </c>
      <c r="J22" s="18" t="n">
        <v>7939.53</v>
      </c>
      <c r="K22" s="37" t="n">
        <v>7939.53</v>
      </c>
      <c r="L22" s="18" t="n">
        <v>12026.89</v>
      </c>
      <c r="M22" s="18" t="n">
        <v>6249.1</v>
      </c>
      <c r="N22" s="18" t="n">
        <v>12603.86</v>
      </c>
      <c r="O22" s="18" t="n">
        <v>5917.89</v>
      </c>
      <c r="P22" s="37" t="n">
        <v>5917.89</v>
      </c>
      <c r="Q22" s="18" t="n">
        <v>5639.84</v>
      </c>
      <c r="R22" s="18" t="n">
        <v>5236.76</v>
      </c>
      <c r="S22" s="18" t="n">
        <v>7961.26</v>
      </c>
      <c r="T22" s="18" t="n">
        <v>7299.6</v>
      </c>
      <c r="U22" s="37" t="n">
        <v>7299.6</v>
      </c>
      <c r="V22" s="18" t="n">
        <v>4314.26</v>
      </c>
      <c r="W22" s="18" t="n">
        <v>5372.66</v>
      </c>
      <c r="X22" s="18" t="n">
        <v>6032.67</v>
      </c>
      <c r="Y22" s="18" t="n">
        <v>7311.37</v>
      </c>
      <c r="Z22" s="37" t="n">
        <v>7311.37</v>
      </c>
      <c r="AA22" s="18" t="n">
        <v>5034.07</v>
      </c>
      <c r="AB22" s="19" t="n">
        <v>6511.6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230.28</v>
      </c>
      <c r="F23" s="37" t="n">
        <v>230.28</v>
      </c>
      <c r="G23" s="18" t="n">
        <v>280.63</v>
      </c>
      <c r="H23" s="18" t="n">
        <v>384.69</v>
      </c>
      <c r="I23" s="18" t="n">
        <v>3270.05</v>
      </c>
      <c r="J23" s="18" t="n">
        <v>6641.54</v>
      </c>
      <c r="K23" s="37" t="n">
        <v>6641.54</v>
      </c>
      <c r="L23" s="18" t="n">
        <v>6640.13</v>
      </c>
      <c r="M23" s="18" t="n">
        <v>9728.41</v>
      </c>
      <c r="N23" s="18" t="n">
        <v>1040.46</v>
      </c>
      <c r="O23" s="18" t="n">
        <v>7027.72</v>
      </c>
      <c r="P23" s="37" t="n">
        <v>7027.72</v>
      </c>
      <c r="Q23" s="18" t="n">
        <v>8952.370000000001</v>
      </c>
      <c r="R23" s="18" t="n">
        <v>8543.49</v>
      </c>
      <c r="S23" s="18" t="n">
        <v>8658.59</v>
      </c>
      <c r="T23" s="18" t="n">
        <v>12250.08</v>
      </c>
      <c r="U23" s="37" t="n">
        <v>12250.08</v>
      </c>
      <c r="V23" s="18" t="n">
        <v>9867.049999999999</v>
      </c>
      <c r="W23" s="18" t="n">
        <v>7988.32</v>
      </c>
      <c r="X23" s="18" t="n">
        <v>9813.309999999999</v>
      </c>
      <c r="Y23" s="18" t="n">
        <v>7826.07</v>
      </c>
      <c r="Z23" s="37" t="n">
        <v>7826.07</v>
      </c>
      <c r="AA23" s="18" t="n">
        <v>8455.190000000001</v>
      </c>
      <c r="AB23" s="19" t="n">
        <v>7571.72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당기법인세부채(미지급법인세)</t>
        </is>
      </c>
      <c r="E24" s="18" t="n">
        <v>891.71</v>
      </c>
      <c r="F24" s="37" t="n">
        <v>891.71</v>
      </c>
      <c r="G24" s="18" t="n">
        <v>500.39</v>
      </c>
      <c r="H24" s="18" t="n">
        <v>2497.93</v>
      </c>
      <c r="I24" s="18" t="n">
        <v>3721.85</v>
      </c>
      <c r="J24" s="18" t="n">
        <v>2322.73</v>
      </c>
      <c r="K24" s="37" t="n">
        <v>2322.73</v>
      </c>
      <c r="L24" s="18" t="n">
        <v>1287.65</v>
      </c>
      <c r="M24" s="18" t="n">
        <v>0</v>
      </c>
      <c r="N24" s="18" t="n">
        <v>0</v>
      </c>
      <c r="O24" s="18" t="n">
        <v>0.1</v>
      </c>
      <c r="P24" s="37" t="n">
        <v>0.1</v>
      </c>
      <c r="Q24" s="18" t="n">
        <v>0</v>
      </c>
      <c r="S24" s="18" t="n">
        <v>1.74</v>
      </c>
      <c r="T24" s="18" t="n">
        <v>2854.76</v>
      </c>
      <c r="U24" s="37" t="n">
        <v>2854.76</v>
      </c>
      <c r="V24" s="18" t="n">
        <v>650.25</v>
      </c>
      <c r="W24" s="18" t="n">
        <v>5.16</v>
      </c>
      <c r="X24" s="18" t="n">
        <v>-33.44</v>
      </c>
      <c r="Y24" s="18" t="n">
        <v>449.51</v>
      </c>
      <c r="Z24" s="37" t="n">
        <v>449.51</v>
      </c>
      <c r="AA24" s="18" t="n">
        <v>265.87</v>
      </c>
      <c r="AB24" s="19" t="n">
        <v>446.72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2169.27</v>
      </c>
      <c r="F25" s="37" t="n">
        <v>2169.27</v>
      </c>
      <c r="G25" s="18" t="n">
        <v>2591.56</v>
      </c>
      <c r="H25" s="18" t="n">
        <v>3200.01</v>
      </c>
      <c r="I25" s="18" t="n">
        <v>2218.08</v>
      </c>
      <c r="J25" s="18" t="n">
        <v>3782.86</v>
      </c>
      <c r="K25" s="37" t="n">
        <v>3782.86</v>
      </c>
      <c r="L25" s="18" t="n">
        <v>5990.59</v>
      </c>
      <c r="M25" s="18" t="n">
        <v>4818.4</v>
      </c>
      <c r="N25" s="18" t="n">
        <v>7281.04</v>
      </c>
      <c r="O25" s="18" t="n">
        <v>1855.26</v>
      </c>
      <c r="P25" s="37" t="n">
        <v>1855.26</v>
      </c>
      <c r="Q25" s="18" t="n">
        <v>4615.55</v>
      </c>
      <c r="R25" s="18" t="n">
        <v>5905.98</v>
      </c>
      <c r="S25" s="18" t="n">
        <v>7168.91</v>
      </c>
      <c r="T25" s="18" t="n">
        <v>509.05</v>
      </c>
      <c r="U25" s="37" t="n">
        <v>509.05</v>
      </c>
      <c r="V25" s="18" t="n">
        <v>490.49</v>
      </c>
      <c r="W25" s="18" t="n">
        <v>596.9400000000001</v>
      </c>
      <c r="X25" s="18" t="n">
        <v>732.46</v>
      </c>
      <c r="Y25" s="18" t="n">
        <v>974.25</v>
      </c>
      <c r="Z25" s="37" t="n">
        <v>974.25</v>
      </c>
      <c r="AA25" s="18" t="n">
        <v>547.42</v>
      </c>
      <c r="AB25" s="19" t="n">
        <v>461.2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비유동부채</t>
        </is>
      </c>
      <c r="E26" s="18" t="n">
        <v>4196.02</v>
      </c>
      <c r="F26" s="37" t="n">
        <v>4196.02</v>
      </c>
      <c r="G26" s="18" t="n">
        <v>4435.31</v>
      </c>
      <c r="H26" s="18" t="n">
        <v>5280.91</v>
      </c>
      <c r="I26" s="18" t="n">
        <v>5556.54</v>
      </c>
      <c r="J26" s="18" t="n">
        <v>838.66</v>
      </c>
      <c r="K26" s="37" t="n">
        <v>838.66</v>
      </c>
      <c r="L26" s="18" t="n">
        <v>2268.66</v>
      </c>
      <c r="M26" s="18" t="n">
        <v>1364.21</v>
      </c>
      <c r="N26" s="18" t="n">
        <v>1364.21</v>
      </c>
      <c r="O26" s="18" t="n">
        <v>8490.27</v>
      </c>
      <c r="P26" s="37" t="n">
        <v>8490.27</v>
      </c>
      <c r="Q26" s="18" t="n">
        <v>8138.33</v>
      </c>
      <c r="R26" s="18" t="n">
        <v>9094.209999999999</v>
      </c>
      <c r="S26" s="18" t="n">
        <v>9789.530000000001</v>
      </c>
      <c r="T26" s="18" t="n">
        <v>10368.13</v>
      </c>
      <c r="U26" s="37" t="n">
        <v>10368.13</v>
      </c>
      <c r="V26" s="18" t="n">
        <v>10983.87</v>
      </c>
      <c r="W26" s="18" t="n">
        <v>10451.04</v>
      </c>
      <c r="X26" s="18" t="n">
        <v>17703</v>
      </c>
      <c r="Y26" s="18" t="n">
        <v>8505.73</v>
      </c>
      <c r="Z26" s="37" t="n">
        <v>8505.73</v>
      </c>
      <c r="AA26" s="18" t="n">
        <v>8789.59</v>
      </c>
      <c r="AB26" s="19" t="n">
        <v>8977.129999999999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장기매입채무및기타채무</t>
        </is>
      </c>
      <c r="E27" s="18" t="n">
        <v>582.4</v>
      </c>
      <c r="F27" s="37" t="n">
        <v>582.4</v>
      </c>
      <c r="G27" s="18" t="n">
        <v>572.9</v>
      </c>
      <c r="H27" s="18" t="n">
        <v>811.77</v>
      </c>
      <c r="I27" s="18" t="n">
        <v>823.95</v>
      </c>
      <c r="J27" s="18" t="n">
        <v>830.46</v>
      </c>
      <c r="K27" s="37" t="n">
        <v>830.46</v>
      </c>
      <c r="L27" s="18" t="n">
        <v>1010.46</v>
      </c>
      <c r="M27" s="18" t="n">
        <v>1010.46</v>
      </c>
      <c r="N27" s="18" t="n">
        <v>1010.46</v>
      </c>
      <c r="O27" s="18" t="n">
        <v>909.96</v>
      </c>
      <c r="P27" s="37" t="n">
        <v>909.96</v>
      </c>
      <c r="Q27" s="18" t="n">
        <v>724.96</v>
      </c>
      <c r="R27" s="18" t="n">
        <v>1337.08</v>
      </c>
      <c r="S27" s="18" t="n">
        <v>1277.14</v>
      </c>
      <c r="T27" s="18" t="n">
        <v>1269.88</v>
      </c>
      <c r="U27" s="37" t="n">
        <v>1269.88</v>
      </c>
      <c r="V27" s="18" t="n">
        <v>1270.95</v>
      </c>
      <c r="W27" s="18" t="n">
        <v>1272.02</v>
      </c>
      <c r="X27" s="18" t="n">
        <v>1156.09</v>
      </c>
      <c r="Y27" s="18" t="n">
        <v>1232.68</v>
      </c>
      <c r="Z27" s="37" t="n">
        <v>1232.68</v>
      </c>
      <c r="AA27" s="18" t="n">
        <v>1228.99</v>
      </c>
      <c r="AB27" s="19" t="n">
        <v>1221.06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장기차입금</t>
        </is>
      </c>
      <c r="E28" s="18" t="n">
        <v>2750</v>
      </c>
      <c r="F28" s="37" t="n">
        <v>2750</v>
      </c>
      <c r="G28" s="18" t="n">
        <v>2750</v>
      </c>
      <c r="H28" s="18" t="n">
        <v>2750</v>
      </c>
      <c r="I28" s="18" t="n">
        <v>2750</v>
      </c>
      <c r="J28" s="18" t="n">
        <v>0</v>
      </c>
      <c r="K28" s="37" t="n">
        <v>0</v>
      </c>
      <c r="L28" s="18" t="n">
        <v>1250</v>
      </c>
      <c r="M28" s="18" t="n">
        <v>350</v>
      </c>
      <c r="N28" s="18" t="n">
        <v>350</v>
      </c>
      <c r="O28" s="18" t="n">
        <v>7580.31</v>
      </c>
      <c r="P28" s="37" t="n">
        <v>7580.31</v>
      </c>
      <c r="Q28" s="18" t="n">
        <v>7413.37</v>
      </c>
      <c r="R28" s="18" t="n">
        <v>7209.38</v>
      </c>
      <c r="S28" s="18" t="n">
        <v>7751.17</v>
      </c>
      <c r="T28" s="18" t="n">
        <v>7852.93</v>
      </c>
      <c r="U28" s="37" t="n">
        <v>7852.93</v>
      </c>
      <c r="V28" s="18" t="n">
        <v>8237.77</v>
      </c>
      <c r="W28" s="18" t="n">
        <v>7524.18</v>
      </c>
      <c r="X28" s="18" t="n">
        <v>14599.5</v>
      </c>
      <c r="Y28" s="18" t="n">
        <v>6515.17</v>
      </c>
      <c r="Z28" s="37" t="n">
        <v>6515.17</v>
      </c>
      <c r="AA28" s="18" t="n">
        <v>6722.4</v>
      </c>
      <c r="AB28" s="19" t="n">
        <v>6759.06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기타비유동부채</t>
        </is>
      </c>
      <c r="E29" s="18" t="n">
        <v>24.05</v>
      </c>
      <c r="F29" s="37" t="n">
        <v>24.05</v>
      </c>
      <c r="G29" s="18" t="n">
        <v>18.85</v>
      </c>
      <c r="H29" s="18" t="n">
        <v>13.61</v>
      </c>
      <c r="I29" s="18" t="n">
        <v>13.49</v>
      </c>
      <c r="J29" s="18" t="n">
        <v>8.199999999999999</v>
      </c>
      <c r="K29" s="37" t="n">
        <v>8.199999999999999</v>
      </c>
      <c r="L29" s="18" t="n">
        <v>8.199999999999999</v>
      </c>
      <c r="M29" s="18" t="n">
        <v>3.75</v>
      </c>
      <c r="N29" s="18" t="n">
        <v>3.75</v>
      </c>
      <c r="O29" s="18" t="n">
        <v>0</v>
      </c>
      <c r="P29" s="37" t="n">
        <v>0</v>
      </c>
      <c r="T29" s="18" t="n">
        <v>0</v>
      </c>
      <c r="U29" s="37" t="n">
        <v>0</v>
      </c>
      <c r="X29" s="18" t="n">
        <v>114.1</v>
      </c>
      <c r="Y29" s="18" t="n">
        <v>104.66</v>
      </c>
      <c r="Z29" s="37" t="n">
        <v>104.66</v>
      </c>
      <c r="AA29" s="18" t="n">
        <v>95.09</v>
      </c>
      <c r="AB29" s="19" t="n">
        <v>85.41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803.23</v>
      </c>
      <c r="F30" s="37" t="n">
        <v>803.23</v>
      </c>
      <c r="G30" s="18" t="n">
        <v>803.23</v>
      </c>
      <c r="H30" s="18" t="n">
        <v>1171.72</v>
      </c>
      <c r="I30" s="18" t="n">
        <v>1171.72</v>
      </c>
      <c r="J30" s="18" t="n">
        <v>0</v>
      </c>
      <c r="K30" s="37" t="n">
        <v>0</v>
      </c>
      <c r="L30" s="18" t="n">
        <v>0</v>
      </c>
      <c r="O30" s="18" t="n">
        <v>0</v>
      </c>
      <c r="P30" s="37" t="n">
        <v>0</v>
      </c>
      <c r="R30" s="18" t="n">
        <v>547.75</v>
      </c>
      <c r="S30" s="18" t="n">
        <v>547.75</v>
      </c>
      <c r="T30" s="18" t="n">
        <v>0</v>
      </c>
      <c r="U30" s="37" t="n">
        <v>0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부채총계</t>
        </is>
      </c>
      <c r="E31" s="18" t="n">
        <v>15086.45</v>
      </c>
      <c r="F31" s="37" t="n">
        <v>15086.45</v>
      </c>
      <c r="G31" s="18" t="n">
        <v>14211.11</v>
      </c>
      <c r="H31" s="18" t="n">
        <v>17204.76</v>
      </c>
      <c r="I31" s="18" t="n">
        <v>20309.1</v>
      </c>
      <c r="J31" s="18" t="n">
        <v>22775.32</v>
      </c>
      <c r="K31" s="37" t="n">
        <v>22775.32</v>
      </c>
      <c r="L31" s="18" t="n">
        <v>28213.91</v>
      </c>
      <c r="M31" s="18" t="n">
        <v>23060.12</v>
      </c>
      <c r="N31" s="18" t="n">
        <v>23189.58</v>
      </c>
      <c r="O31" s="18" t="n">
        <v>23291.24</v>
      </c>
      <c r="P31" s="37" t="n">
        <v>23291.24</v>
      </c>
      <c r="Q31" s="18" t="n">
        <v>27346.09</v>
      </c>
      <c r="R31" s="18" t="n">
        <v>28780.44</v>
      </c>
      <c r="S31" s="18" t="n">
        <v>33580.03</v>
      </c>
      <c r="T31" s="18" t="n">
        <v>36963.57</v>
      </c>
      <c r="U31" s="37" t="n">
        <v>36963.57</v>
      </c>
      <c r="V31" s="18" t="n">
        <v>28734.75</v>
      </c>
      <c r="W31" s="18" t="n">
        <v>26592.85</v>
      </c>
      <c r="X31" s="18" t="n">
        <v>36288.79</v>
      </c>
      <c r="Y31" s="18" t="n">
        <v>32610.65</v>
      </c>
      <c r="Z31" s="37" t="n">
        <v>32610.65</v>
      </c>
      <c r="AA31" s="18" t="n">
        <v>31348.85</v>
      </c>
      <c r="AB31" s="19" t="n">
        <v>32399.38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지배주주지분</t>
        </is>
      </c>
      <c r="E32" s="18" t="n">
        <v>85929.86</v>
      </c>
      <c r="F32" s="37" t="n">
        <v>85929.86</v>
      </c>
      <c r="G32" s="18" t="n">
        <v>84686.56</v>
      </c>
      <c r="H32" s="18" t="n">
        <v>96241.94</v>
      </c>
      <c r="I32" s="18" t="n">
        <v>97218.7</v>
      </c>
      <c r="J32" s="18" t="n">
        <v>88872.56</v>
      </c>
      <c r="K32" s="37" t="n">
        <v>88872.56</v>
      </c>
      <c r="L32" s="18" t="n">
        <v>93961.10000000001</v>
      </c>
      <c r="M32" s="18" t="n">
        <v>91407.95</v>
      </c>
      <c r="N32" s="18" t="n">
        <v>93324.38</v>
      </c>
      <c r="O32" s="18" t="n">
        <v>92430.84</v>
      </c>
      <c r="P32" s="37" t="n">
        <v>92430.84</v>
      </c>
      <c r="Q32" s="18" t="n">
        <v>88926.37</v>
      </c>
      <c r="R32" s="18" t="n">
        <v>91060.61</v>
      </c>
      <c r="S32" s="18" t="n">
        <v>92146.62</v>
      </c>
      <c r="T32" s="18" t="n">
        <v>89460.78</v>
      </c>
      <c r="U32" s="37" t="n">
        <v>89460.78</v>
      </c>
      <c r="V32" s="18" t="n">
        <v>89213.21000000001</v>
      </c>
      <c r="W32" s="18" t="n">
        <v>89358.38</v>
      </c>
      <c r="X32" s="18" t="n">
        <v>91324.38</v>
      </c>
      <c r="Y32" s="18" t="n">
        <v>87423.67999999999</v>
      </c>
      <c r="Z32" s="37" t="n">
        <v>87423.67999999999</v>
      </c>
      <c r="AA32" s="18" t="n">
        <v>85203.87</v>
      </c>
      <c r="AB32" s="19" t="n">
        <v>87334.24000000001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자본금</t>
        </is>
      </c>
      <c r="E33" s="18" t="n">
        <v>16223.08</v>
      </c>
      <c r="F33" s="37" t="n">
        <v>16223.08</v>
      </c>
      <c r="G33" s="18" t="n">
        <v>16223.08</v>
      </c>
      <c r="H33" s="18" t="n">
        <v>16223.08</v>
      </c>
      <c r="I33" s="18" t="n">
        <v>16223.08</v>
      </c>
      <c r="J33" s="18" t="n">
        <v>16223.08</v>
      </c>
      <c r="K33" s="37" t="n">
        <v>16223.08</v>
      </c>
      <c r="L33" s="18" t="n">
        <v>16223.08</v>
      </c>
      <c r="M33" s="18" t="n">
        <v>16223.08</v>
      </c>
      <c r="N33" s="18" t="n">
        <v>16223.08</v>
      </c>
      <c r="O33" s="18" t="n">
        <v>16223.08</v>
      </c>
      <c r="P33" s="37" t="n">
        <v>16223.08</v>
      </c>
      <c r="Q33" s="18" t="n">
        <v>16223.08</v>
      </c>
      <c r="R33" s="18" t="n">
        <v>16223.08</v>
      </c>
      <c r="S33" s="18" t="n">
        <v>16223.08</v>
      </c>
      <c r="T33" s="18" t="n">
        <v>16223.08</v>
      </c>
      <c r="U33" s="37" t="n">
        <v>16223.08</v>
      </c>
      <c r="V33" s="18" t="n">
        <v>16223.08</v>
      </c>
      <c r="W33" s="18" t="n">
        <v>16223.08</v>
      </c>
      <c r="X33" s="18" t="n">
        <v>16223.08</v>
      </c>
      <c r="Y33" s="18" t="n">
        <v>16223.08</v>
      </c>
      <c r="Z33" s="37" t="n">
        <v>16223.08</v>
      </c>
      <c r="AA33" s="18" t="n">
        <v>16223.08</v>
      </c>
      <c r="AB33" s="19" t="n">
        <v>16223.08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자본잉여금</t>
        </is>
      </c>
      <c r="E34" s="18" t="n">
        <v>8439.1</v>
      </c>
      <c r="F34" s="37" t="n">
        <v>8439.1</v>
      </c>
      <c r="G34" s="18" t="n">
        <v>8439.1</v>
      </c>
      <c r="H34" s="18" t="n">
        <v>19275.7</v>
      </c>
      <c r="I34" s="18" t="n">
        <v>19275.7</v>
      </c>
      <c r="J34" s="18" t="n">
        <v>19275.7</v>
      </c>
      <c r="K34" s="37" t="n">
        <v>19275.7</v>
      </c>
      <c r="L34" s="18" t="n">
        <v>19275.7</v>
      </c>
      <c r="M34" s="18" t="n">
        <v>19275.7</v>
      </c>
      <c r="N34" s="18" t="n">
        <v>19275.7</v>
      </c>
      <c r="O34" s="18" t="n">
        <v>19275.7</v>
      </c>
      <c r="P34" s="37" t="n">
        <v>19275.7</v>
      </c>
      <c r="Q34" s="18" t="n">
        <v>19275.7</v>
      </c>
      <c r="R34" s="18" t="n">
        <v>19275.7</v>
      </c>
      <c r="S34" s="18" t="n">
        <v>19275.7</v>
      </c>
      <c r="T34" s="18" t="n">
        <v>19275.7</v>
      </c>
      <c r="U34" s="37" t="n">
        <v>19275.7</v>
      </c>
      <c r="V34" s="18" t="n">
        <v>19275.7</v>
      </c>
      <c r="W34" s="18" t="n">
        <v>19275.7</v>
      </c>
      <c r="X34" s="18" t="n">
        <v>19275.7</v>
      </c>
      <c r="Y34" s="18" t="n">
        <v>19275.7</v>
      </c>
      <c r="Z34" s="37" t="n">
        <v>19275.7</v>
      </c>
      <c r="AA34" s="18" t="n">
        <v>19275.7</v>
      </c>
      <c r="AB34" s="19" t="n">
        <v>19275.7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기타자본</t>
        </is>
      </c>
      <c r="E35" s="18" t="n">
        <v>-2088.3</v>
      </c>
      <c r="F35" s="37" t="n">
        <v>-2088.3</v>
      </c>
      <c r="G35" s="18" t="n">
        <v>-2062.54</v>
      </c>
      <c r="H35" s="18" t="n">
        <v>-463.96</v>
      </c>
      <c r="I35" s="18" t="n">
        <v>-437.62</v>
      </c>
      <c r="J35" s="18" t="n">
        <v>-411.29</v>
      </c>
      <c r="K35" s="37" t="n">
        <v>-411.29</v>
      </c>
      <c r="L35" s="18" t="n">
        <v>-385.53</v>
      </c>
      <c r="M35" s="18" t="n">
        <v>-941.1</v>
      </c>
      <c r="N35" s="18" t="n">
        <v>-941.1</v>
      </c>
      <c r="O35" s="18" t="n">
        <v>-386.1</v>
      </c>
      <c r="P35" s="37" t="n">
        <v>-386.1</v>
      </c>
      <c r="Q35" s="18" t="n">
        <v>-386.1</v>
      </c>
      <c r="R35" s="18" t="n">
        <v>-836.1</v>
      </c>
      <c r="S35" s="18" t="n">
        <v>-836.1</v>
      </c>
      <c r="T35" s="18" t="n">
        <v>-836.1</v>
      </c>
      <c r="U35" s="37" t="n">
        <v>-836.1</v>
      </c>
      <c r="V35" s="18" t="n">
        <v>-836.1</v>
      </c>
      <c r="W35" s="18" t="n">
        <v>-836.1</v>
      </c>
      <c r="X35" s="18" t="n">
        <v>-836.1</v>
      </c>
      <c r="Y35" s="18" t="n">
        <v>-836.1</v>
      </c>
      <c r="Z35" s="37" t="n">
        <v>-836.1</v>
      </c>
      <c r="AA35" s="18" t="n">
        <v>-836.1</v>
      </c>
      <c r="AB35" s="19" t="n">
        <v>-836.1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기타포괄이익누계액</t>
        </is>
      </c>
      <c r="E36" s="18" t="n">
        <v>845.6900000000001</v>
      </c>
      <c r="F36" s="37" t="n">
        <v>845.6900000000001</v>
      </c>
      <c r="G36" s="18" t="n">
        <v>911.73</v>
      </c>
      <c r="H36" s="18" t="n">
        <v>958.52</v>
      </c>
      <c r="I36" s="18" t="n">
        <v>1078.57</v>
      </c>
      <c r="J36" s="18" t="n">
        <v>792.1900000000001</v>
      </c>
      <c r="K36" s="37" t="n">
        <v>792.1900000000001</v>
      </c>
      <c r="L36" s="18" t="n">
        <v>909.21</v>
      </c>
      <c r="M36" s="18" t="n">
        <v>780.01</v>
      </c>
      <c r="N36" s="18" t="n">
        <v>827.47</v>
      </c>
      <c r="O36" s="18" t="n">
        <v>784.25</v>
      </c>
      <c r="P36" s="37" t="n">
        <v>784.25</v>
      </c>
      <c r="Q36" s="18" t="n">
        <v>852.91</v>
      </c>
      <c r="R36" s="18" t="n">
        <v>921.27</v>
      </c>
      <c r="S36" s="18" t="n">
        <v>887.46</v>
      </c>
      <c r="T36" s="18" t="n">
        <v>971.2</v>
      </c>
      <c r="U36" s="37" t="n">
        <v>971.2</v>
      </c>
      <c r="V36" s="18" t="n">
        <v>968.73</v>
      </c>
      <c r="W36" s="18" t="n">
        <v>891.91</v>
      </c>
      <c r="X36" s="18" t="n">
        <v>1014.47</v>
      </c>
      <c r="Y36" s="18" t="n">
        <v>680.3</v>
      </c>
      <c r="Z36" s="37" t="n">
        <v>680.3</v>
      </c>
      <c r="AA36" s="18" t="n">
        <v>610.46</v>
      </c>
      <c r="AB36" s="19" t="n">
        <v>593.65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이익잉여금</t>
        </is>
      </c>
      <c r="E37" s="18" t="n">
        <v>62510.3</v>
      </c>
      <c r="F37" s="37" t="n">
        <v>62510.3</v>
      </c>
      <c r="G37" s="18" t="n">
        <v>61175.19</v>
      </c>
      <c r="H37" s="18" t="n">
        <v>60248.59</v>
      </c>
      <c r="I37" s="18" t="n">
        <v>61078.98</v>
      </c>
      <c r="J37" s="18" t="n">
        <v>52992.88</v>
      </c>
      <c r="K37" s="37" t="n">
        <v>52992.88</v>
      </c>
      <c r="L37" s="18" t="n">
        <v>57938.64</v>
      </c>
      <c r="M37" s="18" t="n">
        <v>56070.27</v>
      </c>
      <c r="N37" s="18" t="n">
        <v>57939.23</v>
      </c>
      <c r="O37" s="18" t="n">
        <v>56533.91</v>
      </c>
      <c r="P37" s="37" t="n">
        <v>56533.91</v>
      </c>
      <c r="Q37" s="18" t="n">
        <v>52960.79</v>
      </c>
      <c r="R37" s="18" t="n">
        <v>55476.66</v>
      </c>
      <c r="S37" s="18" t="n">
        <v>56596.49</v>
      </c>
      <c r="T37" s="18" t="n">
        <v>53826.9</v>
      </c>
      <c r="U37" s="37" t="n">
        <v>53826.9</v>
      </c>
      <c r="V37" s="18" t="n">
        <v>53581.81</v>
      </c>
      <c r="W37" s="18" t="n">
        <v>53803.79</v>
      </c>
      <c r="X37" s="18" t="n">
        <v>55647.23</v>
      </c>
      <c r="Y37" s="18" t="n">
        <v>52080.71</v>
      </c>
      <c r="Z37" s="37" t="n">
        <v>52080.71</v>
      </c>
      <c r="AA37" s="18" t="n">
        <v>49930.74</v>
      </c>
      <c r="AB37" s="19" t="n">
        <v>52077.91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비지배주주지분</t>
        </is>
      </c>
      <c r="E38" s="18" t="n">
        <v>132.71</v>
      </c>
      <c r="F38" s="37" t="n">
        <v>132.71</v>
      </c>
      <c r="G38" s="18" t="n">
        <v>133.42</v>
      </c>
      <c r="H38" s="18" t="n">
        <v>133.34</v>
      </c>
      <c r="I38" s="18" t="n">
        <v>133.36</v>
      </c>
      <c r="J38" s="18" t="n">
        <v>133.61</v>
      </c>
      <c r="K38" s="37" t="n">
        <v>133.61</v>
      </c>
      <c r="L38" s="18" t="n">
        <v>133.85</v>
      </c>
      <c r="M38" s="18" t="n">
        <v>133.85</v>
      </c>
      <c r="N38" s="18" t="n">
        <v>133.55</v>
      </c>
      <c r="O38" s="18" t="n">
        <v>133.46</v>
      </c>
      <c r="P38" s="37" t="n">
        <v>133.46</v>
      </c>
      <c r="Q38" s="18" t="n">
        <v>133.62</v>
      </c>
      <c r="R38" s="18" t="n">
        <v>134.85</v>
      </c>
      <c r="S38" s="18" t="n">
        <v>134.82</v>
      </c>
      <c r="T38" s="18" t="n">
        <v>134.78</v>
      </c>
      <c r="U38" s="37" t="n">
        <v>134.78</v>
      </c>
      <c r="V38" s="18" t="n">
        <v>134.86</v>
      </c>
      <c r="W38" s="18" t="n">
        <v>134.78</v>
      </c>
      <c r="X38" s="18" t="n">
        <v>134.78</v>
      </c>
      <c r="Y38" s="18" t="n">
        <v>134.74</v>
      </c>
      <c r="Z38" s="37" t="n">
        <v>134.74</v>
      </c>
      <c r="AA38" s="18" t="n">
        <v>135.25</v>
      </c>
      <c r="AB38" s="19" t="n">
        <v>135.1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자본총계</t>
        </is>
      </c>
      <c r="E39" s="18" t="n">
        <v>86062.57000000001</v>
      </c>
      <c r="F39" s="37" t="n">
        <v>86062.57000000001</v>
      </c>
      <c r="G39" s="18" t="n">
        <v>84819.97</v>
      </c>
      <c r="H39" s="18" t="n">
        <v>96375.28</v>
      </c>
      <c r="I39" s="18" t="n">
        <v>97352.06</v>
      </c>
      <c r="J39" s="18" t="n">
        <v>89006.17</v>
      </c>
      <c r="K39" s="37" t="n">
        <v>89006.17</v>
      </c>
      <c r="L39" s="18" t="n">
        <v>94094.95</v>
      </c>
      <c r="M39" s="18" t="n">
        <v>91541.8</v>
      </c>
      <c r="N39" s="18" t="n">
        <v>93457.92999999999</v>
      </c>
      <c r="O39" s="18" t="n">
        <v>92564.3</v>
      </c>
      <c r="P39" s="37" t="n">
        <v>92564.3</v>
      </c>
      <c r="Q39" s="18" t="n">
        <v>89059.99000000001</v>
      </c>
      <c r="R39" s="18" t="n">
        <v>91195.46000000001</v>
      </c>
      <c r="S39" s="18" t="n">
        <v>92281.44</v>
      </c>
      <c r="T39" s="18" t="n">
        <v>89595.56</v>
      </c>
      <c r="U39" s="37" t="n">
        <v>89595.56</v>
      </c>
      <c r="V39" s="18" t="n">
        <v>89348.07000000001</v>
      </c>
      <c r="W39" s="18" t="n">
        <v>89493.17</v>
      </c>
      <c r="X39" s="18" t="n">
        <v>91459.16</v>
      </c>
      <c r="Y39" s="18" t="n">
        <v>87558.42999999999</v>
      </c>
      <c r="Z39" s="37" t="n">
        <v>87558.42999999999</v>
      </c>
      <c r="AA39" s="18" t="n">
        <v>85339.13</v>
      </c>
      <c r="AB39" s="19" t="n">
        <v>87469.34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101149.02</v>
      </c>
      <c r="F40" s="37" t="n">
        <v>101149.02</v>
      </c>
      <c r="G40" s="18" t="n">
        <v>99031.09</v>
      </c>
      <c r="H40" s="18" t="n">
        <v>113580.03</v>
      </c>
      <c r="I40" s="18" t="n">
        <v>117661.16</v>
      </c>
      <c r="J40" s="18" t="n">
        <v>111781.49</v>
      </c>
      <c r="K40" s="37" t="n">
        <v>111781.49</v>
      </c>
      <c r="L40" s="18" t="n">
        <v>122308.86</v>
      </c>
      <c r="M40" s="18" t="n">
        <v>114601.92</v>
      </c>
      <c r="N40" s="18" t="n">
        <v>116647.51</v>
      </c>
      <c r="O40" s="18" t="n">
        <v>115855.54</v>
      </c>
      <c r="P40" s="37" t="n">
        <v>115855.54</v>
      </c>
      <c r="Q40" s="18" t="n">
        <v>116406.08</v>
      </c>
      <c r="R40" s="18" t="n">
        <v>119975.9</v>
      </c>
      <c r="S40" s="18" t="n">
        <v>125861.48</v>
      </c>
      <c r="T40" s="18" t="n">
        <v>126559.13</v>
      </c>
      <c r="U40" s="37" t="n">
        <v>126559.13</v>
      </c>
      <c r="V40" s="18" t="n">
        <v>118082.82</v>
      </c>
      <c r="W40" s="18" t="n">
        <v>116086.02</v>
      </c>
      <c r="X40" s="18" t="n">
        <v>127747.95</v>
      </c>
      <c r="Y40" s="18" t="n">
        <v>120169.07</v>
      </c>
      <c r="Z40" s="37" t="n">
        <v>120169.07</v>
      </c>
      <c r="AA40" s="18" t="n">
        <v>116687.98</v>
      </c>
      <c r="AB40" s="19" t="n">
        <v>119868.72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총차입금</t>
        </is>
      </c>
      <c r="E41" s="18" t="n">
        <v>2980.28</v>
      </c>
      <c r="F41" s="37" t="n">
        <v>2980.28</v>
      </c>
      <c r="G41" s="18" t="n">
        <v>3030.63</v>
      </c>
      <c r="H41" s="18" t="n">
        <v>3134.69</v>
      </c>
      <c r="I41" s="18" t="n">
        <v>6020.05</v>
      </c>
      <c r="J41" s="18" t="n">
        <v>7891.54</v>
      </c>
      <c r="K41" s="37" t="n">
        <v>7891.54</v>
      </c>
      <c r="L41" s="18" t="n">
        <v>7890.13</v>
      </c>
      <c r="M41" s="18" t="n">
        <v>10978.41</v>
      </c>
      <c r="N41" s="18" t="n">
        <v>2290.46</v>
      </c>
      <c r="O41" s="18" t="n">
        <v>14608.03</v>
      </c>
      <c r="P41" s="37" t="n">
        <v>14608.03</v>
      </c>
      <c r="Q41" s="18" t="n">
        <v>16365.74</v>
      </c>
      <c r="R41" s="18" t="n">
        <v>15752.87</v>
      </c>
      <c r="S41" s="18" t="n">
        <v>16409.76</v>
      </c>
      <c r="T41" s="18" t="n">
        <v>20103.01</v>
      </c>
      <c r="U41" s="37" t="n">
        <v>20103.01</v>
      </c>
      <c r="V41" s="18" t="n">
        <v>18104.82</v>
      </c>
      <c r="W41" s="18" t="n">
        <v>16412.5</v>
      </c>
      <c r="X41" s="18" t="n">
        <v>24412.81</v>
      </c>
      <c r="Y41" s="18" t="n">
        <v>21590.52</v>
      </c>
      <c r="Z41" s="37" t="n">
        <v>21590.52</v>
      </c>
      <c r="AA41" s="18" t="n">
        <v>22656.76</v>
      </c>
      <c r="AB41" s="19" t="n">
        <v>21851.42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순차입금</t>
        </is>
      </c>
      <c r="E42" s="18" t="n">
        <v>-10109.73</v>
      </c>
      <c r="F42" s="37" t="n">
        <v>-10109.73</v>
      </c>
      <c r="G42" s="18" t="n">
        <v>-6760.69</v>
      </c>
      <c r="H42" s="18" t="n">
        <v>-13032.6</v>
      </c>
      <c r="I42" s="18" t="n">
        <v>-12603.08</v>
      </c>
      <c r="J42" s="18" t="n">
        <v>-7723.85</v>
      </c>
      <c r="K42" s="37" t="n">
        <v>-7723.85</v>
      </c>
      <c r="L42" s="18" t="n">
        <v>-12492.31</v>
      </c>
      <c r="M42" s="18" t="n">
        <v>-4099.8</v>
      </c>
      <c r="N42" s="18" t="n">
        <v>-6060.05</v>
      </c>
      <c r="O42" s="18" t="n">
        <v>5632.75</v>
      </c>
      <c r="P42" s="37" t="n">
        <v>5632.75</v>
      </c>
      <c r="Q42" s="18" t="n">
        <v>9300.450000000001</v>
      </c>
      <c r="R42" s="18" t="n">
        <v>-3150.74</v>
      </c>
      <c r="S42" s="18" t="n">
        <v>-4654.1</v>
      </c>
      <c r="T42" s="18" t="n">
        <v>-15984.7</v>
      </c>
      <c r="U42" s="37" t="n">
        <v>-15984.7</v>
      </c>
      <c r="V42" s="18" t="n">
        <v>-6225.79</v>
      </c>
      <c r="W42" s="18" t="n">
        <v>-3611.93</v>
      </c>
      <c r="X42" s="18" t="n">
        <v>10203.42</v>
      </c>
      <c r="Y42" s="18" t="n">
        <v>3455.74</v>
      </c>
      <c r="Z42" s="37" t="n">
        <v>3455.74</v>
      </c>
      <c r="AA42" s="18" t="n">
        <v>11072.23</v>
      </c>
      <c r="AB42" s="19" t="n">
        <v>12266.71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이자발생자산</t>
        </is>
      </c>
      <c r="E43" s="18" t="n">
        <v>13108.26</v>
      </c>
      <c r="F43" s="37" t="n">
        <v>13108.26</v>
      </c>
      <c r="G43" s="18" t="n">
        <v>9811.23</v>
      </c>
      <c r="H43" s="18" t="n">
        <v>16187.95</v>
      </c>
      <c r="I43" s="18" t="n">
        <v>18644.69</v>
      </c>
      <c r="J43" s="18" t="n">
        <v>15637.85</v>
      </c>
      <c r="K43" s="37" t="n">
        <v>15637.85</v>
      </c>
      <c r="L43" s="18" t="n">
        <v>20406.1</v>
      </c>
      <c r="M43" s="18" t="n">
        <v>15090.64</v>
      </c>
      <c r="N43" s="18" t="n">
        <v>8363.99</v>
      </c>
      <c r="O43" s="18" t="n">
        <v>8985.08</v>
      </c>
      <c r="P43" s="37" t="n">
        <v>8985.08</v>
      </c>
      <c r="Q43" s="18" t="n">
        <v>7078.62</v>
      </c>
      <c r="R43" s="18" t="n">
        <v>18917.66</v>
      </c>
      <c r="S43" s="18" t="n">
        <v>21078.36</v>
      </c>
      <c r="T43" s="18" t="n">
        <v>36104.66</v>
      </c>
      <c r="U43" s="37" t="n">
        <v>36104.66</v>
      </c>
      <c r="V43" s="18" t="n">
        <v>24348.09</v>
      </c>
      <c r="W43" s="18" t="n">
        <v>20142.28</v>
      </c>
      <c r="X43" s="18" t="n">
        <v>14327.7</v>
      </c>
      <c r="Y43" s="18" t="n">
        <v>18253.49</v>
      </c>
      <c r="Z43" s="37" t="n">
        <v>18253.49</v>
      </c>
      <c r="AA43" s="18" t="n">
        <v>11703.75</v>
      </c>
      <c r="AB43" s="19" t="n">
        <v>13491.32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기타비유동자산</t>
        </is>
      </c>
      <c r="F44" s="9" t="n"/>
      <c r="J44" s="18" t="n">
        <v>91.23999999999999</v>
      </c>
      <c r="K44" s="37" t="n">
        <v>91.23999999999999</v>
      </c>
      <c r="L44" s="18" t="n">
        <v>79.7</v>
      </c>
      <c r="M44" s="18" t="n">
        <v>64.55</v>
      </c>
      <c r="N44" s="18" t="n">
        <v>54.75</v>
      </c>
      <c r="O44" s="18" t="n">
        <v>49.71</v>
      </c>
      <c r="P44" s="37" t="n">
        <v>49.71</v>
      </c>
      <c r="Q44" s="18" t="n">
        <v>49.93</v>
      </c>
      <c r="R44" s="18" t="n">
        <v>64.03</v>
      </c>
      <c r="S44" s="18" t="n">
        <v>49.3</v>
      </c>
      <c r="T44" s="18" t="n">
        <v>9.039999999999999</v>
      </c>
      <c r="U44" s="37" t="n">
        <v>9.039999999999999</v>
      </c>
      <c r="V44" s="18" t="n">
        <v>51.97</v>
      </c>
      <c r="W44" s="18" t="n">
        <v>28.12</v>
      </c>
      <c r="X44" s="18" t="n">
        <v>64.94</v>
      </c>
      <c r="Y44" s="18" t="n">
        <v>46.81</v>
      </c>
      <c r="Z44" s="37" t="n">
        <v>46.81</v>
      </c>
      <c r="AA44" s="18" t="n">
        <v>45.51</v>
      </c>
      <c r="AB44" s="19" t="n">
        <v>42.97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이연법인세자산</t>
        </is>
      </c>
      <c r="F45" s="9" t="n"/>
      <c r="J45" s="18" t="n">
        <v>1123.84</v>
      </c>
      <c r="K45" s="37" t="n">
        <v>1123.84</v>
      </c>
      <c r="L45" s="18" t="n">
        <v>76.44</v>
      </c>
      <c r="M45" s="18" t="n">
        <v>76.08</v>
      </c>
      <c r="N45" s="18" t="n">
        <v>76.08</v>
      </c>
      <c r="O45" s="18" t="n">
        <v>239.4</v>
      </c>
      <c r="P45" s="37" t="n">
        <v>239.4</v>
      </c>
      <c r="Q45" s="18" t="n">
        <v>450.57</v>
      </c>
      <c r="S45" s="18" t="n">
        <v>0</v>
      </c>
      <c r="T45" s="18" t="n">
        <v>2242.04</v>
      </c>
      <c r="U45" s="37" t="n">
        <v>2242.04</v>
      </c>
      <c r="V45" s="18" t="n">
        <v>2242.04</v>
      </c>
      <c r="W45" s="18" t="n">
        <v>1936.1</v>
      </c>
      <c r="X45" s="18" t="n">
        <v>1936.1</v>
      </c>
      <c r="Y45" s="18" t="n">
        <v>621.14</v>
      </c>
      <c r="Z45" s="37" t="n">
        <v>621.14</v>
      </c>
      <c r="AA45" s="18" t="n">
        <v>479.03</v>
      </c>
      <c r="AB45" s="19" t="n">
        <v>463.2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유동성장기부채</t>
        </is>
      </c>
      <c r="F46" s="9" t="n"/>
      <c r="J46" s="18" t="n">
        <v>1250</v>
      </c>
      <c r="K46" s="37" t="n">
        <v>1250</v>
      </c>
      <c r="L46" s="18" t="n">
        <v>0</v>
      </c>
      <c r="M46" s="18" t="n">
        <v>900</v>
      </c>
      <c r="N46" s="18" t="n">
        <v>900</v>
      </c>
      <c r="O46" s="18" t="n">
        <v>0</v>
      </c>
      <c r="P46" s="37" t="n">
        <v>0</v>
      </c>
      <c r="T46" s="18" t="n">
        <v>0</v>
      </c>
      <c r="U46" s="37" t="n">
        <v>0</v>
      </c>
      <c r="W46" s="18" t="n">
        <v>900</v>
      </c>
      <c r="Y46" s="18" t="n">
        <v>7249.28</v>
      </c>
      <c r="Z46" s="37" t="n">
        <v>7249.28</v>
      </c>
      <c r="AA46" s="18" t="n">
        <v>7479.17</v>
      </c>
      <c r="AB46" s="19" t="n">
        <v>7520.64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장기금융부채(face)</t>
        </is>
      </c>
      <c r="F47" s="9" t="n"/>
      <c r="J47" s="18" t="n">
        <v>0</v>
      </c>
      <c r="K47" s="37" t="n">
        <v>0</v>
      </c>
      <c r="P47" s="9" t="n"/>
      <c r="U47" s="9" t="n"/>
      <c r="W47" s="18" t="n">
        <v>7524.18</v>
      </c>
      <c r="X47" s="18" t="n">
        <v>14599.5</v>
      </c>
      <c r="Y47" s="18" t="n">
        <v>6515.17</v>
      </c>
      <c r="Z47" s="37" t="n">
        <v>6515.17</v>
      </c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종속기업및관계기업투자</t>
        </is>
      </c>
      <c r="F48" s="9" t="n"/>
      <c r="K48" s="9" t="n"/>
      <c r="L48" s="18" t="n">
        <v>0</v>
      </c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유동확정계약자산</t>
        </is>
      </c>
      <c r="F49" s="9" t="n"/>
      <c r="K49" s="9" t="n"/>
      <c r="P49" s="9" t="n"/>
      <c r="T49" s="18" t="n">
        <v>3124.2</v>
      </c>
      <c r="U49" s="37" t="n">
        <v>3124.2</v>
      </c>
      <c r="V49" s="18" t="n">
        <v>2942.4</v>
      </c>
      <c r="W49" s="18" t="n">
        <v>2282.84</v>
      </c>
      <c r="X49" s="18" t="n">
        <v>1153.84</v>
      </c>
      <c r="Y49" s="18" t="n">
        <v>910.49</v>
      </c>
      <c r="Z49" s="37" t="n">
        <v>910.49</v>
      </c>
      <c r="AA49" s="18" t="n">
        <v>349.55</v>
      </c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당기법인세자산(선급법인세)</t>
        </is>
      </c>
      <c r="F50" s="9" t="n"/>
      <c r="K50" s="9" t="n"/>
      <c r="P50" s="9" t="n"/>
      <c r="T50" s="18" t="n">
        <v>1.62</v>
      </c>
      <c r="U50" s="37" t="n">
        <v>1.62</v>
      </c>
      <c r="V50" s="18" t="n">
        <v>29.12</v>
      </c>
      <c r="W50" s="18" t="n">
        <v>46.45</v>
      </c>
      <c r="X50" s="18" t="n">
        <v>61.94</v>
      </c>
      <c r="Y50" s="18" t="n">
        <v>19.22</v>
      </c>
      <c r="Z50" s="37" t="n">
        <v>19.22</v>
      </c>
      <c r="AA50" s="18" t="n">
        <v>37.05</v>
      </c>
      <c r="AB50" s="19" t="n">
        <v>21.82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단기파생상품부채</t>
        </is>
      </c>
      <c r="F51" s="9" t="n"/>
      <c r="K51" s="9" t="n"/>
      <c r="P51" s="9" t="n"/>
      <c r="T51" s="18" t="n">
        <v>3681.95</v>
      </c>
      <c r="U51" s="37" t="n">
        <v>3681.95</v>
      </c>
      <c r="V51" s="18" t="n">
        <v>2428.83</v>
      </c>
      <c r="W51" s="18" t="n">
        <v>1278.71</v>
      </c>
      <c r="X51" s="18" t="n">
        <v>2040.79</v>
      </c>
      <c r="Y51" s="18" t="n">
        <v>294.45</v>
      </c>
      <c r="Z51" s="37" t="n">
        <v>294.45</v>
      </c>
      <c r="AA51" s="18" t="n">
        <v>777.54</v>
      </c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단기금융부채</t>
        </is>
      </c>
      <c r="F52" s="9" t="n"/>
      <c r="K52" s="9" t="n"/>
      <c r="P52" s="9" t="n"/>
      <c r="T52" s="18" t="n">
        <v>3681.95</v>
      </c>
      <c r="U52" s="37" t="n">
        <v>3681.95</v>
      </c>
      <c r="V52" s="18" t="n">
        <v>2428.83</v>
      </c>
      <c r="W52" s="18" t="n">
        <v>1278.71</v>
      </c>
      <c r="X52" s="18" t="n">
        <v>2040.79</v>
      </c>
      <c r="Y52" s="18" t="n">
        <v>294.45</v>
      </c>
      <c r="Z52" s="37" t="n">
        <v>294.45</v>
      </c>
      <c r="AA52" s="18" t="n">
        <v>777.54</v>
      </c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계약자산</t>
        </is>
      </c>
      <c r="F53" s="9" t="n"/>
      <c r="K53" s="9" t="n"/>
      <c r="P53" s="9" t="n"/>
      <c r="U53" s="9" t="n"/>
      <c r="Z53" s="9" t="n"/>
      <c r="AB53" s="19" t="n">
        <v>806.58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계약부채</t>
        </is>
      </c>
      <c r="F54" s="9" t="n"/>
      <c r="K54" s="9" t="n"/>
      <c r="P54" s="9" t="n"/>
      <c r="U54" s="9" t="n"/>
      <c r="Z54" s="9" t="n"/>
      <c r="AB54" s="19" t="n">
        <v>910.37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확정급여부채</t>
        </is>
      </c>
      <c r="F55" s="9" t="n"/>
      <c r="K55" s="9" t="n"/>
      <c r="P55" s="9" t="n"/>
      <c r="U55" s="9" t="n"/>
      <c r="Z55" s="9" t="n"/>
      <c r="AB55" s="19" t="n">
        <v>911.6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18181.35</v>
      </c>
      <c r="F56" s="9" t="n"/>
      <c r="G56" s="18" t="n">
        <v>10892.05</v>
      </c>
      <c r="H56" s="18" t="n">
        <v>12820.92</v>
      </c>
      <c r="I56" s="18" t="n">
        <v>12647.07</v>
      </c>
      <c r="J56" s="18" t="n">
        <v>19679.92</v>
      </c>
      <c r="K56" s="37" t="n">
        <v>56039.96</v>
      </c>
      <c r="L56" s="18" t="n">
        <v>9723.559999999999</v>
      </c>
      <c r="M56" s="18" t="n">
        <v>14165.97</v>
      </c>
      <c r="N56" s="18" t="n">
        <v>15617.49</v>
      </c>
      <c r="O56" s="18" t="n">
        <v>21747.81</v>
      </c>
      <c r="P56" s="37" t="n">
        <v>61254.83</v>
      </c>
      <c r="Q56" s="18" t="n">
        <v>9381.209999999999</v>
      </c>
      <c r="R56" s="18" t="n">
        <v>11211.82</v>
      </c>
      <c r="S56" s="18" t="n">
        <v>15472.8</v>
      </c>
      <c r="T56" s="18" t="n">
        <v>27019.43</v>
      </c>
      <c r="U56" s="37" t="n">
        <v>63085.26</v>
      </c>
      <c r="V56" s="18" t="n">
        <v>8981.83</v>
      </c>
      <c r="W56" s="18" t="n">
        <v>13526.02</v>
      </c>
      <c r="X56" s="18" t="n">
        <v>13705.13</v>
      </c>
      <c r="Y56" s="18" t="n">
        <v>16505.88</v>
      </c>
      <c r="Z56" s="37" t="n">
        <v>52718.86</v>
      </c>
      <c r="AA56" s="18" t="n">
        <v>7562.24</v>
      </c>
      <c r="AB56" s="19" t="n">
        <v>14349.6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13810.38</v>
      </c>
      <c r="F57" s="9" t="n"/>
      <c r="G57" s="18" t="n">
        <v>8588.620000000001</v>
      </c>
      <c r="H57" s="18" t="n">
        <v>11810.63</v>
      </c>
      <c r="I57" s="18" t="n">
        <v>10674.08</v>
      </c>
      <c r="J57" s="18" t="n">
        <v>21108.52</v>
      </c>
      <c r="K57" s="37" t="n">
        <v>52181.85</v>
      </c>
      <c r="L57" s="18" t="n">
        <v>7990.98</v>
      </c>
      <c r="M57" s="18" t="n">
        <v>12759.19</v>
      </c>
      <c r="N57" s="18" t="n">
        <v>12607.37</v>
      </c>
      <c r="O57" s="18" t="n">
        <v>20293.82</v>
      </c>
      <c r="P57" s="37" t="n">
        <v>53651.36</v>
      </c>
      <c r="Q57" s="18" t="n">
        <v>10085.49</v>
      </c>
      <c r="R57" s="18" t="n">
        <v>7307.12</v>
      </c>
      <c r="S57" s="18" t="n">
        <v>14667.04</v>
      </c>
      <c r="T57" s="18" t="n">
        <v>18724.48</v>
      </c>
      <c r="U57" s="37" t="n">
        <v>50784.13</v>
      </c>
      <c r="V57" s="18" t="n">
        <v>6896.67</v>
      </c>
      <c r="W57" s="18" t="n">
        <v>11971.48</v>
      </c>
      <c r="X57" s="18" t="n">
        <v>10390.88</v>
      </c>
      <c r="Y57" s="18" t="n">
        <v>13120.58</v>
      </c>
      <c r="Z57" s="37" t="n">
        <v>42379.61</v>
      </c>
      <c r="AA57" s="18" t="n">
        <v>6932.73</v>
      </c>
      <c r="AB57" s="19" t="n">
        <v>10785.16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4370.96</v>
      </c>
      <c r="F58" s="9" t="n"/>
      <c r="G58" s="18" t="n">
        <v>2303.43</v>
      </c>
      <c r="H58" s="18" t="n">
        <v>1010.29</v>
      </c>
      <c r="I58" s="18" t="n">
        <v>1972.99</v>
      </c>
      <c r="J58" s="18" t="n">
        <v>-1428.6</v>
      </c>
      <c r="K58" s="37" t="n">
        <v>3858.11</v>
      </c>
      <c r="L58" s="18" t="n">
        <v>1732.58</v>
      </c>
      <c r="M58" s="18" t="n">
        <v>1406.78</v>
      </c>
      <c r="N58" s="18" t="n">
        <v>3010.13</v>
      </c>
      <c r="O58" s="18" t="n">
        <v>1454</v>
      </c>
      <c r="P58" s="37" t="n">
        <v>7603.49</v>
      </c>
      <c r="Q58" s="18" t="n">
        <v>-704.28</v>
      </c>
      <c r="R58" s="18" t="n">
        <v>3904.7</v>
      </c>
      <c r="S58" s="18" t="n">
        <v>805.77</v>
      </c>
      <c r="T58" s="18" t="n">
        <v>8294.950000000001</v>
      </c>
      <c r="U58" s="37" t="n">
        <v>12301.14</v>
      </c>
      <c r="V58" s="18" t="n">
        <v>2085.16</v>
      </c>
      <c r="W58" s="18" t="n">
        <v>1554.54</v>
      </c>
      <c r="X58" s="18" t="n">
        <v>3314.24</v>
      </c>
      <c r="Y58" s="18" t="n">
        <v>3385.3</v>
      </c>
      <c r="Z58" s="37" t="n">
        <v>10339.24</v>
      </c>
      <c r="AA58" s="18" t="n">
        <v>629.5</v>
      </c>
      <c r="AB58" s="19" t="n">
        <v>3564.44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1378</v>
      </c>
      <c r="F59" s="9" t="n"/>
      <c r="G59" s="18" t="n">
        <v>1800.68</v>
      </c>
      <c r="H59" s="18" t="n">
        <v>1423.69</v>
      </c>
      <c r="I59" s="18" t="n">
        <v>2062.64</v>
      </c>
      <c r="J59" s="18" t="n">
        <v>7654.59</v>
      </c>
      <c r="K59" s="37" t="n">
        <v>12941.6</v>
      </c>
      <c r="L59" s="18" t="n">
        <v>1675.03</v>
      </c>
      <c r="M59" s="18" t="n">
        <v>2698.96</v>
      </c>
      <c r="N59" s="18" t="n">
        <v>1919.47</v>
      </c>
      <c r="O59" s="18" t="n">
        <v>1366.6</v>
      </c>
      <c r="P59" s="37" t="n">
        <v>7660.06</v>
      </c>
      <c r="Q59" s="18" t="n">
        <v>2033.09</v>
      </c>
      <c r="R59" s="18" t="n">
        <v>1853.93</v>
      </c>
      <c r="S59" s="18" t="n">
        <v>2114.52</v>
      </c>
      <c r="T59" s="18" t="n">
        <v>6867</v>
      </c>
      <c r="U59" s="37" t="n">
        <v>12868.54</v>
      </c>
      <c r="V59" s="18" t="n">
        <v>2614.97</v>
      </c>
      <c r="W59" s="18" t="n">
        <v>1792.79</v>
      </c>
      <c r="X59" s="18" t="n">
        <v>2154.52</v>
      </c>
      <c r="Y59" s="18" t="n">
        <v>5254.5</v>
      </c>
      <c r="Z59" s="37" t="n">
        <v>11816.78</v>
      </c>
      <c r="AA59" s="18" t="n">
        <v>2234.89</v>
      </c>
      <c r="AB59" s="19" t="n">
        <v>2446.06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2992.96</v>
      </c>
      <c r="F60" s="9" t="n"/>
      <c r="G60" s="18" t="n">
        <v>502.75</v>
      </c>
      <c r="H60" s="18" t="n">
        <v>-413.4</v>
      </c>
      <c r="I60" s="18" t="n">
        <v>-89.65000000000001</v>
      </c>
      <c r="J60" s="18" t="n">
        <v>-9083.190000000001</v>
      </c>
      <c r="K60" s="37" t="n">
        <v>-9083.49</v>
      </c>
      <c r="L60" s="18" t="n">
        <v>57.55</v>
      </c>
      <c r="M60" s="18" t="n">
        <v>-1292.18</v>
      </c>
      <c r="N60" s="18" t="n">
        <v>1090.66</v>
      </c>
      <c r="O60" s="18" t="n">
        <v>87.40000000000001</v>
      </c>
      <c r="P60" s="37" t="n">
        <v>-56.57</v>
      </c>
      <c r="Q60" s="18" t="n">
        <v>-2737.37</v>
      </c>
      <c r="R60" s="18" t="n">
        <v>2050.76</v>
      </c>
      <c r="S60" s="18" t="n">
        <v>-1308.75</v>
      </c>
      <c r="T60" s="18" t="n">
        <v>1427.96</v>
      </c>
      <c r="U60" s="37" t="n">
        <v>-567.4</v>
      </c>
      <c r="V60" s="18" t="n">
        <v>-529.8099999999999</v>
      </c>
      <c r="W60" s="18" t="n">
        <v>-238.25</v>
      </c>
      <c r="X60" s="18" t="n">
        <v>1159.73</v>
      </c>
      <c r="Y60" s="18" t="n">
        <v>-1869.19</v>
      </c>
      <c r="Z60" s="37" t="n">
        <v>-1477.52</v>
      </c>
      <c r="AA60" s="18" t="n">
        <v>-1605.38</v>
      </c>
      <c r="AB60" s="19" t="n">
        <v>1118.38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기타영업외수익</t>
        </is>
      </c>
      <c r="E61" s="18" t="n">
        <v>19.99</v>
      </c>
      <c r="F61" s="9" t="n"/>
      <c r="G61" s="18" t="n">
        <v>29.39</v>
      </c>
      <c r="H61" s="18" t="n">
        <v>68.51000000000001</v>
      </c>
      <c r="I61" s="18" t="n">
        <v>105.88</v>
      </c>
      <c r="J61" s="18" t="n">
        <v>109.75</v>
      </c>
      <c r="K61" s="37" t="n">
        <v>313.53</v>
      </c>
      <c r="L61" s="18" t="n">
        <v>347.74</v>
      </c>
      <c r="M61" s="18" t="n">
        <v>101.82</v>
      </c>
      <c r="N61" s="18" t="n">
        <v>318.68</v>
      </c>
      <c r="O61" s="18" t="n">
        <v>318.31</v>
      </c>
      <c r="P61" s="37" t="n">
        <v>1086.55</v>
      </c>
      <c r="Q61" s="18" t="n">
        <v>133.85</v>
      </c>
      <c r="R61" s="18" t="n">
        <v>244.61</v>
      </c>
      <c r="S61" s="18" t="n">
        <v>894.48</v>
      </c>
      <c r="T61" s="18" t="n">
        <v>-627.73</v>
      </c>
      <c r="U61" s="37" t="n">
        <v>645.21</v>
      </c>
      <c r="V61" s="18" t="n">
        <v>695.5700000000001</v>
      </c>
      <c r="W61" s="18" t="n">
        <v>225.68</v>
      </c>
      <c r="X61" s="18" t="n">
        <v>160.17</v>
      </c>
      <c r="Y61" s="18" t="n">
        <v>1056.56</v>
      </c>
      <c r="Z61" s="37" t="n">
        <v>2137.98</v>
      </c>
      <c r="AA61" s="18" t="n">
        <v>244.33</v>
      </c>
      <c r="AB61" s="19" t="n">
        <v>277.81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기타영업외비용</t>
        </is>
      </c>
      <c r="E62" s="18" t="n">
        <v>686.74</v>
      </c>
      <c r="F62" s="9" t="n"/>
      <c r="G62" s="18" t="n">
        <v>62.28</v>
      </c>
      <c r="H62" s="18" t="n">
        <v>86.47</v>
      </c>
      <c r="I62" s="18" t="n">
        <v>108.12</v>
      </c>
      <c r="J62" s="18" t="n">
        <v>1264.8</v>
      </c>
      <c r="K62" s="37" t="n">
        <v>1521.67</v>
      </c>
      <c r="L62" s="18" t="n">
        <v>66.69</v>
      </c>
      <c r="M62" s="18" t="n">
        <v>247.74</v>
      </c>
      <c r="N62" s="18" t="n">
        <v>-44.88</v>
      </c>
      <c r="O62" s="18" t="n">
        <v>-9.050000000000001</v>
      </c>
      <c r="P62" s="37" t="n">
        <v>260.5</v>
      </c>
      <c r="Q62" s="18" t="n">
        <v>109.5</v>
      </c>
      <c r="R62" s="18" t="n">
        <v>42.85</v>
      </c>
      <c r="S62" s="18" t="n">
        <v>47.86</v>
      </c>
      <c r="T62" s="18" t="n">
        <v>1026.22</v>
      </c>
      <c r="U62" s="37" t="n">
        <v>1226.43</v>
      </c>
      <c r="V62" s="18" t="n">
        <v>60.44</v>
      </c>
      <c r="W62" s="18" t="n">
        <v>73.79000000000001</v>
      </c>
      <c r="X62" s="18" t="n">
        <v>69.83</v>
      </c>
      <c r="Y62" s="18" t="n">
        <v>129.48</v>
      </c>
      <c r="Z62" s="37" t="n">
        <v>333.54</v>
      </c>
      <c r="AA62" s="18" t="n">
        <v>58.99</v>
      </c>
      <c r="AB62" s="19" t="n">
        <v>189.29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276.3</v>
      </c>
      <c r="F63" s="9" t="n"/>
      <c r="G63" s="18" t="n">
        <v>464.6</v>
      </c>
      <c r="H63" s="18" t="n">
        <v>549.53</v>
      </c>
      <c r="I63" s="18" t="n">
        <v>1458.99</v>
      </c>
      <c r="J63" s="18" t="n">
        <v>-215.11</v>
      </c>
      <c r="K63" s="37" t="n">
        <v>2258.01</v>
      </c>
      <c r="L63" s="18" t="n">
        <v>1015.94</v>
      </c>
      <c r="M63" s="18" t="n">
        <v>1893.7</v>
      </c>
      <c r="N63" s="18" t="n">
        <v>1359.13</v>
      </c>
      <c r="O63" s="18" t="n">
        <v>1454.58</v>
      </c>
      <c r="P63" s="37" t="n">
        <v>5723.35</v>
      </c>
      <c r="Q63" s="18" t="n">
        <v>1519.15</v>
      </c>
      <c r="R63" s="18" t="n">
        <v>1088.33</v>
      </c>
      <c r="S63" s="18" t="n">
        <v>2245.18</v>
      </c>
      <c r="T63" s="18" t="n">
        <v>70.86</v>
      </c>
      <c r="U63" s="37" t="n">
        <v>4923.52</v>
      </c>
      <c r="V63" s="18" t="n">
        <v>1101.41</v>
      </c>
      <c r="W63" s="18" t="n">
        <v>1263.51</v>
      </c>
      <c r="X63" s="18" t="n">
        <v>894.92</v>
      </c>
      <c r="Y63" s="18" t="n">
        <v>1044.1</v>
      </c>
      <c r="Z63" s="37" t="n">
        <v>4303.94</v>
      </c>
      <c r="AA63" s="18" t="n">
        <v>1677.81</v>
      </c>
      <c r="AB63" s="19" t="n">
        <v>2135.84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300</v>
      </c>
      <c r="F64" s="9" t="n"/>
      <c r="G64" s="18" t="n">
        <v>867.75</v>
      </c>
      <c r="H64" s="18" t="n">
        <v>1215.02</v>
      </c>
      <c r="I64" s="18" t="n">
        <v>529.26</v>
      </c>
      <c r="J64" s="18" t="n">
        <v>162.37</v>
      </c>
      <c r="K64" s="37" t="n">
        <v>2774.4</v>
      </c>
      <c r="L64" s="18" t="n">
        <v>348.71</v>
      </c>
      <c r="M64" s="18" t="n">
        <v>1997.22</v>
      </c>
      <c r="N64" s="18" t="n">
        <v>943.62</v>
      </c>
      <c r="O64" s="18" t="n">
        <v>-1372.64</v>
      </c>
      <c r="P64" s="37" t="n">
        <v>1916.91</v>
      </c>
      <c r="Q64" s="18" t="n">
        <v>1093.17</v>
      </c>
      <c r="R64" s="18" t="n">
        <v>529.0599999999999</v>
      </c>
      <c r="S64" s="18" t="n">
        <v>-113.27</v>
      </c>
      <c r="T64" s="18" t="n">
        <v>3050.39</v>
      </c>
      <c r="U64" s="37" t="n">
        <v>4559.35</v>
      </c>
      <c r="V64" s="18" t="n">
        <v>966.37</v>
      </c>
      <c r="W64" s="18" t="n">
        <v>521.7</v>
      </c>
      <c r="X64" s="18" t="n">
        <v>300.71</v>
      </c>
      <c r="Y64" s="18" t="n">
        <v>699.92</v>
      </c>
      <c r="Z64" s="37" t="n">
        <v>2488.7</v>
      </c>
      <c r="AA64" s="18" t="n">
        <v>1617.87</v>
      </c>
      <c r="AB64" s="19" t="n">
        <v>682.35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2302.52</v>
      </c>
      <c r="F65" s="9" t="n"/>
      <c r="G65" s="18" t="n">
        <v>66.7</v>
      </c>
      <c r="H65" s="18" t="n">
        <v>-1096.85</v>
      </c>
      <c r="I65" s="18" t="n">
        <v>837.83</v>
      </c>
      <c r="J65" s="18" t="n">
        <v>-10615.72</v>
      </c>
      <c r="K65" s="37" t="n">
        <v>-10808.04</v>
      </c>
      <c r="L65" s="18" t="n">
        <v>1005.83</v>
      </c>
      <c r="M65" s="18" t="n">
        <v>-1541.62</v>
      </c>
      <c r="N65" s="18" t="n">
        <v>1869.74</v>
      </c>
      <c r="O65" s="18" t="n">
        <v>3241.98</v>
      </c>
      <c r="P65" s="37" t="n">
        <v>4575.93</v>
      </c>
      <c r="Q65" s="18" t="n">
        <v>-2287.05</v>
      </c>
      <c r="R65" s="18" t="n">
        <v>2811.79</v>
      </c>
      <c r="S65" s="18" t="n">
        <v>1896.32</v>
      </c>
      <c r="T65" s="18" t="n">
        <v>-3205.52</v>
      </c>
      <c r="U65" s="37" t="n">
        <v>-784.46</v>
      </c>
      <c r="V65" s="18" t="n">
        <v>240.36</v>
      </c>
      <c r="W65" s="18" t="n">
        <v>655.45</v>
      </c>
      <c r="X65" s="18" t="n">
        <v>1844.27</v>
      </c>
      <c r="Y65" s="18" t="n">
        <v>-597.9400000000001</v>
      </c>
      <c r="Z65" s="37" t="n">
        <v>2142.14</v>
      </c>
      <c r="AA65" s="18" t="n">
        <v>-1360.11</v>
      </c>
      <c r="AB65" s="19" t="n">
        <v>2660.39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</t>
        </is>
      </c>
      <c r="E66" s="18" t="n">
        <v>641.3</v>
      </c>
      <c r="F66" s="9" t="n"/>
      <c r="G66" s="18" t="n">
        <v>15.73</v>
      </c>
      <c r="H66" s="18" t="n">
        <v>-170.18</v>
      </c>
      <c r="I66" s="18" t="n">
        <v>7.42</v>
      </c>
      <c r="J66" s="18" t="n">
        <v>-1987.32</v>
      </c>
      <c r="K66" s="37" t="n">
        <v>-2134.35</v>
      </c>
      <c r="L66" s="18" t="n">
        <v>0.08</v>
      </c>
      <c r="M66" s="18" t="n">
        <v>2.28</v>
      </c>
      <c r="N66" s="18" t="n">
        <v>1.08</v>
      </c>
      <c r="O66" s="18" t="n">
        <v>841.91</v>
      </c>
      <c r="P66" s="37" t="n">
        <v>845.35</v>
      </c>
      <c r="Q66" s="18" t="n">
        <v>0.01</v>
      </c>
      <c r="R66" s="18" t="n">
        <v>294.69</v>
      </c>
      <c r="S66" s="18" t="n">
        <v>776.52</v>
      </c>
      <c r="T66" s="18" t="n">
        <v>-644.5</v>
      </c>
      <c r="U66" s="37" t="n">
        <v>426.72</v>
      </c>
      <c r="V66" s="18" t="n">
        <v>0.19</v>
      </c>
      <c r="W66" s="18" t="n">
        <v>433.54</v>
      </c>
      <c r="X66" s="18" t="n">
        <v>0.84</v>
      </c>
      <c r="Y66" s="18" t="n">
        <v>2156.29</v>
      </c>
      <c r="Z66" s="37" t="n">
        <v>2590.86</v>
      </c>
      <c r="AA66" s="18" t="n">
        <v>142.42</v>
      </c>
      <c r="AB66" s="19" t="n">
        <v>513.37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당기순이익</t>
        </is>
      </c>
      <c r="E67" s="18" t="n">
        <v>1661.22</v>
      </c>
      <c r="F67" s="9" t="n"/>
      <c r="G67" s="18" t="n">
        <v>50.97</v>
      </c>
      <c r="H67" s="18" t="n">
        <v>-926.6799999999999</v>
      </c>
      <c r="I67" s="18" t="n">
        <v>830.4</v>
      </c>
      <c r="J67" s="18" t="n">
        <v>-8628.4</v>
      </c>
      <c r="K67" s="37" t="n">
        <v>-8673.709999999999</v>
      </c>
      <c r="L67" s="18" t="n">
        <v>1005.76</v>
      </c>
      <c r="M67" s="18" t="n">
        <v>-1543.9</v>
      </c>
      <c r="N67" s="18" t="n">
        <v>1868.66</v>
      </c>
      <c r="O67" s="18" t="n">
        <v>2400.06</v>
      </c>
      <c r="P67" s="37" t="n">
        <v>3730.58</v>
      </c>
      <c r="Q67" s="18" t="n">
        <v>-2287.05</v>
      </c>
      <c r="R67" s="18" t="n">
        <v>2517.11</v>
      </c>
      <c r="S67" s="18" t="n">
        <v>1119.8</v>
      </c>
      <c r="T67" s="18" t="n">
        <v>-2561.01</v>
      </c>
      <c r="U67" s="37" t="n">
        <v>-1211.15</v>
      </c>
      <c r="V67" s="18" t="n">
        <v>240.17</v>
      </c>
      <c r="W67" s="18" t="n">
        <v>221.91</v>
      </c>
      <c r="X67" s="18" t="n">
        <v>1843.43</v>
      </c>
      <c r="Y67" s="18" t="n">
        <v>-2754.23</v>
      </c>
      <c r="Z67" s="37" t="n">
        <v>-448.72</v>
      </c>
      <c r="AA67" s="18" t="n">
        <v>-1502.53</v>
      </c>
      <c r="AB67" s="19" t="n">
        <v>2147.02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(지배주주지분)당기순이익</t>
        </is>
      </c>
      <c r="E68" s="18" t="n">
        <v>1661.4</v>
      </c>
      <c r="F68" s="9" t="n"/>
      <c r="G68" s="18" t="n">
        <v>50.26</v>
      </c>
      <c r="H68" s="18" t="n">
        <v>-926.6</v>
      </c>
      <c r="I68" s="18" t="n">
        <v>830.39</v>
      </c>
      <c r="J68" s="18" t="n">
        <v>-8628.65</v>
      </c>
      <c r="K68" s="37" t="n">
        <v>-8674.6</v>
      </c>
      <c r="L68" s="18" t="n">
        <v>1005.52</v>
      </c>
      <c r="M68" s="18" t="n">
        <v>-1543.91</v>
      </c>
      <c r="N68" s="18" t="n">
        <v>1868.96</v>
      </c>
      <c r="O68" s="18" t="n">
        <v>2400.16</v>
      </c>
      <c r="P68" s="37" t="n">
        <v>3730.73</v>
      </c>
      <c r="Q68" s="18" t="n">
        <v>-2287.2</v>
      </c>
      <c r="R68" s="18" t="n">
        <v>2515.88</v>
      </c>
      <c r="S68" s="18" t="n">
        <v>1119.83</v>
      </c>
      <c r="T68" s="18" t="n">
        <v>-2560.98</v>
      </c>
      <c r="U68" s="37" t="n">
        <v>-1212.47</v>
      </c>
      <c r="V68" s="18" t="n">
        <v>240.1</v>
      </c>
      <c r="W68" s="18" t="n">
        <v>221.98</v>
      </c>
      <c r="X68" s="18" t="n">
        <v>1843.43</v>
      </c>
      <c r="Y68" s="18" t="n">
        <v>-2754.19</v>
      </c>
      <c r="Z68" s="37" t="n">
        <v>-448.68</v>
      </c>
      <c r="AA68" s="18" t="n">
        <v>-1503.04</v>
      </c>
      <c r="AB68" s="19" t="n">
        <v>2147.17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(비지배주주지분)당기순이익</t>
        </is>
      </c>
      <c r="E69" s="18" t="n">
        <v>-0.18</v>
      </c>
      <c r="F69" s="9" t="n"/>
      <c r="G69" s="18" t="n">
        <v>0.71</v>
      </c>
      <c r="H69" s="18" t="n">
        <v>-0.08</v>
      </c>
      <c r="I69" s="18" t="n">
        <v>0.02</v>
      </c>
      <c r="J69" s="18" t="n">
        <v>0.25</v>
      </c>
      <c r="K69" s="37" t="n">
        <v>0.9</v>
      </c>
      <c r="L69" s="18" t="n">
        <v>0.24</v>
      </c>
      <c r="M69" s="18" t="n">
        <v>0</v>
      </c>
      <c r="N69" s="18" t="n">
        <v>-0.3</v>
      </c>
      <c r="O69" s="18" t="n">
        <v>-0.09</v>
      </c>
      <c r="P69" s="37" t="n">
        <v>-0.15</v>
      </c>
      <c r="Q69" s="18" t="n">
        <v>0.15</v>
      </c>
      <c r="R69" s="18" t="n">
        <v>1.23</v>
      </c>
      <c r="S69" s="18" t="n">
        <v>-0.03</v>
      </c>
      <c r="T69" s="18" t="n">
        <v>-0.04</v>
      </c>
      <c r="U69" s="37" t="n">
        <v>1.31</v>
      </c>
      <c r="V69" s="18" t="n">
        <v>0.07000000000000001</v>
      </c>
      <c r="W69" s="18" t="n">
        <v>-0.07000000000000001</v>
      </c>
      <c r="X69" s="18" t="n">
        <v>0</v>
      </c>
      <c r="Y69" s="18" t="n">
        <v>-0.04</v>
      </c>
      <c r="Z69" s="37" t="n">
        <v>-0.04</v>
      </c>
      <c r="AA69" s="18" t="n">
        <v>0.51</v>
      </c>
      <c r="AB69" s="19" t="n">
        <v>-0.15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1881.19</v>
      </c>
      <c r="F70" s="9" t="n"/>
      <c r="G70" s="18" t="n">
        <v>117.01</v>
      </c>
      <c r="H70" s="18" t="n">
        <v>-879.88</v>
      </c>
      <c r="I70" s="18" t="n">
        <v>950.45</v>
      </c>
      <c r="J70" s="18" t="n">
        <v>-8372.23</v>
      </c>
      <c r="K70" s="37" t="n">
        <v>-8184.65</v>
      </c>
      <c r="L70" s="18" t="n">
        <v>1122.78</v>
      </c>
      <c r="M70" s="18" t="n">
        <v>-1673.11</v>
      </c>
      <c r="N70" s="18" t="n">
        <v>1916.13</v>
      </c>
      <c r="O70" s="18" t="n">
        <v>2491.6</v>
      </c>
      <c r="P70" s="37" t="n">
        <v>3857.4</v>
      </c>
      <c r="Q70" s="18" t="n">
        <v>-2218.39</v>
      </c>
      <c r="R70" s="18" t="n">
        <v>2585.47</v>
      </c>
      <c r="S70" s="18" t="n">
        <v>1085.98</v>
      </c>
      <c r="T70" s="18" t="n">
        <v>-3485.11</v>
      </c>
      <c r="U70" s="37" t="n">
        <v>-2032.05</v>
      </c>
      <c r="V70" s="18" t="n">
        <v>237.7</v>
      </c>
      <c r="W70" s="18" t="n">
        <v>145.1</v>
      </c>
      <c r="X70" s="18" t="n">
        <v>1965.99</v>
      </c>
      <c r="Y70" s="18" t="n">
        <v>-3900.73</v>
      </c>
      <c r="Z70" s="37" t="n">
        <v>-1551.94</v>
      </c>
      <c r="AA70" s="18" t="n">
        <v>-1572.37</v>
      </c>
      <c r="AB70" s="19" t="n">
        <v>2130.21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-23.7</v>
      </c>
      <c r="F71" s="9" t="n"/>
      <c r="G71" s="18" t="n">
        <v>-403.15</v>
      </c>
      <c r="H71" s="18" t="n">
        <v>-665.49</v>
      </c>
      <c r="I71" s="18" t="n">
        <v>929.73</v>
      </c>
      <c r="J71" s="18" t="n">
        <v>-377.48</v>
      </c>
      <c r="K71" s="37" t="n">
        <v>-516.39</v>
      </c>
      <c r="L71" s="18" t="n">
        <v>667.23</v>
      </c>
      <c r="M71" s="18" t="n">
        <v>-103.52</v>
      </c>
      <c r="N71" s="18" t="n">
        <v>1454.23</v>
      </c>
      <c r="O71" s="18" t="n">
        <v>3451.74</v>
      </c>
      <c r="P71" s="37" t="n">
        <v>5469.68</v>
      </c>
      <c r="Q71" s="18" t="n">
        <v>425.98</v>
      </c>
      <c r="R71" s="18" t="n">
        <v>559.27</v>
      </c>
      <c r="S71" s="18" t="n">
        <v>2358.45</v>
      </c>
      <c r="T71" s="18" t="n">
        <v>-2979.53</v>
      </c>
      <c r="U71" s="37" t="n">
        <v>364.17</v>
      </c>
      <c r="V71" s="18" t="n">
        <v>135.04</v>
      </c>
      <c r="W71" s="18" t="n">
        <v>741.8099999999999</v>
      </c>
      <c r="X71" s="18" t="n">
        <v>594.21</v>
      </c>
      <c r="Y71" s="18" t="n">
        <v>344.18</v>
      </c>
      <c r="Z71" s="37" t="n">
        <v>1815.24</v>
      </c>
      <c r="AA71" s="18" t="n">
        <v>59.94</v>
      </c>
      <c r="AB71" s="19" t="n">
        <v>1453.49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기타영업외손익</t>
        </is>
      </c>
      <c r="E72" s="18" t="n">
        <v>-666.75</v>
      </c>
      <c r="F72" s="9" t="n"/>
      <c r="G72" s="18" t="n">
        <v>-32.89</v>
      </c>
      <c r="H72" s="18" t="n">
        <v>-17.96</v>
      </c>
      <c r="I72" s="18" t="n">
        <v>-2.24</v>
      </c>
      <c r="J72" s="18" t="n">
        <v>-1155.05</v>
      </c>
      <c r="K72" s="37" t="n">
        <v>-1208.14</v>
      </c>
      <c r="L72" s="18" t="n">
        <v>281.05</v>
      </c>
      <c r="M72" s="18" t="n">
        <v>-145.92</v>
      </c>
      <c r="N72" s="18" t="n">
        <v>363.56</v>
      </c>
      <c r="O72" s="18" t="n">
        <v>327.36</v>
      </c>
      <c r="P72" s="37" t="n">
        <v>826.05</v>
      </c>
      <c r="Q72" s="18" t="n">
        <v>24.35</v>
      </c>
      <c r="R72" s="18" t="n">
        <v>201.76</v>
      </c>
      <c r="S72" s="18" t="n">
        <v>846.62</v>
      </c>
      <c r="T72" s="18" t="n">
        <v>-1653.95</v>
      </c>
      <c r="U72" s="37" t="n">
        <v>-581.22</v>
      </c>
      <c r="V72" s="18" t="n">
        <v>635.13</v>
      </c>
      <c r="W72" s="18" t="n">
        <v>151.89</v>
      </c>
      <c r="X72" s="18" t="n">
        <v>90.34</v>
      </c>
      <c r="Y72" s="18" t="n">
        <v>927.08</v>
      </c>
      <c r="Z72" s="37" t="n">
        <v>1804.44</v>
      </c>
      <c r="AA72" s="18" t="n">
        <v>185.34</v>
      </c>
      <c r="AB72" s="19" t="n">
        <v>88.52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계속사업이익</t>
        </is>
      </c>
      <c r="E73" s="18" t="n">
        <v>1661.22</v>
      </c>
      <c r="F73" s="9" t="n"/>
      <c r="G73" s="18" t="n">
        <v>50.97</v>
      </c>
      <c r="H73" s="18" t="n">
        <v>-926.6799999999999</v>
      </c>
      <c r="I73" s="18" t="n">
        <v>830.4</v>
      </c>
      <c r="J73" s="18" t="n">
        <v>-8628.4</v>
      </c>
      <c r="K73" s="37" t="n">
        <v>-8673.709999999999</v>
      </c>
      <c r="L73" s="18" t="n">
        <v>1005.76</v>
      </c>
      <c r="M73" s="18" t="n">
        <v>-1543.9</v>
      </c>
      <c r="N73" s="18" t="n">
        <v>1868.66</v>
      </c>
      <c r="O73" s="18" t="n">
        <v>2400.06</v>
      </c>
      <c r="P73" s="37" t="n">
        <v>3730.58</v>
      </c>
      <c r="Q73" s="18" t="n">
        <v>-2287.05</v>
      </c>
      <c r="R73" s="18" t="n">
        <v>2517.11</v>
      </c>
      <c r="S73" s="18" t="n">
        <v>1119.8</v>
      </c>
      <c r="T73" s="18" t="n">
        <v>-2561.01</v>
      </c>
      <c r="U73" s="37" t="n">
        <v>-1211.15</v>
      </c>
      <c r="V73" s="18" t="n">
        <v>240.17</v>
      </c>
      <c r="W73" s="18" t="n">
        <v>221.91</v>
      </c>
      <c r="X73" s="18" t="n">
        <v>1843.43</v>
      </c>
      <c r="Y73" s="18" t="n">
        <v>-2754.23</v>
      </c>
      <c r="Z73" s="37" t="n">
        <v>-448.72</v>
      </c>
      <c r="AA73" s="18" t="n">
        <v>-1502.53</v>
      </c>
      <c r="AB73" s="19" t="n">
        <v>2147.02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이자수익</t>
        </is>
      </c>
      <c r="F74" s="9" t="n"/>
      <c r="G74" s="18" t="n">
        <v>35.72</v>
      </c>
      <c r="H74" s="18" t="n">
        <v>54.9</v>
      </c>
      <c r="I74" s="18" t="n">
        <v>105.09</v>
      </c>
      <c r="J74" s="18" t="n">
        <v>129.06</v>
      </c>
      <c r="K74" s="37" t="n">
        <v>324.77</v>
      </c>
      <c r="L74" s="18" t="n">
        <v>113.44</v>
      </c>
      <c r="M74" s="18" t="n">
        <v>101.3</v>
      </c>
      <c r="N74" s="18" t="n">
        <v>32.67</v>
      </c>
      <c r="O74" s="18" t="n">
        <v>918.9400000000001</v>
      </c>
      <c r="P74" s="37" t="n">
        <v>1166.35</v>
      </c>
      <c r="Q74" s="18" t="n">
        <v>135.71</v>
      </c>
      <c r="R74" s="18" t="n">
        <v>143.12</v>
      </c>
      <c r="S74" s="18" t="n">
        <v>82.64</v>
      </c>
      <c r="T74" s="18" t="n">
        <v>163.46</v>
      </c>
      <c r="U74" s="37" t="n">
        <v>524.9299999999999</v>
      </c>
      <c r="V74" s="18" t="n">
        <v>524.92</v>
      </c>
      <c r="W74" s="18" t="n">
        <v>135.37</v>
      </c>
      <c r="X74" s="18" t="n">
        <v>190.38</v>
      </c>
      <c r="Y74" s="18" t="n">
        <v>-105.66</v>
      </c>
      <c r="Z74" s="37" t="n">
        <v>745.01</v>
      </c>
      <c r="AA74" s="18" t="n">
        <v>122.71</v>
      </c>
      <c r="AB74" s="19" t="n">
        <v>67.8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배당금수익</t>
        </is>
      </c>
      <c r="F75" s="9" t="n"/>
      <c r="G75" s="18" t="n">
        <v>32.07</v>
      </c>
      <c r="H75" s="18" t="n">
        <v>84.81999999999999</v>
      </c>
      <c r="I75" s="18" t="n">
        <v>50.16</v>
      </c>
      <c r="J75" s="18" t="n">
        <v>38.75</v>
      </c>
      <c r="K75" s="37" t="n">
        <v>205.8</v>
      </c>
      <c r="L75" s="18" t="n">
        <v>21.4</v>
      </c>
      <c r="M75" s="18" t="n">
        <v>112.97</v>
      </c>
      <c r="N75" s="18" t="n">
        <v>46.65</v>
      </c>
      <c r="O75" s="18" t="n">
        <v>38.65</v>
      </c>
      <c r="P75" s="37" t="n">
        <v>219.67</v>
      </c>
      <c r="Q75" s="18" t="n">
        <v>30.3</v>
      </c>
      <c r="R75" s="18" t="n">
        <v>87.77</v>
      </c>
      <c r="S75" s="18" t="n">
        <v>55.62</v>
      </c>
      <c r="T75" s="18" t="n">
        <v>40.53</v>
      </c>
      <c r="U75" s="37" t="n">
        <v>214.22</v>
      </c>
      <c r="V75" s="18" t="n">
        <v>214.22</v>
      </c>
      <c r="W75" s="18" t="n">
        <v>50.52</v>
      </c>
      <c r="X75" s="18" t="n">
        <v>49.18</v>
      </c>
      <c r="Y75" s="18" t="n">
        <v>56.82</v>
      </c>
      <c r="Z75" s="37" t="n">
        <v>370.74</v>
      </c>
      <c r="AA75" s="18" t="n">
        <v>7.07</v>
      </c>
      <c r="AB75" s="19" t="n">
        <v>64.59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이자비용</t>
        </is>
      </c>
      <c r="F76" s="9" t="n"/>
      <c r="G76" s="18" t="n">
        <v>20.92</v>
      </c>
      <c r="H76" s="18" t="n">
        <v>19.82</v>
      </c>
      <c r="I76" s="18" t="n">
        <v>59.35</v>
      </c>
      <c r="J76" s="18" t="n">
        <v>108.24</v>
      </c>
      <c r="K76" s="37" t="n">
        <v>208.33</v>
      </c>
      <c r="L76" s="18" t="n">
        <v>16.85</v>
      </c>
      <c r="M76" s="18" t="n">
        <v>171.07</v>
      </c>
      <c r="N76" s="18" t="n">
        <v>141.49</v>
      </c>
      <c r="O76" s="18" t="n">
        <v>241.08</v>
      </c>
      <c r="P76" s="37" t="n">
        <v>570.49</v>
      </c>
      <c r="Q76" s="18" t="n">
        <v>309.78</v>
      </c>
      <c r="R76" s="18" t="n">
        <v>177.46</v>
      </c>
      <c r="S76" s="18" t="n">
        <v>150.96</v>
      </c>
      <c r="T76" s="18" t="n">
        <v>147.47</v>
      </c>
      <c r="U76" s="37" t="n">
        <v>785.67</v>
      </c>
      <c r="V76" s="18" t="n">
        <v>170.95</v>
      </c>
      <c r="W76" s="18" t="n">
        <v>144.88</v>
      </c>
      <c r="X76" s="18" t="n">
        <v>163.77</v>
      </c>
      <c r="Y76" s="18" t="n">
        <v>33.28</v>
      </c>
      <c r="Z76" s="37" t="n">
        <v>512.88</v>
      </c>
      <c r="AA76" s="18" t="n">
        <v>165.12</v>
      </c>
      <c r="AB76" s="19" t="n">
        <v>172.73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외환차익</t>
        </is>
      </c>
      <c r="F77" s="9" t="n"/>
      <c r="G77" s="18" t="n">
        <v>36.01</v>
      </c>
      <c r="H77" s="18" t="n">
        <v>148.8</v>
      </c>
      <c r="I77" s="18" t="n">
        <v>79.91</v>
      </c>
      <c r="J77" s="18" t="n">
        <v>320.66</v>
      </c>
      <c r="K77" s="37" t="n">
        <v>585.38</v>
      </c>
      <c r="L77" s="18" t="n">
        <v>66.92</v>
      </c>
      <c r="M77" s="18" t="n">
        <v>285.01</v>
      </c>
      <c r="N77" s="18" t="n">
        <v>96.36</v>
      </c>
      <c r="O77" s="18" t="n">
        <v>1691.02</v>
      </c>
      <c r="P77" s="37" t="n">
        <v>2139.31</v>
      </c>
      <c r="Q77" s="18" t="n">
        <v>37.04</v>
      </c>
      <c r="R77" s="18" t="n">
        <v>71.89</v>
      </c>
      <c r="S77" s="18" t="n">
        <v>171.61</v>
      </c>
      <c r="T77" s="18" t="n">
        <v>52.42</v>
      </c>
      <c r="U77" s="37" t="n">
        <v>332.96</v>
      </c>
      <c r="V77" s="18" t="n">
        <v>332.97</v>
      </c>
      <c r="W77" s="18" t="n">
        <v>281.04</v>
      </c>
      <c r="X77" s="18" t="n">
        <v>93.47</v>
      </c>
      <c r="Y77" s="18" t="n">
        <v>145.04</v>
      </c>
      <c r="Z77" s="37" t="n">
        <v>852.52</v>
      </c>
      <c r="AA77" s="18" t="n">
        <v>50.03</v>
      </c>
      <c r="AB77" s="19" t="n">
        <v>40.01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외환차손</t>
        </is>
      </c>
      <c r="F78" s="9" t="n"/>
      <c r="G78" s="18" t="n">
        <v>73.3</v>
      </c>
      <c r="H78" s="18" t="n">
        <v>62.16</v>
      </c>
      <c r="I78" s="18" t="n">
        <v>45.71</v>
      </c>
      <c r="J78" s="18" t="n">
        <v>125.05</v>
      </c>
      <c r="K78" s="37" t="n">
        <v>306.22</v>
      </c>
      <c r="L78" s="18" t="n">
        <v>13.92</v>
      </c>
      <c r="M78" s="18" t="n">
        <v>1309.89</v>
      </c>
      <c r="N78" s="18" t="n">
        <v>186.81</v>
      </c>
      <c r="O78" s="18" t="n">
        <v>-652.8200000000001</v>
      </c>
      <c r="P78" s="37" t="n">
        <v>857.8</v>
      </c>
      <c r="Q78" s="18" t="n">
        <v>97.53</v>
      </c>
      <c r="R78" s="18" t="n">
        <v>161.5</v>
      </c>
      <c r="S78" s="18" t="n">
        <v>35.92</v>
      </c>
      <c r="T78" s="18" t="n">
        <v>582.73</v>
      </c>
      <c r="U78" s="37" t="n">
        <v>877.6799999999999</v>
      </c>
      <c r="V78" s="18" t="n">
        <v>140.48</v>
      </c>
      <c r="W78" s="18" t="n">
        <v>27.91</v>
      </c>
      <c r="X78" s="18" t="n">
        <v>74.48999999999999</v>
      </c>
      <c r="Y78" s="18" t="n">
        <v>162.08</v>
      </c>
      <c r="Z78" s="37" t="n">
        <v>404.96</v>
      </c>
      <c r="AA78" s="18" t="n">
        <v>136.15</v>
      </c>
      <c r="AB78" s="19" t="n">
        <v>178.77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외화환산이익</t>
        </is>
      </c>
      <c r="F79" s="9" t="n"/>
      <c r="G79" s="18" t="n">
        <v>171.19</v>
      </c>
      <c r="H79" s="18" t="n">
        <v>318.56</v>
      </c>
      <c r="I79" s="18" t="n">
        <v>753.05</v>
      </c>
      <c r="J79" s="18" t="n">
        <v>-704.7</v>
      </c>
      <c r="K79" s="37" t="n">
        <v>538.1</v>
      </c>
      <c r="M79" s="18" t="n">
        <v>326.02</v>
      </c>
      <c r="N79" s="18" t="n">
        <v>169.54</v>
      </c>
      <c r="O79" s="18" t="n">
        <v>-185.45</v>
      </c>
      <c r="P79" s="9" t="n"/>
      <c r="Q79" s="18" t="n">
        <v>196.5</v>
      </c>
      <c r="R79" s="18" t="n">
        <v>179.86</v>
      </c>
      <c r="S79" s="18" t="n">
        <v>136.1</v>
      </c>
      <c r="T79" s="18" t="n">
        <v>331.47</v>
      </c>
      <c r="U79" s="37" t="n">
        <v>843.9299999999999</v>
      </c>
      <c r="V79" s="18" t="n">
        <v>843.9299999999999</v>
      </c>
      <c r="W79" s="18" t="n">
        <v>438.72</v>
      </c>
      <c r="X79" s="18" t="n">
        <v>-273.42</v>
      </c>
      <c r="Y79" s="18" t="n">
        <v>-148.96</v>
      </c>
      <c r="Z79" s="37" t="n">
        <v>860.27</v>
      </c>
      <c r="AA79" s="18" t="n">
        <v>239.96</v>
      </c>
      <c r="AB79" s="19" t="n">
        <v>72.68000000000001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외화환산손실</t>
        </is>
      </c>
      <c r="F80" s="9" t="n"/>
      <c r="G80" s="18" t="n">
        <v>32.9</v>
      </c>
      <c r="H80" s="18" t="n">
        <v>60.54</v>
      </c>
      <c r="K80" s="9" t="n"/>
      <c r="M80" s="18" t="n">
        <v>107.13</v>
      </c>
      <c r="N80" s="18" t="n">
        <v>123.02</v>
      </c>
      <c r="O80" s="18" t="n">
        <v>-123.07</v>
      </c>
      <c r="P80" s="9" t="n"/>
      <c r="Q80" s="18" t="n">
        <v>360.86</v>
      </c>
      <c r="R80" s="18" t="n">
        <v>91.27</v>
      </c>
      <c r="S80" s="18" t="n">
        <v>-342.26</v>
      </c>
      <c r="T80" s="18" t="n">
        <v>859.75</v>
      </c>
      <c r="U80" s="37" t="n">
        <v>969.62</v>
      </c>
      <c r="V80" s="18" t="n">
        <v>440.77</v>
      </c>
      <c r="W80" s="18" t="n">
        <v>337.28</v>
      </c>
      <c r="X80" s="18" t="n">
        <v>-10.97</v>
      </c>
      <c r="Y80" s="18" t="n">
        <v>155.58</v>
      </c>
      <c r="Z80" s="37" t="n">
        <v>922.66</v>
      </c>
      <c r="AA80" s="18" t="n">
        <v>340.95</v>
      </c>
      <c r="AB80" s="19" t="n">
        <v>0.43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이자손익</t>
        </is>
      </c>
      <c r="F81" s="9" t="n"/>
      <c r="G81" s="18" t="n">
        <v>14.8</v>
      </c>
      <c r="H81" s="18" t="n">
        <v>35.08</v>
      </c>
      <c r="I81" s="18" t="n">
        <v>45.74</v>
      </c>
      <c r="J81" s="18" t="n">
        <v>20.82</v>
      </c>
      <c r="K81" s="37" t="n">
        <v>116.44</v>
      </c>
      <c r="L81" s="18" t="n">
        <v>96.59</v>
      </c>
      <c r="M81" s="18" t="n">
        <v>-69.77</v>
      </c>
      <c r="N81" s="18" t="n">
        <v>-108.82</v>
      </c>
      <c r="O81" s="18" t="n">
        <v>677.86</v>
      </c>
      <c r="P81" s="37" t="n">
        <v>595.86</v>
      </c>
      <c r="Q81" s="18" t="n">
        <v>-174.07</v>
      </c>
      <c r="R81" s="18" t="n">
        <v>-34.34</v>
      </c>
      <c r="S81" s="18" t="n">
        <v>-68.31999999999999</v>
      </c>
      <c r="T81" s="18" t="n">
        <v>15.99</v>
      </c>
      <c r="U81" s="37" t="n">
        <v>-260.74</v>
      </c>
      <c r="V81" s="18" t="n">
        <v>353.97</v>
      </c>
      <c r="W81" s="18" t="n">
        <v>-9.51</v>
      </c>
      <c r="X81" s="18" t="n">
        <v>26.61</v>
      </c>
      <c r="Y81" s="18" t="n">
        <v>-138.94</v>
      </c>
      <c r="Z81" s="37" t="n">
        <v>232.13</v>
      </c>
      <c r="AA81" s="18" t="n">
        <v>-42.41</v>
      </c>
      <c r="AB81" s="19" t="n">
        <v>-104.93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영업활동으로인한현금흐름</t>
        </is>
      </c>
      <c r="E82" s="18" t="n">
        <v>1515.62</v>
      </c>
      <c r="F82" s="9" t="n"/>
      <c r="G82" s="18" t="n">
        <v>-2478.67</v>
      </c>
      <c r="H82" s="18" t="n">
        <v>1233.73</v>
      </c>
      <c r="I82" s="18" t="n">
        <v>243.59</v>
      </c>
      <c r="J82" s="18" t="n">
        <v>-1616.68</v>
      </c>
      <c r="K82" s="37" t="n">
        <v>-2618.03</v>
      </c>
      <c r="L82" s="18" t="n">
        <v>1366.3</v>
      </c>
      <c r="M82" s="18" t="n">
        <v>-8053.69</v>
      </c>
      <c r="N82" s="18" t="n">
        <v>0</v>
      </c>
      <c r="O82" s="18" t="n">
        <v>-906.9</v>
      </c>
      <c r="P82" s="37" t="n">
        <v>-7594.29</v>
      </c>
      <c r="Q82" s="18" t="n">
        <v>-2952.85</v>
      </c>
      <c r="R82" s="18" t="n">
        <v>13364.2</v>
      </c>
      <c r="S82" s="18" t="n">
        <v>1013.16</v>
      </c>
      <c r="T82" s="18" t="n">
        <v>-9070.15</v>
      </c>
      <c r="U82" s="37" t="n">
        <v>2354.36</v>
      </c>
      <c r="V82" s="18" t="n">
        <v>-1916.89</v>
      </c>
      <c r="W82" s="18" t="n">
        <v>596.22</v>
      </c>
      <c r="X82" s="18" t="n">
        <v>122.79</v>
      </c>
      <c r="Y82" s="18" t="n">
        <v>-288.14</v>
      </c>
      <c r="Z82" s="37" t="n">
        <v>-1486.02</v>
      </c>
      <c r="AA82" s="18" t="n">
        <v>-2344.34</v>
      </c>
      <c r="AB82" s="19" t="n">
        <v>-656.4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34.61</v>
      </c>
      <c r="F83" s="9" t="n"/>
      <c r="G83" s="18" t="n">
        <v>32.07</v>
      </c>
      <c r="H83" s="18" t="n">
        <v>84.81999999999999</v>
      </c>
      <c r="I83" s="18" t="n">
        <v>50.16</v>
      </c>
      <c r="J83" s="18" t="n">
        <v>38.75</v>
      </c>
      <c r="K83" s="37" t="n">
        <v>205.8</v>
      </c>
      <c r="L83" s="18" t="n">
        <v>21.4</v>
      </c>
      <c r="M83" s="18" t="n">
        <v>112.97</v>
      </c>
      <c r="N83" s="18" t="n">
        <v>0</v>
      </c>
      <c r="O83" s="18" t="n">
        <v>85.3</v>
      </c>
      <c r="P83" s="37" t="n">
        <v>219.67</v>
      </c>
      <c r="Q83" s="18" t="n">
        <v>30.3</v>
      </c>
      <c r="R83" s="18" t="n">
        <v>87.77</v>
      </c>
      <c r="S83" s="18" t="n">
        <v>55.62</v>
      </c>
      <c r="T83" s="18" t="n">
        <v>40.53</v>
      </c>
      <c r="U83" s="37" t="n">
        <v>214.22</v>
      </c>
      <c r="V83" s="18" t="n">
        <v>13.86</v>
      </c>
      <c r="W83" s="18" t="n">
        <v>50.52</v>
      </c>
      <c r="X83" s="18" t="n">
        <v>49.18</v>
      </c>
      <c r="Y83" s="18" t="n">
        <v>56.82</v>
      </c>
      <c r="Z83" s="37" t="n">
        <v>170.38</v>
      </c>
      <c r="AA83" s="18" t="n">
        <v>7.07</v>
      </c>
      <c r="AB83" s="19" t="n">
        <v>64.59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법인세납부(CF)</t>
        </is>
      </c>
      <c r="E84" s="18" t="n">
        <v>-161.43</v>
      </c>
      <c r="F84" s="9" t="n"/>
      <c r="G84" s="18" t="n">
        <v>-407.05</v>
      </c>
      <c r="H84" s="18" t="n">
        <v>-520.27</v>
      </c>
      <c r="I84" s="18" t="n">
        <v>-287.27</v>
      </c>
      <c r="J84" s="18" t="n">
        <v>-343.48</v>
      </c>
      <c r="K84" s="37" t="n">
        <v>-1558.07</v>
      </c>
      <c r="L84" s="18" t="n">
        <v>-1035.08</v>
      </c>
      <c r="M84" s="18" t="n">
        <v>-1342.91</v>
      </c>
      <c r="N84" s="18" t="n">
        <v>0</v>
      </c>
      <c r="O84" s="18" t="n">
        <v>37</v>
      </c>
      <c r="P84" s="37" t="n">
        <v>-2340.99</v>
      </c>
      <c r="Q84" s="18" t="n">
        <v>-9.34</v>
      </c>
      <c r="R84" s="18" t="n">
        <v>746.8200000000001</v>
      </c>
      <c r="S84" s="18" t="n">
        <v>-824.4299999999999</v>
      </c>
      <c r="T84" s="18" t="n">
        <v>779.66</v>
      </c>
      <c r="U84" s="37" t="n">
        <v>692.71</v>
      </c>
      <c r="V84" s="18" t="n">
        <v>-2204.85</v>
      </c>
      <c r="W84" s="18" t="n">
        <v>-817.39</v>
      </c>
      <c r="X84" s="18" t="n">
        <v>-15.84</v>
      </c>
      <c r="Y84" s="18" t="n">
        <v>-133.13</v>
      </c>
      <c r="Z84" s="37" t="n">
        <v>-3171.21</v>
      </c>
      <c r="AA84" s="18" t="n">
        <v>-326.09</v>
      </c>
      <c r="AB84" s="19" t="n">
        <v>-208.64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투자활동으로인한현금흐름</t>
        </is>
      </c>
      <c r="E85" s="18" t="n">
        <v>-1505.4</v>
      </c>
      <c r="F85" s="9" t="n"/>
      <c r="G85" s="18" t="n">
        <v>277.14</v>
      </c>
      <c r="H85" s="18" t="n">
        <v>-14751.81</v>
      </c>
      <c r="I85" s="18" t="n">
        <v>7200.15</v>
      </c>
      <c r="J85" s="18" t="n">
        <v>-3435.34</v>
      </c>
      <c r="K85" s="37" t="n">
        <v>-10709.86</v>
      </c>
      <c r="L85" s="18" t="n">
        <v>-97.43000000000001</v>
      </c>
      <c r="M85" s="18" t="n">
        <v>-903.3200000000001</v>
      </c>
      <c r="N85" s="18" t="n">
        <v>0</v>
      </c>
      <c r="O85" s="18" t="n">
        <v>-4830.91</v>
      </c>
      <c r="P85" s="37" t="n">
        <v>-5831.66</v>
      </c>
      <c r="Q85" s="18" t="n">
        <v>-626.7</v>
      </c>
      <c r="R85" s="18" t="n">
        <v>-610.53</v>
      </c>
      <c r="S85" s="18" t="n">
        <v>549.46</v>
      </c>
      <c r="T85" s="18" t="n">
        <v>18067.73</v>
      </c>
      <c r="U85" s="37" t="n">
        <v>17379.96</v>
      </c>
      <c r="V85" s="18" t="n">
        <v>-6868.64</v>
      </c>
      <c r="W85" s="18" t="n">
        <v>-3166.04</v>
      </c>
      <c r="X85" s="18" t="n">
        <v>-12526.06</v>
      </c>
      <c r="Y85" s="18" t="n">
        <v>7076.69</v>
      </c>
      <c r="Z85" s="37" t="n">
        <v>-15484.05</v>
      </c>
      <c r="AA85" s="18" t="n">
        <v>-3421.34</v>
      </c>
      <c r="AB85" s="19" t="n">
        <v>-1086.18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재무활동으로인한현금흐름</t>
        </is>
      </c>
      <c r="E86" s="18" t="n">
        <v>1472.76</v>
      </c>
      <c r="F86" s="9" t="n"/>
      <c r="G86" s="18" t="n">
        <v>48.34</v>
      </c>
      <c r="H86" s="18" t="n">
        <v>14413.22</v>
      </c>
      <c r="I86" s="18" t="n">
        <v>2404.05</v>
      </c>
      <c r="J86" s="18" t="n">
        <v>2396.75</v>
      </c>
      <c r="K86" s="37" t="n">
        <v>19262.36</v>
      </c>
      <c r="L86" s="18" t="n">
        <v>-6.9</v>
      </c>
      <c r="M86" s="18" t="n">
        <v>2726.42</v>
      </c>
      <c r="N86" s="18" t="n">
        <v>0</v>
      </c>
      <c r="O86" s="18" t="n">
        <v>4047.55</v>
      </c>
      <c r="P86" s="37" t="n">
        <v>6767.07</v>
      </c>
      <c r="Q86" s="18" t="n">
        <v>1703.41</v>
      </c>
      <c r="R86" s="18" t="n">
        <v>-979.1900000000001</v>
      </c>
      <c r="S86" s="18" t="n">
        <v>580.4</v>
      </c>
      <c r="T86" s="18" t="n">
        <v>2761.24</v>
      </c>
      <c r="U86" s="37" t="n">
        <v>4065.86</v>
      </c>
      <c r="V86" s="18" t="n">
        <v>-2870.47</v>
      </c>
      <c r="W86" s="18" t="n">
        <v>-819.98</v>
      </c>
      <c r="X86" s="18" t="n">
        <v>7691.35</v>
      </c>
      <c r="Y86" s="18" t="n">
        <v>-2538.49</v>
      </c>
      <c r="Z86" s="37" t="n">
        <v>1462.41</v>
      </c>
      <c r="AA86" s="18" t="n">
        <v>-328.72</v>
      </c>
      <c r="AB86" s="19" t="n">
        <v>-890.45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단기차입금의증가</t>
        </is>
      </c>
      <c r="E87" s="18" t="n">
        <v>152.65</v>
      </c>
      <c r="F87" s="9" t="n"/>
      <c r="G87" s="18" t="n">
        <v>141.83</v>
      </c>
      <c r="H87" s="18" t="n">
        <v>254.75</v>
      </c>
      <c r="I87" s="18" t="n">
        <v>11217.06</v>
      </c>
      <c r="J87" s="18" t="n">
        <v>3664.29</v>
      </c>
      <c r="K87" s="37" t="n">
        <v>15277.93</v>
      </c>
      <c r="L87" s="18" t="n">
        <v>2142.05</v>
      </c>
      <c r="M87" s="18" t="n">
        <v>5614.67</v>
      </c>
      <c r="N87" s="18" t="n">
        <v>0</v>
      </c>
      <c r="P87" s="9" t="n"/>
      <c r="Q87" s="18" t="n">
        <v>7713.51</v>
      </c>
      <c r="S87" s="18" t="n">
        <v>1525.62</v>
      </c>
      <c r="T87" s="18" t="n">
        <v>10035.62</v>
      </c>
      <c r="U87" s="9" t="n"/>
      <c r="V87" s="18" t="n">
        <v>1899.57</v>
      </c>
      <c r="W87" s="18" t="n">
        <v>2142.91</v>
      </c>
      <c r="X87" s="18" t="n">
        <v>2292.8</v>
      </c>
      <c r="Y87" s="18" t="n">
        <v>2385.56</v>
      </c>
      <c r="Z87" s="37" t="n">
        <v>8720.84</v>
      </c>
      <c r="AA87" s="18" t="n">
        <v>3269.34</v>
      </c>
      <c r="AB87" s="19" t="n">
        <v>1674.58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단기차입금의감소</t>
        </is>
      </c>
      <c r="E88" s="18" t="n">
        <v>55.84</v>
      </c>
      <c r="F88" s="9" t="n"/>
      <c r="G88" s="18" t="n">
        <v>78.5</v>
      </c>
      <c r="H88" s="18" t="n">
        <v>151.78</v>
      </c>
      <c r="I88" s="18" t="n">
        <v>8581.530000000001</v>
      </c>
      <c r="K88" s="9" t="n"/>
      <c r="L88" s="18" t="n">
        <v>2143.47</v>
      </c>
      <c r="M88" s="18" t="n">
        <v>2558.29</v>
      </c>
      <c r="N88" s="18" t="n">
        <v>0</v>
      </c>
      <c r="O88" s="18" t="n">
        <v>2014.05</v>
      </c>
      <c r="P88" s="37" t="n">
        <v>6715.81</v>
      </c>
      <c r="Q88" s="18" t="n">
        <v>5527.85</v>
      </c>
      <c r="S88" s="18" t="n">
        <v>1018.1</v>
      </c>
      <c r="T88" s="18" t="n">
        <v>7285.3</v>
      </c>
      <c r="U88" s="9" t="n"/>
      <c r="V88" s="18" t="n">
        <v>4284.84</v>
      </c>
      <c r="W88" s="18" t="n">
        <v>2962.89</v>
      </c>
      <c r="X88" s="18" t="n">
        <v>1356.35</v>
      </c>
      <c r="Y88" s="18" t="n">
        <v>4959.18</v>
      </c>
      <c r="Z88" s="37" t="n">
        <v>13563.26</v>
      </c>
      <c r="AA88" s="18" t="n">
        <v>2942.62</v>
      </c>
      <c r="AB88" s="19" t="n">
        <v>2555.22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자기주식의취득</t>
        </is>
      </c>
      <c r="E89" s="18" t="n">
        <v>0</v>
      </c>
      <c r="F89" s="9" t="n"/>
      <c r="G89" s="18" t="n">
        <v>0</v>
      </c>
      <c r="H89" s="18" t="n">
        <v>0</v>
      </c>
      <c r="I89" s="18" t="n">
        <v>0</v>
      </c>
      <c r="J89" s="18" t="n">
        <v>0</v>
      </c>
      <c r="K89" s="37" t="n">
        <v>0</v>
      </c>
      <c r="L89" s="18" t="n">
        <v>0</v>
      </c>
      <c r="M89" s="18" t="n">
        <v>0</v>
      </c>
      <c r="P89" s="9" t="n"/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장기차입금의감소</t>
        </is>
      </c>
      <c r="E90" s="18" t="n">
        <v>0</v>
      </c>
      <c r="F90" s="9" t="n"/>
      <c r="G90" s="18" t="n">
        <v>0</v>
      </c>
      <c r="H90" s="18" t="n">
        <v>0</v>
      </c>
      <c r="I90" s="18" t="n">
        <v>0</v>
      </c>
      <c r="J90" s="18" t="n">
        <v>1500</v>
      </c>
      <c r="K90" s="37" t="n">
        <v>1500</v>
      </c>
      <c r="L90" s="18" t="n">
        <v>0</v>
      </c>
      <c r="M90" s="18" t="n">
        <v>0</v>
      </c>
      <c r="N90" s="18" t="n">
        <v>0</v>
      </c>
      <c r="O90" s="18" t="n">
        <v>0</v>
      </c>
      <c r="P90" s="37" t="n">
        <v>0</v>
      </c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배당금지급</t>
        </is>
      </c>
      <c r="E91" s="18" t="n">
        <v>0</v>
      </c>
      <c r="F91" s="9" t="n"/>
      <c r="G91" s="18" t="n">
        <v>0</v>
      </c>
      <c r="H91" s="18" t="n">
        <v>1385.37</v>
      </c>
      <c r="I91" s="18" t="n">
        <v>0</v>
      </c>
      <c r="J91" s="18" t="n">
        <v>0</v>
      </c>
      <c r="K91" s="37" t="n">
        <v>1385.37</v>
      </c>
      <c r="L91" s="18" t="n">
        <v>0</v>
      </c>
      <c r="M91" s="18" t="n">
        <v>324.46</v>
      </c>
      <c r="N91" s="18" t="n">
        <v>0</v>
      </c>
      <c r="O91" s="18" t="n">
        <v>0</v>
      </c>
      <c r="P91" s="37" t="n">
        <v>324.46</v>
      </c>
      <c r="Q91" s="18" t="n">
        <v>486.69</v>
      </c>
      <c r="R91" s="18" t="n">
        <v>0</v>
      </c>
      <c r="S91" s="18" t="n">
        <v>0</v>
      </c>
      <c r="T91" s="18" t="n">
        <v>0</v>
      </c>
      <c r="U91" s="37" t="n">
        <v>486.69</v>
      </c>
      <c r="V91" s="18" t="n">
        <v>485.19</v>
      </c>
      <c r="W91" s="18" t="n">
        <v>0</v>
      </c>
      <c r="X91" s="18" t="n">
        <v>0</v>
      </c>
      <c r="Y91" s="18" t="n">
        <v>0</v>
      </c>
      <c r="Z91" s="37" t="n">
        <v>485.19</v>
      </c>
      <c r="AA91" s="18" t="n">
        <v>646.92</v>
      </c>
      <c r="AB91" s="19" t="n">
        <v>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2943.88</v>
      </c>
      <c r="F92" s="9" t="n"/>
      <c r="G92" s="18" t="n">
        <v>-4258.6</v>
      </c>
      <c r="H92" s="18" t="n">
        <v>1774.28</v>
      </c>
      <c r="I92" s="18" t="n">
        <v>19819.3</v>
      </c>
      <c r="J92" s="18" t="n">
        <v>-5647.25</v>
      </c>
      <c r="K92" s="37" t="n">
        <v>11687.73</v>
      </c>
      <c r="L92" s="18" t="n">
        <v>2526.76</v>
      </c>
      <c r="M92" s="18" t="n">
        <v>-12618.79</v>
      </c>
      <c r="N92" s="18" t="n">
        <v>-204.17</v>
      </c>
      <c r="O92" s="18" t="n">
        <v>-3013.34</v>
      </c>
      <c r="P92" s="37" t="n">
        <v>-13309.54</v>
      </c>
      <c r="Q92" s="18" t="n">
        <v>-3783.39</v>
      </c>
      <c r="R92" s="18" t="n">
        <v>13301.13</v>
      </c>
      <c r="S92" s="18" t="n">
        <v>14438.71</v>
      </c>
      <c r="T92" s="18" t="n">
        <v>23702.26</v>
      </c>
      <c r="U92" s="37" t="n">
        <v>47658.71</v>
      </c>
      <c r="V92" s="18" t="n">
        <v>-23177.92</v>
      </c>
      <c r="W92" s="18" t="n">
        <v>-7019.9</v>
      </c>
      <c r="X92" s="18" t="n">
        <v>-9401.43</v>
      </c>
      <c r="Y92" s="18" t="n">
        <v>8416.33</v>
      </c>
      <c r="Z92" s="37" t="n">
        <v>-31182.92</v>
      </c>
      <c r="AA92" s="18" t="n">
        <v>-12054.22</v>
      </c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1460.9</v>
      </c>
      <c r="F93" s="9" t="n"/>
      <c r="G93" s="18" t="n">
        <v>7749.02</v>
      </c>
      <c r="H93" s="18" t="n">
        <v>879.14</v>
      </c>
      <c r="I93" s="18" t="n">
        <v>9971.51</v>
      </c>
      <c r="J93" s="18" t="n">
        <v>-2991.97</v>
      </c>
      <c r="K93" s="37" t="n">
        <v>15607.7</v>
      </c>
      <c r="L93" s="18" t="n">
        <v>16872.49</v>
      </c>
      <c r="M93" s="18" t="n">
        <v>-6388.21</v>
      </c>
      <c r="N93" s="18" t="n">
        <v>-2259.01</v>
      </c>
      <c r="O93" s="18" t="n">
        <v>731.77</v>
      </c>
      <c r="P93" s="37" t="n">
        <v>8957.040000000001</v>
      </c>
      <c r="Q93" s="18" t="n">
        <v>7049.78</v>
      </c>
      <c r="R93" s="18" t="n">
        <v>11425</v>
      </c>
      <c r="S93" s="18" t="n">
        <v>2397.36</v>
      </c>
      <c r="T93" s="18" t="n">
        <v>11943.42</v>
      </c>
      <c r="U93" s="37" t="n">
        <v>32815.56</v>
      </c>
      <c r="V93" s="18" t="n">
        <v>21293.64</v>
      </c>
      <c r="W93" s="18" t="n">
        <v>-3630.1</v>
      </c>
      <c r="X93" s="18" t="n">
        <v>-4689.52</v>
      </c>
      <c r="Y93" s="18" t="n">
        <v>4166.28</v>
      </c>
      <c r="Z93" s="37" t="n">
        <v>17140.3</v>
      </c>
      <c r="AA93" s="18" t="n">
        <v>11180.48</v>
      </c>
      <c r="AB93" s="19" t="n">
        <v>-2654.5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F94" s="9" t="n"/>
      <c r="G94" s="18" t="n">
        <v>0</v>
      </c>
      <c r="H94" s="18" t="n">
        <v>0</v>
      </c>
      <c r="I94" s="18" t="n">
        <v>0</v>
      </c>
      <c r="J94" s="18" t="n">
        <v>0</v>
      </c>
      <c r="K94" s="37" t="n">
        <v>0</v>
      </c>
      <c r="L94" s="18" t="n">
        <v>0</v>
      </c>
      <c r="M94" s="18" t="n">
        <v>0</v>
      </c>
      <c r="P94" s="9" t="n"/>
      <c r="T94" s="18" t="n">
        <v>10.95</v>
      </c>
      <c r="U94" s="9" t="n"/>
      <c r="Y94" s="18" t="n">
        <v>45.91</v>
      </c>
      <c r="Z94" s="9" t="n"/>
      <c r="AA94" s="18" t="n">
        <v>2.27</v>
      </c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이자수취(CF)</t>
        </is>
      </c>
      <c r="F95" s="9" t="n"/>
      <c r="K95" s="9" t="n"/>
      <c r="O95" s="18" t="n">
        <v>838.28</v>
      </c>
      <c r="P95" s="9" t="n"/>
      <c r="Q95" s="18" t="n">
        <v>135.59</v>
      </c>
      <c r="R95" s="18" t="n">
        <v>75.8</v>
      </c>
      <c r="S95" s="18" t="n">
        <v>664.3200000000001</v>
      </c>
      <c r="T95" s="18" t="n">
        <v>88.7</v>
      </c>
      <c r="U95" s="37" t="n">
        <v>964.41</v>
      </c>
      <c r="V95" s="18" t="n">
        <v>179.67</v>
      </c>
      <c r="W95" s="18" t="n">
        <v>47.98</v>
      </c>
      <c r="X95" s="18" t="n">
        <v>118.05</v>
      </c>
      <c r="Y95" s="18" t="n">
        <v>-161.09</v>
      </c>
      <c r="Z95" s="37" t="n">
        <v>184.61</v>
      </c>
      <c r="AA95" s="18" t="n">
        <v>105.71</v>
      </c>
      <c r="AB95" s="19" t="n">
        <v>-93.98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한신기계공업(별)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67206.22</v>
      </c>
      <c r="F5" s="37" t="n">
        <v>67206.22</v>
      </c>
      <c r="G5" s="18" t="n">
        <v>64955.68</v>
      </c>
      <c r="H5" s="18" t="n">
        <v>70108.03</v>
      </c>
      <c r="I5" s="18" t="n">
        <v>74855.82000000001</v>
      </c>
      <c r="J5" s="18" t="n">
        <v>65515.27</v>
      </c>
      <c r="K5" s="37" t="n">
        <v>65515.27</v>
      </c>
      <c r="L5" s="18" t="n">
        <v>79412.50999999999</v>
      </c>
      <c r="M5" s="18" t="n">
        <v>72457.97</v>
      </c>
      <c r="N5" s="18" t="n">
        <v>73862.41</v>
      </c>
      <c r="O5" s="18" t="n">
        <v>64828.34</v>
      </c>
      <c r="P5" s="37" t="n">
        <v>64828.34</v>
      </c>
      <c r="Q5" s="18" t="n">
        <v>65532.06</v>
      </c>
      <c r="R5" s="18" t="n">
        <v>68544.39999999999</v>
      </c>
      <c r="S5" s="18" t="n">
        <v>75142.00999999999</v>
      </c>
      <c r="T5" s="18" t="n">
        <v>72257.25999999999</v>
      </c>
      <c r="U5" s="37" t="n">
        <v>72257.25999999999</v>
      </c>
      <c r="V5" s="18" t="n">
        <v>61864.77</v>
      </c>
      <c r="W5" s="18" t="n">
        <v>58766.39</v>
      </c>
      <c r="X5" s="18" t="n">
        <v>58402.47</v>
      </c>
      <c r="Y5" s="18" t="n">
        <v>53948.4</v>
      </c>
      <c r="Z5" s="37" t="n">
        <v>53948.4</v>
      </c>
      <c r="AA5" s="18" t="n">
        <v>49124</v>
      </c>
      <c r="AB5" s="19" t="n">
        <v>54246.57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9660.35</v>
      </c>
      <c r="F6" s="37" t="n">
        <v>9660.35</v>
      </c>
      <c r="G6" s="18" t="n">
        <v>7502.48</v>
      </c>
      <c r="H6" s="18" t="n">
        <v>8372.32</v>
      </c>
      <c r="I6" s="18" t="n">
        <v>18444.47</v>
      </c>
      <c r="J6" s="18" t="n">
        <v>15007.4</v>
      </c>
      <c r="K6" s="37" t="n">
        <v>15007.4</v>
      </c>
      <c r="L6" s="18" t="n">
        <v>16457.63</v>
      </c>
      <c r="M6" s="18" t="n">
        <v>10077.81</v>
      </c>
      <c r="N6" s="18" t="n">
        <v>7601.12</v>
      </c>
      <c r="O6" s="18" t="n">
        <v>7996.36</v>
      </c>
      <c r="P6" s="37" t="n">
        <v>7996.36</v>
      </c>
      <c r="Q6" s="18" t="n">
        <v>6378.78</v>
      </c>
      <c r="R6" s="18" t="n">
        <v>16493.77</v>
      </c>
      <c r="S6" s="18" t="n">
        <v>19504.4</v>
      </c>
      <c r="T6" s="18" t="n">
        <v>31383.67</v>
      </c>
      <c r="U6" s="37" t="n">
        <v>31383.67</v>
      </c>
      <c r="V6" s="18" t="n">
        <v>20073.74</v>
      </c>
      <c r="W6" s="18" t="n">
        <v>16609.6</v>
      </c>
      <c r="X6" s="18" t="n">
        <v>11034</v>
      </c>
      <c r="Y6" s="18" t="n">
        <v>15452.46</v>
      </c>
      <c r="Z6" s="37" t="n">
        <v>15452.46</v>
      </c>
      <c r="AA6" s="18" t="n">
        <v>9257.889999999999</v>
      </c>
      <c r="AB6" s="19" t="n">
        <v>6649.77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6.42</v>
      </c>
      <c r="F7" s="37" t="n">
        <v>6.42</v>
      </c>
      <c r="G7" s="18" t="n">
        <v>6.77</v>
      </c>
      <c r="H7" s="18" t="n">
        <v>5.37</v>
      </c>
      <c r="I7" s="18" t="n">
        <v>5.82</v>
      </c>
      <c r="J7" s="18" t="n">
        <v>6.27</v>
      </c>
      <c r="K7" s="37" t="n">
        <v>6.27</v>
      </c>
      <c r="L7" s="18" t="n">
        <v>6.27</v>
      </c>
      <c r="M7" s="18" t="n">
        <v>13.16</v>
      </c>
      <c r="N7" s="18" t="n">
        <v>13.16</v>
      </c>
      <c r="O7" s="18" t="n">
        <v>16.77</v>
      </c>
      <c r="P7" s="37" t="n">
        <v>16.77</v>
      </c>
      <c r="Q7" s="18" t="n">
        <v>14.04</v>
      </c>
      <c r="R7" s="18" t="n">
        <v>4.37</v>
      </c>
      <c r="S7" s="18" t="n">
        <v>3.4</v>
      </c>
      <c r="T7" s="18" t="n">
        <v>3.55</v>
      </c>
      <c r="U7" s="37" t="n">
        <v>3.55</v>
      </c>
      <c r="V7" s="18" t="n">
        <v>3.65</v>
      </c>
      <c r="W7" s="18" t="n">
        <v>3.65</v>
      </c>
      <c r="X7" s="18" t="n">
        <v>3.65</v>
      </c>
      <c r="Y7" s="18" t="n">
        <v>3.65</v>
      </c>
      <c r="Z7" s="37" t="n">
        <v>3.65</v>
      </c>
      <c r="AA7" s="18" t="n">
        <v>3.65</v>
      </c>
      <c r="AB7" s="19" t="n">
        <v>7.95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3234.18</v>
      </c>
      <c r="F8" s="37" t="n">
        <v>3234.18</v>
      </c>
      <c r="G8" s="18" t="n">
        <v>2040.89</v>
      </c>
      <c r="H8" s="18" t="n">
        <v>7537.72</v>
      </c>
      <c r="I8" s="18" t="n">
        <v>22.04</v>
      </c>
      <c r="J8" s="18" t="n">
        <v>6.27</v>
      </c>
      <c r="K8" s="37" t="n">
        <v>6.27</v>
      </c>
      <c r="L8" s="18" t="n">
        <v>3508.52</v>
      </c>
      <c r="M8" s="18" t="n">
        <v>4340.31</v>
      </c>
      <c r="N8" s="18" t="n">
        <v>13.16</v>
      </c>
      <c r="O8" s="18" t="n">
        <v>16.77</v>
      </c>
      <c r="P8" s="37" t="n">
        <v>16.77</v>
      </c>
      <c r="Q8" s="18" t="n">
        <v>14.04</v>
      </c>
      <c r="R8" s="18" t="n">
        <v>4.37</v>
      </c>
      <c r="S8" s="18" t="n">
        <v>3.4</v>
      </c>
      <c r="T8" s="18" t="n">
        <v>3127.75</v>
      </c>
      <c r="U8" s="37" t="n">
        <v>3127.75</v>
      </c>
      <c r="V8" s="18" t="n">
        <v>2946.05</v>
      </c>
      <c r="W8" s="18" t="n">
        <v>2286.49</v>
      </c>
      <c r="X8" s="18" t="n">
        <v>1157.49</v>
      </c>
      <c r="Y8" s="18" t="n">
        <v>914.14</v>
      </c>
      <c r="Z8" s="37" t="n">
        <v>914.14</v>
      </c>
      <c r="AA8" s="18" t="n">
        <v>353.2</v>
      </c>
      <c r="AB8" s="19" t="n">
        <v>1007.61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10219.93</v>
      </c>
      <c r="F9" s="37" t="n">
        <v>10219.93</v>
      </c>
      <c r="G9" s="18" t="n">
        <v>10871.41</v>
      </c>
      <c r="H9" s="18" t="n">
        <v>9295.809999999999</v>
      </c>
      <c r="I9" s="18" t="n">
        <v>9581.51</v>
      </c>
      <c r="J9" s="18" t="n">
        <v>9246.790000000001</v>
      </c>
      <c r="K9" s="37" t="n">
        <v>9246.790000000001</v>
      </c>
      <c r="L9" s="18" t="n">
        <v>9831.620000000001</v>
      </c>
      <c r="M9" s="18" t="n">
        <v>10620.17</v>
      </c>
      <c r="N9" s="18" t="n">
        <v>10383.19</v>
      </c>
      <c r="O9" s="18" t="n">
        <v>21056.56</v>
      </c>
      <c r="P9" s="37" t="n">
        <v>21056.56</v>
      </c>
      <c r="Q9" s="18" t="n">
        <v>23676.22</v>
      </c>
      <c r="R9" s="18" t="n">
        <v>14045.48</v>
      </c>
      <c r="S9" s="18" t="n">
        <v>15216.76</v>
      </c>
      <c r="T9" s="18" t="n">
        <v>526.25</v>
      </c>
      <c r="U9" s="37" t="n">
        <v>526.25</v>
      </c>
      <c r="V9" s="18" t="n">
        <v>4374.12</v>
      </c>
      <c r="W9" s="18" t="n">
        <v>7021.18</v>
      </c>
      <c r="X9" s="18" t="n">
        <v>9034.77</v>
      </c>
      <c r="Y9" s="18" t="n">
        <v>4439.93</v>
      </c>
      <c r="Z9" s="37" t="n">
        <v>4439.93</v>
      </c>
      <c r="AA9" s="18" t="n">
        <v>7693.21</v>
      </c>
      <c r="AB9" s="19" t="n">
        <v>10437.67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29826.94</v>
      </c>
      <c r="F10" s="37" t="n">
        <v>29826.94</v>
      </c>
      <c r="G10" s="18" t="n">
        <v>26603.7</v>
      </c>
      <c r="H10" s="18" t="n">
        <v>27490.9</v>
      </c>
      <c r="I10" s="18" t="n">
        <v>28660.96</v>
      </c>
      <c r="J10" s="18" t="n">
        <v>25860.04</v>
      </c>
      <c r="K10" s="37" t="n">
        <v>25860.04</v>
      </c>
      <c r="L10" s="18" t="n">
        <v>30722.17</v>
      </c>
      <c r="M10" s="18" t="n">
        <v>29774.47</v>
      </c>
      <c r="N10" s="18" t="n">
        <v>30375.24</v>
      </c>
      <c r="O10" s="18" t="n">
        <v>22078.23</v>
      </c>
      <c r="P10" s="37" t="n">
        <v>22078.23</v>
      </c>
      <c r="Q10" s="18" t="n">
        <v>21329.5</v>
      </c>
      <c r="R10" s="18" t="n">
        <v>21107.77</v>
      </c>
      <c r="S10" s="18" t="n">
        <v>22454.2</v>
      </c>
      <c r="T10" s="18" t="n">
        <v>24495.8</v>
      </c>
      <c r="U10" s="37" t="n">
        <v>24495.8</v>
      </c>
      <c r="V10" s="18" t="n">
        <v>18665.93</v>
      </c>
      <c r="W10" s="18" t="n">
        <v>17971.77</v>
      </c>
      <c r="X10" s="18" t="n">
        <v>19855.61</v>
      </c>
      <c r="Y10" s="18" t="n">
        <v>20803.23</v>
      </c>
      <c r="Z10" s="37" t="n">
        <v>20803.23</v>
      </c>
      <c r="AA10" s="18" t="n">
        <v>16847.48</v>
      </c>
      <c r="AB10" s="19" t="n">
        <v>17790.61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13343.8</v>
      </c>
      <c r="F11" s="37" t="n">
        <v>13343.8</v>
      </c>
      <c r="G11" s="18" t="n">
        <v>16142.92</v>
      </c>
      <c r="H11" s="18" t="n">
        <v>15730.32</v>
      </c>
      <c r="I11" s="18" t="n">
        <v>16121.53</v>
      </c>
      <c r="J11" s="18" t="n">
        <v>10282.62</v>
      </c>
      <c r="K11" s="37" t="n">
        <v>10282.62</v>
      </c>
      <c r="L11" s="18" t="n">
        <v>16326.05</v>
      </c>
      <c r="M11" s="18" t="n">
        <v>15609.36</v>
      </c>
      <c r="N11" s="18" t="n">
        <v>17494.75</v>
      </c>
      <c r="O11" s="18" t="n">
        <v>10964.95</v>
      </c>
      <c r="P11" s="37" t="n">
        <v>10964.95</v>
      </c>
      <c r="Q11" s="18" t="n">
        <v>11529.15</v>
      </c>
      <c r="R11" s="18" t="n">
        <v>15242.38</v>
      </c>
      <c r="S11" s="18" t="n">
        <v>15215.46</v>
      </c>
      <c r="T11" s="18" t="n">
        <v>10952.44</v>
      </c>
      <c r="U11" s="37" t="n">
        <v>10952.44</v>
      </c>
      <c r="V11" s="18" t="n">
        <v>13458.86</v>
      </c>
      <c r="W11" s="18" t="n">
        <v>12491.89</v>
      </c>
      <c r="X11" s="18" t="n">
        <v>14687.48</v>
      </c>
      <c r="Y11" s="18" t="n">
        <v>10608.71</v>
      </c>
      <c r="Z11" s="37" t="n">
        <v>10608.71</v>
      </c>
      <c r="AA11" s="18" t="n">
        <v>13091.05</v>
      </c>
      <c r="AB11" s="19" t="n">
        <v>15406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921.02</v>
      </c>
      <c r="F12" s="37" t="n">
        <v>921.02</v>
      </c>
      <c r="G12" s="18" t="n">
        <v>1794.28</v>
      </c>
      <c r="H12" s="18" t="n">
        <v>1680.95</v>
      </c>
      <c r="I12" s="18" t="n">
        <v>2025.31</v>
      </c>
      <c r="J12" s="18" t="n">
        <v>1609.9</v>
      </c>
      <c r="K12" s="37" t="n">
        <v>1609.9</v>
      </c>
      <c r="L12" s="18" t="n">
        <v>2544.26</v>
      </c>
      <c r="M12" s="18" t="n">
        <v>2035.85</v>
      </c>
      <c r="N12" s="18" t="n">
        <v>1805.82</v>
      </c>
      <c r="O12" s="18" t="n">
        <v>2426.66</v>
      </c>
      <c r="P12" s="37" t="n">
        <v>2426.66</v>
      </c>
      <c r="Q12" s="18" t="n">
        <v>2190.48</v>
      </c>
      <c r="R12" s="18" t="n">
        <v>1391.3</v>
      </c>
      <c r="S12" s="18" t="n">
        <v>2466.75</v>
      </c>
      <c r="T12" s="18" t="n">
        <v>1528.43</v>
      </c>
      <c r="U12" s="37" t="n">
        <v>1528.43</v>
      </c>
      <c r="V12" s="18" t="n">
        <v>818.24</v>
      </c>
      <c r="W12" s="18" t="n">
        <v>837.8</v>
      </c>
      <c r="X12" s="18" t="n">
        <v>1069.99</v>
      </c>
      <c r="Y12" s="18" t="n">
        <v>1729.94</v>
      </c>
      <c r="Z12" s="37" t="n">
        <v>1729.94</v>
      </c>
      <c r="AA12" s="18" t="n">
        <v>1865.2</v>
      </c>
      <c r="AB12" s="19" t="n">
        <v>2148.33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34382.87</v>
      </c>
      <c r="F13" s="37" t="n">
        <v>34382.87</v>
      </c>
      <c r="G13" s="18" t="n">
        <v>34126.5</v>
      </c>
      <c r="H13" s="18" t="n">
        <v>43512.49</v>
      </c>
      <c r="I13" s="18" t="n">
        <v>43414.55</v>
      </c>
      <c r="J13" s="18" t="n">
        <v>47680.59</v>
      </c>
      <c r="K13" s="37" t="n">
        <v>47680.59</v>
      </c>
      <c r="L13" s="18" t="n">
        <v>46138.47</v>
      </c>
      <c r="M13" s="18" t="n">
        <v>45796.91</v>
      </c>
      <c r="N13" s="18" t="n">
        <v>46741.88</v>
      </c>
      <c r="O13" s="18" t="n">
        <v>46996.94</v>
      </c>
      <c r="P13" s="37" t="n">
        <v>46996.94</v>
      </c>
      <c r="Q13" s="18" t="n">
        <v>47596.1</v>
      </c>
      <c r="R13" s="18" t="n">
        <v>48229.75</v>
      </c>
      <c r="S13" s="18" t="n">
        <v>47788.06</v>
      </c>
      <c r="T13" s="18" t="n">
        <v>48888.79</v>
      </c>
      <c r="U13" s="37" t="n">
        <v>48888.79</v>
      </c>
      <c r="V13" s="18" t="n">
        <v>51030.52</v>
      </c>
      <c r="W13" s="18" t="n">
        <v>51782.17</v>
      </c>
      <c r="X13" s="18" t="n">
        <v>57266.16</v>
      </c>
      <c r="Y13" s="18" t="n">
        <v>55992.34</v>
      </c>
      <c r="Z13" s="37" t="n">
        <v>55992.34</v>
      </c>
      <c r="AA13" s="18" t="n">
        <v>56367.92</v>
      </c>
      <c r="AB13" s="19" t="n">
        <v>54825.77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16.25</v>
      </c>
      <c r="F14" s="37" t="n">
        <v>16.25</v>
      </c>
      <c r="G14" s="18" t="n">
        <v>15.41</v>
      </c>
      <c r="H14" s="18" t="n">
        <v>16.16</v>
      </c>
      <c r="I14" s="18" t="n">
        <v>17.06</v>
      </c>
      <c r="J14" s="18" t="n">
        <v>17.96</v>
      </c>
      <c r="K14" s="37" t="n">
        <v>17.96</v>
      </c>
      <c r="L14" s="18" t="n">
        <v>19.16</v>
      </c>
      <c r="M14" s="18" t="n">
        <v>7.93</v>
      </c>
      <c r="N14" s="18" t="n">
        <v>8.98</v>
      </c>
      <c r="O14" s="18" t="n">
        <v>5.3</v>
      </c>
      <c r="P14" s="37" t="n">
        <v>5.3</v>
      </c>
      <c r="Q14" s="18" t="n">
        <v>8.83</v>
      </c>
      <c r="R14" s="18" t="n">
        <v>9.550000000000001</v>
      </c>
      <c r="S14" s="18" t="n">
        <v>10</v>
      </c>
      <c r="T14" s="18" t="n">
        <v>10.45</v>
      </c>
      <c r="U14" s="37" t="n">
        <v>10.45</v>
      </c>
      <c r="V14" s="18" t="n">
        <v>10.9</v>
      </c>
      <c r="W14" s="18" t="n">
        <v>111.35</v>
      </c>
      <c r="X14" s="18" t="n">
        <v>111.8</v>
      </c>
      <c r="Y14" s="18" t="n">
        <v>112.25</v>
      </c>
      <c r="Z14" s="37" t="n">
        <v>112.25</v>
      </c>
      <c r="AA14" s="18" t="n">
        <v>112.7</v>
      </c>
      <c r="AB14" s="19" t="n">
        <v>3900.08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4770.28</v>
      </c>
      <c r="F15" s="37" t="n">
        <v>4770.28</v>
      </c>
      <c r="G15" s="18" t="n">
        <v>4769.44</v>
      </c>
      <c r="H15" s="18" t="n">
        <v>4770.19</v>
      </c>
      <c r="I15" s="18" t="n">
        <v>4771.09</v>
      </c>
      <c r="J15" s="18" t="n">
        <v>4867.7</v>
      </c>
      <c r="K15" s="37" t="n">
        <v>4867.7</v>
      </c>
      <c r="L15" s="18" t="n">
        <v>4868.9</v>
      </c>
      <c r="M15" s="18" t="n">
        <v>5107.67</v>
      </c>
      <c r="N15" s="18" t="n">
        <v>5108.72</v>
      </c>
      <c r="O15" s="18" t="n">
        <v>4855.04</v>
      </c>
      <c r="P15" s="37" t="n">
        <v>4855.04</v>
      </c>
      <c r="Q15" s="18" t="n">
        <v>4858.57</v>
      </c>
      <c r="R15" s="18" t="n">
        <v>5119.29</v>
      </c>
      <c r="S15" s="18" t="n">
        <v>5119.74</v>
      </c>
      <c r="T15" s="18" t="n">
        <v>1311.36</v>
      </c>
      <c r="U15" s="37" t="n">
        <v>1311.36</v>
      </c>
      <c r="V15" s="18" t="n">
        <v>1311.81</v>
      </c>
      <c r="W15" s="18" t="n">
        <v>1412.26</v>
      </c>
      <c r="X15" s="18" t="n">
        <v>6539.59</v>
      </c>
      <c r="Y15" s="18" t="n">
        <v>6540.04</v>
      </c>
      <c r="Z15" s="37" t="n">
        <v>6540.04</v>
      </c>
      <c r="AA15" s="18" t="n">
        <v>6540.49</v>
      </c>
      <c r="AB15" s="19" t="n">
        <v>10327.87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532.65</v>
      </c>
      <c r="F16" s="37" t="n">
        <v>532.65</v>
      </c>
      <c r="G16" s="18" t="n">
        <v>594.05</v>
      </c>
      <c r="H16" s="18" t="n">
        <v>613.23</v>
      </c>
      <c r="I16" s="18" t="n">
        <v>625.8</v>
      </c>
      <c r="K16" s="9" t="n"/>
      <c r="L16" s="18" t="n">
        <v>1481.28</v>
      </c>
      <c r="M16" s="18" t="n">
        <v>1495.64</v>
      </c>
      <c r="N16" s="18" t="n">
        <v>1465.19</v>
      </c>
      <c r="P16" s="9" t="n"/>
      <c r="U16" s="9" t="n"/>
      <c r="Z16" s="9" t="n"/>
      <c r="AB16" s="19" t="n">
        <v>4165.23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4754.03</v>
      </c>
      <c r="F17" s="37" t="n">
        <v>4754.03</v>
      </c>
      <c r="G17" s="18" t="n">
        <v>4754.03</v>
      </c>
      <c r="H17" s="18" t="n">
        <v>4754.03</v>
      </c>
      <c r="I17" s="18" t="n">
        <v>4754.03</v>
      </c>
      <c r="J17" s="18" t="n">
        <v>4849.74</v>
      </c>
      <c r="K17" s="37" t="n">
        <v>4849.74</v>
      </c>
      <c r="L17" s="18" t="n">
        <v>4849.74</v>
      </c>
      <c r="M17" s="18" t="n">
        <v>5099.74</v>
      </c>
      <c r="N17" s="18" t="n">
        <v>5099.74</v>
      </c>
      <c r="O17" s="18" t="n">
        <v>4849.74</v>
      </c>
      <c r="P17" s="37" t="n">
        <v>4849.74</v>
      </c>
      <c r="Q17" s="18" t="n">
        <v>4849.74</v>
      </c>
      <c r="R17" s="18" t="n">
        <v>5109.74</v>
      </c>
      <c r="S17" s="18" t="n">
        <v>5109.74</v>
      </c>
      <c r="T17" s="18" t="n">
        <v>1300.91</v>
      </c>
      <c r="U17" s="37" t="n">
        <v>1300.91</v>
      </c>
      <c r="V17" s="18" t="n">
        <v>1300.91</v>
      </c>
      <c r="W17" s="18" t="n">
        <v>1300.91</v>
      </c>
      <c r="X17" s="18" t="n">
        <v>6427.79</v>
      </c>
      <c r="Y17" s="18" t="n">
        <v>6427.79</v>
      </c>
      <c r="Z17" s="37" t="n">
        <v>6427.79</v>
      </c>
      <c r="AA17" s="18" t="n">
        <v>6427.79</v>
      </c>
      <c r="AB17" s="19" t="n">
        <v>6427.79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4093.44</v>
      </c>
      <c r="F18" s="37" t="n">
        <v>4093.44</v>
      </c>
      <c r="G18" s="18" t="n">
        <v>4070.09</v>
      </c>
      <c r="H18" s="18" t="n">
        <v>13742.86</v>
      </c>
      <c r="I18" s="18" t="n">
        <v>13709.75</v>
      </c>
      <c r="J18" s="18" t="n">
        <v>13676.64</v>
      </c>
      <c r="K18" s="37" t="n">
        <v>13676.64</v>
      </c>
      <c r="L18" s="18" t="n">
        <v>13646.79</v>
      </c>
      <c r="M18" s="18" t="n">
        <v>13580.22</v>
      </c>
      <c r="N18" s="18" t="n">
        <v>13585.58</v>
      </c>
      <c r="O18" s="18" t="n">
        <v>13544.21</v>
      </c>
      <c r="P18" s="37" t="n">
        <v>13544.21</v>
      </c>
      <c r="Q18" s="18" t="n">
        <v>13509.81</v>
      </c>
      <c r="R18" s="18" t="n">
        <v>13476.54</v>
      </c>
      <c r="S18" s="18" t="n">
        <v>13442.8</v>
      </c>
      <c r="T18" s="18" t="n">
        <v>13442.8</v>
      </c>
      <c r="U18" s="37" t="n">
        <v>13442.8</v>
      </c>
      <c r="V18" s="18" t="n">
        <v>13409.69</v>
      </c>
      <c r="W18" s="18" t="n">
        <v>13809.16</v>
      </c>
      <c r="X18" s="18" t="n">
        <v>13774.7</v>
      </c>
      <c r="Y18" s="18" t="n">
        <v>13740.23</v>
      </c>
      <c r="Z18" s="37" t="n">
        <v>13740.23</v>
      </c>
      <c r="AA18" s="18" t="n">
        <v>14810.47</v>
      </c>
      <c r="AB18" s="19" t="n">
        <v>14769.14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18" t="n">
        <v>24105.27</v>
      </c>
      <c r="F19" s="37" t="n">
        <v>24105.27</v>
      </c>
      <c r="G19" s="18" t="n">
        <v>24017.61</v>
      </c>
      <c r="H19" s="18" t="n">
        <v>23926.35</v>
      </c>
      <c r="I19" s="18" t="n">
        <v>23854.93</v>
      </c>
      <c r="J19" s="18" t="n">
        <v>23389.4</v>
      </c>
      <c r="K19" s="37" t="n">
        <v>23389.4</v>
      </c>
      <c r="L19" s="18" t="n">
        <v>23357.63</v>
      </c>
      <c r="M19" s="18" t="n">
        <v>23274.66</v>
      </c>
      <c r="N19" s="18" t="n">
        <v>24387.81</v>
      </c>
      <c r="O19" s="18" t="n">
        <v>24162.89</v>
      </c>
      <c r="P19" s="37" t="n">
        <v>24162.89</v>
      </c>
      <c r="Q19" s="18" t="n">
        <v>24410.27</v>
      </c>
      <c r="R19" s="18" t="n">
        <v>24702.15</v>
      </c>
      <c r="S19" s="18" t="n">
        <v>24614.45</v>
      </c>
      <c r="T19" s="18" t="n">
        <v>24374.69</v>
      </c>
      <c r="U19" s="37" t="n">
        <v>24374.69</v>
      </c>
      <c r="V19" s="18" t="n">
        <v>24282.16</v>
      </c>
      <c r="W19" s="18" t="n">
        <v>24288.55</v>
      </c>
      <c r="X19" s="18" t="n">
        <v>24659.29</v>
      </c>
      <c r="Y19" s="18" t="n">
        <v>25093.06</v>
      </c>
      <c r="Z19" s="37" t="n">
        <v>25093.06</v>
      </c>
      <c r="AA19" s="18" t="n">
        <v>24183.81</v>
      </c>
      <c r="AB19" s="19" t="n">
        <v>24063.65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425.26</v>
      </c>
      <c r="F20" s="37" t="n">
        <v>425.26</v>
      </c>
      <c r="G20" s="18" t="n">
        <v>453.36</v>
      </c>
      <c r="H20" s="18" t="n">
        <v>459.87</v>
      </c>
      <c r="I20" s="18" t="n">
        <v>452.99</v>
      </c>
      <c r="K20" s="9" t="n"/>
      <c r="L20" s="18" t="n">
        <v>831.27</v>
      </c>
      <c r="M20" s="18" t="n">
        <v>780.37</v>
      </c>
      <c r="P20" s="9" t="n"/>
      <c r="R20" s="18" t="n">
        <v>671.27</v>
      </c>
      <c r="U20" s="9" t="n"/>
      <c r="Z20" s="9" t="n"/>
      <c r="AB20" s="19" t="n">
        <v>520.63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101589.09</v>
      </c>
      <c r="F21" s="37" t="n">
        <v>101589.09</v>
      </c>
      <c r="G21" s="18" t="n">
        <v>99082.17999999999</v>
      </c>
      <c r="H21" s="18" t="n">
        <v>113620.52</v>
      </c>
      <c r="I21" s="18" t="n">
        <v>118270.37</v>
      </c>
      <c r="J21" s="18" t="n">
        <v>113195.86</v>
      </c>
      <c r="K21" s="37" t="n">
        <v>113195.86</v>
      </c>
      <c r="L21" s="18" t="n">
        <v>125550.98</v>
      </c>
      <c r="M21" s="18" t="n">
        <v>118254.88</v>
      </c>
      <c r="N21" s="18" t="n">
        <v>120604.3</v>
      </c>
      <c r="O21" s="18" t="n">
        <v>111825.27</v>
      </c>
      <c r="P21" s="37" t="n">
        <v>111825.27</v>
      </c>
      <c r="Q21" s="18" t="n">
        <v>113128.16</v>
      </c>
      <c r="R21" s="18" t="n">
        <v>116774.15</v>
      </c>
      <c r="S21" s="18" t="n">
        <v>122930.07</v>
      </c>
      <c r="T21" s="18" t="n">
        <v>121146.05</v>
      </c>
      <c r="U21" s="37" t="n">
        <v>121146.05</v>
      </c>
      <c r="V21" s="18" t="n">
        <v>112895.29</v>
      </c>
      <c r="W21" s="18" t="n">
        <v>110548.57</v>
      </c>
      <c r="X21" s="18" t="n">
        <v>115668.62</v>
      </c>
      <c r="Y21" s="18" t="n">
        <v>109940.73</v>
      </c>
      <c r="Z21" s="37" t="n">
        <v>109940.73</v>
      </c>
      <c r="AA21" s="18" t="n">
        <v>105491.92</v>
      </c>
      <c r="AB21" s="19" t="n">
        <v>109072.34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11392.97</v>
      </c>
      <c r="F22" s="37" t="n">
        <v>11392.97</v>
      </c>
      <c r="G22" s="18" t="n">
        <v>10204.6</v>
      </c>
      <c r="H22" s="18" t="n">
        <v>12366.13</v>
      </c>
      <c r="I22" s="18" t="n">
        <v>16031.01</v>
      </c>
      <c r="J22" s="18" t="n">
        <v>20913.27</v>
      </c>
      <c r="K22" s="37" t="n">
        <v>20913.27</v>
      </c>
      <c r="L22" s="18" t="n">
        <v>26879.2</v>
      </c>
      <c r="M22" s="18" t="n">
        <v>21758.13</v>
      </c>
      <c r="N22" s="18" t="n">
        <v>22119.12</v>
      </c>
      <c r="O22" s="18" t="n">
        <v>15007.08</v>
      </c>
      <c r="P22" s="37" t="n">
        <v>15007.08</v>
      </c>
      <c r="Q22" s="18" t="n">
        <v>19800.29</v>
      </c>
      <c r="R22" s="18" t="n">
        <v>19412.01</v>
      </c>
      <c r="S22" s="18" t="n">
        <v>23970.95</v>
      </c>
      <c r="T22" s="18" t="n">
        <v>26742.11</v>
      </c>
      <c r="U22" s="37" t="n">
        <v>26742.11</v>
      </c>
      <c r="V22" s="18" t="n">
        <v>18585.49</v>
      </c>
      <c r="W22" s="18" t="n">
        <v>15698.97</v>
      </c>
      <c r="X22" s="18" t="n">
        <v>18371.65</v>
      </c>
      <c r="Y22" s="18" t="n">
        <v>16310.74</v>
      </c>
      <c r="Z22" s="37" t="n">
        <v>16310.74</v>
      </c>
      <c r="AA22" s="18" t="n">
        <v>13983.3</v>
      </c>
      <c r="AB22" s="19" t="n">
        <v>15079.7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8477.91</v>
      </c>
      <c r="F23" s="37" t="n">
        <v>8477.91</v>
      </c>
      <c r="G23" s="18" t="n">
        <v>7408.29</v>
      </c>
      <c r="H23" s="18" t="n">
        <v>6861.55</v>
      </c>
      <c r="I23" s="18" t="n">
        <v>7390</v>
      </c>
      <c r="J23" s="18" t="n">
        <v>8715.629999999999</v>
      </c>
      <c r="K23" s="37" t="n">
        <v>8715.629999999999</v>
      </c>
      <c r="L23" s="18" t="n">
        <v>13507.88</v>
      </c>
      <c r="M23" s="18" t="n">
        <v>7940.77</v>
      </c>
      <c r="N23" s="18" t="n">
        <v>14492.12</v>
      </c>
      <c r="O23" s="18" t="n">
        <v>7189.96</v>
      </c>
      <c r="P23" s="37" t="n">
        <v>7189.96</v>
      </c>
      <c r="Q23" s="18" t="n">
        <v>7124</v>
      </c>
      <c r="R23" s="18" t="n">
        <v>5885.66</v>
      </c>
      <c r="S23" s="18" t="n">
        <v>8986.969999999999</v>
      </c>
      <c r="T23" s="18" t="n">
        <v>8674.68</v>
      </c>
      <c r="U23" s="37" t="n">
        <v>8674.68</v>
      </c>
      <c r="V23" s="18" t="n">
        <v>6016.03</v>
      </c>
      <c r="W23" s="18" t="n">
        <v>6291.4</v>
      </c>
      <c r="X23" s="18" t="n">
        <v>6723.15</v>
      </c>
      <c r="Y23" s="18" t="n">
        <v>8037.99</v>
      </c>
      <c r="Z23" s="37" t="n">
        <v>8037.99</v>
      </c>
      <c r="AA23" s="18" t="n">
        <v>5195.24</v>
      </c>
      <c r="AB23" s="19" t="n">
        <v>6955.43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230.28</v>
      </c>
      <c r="F24" s="37" t="n">
        <v>230.28</v>
      </c>
      <c r="G24" s="18" t="n">
        <v>280.63</v>
      </c>
      <c r="H24" s="18" t="n">
        <v>384.69</v>
      </c>
      <c r="I24" s="18" t="n">
        <v>3270.05</v>
      </c>
      <c r="J24" s="18" t="n">
        <v>6641.54</v>
      </c>
      <c r="K24" s="37" t="n">
        <v>6641.54</v>
      </c>
      <c r="L24" s="18" t="n">
        <v>6640.13</v>
      </c>
      <c r="M24" s="18" t="n">
        <v>9684.67</v>
      </c>
      <c r="N24" s="18" t="n">
        <v>1040.46</v>
      </c>
      <c r="O24" s="18" t="n">
        <v>6127.72</v>
      </c>
      <c r="P24" s="37" t="n">
        <v>6127.72</v>
      </c>
      <c r="Q24" s="18" t="n">
        <v>8051.85</v>
      </c>
      <c r="R24" s="18" t="n">
        <v>7643.49</v>
      </c>
      <c r="S24" s="18" t="n">
        <v>7758.59</v>
      </c>
      <c r="T24" s="18" t="n">
        <v>11350.08</v>
      </c>
      <c r="U24" s="37" t="n">
        <v>11350.08</v>
      </c>
      <c r="V24" s="18" t="n">
        <v>8967.049999999999</v>
      </c>
      <c r="W24" s="18" t="n">
        <v>7638.32</v>
      </c>
      <c r="X24" s="18" t="n">
        <v>8913.309999999999</v>
      </c>
      <c r="Y24" s="18" t="n">
        <v>6573.36</v>
      </c>
      <c r="Z24" s="37" t="n">
        <v>6573.36</v>
      </c>
      <c r="AA24" s="18" t="n">
        <v>7191.04</v>
      </c>
      <c r="AB24" s="19" t="n">
        <v>6310.07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당기법인세부채(미지급법인세)</t>
        </is>
      </c>
      <c r="E25" s="18" t="n">
        <v>891.71</v>
      </c>
      <c r="F25" s="37" t="n">
        <v>891.71</v>
      </c>
      <c r="G25" s="18" t="n">
        <v>500.39</v>
      </c>
      <c r="H25" s="18" t="n">
        <v>2497.93</v>
      </c>
      <c r="I25" s="18" t="n">
        <v>3130.47</v>
      </c>
      <c r="J25" s="18" t="n">
        <v>2361.95</v>
      </c>
      <c r="K25" s="37" t="n">
        <v>2361.95</v>
      </c>
      <c r="L25" s="18" t="n">
        <v>1319.03</v>
      </c>
      <c r="M25" s="18" t="n">
        <v>0</v>
      </c>
      <c r="N25" s="18" t="n">
        <v>0</v>
      </c>
      <c r="O25" s="18" t="n">
        <v>0</v>
      </c>
      <c r="P25" s="37" t="n">
        <v>0</v>
      </c>
      <c r="T25" s="18" t="n">
        <v>2851.01</v>
      </c>
      <c r="U25" s="37" t="n">
        <v>2851.01</v>
      </c>
      <c r="V25" s="18" t="n">
        <v>687.02</v>
      </c>
      <c r="W25" s="18" t="n">
        <v>0</v>
      </c>
      <c r="X25" s="18" t="n">
        <v>0</v>
      </c>
      <c r="Y25" s="18" t="n">
        <v>437.65</v>
      </c>
      <c r="Z25" s="37" t="n">
        <v>437.65</v>
      </c>
      <c r="AA25" s="18" t="n">
        <v>265.87</v>
      </c>
      <c r="AB25" s="19" t="n">
        <v>448.98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1793.07</v>
      </c>
      <c r="F26" s="37" t="n">
        <v>1793.07</v>
      </c>
      <c r="G26" s="18" t="n">
        <v>2015.28</v>
      </c>
      <c r="H26" s="18" t="n">
        <v>2621.96</v>
      </c>
      <c r="I26" s="18" t="n">
        <v>2240.49</v>
      </c>
      <c r="J26" s="18" t="n">
        <v>3194.14</v>
      </c>
      <c r="K26" s="37" t="n">
        <v>3194.14</v>
      </c>
      <c r="L26" s="18" t="n">
        <v>5412.16</v>
      </c>
      <c r="M26" s="18" t="n">
        <v>4132.68</v>
      </c>
      <c r="N26" s="18" t="n">
        <v>6586.54</v>
      </c>
      <c r="O26" s="18" t="n">
        <v>1689.4</v>
      </c>
      <c r="P26" s="37" t="n">
        <v>1689.4</v>
      </c>
      <c r="Q26" s="18" t="n">
        <v>4624.44</v>
      </c>
      <c r="R26" s="18" t="n">
        <v>5882.86</v>
      </c>
      <c r="S26" s="18" t="n">
        <v>7225.4</v>
      </c>
      <c r="T26" s="18" t="n">
        <v>474.8</v>
      </c>
      <c r="U26" s="37" t="n">
        <v>474.8</v>
      </c>
      <c r="V26" s="18" t="n">
        <v>502.56</v>
      </c>
      <c r="W26" s="18" t="n">
        <v>505.53</v>
      </c>
      <c r="X26" s="18" t="n">
        <v>739.6799999999999</v>
      </c>
      <c r="Y26" s="18" t="n">
        <v>967.29</v>
      </c>
      <c r="Z26" s="37" t="n">
        <v>967.29</v>
      </c>
      <c r="AA26" s="18" t="n">
        <v>553.64</v>
      </c>
      <c r="AB26" s="19" t="n">
        <v>461.92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비유동부채</t>
        </is>
      </c>
      <c r="E27" s="18" t="n">
        <v>1409.68</v>
      </c>
      <c r="F27" s="37" t="n">
        <v>1409.68</v>
      </c>
      <c r="G27" s="18" t="n">
        <v>1394.98</v>
      </c>
      <c r="H27" s="18" t="n">
        <v>2024.77</v>
      </c>
      <c r="I27" s="18" t="n">
        <v>2288.23</v>
      </c>
      <c r="J27" s="18" t="n">
        <v>838.66</v>
      </c>
      <c r="K27" s="37" t="n">
        <v>838.66</v>
      </c>
      <c r="L27" s="18" t="n">
        <v>853.11</v>
      </c>
      <c r="M27" s="18" t="n">
        <v>834.21</v>
      </c>
      <c r="N27" s="18" t="n">
        <v>834.21</v>
      </c>
      <c r="O27" s="18" t="n">
        <v>775.84</v>
      </c>
      <c r="P27" s="37" t="n">
        <v>775.84</v>
      </c>
      <c r="Q27" s="18" t="n">
        <v>590.84</v>
      </c>
      <c r="R27" s="18" t="n">
        <v>1750.7</v>
      </c>
      <c r="S27" s="18" t="n">
        <v>1690.76</v>
      </c>
      <c r="T27" s="18" t="n">
        <v>1687.62</v>
      </c>
      <c r="U27" s="37" t="n">
        <v>1687.62</v>
      </c>
      <c r="V27" s="18" t="n">
        <v>1899.61</v>
      </c>
      <c r="W27" s="18" t="n">
        <v>2073.23</v>
      </c>
      <c r="X27" s="18" t="n">
        <v>2233.63</v>
      </c>
      <c r="Y27" s="18" t="n">
        <v>1430.27</v>
      </c>
      <c r="Z27" s="37" t="n">
        <v>1430.27</v>
      </c>
      <c r="AA27" s="18" t="n">
        <v>1593.34</v>
      </c>
      <c r="AB27" s="19" t="n">
        <v>1723.64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장기매입채무및기타채무</t>
        </is>
      </c>
      <c r="E28" s="18" t="n">
        <v>582.4</v>
      </c>
      <c r="F28" s="37" t="n">
        <v>582.4</v>
      </c>
      <c r="G28" s="18" t="n">
        <v>572.9</v>
      </c>
      <c r="H28" s="18" t="n">
        <v>811.77</v>
      </c>
      <c r="I28" s="18" t="n">
        <v>823.95</v>
      </c>
      <c r="J28" s="18" t="n">
        <v>830.46</v>
      </c>
      <c r="K28" s="37" t="n">
        <v>830.46</v>
      </c>
      <c r="L28" s="18" t="n">
        <v>830.46</v>
      </c>
      <c r="M28" s="18" t="n">
        <v>830.46</v>
      </c>
      <c r="N28" s="18" t="n">
        <v>830.46</v>
      </c>
      <c r="O28" s="18" t="n">
        <v>729.96</v>
      </c>
      <c r="P28" s="37" t="n">
        <v>729.96</v>
      </c>
      <c r="Q28" s="18" t="n">
        <v>544.96</v>
      </c>
      <c r="R28" s="18" t="n">
        <v>1157.08</v>
      </c>
      <c r="S28" s="18" t="n">
        <v>1097.14</v>
      </c>
      <c r="T28" s="18" t="n">
        <v>1089.88</v>
      </c>
      <c r="U28" s="37" t="n">
        <v>1089.88</v>
      </c>
      <c r="V28" s="18" t="n">
        <v>1090.95</v>
      </c>
      <c r="W28" s="18" t="n">
        <v>1092.02</v>
      </c>
      <c r="X28" s="18" t="n">
        <v>976.09</v>
      </c>
      <c r="Y28" s="18" t="n">
        <v>961.72</v>
      </c>
      <c r="Z28" s="37" t="n">
        <v>961.72</v>
      </c>
      <c r="AA28" s="18" t="n">
        <v>953.45</v>
      </c>
      <c r="AB28" s="19" t="n">
        <v>954.6900000000001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확정급여부채</t>
        </is>
      </c>
      <c r="E29" s="18" t="n">
        <v>0</v>
      </c>
      <c r="F29" s="37" t="n">
        <v>0</v>
      </c>
      <c r="G29" s="18" t="n">
        <v>0</v>
      </c>
      <c r="H29" s="18" t="n">
        <v>27.67</v>
      </c>
      <c r="I29" s="18" t="n">
        <v>279.07</v>
      </c>
      <c r="J29" s="18" t="n">
        <v>0</v>
      </c>
      <c r="K29" s="37" t="n">
        <v>0</v>
      </c>
      <c r="L29" s="18" t="n">
        <v>14.46</v>
      </c>
      <c r="M29" s="18" t="n">
        <v>0</v>
      </c>
      <c r="N29" s="18" t="n">
        <v>0</v>
      </c>
      <c r="P29" s="9" t="n"/>
      <c r="T29" s="18" t="n">
        <v>576.25</v>
      </c>
      <c r="U29" s="37" t="n">
        <v>576.25</v>
      </c>
      <c r="V29" s="18" t="n">
        <v>787.17</v>
      </c>
      <c r="W29" s="18" t="n">
        <v>971.6799999999999</v>
      </c>
      <c r="X29" s="18" t="n">
        <v>1117.91</v>
      </c>
      <c r="Y29" s="18" t="n">
        <v>281.07</v>
      </c>
      <c r="Z29" s="37" t="n">
        <v>281.07</v>
      </c>
      <c r="AA29" s="18" t="n">
        <v>471.21</v>
      </c>
      <c r="AB29" s="19" t="n">
        <v>621.13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803.23</v>
      </c>
      <c r="F30" s="37" t="n">
        <v>803.23</v>
      </c>
      <c r="G30" s="18" t="n">
        <v>803.23</v>
      </c>
      <c r="H30" s="18" t="n">
        <v>1171.72</v>
      </c>
      <c r="I30" s="18" t="n">
        <v>1171.72</v>
      </c>
      <c r="J30" s="18" t="n">
        <v>0</v>
      </c>
      <c r="K30" s="37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37" t="n">
        <v>0</v>
      </c>
      <c r="R30" s="18" t="n">
        <v>547.75</v>
      </c>
      <c r="S30" s="18" t="n">
        <v>547.75</v>
      </c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기타비유동부채</t>
        </is>
      </c>
      <c r="E31" s="18" t="n">
        <v>24.05</v>
      </c>
      <c r="F31" s="37" t="n">
        <v>24.05</v>
      </c>
      <c r="G31" s="18" t="n">
        <v>18.85</v>
      </c>
      <c r="H31" s="18" t="n">
        <v>13.61</v>
      </c>
      <c r="I31" s="18" t="n">
        <v>13.49</v>
      </c>
      <c r="J31" s="18" t="n">
        <v>8.199999999999999</v>
      </c>
      <c r="K31" s="37" t="n">
        <v>8.199999999999999</v>
      </c>
      <c r="L31" s="18" t="n">
        <v>8.199999999999999</v>
      </c>
      <c r="M31" s="18" t="n">
        <v>3.75</v>
      </c>
      <c r="N31" s="18" t="n">
        <v>3.75</v>
      </c>
      <c r="O31" s="18" t="n">
        <v>45.87</v>
      </c>
      <c r="P31" s="37" t="n">
        <v>45.87</v>
      </c>
      <c r="Q31" s="18" t="n">
        <v>45.87</v>
      </c>
      <c r="R31" s="18" t="n">
        <v>45.87</v>
      </c>
      <c r="S31" s="18" t="n">
        <v>45.87</v>
      </c>
      <c r="T31" s="18" t="n">
        <v>21.49</v>
      </c>
      <c r="U31" s="37" t="n">
        <v>21.49</v>
      </c>
      <c r="V31" s="18" t="n">
        <v>21.49</v>
      </c>
      <c r="W31" s="18" t="n">
        <v>9.529999999999999</v>
      </c>
      <c r="X31" s="18" t="n">
        <v>139.62</v>
      </c>
      <c r="Y31" s="18" t="n">
        <v>187.48</v>
      </c>
      <c r="Z31" s="37" t="n">
        <v>187.48</v>
      </c>
      <c r="AA31" s="18" t="n">
        <v>168.68</v>
      </c>
      <c r="AB31" s="19" t="n">
        <v>147.83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부채총계</t>
        </is>
      </c>
      <c r="E32" s="18" t="n">
        <v>12802.65</v>
      </c>
      <c r="F32" s="37" t="n">
        <v>12802.65</v>
      </c>
      <c r="G32" s="18" t="n">
        <v>11599.57</v>
      </c>
      <c r="H32" s="18" t="n">
        <v>14390.9</v>
      </c>
      <c r="I32" s="18" t="n">
        <v>18319.24</v>
      </c>
      <c r="J32" s="18" t="n">
        <v>21751.92</v>
      </c>
      <c r="K32" s="37" t="n">
        <v>21751.92</v>
      </c>
      <c r="L32" s="18" t="n">
        <v>27732.31</v>
      </c>
      <c r="M32" s="18" t="n">
        <v>22592.34</v>
      </c>
      <c r="N32" s="18" t="n">
        <v>22953.33</v>
      </c>
      <c r="O32" s="18" t="n">
        <v>15782.91</v>
      </c>
      <c r="P32" s="37" t="n">
        <v>15782.91</v>
      </c>
      <c r="Q32" s="18" t="n">
        <v>20391.13</v>
      </c>
      <c r="R32" s="18" t="n">
        <v>21162.71</v>
      </c>
      <c r="S32" s="18" t="n">
        <v>25661.71</v>
      </c>
      <c r="T32" s="18" t="n">
        <v>28429.74</v>
      </c>
      <c r="U32" s="37" t="n">
        <v>28429.74</v>
      </c>
      <c r="V32" s="18" t="n">
        <v>20485.1</v>
      </c>
      <c r="W32" s="18" t="n">
        <v>17772.2</v>
      </c>
      <c r="X32" s="18" t="n">
        <v>20605.28</v>
      </c>
      <c r="Y32" s="18" t="n">
        <v>17741.01</v>
      </c>
      <c r="Z32" s="37" t="n">
        <v>17741.01</v>
      </c>
      <c r="AA32" s="18" t="n">
        <v>15576.64</v>
      </c>
      <c r="AB32" s="19" t="n">
        <v>16803.34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자본금</t>
        </is>
      </c>
      <c r="E33" s="18" t="n">
        <v>16223.08</v>
      </c>
      <c r="F33" s="37" t="n">
        <v>16223.08</v>
      </c>
      <c r="G33" s="18" t="n">
        <v>16223.08</v>
      </c>
      <c r="H33" s="18" t="n">
        <v>16223.08</v>
      </c>
      <c r="I33" s="18" t="n">
        <v>16223.08</v>
      </c>
      <c r="J33" s="18" t="n">
        <v>16223.08</v>
      </c>
      <c r="K33" s="37" t="n">
        <v>16223.08</v>
      </c>
      <c r="L33" s="18" t="n">
        <v>16223.08</v>
      </c>
      <c r="M33" s="18" t="n">
        <v>16223.08</v>
      </c>
      <c r="N33" s="18" t="n">
        <v>16223.08</v>
      </c>
      <c r="O33" s="18" t="n">
        <v>16223.08</v>
      </c>
      <c r="P33" s="37" t="n">
        <v>16223.08</v>
      </c>
      <c r="Q33" s="18" t="n">
        <v>16223.08</v>
      </c>
      <c r="R33" s="18" t="n">
        <v>16223.08</v>
      </c>
      <c r="S33" s="18" t="n">
        <v>16223.08</v>
      </c>
      <c r="T33" s="18" t="n">
        <v>16223.08</v>
      </c>
      <c r="U33" s="37" t="n">
        <v>16223.08</v>
      </c>
      <c r="V33" s="18" t="n">
        <v>16223.08</v>
      </c>
      <c r="W33" s="18" t="n">
        <v>16223.08</v>
      </c>
      <c r="X33" s="18" t="n">
        <v>16223.08</v>
      </c>
      <c r="Y33" s="18" t="n">
        <v>16223.08</v>
      </c>
      <c r="Z33" s="37" t="n">
        <v>16223.08</v>
      </c>
      <c r="AA33" s="18" t="n">
        <v>16223.08</v>
      </c>
      <c r="AB33" s="19" t="n">
        <v>16223.08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자본잉여금</t>
        </is>
      </c>
      <c r="E34" s="18" t="n">
        <v>8439.1</v>
      </c>
      <c r="F34" s="37" t="n">
        <v>8439.1</v>
      </c>
      <c r="G34" s="18" t="n">
        <v>8439.1</v>
      </c>
      <c r="H34" s="18" t="n">
        <v>19275.7</v>
      </c>
      <c r="I34" s="18" t="n">
        <v>19275.7</v>
      </c>
      <c r="J34" s="18" t="n">
        <v>19275.7</v>
      </c>
      <c r="K34" s="37" t="n">
        <v>19275.7</v>
      </c>
      <c r="L34" s="18" t="n">
        <v>19275.7</v>
      </c>
      <c r="M34" s="18" t="n">
        <v>19275.7</v>
      </c>
      <c r="N34" s="18" t="n">
        <v>19275.7</v>
      </c>
      <c r="O34" s="18" t="n">
        <v>19275.7</v>
      </c>
      <c r="P34" s="37" t="n">
        <v>19275.7</v>
      </c>
      <c r="Q34" s="18" t="n">
        <v>19275.7</v>
      </c>
      <c r="R34" s="18" t="n">
        <v>19275.7</v>
      </c>
      <c r="S34" s="18" t="n">
        <v>19275.7</v>
      </c>
      <c r="T34" s="18" t="n">
        <v>19275.7</v>
      </c>
      <c r="U34" s="37" t="n">
        <v>19275.7</v>
      </c>
      <c r="V34" s="18" t="n">
        <v>19275.7</v>
      </c>
      <c r="W34" s="18" t="n">
        <v>19275.7</v>
      </c>
      <c r="X34" s="18" t="n">
        <v>19275.7</v>
      </c>
      <c r="Y34" s="18" t="n">
        <v>19275.7</v>
      </c>
      <c r="Z34" s="37" t="n">
        <v>19275.7</v>
      </c>
      <c r="AA34" s="18" t="n">
        <v>19275.7</v>
      </c>
      <c r="AB34" s="19" t="n">
        <v>19275.7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기타자본</t>
        </is>
      </c>
      <c r="E35" s="18" t="n">
        <v>-739.12</v>
      </c>
      <c r="F35" s="37" t="n">
        <v>-739.12</v>
      </c>
      <c r="G35" s="18" t="n">
        <v>-713.36</v>
      </c>
      <c r="H35" s="18" t="n">
        <v>885.23</v>
      </c>
      <c r="I35" s="18" t="n">
        <v>911.5599999999999</v>
      </c>
      <c r="J35" s="18" t="n">
        <v>937.9</v>
      </c>
      <c r="K35" s="37" t="n">
        <v>937.9</v>
      </c>
      <c r="L35" s="18" t="n">
        <v>963.66</v>
      </c>
      <c r="M35" s="18" t="n">
        <v>963.09</v>
      </c>
      <c r="N35" s="18" t="n">
        <v>963.09</v>
      </c>
      <c r="O35" s="18" t="n">
        <v>963.09</v>
      </c>
      <c r="P35" s="37" t="n">
        <v>963.09</v>
      </c>
      <c r="Q35" s="18" t="n">
        <v>963.09</v>
      </c>
      <c r="R35" s="18" t="n">
        <v>963.09</v>
      </c>
      <c r="S35" s="18" t="n">
        <v>963.09</v>
      </c>
      <c r="T35" s="18" t="n">
        <v>963.09</v>
      </c>
      <c r="U35" s="37" t="n">
        <v>963.09</v>
      </c>
      <c r="V35" s="18" t="n">
        <v>963.09</v>
      </c>
      <c r="W35" s="18" t="n">
        <v>963.09</v>
      </c>
      <c r="X35" s="18" t="n">
        <v>963.09</v>
      </c>
      <c r="Y35" s="18" t="n">
        <v>963.09</v>
      </c>
      <c r="Z35" s="37" t="n">
        <v>963.09</v>
      </c>
      <c r="AA35" s="18" t="n">
        <v>963.09</v>
      </c>
      <c r="AB35" s="19" t="n">
        <v>963.09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이익잉여금</t>
        </is>
      </c>
      <c r="E36" s="18" t="n">
        <v>64863.38</v>
      </c>
      <c r="F36" s="37" t="n">
        <v>64863.38</v>
      </c>
      <c r="G36" s="18" t="n">
        <v>63533.79</v>
      </c>
      <c r="H36" s="18" t="n">
        <v>62845.61</v>
      </c>
      <c r="I36" s="18" t="n">
        <v>63540.79</v>
      </c>
      <c r="J36" s="18" t="n">
        <v>55007.26</v>
      </c>
      <c r="K36" s="37" t="n">
        <v>55007.26</v>
      </c>
      <c r="L36" s="18" t="n">
        <v>61356.23</v>
      </c>
      <c r="M36" s="18" t="n">
        <v>59200.68</v>
      </c>
      <c r="N36" s="18" t="n">
        <v>61189.1</v>
      </c>
      <c r="O36" s="18" t="n">
        <v>59580.49</v>
      </c>
      <c r="P36" s="37" t="n">
        <v>59580.49</v>
      </c>
      <c r="Q36" s="18" t="n">
        <v>56275.17</v>
      </c>
      <c r="R36" s="18" t="n">
        <v>59149.57</v>
      </c>
      <c r="S36" s="18" t="n">
        <v>60806.49</v>
      </c>
      <c r="T36" s="18" t="n">
        <v>56254.45</v>
      </c>
      <c r="U36" s="37" t="n">
        <v>56254.45</v>
      </c>
      <c r="V36" s="18" t="n">
        <v>55948.33</v>
      </c>
      <c r="W36" s="18" t="n">
        <v>56314.5</v>
      </c>
      <c r="X36" s="18" t="n">
        <v>58601.48</v>
      </c>
      <c r="Y36" s="18" t="n">
        <v>56061.67</v>
      </c>
      <c r="Z36" s="37" t="n">
        <v>56061.67</v>
      </c>
      <c r="AA36" s="18" t="n">
        <v>54090.54</v>
      </c>
      <c r="AB36" s="19" t="n">
        <v>56535.91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자본총계</t>
        </is>
      </c>
      <c r="E37" s="18" t="n">
        <v>88786.44</v>
      </c>
      <c r="F37" s="37" t="n">
        <v>88786.44</v>
      </c>
      <c r="G37" s="18" t="n">
        <v>87482.61</v>
      </c>
      <c r="H37" s="18" t="n">
        <v>99229.62</v>
      </c>
      <c r="I37" s="18" t="n">
        <v>99951.13</v>
      </c>
      <c r="J37" s="18" t="n">
        <v>91443.92999999999</v>
      </c>
      <c r="K37" s="37" t="n">
        <v>91443.92999999999</v>
      </c>
      <c r="L37" s="18" t="n">
        <v>97818.67</v>
      </c>
      <c r="M37" s="18" t="n">
        <v>95662.55</v>
      </c>
      <c r="N37" s="18" t="n">
        <v>97650.97</v>
      </c>
      <c r="O37" s="18" t="n">
        <v>96042.36</v>
      </c>
      <c r="P37" s="37" t="n">
        <v>96042.36</v>
      </c>
      <c r="Q37" s="18" t="n">
        <v>92737.03</v>
      </c>
      <c r="R37" s="18" t="n">
        <v>95611.44</v>
      </c>
      <c r="S37" s="18" t="n">
        <v>97268.35000000001</v>
      </c>
      <c r="T37" s="18" t="n">
        <v>92716.31</v>
      </c>
      <c r="U37" s="37" t="n">
        <v>92716.31</v>
      </c>
      <c r="V37" s="18" t="n">
        <v>92410.19</v>
      </c>
      <c r="W37" s="18" t="n">
        <v>92776.36</v>
      </c>
      <c r="X37" s="18" t="n">
        <v>95063.35000000001</v>
      </c>
      <c r="Y37" s="18" t="n">
        <v>92199.73</v>
      </c>
      <c r="Z37" s="37" t="n">
        <v>92199.73</v>
      </c>
      <c r="AA37" s="18" t="n">
        <v>89915.28</v>
      </c>
      <c r="AB37" s="19" t="n">
        <v>92269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부채와자본총계</t>
        </is>
      </c>
      <c r="E38" s="18" t="n">
        <v>101589.09</v>
      </c>
      <c r="F38" s="37" t="n">
        <v>101589.09</v>
      </c>
      <c r="G38" s="18" t="n">
        <v>99082.17999999999</v>
      </c>
      <c r="H38" s="18" t="n">
        <v>113620.52</v>
      </c>
      <c r="I38" s="18" t="n">
        <v>118270.37</v>
      </c>
      <c r="J38" s="18" t="n">
        <v>113195.86</v>
      </c>
      <c r="K38" s="37" t="n">
        <v>113195.86</v>
      </c>
      <c r="L38" s="18" t="n">
        <v>125550.98</v>
      </c>
      <c r="M38" s="18" t="n">
        <v>118254.88</v>
      </c>
      <c r="N38" s="18" t="n">
        <v>120604.3</v>
      </c>
      <c r="O38" s="18" t="n">
        <v>111825.27</v>
      </c>
      <c r="P38" s="37" t="n">
        <v>111825.27</v>
      </c>
      <c r="Q38" s="18" t="n">
        <v>113128.16</v>
      </c>
      <c r="R38" s="18" t="n">
        <v>116774.15</v>
      </c>
      <c r="S38" s="18" t="n">
        <v>122930.07</v>
      </c>
      <c r="T38" s="18" t="n">
        <v>121146.05</v>
      </c>
      <c r="U38" s="37" t="n">
        <v>121146.05</v>
      </c>
      <c r="V38" s="18" t="n">
        <v>112895.29</v>
      </c>
      <c r="W38" s="18" t="n">
        <v>110548.57</v>
      </c>
      <c r="X38" s="18" t="n">
        <v>115668.62</v>
      </c>
      <c r="Y38" s="18" t="n">
        <v>109940.73</v>
      </c>
      <c r="Z38" s="37" t="n">
        <v>109940.73</v>
      </c>
      <c r="AA38" s="18" t="n">
        <v>105491.92</v>
      </c>
      <c r="AB38" s="19" t="n">
        <v>109072.34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지배주주지분</t>
        </is>
      </c>
      <c r="E39" s="18" t="n">
        <v>88786.44</v>
      </c>
      <c r="F39" s="37" t="n">
        <v>88786.44</v>
      </c>
      <c r="G39" s="18" t="n">
        <v>87482.61</v>
      </c>
      <c r="H39" s="18" t="n">
        <v>99229.62</v>
      </c>
      <c r="I39" s="18" t="n">
        <v>99951.13</v>
      </c>
      <c r="J39" s="18" t="n">
        <v>91443.92999999999</v>
      </c>
      <c r="K39" s="37" t="n">
        <v>91443.92999999999</v>
      </c>
      <c r="L39" s="18" t="n">
        <v>97818.67</v>
      </c>
      <c r="M39" s="18" t="n">
        <v>95662.55</v>
      </c>
      <c r="N39" s="18" t="n">
        <v>97650.97</v>
      </c>
      <c r="O39" s="18" t="n">
        <v>96042.36</v>
      </c>
      <c r="P39" s="37" t="n">
        <v>96042.36</v>
      </c>
      <c r="Q39" s="18" t="n">
        <v>92737.03</v>
      </c>
      <c r="R39" s="18" t="n">
        <v>95611.44</v>
      </c>
      <c r="S39" s="18" t="n">
        <v>97268.35000000001</v>
      </c>
      <c r="T39" s="18" t="n">
        <v>92716.31</v>
      </c>
      <c r="U39" s="37" t="n">
        <v>92716.31</v>
      </c>
      <c r="V39" s="18" t="n">
        <v>92410.19</v>
      </c>
      <c r="W39" s="18" t="n">
        <v>92776.36</v>
      </c>
      <c r="X39" s="18" t="n">
        <v>95063.35000000001</v>
      </c>
      <c r="Y39" s="18" t="n">
        <v>92199.73</v>
      </c>
      <c r="Z39" s="37" t="n">
        <v>92199.73</v>
      </c>
      <c r="AA39" s="18" t="n">
        <v>89915.28</v>
      </c>
      <c r="AB39" s="19" t="n">
        <v>92269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총차입금</t>
        </is>
      </c>
      <c r="E40" s="18" t="n">
        <v>230.28</v>
      </c>
      <c r="F40" s="37" t="n">
        <v>230.28</v>
      </c>
      <c r="G40" s="18" t="n">
        <v>280.63</v>
      </c>
      <c r="H40" s="18" t="n">
        <v>384.69</v>
      </c>
      <c r="I40" s="18" t="n">
        <v>3270.05</v>
      </c>
      <c r="J40" s="18" t="n">
        <v>6641.54</v>
      </c>
      <c r="K40" s="37" t="n">
        <v>6641.54</v>
      </c>
      <c r="L40" s="18" t="n">
        <v>7470.59</v>
      </c>
      <c r="M40" s="18" t="n">
        <v>9684.67</v>
      </c>
      <c r="N40" s="18" t="n">
        <v>1040.46</v>
      </c>
      <c r="O40" s="18" t="n">
        <v>6127.72</v>
      </c>
      <c r="P40" s="37" t="n">
        <v>6127.72</v>
      </c>
      <c r="Q40" s="18" t="n">
        <v>8051.85</v>
      </c>
      <c r="R40" s="18" t="n">
        <v>7643.49</v>
      </c>
      <c r="S40" s="18" t="n">
        <v>7758.59</v>
      </c>
      <c r="T40" s="18" t="n">
        <v>11350.08</v>
      </c>
      <c r="U40" s="37" t="n">
        <v>11350.08</v>
      </c>
      <c r="V40" s="18" t="n">
        <v>8967.049999999999</v>
      </c>
      <c r="W40" s="18" t="n">
        <v>7638.32</v>
      </c>
      <c r="X40" s="18" t="n">
        <v>8913.309999999999</v>
      </c>
      <c r="Y40" s="18" t="n">
        <v>6573.36</v>
      </c>
      <c r="Z40" s="37" t="n">
        <v>6573.36</v>
      </c>
      <c r="AA40" s="18" t="n">
        <v>7191.04</v>
      </c>
      <c r="AB40" s="19" t="n">
        <v>6310.07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순차입금</t>
        </is>
      </c>
      <c r="E41" s="18" t="n">
        <v>-12664.25</v>
      </c>
      <c r="F41" s="37" t="n">
        <v>-12664.25</v>
      </c>
      <c r="G41" s="18" t="n">
        <v>-9262.74</v>
      </c>
      <c r="H41" s="18" t="n">
        <v>-15525.35</v>
      </c>
      <c r="I41" s="18" t="n">
        <v>-15196.46</v>
      </c>
      <c r="J41" s="18" t="n">
        <v>-8372.129999999999</v>
      </c>
      <c r="K41" s="37" t="n">
        <v>-8372.129999999999</v>
      </c>
      <c r="L41" s="18" t="n">
        <v>-12495.56</v>
      </c>
      <c r="M41" s="18" t="n">
        <v>-4733.45</v>
      </c>
      <c r="N41" s="18" t="n">
        <v>-6573.82</v>
      </c>
      <c r="O41" s="18" t="n">
        <v>-1885.41</v>
      </c>
      <c r="P41" s="37" t="n">
        <v>-1885.41</v>
      </c>
      <c r="Q41" s="18" t="n">
        <v>1659.03</v>
      </c>
      <c r="R41" s="18" t="n">
        <v>-8854.65</v>
      </c>
      <c r="S41" s="18" t="n">
        <v>-11749.21</v>
      </c>
      <c r="T41" s="18" t="n">
        <v>-23161.34</v>
      </c>
      <c r="U41" s="37" t="n">
        <v>-23161.34</v>
      </c>
      <c r="V41" s="18" t="n">
        <v>-14052.74</v>
      </c>
      <c r="W41" s="18" t="n">
        <v>-11257.77</v>
      </c>
      <c r="X41" s="18" t="n">
        <v>-3278.18</v>
      </c>
      <c r="Y41" s="18" t="n">
        <v>-9793.24</v>
      </c>
      <c r="Z41" s="37" t="n">
        <v>-9793.24</v>
      </c>
      <c r="AA41" s="18" t="n">
        <v>-2420.05</v>
      </c>
      <c r="AB41" s="19" t="n">
        <v>-1347.31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이자발생자산</t>
        </is>
      </c>
      <c r="E42" s="18" t="n">
        <v>12910.78</v>
      </c>
      <c r="F42" s="37" t="n">
        <v>12910.78</v>
      </c>
      <c r="G42" s="18" t="n">
        <v>9558.780000000001</v>
      </c>
      <c r="H42" s="18" t="n">
        <v>15926.2</v>
      </c>
      <c r="I42" s="18" t="n">
        <v>18483.57</v>
      </c>
      <c r="J42" s="18" t="n">
        <v>15031.63</v>
      </c>
      <c r="K42" s="37" t="n">
        <v>15031.63</v>
      </c>
      <c r="L42" s="18" t="n">
        <v>19985.31</v>
      </c>
      <c r="M42" s="18" t="n">
        <v>14426.05</v>
      </c>
      <c r="N42" s="18" t="n">
        <v>7623.26</v>
      </c>
      <c r="O42" s="18" t="n">
        <v>8018.43</v>
      </c>
      <c r="P42" s="37" t="n">
        <v>8018.43</v>
      </c>
      <c r="Q42" s="18" t="n">
        <v>6401.65</v>
      </c>
      <c r="R42" s="18" t="n">
        <v>16507.69</v>
      </c>
      <c r="S42" s="18" t="n">
        <v>19517.8</v>
      </c>
      <c r="T42" s="18" t="n">
        <v>34521.87</v>
      </c>
      <c r="U42" s="37" t="n">
        <v>34521.87</v>
      </c>
      <c r="V42" s="18" t="n">
        <v>23030.69</v>
      </c>
      <c r="W42" s="18" t="n">
        <v>19007.44</v>
      </c>
      <c r="X42" s="18" t="n">
        <v>12303.29</v>
      </c>
      <c r="Y42" s="18" t="n">
        <v>16478.85</v>
      </c>
      <c r="Z42" s="37" t="n">
        <v>16478.85</v>
      </c>
      <c r="AA42" s="18" t="n">
        <v>9723.790000000001</v>
      </c>
      <c r="AB42" s="19" t="n">
        <v>11557.46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이연법인세자산</t>
        </is>
      </c>
      <c r="F43" s="9" t="n"/>
      <c r="J43" s="18" t="n">
        <v>1494.79</v>
      </c>
      <c r="K43" s="37" t="n">
        <v>1494.79</v>
      </c>
      <c r="L43" s="18" t="n">
        <v>76.44</v>
      </c>
      <c r="M43" s="18" t="n">
        <v>76.08</v>
      </c>
      <c r="N43" s="18" t="n">
        <v>76.08</v>
      </c>
      <c r="O43" s="18" t="n">
        <v>308.43</v>
      </c>
      <c r="P43" s="37" t="n">
        <v>308.43</v>
      </c>
      <c r="Q43" s="18" t="n">
        <v>450.57</v>
      </c>
      <c r="S43" s="18" t="n">
        <v>0</v>
      </c>
      <c r="T43" s="18" t="n">
        <v>2242.04</v>
      </c>
      <c r="U43" s="37" t="n">
        <v>2242.04</v>
      </c>
      <c r="V43" s="18" t="n">
        <v>2242.04</v>
      </c>
      <c r="W43" s="18" t="n">
        <v>1936.1</v>
      </c>
      <c r="X43" s="18" t="n">
        <v>1936.1</v>
      </c>
      <c r="Y43" s="18" t="n">
        <v>729</v>
      </c>
      <c r="Z43" s="37" t="n">
        <v>729</v>
      </c>
      <c r="AA43" s="18" t="n">
        <v>729</v>
      </c>
      <c r="AB43" s="19" t="n">
        <v>607.79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기타비유동자산</t>
        </is>
      </c>
      <c r="F44" s="9" t="n"/>
      <c r="J44" s="18" t="n">
        <v>713</v>
      </c>
      <c r="K44" s="37" t="n">
        <v>713</v>
      </c>
      <c r="L44" s="18" t="n">
        <v>713</v>
      </c>
      <c r="M44" s="18" t="n">
        <v>622.3099999999999</v>
      </c>
      <c r="N44" s="18" t="n">
        <v>622.3099999999999</v>
      </c>
      <c r="O44" s="18" t="n">
        <v>575.98</v>
      </c>
      <c r="P44" s="37" t="n">
        <v>575.98</v>
      </c>
      <c r="Q44" s="18" t="n">
        <v>575.98</v>
      </c>
      <c r="R44" s="18" t="n">
        <v>903.63</v>
      </c>
      <c r="S44" s="18" t="n">
        <v>801.0599999999999</v>
      </c>
      <c r="T44" s="18" t="n">
        <v>703.62</v>
      </c>
      <c r="U44" s="37" t="n">
        <v>703.62</v>
      </c>
      <c r="V44" s="18" t="n">
        <v>703.62</v>
      </c>
      <c r="W44" s="18" t="n">
        <v>715.75</v>
      </c>
      <c r="X44" s="18" t="n">
        <v>650.66</v>
      </c>
      <c r="Y44" s="18" t="n">
        <v>557.77</v>
      </c>
      <c r="Z44" s="37" t="n">
        <v>557.77</v>
      </c>
      <c r="AA44" s="18" t="n">
        <v>465.93</v>
      </c>
      <c r="AB44" s="19" t="n">
        <v>371.47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당기법인세자산(선급법인세)</t>
        </is>
      </c>
      <c r="F45" s="9" t="n"/>
      <c r="K45" s="9" t="n"/>
      <c r="L45" s="18" t="n">
        <v>22.26</v>
      </c>
      <c r="N45" s="18" t="n">
        <v>49.04</v>
      </c>
      <c r="O45" s="18" t="n">
        <v>69.25</v>
      </c>
      <c r="P45" s="37" t="n">
        <v>69.25</v>
      </c>
      <c r="Q45" s="18" t="n">
        <v>90.52</v>
      </c>
      <c r="R45" s="18" t="n">
        <v>40.15</v>
      </c>
      <c r="S45" s="18" t="n">
        <v>61.87</v>
      </c>
      <c r="T45" s="18" t="n">
        <v>0</v>
      </c>
      <c r="U45" s="37" t="n">
        <v>0</v>
      </c>
      <c r="V45" s="18" t="n">
        <v>27.34</v>
      </c>
      <c r="W45" s="18" t="n">
        <v>46.25</v>
      </c>
      <c r="X45" s="18" t="n">
        <v>61.73</v>
      </c>
      <c r="Y45" s="18" t="n">
        <v>0</v>
      </c>
      <c r="Z45" s="37" t="n">
        <v>0</v>
      </c>
      <c r="AA45" s="18" t="n">
        <v>15.97</v>
      </c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F46" s="9" t="n"/>
      <c r="K46" s="9" t="n"/>
      <c r="L46" s="18" t="n">
        <v>830.46</v>
      </c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단기금융부채(face)</t>
        </is>
      </c>
      <c r="F47" s="9" t="n"/>
      <c r="K47" s="9" t="n"/>
      <c r="N47" s="18" t="n">
        <v>1040.46</v>
      </c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유동확정계약자산</t>
        </is>
      </c>
      <c r="F48" s="9" t="n"/>
      <c r="K48" s="9" t="n"/>
      <c r="P48" s="9" t="n"/>
      <c r="T48" s="18" t="n">
        <v>3124.2</v>
      </c>
      <c r="U48" s="37" t="n">
        <v>3124.2</v>
      </c>
      <c r="V48" s="18" t="n">
        <v>2942.4</v>
      </c>
      <c r="W48" s="18" t="n">
        <v>2282.84</v>
      </c>
      <c r="X48" s="18" t="n">
        <v>1153.84</v>
      </c>
      <c r="Y48" s="18" t="n">
        <v>910.49</v>
      </c>
      <c r="Z48" s="37" t="n">
        <v>910.49</v>
      </c>
      <c r="AA48" s="18" t="n">
        <v>349.55</v>
      </c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단기파생상품부채</t>
        </is>
      </c>
      <c r="F49" s="9" t="n"/>
      <c r="K49" s="9" t="n"/>
      <c r="P49" s="9" t="n"/>
      <c r="T49" s="18" t="n">
        <v>3391.55</v>
      </c>
      <c r="U49" s="37" t="n">
        <v>3391.55</v>
      </c>
      <c r="V49" s="18" t="n">
        <v>2412.83</v>
      </c>
      <c r="W49" s="18" t="n">
        <v>1263.71</v>
      </c>
      <c r="X49" s="18" t="n">
        <v>1995.51</v>
      </c>
      <c r="Y49" s="18" t="n">
        <v>294.45</v>
      </c>
      <c r="Z49" s="37" t="n">
        <v>294.45</v>
      </c>
      <c r="AA49" s="18" t="n">
        <v>777.52</v>
      </c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단기금융부채</t>
        </is>
      </c>
      <c r="F50" s="9" t="n"/>
      <c r="K50" s="9" t="n"/>
      <c r="P50" s="9" t="n"/>
      <c r="T50" s="18" t="n">
        <v>3391.55</v>
      </c>
      <c r="U50" s="37" t="n">
        <v>3391.55</v>
      </c>
      <c r="V50" s="18" t="n">
        <v>2412.83</v>
      </c>
      <c r="W50" s="18" t="n">
        <v>1263.71</v>
      </c>
      <c r="X50" s="18" t="n">
        <v>1995.51</v>
      </c>
      <c r="Y50" s="18" t="n">
        <v>294.45</v>
      </c>
      <c r="Z50" s="37" t="n">
        <v>294.45</v>
      </c>
      <c r="AA50" s="18" t="n">
        <v>777.52</v>
      </c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기타포괄이익누계액</t>
        </is>
      </c>
      <c r="F51" s="9" t="n"/>
      <c r="K51" s="9" t="n"/>
      <c r="P51" s="9" t="n"/>
      <c r="U51" s="9" t="n"/>
      <c r="Y51" s="18" t="n">
        <v>-323.81</v>
      </c>
      <c r="Z51" s="37" t="n">
        <v>-323.81</v>
      </c>
      <c r="AA51" s="18" t="n">
        <v>-637.12</v>
      </c>
      <c r="AB51" s="19" t="n">
        <v>-728.77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계약자산</t>
        </is>
      </c>
      <c r="F52" s="9" t="n"/>
      <c r="K52" s="9" t="n"/>
      <c r="P52" s="9" t="n"/>
      <c r="U52" s="9" t="n"/>
      <c r="Z52" s="9" t="n"/>
      <c r="AB52" s="19" t="n">
        <v>806.58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계약부채</t>
        </is>
      </c>
      <c r="F53" s="9" t="n"/>
      <c r="K53" s="9" t="n"/>
      <c r="P53" s="9" t="n"/>
      <c r="U53" s="9" t="n"/>
      <c r="Z53" s="9" t="n"/>
      <c r="AB53" s="19" t="n">
        <v>903.3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매출액(수익)</t>
        </is>
      </c>
      <c r="E54" s="18" t="n">
        <v>17891.7</v>
      </c>
      <c r="F54" s="9" t="n"/>
      <c r="G54" s="18" t="n">
        <v>10217.42</v>
      </c>
      <c r="H54" s="18" t="n">
        <v>12856.89</v>
      </c>
      <c r="I54" s="18" t="n">
        <v>12032.91</v>
      </c>
      <c r="J54" s="18" t="n">
        <v>19705.25</v>
      </c>
      <c r="K54" s="37" t="n">
        <v>54812.47</v>
      </c>
      <c r="L54" s="18" t="n">
        <v>10032.52</v>
      </c>
      <c r="M54" s="18" t="n">
        <v>14786.58</v>
      </c>
      <c r="N54" s="18" t="n">
        <v>13309.68</v>
      </c>
      <c r="O54" s="18" t="n">
        <v>22815.43</v>
      </c>
      <c r="P54" s="37" t="n">
        <v>60944.21</v>
      </c>
      <c r="Q54" s="18" t="n">
        <v>9440.07</v>
      </c>
      <c r="R54" s="18" t="n">
        <v>10657.95</v>
      </c>
      <c r="S54" s="18" t="n">
        <v>14891.33</v>
      </c>
      <c r="T54" s="18" t="n">
        <v>25352.32</v>
      </c>
      <c r="U54" s="37" t="n">
        <v>60341.67</v>
      </c>
      <c r="V54" s="18" t="n">
        <v>8004.89</v>
      </c>
      <c r="W54" s="18" t="n">
        <v>12448.93</v>
      </c>
      <c r="X54" s="18" t="n">
        <v>11641.16</v>
      </c>
      <c r="Y54" s="18" t="n">
        <v>18412.25</v>
      </c>
      <c r="Z54" s="37" t="n">
        <v>50507.23</v>
      </c>
      <c r="AA54" s="18" t="n">
        <v>7018.37</v>
      </c>
      <c r="AB54" s="19" t="n">
        <v>13839.24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매출원가</t>
        </is>
      </c>
      <c r="E55" s="18" t="n">
        <v>13869.16</v>
      </c>
      <c r="F55" s="9" t="n"/>
      <c r="G55" s="18" t="n">
        <v>8254.5</v>
      </c>
      <c r="H55" s="18" t="n">
        <v>12057.18</v>
      </c>
      <c r="I55" s="18" t="n">
        <v>10628.22</v>
      </c>
      <c r="J55" s="18" t="n">
        <v>20669.86</v>
      </c>
      <c r="K55" s="37" t="n">
        <v>51609.76</v>
      </c>
      <c r="L55" s="18" t="n">
        <v>8644.870000000001</v>
      </c>
      <c r="M55" s="18" t="n">
        <v>13932.42</v>
      </c>
      <c r="N55" s="18" t="n">
        <v>10522.59</v>
      </c>
      <c r="O55" s="18" t="n">
        <v>21432.83</v>
      </c>
      <c r="P55" s="37" t="n">
        <v>54532.71</v>
      </c>
      <c r="Q55" s="18" t="n">
        <v>10454.64</v>
      </c>
      <c r="R55" s="18" t="n">
        <v>6877.1</v>
      </c>
      <c r="S55" s="18" t="n">
        <v>14253.5</v>
      </c>
      <c r="T55" s="18" t="n">
        <v>18127.58</v>
      </c>
      <c r="U55" s="37" t="n">
        <v>49712.82</v>
      </c>
      <c r="V55" s="18" t="n">
        <v>6206.16</v>
      </c>
      <c r="W55" s="18" t="n">
        <v>11479.52</v>
      </c>
      <c r="X55" s="18" t="n">
        <v>8690.620000000001</v>
      </c>
      <c r="Y55" s="18" t="n">
        <v>14965.02</v>
      </c>
      <c r="Z55" s="37" t="n">
        <v>41341.32</v>
      </c>
      <c r="AA55" s="18" t="n">
        <v>6925.3</v>
      </c>
      <c r="AB55" s="19" t="n">
        <v>10489.11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매출총이익</t>
        </is>
      </c>
      <c r="E56" s="18" t="n">
        <v>4022.54</v>
      </c>
      <c r="F56" s="9" t="n"/>
      <c r="G56" s="18" t="n">
        <v>1962.92</v>
      </c>
      <c r="H56" s="18" t="n">
        <v>799.72</v>
      </c>
      <c r="I56" s="18" t="n">
        <v>1404.68</v>
      </c>
      <c r="J56" s="18" t="n">
        <v>-964.61</v>
      </c>
      <c r="K56" s="37" t="n">
        <v>3202.71</v>
      </c>
      <c r="L56" s="18" t="n">
        <v>1387.65</v>
      </c>
      <c r="M56" s="18" t="n">
        <v>854.16</v>
      </c>
      <c r="N56" s="18" t="n">
        <v>2787.08</v>
      </c>
      <c r="O56" s="18" t="n">
        <v>1382.6</v>
      </c>
      <c r="P56" s="37" t="n">
        <v>6411.49</v>
      </c>
      <c r="Q56" s="18" t="n">
        <v>-1014.56</v>
      </c>
      <c r="R56" s="18" t="n">
        <v>3780.85</v>
      </c>
      <c r="S56" s="18" t="n">
        <v>637.83</v>
      </c>
      <c r="T56" s="18" t="n">
        <v>7224.74</v>
      </c>
      <c r="U56" s="37" t="n">
        <v>10628.86</v>
      </c>
      <c r="V56" s="18" t="n">
        <v>1798.73</v>
      </c>
      <c r="W56" s="18" t="n">
        <v>969.41</v>
      </c>
      <c r="X56" s="18" t="n">
        <v>2950.54</v>
      </c>
      <c r="Y56" s="18" t="n">
        <v>3447.23</v>
      </c>
      <c r="Z56" s="37" t="n">
        <v>9165.91</v>
      </c>
      <c r="AA56" s="18" t="n">
        <v>93.06999999999999</v>
      </c>
      <c r="AB56" s="19" t="n">
        <v>3350.13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판관비</t>
        </is>
      </c>
      <c r="E57" s="18" t="n">
        <v>981.51</v>
      </c>
      <c r="F57" s="9" t="n"/>
      <c r="G57" s="18" t="n">
        <v>1513.56</v>
      </c>
      <c r="H57" s="18" t="n">
        <v>1011.44</v>
      </c>
      <c r="I57" s="18" t="n">
        <v>1705.34</v>
      </c>
      <c r="J57" s="18" t="n">
        <v>9014.889999999999</v>
      </c>
      <c r="K57" s="37" t="n">
        <v>13245.23</v>
      </c>
      <c r="L57" s="18" t="n">
        <v>1362.33</v>
      </c>
      <c r="M57" s="18" t="n">
        <v>2378.75</v>
      </c>
      <c r="N57" s="18" t="n">
        <v>1490.14</v>
      </c>
      <c r="O57" s="18" t="n">
        <v>6.95</v>
      </c>
      <c r="P57" s="37" t="n">
        <v>5238.17</v>
      </c>
      <c r="Q57" s="18" t="n">
        <v>1722.88</v>
      </c>
      <c r="R57" s="18" t="n">
        <v>1468.27</v>
      </c>
      <c r="S57" s="18" t="n">
        <v>1432.32</v>
      </c>
      <c r="T57" s="18" t="n">
        <v>4587.22</v>
      </c>
      <c r="U57" s="37" t="n">
        <v>9210.690000000001</v>
      </c>
      <c r="V57" s="18" t="n">
        <v>2009.48</v>
      </c>
      <c r="W57" s="18" t="n">
        <v>1344.44</v>
      </c>
      <c r="X57" s="18" t="n">
        <v>1398.64</v>
      </c>
      <c r="Y57" s="18" t="n">
        <v>3873.4</v>
      </c>
      <c r="Z57" s="37" t="n">
        <v>8625.959999999999</v>
      </c>
      <c r="AA57" s="18" t="n">
        <v>1697.43</v>
      </c>
      <c r="AB57" s="19" t="n">
        <v>1925.99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영업이익</t>
        </is>
      </c>
      <c r="E58" s="18" t="n">
        <v>3041.03</v>
      </c>
      <c r="F58" s="9" t="n"/>
      <c r="G58" s="18" t="n">
        <v>449.36</v>
      </c>
      <c r="H58" s="18" t="n">
        <v>-211.72</v>
      </c>
      <c r="I58" s="18" t="n">
        <v>-300.65</v>
      </c>
      <c r="J58" s="18" t="n">
        <v>-9979.5</v>
      </c>
      <c r="K58" s="37" t="n">
        <v>-10042.51</v>
      </c>
      <c r="L58" s="18" t="n">
        <v>25.32</v>
      </c>
      <c r="M58" s="18" t="n">
        <v>-1524.6</v>
      </c>
      <c r="N58" s="18" t="n">
        <v>1296.94</v>
      </c>
      <c r="O58" s="18" t="n">
        <v>1375.65</v>
      </c>
      <c r="P58" s="37" t="n">
        <v>1173.31</v>
      </c>
      <c r="Q58" s="18" t="n">
        <v>-2737.44</v>
      </c>
      <c r="R58" s="18" t="n">
        <v>2312.58</v>
      </c>
      <c r="S58" s="18" t="n">
        <v>-794.48</v>
      </c>
      <c r="T58" s="18" t="n">
        <v>2637.51</v>
      </c>
      <c r="U58" s="37" t="n">
        <v>1418.17</v>
      </c>
      <c r="V58" s="18" t="n">
        <v>-210.75</v>
      </c>
      <c r="W58" s="18" t="n">
        <v>-375.03</v>
      </c>
      <c r="X58" s="18" t="n">
        <v>1551.9</v>
      </c>
      <c r="Y58" s="18" t="n">
        <v>-426.16</v>
      </c>
      <c r="Z58" s="37" t="n">
        <v>539.96</v>
      </c>
      <c r="AA58" s="18" t="n">
        <v>-1604.37</v>
      </c>
      <c r="AB58" s="19" t="n">
        <v>1424.14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기타영업외수익</t>
        </is>
      </c>
      <c r="E59" s="18" t="n">
        <v>19.58</v>
      </c>
      <c r="F59" s="9" t="n"/>
      <c r="G59" s="18" t="n">
        <v>26.2</v>
      </c>
      <c r="H59" s="18" t="n">
        <v>67.33</v>
      </c>
      <c r="I59" s="18" t="n">
        <v>103.75</v>
      </c>
      <c r="J59" s="18" t="n">
        <v>100.17</v>
      </c>
      <c r="K59" s="37" t="n">
        <v>297.45</v>
      </c>
      <c r="L59" s="18" t="n">
        <v>345.67</v>
      </c>
      <c r="M59" s="18" t="n">
        <v>-75.37</v>
      </c>
      <c r="N59" s="18" t="n">
        <v>227.64</v>
      </c>
      <c r="O59" s="18" t="n">
        <v>435.63</v>
      </c>
      <c r="P59" s="37" t="n">
        <v>933.5700000000001</v>
      </c>
      <c r="Q59" s="18" t="n">
        <v>107.17</v>
      </c>
      <c r="R59" s="18" t="n">
        <v>159.11</v>
      </c>
      <c r="S59" s="18" t="n">
        <v>875.75</v>
      </c>
      <c r="T59" s="18" t="n">
        <v>-778.41</v>
      </c>
      <c r="U59" s="37" t="n">
        <v>363.62</v>
      </c>
      <c r="V59" s="18" t="n">
        <v>272.42</v>
      </c>
      <c r="W59" s="18" t="n">
        <v>110.31</v>
      </c>
      <c r="X59" s="18" t="n">
        <v>70.09</v>
      </c>
      <c r="Y59" s="18" t="n">
        <v>47.22</v>
      </c>
      <c r="Z59" s="37" t="n">
        <v>500.04</v>
      </c>
      <c r="AA59" s="18" t="n">
        <v>70.28</v>
      </c>
      <c r="AB59" s="19" t="n">
        <v>74.81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기타영업외비용</t>
        </is>
      </c>
      <c r="E60" s="18" t="n">
        <v>67.79000000000001</v>
      </c>
      <c r="F60" s="9" t="n"/>
      <c r="G60" s="18" t="n">
        <v>45.56</v>
      </c>
      <c r="H60" s="18" t="n">
        <v>53.38</v>
      </c>
      <c r="I60" s="18" t="n">
        <v>45.57</v>
      </c>
      <c r="J60" s="18" t="n">
        <v>1249.75</v>
      </c>
      <c r="K60" s="37" t="n">
        <v>1394.26</v>
      </c>
      <c r="L60" s="18" t="n">
        <v>48.07</v>
      </c>
      <c r="M60" s="18" t="n">
        <v>247.68</v>
      </c>
      <c r="N60" s="18" t="n">
        <v>-44.68</v>
      </c>
      <c r="O60" s="18" t="n">
        <v>-35.01</v>
      </c>
      <c r="P60" s="37" t="n">
        <v>216.06</v>
      </c>
      <c r="Q60" s="18" t="n">
        <v>109.34</v>
      </c>
      <c r="R60" s="18" t="n">
        <v>42.21</v>
      </c>
      <c r="S60" s="18" t="n">
        <v>47.16</v>
      </c>
      <c r="T60" s="18" t="n">
        <v>3844.2</v>
      </c>
      <c r="U60" s="37" t="n">
        <v>4042.91</v>
      </c>
      <c r="V60" s="18" t="n">
        <v>53.65</v>
      </c>
      <c r="W60" s="18" t="n">
        <v>80.38</v>
      </c>
      <c r="X60" s="18" t="n">
        <v>62.2</v>
      </c>
      <c r="Y60" s="18" t="n">
        <v>81.69</v>
      </c>
      <c r="Z60" s="37" t="n">
        <v>277.92</v>
      </c>
      <c r="AA60" s="18" t="n">
        <v>64.64</v>
      </c>
      <c r="AB60" s="19" t="n">
        <v>117.69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금융수익</t>
        </is>
      </c>
      <c r="E61" s="18" t="n">
        <v>276.24</v>
      </c>
      <c r="F61" s="9" t="n"/>
      <c r="G61" s="18" t="n">
        <v>464.51</v>
      </c>
      <c r="H61" s="18" t="n">
        <v>549.4299999999999</v>
      </c>
      <c r="I61" s="18" t="n">
        <v>1458.6</v>
      </c>
      <c r="J61" s="18" t="n">
        <v>-192.71</v>
      </c>
      <c r="K61" s="37" t="n">
        <v>2279.83</v>
      </c>
      <c r="L61" s="18" t="n">
        <v>1015.85</v>
      </c>
      <c r="M61" s="18" t="n">
        <v>2003.49</v>
      </c>
      <c r="N61" s="18" t="n">
        <v>1355.52</v>
      </c>
      <c r="O61" s="18" t="n">
        <v>1459.66</v>
      </c>
      <c r="P61" s="37" t="n">
        <v>5834.52</v>
      </c>
      <c r="Q61" s="18" t="n">
        <v>1519.01</v>
      </c>
      <c r="R61" s="18" t="n">
        <v>1220.83</v>
      </c>
      <c r="S61" s="18" t="n">
        <v>2241.54</v>
      </c>
      <c r="T61" s="18" t="n">
        <v>240.63</v>
      </c>
      <c r="U61" s="37" t="n">
        <v>5222.01</v>
      </c>
      <c r="V61" s="18" t="n">
        <v>1099.85</v>
      </c>
      <c r="W61" s="18" t="n">
        <v>1614.85</v>
      </c>
      <c r="X61" s="18" t="n">
        <v>919.36</v>
      </c>
      <c r="Y61" s="18" t="n">
        <v>1348.6</v>
      </c>
      <c r="Z61" s="37" t="n">
        <v>4982.66</v>
      </c>
      <c r="AA61" s="18" t="n">
        <v>1795.33</v>
      </c>
      <c r="AB61" s="19" t="n">
        <v>2258.35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금융비용</t>
        </is>
      </c>
      <c r="E62" s="18" t="n">
        <v>285.34</v>
      </c>
      <c r="F62" s="9" t="n"/>
      <c r="G62" s="18" t="n">
        <v>823.01</v>
      </c>
      <c r="H62" s="18" t="n">
        <v>1210.63</v>
      </c>
      <c r="I62" s="18" t="n">
        <v>514.3</v>
      </c>
      <c r="J62" s="18" t="n">
        <v>96.23999999999999</v>
      </c>
      <c r="K62" s="37" t="n">
        <v>2644.18</v>
      </c>
      <c r="L62" s="18" t="n">
        <v>325.47</v>
      </c>
      <c r="M62" s="18" t="n">
        <v>1986.57</v>
      </c>
      <c r="N62" s="18" t="n">
        <v>936.37</v>
      </c>
      <c r="O62" s="18" t="n">
        <v>-1428.92</v>
      </c>
      <c r="P62" s="37" t="n">
        <v>1819.49</v>
      </c>
      <c r="Q62" s="18" t="n">
        <v>1060.08</v>
      </c>
      <c r="R62" s="18" t="n">
        <v>482.96</v>
      </c>
      <c r="S62" s="18" t="n">
        <v>-155.9</v>
      </c>
      <c r="T62" s="18" t="n">
        <v>2915.01</v>
      </c>
      <c r="U62" s="37" t="n">
        <v>4302.15</v>
      </c>
      <c r="V62" s="18" t="n">
        <v>928.8</v>
      </c>
      <c r="W62" s="18" t="n">
        <v>471.97</v>
      </c>
      <c r="X62" s="18" t="n">
        <v>192.17</v>
      </c>
      <c r="Y62" s="18" t="n">
        <v>571.08</v>
      </c>
      <c r="Z62" s="37" t="n">
        <v>2164.02</v>
      </c>
      <c r="AA62" s="18" t="n">
        <v>1520.8</v>
      </c>
      <c r="AB62" s="19" t="n">
        <v>577.88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법인세비용차감전계속사업이익</t>
        </is>
      </c>
      <c r="E63" s="18" t="n">
        <v>2983.72</v>
      </c>
      <c r="F63" s="9" t="n"/>
      <c r="G63" s="18" t="n">
        <v>71.51000000000001</v>
      </c>
      <c r="H63" s="18" t="n">
        <v>-858.99</v>
      </c>
      <c r="I63" s="18" t="n">
        <v>701.84</v>
      </c>
      <c r="J63" s="18" t="n">
        <v>-11418.02</v>
      </c>
      <c r="K63" s="37" t="n">
        <v>-11503.66</v>
      </c>
      <c r="L63" s="18" t="n">
        <v>1013.29</v>
      </c>
      <c r="M63" s="18" t="n">
        <v>-1830.72</v>
      </c>
      <c r="N63" s="18" t="n">
        <v>1988.42</v>
      </c>
      <c r="O63" s="18" t="n">
        <v>4734.86</v>
      </c>
      <c r="P63" s="37" t="n">
        <v>5905.85</v>
      </c>
      <c r="Q63" s="18" t="n">
        <v>-2280.69</v>
      </c>
      <c r="R63" s="18" t="n">
        <v>3167.35</v>
      </c>
      <c r="S63" s="18" t="n">
        <v>2431.54</v>
      </c>
      <c r="T63" s="18" t="n">
        <v>-4659.47</v>
      </c>
      <c r="U63" s="37" t="n">
        <v>-1341.27</v>
      </c>
      <c r="V63" s="18" t="n">
        <v>179.08</v>
      </c>
      <c r="W63" s="18" t="n">
        <v>797.78</v>
      </c>
      <c r="X63" s="18" t="n">
        <v>2286.98</v>
      </c>
      <c r="Y63" s="18" t="n">
        <v>316.89</v>
      </c>
      <c r="Z63" s="37" t="n">
        <v>3580.73</v>
      </c>
      <c r="AA63" s="18" t="n">
        <v>-1324.21</v>
      </c>
      <c r="AB63" s="19" t="n">
        <v>3061.73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</t>
        </is>
      </c>
      <c r="E64" s="18" t="n">
        <v>640.7</v>
      </c>
      <c r="F64" s="9" t="n"/>
      <c r="G64" s="18" t="n">
        <v>15.73</v>
      </c>
      <c r="H64" s="18" t="n">
        <v>-170.81</v>
      </c>
      <c r="I64" s="18" t="n">
        <v>6.66</v>
      </c>
      <c r="J64" s="18" t="n">
        <v>-2358.26</v>
      </c>
      <c r="K64" s="37" t="n">
        <v>-2506.68</v>
      </c>
      <c r="L64" s="18" t="n">
        <v>0</v>
      </c>
      <c r="M64" s="18" t="n">
        <v>0.36</v>
      </c>
      <c r="N64" s="18" t="n">
        <v>0</v>
      </c>
      <c r="O64" s="18" t="n">
        <v>1143.27</v>
      </c>
      <c r="P64" s="37" t="n">
        <v>1143.63</v>
      </c>
      <c r="R64" s="18" t="n">
        <v>292.94</v>
      </c>
      <c r="S64" s="18" t="n">
        <v>774.63</v>
      </c>
      <c r="T64" s="18" t="n">
        <v>-577.3099999999999</v>
      </c>
      <c r="U64" s="9" t="n"/>
      <c r="W64" s="18" t="n">
        <v>431.61</v>
      </c>
      <c r="X64" s="18" t="n">
        <v>0</v>
      </c>
      <c r="Y64" s="18" t="n">
        <v>2044.37</v>
      </c>
      <c r="Z64" s="9" t="n"/>
      <c r="AA64" s="18" t="n">
        <v>0</v>
      </c>
      <c r="AB64" s="19" t="n">
        <v>616.36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2343.02</v>
      </c>
      <c r="F65" s="9" t="n"/>
      <c r="G65" s="18" t="n">
        <v>55.78</v>
      </c>
      <c r="H65" s="18" t="n">
        <v>-688.1799999999999</v>
      </c>
      <c r="I65" s="18" t="n">
        <v>695.1799999999999</v>
      </c>
      <c r="J65" s="18" t="n">
        <v>-9059.76</v>
      </c>
      <c r="K65" s="37" t="n">
        <v>-8996.98</v>
      </c>
      <c r="L65" s="18" t="n">
        <v>1013.29</v>
      </c>
      <c r="M65" s="18" t="n">
        <v>-1831.09</v>
      </c>
      <c r="N65" s="18" t="n">
        <v>1988.42</v>
      </c>
      <c r="O65" s="18" t="n">
        <v>3592.32</v>
      </c>
      <c r="P65" s="37" t="n">
        <v>4762.94</v>
      </c>
      <c r="Q65" s="18" t="n">
        <v>-2280.69</v>
      </c>
      <c r="R65" s="18" t="n">
        <v>2874.41</v>
      </c>
      <c r="S65" s="18" t="n">
        <v>1656.91</v>
      </c>
      <c r="T65" s="18" t="n">
        <v>-4082.15</v>
      </c>
      <c r="U65" s="37" t="n">
        <v>-1831.52</v>
      </c>
      <c r="V65" s="18" t="n">
        <v>179.08</v>
      </c>
      <c r="W65" s="18" t="n">
        <v>366.17</v>
      </c>
      <c r="X65" s="18" t="n">
        <v>2286.98</v>
      </c>
      <c r="Y65" s="18" t="n">
        <v>-1727.48</v>
      </c>
      <c r="Z65" s="37" t="n">
        <v>1104.75</v>
      </c>
      <c r="AA65" s="18" t="n">
        <v>-1324.21</v>
      </c>
      <c r="AB65" s="19" t="n">
        <v>2445.37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총포괄손익</t>
        </is>
      </c>
      <c r="E66" s="18" t="n">
        <v>2629.66</v>
      </c>
      <c r="F66" s="9" t="n"/>
      <c r="G66" s="18" t="n">
        <v>55.78</v>
      </c>
      <c r="H66" s="18" t="n">
        <v>-688.1799999999999</v>
      </c>
      <c r="I66" s="18" t="n">
        <v>695.1799999999999</v>
      </c>
      <c r="J66" s="18" t="n">
        <v>-8533.540000000001</v>
      </c>
      <c r="K66" s="37" t="n">
        <v>-8470.76</v>
      </c>
      <c r="L66" s="18" t="n">
        <v>1013.29</v>
      </c>
      <c r="M66" s="18" t="n">
        <v>-1831.09</v>
      </c>
      <c r="N66" s="18" t="n">
        <v>1988.42</v>
      </c>
      <c r="O66" s="18" t="n">
        <v>3727.08</v>
      </c>
      <c r="P66" s="37" t="n">
        <v>4897.7</v>
      </c>
      <c r="Q66" s="18" t="n">
        <v>-2280.69</v>
      </c>
      <c r="R66" s="18" t="n">
        <v>2874.41</v>
      </c>
      <c r="S66" s="18" t="n">
        <v>1656.91</v>
      </c>
      <c r="T66" s="18" t="n">
        <v>-5089.99</v>
      </c>
      <c r="U66" s="37" t="n">
        <v>-2839.36</v>
      </c>
      <c r="V66" s="18" t="n">
        <v>179.08</v>
      </c>
      <c r="W66" s="18" t="n">
        <v>366.17</v>
      </c>
      <c r="X66" s="18" t="n">
        <v>2286.98</v>
      </c>
      <c r="Y66" s="18" t="n">
        <v>-2863.62</v>
      </c>
      <c r="Z66" s="37" t="n">
        <v>-31.39</v>
      </c>
      <c r="AA66" s="18" t="n">
        <v>-1637.52</v>
      </c>
      <c r="AB66" s="19" t="n">
        <v>2353.72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금융손익</t>
        </is>
      </c>
      <c r="E67" s="18" t="n">
        <v>-9.1</v>
      </c>
      <c r="F67" s="9" t="n"/>
      <c r="G67" s="18" t="n">
        <v>-358.5</v>
      </c>
      <c r="H67" s="18" t="n">
        <v>-661.2</v>
      </c>
      <c r="I67" s="18" t="n">
        <v>944.3</v>
      </c>
      <c r="J67" s="18" t="n">
        <v>-288.95</v>
      </c>
      <c r="K67" s="37" t="n">
        <v>-364.35</v>
      </c>
      <c r="L67" s="18" t="n">
        <v>690.38</v>
      </c>
      <c r="M67" s="18" t="n">
        <v>16.92</v>
      </c>
      <c r="N67" s="18" t="n">
        <v>419.15</v>
      </c>
      <c r="O67" s="18" t="n">
        <v>2888.58</v>
      </c>
      <c r="P67" s="37" t="n">
        <v>4015.03</v>
      </c>
      <c r="Q67" s="18" t="n">
        <v>458.93</v>
      </c>
      <c r="R67" s="18" t="n">
        <v>737.87</v>
      </c>
      <c r="S67" s="18" t="n">
        <v>2397.44</v>
      </c>
      <c r="T67" s="18" t="n">
        <v>-2674.38</v>
      </c>
      <c r="U67" s="37" t="n">
        <v>919.86</v>
      </c>
      <c r="V67" s="18" t="n">
        <v>171.05</v>
      </c>
      <c r="W67" s="18" t="n">
        <v>1142.88</v>
      </c>
      <c r="X67" s="18" t="n">
        <v>727.1799999999999</v>
      </c>
      <c r="Y67" s="18" t="n">
        <v>777.52</v>
      </c>
      <c r="Z67" s="37" t="n">
        <v>2818.63</v>
      </c>
      <c r="AA67" s="18" t="n">
        <v>274.52</v>
      </c>
      <c r="AB67" s="19" t="n">
        <v>1680.47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기타영업외손익</t>
        </is>
      </c>
      <c r="E68" s="18" t="n">
        <v>-48.21</v>
      </c>
      <c r="F68" s="9" t="n"/>
      <c r="G68" s="18" t="n">
        <v>-19.36</v>
      </c>
      <c r="H68" s="18" t="n">
        <v>13.95</v>
      </c>
      <c r="I68" s="18" t="n">
        <v>58.18</v>
      </c>
      <c r="J68" s="18" t="n">
        <v>-1149.58</v>
      </c>
      <c r="K68" s="37" t="n">
        <v>-1096.81</v>
      </c>
      <c r="L68" s="18" t="n">
        <v>297.6</v>
      </c>
      <c r="M68" s="18" t="n">
        <v>-323.05</v>
      </c>
      <c r="N68" s="18" t="n">
        <v>272.32</v>
      </c>
      <c r="O68" s="18" t="n">
        <v>470.64</v>
      </c>
      <c r="P68" s="37" t="n">
        <v>717.51</v>
      </c>
      <c r="Q68" s="18" t="n">
        <v>-2.17</v>
      </c>
      <c r="R68" s="18" t="n">
        <v>116.9</v>
      </c>
      <c r="S68" s="18" t="n">
        <v>828.59</v>
      </c>
      <c r="T68" s="18" t="n">
        <v>-4622.61</v>
      </c>
      <c r="U68" s="37" t="n">
        <v>-3679.29</v>
      </c>
      <c r="V68" s="18" t="n">
        <v>218.77</v>
      </c>
      <c r="W68" s="18" t="n">
        <v>29.93</v>
      </c>
      <c r="X68" s="18" t="n">
        <v>7.89</v>
      </c>
      <c r="Y68" s="18" t="n">
        <v>-34.47</v>
      </c>
      <c r="Z68" s="37" t="n">
        <v>222.12</v>
      </c>
      <c r="AA68" s="18" t="n">
        <v>5.64</v>
      </c>
      <c r="AB68" s="19" t="n">
        <v>-42.88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(지배주주지분)당기순이익</t>
        </is>
      </c>
      <c r="E69" s="18" t="n">
        <v>2343.02</v>
      </c>
      <c r="F69" s="9" t="n"/>
      <c r="G69" s="18" t="n">
        <v>55.78</v>
      </c>
      <c r="H69" s="18" t="n">
        <v>-688.1799999999999</v>
      </c>
      <c r="I69" s="18" t="n">
        <v>695.1799999999999</v>
      </c>
      <c r="J69" s="18" t="n">
        <v>-9059.76</v>
      </c>
      <c r="K69" s="37" t="n">
        <v>-8996.98</v>
      </c>
      <c r="L69" s="18" t="n">
        <v>1013.29</v>
      </c>
      <c r="M69" s="18" t="n">
        <v>-1831.09</v>
      </c>
      <c r="N69" s="18" t="n">
        <v>1988.42</v>
      </c>
      <c r="O69" s="18" t="n">
        <v>3592.32</v>
      </c>
      <c r="P69" s="37" t="n">
        <v>4762.94</v>
      </c>
      <c r="Q69" s="18" t="n">
        <v>-2280.69</v>
      </c>
      <c r="R69" s="18" t="n">
        <v>2874.41</v>
      </c>
      <c r="S69" s="18" t="n">
        <v>1656.91</v>
      </c>
      <c r="T69" s="18" t="n">
        <v>-4082.15</v>
      </c>
      <c r="U69" s="37" t="n">
        <v>-1831.52</v>
      </c>
      <c r="V69" s="18" t="n">
        <v>179.08</v>
      </c>
      <c r="W69" s="18" t="n">
        <v>366.17</v>
      </c>
      <c r="X69" s="18" t="n">
        <v>2286.98</v>
      </c>
      <c r="Y69" s="18" t="n">
        <v>-1727.48</v>
      </c>
      <c r="Z69" s="37" t="n">
        <v>1104.75</v>
      </c>
      <c r="AA69" s="18" t="n">
        <v>-1324.21</v>
      </c>
      <c r="AB69" s="19" t="n">
        <v>2445.37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2343.02</v>
      </c>
      <c r="F70" s="9" t="n"/>
      <c r="G70" s="18" t="n">
        <v>55.78</v>
      </c>
      <c r="H70" s="18" t="n">
        <v>-688.1799999999999</v>
      </c>
      <c r="I70" s="18" t="n">
        <v>695.1799999999999</v>
      </c>
      <c r="J70" s="18" t="n">
        <v>-9059.76</v>
      </c>
      <c r="K70" s="37" t="n">
        <v>-8996.98</v>
      </c>
      <c r="L70" s="18" t="n">
        <v>1013.29</v>
      </c>
      <c r="M70" s="18" t="n">
        <v>-1831.09</v>
      </c>
      <c r="N70" s="18" t="n">
        <v>1988.42</v>
      </c>
      <c r="O70" s="18" t="n">
        <v>3592.32</v>
      </c>
      <c r="P70" s="37" t="n">
        <v>4762.94</v>
      </c>
      <c r="Q70" s="18" t="n">
        <v>-2280.69</v>
      </c>
      <c r="R70" s="18" t="n">
        <v>2874.41</v>
      </c>
      <c r="S70" s="18" t="n">
        <v>1656.91</v>
      </c>
      <c r="T70" s="18" t="n">
        <v>-4082.15</v>
      </c>
      <c r="U70" s="37" t="n">
        <v>-1831.52</v>
      </c>
      <c r="V70" s="18" t="n">
        <v>179.08</v>
      </c>
      <c r="W70" s="18" t="n">
        <v>366.17</v>
      </c>
      <c r="X70" s="18" t="n">
        <v>2286.98</v>
      </c>
      <c r="Y70" s="18" t="n">
        <v>-1727.48</v>
      </c>
      <c r="Z70" s="37" t="n">
        <v>1104.75</v>
      </c>
      <c r="AA70" s="18" t="n">
        <v>-1324.21</v>
      </c>
      <c r="AB70" s="19" t="n">
        <v>2445.37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영업활동으로인한현금흐름</t>
        </is>
      </c>
      <c r="E71" s="18" t="n">
        <v>1593.59</v>
      </c>
      <c r="F71" s="9" t="n"/>
      <c r="G71" s="18" t="n">
        <v>-2530.41</v>
      </c>
      <c r="H71" s="18" t="n">
        <v>1175.14</v>
      </c>
      <c r="I71" s="18" t="n">
        <v>423.94</v>
      </c>
      <c r="J71" s="18" t="n">
        <v>-1767.15</v>
      </c>
      <c r="K71" s="37" t="n">
        <v>-2698.48</v>
      </c>
      <c r="L71" s="18" t="n">
        <v>1491.58</v>
      </c>
      <c r="M71" s="18" t="n">
        <v>-7982.81</v>
      </c>
      <c r="N71" s="18" t="n">
        <v>9049.02</v>
      </c>
      <c r="O71" s="18" t="n">
        <v>-9730.65</v>
      </c>
      <c r="P71" s="37" t="n">
        <v>-7172.86</v>
      </c>
      <c r="Q71" s="18" t="n">
        <v>-2690.79</v>
      </c>
      <c r="R71" s="18" t="n">
        <v>12781.85</v>
      </c>
      <c r="S71" s="18" t="n">
        <v>2420.11</v>
      </c>
      <c r="T71" s="18" t="n">
        <v>-9357.790000000001</v>
      </c>
      <c r="U71" s="37" t="n">
        <v>3153.38</v>
      </c>
      <c r="V71" s="18" t="n">
        <v>-1347.94</v>
      </c>
      <c r="W71" s="18" t="n">
        <v>679.75</v>
      </c>
      <c r="X71" s="18" t="n">
        <v>179.99</v>
      </c>
      <c r="Y71" s="18" t="n">
        <v>-37.41</v>
      </c>
      <c r="Z71" s="37" t="n">
        <v>-525.61</v>
      </c>
      <c r="AA71" s="18" t="n">
        <v>-2475.97</v>
      </c>
      <c r="AB71" s="19" t="n">
        <v>-670.0700000000001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배당금수취(CF)</t>
        </is>
      </c>
      <c r="E72" s="18" t="n">
        <v>34.61</v>
      </c>
      <c r="F72" s="9" t="n"/>
      <c r="G72" s="18" t="n">
        <v>32.07</v>
      </c>
      <c r="H72" s="18" t="n">
        <v>84.81999999999999</v>
      </c>
      <c r="I72" s="18" t="n">
        <v>50.16</v>
      </c>
      <c r="J72" s="18" t="n">
        <v>38.75</v>
      </c>
      <c r="K72" s="37" t="n">
        <v>205.8</v>
      </c>
      <c r="L72" s="18" t="n">
        <v>21.4</v>
      </c>
      <c r="M72" s="18" t="n">
        <v>112.97</v>
      </c>
      <c r="N72" s="18" t="n">
        <v>46.65</v>
      </c>
      <c r="O72" s="18" t="n">
        <v>38.65</v>
      </c>
      <c r="P72" s="37" t="n">
        <v>219.67</v>
      </c>
      <c r="Q72" s="18" t="n">
        <v>30.3</v>
      </c>
      <c r="R72" s="18" t="n">
        <v>87.77</v>
      </c>
      <c r="S72" s="18" t="n">
        <v>55.62</v>
      </c>
      <c r="T72" s="18" t="n">
        <v>40.34</v>
      </c>
      <c r="U72" s="37" t="n">
        <v>214.03</v>
      </c>
      <c r="V72" s="18" t="n">
        <v>13.86</v>
      </c>
      <c r="W72" s="18" t="n">
        <v>50.52</v>
      </c>
      <c r="X72" s="18" t="n">
        <v>49.18</v>
      </c>
      <c r="Y72" s="18" t="n">
        <v>56.82</v>
      </c>
      <c r="Z72" s="37" t="n">
        <v>170.38</v>
      </c>
      <c r="AA72" s="18" t="n">
        <v>7.07</v>
      </c>
      <c r="AB72" s="19" t="n">
        <v>64.59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법인세납부(CF)</t>
        </is>
      </c>
      <c r="E73" s="18" t="n">
        <v>-160.83</v>
      </c>
      <c r="F73" s="9" t="n"/>
      <c r="G73" s="18" t="n">
        <v>-407.05</v>
      </c>
      <c r="H73" s="18" t="n">
        <v>-519.63</v>
      </c>
      <c r="I73" s="18" t="n">
        <v>-264.09</v>
      </c>
      <c r="J73" s="18" t="n">
        <v>-326.68</v>
      </c>
      <c r="K73" s="37" t="n">
        <v>-1517.45</v>
      </c>
      <c r="L73" s="18" t="n">
        <v>-1042.92</v>
      </c>
      <c r="M73" s="18" t="n">
        <v>-1319.03</v>
      </c>
      <c r="N73" s="18" t="n">
        <v>0</v>
      </c>
      <c r="O73" s="18" t="n">
        <v>7.83</v>
      </c>
      <c r="P73" s="37" t="n">
        <v>-2354.12</v>
      </c>
      <c r="Q73" s="18" t="n">
        <v>0</v>
      </c>
      <c r="R73" s="18" t="n">
        <v>734.48</v>
      </c>
      <c r="S73" s="18" t="n">
        <v>-803.73</v>
      </c>
      <c r="T73" s="18" t="n">
        <v>762.6900000000001</v>
      </c>
      <c r="U73" s="37" t="n">
        <v>693.4400000000001</v>
      </c>
      <c r="V73" s="18" t="n">
        <v>-2163.99</v>
      </c>
      <c r="W73" s="18" t="n">
        <v>-858.95</v>
      </c>
      <c r="X73" s="18" t="n">
        <v>-15.48</v>
      </c>
      <c r="Y73" s="18" t="n">
        <v>-17.44</v>
      </c>
      <c r="Z73" s="37" t="n">
        <v>-3055.86</v>
      </c>
      <c r="AA73" s="18" t="n">
        <v>-171.79</v>
      </c>
      <c r="AB73" s="19" t="n">
        <v>-171.79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투자활동으로인한현금흐름</t>
        </is>
      </c>
      <c r="E74" s="18" t="n">
        <v>-198.21</v>
      </c>
      <c r="F74" s="9" t="n"/>
      <c r="G74" s="18" t="n">
        <v>277.68</v>
      </c>
      <c r="H74" s="18" t="n">
        <v>-14702.08</v>
      </c>
      <c r="I74" s="18" t="n">
        <v>7118.74</v>
      </c>
      <c r="J74" s="18" t="n">
        <v>-5230.45</v>
      </c>
      <c r="K74" s="37" t="n">
        <v>-12536.11</v>
      </c>
      <c r="L74" s="18" t="n">
        <v>-34.44</v>
      </c>
      <c r="M74" s="18" t="n">
        <v>-1133.7</v>
      </c>
      <c r="N74" s="18" t="n">
        <v>-2749.69</v>
      </c>
      <c r="O74" s="18" t="n">
        <v>4671.64</v>
      </c>
      <c r="P74" s="37" t="n">
        <v>753.8099999999999</v>
      </c>
      <c r="Q74" s="18" t="n">
        <v>-591.73</v>
      </c>
      <c r="R74" s="18" t="n">
        <v>-1677.85</v>
      </c>
      <c r="S74" s="18" t="n">
        <v>-41.11</v>
      </c>
      <c r="T74" s="18" t="n">
        <v>18302.16</v>
      </c>
      <c r="U74" s="37" t="n">
        <v>15991.47</v>
      </c>
      <c r="V74" s="18" t="n">
        <v>-7225.6</v>
      </c>
      <c r="W74" s="18" t="n">
        <v>-3083.62</v>
      </c>
      <c r="X74" s="18" t="n">
        <v>-6707.22</v>
      </c>
      <c r="Y74" s="18" t="n">
        <v>7128.88</v>
      </c>
      <c r="Z74" s="37" t="n">
        <v>-9887.559999999999</v>
      </c>
      <c r="AA74" s="18" t="n">
        <v>-3447.63</v>
      </c>
      <c r="AB74" s="19" t="n">
        <v>-1083.67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재무활동으로인한현금흐름</t>
        </is>
      </c>
      <c r="E75" s="18" t="n">
        <v>89.87</v>
      </c>
      <c r="F75" s="9" t="n"/>
      <c r="G75" s="18" t="n">
        <v>48.34</v>
      </c>
      <c r="H75" s="18" t="n">
        <v>14413.22</v>
      </c>
      <c r="I75" s="18" t="n">
        <v>2404.05</v>
      </c>
      <c r="J75" s="18" t="n">
        <v>3896.75</v>
      </c>
      <c r="K75" s="37" t="n">
        <v>20762.36</v>
      </c>
      <c r="L75" s="18" t="n">
        <v>-6.9</v>
      </c>
      <c r="M75" s="18" t="n">
        <v>2682.69</v>
      </c>
      <c r="N75" s="18" t="n">
        <v>-8727.68</v>
      </c>
      <c r="O75" s="18" t="n">
        <v>5451.67</v>
      </c>
      <c r="P75" s="37" t="n">
        <v>-600.22</v>
      </c>
      <c r="Q75" s="18" t="n">
        <v>1696.06</v>
      </c>
      <c r="R75" s="18" t="n">
        <v>-971.84</v>
      </c>
      <c r="S75" s="18" t="n">
        <v>502.88</v>
      </c>
      <c r="T75" s="18" t="n">
        <v>2750.31</v>
      </c>
      <c r="U75" s="37" t="n">
        <v>3977.41</v>
      </c>
      <c r="V75" s="18" t="n">
        <v>-2870.47</v>
      </c>
      <c r="W75" s="18" t="n">
        <v>-819.98</v>
      </c>
      <c r="X75" s="18" t="n">
        <v>929.25</v>
      </c>
      <c r="Y75" s="18" t="n">
        <v>-2589.23</v>
      </c>
      <c r="Z75" s="37" t="n">
        <v>-5350.43</v>
      </c>
      <c r="AA75" s="18" t="n">
        <v>-348.74</v>
      </c>
      <c r="AB75" s="19" t="n">
        <v>-889.73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단기차입금의증가</t>
        </is>
      </c>
      <c r="E76" s="18" t="n">
        <v>152.65</v>
      </c>
      <c r="F76" s="9" t="n"/>
      <c r="G76" s="18" t="n">
        <v>141.83</v>
      </c>
      <c r="H76" s="18" t="n">
        <v>254.75</v>
      </c>
      <c r="I76" s="18" t="n">
        <v>11217.06</v>
      </c>
      <c r="J76" s="18" t="n">
        <v>3664.29</v>
      </c>
      <c r="K76" s="37" t="n">
        <v>15277.93</v>
      </c>
      <c r="L76" s="18" t="n">
        <v>2142.05</v>
      </c>
      <c r="M76" s="18" t="n">
        <v>5570.93</v>
      </c>
      <c r="N76" s="18" t="n">
        <v>0</v>
      </c>
      <c r="O76" s="18" t="n">
        <v>0</v>
      </c>
      <c r="P76" s="37" t="n">
        <v>7712.98</v>
      </c>
      <c r="Q76" s="18" t="n">
        <v>7712.98</v>
      </c>
      <c r="S76" s="18" t="n">
        <v>1525.62</v>
      </c>
      <c r="T76" s="18" t="n">
        <v>10035.62</v>
      </c>
      <c r="U76" s="9" t="n"/>
      <c r="V76" s="18" t="n">
        <v>1899.57</v>
      </c>
      <c r="W76" s="18" t="n">
        <v>2142.91</v>
      </c>
      <c r="X76" s="18" t="n">
        <v>2292.8</v>
      </c>
      <c r="Y76" s="18" t="n">
        <v>2382.86</v>
      </c>
      <c r="Z76" s="37" t="n">
        <v>8718.139999999999</v>
      </c>
      <c r="AA76" s="18" t="n">
        <v>2907.9</v>
      </c>
      <c r="AB76" s="19" t="n">
        <v>1677.08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자기주식의취득</t>
        </is>
      </c>
      <c r="E77" s="18" t="n">
        <v>0</v>
      </c>
      <c r="F77" s="9" t="n"/>
      <c r="G77" s="18" t="n">
        <v>0</v>
      </c>
      <c r="H77" s="18" t="n">
        <v>0</v>
      </c>
      <c r="I77" s="18" t="n">
        <v>0</v>
      </c>
      <c r="J77" s="18" t="n">
        <v>0</v>
      </c>
      <c r="K77" s="37" t="n">
        <v>0</v>
      </c>
      <c r="P77" s="9" t="n"/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단기차입금의감소</t>
        </is>
      </c>
      <c r="E78" s="18" t="n">
        <v>55.84</v>
      </c>
      <c r="F78" s="9" t="n"/>
      <c r="G78" s="18" t="n">
        <v>78.5</v>
      </c>
      <c r="H78" s="18" t="n">
        <v>151.78</v>
      </c>
      <c r="I78" s="18" t="n">
        <v>8581.530000000001</v>
      </c>
      <c r="K78" s="9" t="n"/>
      <c r="L78" s="18" t="n">
        <v>2143.47</v>
      </c>
      <c r="M78" s="18" t="n">
        <v>2558.29</v>
      </c>
      <c r="N78" s="18" t="n">
        <v>8727.68</v>
      </c>
      <c r="P78" s="9" t="n"/>
      <c r="Q78" s="18" t="n">
        <v>5527.85</v>
      </c>
      <c r="S78" s="18" t="n">
        <v>1018.1</v>
      </c>
      <c r="T78" s="18" t="n">
        <v>7285.3</v>
      </c>
      <c r="U78" s="9" t="n"/>
      <c r="V78" s="18" t="n">
        <v>4284.84</v>
      </c>
      <c r="W78" s="18" t="n">
        <v>2962.89</v>
      </c>
      <c r="X78" s="18" t="n">
        <v>1356.35</v>
      </c>
      <c r="Y78" s="18" t="n">
        <v>4959.18</v>
      </c>
      <c r="Z78" s="37" t="n">
        <v>13563.26</v>
      </c>
      <c r="AA78" s="18" t="n">
        <v>2592.62</v>
      </c>
      <c r="AB78" s="19" t="n">
        <v>2555.22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배당금지급</t>
        </is>
      </c>
      <c r="E79" s="18" t="n">
        <v>0</v>
      </c>
      <c r="F79" s="9" t="n"/>
      <c r="G79" s="18" t="n">
        <v>0</v>
      </c>
      <c r="H79" s="18" t="n">
        <v>1385.37</v>
      </c>
      <c r="I79" s="18" t="n">
        <v>0</v>
      </c>
      <c r="J79" s="18" t="n">
        <v>0</v>
      </c>
      <c r="K79" s="37" t="n">
        <v>1385.37</v>
      </c>
      <c r="L79" s="18" t="n">
        <v>0</v>
      </c>
      <c r="M79" s="18" t="n">
        <v>324.46</v>
      </c>
      <c r="N79" s="18" t="n">
        <v>0</v>
      </c>
      <c r="O79" s="18" t="n">
        <v>0</v>
      </c>
      <c r="P79" s="37" t="n">
        <v>324.46</v>
      </c>
      <c r="Q79" s="18" t="n">
        <v>486.69</v>
      </c>
      <c r="R79" s="18" t="n">
        <v>0</v>
      </c>
      <c r="S79" s="18" t="n">
        <v>0</v>
      </c>
      <c r="T79" s="18" t="n">
        <v>0</v>
      </c>
      <c r="U79" s="37" t="n">
        <v>486.69</v>
      </c>
      <c r="V79" s="18" t="n">
        <v>485.19</v>
      </c>
      <c r="W79" s="18" t="n">
        <v>0</v>
      </c>
      <c r="X79" s="18" t="n">
        <v>0</v>
      </c>
      <c r="Y79" s="18" t="n">
        <v>0</v>
      </c>
      <c r="Z79" s="37" t="n">
        <v>485.19</v>
      </c>
      <c r="AA79" s="18" t="n">
        <v>646.92</v>
      </c>
      <c r="AB79" s="19" t="n">
        <v>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현금및현금성자산의증감</t>
        </is>
      </c>
      <c r="E80" s="18" t="n">
        <v>2950.77</v>
      </c>
      <c r="F80" s="9" t="n"/>
      <c r="G80" s="18" t="n">
        <v>-4362.26</v>
      </c>
      <c r="H80" s="18" t="n">
        <v>1756.13</v>
      </c>
      <c r="I80" s="18" t="n">
        <v>20018.87</v>
      </c>
      <c r="J80" s="18" t="n">
        <v>-6537.91</v>
      </c>
      <c r="K80" s="37" t="n">
        <v>10874.83</v>
      </c>
      <c r="L80" s="18" t="n">
        <v>1450.23</v>
      </c>
      <c r="M80" s="18" t="n">
        <v>-11363.42</v>
      </c>
      <c r="N80" s="18" t="n">
        <v>-4905.01</v>
      </c>
      <c r="O80" s="18" t="n">
        <v>787.89</v>
      </c>
      <c r="P80" s="37" t="n">
        <v>-14030.31</v>
      </c>
      <c r="Q80" s="18" t="n">
        <v>-1617.58</v>
      </c>
      <c r="R80" s="18" t="n">
        <v>10114.99</v>
      </c>
      <c r="S80" s="18" t="n">
        <v>3010.62</v>
      </c>
      <c r="T80" s="18" t="n">
        <v>35001.53</v>
      </c>
      <c r="U80" s="37" t="n">
        <v>46509.56</v>
      </c>
      <c r="V80" s="18" t="n">
        <v>-22753.92</v>
      </c>
      <c r="W80" s="18" t="n">
        <v>-6688</v>
      </c>
      <c r="X80" s="18" t="n">
        <v>-11173.57</v>
      </c>
      <c r="Y80" s="18" t="n">
        <v>24684.28</v>
      </c>
      <c r="Z80" s="37" t="n">
        <v>-15931.21</v>
      </c>
      <c r="AA80" s="18" t="n">
        <v>-6194.57</v>
      </c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기말현금및현금성자산</t>
        </is>
      </c>
      <c r="E81" s="18" t="n">
        <v>1465.53</v>
      </c>
      <c r="F81" s="9" t="n"/>
      <c r="G81" s="18" t="n">
        <v>7502.48</v>
      </c>
      <c r="H81" s="18" t="n">
        <v>869.84</v>
      </c>
      <c r="I81" s="18" t="n">
        <v>10072.15</v>
      </c>
      <c r="J81" s="18" t="n">
        <v>-3437.07</v>
      </c>
      <c r="K81" s="37" t="n">
        <v>15007.4</v>
      </c>
      <c r="L81" s="18" t="n">
        <v>16457.63</v>
      </c>
      <c r="M81" s="18" t="n">
        <v>-6379.82</v>
      </c>
      <c r="N81" s="18" t="n">
        <v>-2476.69</v>
      </c>
      <c r="O81" s="18" t="n">
        <v>395.24</v>
      </c>
      <c r="P81" s="37" t="n">
        <v>7996.36</v>
      </c>
      <c r="Q81" s="18" t="n">
        <v>6378.78</v>
      </c>
      <c r="R81" s="18" t="n">
        <v>10114.99</v>
      </c>
      <c r="S81" s="18" t="n">
        <v>3010.63</v>
      </c>
      <c r="T81" s="18" t="n">
        <v>11879.27</v>
      </c>
      <c r="U81" s="37" t="n">
        <v>31383.67</v>
      </c>
      <c r="V81" s="18" t="n">
        <v>20073.74</v>
      </c>
      <c r="W81" s="18" t="n">
        <v>-3464.14</v>
      </c>
      <c r="X81" s="18" t="n">
        <v>-5575.6</v>
      </c>
      <c r="Y81" s="18" t="n">
        <v>4418.46</v>
      </c>
      <c r="Z81" s="37" t="n">
        <v>15452.46</v>
      </c>
      <c r="AA81" s="18" t="n">
        <v>9257.889999999999</v>
      </c>
      <c r="AB81" s="19" t="n">
        <v>-2608.12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장기차입금의증가</t>
        </is>
      </c>
      <c r="F82" s="9" t="n"/>
      <c r="G82" s="18" t="n">
        <v>0</v>
      </c>
      <c r="H82" s="18" t="n">
        <v>0</v>
      </c>
      <c r="I82" s="18" t="n">
        <v>0</v>
      </c>
      <c r="K82" s="9" t="n"/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이자수취(CF)</t>
        </is>
      </c>
      <c r="F83" s="9" t="n"/>
      <c r="K83" s="9" t="n"/>
      <c r="O83" s="18" t="n">
        <v>810.29</v>
      </c>
      <c r="P83" s="9" t="n"/>
      <c r="Q83" s="18" t="n">
        <v>135.45</v>
      </c>
      <c r="U83" s="9" t="n"/>
      <c r="V83" s="18" t="n">
        <v>178.14</v>
      </c>
      <c r="W83" s="18" t="n">
        <v>132.94</v>
      </c>
      <c r="X83" s="18" t="n">
        <v>101.28</v>
      </c>
      <c r="Y83" s="18" t="n">
        <v>22.12</v>
      </c>
      <c r="Z83" s="37" t="n">
        <v>434.48</v>
      </c>
      <c r="AA83" s="18" t="n">
        <v>103.14</v>
      </c>
      <c r="AB83" s="19" t="n">
        <v>60.91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이자지급(CF)</t>
        </is>
      </c>
      <c r="F84" s="9" t="n"/>
      <c r="K84" s="9" t="n"/>
      <c r="P84" s="9" t="n"/>
      <c r="S84" s="18" t="n">
        <v>-108.85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SUM(G7:J7)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SUM(G8:J8)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SUM(Q11:T11)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IFERROR((AB25*변수!$D$50-AB23*변수!$D$51)/4,"")</f>
        <v/>
      </c>
      <c r="AD12" s="20">
        <f>IFERROR((AC25*변수!$D$50-AC23*변수!$D$51)/4,"")</f>
        <v/>
      </c>
      <c r="AE12" s="38">
        <f>SUM(AA12:AD12)</f>
        <v/>
      </c>
      <c r="AF12" s="20">
        <f>IFERROR((AD25*변수!$D$50-AD23*변수!$D$51)/4,"")</f>
        <v/>
      </c>
      <c r="AG12" s="20">
        <f>IFERROR((AF25*변수!$D$50-AF23*변수!$D$51)/4,"")</f>
        <v/>
      </c>
      <c r="AH12" s="20">
        <f>IFERROR((AG25*변수!$D$50-AG23*변수!$D$51)/4,"")</f>
        <v/>
      </c>
      <c r="AI12" s="20">
        <f>IFERROR((AH25*변수!$D$50-AH23*변수!$D$51)/4,"")</f>
        <v/>
      </c>
      <c r="AJ12" s="38">
        <f>SUM(AF12:AI12)</f>
        <v/>
      </c>
      <c r="AK12" s="20">
        <f>IFERROR((AI25*변수!$D$50-AI23*변수!$D$51)/4,"")</f>
        <v/>
      </c>
      <c r="AL12" s="20">
        <f>IFERROR((AK25*변수!$D$50-AK23*변수!$D$51)/4,"")</f>
        <v/>
      </c>
      <c r="AM12" s="20">
        <f>IFERROR((AL25*변수!$D$50-AL23*변수!$D$51)/4,"")</f>
        <v/>
      </c>
      <c r="AN12" s="20">
        <f>IFERROR((AM25*변수!$D$50-AM23*변수!$D$51)/4,"")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 t="n"/>
      <c r="J13" s="18" t="n"/>
      <c r="K13" s="37">
        <f>SUM(G13:J13)</f>
        <v/>
      </c>
      <c r="L13" s="18" t="n"/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SUM(V15:Y15)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IFERROR(AC15*변수!AC26,"")</f>
        <v/>
      </c>
      <c r="AD16" s="20">
        <f>IFERROR(AD15*변수!AD26,"")</f>
        <v/>
      </c>
      <c r="AE16" s="38">
        <f>SUM(AA16:AD16)</f>
        <v/>
      </c>
      <c r="AF16" s="20">
        <f>IFERROR(AF15*변수!AF26,"")</f>
        <v/>
      </c>
      <c r="AG16" s="20">
        <f>IFERROR(AG15*변수!AG26,"")</f>
        <v/>
      </c>
      <c r="AH16" s="20">
        <f>IFERROR(AH15*변수!AH26,"")</f>
        <v/>
      </c>
      <c r="AI16" s="20">
        <f>IFERROR(AI15*변수!AI26,"")</f>
        <v/>
      </c>
      <c r="AJ16" s="38">
        <f>SUM(AF16:AI16)</f>
        <v/>
      </c>
      <c r="AK16" s="20">
        <f>IFERROR(AK15*변수!AK26,"")</f>
        <v/>
      </c>
      <c r="AL16" s="20">
        <f>IFERROR(AL15*변수!AL26,"")</f>
        <v/>
      </c>
      <c r="AM16" s="20">
        <f>IFERROR(AM15*변수!AM26,"")</f>
        <v/>
      </c>
      <c r="AN16" s="20">
        <f>IFERROR(AN15*변수!AN26,"")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SUM(G18:J18)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  <c r="AF19" s="20">
        <f>IFERROR(AF20+AF21,"")</f>
        <v/>
      </c>
      <c r="AG19" s="20">
        <f>IFERROR(AG20+AG21,"")</f>
        <v/>
      </c>
      <c r="AH19" s="20">
        <f>IFERROR(AH20+AH21,"")</f>
        <v/>
      </c>
      <c r="AI19" s="20">
        <f>IFERROR(AI20+AI21,"")</f>
        <v/>
      </c>
      <c r="AJ19" s="38">
        <f>AI19</f>
        <v/>
      </c>
      <c r="AK19" s="20">
        <f>IFERROR(AK20+AK21,"")</f>
        <v/>
      </c>
      <c r="AL19" s="20">
        <f>IFERROR(AL20+AL21,"")</f>
        <v/>
      </c>
      <c r="AM19" s="20">
        <f>IFERROR(AM20+AM21,"")</f>
        <v/>
      </c>
      <c r="AN19" s="20">
        <f>IFERROR(AN20+AN21,"")</f>
        <v/>
      </c>
      <c r="AO19" s="38">
        <f>AN19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  <c r="AF20" s="20">
        <f>IFERROR(AD20*(1+변수!AF28),"")</f>
        <v/>
      </c>
      <c r="AG20" s="20">
        <f>IFERROR(AF20*(1+변수!AG28),"")</f>
        <v/>
      </c>
      <c r="AH20" s="20">
        <f>IFERROR(AG20*(1+변수!AH28),"")</f>
        <v/>
      </c>
      <c r="AI20" s="20">
        <f>IFERROR(AH20*(1+변수!AI28),"")</f>
        <v/>
      </c>
      <c r="AJ20" s="38">
        <f>AI20</f>
        <v/>
      </c>
      <c r="AK20" s="20">
        <f>IFERROR(AI20*(1+변수!AK28),"")</f>
        <v/>
      </c>
      <c r="AL20" s="20">
        <f>IFERROR(AK20*(1+변수!AL28),"")</f>
        <v/>
      </c>
      <c r="AM20" s="20">
        <f>IFERROR(AL20*(1+변수!AM28),"")</f>
        <v/>
      </c>
      <c r="AN20" s="20">
        <f>IFERROR(AM20*(1+변수!AN28),"")</f>
        <v/>
      </c>
      <c r="AO20" s="38">
        <f>AN20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30.786</v>
      </c>
      <c r="F28" s="28">
        <f>E28</f>
        <v/>
      </c>
      <c r="G28" s="27" t="n">
        <v>30.786</v>
      </c>
      <c r="H28" s="27" t="n">
        <v>32.446</v>
      </c>
      <c r="I28" s="27" t="n">
        <v>32.446</v>
      </c>
      <c r="J28" s="27" t="n">
        <v>32.446</v>
      </c>
      <c r="K28" s="28">
        <f>J28</f>
        <v/>
      </c>
      <c r="L28" s="27" t="n">
        <v>32.446</v>
      </c>
      <c r="M28" s="27" t="n">
        <v>32.446</v>
      </c>
      <c r="N28" s="27" t="n">
        <v>32.446</v>
      </c>
      <c r="O28" s="27" t="n">
        <v>32.446</v>
      </c>
      <c r="P28" s="28">
        <f>O28</f>
        <v/>
      </c>
      <c r="Q28" s="27" t="n">
        <v>32.446</v>
      </c>
      <c r="R28" s="27" t="n">
        <v>32.346</v>
      </c>
      <c r="S28" s="27" t="n">
        <v>32.346</v>
      </c>
      <c r="T28" s="27" t="n">
        <v>32.346</v>
      </c>
      <c r="U28" s="28">
        <f>T28</f>
        <v/>
      </c>
      <c r="V28" s="27" t="n">
        <v>32.346</v>
      </c>
      <c r="W28" s="27" t="n">
        <v>32.346</v>
      </c>
      <c r="X28" s="27" t="n">
        <v>32.346</v>
      </c>
      <c r="Y28" s="27" t="n">
        <v>32.346</v>
      </c>
      <c r="Z28" s="28">
        <f>Y28</f>
        <v/>
      </c>
      <c r="AA28" s="27" t="n">
        <v>32.346</v>
      </c>
      <c r="AB28" s="29" t="n">
        <v>32.346</v>
      </c>
      <c r="AC28" s="33">
        <f>IFERROR(AB28*(1+변수!AC36),"")</f>
        <v/>
      </c>
      <c r="AD28" s="33">
        <f>IFERROR(AC28*(1+변수!AD36),"")</f>
        <v/>
      </c>
      <c r="AE28" s="31">
        <f>AD28</f>
        <v/>
      </c>
      <c r="AF28" s="33">
        <f>IFERROR(AD28*(1+변수!AF36),"")</f>
        <v/>
      </c>
      <c r="AG28" s="33">
        <f>IFERROR(AF28*(1+변수!AG36),"")</f>
        <v/>
      </c>
      <c r="AH28" s="33">
        <f>IFERROR(AG28*(1+변수!AH36),"")</f>
        <v/>
      </c>
      <c r="AI28" s="33">
        <f>IFERROR(AH28*(1+변수!AI36),"")</f>
        <v/>
      </c>
      <c r="AJ28" s="31">
        <f>AI28</f>
        <v/>
      </c>
      <c r="AK28" s="33">
        <f>IFERROR(AI28*(1+변수!AK36),"")</f>
        <v/>
      </c>
      <c r="AL28" s="33">
        <f>IFERROR(AK28*(1+변수!AL36),"")</f>
        <v/>
      </c>
      <c r="AM28" s="33">
        <f>IFERROR(AL28*(1+변수!AM36),"")</f>
        <v/>
      </c>
      <c r="AN28" s="33">
        <f>IFERROR(AM28*(1+변수!AN36),"")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IFERROR(E18*100/E28,"")</f>
        <v/>
      </c>
      <c r="F29" s="37" t="n"/>
      <c r="G29" s="18">
        <f>IFERROR(G18*100/G28,"")</f>
        <v/>
      </c>
      <c r="H29" s="18">
        <f>IFERROR(H18*100/H28,"")</f>
        <v/>
      </c>
      <c r="I29" s="18">
        <f>IFERROR(I18*100/I28,"")</f>
        <v/>
      </c>
      <c r="J29" s="18">
        <f>IFERROR(J18*100/J28,"")</f>
        <v/>
      </c>
      <c r="K29" s="37">
        <f>SUM(G29:J29)</f>
        <v/>
      </c>
      <c r="L29" s="18">
        <f>IFERROR(L18*100/L28,"")</f>
        <v/>
      </c>
      <c r="M29" s="18">
        <f>IFERROR(M18*100/M28,"")</f>
        <v/>
      </c>
      <c r="N29" s="18">
        <f>IFERROR(N18*100/N28,"")</f>
        <v/>
      </c>
      <c r="O29" s="18">
        <f>IFERROR(O18*100/O28,"")</f>
        <v/>
      </c>
      <c r="P29" s="37">
        <f>SUM(L29:O29)</f>
        <v/>
      </c>
      <c r="Q29" s="18">
        <f>IFERROR(Q18*100/Q28,"")</f>
        <v/>
      </c>
      <c r="R29" s="18">
        <f>IFERROR(R18*100/R28,"")</f>
        <v/>
      </c>
      <c r="S29" s="18">
        <f>IFERROR(S18*100/S28,"")</f>
        <v/>
      </c>
      <c r="T29" s="18">
        <f>IFERROR(T18*100/T28,"")</f>
        <v/>
      </c>
      <c r="U29" s="37">
        <f>SUM(Q29:T29)</f>
        <v/>
      </c>
      <c r="V29" s="18">
        <f>IFERROR(V18*100/V28,"")</f>
        <v/>
      </c>
      <c r="W29" s="18">
        <f>IFERROR(W18*100/W28,"")</f>
        <v/>
      </c>
      <c r="X29" s="18">
        <f>IFERROR(X18*100/X28,"")</f>
        <v/>
      </c>
      <c r="Y29" s="18">
        <f>IFERROR(Y18*100/Y28,"")</f>
        <v/>
      </c>
      <c r="Z29" s="37">
        <f>SUM(V29:Y29)</f>
        <v/>
      </c>
      <c r="AA29" s="18">
        <f>IFERROR(AA18*100/AA28,"")</f>
        <v/>
      </c>
      <c r="AB29" s="19">
        <f>IFERROR(AB18*100/AB28,"")</f>
        <v/>
      </c>
      <c r="AC29" s="20">
        <f>IFERROR(AC18*100/AC28,"")</f>
        <v/>
      </c>
      <c r="AD29" s="20">
        <f>IFERROR(AD18*100/AD28,"")</f>
        <v/>
      </c>
      <c r="AE29" s="38">
        <f>SUM(AA29:AD29)</f>
        <v/>
      </c>
      <c r="AF29" s="20">
        <f>IFERROR(AF18*100/AF28,"")</f>
        <v/>
      </c>
      <c r="AG29" s="20">
        <f>IFERROR(AG18*100/AG28,"")</f>
        <v/>
      </c>
      <c r="AH29" s="20">
        <f>IFERROR(AH18*100/AH28,"")</f>
        <v/>
      </c>
      <c r="AI29" s="20">
        <f>IFERROR(AI18*100/AI28,"")</f>
        <v/>
      </c>
      <c r="AJ29" s="38">
        <f>SUM(AF29:AI29)</f>
        <v/>
      </c>
      <c r="AK29" s="20">
        <f>IFERROR(AK18*100/AK28,"")</f>
        <v/>
      </c>
      <c r="AL29" s="20">
        <f>IFERROR(AL18*100/AL28,"")</f>
        <v/>
      </c>
      <c r="AM29" s="20">
        <f>IFERROR(AM18*100/AM28,"")</f>
        <v/>
      </c>
      <c r="AN29" s="20">
        <f>IFERROR(AN18*100/AN28,"")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IFERROR(E22*100/E28,"")</f>
        <v/>
      </c>
      <c r="F30" s="37">
        <f>E30</f>
        <v/>
      </c>
      <c r="G30" s="18">
        <f>IFERROR(G22*100/G28,"")</f>
        <v/>
      </c>
      <c r="H30" s="18">
        <f>IFERROR(H22*100/H28,"")</f>
        <v/>
      </c>
      <c r="I30" s="18">
        <f>IFERROR(I22*100/I28,"")</f>
        <v/>
      </c>
      <c r="J30" s="18">
        <f>IFERROR(J22*100/J28,"")</f>
        <v/>
      </c>
      <c r="K30" s="37">
        <f>J30</f>
        <v/>
      </c>
      <c r="L30" s="18">
        <f>IFERROR(L22*100/L28,"")</f>
        <v/>
      </c>
      <c r="M30" s="18">
        <f>IFERROR(M22*100/M28,"")</f>
        <v/>
      </c>
      <c r="N30" s="18">
        <f>IFERROR(N22*100/N28,"")</f>
        <v/>
      </c>
      <c r="O30" s="18">
        <f>IFERROR(O22*100/O28,"")</f>
        <v/>
      </c>
      <c r="P30" s="37">
        <f>O30</f>
        <v/>
      </c>
      <c r="Q30" s="18">
        <f>IFERROR(Q22*100/Q28,"")</f>
        <v/>
      </c>
      <c r="R30" s="18">
        <f>IFERROR(R22*100/R28,"")</f>
        <v/>
      </c>
      <c r="S30" s="18">
        <f>IFERROR(S22*100/S28,"")</f>
        <v/>
      </c>
      <c r="T30" s="18">
        <f>IFERROR(T22*100/T28,"")</f>
        <v/>
      </c>
      <c r="U30" s="37">
        <f>T30</f>
        <v/>
      </c>
      <c r="V30" s="18">
        <f>IFERROR(V22*100/V28,"")</f>
        <v/>
      </c>
      <c r="W30" s="18">
        <f>IFERROR(W22*100/W28,"")</f>
        <v/>
      </c>
      <c r="X30" s="18">
        <f>IFERROR(X22*100/X28,"")</f>
        <v/>
      </c>
      <c r="Y30" s="18">
        <f>IFERROR(Y22*100/Y28,"")</f>
        <v/>
      </c>
      <c r="Z30" s="37">
        <f>Y30</f>
        <v/>
      </c>
      <c r="AA30" s="18">
        <f>IFERROR(AA22*100/AA28,"")</f>
        <v/>
      </c>
      <c r="AB30" s="19">
        <f>IFERROR(AB22*100/AB28,"")</f>
        <v/>
      </c>
      <c r="AC30" s="20">
        <f>IFERROR(AC22*100/AC28,"")</f>
        <v/>
      </c>
      <c r="AD30" s="20">
        <f>IFERROR(AD22*100/AD28,"")</f>
        <v/>
      </c>
      <c r="AE30" s="38">
        <f>AD30</f>
        <v/>
      </c>
      <c r="AF30" s="20">
        <f>IFERROR(AF22*100/AF28,"")</f>
        <v/>
      </c>
      <c r="AG30" s="20">
        <f>IFERROR(AG22*100/AG28,"")</f>
        <v/>
      </c>
      <c r="AH30" s="20">
        <f>IFERROR(AH22*100/AH28,"")</f>
        <v/>
      </c>
      <c r="AI30" s="20">
        <f>IFERROR(AI22*100/AI28,"")</f>
        <v/>
      </c>
      <c r="AJ30" s="38">
        <f>AI30</f>
        <v/>
      </c>
      <c r="AK30" s="20">
        <f>IFERROR(AK22*100/AK28,"")</f>
        <v/>
      </c>
      <c r="AL30" s="20">
        <f>IFERROR(AL22*100/AL28,"")</f>
        <v/>
      </c>
      <c r="AM30" s="20">
        <f>IFERROR(AM22*100/AM28,"")</f>
        <v/>
      </c>
      <c r="AN30" s="20">
        <f>IFERROR(AN22*100/AN28,"")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45</v>
      </c>
      <c r="F31" s="37" t="n">
        <v>45</v>
      </c>
      <c r="G31" s="18" t="n"/>
      <c r="H31" s="18" t="n"/>
      <c r="I31" s="18" t="n"/>
      <c r="J31" s="18" t="n">
        <v>10</v>
      </c>
      <c r="K31" s="37">
        <f>SUM(G31:J31)</f>
        <v/>
      </c>
      <c r="L31" s="18" t="n"/>
      <c r="M31" s="18" t="n"/>
      <c r="N31" s="18" t="n"/>
      <c r="O31" s="18" t="n">
        <v>0</v>
      </c>
      <c r="P31" s="37">
        <f>SUM(L31:O31)</f>
        <v/>
      </c>
      <c r="Q31" s="18" t="n"/>
      <c r="R31" s="18" t="n"/>
      <c r="S31" s="18" t="n"/>
      <c r="T31" s="18" t="n">
        <v>15</v>
      </c>
      <c r="U31" s="37">
        <f>SUM(Q31:T31)</f>
        <v/>
      </c>
      <c r="V31" s="18" t="n"/>
      <c r="W31" s="18" t="n"/>
      <c r="X31" s="18" t="n"/>
      <c r="Y31" s="18" t="n">
        <v>20</v>
      </c>
      <c r="Z31" s="37">
        <f>SUM(V31:Y31)</f>
        <v/>
      </c>
      <c r="AA31" s="18" t="n"/>
      <c r="AB31" s="19" t="n"/>
      <c r="AC31" s="20" t="n"/>
      <c r="AD31" s="20">
        <f>변수!AD37</f>
        <v/>
      </c>
      <c r="AE31" s="38">
        <f>SUM(AA31:AD31)</f>
        <v/>
      </c>
      <c r="AF31" s="20" t="n"/>
      <c r="AG31" s="20" t="n"/>
      <c r="AH31" s="20" t="n"/>
      <c r="AI31" s="20">
        <f>변수!AI37</f>
        <v/>
      </c>
      <c r="AJ31" s="38">
        <f>SUM(AF31:AI31)</f>
        <v/>
      </c>
      <c r="AK31" s="20" t="n"/>
      <c r="AL31" s="20" t="n"/>
      <c r="AM31" s="20" t="n"/>
      <c r="AN31" s="20">
        <f>변수!AN37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>
        <f>IFERROR(변수!I18/(E29+G29+H29+I29),"")</f>
        <v/>
      </c>
      <c r="J32" s="13" t="n"/>
      <c r="K32" s="14">
        <f>J32</f>
        <v/>
      </c>
      <c r="L32" s="13" t="n"/>
      <c r="M32" s="13" t="n"/>
      <c r="N32" s="13" t="n"/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>
        <f>IFERROR(변수!R18/(N29+O29+Q29+R29),"")</f>
        <v/>
      </c>
      <c r="S32" s="13">
        <f>IFERROR(변수!S18/(O29+Q29+R29+S29),"")</f>
        <v/>
      </c>
      <c r="T32" s="13" t="n"/>
      <c r="U32" s="14">
        <f>T32</f>
        <v/>
      </c>
      <c r="V32" s="13">
        <f>IFERROR(변수!V18/(R29+S29+T29+V29),"")</f>
        <v/>
      </c>
      <c r="W32" s="13" t="n"/>
      <c r="X32" s="13" t="n"/>
      <c r="Y32" s="13" t="n"/>
      <c r="Z32" s="14">
        <f>Y32</f>
        <v/>
      </c>
      <c r="AA32" s="13" t="n"/>
      <c r="AB32" s="15" t="n"/>
      <c r="AC32" s="39" t="n"/>
      <c r="AD32" s="39" t="n"/>
      <c r="AE32" s="40">
        <f>AD32</f>
        <v/>
      </c>
      <c r="AF32" s="39">
        <f>IFERROR(변수!$D$40/(AB29+AC29+AD29+AF29),"")</f>
        <v/>
      </c>
      <c r="AG32" s="39" t="n"/>
      <c r="AH32" s="39" t="n"/>
      <c r="AI32" s="39" t="n"/>
      <c r="AJ32" s="40">
        <f>AI32</f>
        <v/>
      </c>
      <c r="AK32" s="39" t="n"/>
      <c r="AL32" s="39" t="n"/>
      <c r="AM32" s="39" t="n"/>
      <c r="AN32" s="39" t="n"/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IFERROR(변수!$D$40/AC30,"")</f>
        <v/>
      </c>
      <c r="AD33" s="39">
        <f>IFERROR(변수!$D$40/AD30,"")</f>
        <v/>
      </c>
      <c r="AE33" s="40">
        <f>AD33</f>
        <v/>
      </c>
      <c r="AF33" s="39">
        <f>IFERROR(변수!$D$40/AF30,"")</f>
        <v/>
      </c>
      <c r="AG33" s="39">
        <f>IFERROR(변수!$D$40/AG30,"")</f>
        <v/>
      </c>
      <c r="AH33" s="39">
        <f>IFERROR(변수!$D$40/AH30,"")</f>
        <v/>
      </c>
      <c r="AI33" s="39">
        <f>IFERROR(변수!$D$40/AI30,"")</f>
        <v/>
      </c>
      <c r="AJ33" s="40">
        <f>AI33</f>
        <v/>
      </c>
      <c r="AK33" s="39">
        <f>IFERROR(변수!$D$40/AK30,"")</f>
        <v/>
      </c>
      <c r="AL33" s="39">
        <f>IFERROR(변수!$D$40/AL30,"")</f>
        <v/>
      </c>
      <c r="AM33" s="39">
        <f>IFERROR(변수!$D$40/AM30,"")</f>
        <v/>
      </c>
      <c r="AN33" s="39">
        <f>IFERROR(변수!$D$40/AN30,"")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181.81</v>
      </c>
      <c r="F34" s="37" t="n"/>
      <c r="G34" s="18" t="n">
        <v>108.92</v>
      </c>
      <c r="H34" s="18" t="n">
        <v>128.21</v>
      </c>
      <c r="I34" s="18" t="n">
        <v>126.47</v>
      </c>
      <c r="J34" s="18" t="n">
        <v>196.8</v>
      </c>
      <c r="K34" s="37">
        <f>SUM(G34:J34)</f>
        <v/>
      </c>
      <c r="L34" s="18" t="n">
        <v>97.23999999999999</v>
      </c>
      <c r="M34" s="18" t="n">
        <v>141.66</v>
      </c>
      <c r="N34" s="18" t="n">
        <v>156.17</v>
      </c>
      <c r="O34" s="18" t="n">
        <v>217.48</v>
      </c>
      <c r="P34" s="37">
        <f>SUM(L34:O34)</f>
        <v/>
      </c>
      <c r="Q34" s="18" t="n">
        <v>93.81</v>
      </c>
      <c r="R34" s="18" t="n">
        <v>112.12</v>
      </c>
      <c r="S34" s="18" t="n">
        <v>154.73</v>
      </c>
      <c r="T34" s="18" t="n">
        <v>270.19</v>
      </c>
      <c r="U34" s="37">
        <f>SUM(Q34:T34)</f>
        <v/>
      </c>
      <c r="V34" s="18" t="n">
        <v>89.81999999999999</v>
      </c>
      <c r="W34" s="18" t="n">
        <v>135.26</v>
      </c>
      <c r="X34" s="18" t="n">
        <v>137.05</v>
      </c>
      <c r="Y34" s="18" t="n">
        <v>165.06</v>
      </c>
      <c r="Z34" s="37">
        <f>SUM(V34:Y34)</f>
        <v/>
      </c>
      <c r="AA34" s="18" t="n">
        <v>75.62</v>
      </c>
      <c r="AB34" s="19" t="n">
        <v>143.5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29.93</v>
      </c>
      <c r="F35" s="37" t="n"/>
      <c r="G35" s="18" t="n">
        <v>5.03</v>
      </c>
      <c r="H35" s="18" t="n">
        <v>-4.13</v>
      </c>
      <c r="I35" s="18" t="n">
        <v>-0.9</v>
      </c>
      <c r="J35" s="18" t="n">
        <v>-90.83</v>
      </c>
      <c r="K35" s="37">
        <f>SUM(G35:J35)</f>
        <v/>
      </c>
      <c r="L35" s="18" t="n">
        <v>0.58</v>
      </c>
      <c r="M35" s="18" t="n">
        <v>-12.92</v>
      </c>
      <c r="N35" s="18" t="n">
        <v>10.91</v>
      </c>
      <c r="O35" s="18" t="n">
        <v>0.87</v>
      </c>
      <c r="P35" s="37">
        <f>SUM(L35:O35)</f>
        <v/>
      </c>
      <c r="Q35" s="18" t="n">
        <v>-27.37</v>
      </c>
      <c r="R35" s="18" t="n">
        <v>20.51</v>
      </c>
      <c r="S35" s="18" t="n">
        <v>-13.09</v>
      </c>
      <c r="T35" s="18" t="n">
        <v>14.28</v>
      </c>
      <c r="U35" s="37">
        <f>SUM(Q35:T35)</f>
        <v/>
      </c>
      <c r="V35" s="18" t="n">
        <v>-5.3</v>
      </c>
      <c r="W35" s="18" t="n">
        <v>-2.38</v>
      </c>
      <c r="X35" s="18" t="n">
        <v>11.6</v>
      </c>
      <c r="Y35" s="18" t="n">
        <v>-18.69</v>
      </c>
      <c r="Z35" s="37">
        <f>SUM(V35:Y35)</f>
        <v/>
      </c>
      <c r="AA35" s="18" t="n">
        <v>-16.05</v>
      </c>
      <c r="AB35" s="19" t="n">
        <v>11.18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IFERROR(E18/E5,"")</f>
        <v/>
      </c>
      <c r="F37" s="22">
        <f>IFERROR(F18/F5,"")</f>
        <v/>
      </c>
      <c r="G37" s="21">
        <f>IFERROR(G18/G5,"")</f>
        <v/>
      </c>
      <c r="H37" s="21">
        <f>IFERROR(H18/H5,"")</f>
        <v/>
      </c>
      <c r="I37" s="21">
        <f>IFERROR(I18/I5,"")</f>
        <v/>
      </c>
      <c r="J37" s="21">
        <f>IFERROR(J18/J5,"")</f>
        <v/>
      </c>
      <c r="K37" s="22">
        <f>IFERROR(K18/K5,"")</f>
        <v/>
      </c>
      <c r="L37" s="21">
        <f>IFERROR(L18/L5,"")</f>
        <v/>
      </c>
      <c r="M37" s="21">
        <f>IFERROR(M18/M5,"")</f>
        <v/>
      </c>
      <c r="N37" s="21">
        <f>IFERROR(N18/N5,"")</f>
        <v/>
      </c>
      <c r="O37" s="21">
        <f>IFERROR(O18/O5,"")</f>
        <v/>
      </c>
      <c r="P37" s="22">
        <f>IFERROR(P18/P5,"")</f>
        <v/>
      </c>
      <c r="Q37" s="21">
        <f>IFERROR(Q18/Q5,"")</f>
        <v/>
      </c>
      <c r="R37" s="21">
        <f>IFERROR(R18/R5,"")</f>
        <v/>
      </c>
      <c r="S37" s="21">
        <f>IFERROR(S18/S5,"")</f>
        <v/>
      </c>
      <c r="T37" s="21">
        <f>IFERROR(T18/T5,"")</f>
        <v/>
      </c>
      <c r="U37" s="22">
        <f>IFERROR(U18/U5,"")</f>
        <v/>
      </c>
      <c r="V37" s="21">
        <f>IFERROR(V18/V5,"")</f>
        <v/>
      </c>
      <c r="W37" s="21">
        <f>IFERROR(W18/W5,"")</f>
        <v/>
      </c>
      <c r="X37" s="21">
        <f>IFERROR(X18/X5,"")</f>
        <v/>
      </c>
      <c r="Y37" s="21">
        <f>IFERROR(Y18/Y5,"")</f>
        <v/>
      </c>
      <c r="Z37" s="22">
        <f>IFERROR(Z18/Z5,"")</f>
        <v/>
      </c>
      <c r="AA37" s="21">
        <f>IFERROR(AA18/AA5,"")</f>
        <v/>
      </c>
      <c r="AB37" s="23">
        <f>IFERROR(AB18/AB5,"")</f>
        <v/>
      </c>
      <c r="AC37" s="32">
        <f>IFERROR(AC18/AC5,"")</f>
        <v/>
      </c>
      <c r="AD37" s="32">
        <f>IFERROR(AD18/AD5,"")</f>
        <v/>
      </c>
      <c r="AE37" s="25">
        <f>IFERROR(AE18/AE5,"")</f>
        <v/>
      </c>
      <c r="AF37" s="32">
        <f>IFERROR(AF18/AF5,"")</f>
        <v/>
      </c>
      <c r="AG37" s="32">
        <f>IFERROR(AG18/AG5,"")</f>
        <v/>
      </c>
      <c r="AH37" s="32">
        <f>IFERROR(AH18/AH5,"")</f>
        <v/>
      </c>
      <c r="AI37" s="32">
        <f>IFERROR(AI18/AI5,"")</f>
        <v/>
      </c>
      <c r="AJ37" s="25">
        <f>IFERROR(AJ18/AJ5,"")</f>
        <v/>
      </c>
      <c r="AK37" s="32">
        <f>IFERROR(AK18/AK5,"")</f>
        <v/>
      </c>
      <c r="AL37" s="32">
        <f>IFERROR(AL18/AL5,"")</f>
        <v/>
      </c>
      <c r="AM37" s="32">
        <f>IFERROR(AM18/AM5,"")</f>
        <v/>
      </c>
      <c r="AN37" s="32">
        <f>IFERROR(AN18/AN5,"")</f>
        <v/>
      </c>
      <c r="AO37" s="25">
        <f>IFERROR(AO18/AO5,"")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2">
        <f>IFERROR(AC6/AC5,"")</f>
        <v/>
      </c>
      <c r="AD38" s="32">
        <f>IFERROR(AD6/AD5,"")</f>
        <v/>
      </c>
      <c r="AE38" s="25">
        <f>IFERROR(AE6/AE5,"")</f>
        <v/>
      </c>
      <c r="AF38" s="32">
        <f>IFERROR(AF6/AF5,"")</f>
        <v/>
      </c>
      <c r="AG38" s="32">
        <f>IFERROR(AG6/AG5,"")</f>
        <v/>
      </c>
      <c r="AH38" s="32">
        <f>IFERROR(AH6/AH5,"")</f>
        <v/>
      </c>
      <c r="AI38" s="32">
        <f>IFERROR(AI6/AI5,"")</f>
        <v/>
      </c>
      <c r="AJ38" s="25">
        <f>IFERROR(AJ6/AJ5,"")</f>
        <v/>
      </c>
      <c r="AK38" s="32">
        <f>IFERROR(AK6/AK5,"")</f>
        <v/>
      </c>
      <c r="AL38" s="32">
        <f>IFERROR(AL6/AL5,"")</f>
        <v/>
      </c>
      <c r="AM38" s="32">
        <f>IFERROR(AM6/AM5,"")</f>
        <v/>
      </c>
      <c r="AN38" s="32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2">
        <f>IFERROR(AC8/AC5,"")</f>
        <v/>
      </c>
      <c r="AD39" s="32">
        <f>IFERROR(AD8/AD5,"")</f>
        <v/>
      </c>
      <c r="AE39" s="25">
        <f>IFERROR(AE8/AE5,"")</f>
        <v/>
      </c>
      <c r="AF39" s="32">
        <f>IFERROR(AF8/AF5,"")</f>
        <v/>
      </c>
      <c r="AG39" s="32">
        <f>IFERROR(AG8/AG5,"")</f>
        <v/>
      </c>
      <c r="AH39" s="32">
        <f>IFERROR(AH8/AH5,"")</f>
        <v/>
      </c>
      <c r="AI39" s="32">
        <f>IFERROR(AI8/AI5,"")</f>
        <v/>
      </c>
      <c r="AJ39" s="25">
        <f>IFERROR(AJ8/AJ5,"")</f>
        <v/>
      </c>
      <c r="AK39" s="32">
        <f>IFERROR(AK8/AK5,"")</f>
        <v/>
      </c>
      <c r="AL39" s="32">
        <f>IFERROR(AL8/AL5,"")</f>
        <v/>
      </c>
      <c r="AM39" s="32">
        <f>IFERROR(AM8/AM5,"")</f>
        <v/>
      </c>
      <c r="AN39" s="32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3">
        <f>IFERROR(VLOOKUP($A28,subQ,MATCH(X$1,SUBQH,0),0),"")</f>
        <v/>
      </c>
      <c r="Y28" s="33">
        <f>IFERROR(VLOOKUP($A28,subQ,MATCH(Y$1,SUBQH,0),0),"")</f>
        <v/>
      </c>
      <c r="Z28" s="33">
        <f>IFERROR(VLOOKUP($A28,subQ,MATCH(Z$1,SUBQH,0),0),"")</f>
        <v/>
      </c>
      <c r="AA28" s="33">
        <f>IFERROR(VLOOKUP($A28,subQ,MATCH(AA$1,SUBQH,0),0),"")</f>
        <v/>
      </c>
      <c r="AB28" s="33">
        <f>IFERROR(VLOOKUP($A28,subQ,MATCH(AB$1,SUBQH,0),0),"")</f>
        <v/>
      </c>
      <c r="AC28" s="33">
        <f>IFERROR(VLOOKUP($A28,subQ,MATCH(AC$1,SUBQH,0),0),"")</f>
        <v/>
      </c>
      <c r="AD28" s="33">
        <f>IFERROR(VLOOKUP($A28,subQ,MATCH(AD$1,SUBQH,0),0),"")</f>
        <v/>
      </c>
      <c r="AE28" s="33">
        <f>IFERROR(VLOOKUP($A28,subQ,MATCH(AE$1,SUBQH,0),0),"")</f>
        <v/>
      </c>
      <c r="AF28" s="33">
        <f>IFERROR(VLOOKUP($A28,subQ,MATCH(AF$1,SUBQH,0),0),"")</f>
        <v/>
      </c>
      <c r="AG28" s="33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2">
        <f>IFERROR(VLOOKUP($A36,subQ,MATCH(X$1,SUBQH,0),0),"")</f>
        <v/>
      </c>
      <c r="Y36" s="32">
        <f>IFERROR(VLOOKUP($A36,subQ,MATCH(Y$1,SUBQH,0),0),"")</f>
        <v/>
      </c>
      <c r="Z36" s="32">
        <f>IFERROR(VLOOKUP($A36,subQ,MATCH(Z$1,SUBQH,0),0),"")</f>
        <v/>
      </c>
      <c r="AA36" s="32">
        <f>IFERROR(VLOOKUP($A36,subQ,MATCH(AA$1,SUBQH,0),0),"")</f>
        <v/>
      </c>
      <c r="AB36" s="32">
        <f>IFERROR(VLOOKUP($A36,subQ,MATCH(AB$1,SUBQH,0),0),"")</f>
        <v/>
      </c>
      <c r="AC36" s="32">
        <f>IFERROR(VLOOKUP($A36,subQ,MATCH(AC$1,SUBQH,0),0),"")</f>
        <v/>
      </c>
      <c r="AD36" s="32">
        <f>IFERROR(VLOOKUP($A36,subQ,MATCH(AD$1,SUBQH,0),0),"")</f>
        <v/>
      </c>
      <c r="AE36" s="32">
        <f>IFERROR(VLOOKUP($A36,subQ,MATCH(AE$1,SUBQH,0),0),"")</f>
        <v/>
      </c>
      <c r="AF36" s="32">
        <f>IFERROR(VLOOKUP($A36,subQ,MATCH(AF$1,SUBQH,0),0),"")</f>
        <v/>
      </c>
      <c r="AG36" s="32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2">
        <f>IFERROR(X5/T5-1,"")</f>
        <v/>
      </c>
      <c r="Y37" s="32">
        <f>IFERROR(Y5/U5-1,"")</f>
        <v/>
      </c>
      <c r="Z37" s="32">
        <f>IFERROR(Z5/V5-1,"")</f>
        <v/>
      </c>
      <c r="AA37" s="32">
        <f>IFERROR(AA5/W5-1,"")</f>
        <v/>
      </c>
      <c r="AB37" s="32">
        <f>IFERROR(AB5/X5-1,"")</f>
        <v/>
      </c>
      <c r="AC37" s="32">
        <f>IFERROR(AC5/Y5-1,"")</f>
        <v/>
      </c>
      <c r="AD37" s="32">
        <f>IFERROR(AD5/Z5-1,"")</f>
        <v/>
      </c>
      <c r="AE37" s="32">
        <f>IFERROR(AE5/AA5-1,"")</f>
        <v/>
      </c>
      <c r="AF37" s="32">
        <f>IFERROR(AF5/AB5-1,"")</f>
        <v/>
      </c>
      <c r="AG37" s="32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2">
        <f>IFERROR(X9/T9-1,"")</f>
        <v/>
      </c>
      <c r="Y38" s="32">
        <f>IFERROR(Y9/U9-1,"")</f>
        <v/>
      </c>
      <c r="Z38" s="32">
        <f>IFERROR(Z9/V9-1,"")</f>
        <v/>
      </c>
      <c r="AA38" s="32">
        <f>IFERROR(AA9/W9-1,"")</f>
        <v/>
      </c>
      <c r="AB38" s="32">
        <f>IFERROR(AB9/X9-1,"")</f>
        <v/>
      </c>
      <c r="AC38" s="32">
        <f>IFERROR(AC9/Y9-1,"")</f>
        <v/>
      </c>
      <c r="AD38" s="32">
        <f>IFERROR(AD9/Z9-1,"")</f>
        <v/>
      </c>
      <c r="AE38" s="32">
        <f>IFERROR(AE9/AA9-1,"")</f>
        <v/>
      </c>
      <c r="AF38" s="32">
        <f>IFERROR(AF9/AB9-1,"")</f>
        <v/>
      </c>
      <c r="AG38" s="32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IFERROR(I18/E18-1,"")</f>
        <v/>
      </c>
      <c r="J39" s="21">
        <f>IFERROR(J18/F18-1,"")</f>
        <v/>
      </c>
      <c r="K39" s="21">
        <f>IFERROR(K18/G18-1,"")</f>
        <v/>
      </c>
      <c r="L39" s="21">
        <f>IFERROR(L18/H18-1,"")</f>
        <v/>
      </c>
      <c r="M39" s="21">
        <f>IFERROR(M18/I18-1,"")</f>
        <v/>
      </c>
      <c r="N39" s="21">
        <f>IFERROR(N18/J18-1,"")</f>
        <v/>
      </c>
      <c r="O39" s="21">
        <f>IFERROR(O18/K18-1,"")</f>
        <v/>
      </c>
      <c r="P39" s="21">
        <f>IFERROR(P18/L18-1,"")</f>
        <v/>
      </c>
      <c r="Q39" s="21">
        <f>IFERROR(Q18/M18-1,"")</f>
        <v/>
      </c>
      <c r="R39" s="21">
        <f>IFERROR(R18/N18-1,"")</f>
        <v/>
      </c>
      <c r="S39" s="21">
        <f>IFERROR(S18/O18-1,"")</f>
        <v/>
      </c>
      <c r="T39" s="21">
        <f>IFERROR(T18/P18-1,"")</f>
        <v/>
      </c>
      <c r="U39" s="21">
        <f>IFERROR(U18/Q18-1,"")</f>
        <v/>
      </c>
      <c r="V39" s="21">
        <f>IFERROR(V18/R18-1,"")</f>
        <v/>
      </c>
      <c r="W39" s="46">
        <f>IFERROR(W18/S18-1,"")</f>
        <v/>
      </c>
      <c r="X39" s="32">
        <f>IFERROR(X18/T18-1,"")</f>
        <v/>
      </c>
      <c r="Y39" s="32">
        <f>IFERROR(Y18/U18-1,"")</f>
        <v/>
      </c>
      <c r="Z39" s="32">
        <f>IFERROR(Z18/V18-1,"")</f>
        <v/>
      </c>
      <c r="AA39" s="32">
        <f>IFERROR(AA18/W18-1,"")</f>
        <v/>
      </c>
      <c r="AB39" s="32">
        <f>IFERROR(AB18/X18-1,"")</f>
        <v/>
      </c>
      <c r="AC39" s="32">
        <f>IFERROR(AC18/Y18-1,"")</f>
        <v/>
      </c>
      <c r="AD39" s="32">
        <f>IFERROR(AD18/Z18-1,"")</f>
        <v/>
      </c>
      <c r="AE39" s="32">
        <f>IFERROR(AE18/AA18-1,"")</f>
        <v/>
      </c>
      <c r="AF39" s="32">
        <f>IFERROR(AF18/AB18-1,"")</f>
        <v/>
      </c>
      <c r="AG39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2">
        <f>IFERROR(J5/I5-1,"")</f>
        <v/>
      </c>
      <c r="K37" s="32">
        <f>IFERROR(K5/J5-1,"")</f>
        <v/>
      </c>
      <c r="L37" s="32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2">
        <f>IFERROR(J9/I9-1,"")</f>
        <v/>
      </c>
      <c r="K38" s="32">
        <f>IFERROR(K9/J9-1,"")</f>
        <v/>
      </c>
      <c r="L38" s="32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IFERROR(F18/E18-1,"")</f>
        <v/>
      </c>
      <c r="G39" s="21">
        <f>IFERROR(G18/F18-1,"")</f>
        <v/>
      </c>
      <c r="H39" s="21">
        <f>IFERROR(H18/G18-1,"")</f>
        <v/>
      </c>
      <c r="I39" s="46">
        <f>IFERROR(I18/H18-1,"")</f>
        <v/>
      </c>
      <c r="J39" s="32">
        <f>IFERROR(J18/I18-1,"")</f>
        <v/>
      </c>
      <c r="K39" s="32">
        <f>IFERROR(K18/J18-1,"")</f>
        <v/>
      </c>
      <c r="L39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-52.1</v>
      </c>
    </row>
    <row r="30">
      <c r="C30" s="2" t="inlineStr">
        <is>
          <t>bps_latest</t>
        </is>
      </c>
      <c r="D30" t="n">
        <v>2700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0.85</v>
      </c>
    </row>
    <row r="33">
      <c r="C33" s="2" t="inlineStr">
        <is>
          <t>roe_fwd</t>
        </is>
      </c>
      <c r="D33" t="n">
        <v>-0.0193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