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100원(fin 10원 ÷ 1/10 병합/분할 환산) 유지</t>
      </text>
    </comment>
    <comment ref="AI39" authorId="0" shapeId="0">
      <text>
        <t>모델값 역산(implied): 모델 v 그대로
직전 결산 DPS 100원(fin 10원 ÷ 1/10 병합/분할 환산) 유지</t>
      </text>
    </comment>
    <comment ref="AN39" authorId="0" shapeId="0">
      <text>
        <t>모델값 역산(implied): 모델 v 그대로
직전 결산 DPS 100원(fin 10원 ÷ 1/10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759억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758억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750억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749억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759억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758억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750억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749억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78,880,322주 × 1/10(환산 — 2026Q2 1/10 병합; IAS 33.64 비교표시·수정주가 이력과 정합)</t>
      </text>
    </comment>
    <comment ref="G30" authorId="0" shapeId="0">
      <text>
        <t>추정(실적 구간 갭필): fin.shares.common_outstanding 78,880,322주 × 1/10(환산 — 2026Q2 1/10 병합; IAS 33.64 비교표시·수정주가 이력과 정합)</t>
      </text>
    </comment>
    <comment ref="H30" authorId="0" shapeId="0">
      <text>
        <t>추정(실적 구간 갭필): fin.shares.common_outstanding 78,880,322주 × 1/10(환산 — 2026Q2 1/10 병합; IAS 33.64 비교표시·수정주가 이력과 정합)</t>
      </text>
    </comment>
    <comment ref="I30" authorId="0" shapeId="0">
      <text>
        <t>추정(실적 구간 갭필): fin.shares.common_outstanding 78,880,322주 × 1/10(환산 — 2026Q2 1/10 병합; IAS 33.64 비교표시·수정주가 이력과 정합)</t>
      </text>
    </comment>
    <comment ref="J30" authorId="0" shapeId="0">
      <text>
        <t>추정(실적 구간 갭필): fin.shares.common_outstanding 78,880,322주 × 1/10(환산 — 2026Q2 1/10 병합; IAS 33.64 비교표시·수정주가 이력과 정합)</t>
      </text>
    </comment>
    <comment ref="L30" authorId="0" shapeId="0">
      <text>
        <t>추정(실적 구간 갭필): fin.shares.common_outstanding 78,880,322주 × 1/10(환산 — 2026Q2 1/10 병합; IAS 33.64 비교표시·수정주가 이력과 정합)</t>
      </text>
    </comment>
    <comment ref="M30" authorId="0" shapeId="0">
      <text>
        <t>추정(실적 구간 갭필): fin.shares.common_outstanding 78,880,322주 × 1/10(환산 — 2026Q2 1/10 병합; IAS 33.64 비교표시·수정주가 이력과 정합)</t>
      </text>
    </comment>
    <comment ref="N30" authorId="0" shapeId="0">
      <text>
        <t>추정(실적 구간 갭필): fin.shares.common_outstanding 78,880,322주 × 1/10(환산 — 2026Q2 1/10 병합; IAS 33.64 비교표시·수정주가 이력과 정합)</t>
      </text>
    </comment>
    <comment ref="O30" authorId="0" shapeId="0">
      <text>
        <t>추정(실적 구간 갭필): fin.shares.common_outstanding 78,880,322주 × 1/10(환산 — 2026Q2 1/10 병합; IAS 33.64 비교표시·수정주가 이력과 정합)</t>
      </text>
    </comment>
    <comment ref="Q30" authorId="0" shapeId="0">
      <text>
        <t>추정(실적 구간 갭필): fin.shares.common_outstanding 78,880,322주 × 1/10(환산 — 2026Q2 1/10 병합; IAS 33.64 비교표시·수정주가 이력과 정합)</t>
      </text>
    </comment>
    <comment ref="R30" authorId="0" shapeId="0">
      <text>
        <t>추정(실적 구간 갭필): fin.shares.common_outstanding 78,880,322주 × 1/10(환산 — 2026Q2 1/10 병합; IAS 33.64 비교표시·수정주가 이력과 정합)</t>
      </text>
    </comment>
    <comment ref="S30" authorId="0" shapeId="0">
      <text>
        <t>추정(실적 구간 갭필): fin.shares.common_outstanding 78,880,322주 × 1/10(환산 — 2026Q2 1/10 병합; IAS 33.64 비교표시·수정주가 이력과 정합)</t>
      </text>
    </comment>
    <comment ref="T30" authorId="0" shapeId="0">
      <text>
        <t>추정(실적 구간 갭필): fin.shares.common_outstanding 78,630,845주 × 1/10(환산 — 2026Q2 1/10 병합; IAS 33.64 비교표시·수정주가 이력과 정합)</t>
      </text>
    </comment>
    <comment ref="V30" authorId="0" shapeId="0">
      <text>
        <t>추정(실적 구간 갭필): fin.shares.common_outstanding 75,678,505주 × 1/10(환산 — 2026Q2 1/10 병합; IAS 33.64 비교표시·수정주가 이력과 정합)</t>
      </text>
    </comment>
    <comment ref="W30" authorId="0" shapeId="0">
      <text>
        <t>추정(실적 구간 갭필): fin.shares.common_outstanding 69,497,113주 × 1/10(환산 — 2026Q2 1/10 병합; IAS 33.64 비교표시·수정주가 이력과 정합)</t>
      </text>
    </comment>
    <comment ref="X30" authorId="0" shapeId="0">
      <text>
        <t>추정(실적 구간 갭필): fin.shares.common_outstanding 69,497,113주 × 1/10(환산 — 2026Q2 1/10 병합; IAS 33.64 비교표시·수정주가 이력과 정합)</t>
      </text>
    </comment>
    <comment ref="Y30" authorId="0" shapeId="0">
      <text>
        <t>추정(실적 구간 갭필): fin.shares.common_outstanding 69,481,164주 × 1/10(환산 — 2026Q2 1/10 병합; IAS 33.64 비교표시·수정주가 이력과 정합)</t>
      </text>
    </comment>
    <comment ref="AA30" authorId="0" shapeId="0">
      <text>
        <t>추정(실적 구간 갭필): fin.shares.common_outstanding 69,481,164주 × 1/10(환산 — 2026Q2 1/10 병합; IAS 33.64 비교표시·수정주가 이력과 정합)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추정(실적 구간 갭필): fin.dividend.dps_common 10원 ÷ 1/10(병합/분할 환산 — 2026Q2 1/10 병합)</t>
      </text>
    </comment>
    <comment ref="Y33" authorId="0" shapeId="0">
      <text>
        <t>추정(실적 구간 갭필): fin.dividend.dps_common 10원 ÷ 1/10(병합/분할 환산 — 2026Q2 1/10 병합)</t>
      </text>
    </comment>
    <comment ref="AD33" authorId="0" shapeId="0">
      <text>
        <t>추정: 직전 결산 DPS 100원(fin 10원 ÷ 1/10 병합/분할 환산) 유지
[abs]</t>
      </text>
    </comment>
    <comment ref="AI33" authorId="0" shapeId="0">
      <text>
        <t>추정: 직전 결산 DPS 100원(fin 10원 ÷ 1/10 병합/분할 환산) 유지
[abs]</t>
      </text>
    </comment>
    <comment ref="AN33" authorId="0" shapeId="0">
      <text>
        <t>추정: 직전 결산 DPS 100원(fin 10원 ÷ 1/10 병합/분할 환산)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5.0/5.4/6.8배(hist_quarterly(분기 평균가 ÷ TTM EPS, 10분기, 25/50/75 백분위) · 캡 5~30배 적용(원값 1.3/5.4/6.8))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주식수 사건 환산: 2026Q2 1/10 병합(eps_reported 교차검증 confirmed) → 사건 전 실적 18분기의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null, "wape_trend": 23.0,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8220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8874.299999999999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0.008637673</v>
      </c>
      <c r="AD30" s="30" t="n">
        <v>-0.004379011</v>
      </c>
      <c r="AE30" s="31" t="n"/>
      <c r="AF30" s="30" t="n">
        <v>0.000791705</v>
      </c>
      <c r="AG30" s="30" t="n">
        <v>6.94241951</v>
      </c>
      <c r="AH30" s="30" t="n">
        <v>0.003009043</v>
      </c>
      <c r="AI30" s="30" t="n">
        <v>-0.008588472999999999</v>
      </c>
      <c r="AJ30" s="31" t="n"/>
      <c r="AK30" s="30" t="n">
        <v>-0.003047909</v>
      </c>
      <c r="AL30" s="30" t="n">
        <v>6.939725438</v>
      </c>
      <c r="AM30" s="30" t="n">
        <v>0.011795324</v>
      </c>
      <c r="AN30" s="30" t="n">
        <v>-0.004061584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0.003137673</v>
      </c>
      <c r="AD31" s="30" t="n">
        <v>0.005620989</v>
      </c>
      <c r="AE31" s="31" t="n"/>
      <c r="AF31" s="30" t="n">
        <v>0.000791705</v>
      </c>
      <c r="AG31" s="30" t="n">
        <v>6.94241951</v>
      </c>
      <c r="AH31" s="30" t="n">
        <v>-0.006990957</v>
      </c>
      <c r="AI31" s="30" t="n">
        <v>0.001411527</v>
      </c>
      <c r="AJ31" s="31" t="n"/>
      <c r="AK31" s="30" t="n">
        <v>-0.003047909</v>
      </c>
      <c r="AL31" s="30" t="n">
        <v>6.939725438</v>
      </c>
      <c r="AM31" s="30" t="n">
        <v>0.001795324</v>
      </c>
      <c r="AN31" s="30" t="n">
        <v>0.005938416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-0.013095818</v>
      </c>
      <c r="AH33" s="24" t="n">
        <v>-0.000357258</v>
      </c>
      <c r="AI33" s="24" t="n">
        <v>-0.007709326</v>
      </c>
      <c r="AJ33" s="25" t="n"/>
      <c r="AK33" s="24" t="n">
        <v>-0.001629307</v>
      </c>
      <c r="AL33" s="24" t="n">
        <v>-0.01534048</v>
      </c>
      <c r="AM33" s="24" t="n">
        <v>-0.001343359</v>
      </c>
      <c r="AN33" s="24" t="n">
        <v>-0.009468572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-0.010116842</v>
      </c>
      <c r="AH34" s="24" t="n">
        <v>-0.000274808</v>
      </c>
      <c r="AI34" s="24" t="n">
        <v>-0.00592963</v>
      </c>
      <c r="AJ34" s="25" t="n"/>
      <c r="AK34" s="24" t="n">
        <v>-0.001250938</v>
      </c>
      <c r="AL34" s="24" t="n">
        <v>-0.011773547</v>
      </c>
      <c r="AM34" s="24" t="n">
        <v>-0.001027283</v>
      </c>
      <c r="AN34" s="24" t="n">
        <v>-0.007238441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100</v>
      </c>
      <c r="AE39" s="31">
        <f>subQ!AE33</f>
        <v/>
      </c>
      <c r="AF39" s="32" t="n"/>
      <c r="AG39" s="32" t="n"/>
      <c r="AH39" s="32" t="n"/>
      <c r="AI39" s="30" t="n">
        <v>100</v>
      </c>
      <c r="AJ39" s="31">
        <f>subQ!AJ33</f>
        <v/>
      </c>
      <c r="AK39" s="32" t="n"/>
      <c r="AL39" s="32" t="n"/>
      <c r="AM39" s="32" t="n"/>
      <c r="AN39" s="30" t="n">
        <v>100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8950</v>
      </c>
      <c r="E42" s="2" t="inlineStr">
        <is>
          <t>원 — 네이버 정규장 종가(aik 확정종가 대조 · aik 8,780원)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20261013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10분기, 25/50/75 백분위) · 캡 5~30배 적용(원값 1.3/5.4/6.8)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5.4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6.8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0.03042783283443792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2" t="n">
        <v>7.8880322</v>
      </c>
      <c r="F30" s="28">
        <f>E30</f>
        <v/>
      </c>
      <c r="G30" s="32" t="n">
        <v>7.8880322</v>
      </c>
      <c r="H30" s="32" t="n">
        <v>7.8880322</v>
      </c>
      <c r="I30" s="32" t="n">
        <v>7.8880322</v>
      </c>
      <c r="J30" s="32" t="n">
        <v>7.8880322</v>
      </c>
      <c r="K30" s="28">
        <f>J30</f>
        <v/>
      </c>
      <c r="L30" s="32" t="n">
        <v>7.8880322</v>
      </c>
      <c r="M30" s="32" t="n">
        <v>7.8880322</v>
      </c>
      <c r="N30" s="32" t="n">
        <v>7.8880322</v>
      </c>
      <c r="O30" s="32" t="n">
        <v>7.8880322</v>
      </c>
      <c r="P30" s="28">
        <f>O30</f>
        <v/>
      </c>
      <c r="Q30" s="32" t="n">
        <v>7.8880322</v>
      </c>
      <c r="R30" s="32" t="n">
        <v>7.8880322</v>
      </c>
      <c r="S30" s="32" t="n">
        <v>7.8880322</v>
      </c>
      <c r="T30" s="32" t="n">
        <v>7.8630845</v>
      </c>
      <c r="U30" s="28">
        <f>T30</f>
        <v/>
      </c>
      <c r="V30" s="32" t="n">
        <v>7.5678505</v>
      </c>
      <c r="W30" s="32" t="n">
        <v>6.949711300000001</v>
      </c>
      <c r="X30" s="32" t="n">
        <v>6.949711300000001</v>
      </c>
      <c r="Y30" s="32" t="n">
        <v>6.9481164</v>
      </c>
      <c r="Z30" s="28">
        <f>Y30</f>
        <v/>
      </c>
      <c r="AA30" s="32" t="n">
        <v>6.9481164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20" t="n">
        <v>100</v>
      </c>
      <c r="U33" s="37">
        <f>SUM(Q33:T33)</f>
        <v/>
      </c>
      <c r="V33" s="18" t="n"/>
      <c r="W33" s="18" t="n"/>
      <c r="X33" s="18" t="n"/>
      <c r="Y33" s="20" t="n">
        <v>100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0.37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