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BS연결!$C$5:$AO$99</definedName>
    <definedName name="BS별도H">BS별도!$C$1:$AO$1</definedName>
    <definedName name="BS별도">BS별도!$C$5:$AO$95</definedName>
    <definedName name="SUBQH">subQ!$A$1:$AO$1</definedName>
    <definedName name="subQ">subQ!$A$5:$AO$41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(1+30.2%) — g=최근 4분기 합 YoY 30.2% 클립(−30~+50%), 연차별 절반 감쇠(가정)</t>
      </text>
    </comment>
    <comment ref="AD21" authorId="0" shapeId="0">
      <text>
        <t>모델값 역산(implied): v / 전년동기 − 1
전년동기 × (1+30.2%) — g=최근 4분기 합 YoY 30.2% 클립(−30~+50%), 연차별 절반 감쇠(가정)</t>
      </text>
    </comment>
    <comment ref="AF21" authorId="0" shapeId="0">
      <text>
        <t>모델값 역산(implied): v / 전년동기 − 1
전년동기 × (1+30.2%) — g=최근 4분기 합 YoY 30.2% 클립(−30~+50%), 연차별 절반 감쇠(가정)</t>
      </text>
    </comment>
    <comment ref="AG21" authorId="0" shapeId="0">
      <text>
        <t>모델값 역산(implied): v / 전년동기 − 1
전년동기 × (1+30.2%) — g=최근 4분기 합 YoY 30.2% 클립(−30~+50%), 연차별 절반 감쇠(가정)</t>
      </text>
    </comment>
    <comment ref="AH21" authorId="0" shapeId="0">
      <text>
        <t>모델값 역산(implied): v / 전년동기 − 1
전년동기 × (1+15.1%) — g=최근 4분기 합 YoY 30.2% 클립(−30~+50%), 연차별 절반 감쇠(가정)</t>
      </text>
    </comment>
    <comment ref="AI21" authorId="0" shapeId="0">
      <text>
        <t>모델값 역산(implied): v / 전년동기 − 1
전년동기 × (1+15.1%) — g=최근 4분기 합 YoY 30.2% 클립(−30~+50%), 연차별 절반 감쇠(가정)</t>
      </text>
    </comment>
    <comment ref="AK21" authorId="0" shapeId="0">
      <text>
        <t>모델값 역산(implied): v / 전년동기 − 1
전년동기 × (1+15.1%) — g=최근 4분기 합 YoY 30.2% 클립(−30~+50%), 연차별 절반 감쇠(가정)</t>
      </text>
    </comment>
    <comment ref="AL21" authorId="0" shapeId="0">
      <text>
        <t>모델값 역산(implied): v / 전년동기 − 1
전년동기 × (1+15.1%) — g=최근 4분기 합 YoY 30.2% 클립(−30~+50%), 연차별 절반 감쇠(가정)</t>
      </text>
    </comment>
    <comment ref="AM21" authorId="0" shapeId="0">
      <text>
        <t>모델값 역산(implied): v / 전년동기 − 1
전년동기 × (1+7.6%) — g=최근 4분기 합 YoY 30.2% 클립(−30~+50%), 연차별 절반 감쇠(가정)</t>
      </text>
    </comment>
    <comment ref="AN21" authorId="0" shapeId="0">
      <text>
        <t>모델값 역산(implied): v / 전년동기 − 1
전년동기 × (1+7.6%) — g=최근 4분기 합 YoY 30.2% 클립(−30~+50%), 연차별 절반 감쇠(가정)</t>
      </text>
    </comment>
    <comment ref="AC22" authorId="0" shapeId="0">
      <text>
        <t>3절 스칼라 '판관비율' 참조 — 숫자로 덮어쓰면 이 분기만 바뀐다
매출액 × 판관비율 16.19%(최근 4분기 중위)</t>
      </text>
    </comment>
    <comment ref="AD22" authorId="0" shapeId="0">
      <text>
        <t>3절 스칼라 '판관비율' 참조 — 숫자로 덮어쓰면 이 분기만 바뀐다
매출액 × 판관비율 16.19%(최근 4분기 중위)</t>
      </text>
    </comment>
    <comment ref="AF22" authorId="0" shapeId="0">
      <text>
        <t>3절 스칼라 '판관비율' 참조 — 숫자로 덮어쓰면 이 분기만 바뀐다
매출액 × 판관비율 16.19%(최근 4분기 중위)</t>
      </text>
    </comment>
    <comment ref="AG22" authorId="0" shapeId="0">
      <text>
        <t>3절 스칼라 '판관비율' 참조 — 숫자로 덮어쓰면 이 분기만 바뀐다
매출액 × 판관비율 16.19%(최근 4분기 중위)</t>
      </text>
    </comment>
    <comment ref="AH22" authorId="0" shapeId="0">
      <text>
        <t>3절 스칼라 '판관비율' 참조 — 숫자로 덮어쓰면 이 분기만 바뀐다
매출액 × 판관비율 16.19%(최근 4분기 중위)</t>
      </text>
    </comment>
    <comment ref="AI22" authorId="0" shapeId="0">
      <text>
        <t>3절 스칼라 '판관비율' 참조 — 숫자로 덮어쓰면 이 분기만 바뀐다
매출액 × 판관비율 16.19%(최근 4분기 중위)</t>
      </text>
    </comment>
    <comment ref="AK22" authorId="0" shapeId="0">
      <text>
        <t>3절 스칼라 '판관비율' 참조 — 숫자로 덮어쓰면 이 분기만 바뀐다
매출액 × 판관비율 16.19%(최근 4분기 중위)</t>
      </text>
    </comment>
    <comment ref="AL22" authorId="0" shapeId="0">
      <text>
        <t>3절 스칼라 '판관비율' 참조 — 숫자로 덮어쓰면 이 분기만 바뀐다
매출액 × 판관비율 16.19%(최근 4분기 중위)</t>
      </text>
    </comment>
    <comment ref="AM22" authorId="0" shapeId="0">
      <text>
        <t>3절 스칼라 '판관비율' 참조 — 숫자로 덮어쓰면 이 분기만 바뀐다
매출액 × 판관비율 16.19%(최근 4분기 중위)</t>
      </text>
    </comment>
    <comment ref="AN22" authorId="0" shapeId="0">
      <text>
        <t>3절 스칼라 '판관비율' 참조 — 숫자로 덮어쓰면 이 분기만 바뀐다
매출액 × 판관비율 16.19%(최근 4분기 중위)</t>
      </text>
    </comment>
    <comment ref="AC23" authorId="0" shapeId="0">
      <text>
        <t>모델값 역산(implied): v / 매출액
매출액 × OPM(최근 8분기 OPM 중위 -1.4% 유지(클립 −20~40%))</t>
      </text>
    </comment>
    <comment ref="AD23" authorId="0" shapeId="0">
      <text>
        <t>모델값 역산(implied): v / 매출액
매출액 × OPM(최근 8분기 OPM 중위 -1.4% 유지(클립 −20~40%))</t>
      </text>
    </comment>
    <comment ref="AF23" authorId="0" shapeId="0">
      <text>
        <t>모델값 역산(implied): v / 매출액
매출액 × OPM(최근 8분기 OPM 중위 -1.4% 유지(클립 −20~40%))</t>
      </text>
    </comment>
    <comment ref="AG23" authorId="0" shapeId="0">
      <text>
        <t>모델값 역산(implied): v / 매출액
매출액 × OPM(최근 8분기 OPM 중위 -1.4% 유지(클립 −20~40%))</t>
      </text>
    </comment>
    <comment ref="AH23" authorId="0" shapeId="0">
      <text>
        <t>모델값 역산(implied): v / 매출액
매출액 × OPM(최근 8분기 OPM 중위 -1.4% 유지(클립 −20~40%))</t>
      </text>
    </comment>
    <comment ref="AI23" authorId="0" shapeId="0">
      <text>
        <t>모델값 역산(implied): v / 매출액
매출액 × OPM(최근 8분기 OPM 중위 -1.4% 유지(클립 −20~40%))</t>
      </text>
    </comment>
    <comment ref="AK23" authorId="0" shapeId="0">
      <text>
        <t>모델값 역산(implied): v / 매출액
매출액 × OPM(최근 8분기 OPM 중위 -1.4% 유지(클립 −20~40%))</t>
      </text>
    </comment>
    <comment ref="AL23" authorId="0" shapeId="0">
      <text>
        <t>모델값 역산(implied): v / 매출액
매출액 × OPM(최근 8분기 OPM 중위 -1.4% 유지(클립 −20~40%))</t>
      </text>
    </comment>
    <comment ref="AM23" authorId="0" shapeId="0">
      <text>
        <t>모델값 역산(implied): v / 매출액
매출액 × OPM(최근 8분기 OPM 중위 -1.4% 유지(클립 −20~40%))</t>
      </text>
    </comment>
    <comment ref="AN23" authorId="0" shapeId="0">
      <text>
        <t>모델값 역산(implied): v / 매출액
매출액 × OPM(최근 8분기 OPM 중위 -1.4% 유지(클립 −20~40%))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모델값 역산(implied): 모델 v 그대로
최근 4분기 중위</t>
      </text>
    </comment>
    <comment ref="AD25" authorId="0" shapeId="0">
      <text>
        <t>모델값 역산(implied): 모델 v 그대로
최근 4분기 중위</t>
      </text>
    </comment>
    <comment ref="AF25" authorId="0" shapeId="0">
      <text>
        <t>모델값 역산(implied): 모델 v 그대로
최근 4분기 중위</t>
      </text>
    </comment>
    <comment ref="AG25" authorId="0" shapeId="0">
      <text>
        <t>모델값 역산(implied): 모델 v 그대로
최근 4분기 중위</t>
      </text>
    </comment>
    <comment ref="AH25" authorId="0" shapeId="0">
      <text>
        <t>모델값 역산(implied): 모델 v 그대로
최근 4분기 중위</t>
      </text>
    </comment>
    <comment ref="AI25" authorId="0" shapeId="0">
      <text>
        <t>모델값 역산(implied): 모델 v 그대로
최근 4분기 중위</t>
      </text>
    </comment>
    <comment ref="AK25" authorId="0" shapeId="0">
      <text>
        <t>모델값 역산(implied): 모델 v 그대로
최근 4분기 중위</t>
      </text>
    </comment>
    <comment ref="AL25" authorId="0" shapeId="0">
      <text>
        <t>모델값 역산(implied): 모델 v 그대로
최근 4분기 중위</t>
      </text>
    </comment>
    <comment ref="AM25" authorId="0" shapeId="0">
      <text>
        <t>모델값 역산(implied): 모델 v 그대로
최근 4분기 중위</t>
      </text>
    </comment>
    <comment ref="AN25" authorId="0" shapeId="0">
      <text>
        <t>모델값 역산(implied): 모델 v 그대로
최근 4분기 중위</t>
      </text>
    </comment>
    <comment ref="AC26" authorId="0" shapeId="0">
      <text>
        <t>3절 스칼라 '세율' 참조 — 숫자로 덮어쓰면 이 분기만 바뀐다
max(세전, 0) × 세율 5.2%(최근 12분기 유효세율 5.2%(5~27% 안 — 그대로))</t>
      </text>
    </comment>
    <comment ref="AD26" authorId="0" shapeId="0">
      <text>
        <t>3절 스칼라 '세율' 참조 — 숫자로 덮어쓰면 이 분기만 바뀐다
max(세전, 0) × 세율 5.2%(최근 12분기 유효세율 5.2%(5~27% 안 — 그대로))</t>
      </text>
    </comment>
    <comment ref="AF26" authorId="0" shapeId="0">
      <text>
        <t>3절 스칼라 '세율' 참조 — 숫자로 덮어쓰면 이 분기만 바뀐다
max(세전, 0) × 세율 5.2%(최근 12분기 유효세율 5.2%(5~27% 안 — 그대로))</t>
      </text>
    </comment>
    <comment ref="AG26" authorId="0" shapeId="0">
      <text>
        <t>3절 스칼라 '세율' 참조 — 숫자로 덮어쓰면 이 분기만 바뀐다
max(세전, 0) × 세율 5.2%(최근 12분기 유효세율 5.2%(5~27% 안 — 그대로))</t>
      </text>
    </comment>
    <comment ref="AH26" authorId="0" shapeId="0">
      <text>
        <t>3절 스칼라 '세율' 참조 — 숫자로 덮어쓰면 이 분기만 바뀐다
max(세전, 0) × 세율 5.2%(최근 12분기 유효세율 5.2%(5~27% 안 — 그대로))</t>
      </text>
    </comment>
    <comment ref="AI26" authorId="0" shapeId="0">
      <text>
        <t>3절 스칼라 '세율' 참조 — 숫자로 덮어쓰면 이 분기만 바뀐다
max(세전, 0) × 세율 5.2%(최근 12분기 유효세율 5.2%(5~27% 안 — 그대로))</t>
      </text>
    </comment>
    <comment ref="AK26" authorId="0" shapeId="0">
      <text>
        <t>3절 스칼라 '세율' 참조 — 숫자로 덮어쓰면 이 분기만 바뀐다
max(세전, 0) × 세율 5.2%(최근 12분기 유효세율 5.2%(5~27% 안 — 그대로))</t>
      </text>
    </comment>
    <comment ref="AL26" authorId="0" shapeId="0">
      <text>
        <t>3절 스칼라 '세율' 참조 — 숫자로 덮어쓰면 이 분기만 바뀐다
max(세전, 0) × 세율 5.2%(최근 12분기 유효세율 5.2%(5~27% 안 — 그대로))</t>
      </text>
    </comment>
    <comment ref="AM26" authorId="0" shapeId="0">
      <text>
        <t>3절 스칼라 '세율' 참조 — 숫자로 덮어쓰면 이 분기만 바뀐다
max(세전, 0) × 세율 5.2%(최근 12분기 유효세율 5.2%(5~27% 안 — 그대로))</t>
      </text>
    </comment>
    <comment ref="AN26" authorId="0" shapeId="0">
      <text>
        <t>3절 스칼라 '세율' 참조 — 숫자로 덮어쓰면 이 분기만 바뀐다
max(세전, 0) × 세율 5.2%(최근 12분기 유효세율 5.2%(5~27% 안 — 그대로))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D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F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G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H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I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K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L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M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N33" authorId="0" shapeId="0">
      <text>
        <t>모델값 역산(implied): v / 전분기 − 1
전분기 − FCF 근사[순이익 − 배당(감가상각비 없음 → CAPEX≈감가 가정, CAPEX 중위 40억은 행에만)]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100원(fin 10원 ÷ 1/10 병합/분할 환산) 유지</t>
      </text>
    </comment>
    <comment ref="AI39" authorId="0" shapeId="0">
      <text>
        <t>모델값 역산(implied): 모델 v 그대로
직전 결산 DPS 100원(fin 10원 ÷ 1/10 병합/분할 환산) 유지</t>
      </text>
    </comment>
    <comment ref="AN39" authorId="0" shapeId="0">
      <text>
        <t>모델값 역산(implied): 모델 v 그대로
직전 결산 DPS 100원(fin 10원 ÷ 1/10 병합/분할 환산)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(1+30.2%) — g=최근 4분기 합 YoY 30.2% 클립(−30~+50%), 연차별 절반 감쇠(가정)
[yoy]</t>
      </text>
    </comment>
    <comment ref="AD5" authorId="0" shapeId="0">
      <text>
        <t>추정: 전년동기 × (1+30.2%) — g=최근 4분기 합 YoY 30.2% 클립(−30~+50%), 연차별 절반 감쇠(가정)
[yoy]</t>
      </text>
    </comment>
    <comment ref="AF5" authorId="0" shapeId="0">
      <text>
        <t>추정: 전년동기 × (1+30.2%) — g=최근 4분기 합 YoY 30.2% 클립(−30~+50%), 연차별 절반 감쇠(가정)
[yoy]</t>
      </text>
    </comment>
    <comment ref="AG5" authorId="0" shapeId="0">
      <text>
        <t>추정: 전년동기 × (1+30.2%) — g=최근 4분기 합 YoY 30.2% 클립(−30~+50%), 연차별 절반 감쇠(가정)
[yoy]</t>
      </text>
    </comment>
    <comment ref="AH5" authorId="0" shapeId="0">
      <text>
        <t>추정: 전년동기 × (1+15.1%) — g=최근 4분기 합 YoY 30.2% 클립(−30~+50%), 연차별 절반 감쇠(가정)
[yoy]</t>
      </text>
    </comment>
    <comment ref="AI5" authorId="0" shapeId="0">
      <text>
        <t>추정: 전년동기 × (1+15.1%) — g=최근 4분기 합 YoY 30.2% 클립(−30~+50%), 연차별 절반 감쇠(가정)
[yoy]</t>
      </text>
    </comment>
    <comment ref="AK5" authorId="0" shapeId="0">
      <text>
        <t>추정: 전년동기 × (1+15.1%) — g=최근 4분기 합 YoY 30.2% 클립(−30~+50%), 연차별 절반 감쇠(가정)
[yoy]</t>
      </text>
    </comment>
    <comment ref="AL5" authorId="0" shapeId="0">
      <text>
        <t>추정: 전년동기 × (1+15.1%) — g=최근 4분기 합 YoY 30.2% 클립(−30~+50%), 연차별 절반 감쇠(가정)
[yoy]</t>
      </text>
    </comment>
    <comment ref="AM5" authorId="0" shapeId="0">
      <text>
        <t>추정: 전년동기 × (1+7.6%) — g=최근 4분기 합 YoY 30.2% 클립(−30~+50%), 연차별 절반 감쇠(가정)
[yoy]</t>
      </text>
    </comment>
    <comment ref="AN5" authorId="0" shapeId="0">
      <text>
        <t>추정: 전년동기 × (1+7.6%) — g=최근 4분기 합 YoY 30.2%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16.19%(최근 4분기 중위)
[ratio]</t>
      </text>
    </comment>
    <comment ref="AD8" authorId="0" shapeId="0">
      <text>
        <t>추정: 매출액 × 판관비율 16.19%(최근 4분기 중위)
[ratio]</t>
      </text>
    </comment>
    <comment ref="AF8" authorId="0" shapeId="0">
      <text>
        <t>추정: 매출액 × 판관비율 16.19%(최근 4분기 중위)
[ratio]</t>
      </text>
    </comment>
    <comment ref="AG8" authorId="0" shapeId="0">
      <text>
        <t>추정: 매출액 × 판관비율 16.19%(최근 4분기 중위)
[ratio]</t>
      </text>
    </comment>
    <comment ref="AH8" authorId="0" shapeId="0">
      <text>
        <t>추정: 매출액 × 판관비율 16.19%(최근 4분기 중위)
[ratio]</t>
      </text>
    </comment>
    <comment ref="AI8" authorId="0" shapeId="0">
      <text>
        <t>추정: 매출액 × 판관비율 16.19%(최근 4분기 중위)
[ratio]</t>
      </text>
    </comment>
    <comment ref="AK8" authorId="0" shapeId="0">
      <text>
        <t>추정: 매출액 × 판관비율 16.19%(최근 4분기 중위)
[ratio]</t>
      </text>
    </comment>
    <comment ref="AL8" authorId="0" shapeId="0">
      <text>
        <t>추정: 매출액 × 판관비율 16.19%(최근 4분기 중위)
[ratio]</t>
      </text>
    </comment>
    <comment ref="AM8" authorId="0" shapeId="0">
      <text>
        <t>추정: 매출액 × 판관비율 16.19%(최근 4분기 중위)
[ratio]</t>
      </text>
    </comment>
    <comment ref="AN8" authorId="0" shapeId="0">
      <text>
        <t>추정: 매출액 × 판관비율 16.19%(최근 4분기 중위)
[ratio]</t>
      </text>
    </comment>
    <comment ref="AC9" authorId="0" shapeId="0">
      <text>
        <t>추정: 매출액 × OPM(최근 8분기 OPM 중위 -1.4% 유지(클립 −20~40%))
[ratio]</t>
      </text>
    </comment>
    <comment ref="AD9" authorId="0" shapeId="0">
      <text>
        <t>추정: 매출액 × OPM(최근 8분기 OPM 중위 -1.4% 유지(클립 −20~40%))
[ratio]</t>
      </text>
    </comment>
    <comment ref="AF9" authorId="0" shapeId="0">
      <text>
        <t>추정: 매출액 × OPM(최근 8분기 OPM 중위 -1.4% 유지(클립 −20~40%))
[ratio]</t>
      </text>
    </comment>
    <comment ref="AG9" authorId="0" shapeId="0">
      <text>
        <t>추정: 매출액 × OPM(최근 8분기 OPM 중위 -1.4% 유지(클립 −20~40%))
[ratio]</t>
      </text>
    </comment>
    <comment ref="AH9" authorId="0" shapeId="0">
      <text>
        <t>추정: 매출액 × OPM(최근 8분기 OPM 중위 -1.4% 유지(클립 −20~40%))
[ratio]</t>
      </text>
    </comment>
    <comment ref="AI9" authorId="0" shapeId="0">
      <text>
        <t>추정: 매출액 × OPM(최근 8분기 OPM 중위 -1.4% 유지(클립 −20~40%))
[ratio]</t>
      </text>
    </comment>
    <comment ref="AK9" authorId="0" shapeId="0">
      <text>
        <t>추정: 매출액 × OPM(최근 8분기 OPM 중위 -1.4% 유지(클립 −20~40%))
[ratio]</t>
      </text>
    </comment>
    <comment ref="AL9" authorId="0" shapeId="0">
      <text>
        <t>추정: 매출액 × OPM(최근 8분기 OPM 중위 -1.4% 유지(클립 −20~40%))
[ratio]</t>
      </text>
    </comment>
    <comment ref="AM9" authorId="0" shapeId="0">
      <text>
        <t>추정: 매출액 × OPM(최근 8분기 OPM 중위 -1.4% 유지(클립 −20~40%))
[ratio]</t>
      </text>
    </comment>
    <comment ref="AN9" authorId="0" shapeId="0">
      <text>
        <t>추정: 매출액 × OPM(최근 8분기 OPM 중위 -1.4% 유지(클립 −20~40%))
[ratio]</t>
      </text>
    </comment>
    <comment ref="AC10" authorId="0" shapeId="0">
      <text>
        <t>추정: 최근 8분기 OPM 중위 -1.4% 유지(클립 −20~40%)
[divide]</t>
      </text>
    </comment>
    <comment ref="AD10" authorId="0" shapeId="0">
      <text>
        <t>추정: 최근 8분기 OPM 중위 -1.4% 유지(클립 −20~40%)
[divide]</t>
      </text>
    </comment>
    <comment ref="AF10" authorId="0" shapeId="0">
      <text>
        <t>추정: 최근 8분기 OPM 중위 -1.4% 유지(클립 −20~40%)
[divide]</t>
      </text>
    </comment>
    <comment ref="AG10" authorId="0" shapeId="0">
      <text>
        <t>추정: 최근 8분기 OPM 중위 -1.4% 유지(클립 −20~40%)
[divide]</t>
      </text>
    </comment>
    <comment ref="AH10" authorId="0" shapeId="0">
      <text>
        <t>추정: 최근 8분기 OPM 중위 -1.4% 유지(클립 −20~40%)
[divide]</t>
      </text>
    </comment>
    <comment ref="AI10" authorId="0" shapeId="0">
      <text>
        <t>추정: 최근 8분기 OPM 중위 -1.4% 유지(클립 −20~40%)
[divide]</t>
      </text>
    </comment>
    <comment ref="AK10" authorId="0" shapeId="0">
      <text>
        <t>추정: 최근 8분기 OPM 중위 -1.4% 유지(클립 −20~40%)
[divide]</t>
      </text>
    </comment>
    <comment ref="AL10" authorId="0" shapeId="0">
      <text>
        <t>추정: 최근 8분기 OPM 중위 -1.4% 유지(클립 −20~40%)
[divide]</t>
      </text>
    </comment>
    <comment ref="AM10" authorId="0" shapeId="0">
      <text>
        <t>추정: 최근 8분기 OPM 중위 -1.4% 유지(클립 −20~40%)
[divide]</t>
      </text>
    </comment>
    <comment ref="AN10" authorId="0" shapeId="0">
      <text>
        <t>추정: 최근 8분기 OPM 중위 -1.4%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774억 × 3.04%(CF 이자수취 ÷ 평균 이자발생자산(2025Q3~2026Q2; 주석 이자수익 0분기 &lt; 4)) − 총차입금 172억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775억 × 3.04%(CF 이자수취 ÷ 평균 이자발생자산(2025Q3~2026Q2; 주석 이자수익 0분기 &lt; 4)) − 총차입금 172억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772억 × 3.04%(CF 이자수취 ÷ 평균 이자발생자산(2025Q3~2026Q2; 주석 이자수익 0분기 &lt; 4)) − 총차입금 172억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772억 × 3.04%(CF 이자수취 ÷ 평균 이자발생자산(2025Q3~2026Q2; 주석 이자수익 0분기 &lt; 4)) − 총차입금 172억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764억 × 3.04%(CF 이자수취 ÷ 평균 이자발생자산(2025Q3~2026Q2; 주석 이자수익 0분기 &lt; 4)) − 총차입금 172억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764억 × 3.04%(CF 이자수취 ÷ 평균 이자발생자산(2025Q3~2026Q2; 주석 이자수익 0분기 &lt; 4)) − 총차입금 172억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759억 × 3.04%(CF 이자수취 ÷ 평균 이자발생자산(2025Q3~2026Q2; 주석 이자수익 0분기 &lt; 4)) − 총차입금 172억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758억 × 3.04%(CF 이자수취 ÷ 평균 이자발생자산(2025Q3~2026Q2; 주석 이자수익 0분기 &lt; 4)) − 총차입금 172억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750억 × 3.04%(CF 이자수취 ÷ 평균 이자발생자산(2025Q3~2026Q2; 주석 이자수익 0분기 &lt; 4)) − 총차입금 172억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749억 × 3.04%(CF 이자수취 ÷ 평균 이자발생자산(2025Q3~2026Q2; 주석 이자수익 0분기 &lt; 4)) − 총차입금 172억 × 0.00%(없음) (연율) ÷ 4; 환율 효과는 환관련손익 행 별도
[identity]</t>
      </text>
    </comment>
    <comment ref="AC12" authorId="0" shapeId="0">
      <text>
        <t>추정: 이자발생자산 774억 × 3.04%(CF 이자수취 ÷ 평균 이자발생자산(2025Q3~2026Q2; 주석 이자수익 0분기 &lt; 4)) − 총차입금 172억 × 0.00%(없음) (연율) ÷ 4
[interest]</t>
      </text>
    </comment>
    <comment ref="AD12" authorId="0" shapeId="0">
      <text>
        <t>추정: 이자발생자산 775억 × 3.04%(CF 이자수취 ÷ 평균 이자발생자산(2025Q3~2026Q2; 주석 이자수익 0분기 &lt; 4)) − 총차입금 172억 × 0.00%(없음) (연율) ÷ 4
[interest]</t>
      </text>
    </comment>
    <comment ref="AF12" authorId="0" shapeId="0">
      <text>
        <t>추정: 이자발생자산 772억 × 3.04%(CF 이자수취 ÷ 평균 이자발생자산(2025Q3~2026Q2; 주석 이자수익 0분기 &lt; 4)) − 총차입금 172억 × 0.00%(없음) (연율) ÷ 4
[interest]</t>
      </text>
    </comment>
    <comment ref="AG12" authorId="0" shapeId="0">
      <text>
        <t>추정: 이자발생자산 772억 × 3.04%(CF 이자수취 ÷ 평균 이자발생자산(2025Q3~2026Q2; 주석 이자수익 0분기 &lt; 4)) − 총차입금 172억 × 0.00%(없음) (연율) ÷ 4
[interest]</t>
      </text>
    </comment>
    <comment ref="AH12" authorId="0" shapeId="0">
      <text>
        <t>추정: 이자발생자산 764억 × 3.04%(CF 이자수취 ÷ 평균 이자발생자산(2025Q3~2026Q2; 주석 이자수익 0분기 &lt; 4)) − 총차입금 172억 × 0.00%(없음) (연율) ÷ 4
[interest]</t>
      </text>
    </comment>
    <comment ref="AI12" authorId="0" shapeId="0">
      <text>
        <t>추정: 이자발생자산 764억 × 3.04%(CF 이자수취 ÷ 평균 이자발생자산(2025Q3~2026Q2; 주석 이자수익 0분기 &lt; 4)) − 총차입금 172억 × 0.00%(없음) (연율) ÷ 4
[interest]</t>
      </text>
    </comment>
    <comment ref="AK12" authorId="0" shapeId="0">
      <text>
        <t>추정: 이자발생자산 759억 × 3.04%(CF 이자수취 ÷ 평균 이자발생자산(2025Q3~2026Q2; 주석 이자수익 0분기 &lt; 4)) − 총차입금 172억 × 0.00%(없음) (연율) ÷ 4
[interest]</t>
      </text>
    </comment>
    <comment ref="AL12" authorId="0" shapeId="0">
      <text>
        <t>추정: 이자발생자산 758억 × 3.04%(CF 이자수취 ÷ 평균 이자발생자산(2025Q3~2026Q2; 주석 이자수익 0분기 &lt; 4)) − 총차입금 172억 × 0.00%(없음) (연율) ÷ 4
[interest]</t>
      </text>
    </comment>
    <comment ref="AM12" authorId="0" shapeId="0">
      <text>
        <t>추정: 이자발생자산 750억 × 3.04%(CF 이자수취 ÷ 평균 이자발생자산(2025Q3~2026Q2; 주석 이자수익 0분기 &lt; 4)) − 총차입금 172억 × 0.00%(없음) (연율) ÷ 4
[interest]</t>
      </text>
    </comment>
    <comment ref="AN12" authorId="0" shapeId="0">
      <text>
        <t>추정: 이자발생자산 749억 × 3.04%(CF 이자수취 ÷ 평균 이자발생자산(2025Q3~2026Q2; 주석 이자수익 0분기 &lt; 4)) − 총차입금 172억 × 0.00%(없음)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최근 4분기 중위
[abs]</t>
      </text>
    </comment>
    <comment ref="AD14" authorId="0" shapeId="0">
      <text>
        <t>추정: 최근 4분기 중위
[abs]</t>
      </text>
    </comment>
    <comment ref="AF14" authorId="0" shapeId="0">
      <text>
        <t>추정: 최근 4분기 중위
[abs]</t>
      </text>
    </comment>
    <comment ref="AG14" authorId="0" shapeId="0">
      <text>
        <t>추정: 최근 4분기 중위
[abs]</t>
      </text>
    </comment>
    <comment ref="AH14" authorId="0" shapeId="0">
      <text>
        <t>추정: 최근 4분기 중위
[abs]</t>
      </text>
    </comment>
    <comment ref="AI14" authorId="0" shapeId="0">
      <text>
        <t>추정: 최근 4분기 중위
[abs]</t>
      </text>
    </comment>
    <comment ref="AK14" authorId="0" shapeId="0">
      <text>
        <t>추정: 최근 4분기 중위
[abs]</t>
      </text>
    </comment>
    <comment ref="AL14" authorId="0" shapeId="0">
      <text>
        <t>추정: 최근 4분기 중위
[abs]</t>
      </text>
    </comment>
    <comment ref="AM14" authorId="0" shapeId="0">
      <text>
        <t>추정: 최근 4분기 중위
[abs]</t>
      </text>
    </comment>
    <comment ref="AN14" authorId="0" shapeId="0">
      <text>
        <t>추정: 최근 4분기 중위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5.2%(최근 12분기 유효세율 5.2%(5~27% 안 — 그대로))
[tax]</t>
      </text>
    </comment>
    <comment ref="AD16" authorId="0" shapeId="0">
      <text>
        <t>추정: max(세전, 0) × 세율 5.2%(최근 12분기 유효세율 5.2%(5~27% 안 — 그대로))
[tax]</t>
      </text>
    </comment>
    <comment ref="AF16" authorId="0" shapeId="0">
      <text>
        <t>추정: max(세전, 0) × 세율 5.2%(최근 12분기 유효세율 5.2%(5~27% 안 — 그대로))
[tax]</t>
      </text>
    </comment>
    <comment ref="AG16" authorId="0" shapeId="0">
      <text>
        <t>추정: max(세전, 0) × 세율 5.2%(최근 12분기 유효세율 5.2%(5~27% 안 — 그대로))
[tax]</t>
      </text>
    </comment>
    <comment ref="AH16" authorId="0" shapeId="0">
      <text>
        <t>추정: max(세전, 0) × 세율 5.2%(최근 12분기 유효세율 5.2%(5~27% 안 — 그대로))
[tax]</t>
      </text>
    </comment>
    <comment ref="AI16" authorId="0" shapeId="0">
      <text>
        <t>추정: max(세전, 0) × 세율 5.2%(최근 12분기 유효세율 5.2%(5~27% 안 — 그대로))
[tax]</t>
      </text>
    </comment>
    <comment ref="AK16" authorId="0" shapeId="0">
      <text>
        <t>추정: max(세전, 0) × 세율 5.2%(최근 12분기 유효세율 5.2%(5~27% 안 — 그대로))
[tax]</t>
      </text>
    </comment>
    <comment ref="AL16" authorId="0" shapeId="0">
      <text>
        <t>추정: max(세전, 0) × 세율 5.2%(최근 12분기 유효세율 5.2%(5~27% 안 — 그대로))
[tax]</t>
      </text>
    </comment>
    <comment ref="AM16" authorId="0" shapeId="0">
      <text>
        <t>추정: max(세전, 0) × 세율 5.2%(최근 12분기 유효세율 5.2%(5~27% 안 — 그대로))
[tax]</t>
      </text>
    </comment>
    <comment ref="AN16" authorId="0" shapeId="0">
      <text>
        <t>추정: max(세전, 0) × 세율 5.2%(최근 12분기 유효세율 5.2%(5~27% 안 — 그대로))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20" authorId="0" shapeId="0">
      <text>
        <t>추정: 부채총계 + 자본총계(항등식)
[identity]</t>
      </text>
    </comment>
    <comment ref="AD20" authorId="0" shapeId="0">
      <text>
        <t>추정: 부채총계 + 자본총계(항등식)
[identity]</t>
      </text>
    </comment>
    <comment ref="AF20" authorId="0" shapeId="0">
      <text>
        <t>추정: 부채총계 + 자본총계(항등식)
[identity]</t>
      </text>
    </comment>
    <comment ref="AG20" authorId="0" shapeId="0">
      <text>
        <t>추정: 부채총계 + 자본총계(항등식)
[identity]</t>
      </text>
    </comment>
    <comment ref="AH20" authorId="0" shapeId="0">
      <text>
        <t>추정: 부채총계 + 자본총계(항등식)
[identity]</t>
      </text>
    </comment>
    <comment ref="AI20" authorId="0" shapeId="0">
      <text>
        <t>추정: 부채총계 + 자본총계(항등식)
[identity]</t>
      </text>
    </comment>
    <comment ref="AK20" authorId="0" shapeId="0">
      <text>
        <t>추정: 부채총계 + 자본총계(항등식)
[identity]</t>
      </text>
    </comment>
    <comment ref="AL20" authorId="0" shapeId="0">
      <text>
        <t>추정: 부채총계 + 자본총계(항등식)
[identity]</t>
      </text>
    </comment>
    <comment ref="AM20" authorId="0" shapeId="0">
      <text>
        <t>추정: 부채총계 + 자본총계(항등식)
[identity]</t>
      </text>
    </comment>
    <comment ref="AN20" authorId="0" shapeId="0">
      <text>
        <t>추정: 부채총계 + 자본총계(항등식)
[identity]</t>
      </text>
    </comment>
    <comment ref="AC21" authorId="0" shapeId="0">
      <text>
        <t>추정: 마지막 실적 유지(가정)
[qoq]</t>
      </text>
    </comment>
    <comment ref="AD21" authorId="0" shapeId="0">
      <text>
        <t>추정: 마지막 실적 유지(가정)
[qoq]</t>
      </text>
    </comment>
    <comment ref="AF21" authorId="0" shapeId="0">
      <text>
        <t>추정: 마지막 실적 유지(가정)
[qoq]</t>
      </text>
    </comment>
    <comment ref="AG21" authorId="0" shapeId="0">
      <text>
        <t>추정: 마지막 실적 유지(가정)
[qoq]</t>
      </text>
    </comment>
    <comment ref="AH21" authorId="0" shapeId="0">
      <text>
        <t>추정: 마지막 실적 유지(가정)
[qoq]</t>
      </text>
    </comment>
    <comment ref="AI21" authorId="0" shapeId="0">
      <text>
        <t>추정: 마지막 실적 유지(가정)
[qoq]</t>
      </text>
    </comment>
    <comment ref="AK21" authorId="0" shapeId="0">
      <text>
        <t>추정: 마지막 실적 유지(가정)
[qoq]</t>
      </text>
    </comment>
    <comment ref="AL21" authorId="0" shapeId="0">
      <text>
        <t>추정: 마지막 실적 유지(가정)
[qoq]</t>
      </text>
    </comment>
    <comment ref="AM21" authorId="0" shapeId="0">
      <text>
        <t>추정: 마지막 실적 유지(가정)
[qoq]</t>
      </text>
    </comment>
    <comment ref="AN21" authorId="0" shapeId="0">
      <text>
        <t>추정: 마지막 실적 유지(가정)
[qoq]</t>
      </text>
    </comment>
    <comment ref="AC22" authorId="0" shapeId="0">
      <text>
        <t>추정: 전분기 + 당기순이익 − 배당(Q2 지급 가정)
[roll]</t>
      </text>
    </comment>
    <comment ref="AD22" authorId="0" shapeId="0">
      <text>
        <t>추정: 전분기 + 당기순이익 − 배당(Q2 지급 가정)
[roll]</t>
      </text>
    </comment>
    <comment ref="AF22" authorId="0" shapeId="0">
      <text>
        <t>추정: 전분기 + 당기순이익 − 배당(Q2 지급 가정)
[roll]</t>
      </text>
    </comment>
    <comment ref="AG22" authorId="0" shapeId="0">
      <text>
        <t>추정: 전분기 + 당기순이익 − 배당(Q2 지급 가정)
[roll]</t>
      </text>
    </comment>
    <comment ref="AH22" authorId="0" shapeId="0">
      <text>
        <t>추정: 전분기 + 당기순이익 − 배당(Q2 지급 가정)
[roll]</t>
      </text>
    </comment>
    <comment ref="AI22" authorId="0" shapeId="0">
      <text>
        <t>추정: 전분기 + 당기순이익 − 배당(Q2 지급 가정)
[roll]</t>
      </text>
    </comment>
    <comment ref="AK22" authorId="0" shapeId="0">
      <text>
        <t>추정: 전분기 + 당기순이익 − 배당(Q2 지급 가정)
[roll]</t>
      </text>
    </comment>
    <comment ref="AL22" authorId="0" shapeId="0">
      <text>
        <t>추정: 전분기 + 당기순이익 − 배당(Q2 지급 가정)
[roll]</t>
      </text>
    </comment>
    <comment ref="AM22" authorId="0" shapeId="0">
      <text>
        <t>추정: 전분기 + 당기순이익 − 배당(Q2 지급 가정)
[roll]</t>
      </text>
    </comment>
    <comment ref="AN22" authorId="0" shapeId="0">
      <text>
        <t>추정: 전분기 + 당기순이익 − 배당(Q2 지급 가정)
[roll]</t>
      </text>
    </comment>
    <comment ref="AC23" authorId="0" shapeId="0">
      <text>
        <t>추정: 전분기 + 지배주주순이익 − 배당
[roll]</t>
      </text>
    </comment>
    <comment ref="AD23" authorId="0" shapeId="0">
      <text>
        <t>추정: 전분기 + 지배주주순이익 − 배당
[roll]</t>
      </text>
    </comment>
    <comment ref="AF23" authorId="0" shapeId="0">
      <text>
        <t>추정: 전분기 + 지배주주순이익 − 배당
[roll]</t>
      </text>
    </comment>
    <comment ref="AG23" authorId="0" shapeId="0">
      <text>
        <t>추정: 전분기 + 지배주주순이익 − 배당
[roll]</t>
      </text>
    </comment>
    <comment ref="AH23" authorId="0" shapeId="0">
      <text>
        <t>추정: 전분기 + 지배주주순이익 − 배당
[roll]</t>
      </text>
    </comment>
    <comment ref="AI23" authorId="0" shapeId="0">
      <text>
        <t>추정: 전분기 + 지배주주순이익 − 배당
[roll]</t>
      </text>
    </comment>
    <comment ref="AK23" authorId="0" shapeId="0">
      <text>
        <t>추정: 전분기 + 지배주주순이익 − 배당
[roll]</t>
      </text>
    </comment>
    <comment ref="AL23" authorId="0" shapeId="0">
      <text>
        <t>추정: 전분기 + 지배주주순이익 − 배당
[roll]</t>
      </text>
    </comment>
    <comment ref="AM23" authorId="0" shapeId="0">
      <text>
        <t>추정: 전분기 + 지배주주순이익 − 배당
[roll]</t>
      </text>
    </comment>
    <comment ref="AN23" authorId="0" shapeId="0">
      <text>
        <t>추정: 전분기 + 지배주주순이익 − 배당
[roll]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D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F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G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H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I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K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L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M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N25" authorId="0" shapeId="0">
      <text>
        <t>추정: 전분기 − FCF 근사[순이익 − 배당(감가상각비 없음 → CAPEX≈감가 가정, CAPEX 중위 40억은 행에만)] (운전자본 불변·총차입금 유지 가정 → 변동은 전부 현금)
[qoq]</t>
      </text>
    </comment>
    <comment ref="AC26" authorId="0" shapeId="0">
      <text>
        <t>추정: 전분기 + FCF 근사 — 순차입금 롤과 같은 가정
[qoq]</t>
      </text>
    </comment>
    <comment ref="AD26" authorId="0" shapeId="0">
      <text>
        <t>추정: 전분기 + FCF 근사 — 순차입금 롤과 같은 가정
[qoq]</t>
      </text>
    </comment>
    <comment ref="AF26" authorId="0" shapeId="0">
      <text>
        <t>추정: 전분기 + FCF 근사 — 순차입금 롤과 같은 가정
[qoq]</t>
      </text>
    </comment>
    <comment ref="AG26" authorId="0" shapeId="0">
      <text>
        <t>추정: 전분기 + FCF 근사 — 순차입금 롤과 같은 가정
[qoq]</t>
      </text>
    </comment>
    <comment ref="AH26" authorId="0" shapeId="0">
      <text>
        <t>추정: 전분기 + FCF 근사 — 순차입금 롤과 같은 가정
[qoq]</t>
      </text>
    </comment>
    <comment ref="AI26" authorId="0" shapeId="0">
      <text>
        <t>추정: 전분기 + FCF 근사 — 순차입금 롤과 같은 가정
[qoq]</t>
      </text>
    </comment>
    <comment ref="AK26" authorId="0" shapeId="0">
      <text>
        <t>추정: 전분기 + FCF 근사 — 순차입금 롤과 같은 가정
[qoq]</t>
      </text>
    </comment>
    <comment ref="AL26" authorId="0" shapeId="0">
      <text>
        <t>추정: 전분기 + FCF 근사 — 순차입금 롤과 같은 가정
[qoq]</t>
      </text>
    </comment>
    <comment ref="AM26" authorId="0" shapeId="0">
      <text>
        <t>추정: 전분기 + FCF 근사 — 순차입금 롤과 같은 가정
[qoq]</t>
      </text>
    </comment>
    <comment ref="AN26" authorId="0" shapeId="0">
      <text>
        <t>추정: 전분기 + FCF 근사 — 순차입금 롤과 같은 가정
[qoq]</t>
      </text>
    </comment>
    <comment ref="AC28" authorId="0" shapeId="0">
      <text>
        <t>추정: 최근 4분기(2025Q3~2026Q2) CAPEX 중위 유지 — 순차입금 롤에 미반영(감가상각비 없음 → CAPEX≈감가 가정)
[yoy]</t>
      </text>
    </comment>
    <comment ref="AD28" authorId="0" shapeId="0">
      <text>
        <t>추정: 최근 4분기(2025Q3~2026Q2) CAPEX 중위 유지 — 순차입금 롤에 미반영(감가상각비 없음 → CAPEX≈감가 가정)
[yoy]</t>
      </text>
    </comment>
    <comment ref="AF28" authorId="0" shapeId="0">
      <text>
        <t>추정: 최근 4분기(2025Q3~2026Q2) CAPEX 중위 유지 — 순차입금 롤에 미반영(감가상각비 없음 → CAPEX≈감가 가정)
[yoy]</t>
      </text>
    </comment>
    <comment ref="AG28" authorId="0" shapeId="0">
      <text>
        <t>추정: 최근 4분기(2025Q3~2026Q2) CAPEX 중위 유지 — 순차입금 롤에 미반영(감가상각비 없음 → CAPEX≈감가 가정)
[yoy]</t>
      </text>
    </comment>
    <comment ref="AH28" authorId="0" shapeId="0">
      <text>
        <t>추정: 최근 4분기(2025Q3~2026Q2) CAPEX 중위 유지 — 순차입금 롤에 미반영(감가상각비 없음 → CAPEX≈감가 가정)
[yoy]</t>
      </text>
    </comment>
    <comment ref="AI28" authorId="0" shapeId="0">
      <text>
        <t>추정: 최근 4분기(2025Q3~2026Q2) CAPEX 중위 유지 — 순차입금 롤에 미반영(감가상각비 없음 → CAPEX≈감가 가정)
[yoy]</t>
      </text>
    </comment>
    <comment ref="AK28" authorId="0" shapeId="0">
      <text>
        <t>추정: 최근 4분기(2025Q3~2026Q2) CAPEX 중위 유지 — 순차입금 롤에 미반영(감가상각비 없음 → CAPEX≈감가 가정)
[yoy]</t>
      </text>
    </comment>
    <comment ref="AL28" authorId="0" shapeId="0">
      <text>
        <t>추정: 최근 4분기(2025Q3~2026Q2) CAPEX 중위 유지 — 순차입금 롤에 미반영(감가상각비 없음 → CAPEX≈감가 가정)
[yoy]</t>
      </text>
    </comment>
    <comment ref="AM28" authorId="0" shapeId="0">
      <text>
        <t>추정: 최근 4분기(2025Q3~2026Q2) CAPEX 중위 유지 — 순차입금 롤에 미반영(감가상각비 없음 → CAPEX≈감가 가정)
[yoy]</t>
      </text>
    </comment>
    <comment ref="AN28" authorId="0" shapeId="0">
      <text>
        <t>추정: 최근 4분기(2025Q3~2026Q2) CAPEX 중위 유지 — 순차입금 롤에 미반영(감가상각비 없음 → CAPEX≈감가 가정)
[yoy]</t>
      </text>
    </comment>
    <comment ref="E30" authorId="0" shapeId="0">
      <text>
        <t>추정(실적 구간 갭필): fin.shares.common_outstanding 78,880,322주 × 1/10(환산 — 2026Q2 1/10 병합; IAS 33.64 비교표시·수정주가 이력과 정합)</t>
      </text>
    </comment>
    <comment ref="G30" authorId="0" shapeId="0">
      <text>
        <t>추정(실적 구간 갭필): fin.shares.common_outstanding 78,880,322주 × 1/10(환산 — 2026Q2 1/10 병합; IAS 33.64 비교표시·수정주가 이력과 정합)</t>
      </text>
    </comment>
    <comment ref="H30" authorId="0" shapeId="0">
      <text>
        <t>추정(실적 구간 갭필): fin.shares.common_outstanding 78,880,322주 × 1/10(환산 — 2026Q2 1/10 병합; IAS 33.64 비교표시·수정주가 이력과 정합)</t>
      </text>
    </comment>
    <comment ref="I30" authorId="0" shapeId="0">
      <text>
        <t>추정(실적 구간 갭필): fin.shares.common_outstanding 78,880,322주 × 1/10(환산 — 2026Q2 1/10 병합; IAS 33.64 비교표시·수정주가 이력과 정합)</t>
      </text>
    </comment>
    <comment ref="J30" authorId="0" shapeId="0">
      <text>
        <t>추정(실적 구간 갭필): fin.shares.common_outstanding 78,880,322주 × 1/10(환산 — 2026Q2 1/10 병합; IAS 33.64 비교표시·수정주가 이력과 정합)</t>
      </text>
    </comment>
    <comment ref="L30" authorId="0" shapeId="0">
      <text>
        <t>추정(실적 구간 갭필): fin.shares.common_outstanding 78,880,322주 × 1/10(환산 — 2026Q2 1/10 병합; IAS 33.64 비교표시·수정주가 이력과 정합)</t>
      </text>
    </comment>
    <comment ref="M30" authorId="0" shapeId="0">
      <text>
        <t>추정(실적 구간 갭필): fin.shares.common_outstanding 78,880,322주 × 1/10(환산 — 2026Q2 1/10 병합; IAS 33.64 비교표시·수정주가 이력과 정합)</t>
      </text>
    </comment>
    <comment ref="N30" authorId="0" shapeId="0">
      <text>
        <t>추정(실적 구간 갭필): fin.shares.common_outstanding 78,880,322주 × 1/10(환산 — 2026Q2 1/10 병합; IAS 33.64 비교표시·수정주가 이력과 정합)</t>
      </text>
    </comment>
    <comment ref="O30" authorId="0" shapeId="0">
      <text>
        <t>추정(실적 구간 갭필): fin.shares.common_outstanding 78,880,322주 × 1/10(환산 — 2026Q2 1/10 병합; IAS 33.64 비교표시·수정주가 이력과 정합)</t>
      </text>
    </comment>
    <comment ref="Q30" authorId="0" shapeId="0">
      <text>
        <t>추정(실적 구간 갭필): fin.shares.common_outstanding 78,880,322주 × 1/10(환산 — 2026Q2 1/10 병합; IAS 33.64 비교표시·수정주가 이력과 정합)</t>
      </text>
    </comment>
    <comment ref="R30" authorId="0" shapeId="0">
      <text>
        <t>추정(실적 구간 갭필): fin.shares.common_outstanding 78,880,322주 × 1/10(환산 — 2026Q2 1/10 병합; IAS 33.64 비교표시·수정주가 이력과 정합)</t>
      </text>
    </comment>
    <comment ref="S30" authorId="0" shapeId="0">
      <text>
        <t>추정(실적 구간 갭필): fin.shares.common_outstanding 78,880,322주 × 1/10(환산 — 2026Q2 1/10 병합; IAS 33.64 비교표시·수정주가 이력과 정합)</t>
      </text>
    </comment>
    <comment ref="T30" authorId="0" shapeId="0">
      <text>
        <t>추정(실적 구간 갭필): fin.shares.common_outstanding 78,630,845주 × 1/10(환산 — 2026Q2 1/10 병합; IAS 33.64 비교표시·수정주가 이력과 정합)</t>
      </text>
    </comment>
    <comment ref="V30" authorId="0" shapeId="0">
      <text>
        <t>추정(실적 구간 갭필): fin.shares.common_outstanding 75,678,505주 × 1/10(환산 — 2026Q2 1/10 병합; IAS 33.64 비교표시·수정주가 이력과 정합)</t>
      </text>
    </comment>
    <comment ref="W30" authorId="0" shapeId="0">
      <text>
        <t>추정(실적 구간 갭필): fin.shares.common_outstanding 69,497,113주 × 1/10(환산 — 2026Q2 1/10 병합; IAS 33.64 비교표시·수정주가 이력과 정합)</t>
      </text>
    </comment>
    <comment ref="X30" authorId="0" shapeId="0">
      <text>
        <t>추정(실적 구간 갭필): fin.shares.common_outstanding 69,497,113주 × 1/10(환산 — 2026Q2 1/10 병합; IAS 33.64 비교표시·수정주가 이력과 정합)</t>
      </text>
    </comment>
    <comment ref="Y30" authorId="0" shapeId="0">
      <text>
        <t>추정(실적 구간 갭필): fin.shares.common_outstanding 69,481,164주 × 1/10(환산 — 2026Q2 1/10 병합; IAS 33.64 비교표시·수정주가 이력과 정합)</t>
      </text>
    </comment>
    <comment ref="AA30" authorId="0" shapeId="0">
      <text>
        <t>추정(실적 구간 갭필): fin.shares.common_outstanding 69,481,164주 × 1/10(환산 — 2026Q2 1/10 병합; IAS 33.64 비교표시·수정주가 이력과 정합)</t>
      </text>
    </comment>
    <comment ref="AB30" authorId="0" shapeId="0">
      <text>
        <t>실측(계정 매핑 없음(파생·부문·시세 행) — 모델값 직접) — fin.shares.common_outstanding</t>
      </text>
    </comment>
    <comment ref="AC30" authorId="0" shapeId="0">
      <text>
        <t>추정: 유통주식수 유지 — fin.shares.common_outstanding(2026Q2)
[qoq]</t>
      </text>
    </comment>
    <comment ref="AD30" authorId="0" shapeId="0">
      <text>
        <t>추정: 유통주식수 유지 — fin.shares.common_outstanding(2026Q2)
[qoq]</t>
      </text>
    </comment>
    <comment ref="AF30" authorId="0" shapeId="0">
      <text>
        <t>추정: 유통주식수 유지 — fin.shares.common_outstanding(2026Q2)
[qoq]</t>
      </text>
    </comment>
    <comment ref="AG30" authorId="0" shapeId="0">
      <text>
        <t>추정: 유통주식수 유지 — fin.shares.common_outstanding(2026Q2)
[qoq]</t>
      </text>
    </comment>
    <comment ref="AH30" authorId="0" shapeId="0">
      <text>
        <t>추정: 유통주식수 유지 — fin.shares.common_outstanding(2026Q2)
[qoq]</t>
      </text>
    </comment>
    <comment ref="AI30" authorId="0" shapeId="0">
      <text>
        <t>추정: 유통주식수 유지 — fin.shares.common_outstanding(2026Q2)
[qoq]</t>
      </text>
    </comment>
    <comment ref="AK30" authorId="0" shapeId="0">
      <text>
        <t>추정: 유통주식수 유지 — fin.shares.common_outstanding(2026Q2)
[qoq]</t>
      </text>
    </comment>
    <comment ref="AL30" authorId="0" shapeId="0">
      <text>
        <t>추정: 유통주식수 유지 — fin.shares.common_outstanding(2026Q2)
[qoq]</t>
      </text>
    </comment>
    <comment ref="AM30" authorId="0" shapeId="0">
      <text>
        <t>추정: 유통주식수 유지 — fin.shares.common_outstanding(2026Q2)
[qoq]</t>
      </text>
    </comment>
    <comment ref="AN30" authorId="0" shapeId="0">
      <text>
        <t>추정: 유통주식수 유지 — fin.shares.common_outstanding(2026Q2)
[qoq]</t>
      </text>
    </comment>
    <comment ref="AC31" authorId="0" shapeId="0">
      <text>
        <t>추정: 지배주주순이익 ÷ 유통주식수
[per_share]</t>
      </text>
    </comment>
    <comment ref="AD31" authorId="0" shapeId="0">
      <text>
        <t>추정: 지배주주순이익 ÷ 유통주식수
[per_share]</t>
      </text>
    </comment>
    <comment ref="AF31" authorId="0" shapeId="0">
      <text>
        <t>추정: 지배주주순이익 ÷ 유통주식수
[per_share]</t>
      </text>
    </comment>
    <comment ref="AG31" authorId="0" shapeId="0">
      <text>
        <t>추정: 지배주주순이익 ÷ 유통주식수
[per_share]</t>
      </text>
    </comment>
    <comment ref="AH31" authorId="0" shapeId="0">
      <text>
        <t>추정: 지배주주순이익 ÷ 유통주식수
[per_share]</t>
      </text>
    </comment>
    <comment ref="AI31" authorId="0" shapeId="0">
      <text>
        <t>추정: 지배주주순이익 ÷ 유통주식수
[per_share]</t>
      </text>
    </comment>
    <comment ref="AK31" authorId="0" shapeId="0">
      <text>
        <t>추정: 지배주주순이익 ÷ 유통주식수
[per_share]</t>
      </text>
    </comment>
    <comment ref="AL31" authorId="0" shapeId="0">
      <text>
        <t>추정: 지배주주순이익 ÷ 유통주식수
[per_share]</t>
      </text>
    </comment>
    <comment ref="AM31" authorId="0" shapeId="0">
      <text>
        <t>추정: 지배주주순이익 ÷ 유통주식수
[per_share]</t>
      </text>
    </comment>
    <comment ref="AN31" authorId="0" shapeId="0">
      <text>
        <t>추정: 지배주주순이익 ÷ 유통주식수
[per_share]</t>
      </text>
    </comment>
    <comment ref="AC32" authorId="0" shapeId="0">
      <text>
        <t>추정: 지배주주지분 ÷ 유통주식수
[per_share]</t>
      </text>
    </comment>
    <comment ref="AD32" authorId="0" shapeId="0">
      <text>
        <t>추정: 지배주주지분 ÷ 유통주식수
[per_share]</t>
      </text>
    </comment>
    <comment ref="AF32" authorId="0" shapeId="0">
      <text>
        <t>추정: 지배주주지분 ÷ 유통주식수
[per_share]</t>
      </text>
    </comment>
    <comment ref="AG32" authorId="0" shapeId="0">
      <text>
        <t>추정: 지배주주지분 ÷ 유통주식수
[per_share]</t>
      </text>
    </comment>
    <comment ref="AH32" authorId="0" shapeId="0">
      <text>
        <t>추정: 지배주주지분 ÷ 유통주식수
[per_share]</t>
      </text>
    </comment>
    <comment ref="AI32" authorId="0" shapeId="0">
      <text>
        <t>추정: 지배주주지분 ÷ 유통주식수
[per_share]</t>
      </text>
    </comment>
    <comment ref="AK32" authorId="0" shapeId="0">
      <text>
        <t>추정: 지배주주지분 ÷ 유통주식수
[per_share]</t>
      </text>
    </comment>
    <comment ref="AL32" authorId="0" shapeId="0">
      <text>
        <t>추정: 지배주주지분 ÷ 유통주식수
[per_share]</t>
      </text>
    </comment>
    <comment ref="AM32" authorId="0" shapeId="0">
      <text>
        <t>추정: 지배주주지분 ÷ 유통주식수
[per_share]</t>
      </text>
    </comment>
    <comment ref="AN32" authorId="0" shapeId="0">
      <text>
        <t>추정: 지배주주지분 ÷ 유통주식수
[per_share]</t>
      </text>
    </comment>
    <comment ref="E33" authorId="0" shapeId="0">
      <text>
        <t>실측(계정 매핑 없음(파생·부문·시세 행) — 모델값 직접) — fin.dividend.dps_common(연간, Q4 에 표기)</t>
      </text>
    </comment>
    <comment ref="F33" authorId="0" shapeId="0">
      <text>
        <t>연간(actual) — 분기 미완 연도, 모델 a 값 직접</t>
      </text>
    </comment>
    <comment ref="J33" authorId="0" shapeId="0">
      <text>
        <t>실측(계정 매핑 없음(파생·부문·시세 행) — 모델값 직접) — fin.dividend.dps_common(연간, Q4 에 표기)</t>
      </text>
    </comment>
    <comment ref="O33" authorId="0" shapeId="0">
      <text>
        <t>실측(계정 매핑 없음(파생·부문·시세 행) — 모델값 직접) — fin.dividend.dps_common(연간, Q4 에 표기)</t>
      </text>
    </comment>
    <comment ref="T33" authorId="0" shapeId="0">
      <text>
        <t>추정(실적 구간 갭필): fin.dividend.dps_common 10원 ÷ 1/10(병합/분할 환산 — 2026Q2 1/10 병합)</t>
      </text>
    </comment>
    <comment ref="Y33" authorId="0" shapeId="0">
      <text>
        <t>추정(실적 구간 갭필): fin.dividend.dps_common 10원 ÷ 1/10(병합/분할 환산 — 2026Q2 1/10 병합)</t>
      </text>
    </comment>
    <comment ref="AD33" authorId="0" shapeId="0">
      <text>
        <t>추정: 직전 결산 DPS 100원(fin 10원 ÷ 1/10 병합/분할 환산) 유지
[abs]</t>
      </text>
    </comment>
    <comment ref="AI33" authorId="0" shapeId="0">
      <text>
        <t>추정: 직전 결산 DPS 100원(fin 10원 ÷ 1/10 병합/분할 환산) 유지
[abs]</t>
      </text>
    </comment>
    <comment ref="AN33" authorId="0" shapeId="0">
      <text>
        <t>추정: 직전 결산 DPS 100원(fin 10원 ÷ 1/10 병합/분할 환산) 유지
[abs]</t>
      </text>
    </comment>
    <comment ref="AC34" authorId="0" shapeId="0">
      <text>
        <t>추정: 현재 종가 ÷ TTM EPS(추정 포함)
[valuation]</t>
      </text>
    </comment>
    <comment ref="AD34" authorId="0" shapeId="0">
      <text>
        <t>추정: 현재 종가 ÷ TTM EPS(추정 포함)
[valuation]</t>
      </text>
    </comment>
    <comment ref="AF34" authorId="0" shapeId="0">
      <text>
        <t>추정: 현재 종가 ÷ TTM EPS(추정 포함)
[valuation]</t>
      </text>
    </comment>
    <comment ref="AC35" authorId="0" shapeId="0">
      <text>
        <t>추정: 현재 종가 ÷ BPS(추정 포함)
[valuation]</t>
      </text>
    </comment>
    <comment ref="AD35" authorId="0" shapeId="0">
      <text>
        <t>추정: 현재 종가 ÷ BPS(추정 포함)
[valuation]</t>
      </text>
    </comment>
    <comment ref="AF35" authorId="0" shapeId="0">
      <text>
        <t>추정: 현재 종가 ÷ BPS(추정 포함)
[valuation]</t>
      </text>
    </comment>
    <comment ref="AG35" authorId="0" shapeId="0">
      <text>
        <t>추정: 현재 종가 ÷ BPS(추정 포함)
[valuation]</t>
      </text>
    </comment>
    <comment ref="AH35" authorId="0" shapeId="0">
      <text>
        <t>추정: 현재 종가 ÷ BPS(추정 포함)
[valuation]</t>
      </text>
    </comment>
    <comment ref="AI35" authorId="0" shapeId="0">
      <text>
        <t>추정: 현재 종가 ÷ BPS(추정 포함)
[valuation]</t>
      </text>
    </comment>
    <comment ref="AK35" authorId="0" shapeId="0">
      <text>
        <t>추정: 현재 종가 ÷ BPS(추정 포함)
[valuation]</t>
      </text>
    </comment>
    <comment ref="AL35" authorId="0" shapeId="0">
      <text>
        <t>추정: 현재 종가 ÷ BPS(추정 포함)
[valuation]</t>
      </text>
    </comment>
    <comment ref="AM35" authorId="0" shapeId="0">
      <text>
        <t>추정: 현재 종가 ÷ BPS(추정 포함)
[valuation]</t>
      </text>
    </comment>
    <comment ref="AN35" authorId="0" shapeId="0">
      <text>
        <t>추정: 현재 종가 ÷ BPS(추정 포함)
[valuation]</t>
      </text>
    </comment>
    <comment ref="E36" authorId="0" shapeId="0">
      <text>
        <t>실측(계정 매핑 없음(파생·부문·시세 행) — 모델값 직접) — = 매출액(부문 미분리)</t>
      </text>
    </comment>
    <comment ref="G36" authorId="0" shapeId="0">
      <text>
        <t>실측(계정 매핑 없음(파생·부문·시세 행) — 모델값 직접) — = 매출액(부문 미분리)</t>
      </text>
    </comment>
    <comment ref="H36" authorId="0" shapeId="0">
      <text>
        <t>실측(계정 매핑 없음(파생·부문·시세 행) — 모델값 직접) — = 매출액(부문 미분리)</t>
      </text>
    </comment>
    <comment ref="I36" authorId="0" shapeId="0">
      <text>
        <t>실측(계정 매핑 없음(파생·부문·시세 행) — 모델값 직접) — = 매출액(부문 미분리)</t>
      </text>
    </comment>
    <comment ref="J36" authorId="0" shapeId="0">
      <text>
        <t>실측(계정 매핑 없음(파생·부문·시세 행) — 모델값 직접) — = 매출액(부문 미분리)</t>
      </text>
    </comment>
    <comment ref="L36" authorId="0" shapeId="0">
      <text>
        <t>실측(계정 매핑 없음(파생·부문·시세 행) — 모델값 직접) — = 매출액(부문 미분리)</t>
      </text>
    </comment>
    <comment ref="M36" authorId="0" shapeId="0">
      <text>
        <t>실측(계정 매핑 없음(파생·부문·시세 행) — 모델값 직접) — = 매출액(부문 미분리)</t>
      </text>
    </comment>
    <comment ref="N36" authorId="0" shapeId="0">
      <text>
        <t>실측(계정 매핑 없음(파생·부문·시세 행) — 모델값 직접) — = 매출액(부문 미분리)</t>
      </text>
    </comment>
    <comment ref="O36" authorId="0" shapeId="0">
      <text>
        <t>실측(계정 매핑 없음(파생·부문·시세 행) — 모델값 직접) — = 매출액(부문 미분리)</t>
      </text>
    </comment>
    <comment ref="Q36" authorId="0" shapeId="0">
      <text>
        <t>실측(계정 매핑 없음(파생·부문·시세 행) — 모델값 직접) — = 매출액(부문 미분리)</t>
      </text>
    </comment>
    <comment ref="R36" authorId="0" shapeId="0">
      <text>
        <t>실측(계정 매핑 없음(파생·부문·시세 행) — 모델값 직접) — = 매출액(부문 미분리)</t>
      </text>
    </comment>
    <comment ref="S36" authorId="0" shapeId="0">
      <text>
        <t>실측(계정 매핑 없음(파생·부문·시세 행) — 모델값 직접) — = 매출액(부문 미분리)</t>
      </text>
    </comment>
    <comment ref="T36" authorId="0" shapeId="0">
      <text>
        <t>실측(계정 매핑 없음(파생·부문·시세 행) — 모델값 직접) — = 매출액(부문 미분리)</t>
      </text>
    </comment>
    <comment ref="V36" authorId="0" shapeId="0">
      <text>
        <t>실측(계정 매핑 없음(파생·부문·시세 행) — 모델값 직접) — = 매출액(부문 미분리)</t>
      </text>
    </comment>
    <comment ref="W36" authorId="0" shapeId="0">
      <text>
        <t>실측(계정 매핑 없음(파생·부문·시세 행) — 모델값 직접) — = 매출액(부문 미분리)</t>
      </text>
    </comment>
    <comment ref="X36" authorId="0" shapeId="0">
      <text>
        <t>실측(계정 매핑 없음(파생·부문·시세 행) — 모델값 직접) — = 매출액(부문 미분리)</t>
      </text>
    </comment>
    <comment ref="Y36" authorId="0" shapeId="0">
      <text>
        <t>실측(계정 매핑 없음(파생·부문·시세 행) — 모델값 직접) — = 매출액(부문 미분리)</t>
      </text>
    </comment>
    <comment ref="AA36" authorId="0" shapeId="0">
      <text>
        <t>실측(계정 매핑 없음(파생·부문·시세 행) — 모델값 직접) — = 매출액(부문 미분리)</t>
      </text>
    </comment>
    <comment ref="AB36" authorId="0" shapeId="0">
      <text>
        <t>실측(계정 매핑 없음(파생·부문·시세 행) — 모델값 직접) — = 매출액(부문 미분리)</t>
      </text>
    </comment>
    <comment ref="AC36" authorId="0" shapeId="0">
      <text>
        <t>추정: = 매출액 추정(부문 미분리)
[identity]</t>
      </text>
    </comment>
    <comment ref="AD36" authorId="0" shapeId="0">
      <text>
        <t>추정: = 매출액 추정(부문 미분리)
[identity]</t>
      </text>
    </comment>
    <comment ref="AF36" authorId="0" shapeId="0">
      <text>
        <t>추정: = 매출액 추정(부문 미분리)
[identity]</t>
      </text>
    </comment>
    <comment ref="AG36" authorId="0" shapeId="0">
      <text>
        <t>추정: = 매출액 추정(부문 미분리)
[identity]</t>
      </text>
    </comment>
    <comment ref="AH36" authorId="0" shapeId="0">
      <text>
        <t>추정: = 매출액 추정(부문 미분리)
[identity]</t>
      </text>
    </comment>
    <comment ref="AI36" authorId="0" shapeId="0">
      <text>
        <t>추정: = 매출액 추정(부문 미분리)
[identity]</t>
      </text>
    </comment>
    <comment ref="AK36" authorId="0" shapeId="0">
      <text>
        <t>추정: = 매출액 추정(부문 미분리)
[identity]</t>
      </text>
    </comment>
    <comment ref="AL36" authorId="0" shapeId="0">
      <text>
        <t>추정: = 매출액 추정(부문 미분리)
[identity]</t>
      </text>
    </comment>
    <comment ref="AM36" authorId="0" shapeId="0">
      <text>
        <t>추정: = 매출액 추정(부문 미분리)
[identity]</t>
      </text>
    </comment>
    <comment ref="AN36" authorId="0" shapeId="0">
      <text>
        <t>추정: = 매출액 추정(부문 미분리)
[identity]</t>
      </text>
    </comment>
    <comment ref="E37" authorId="0" shapeId="0">
      <text>
        <t>실측(계정 매핑 없음(파생·부문·시세 행) — 모델값 직접) — = 영업이익(부문 미분리)</t>
      </text>
    </comment>
    <comment ref="G37" authorId="0" shapeId="0">
      <text>
        <t>실측(계정 매핑 없음(파생·부문·시세 행) — 모델값 직접) — = 영업이익(부문 미분리)</t>
      </text>
    </comment>
    <comment ref="H37" authorId="0" shapeId="0">
      <text>
        <t>실측(계정 매핑 없음(파생·부문·시세 행) — 모델값 직접) — = 영업이익(부문 미분리)</t>
      </text>
    </comment>
    <comment ref="I37" authorId="0" shapeId="0">
      <text>
        <t>실측(계정 매핑 없음(파생·부문·시세 행) — 모델값 직접) — = 영업이익(부문 미분리)</t>
      </text>
    </comment>
    <comment ref="J37" authorId="0" shapeId="0">
      <text>
        <t>실측(계정 매핑 없음(파생·부문·시세 행) — 모델값 직접) — = 영업이익(부문 미분리)</t>
      </text>
    </comment>
    <comment ref="L37" authorId="0" shapeId="0">
      <text>
        <t>실측(계정 매핑 없음(파생·부문·시세 행) — 모델값 직접) — = 영업이익(부문 미분리)</t>
      </text>
    </comment>
    <comment ref="M37" authorId="0" shapeId="0">
      <text>
        <t>실측(계정 매핑 없음(파생·부문·시세 행) — 모델값 직접) — = 영업이익(부문 미분리)</t>
      </text>
    </comment>
    <comment ref="N37" authorId="0" shapeId="0">
      <text>
        <t>실측(계정 매핑 없음(파생·부문·시세 행) — 모델값 직접) — = 영업이익(부문 미분리)</t>
      </text>
    </comment>
    <comment ref="O37" authorId="0" shapeId="0">
      <text>
        <t>실측(계정 매핑 없음(파생·부문·시세 행) — 모델값 직접) — = 영업이익(부문 미분리)</t>
      </text>
    </comment>
    <comment ref="Q37" authorId="0" shapeId="0">
      <text>
        <t>실측(계정 매핑 없음(파생·부문·시세 행) — 모델값 직접) — = 영업이익(부문 미분리)</t>
      </text>
    </comment>
    <comment ref="R37" authorId="0" shapeId="0">
      <text>
        <t>실측(계정 매핑 없음(파생·부문·시세 행) — 모델값 직접) — = 영업이익(부문 미분리)</t>
      </text>
    </comment>
    <comment ref="S37" authorId="0" shapeId="0">
      <text>
        <t>실측(계정 매핑 없음(파생·부문·시세 행) — 모델값 직접) — = 영업이익(부문 미분리)</t>
      </text>
    </comment>
    <comment ref="T37" authorId="0" shapeId="0">
      <text>
        <t>실측(계정 매핑 없음(파생·부문·시세 행) — 모델값 직접) — = 영업이익(부문 미분리)</t>
      </text>
    </comment>
    <comment ref="V37" authorId="0" shapeId="0">
      <text>
        <t>실측(계정 매핑 없음(파생·부문·시세 행) — 모델값 직접) — = 영업이익(부문 미분리)</t>
      </text>
    </comment>
    <comment ref="W37" authorId="0" shapeId="0">
      <text>
        <t>실측(계정 매핑 없음(파생·부문·시세 행) — 모델값 직접) — = 영업이익(부문 미분리)</t>
      </text>
    </comment>
    <comment ref="X37" authorId="0" shapeId="0">
      <text>
        <t>실측(계정 매핑 없음(파생·부문·시세 행) — 모델값 직접) — = 영업이익(부문 미분리)</t>
      </text>
    </comment>
    <comment ref="Y37" authorId="0" shapeId="0">
      <text>
        <t>실측(계정 매핑 없음(파생·부문·시세 행) — 모델값 직접) — = 영업이익(부문 미분리)</t>
      </text>
    </comment>
    <comment ref="AA37" authorId="0" shapeId="0">
      <text>
        <t>실측(계정 매핑 없음(파생·부문·시세 행) — 모델값 직접) — = 영업이익(부문 미분리)</t>
      </text>
    </comment>
    <comment ref="AB37" authorId="0" shapeId="0">
      <text>
        <t>실측(계정 매핑 없음(파생·부문·시세 행) — 모델값 직접) — = 영업이익(부문 미분리)</t>
      </text>
    </comment>
    <comment ref="AC37" authorId="0" shapeId="0">
      <text>
        <t>추정: = 매출액 × OPM(부문 미분리)
[identity]</t>
      </text>
    </comment>
    <comment ref="AD37" authorId="0" shapeId="0">
      <text>
        <t>추정: = 매출액 × OPM(부문 미분리)
[identity]</t>
      </text>
    </comment>
    <comment ref="AF37" authorId="0" shapeId="0">
      <text>
        <t>추정: = 매출액 × OPM(부문 미분리)
[identity]</t>
      </text>
    </comment>
    <comment ref="AG37" authorId="0" shapeId="0">
      <text>
        <t>추정: = 매출액 × OPM(부문 미분리)
[identity]</t>
      </text>
    </comment>
    <comment ref="AH37" authorId="0" shapeId="0">
      <text>
        <t>추정: = 매출액 × OPM(부문 미분리)
[identity]</t>
      </text>
    </comment>
    <comment ref="AI37" authorId="0" shapeId="0">
      <text>
        <t>추정: = 매출액 × OPM(부문 미분리)
[identity]</t>
      </text>
    </comment>
    <comment ref="AK37" authorId="0" shapeId="0">
      <text>
        <t>추정: = 매출액 × OPM(부문 미분리)
[identity]</t>
      </text>
    </comment>
    <comment ref="AL37" authorId="0" shapeId="0">
      <text>
        <t>추정: = 매출액 × OPM(부문 미분리)
[identity]</t>
      </text>
    </comment>
    <comment ref="AM37" authorId="0" shapeId="0">
      <text>
        <t>추정: = 매출액 × OPM(부문 미분리)
[identity]</t>
      </text>
    </comment>
    <comment ref="AN37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엔케이(085310)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4.35% — 법인세 = MAX(세전,0) × 세율, 추정 전 분기 연결(Σ법인세/Σmax(세전,0) 역산, 재현 오차 ≤ 0.05억). 모델 가정 5.22% · 근거: 최근 12분기 유효세율 5.2%(5~27% 안 — 그대로)</t>
        </is>
      </c>
    </row>
    <row r="23">
      <c r="A23" t="inlineStr">
        <is>
          <t>· 판관비율 16.19%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3.04% / 부채 0.00% — 이자손익 = (전분기 이자발생자산 × 자산이자율 − 전분기 총차입금 × 부채이자율)/4, 최소자승 역산(모델 assumptions [0.0304, None] 는 4자리 반올림이라 그대로 쓰면 ±1억 어긋남) · 출처: {"asset": "CF 이자수취 ÷ 평균 이자발생자산(2025Q3~2026Q2; 주석 이자수익 0분기 &lt; 4)",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5.0/5.4/6.8배(hist_quarterly(분기 평균가 ÷ TTM EPS, 10분기, 25/50/75 백분위) · 캡 5~30배 적용(원값 1.3/5.4/6.8))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assets/models/085310.json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OOS 기각 — 동결 2025Q2 이후 4분기 매출 WAPE 연동 8.3% &gt; 추세 6.6% × 1.10 (suppliers_mentions·시차 4·4분기 이동합·창 12, r=0.96 유의)): 전년동기 × (1+g) 추세 / 주식수 사건 환산: 2026Q2 1/10 병합(eps_reported 교차검증 confirmed) → 사건 전 실적 18분기의 주식수·EPS·BPS·DPS 를 비율 환산(IAS 33.64; 셀 kind estimate, basis 에 원주식수·비율) / 감가상각비가 face·CF 에 없음(주석 미파싱) → EBITDA·EV/EBITDA 미산출</t>
        </is>
      </c>
    </row>
    <row r="34">
      <c r="A34" t="inlineStr">
        <is>
          <t>백테스트: {"freeze": "2025Q2", "horizon": 4, "revenue_wape_pct": 8.3, "op_wape_pct": 129.2, "n": 4, "note": "단일 회사 4분기 — 통계 아님", "driver_at_freeze": "customer_yard_revenue_weighted", "selection_oos_at_freeze": {"freeze": "2024Q2", "n": 4, "wape_link": null, "wape_trend": 23.0, "adopted": "undetermined", "decision": "undetermined", "note": "현재 채택 조합(suppliers_mentions·시차 4·ma4·창 8)을 동결 데이터로 재적합할 수 없음(짝·고객 모델 부족) → 연동 WAPE 없음, undetermined(유의성 조건만으로 채택)"},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277.78, "rev_act": 285.56, "op_pred": -13.37, "op_act": -50.22}, {"q": "2025Q4", "rev_pred": 411.63, "rev_act": 490.43, "op_pred": -19.81, "op_act": 49.97}, {"q": "2026Q1", "rev_pred": 341.66, "rev_act": 319.14, "op_pred": -16.44, "op_act": 5.34}, {"q": "2026Q2", "rev_pred": 355.91, "rev_act": 367.92, "op_pred": -17.13, "op_act": 31.44}]}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10450</v>
      </c>
      <c r="F15" s="9" t="n"/>
      <c r="G15" s="18" t="n">
        <v>10500</v>
      </c>
      <c r="H15" s="18" t="n">
        <v>9150</v>
      </c>
      <c r="I15" s="18" t="n">
        <v>8810</v>
      </c>
      <c r="J15" s="18" t="n">
        <v>8700</v>
      </c>
      <c r="K15" s="9" t="n"/>
      <c r="L15" s="18" t="n">
        <v>9470</v>
      </c>
      <c r="M15" s="18" t="n">
        <v>10070</v>
      </c>
      <c r="N15" s="18" t="n">
        <v>9870</v>
      </c>
      <c r="O15" s="18" t="n">
        <v>10050</v>
      </c>
      <c r="P15" s="9" t="n"/>
      <c r="Q15" s="18" t="n">
        <v>8920</v>
      </c>
      <c r="R15" s="18" t="n">
        <v>9480</v>
      </c>
      <c r="S15" s="18" t="n">
        <v>8000</v>
      </c>
      <c r="T15" s="18" t="n">
        <v>8620</v>
      </c>
      <c r="U15" s="9" t="n"/>
      <c r="V15" s="18" t="n">
        <v>7990</v>
      </c>
      <c r="W15" s="18" t="n">
        <v>8440</v>
      </c>
      <c r="X15" s="18" t="n">
        <v>13070</v>
      </c>
      <c r="Y15" s="18" t="n">
        <v>11670</v>
      </c>
      <c r="Z15" s="9" t="n"/>
      <c r="AA15" s="18" t="n">
        <v>10780</v>
      </c>
      <c r="AB15" s="19" t="n">
        <v>9010</v>
      </c>
      <c r="AC15" s="20" t="n">
        <v>8930</v>
      </c>
      <c r="AD15" s="20" t="n">
        <v>8950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12500</v>
      </c>
      <c r="F16" s="9" t="n"/>
      <c r="G16" s="18" t="n">
        <v>11000</v>
      </c>
      <c r="H16" s="18" t="n">
        <v>12000</v>
      </c>
      <c r="I16" s="18" t="n">
        <v>12400</v>
      </c>
      <c r="J16" s="18" t="n">
        <v>11300</v>
      </c>
      <c r="K16" s="9" t="n"/>
      <c r="L16" s="18" t="n">
        <v>9810</v>
      </c>
      <c r="M16" s="18" t="n">
        <v>10500</v>
      </c>
      <c r="N16" s="18" t="n">
        <v>11480</v>
      </c>
      <c r="O16" s="18" t="n">
        <v>10990</v>
      </c>
      <c r="P16" s="9" t="n"/>
      <c r="Q16" s="18" t="n">
        <v>10250</v>
      </c>
      <c r="R16" s="18" t="n">
        <v>11140</v>
      </c>
      <c r="S16" s="18" t="n">
        <v>9560</v>
      </c>
      <c r="T16" s="18" t="n">
        <v>8690</v>
      </c>
      <c r="U16" s="9" t="n"/>
      <c r="V16" s="18" t="n">
        <v>10500</v>
      </c>
      <c r="W16" s="18" t="n">
        <v>9960</v>
      </c>
      <c r="X16" s="18" t="n">
        <v>17300</v>
      </c>
      <c r="Y16" s="18" t="n">
        <v>17610</v>
      </c>
      <c r="Z16" s="9" t="n"/>
      <c r="AA16" s="18" t="n">
        <v>13200</v>
      </c>
      <c r="AB16" s="19" t="n">
        <v>12630</v>
      </c>
      <c r="AC16" s="20" t="n">
        <v>11270</v>
      </c>
      <c r="AD16" s="20" t="n">
        <v>9990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9030</v>
      </c>
      <c r="F17" s="9" t="n"/>
      <c r="G17" s="18" t="n">
        <v>9010</v>
      </c>
      <c r="H17" s="18" t="n">
        <v>8100</v>
      </c>
      <c r="I17" s="18" t="n">
        <v>8310</v>
      </c>
      <c r="J17" s="18" t="n">
        <v>8540</v>
      </c>
      <c r="K17" s="9" t="n"/>
      <c r="L17" s="18" t="n">
        <v>8310</v>
      </c>
      <c r="M17" s="18" t="n">
        <v>9000</v>
      </c>
      <c r="N17" s="18" t="n">
        <v>9600</v>
      </c>
      <c r="O17" s="18" t="n">
        <v>9440</v>
      </c>
      <c r="P17" s="9" t="n"/>
      <c r="Q17" s="18" t="n">
        <v>8850</v>
      </c>
      <c r="R17" s="18" t="n">
        <v>8450</v>
      </c>
      <c r="S17" s="18" t="n">
        <v>7640</v>
      </c>
      <c r="T17" s="18" t="n">
        <v>6100</v>
      </c>
      <c r="U17" s="9" t="n"/>
      <c r="V17" s="18" t="n">
        <v>7900</v>
      </c>
      <c r="W17" s="18" t="n">
        <v>7420</v>
      </c>
      <c r="X17" s="18" t="n">
        <v>8020</v>
      </c>
      <c r="Y17" s="18" t="n">
        <v>11630</v>
      </c>
      <c r="Z17" s="9" t="n"/>
      <c r="AA17" s="18" t="n">
        <v>8750</v>
      </c>
      <c r="AB17" s="19" t="n">
        <v>8350</v>
      </c>
      <c r="AC17" s="20" t="n">
        <v>6950</v>
      </c>
      <c r="AD17" s="20" t="n">
        <v>8540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10581.7</v>
      </c>
      <c r="F18" s="9" t="n"/>
      <c r="G18" s="18" t="n">
        <v>9897.799999999999</v>
      </c>
      <c r="H18" s="18" t="n">
        <v>10746.3</v>
      </c>
      <c r="I18" s="18" t="n">
        <v>9623.799999999999</v>
      </c>
      <c r="J18" s="18" t="n">
        <v>9205.799999999999</v>
      </c>
      <c r="K18" s="9" t="n"/>
      <c r="L18" s="18" t="n">
        <v>9173.1</v>
      </c>
      <c r="M18" s="18" t="n">
        <v>9553.9</v>
      </c>
      <c r="N18" s="18" t="n">
        <v>10441.6</v>
      </c>
      <c r="O18" s="18" t="n">
        <v>9909.700000000001</v>
      </c>
      <c r="P18" s="9" t="n"/>
      <c r="Q18" s="18" t="n">
        <v>9451.5</v>
      </c>
      <c r="R18" s="18" t="n">
        <v>9359.700000000001</v>
      </c>
      <c r="S18" s="18" t="n">
        <v>8521.1</v>
      </c>
      <c r="T18" s="18" t="n">
        <v>7566.9</v>
      </c>
      <c r="U18" s="9" t="n"/>
      <c r="V18" s="18" t="n">
        <v>9200.700000000001</v>
      </c>
      <c r="W18" s="18" t="n">
        <v>8436.200000000001</v>
      </c>
      <c r="X18" s="18" t="n">
        <v>11064.2</v>
      </c>
      <c r="Y18" s="18" t="n">
        <v>13384.6</v>
      </c>
      <c r="Z18" s="9" t="n"/>
      <c r="AA18" s="18" t="n">
        <v>11161.2</v>
      </c>
      <c r="AB18" s="19" t="n">
        <v>10448.8</v>
      </c>
      <c r="AC18" s="20" t="n">
        <v>8774.700000000001</v>
      </c>
      <c r="AD18" s="20" t="n">
        <v>8928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0.302299651</v>
      </c>
      <c r="AD21" s="24" t="n">
        <v>0.302292919</v>
      </c>
      <c r="AE21" s="25" t="n"/>
      <c r="AF21" s="24" t="n">
        <v>0.302298999</v>
      </c>
      <c r="AG21" s="24" t="n">
        <v>0.302290083</v>
      </c>
      <c r="AH21" s="24" t="n">
        <v>0.151150909</v>
      </c>
      <c r="AI21" s="24" t="n">
        <v>0.151155508</v>
      </c>
      <c r="AJ21" s="25" t="n"/>
      <c r="AK21" s="24" t="n">
        <v>0.151147683</v>
      </c>
      <c r="AL21" s="24" t="n">
        <v>0.151145803</v>
      </c>
      <c r="AM21" s="24" t="n">
        <v>0.075568222</v>
      </c>
      <c r="AN21" s="24" t="n">
        <v>0.07556921699999999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  <c r="AK22" s="26">
        <f>$D$50</f>
        <v/>
      </c>
      <c r="AL22" s="26">
        <f>$D$50</f>
        <v/>
      </c>
      <c r="AM22" s="26">
        <f>$D$50</f>
        <v/>
      </c>
      <c r="AN22" s="26">
        <f>$D$50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-0.014063676</v>
      </c>
      <c r="AD23" s="24" t="n">
        <v>-0.014060249</v>
      </c>
      <c r="AE23" s="25">
        <f>IFERROR(subQ!AE9/subQ!AE5,"")</f>
        <v/>
      </c>
      <c r="AF23" s="24" t="n">
        <v>-0.014051297</v>
      </c>
      <c r="AG23" s="24" t="n">
        <v>-0.01406687</v>
      </c>
      <c r="AH23" s="24" t="n">
        <v>-0.014062464</v>
      </c>
      <c r="AI23" s="24" t="n">
        <v>-0.014063818</v>
      </c>
      <c r="AJ23" s="25">
        <f>IFERROR(subQ!AJ9/subQ!AJ5,"")</f>
        <v/>
      </c>
      <c r="AK23" s="24" t="n">
        <v>-0.01406655</v>
      </c>
      <c r="AL23" s="24" t="n">
        <v>-0.014069186</v>
      </c>
      <c r="AM23" s="24" t="n">
        <v>-0.014051777</v>
      </c>
      <c r="AN23" s="24" t="n">
        <v>-0.014062065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drv:지분법손익</t>
        </is>
      </c>
      <c r="B25" s="2" t="inlineStr">
        <is>
          <t>abs</t>
        </is>
      </c>
      <c r="C25" t="inlineStr">
        <is>
          <t>지분법손익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$D$49</f>
        <v/>
      </c>
      <c r="AD26" s="26">
        <f>$D$49</f>
        <v/>
      </c>
      <c r="AE26" s="25">
        <f>IFERROR(subQ!AE16/subQ!AE15,"")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IFERROR(subQ!AJ16/subQ!AJ15,"")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$D$51</f>
        <v/>
      </c>
      <c r="AD27" s="26">
        <f>$D$51</f>
        <v/>
      </c>
      <c r="AE27" s="25">
        <f>IFERROR(subQ!AE18/subQ!AE17,"")</f>
        <v/>
      </c>
      <c r="AF27" s="26">
        <f>$D$51</f>
        <v/>
      </c>
      <c r="AG27" s="26">
        <f>$D$51</f>
        <v/>
      </c>
      <c r="AH27" s="26">
        <f>$D$51</f>
        <v/>
      </c>
      <c r="AI27" s="26">
        <f>$D$51</f>
        <v/>
      </c>
      <c r="AJ27" s="25">
        <f>IFERROR(subQ!AJ18/subQ!AJ17,"")</f>
        <v/>
      </c>
      <c r="AK27" s="26">
        <f>$D$51</f>
        <v/>
      </c>
      <c r="AL27" s="26">
        <f>$D$51</f>
        <v/>
      </c>
      <c r="AM27" s="26">
        <f>$D$51</f>
        <v/>
      </c>
      <c r="AN27" s="26">
        <f>$D$51</f>
        <v/>
      </c>
      <c r="AO27" s="25">
        <f>IFERROR(subQ!AO18/subQ!AO17,"")</f>
        <v/>
      </c>
    </row>
    <row r="28">
      <c r="A28" s="12" t="inlineStr">
        <is>
          <t>drv:중단사업이익</t>
        </is>
      </c>
      <c r="B28" s="2" t="inlineStr">
        <is>
          <t>abs</t>
        </is>
      </c>
      <c r="C28" t="inlineStr">
        <is>
          <t>중단사업이익 (가정, 억원)</t>
        </is>
      </c>
      <c r="E28" s="27">
        <f>subQ!E19</f>
        <v/>
      </c>
      <c r="F28" s="28">
        <f>subQ!F19</f>
        <v/>
      </c>
      <c r="G28" s="27">
        <f>subQ!G19</f>
        <v/>
      </c>
      <c r="H28" s="27">
        <f>subQ!H19</f>
        <v/>
      </c>
      <c r="I28" s="27">
        <f>subQ!I19</f>
        <v/>
      </c>
      <c r="J28" s="27">
        <f>subQ!J19</f>
        <v/>
      </c>
      <c r="K28" s="28">
        <f>subQ!K19</f>
        <v/>
      </c>
      <c r="L28" s="27">
        <f>subQ!L19</f>
        <v/>
      </c>
      <c r="M28" s="27">
        <f>subQ!M19</f>
        <v/>
      </c>
      <c r="N28" s="27">
        <f>subQ!N19</f>
        <v/>
      </c>
      <c r="O28" s="27">
        <f>subQ!O19</f>
        <v/>
      </c>
      <c r="P28" s="28">
        <f>subQ!P19</f>
        <v/>
      </c>
      <c r="Q28" s="27">
        <f>subQ!Q19</f>
        <v/>
      </c>
      <c r="R28" s="27">
        <f>subQ!R19</f>
        <v/>
      </c>
      <c r="S28" s="27">
        <f>subQ!S19</f>
        <v/>
      </c>
      <c r="T28" s="27">
        <f>subQ!T19</f>
        <v/>
      </c>
      <c r="U28" s="28">
        <f>subQ!U19</f>
        <v/>
      </c>
      <c r="V28" s="27">
        <f>subQ!V19</f>
        <v/>
      </c>
      <c r="W28" s="27">
        <f>subQ!W19</f>
        <v/>
      </c>
      <c r="X28" s="27">
        <f>subQ!X19</f>
        <v/>
      </c>
      <c r="Y28" s="27">
        <f>subQ!Y19</f>
        <v/>
      </c>
      <c r="Z28" s="28">
        <f>subQ!Z19</f>
        <v/>
      </c>
      <c r="AA28" s="27">
        <f>subQ!AA19</f>
        <v/>
      </c>
      <c r="AB28" s="29">
        <f>subQ!AB19</f>
        <v/>
      </c>
      <c r="AC28" s="32" t="n"/>
      <c r="AD28" s="32" t="n"/>
      <c r="AE28" s="31">
        <f>subQ!AE19</f>
        <v/>
      </c>
      <c r="AF28" s="32" t="n"/>
      <c r="AG28" s="32" t="n"/>
      <c r="AH28" s="32" t="n"/>
      <c r="AI28" s="32" t="n"/>
      <c r="AJ28" s="31">
        <f>subQ!AJ19</f>
        <v/>
      </c>
      <c r="AK28" s="32" t="n"/>
      <c r="AL28" s="32" t="n"/>
      <c r="AM28" s="32" t="n"/>
      <c r="AN28" s="32" t="n"/>
      <c r="AO28" s="31">
        <f>subQ!AO19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IFERROR(subQ!G21/subQ!E21-1,"")</f>
        <v/>
      </c>
      <c r="H29" s="21">
        <f>IFERROR(subQ!H21/subQ!G21-1,"")</f>
        <v/>
      </c>
      <c r="I29" s="21">
        <f>IFERROR(subQ!I21/subQ!H21-1,"")</f>
        <v/>
      </c>
      <c r="J29" s="21">
        <f>IFERROR(subQ!J21/subQ!I21-1,"")</f>
        <v/>
      </c>
      <c r="K29" s="22" t="n"/>
      <c r="L29" s="21">
        <f>IFERROR(subQ!L21/subQ!J21-1,"")</f>
        <v/>
      </c>
      <c r="M29" s="21">
        <f>IFERROR(subQ!M21/subQ!L21-1,"")</f>
        <v/>
      </c>
      <c r="N29" s="21">
        <f>IFERROR(subQ!N21/subQ!M21-1,"")</f>
        <v/>
      </c>
      <c r="O29" s="21">
        <f>IFERROR(subQ!O21/subQ!N21-1,"")</f>
        <v/>
      </c>
      <c r="P29" s="22" t="n"/>
      <c r="Q29" s="21">
        <f>IFERROR(subQ!Q21/subQ!O21-1,"")</f>
        <v/>
      </c>
      <c r="R29" s="21">
        <f>IFERROR(subQ!R21/subQ!Q21-1,"")</f>
        <v/>
      </c>
      <c r="S29" s="21">
        <f>IFERROR(subQ!S21/subQ!R21-1,"")</f>
        <v/>
      </c>
      <c r="T29" s="21">
        <f>IFERROR(subQ!T21/subQ!S21-1,"")</f>
        <v/>
      </c>
      <c r="U29" s="22" t="n"/>
      <c r="V29" s="21">
        <f>IFERROR(subQ!V21/subQ!T21-1,"")</f>
        <v/>
      </c>
      <c r="W29" s="21">
        <f>IFERROR(subQ!W21/subQ!V21-1,"")</f>
        <v/>
      </c>
      <c r="X29" s="21">
        <f>IFERROR(subQ!X21/subQ!W21-1,"")</f>
        <v/>
      </c>
      <c r="Y29" s="21">
        <f>IFERROR(subQ!Y21/subQ!X21-1,"")</f>
        <v/>
      </c>
      <c r="Z29" s="22" t="n"/>
      <c r="AA29" s="21">
        <f>IFERROR(subQ!AA21/subQ!Y21-1,"")</f>
        <v/>
      </c>
      <c r="AB29" s="23">
        <f>IFERROR(subQ!AB21/subQ!AA21-1,"")</f>
        <v/>
      </c>
      <c r="AC29" s="24" t="n">
        <v>-5.849e-06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  <c r="AK29" s="24" t="n">
        <v>0</v>
      </c>
      <c r="AL29" s="24" t="n">
        <v>0</v>
      </c>
      <c r="AM29" s="24" t="n">
        <v>0</v>
      </c>
      <c r="AN29" s="24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IFERROR(subQ!E22+subQ!G17-subQ!G22,"")</f>
        <v/>
      </c>
      <c r="H30" s="27">
        <f>IFERROR(subQ!G22+subQ!H17-subQ!H22,"")</f>
        <v/>
      </c>
      <c r="I30" s="27">
        <f>IFERROR(subQ!H22+subQ!I17-subQ!I22,"")</f>
        <v/>
      </c>
      <c r="J30" s="27">
        <f>IFERROR(subQ!I22+subQ!J17-subQ!J22,"")</f>
        <v/>
      </c>
      <c r="K30" s="28" t="n"/>
      <c r="L30" s="27">
        <f>IFERROR(subQ!J22+subQ!L17-subQ!L22,"")</f>
        <v/>
      </c>
      <c r="M30" s="27">
        <f>IFERROR(subQ!L22+subQ!M17-subQ!M22,"")</f>
        <v/>
      </c>
      <c r="N30" s="27">
        <f>IFERROR(subQ!M22+subQ!N17-subQ!N22,"")</f>
        <v/>
      </c>
      <c r="O30" s="27">
        <f>IFERROR(subQ!N22+subQ!O17-subQ!O22,"")</f>
        <v/>
      </c>
      <c r="P30" s="28" t="n"/>
      <c r="Q30" s="27">
        <f>IFERROR(subQ!O22+subQ!Q17-subQ!Q22,"")</f>
        <v/>
      </c>
      <c r="R30" s="27">
        <f>IFERROR(subQ!Q22+subQ!R17-subQ!R22,"")</f>
        <v/>
      </c>
      <c r="S30" s="27">
        <f>IFERROR(subQ!R22+subQ!S17-subQ!S22,"")</f>
        <v/>
      </c>
      <c r="T30" s="27">
        <f>IFERROR(subQ!S22+subQ!T17-subQ!T22,"")</f>
        <v/>
      </c>
      <c r="U30" s="28" t="n"/>
      <c r="V30" s="27">
        <f>IFERROR(subQ!T22+subQ!V17-subQ!V22,"")</f>
        <v/>
      </c>
      <c r="W30" s="27">
        <f>IFERROR(subQ!V22+subQ!W17-subQ!W22,"")</f>
        <v/>
      </c>
      <c r="X30" s="27">
        <f>IFERROR(subQ!W22+subQ!X17-subQ!X22,"")</f>
        <v/>
      </c>
      <c r="Y30" s="27">
        <f>IFERROR(subQ!X22+subQ!Y17-subQ!Y22,"")</f>
        <v/>
      </c>
      <c r="Z30" s="28" t="n"/>
      <c r="AA30" s="27">
        <f>IFERROR(subQ!Y22+subQ!AA17-subQ!AA22,"")</f>
        <v/>
      </c>
      <c r="AB30" s="29">
        <f>IFERROR(subQ!AA22+subQ!AB17-subQ!AB22,"")</f>
        <v/>
      </c>
      <c r="AC30" s="30" t="n">
        <v>0.008637673</v>
      </c>
      <c r="AD30" s="30" t="n">
        <v>-0.004379011</v>
      </c>
      <c r="AE30" s="31" t="n"/>
      <c r="AF30" s="30" t="n">
        <v>0.000791705</v>
      </c>
      <c r="AG30" s="30" t="n">
        <v>6.94241951</v>
      </c>
      <c r="AH30" s="30" t="n">
        <v>0.003009043</v>
      </c>
      <c r="AI30" s="30" t="n">
        <v>-0.008588472999999999</v>
      </c>
      <c r="AJ30" s="31" t="n"/>
      <c r="AK30" s="30" t="n">
        <v>-0.003047909</v>
      </c>
      <c r="AL30" s="30" t="n">
        <v>6.939725438</v>
      </c>
      <c r="AM30" s="30" t="n">
        <v>0.011795324</v>
      </c>
      <c r="AN30" s="30" t="n">
        <v>-0.004061584</v>
      </c>
      <c r="AO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IFERROR(subQ!E23+subQ!G18-subQ!G23,"")</f>
        <v/>
      </c>
      <c r="H31" s="27">
        <f>IFERROR(subQ!G23+subQ!H18-subQ!H23,"")</f>
        <v/>
      </c>
      <c r="I31" s="27">
        <f>IFERROR(subQ!H23+subQ!I18-subQ!I23,"")</f>
        <v/>
      </c>
      <c r="J31" s="27">
        <f>IFERROR(subQ!I23+subQ!J18-subQ!J23,"")</f>
        <v/>
      </c>
      <c r="K31" s="28" t="n"/>
      <c r="L31" s="27">
        <f>IFERROR(subQ!J23+subQ!L18-subQ!L23,"")</f>
        <v/>
      </c>
      <c r="M31" s="27">
        <f>IFERROR(subQ!L23+subQ!M18-subQ!M23,"")</f>
        <v/>
      </c>
      <c r="N31" s="27">
        <f>IFERROR(subQ!M23+subQ!N18-subQ!N23,"")</f>
        <v/>
      </c>
      <c r="O31" s="27">
        <f>IFERROR(subQ!N23+subQ!O18-subQ!O23,"")</f>
        <v/>
      </c>
      <c r="P31" s="28" t="n"/>
      <c r="Q31" s="27">
        <f>IFERROR(subQ!O23+subQ!Q18-subQ!Q23,"")</f>
        <v/>
      </c>
      <c r="R31" s="27">
        <f>IFERROR(subQ!Q23+subQ!R18-subQ!R23,"")</f>
        <v/>
      </c>
      <c r="S31" s="27">
        <f>IFERROR(subQ!R23+subQ!S18-subQ!S23,"")</f>
        <v/>
      </c>
      <c r="T31" s="27">
        <f>IFERROR(subQ!S23+subQ!T18-subQ!T23,"")</f>
        <v/>
      </c>
      <c r="U31" s="28" t="n"/>
      <c r="V31" s="27">
        <f>IFERROR(subQ!T23+subQ!V18-subQ!V23,"")</f>
        <v/>
      </c>
      <c r="W31" s="27">
        <f>IFERROR(subQ!V23+subQ!W18-subQ!W23,"")</f>
        <v/>
      </c>
      <c r="X31" s="27">
        <f>IFERROR(subQ!W23+subQ!X18-subQ!X23,"")</f>
        <v/>
      </c>
      <c r="Y31" s="27">
        <f>IFERROR(subQ!X23+subQ!Y18-subQ!Y23,"")</f>
        <v/>
      </c>
      <c r="Z31" s="28" t="n"/>
      <c r="AA31" s="27">
        <f>IFERROR(subQ!Y23+subQ!AA18-subQ!AA23,"")</f>
        <v/>
      </c>
      <c r="AB31" s="29">
        <f>IFERROR(subQ!AA23+subQ!AB18-subQ!AB23,"")</f>
        <v/>
      </c>
      <c r="AC31" s="30" t="n">
        <v>0.003137673</v>
      </c>
      <c r="AD31" s="30" t="n">
        <v>0.005620989</v>
      </c>
      <c r="AE31" s="31" t="n"/>
      <c r="AF31" s="30" t="n">
        <v>0.000791705</v>
      </c>
      <c r="AG31" s="30" t="n">
        <v>6.94241951</v>
      </c>
      <c r="AH31" s="30" t="n">
        <v>-0.006990957</v>
      </c>
      <c r="AI31" s="30" t="n">
        <v>0.001411527</v>
      </c>
      <c r="AJ31" s="31" t="n"/>
      <c r="AK31" s="30" t="n">
        <v>-0.003047909</v>
      </c>
      <c r="AL31" s="30" t="n">
        <v>6.939725438</v>
      </c>
      <c r="AM31" s="30" t="n">
        <v>0.001795324</v>
      </c>
      <c r="AN31" s="30" t="n">
        <v>0.005938416</v>
      </c>
      <c r="AO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-7.576e-06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0.001045741</v>
      </c>
      <c r="AD33" s="24" t="n">
        <v>-0.005144738</v>
      </c>
      <c r="AE33" s="25" t="n"/>
      <c r="AF33" s="24" t="n">
        <v>3.358e-05</v>
      </c>
      <c r="AG33" s="24" t="n">
        <v>-0.013095818</v>
      </c>
      <c r="AH33" s="24" t="n">
        <v>-0.000357258</v>
      </c>
      <c r="AI33" s="24" t="n">
        <v>-0.007709326</v>
      </c>
      <c r="AJ33" s="25" t="n"/>
      <c r="AK33" s="24" t="n">
        <v>-0.001629307</v>
      </c>
      <c r="AL33" s="24" t="n">
        <v>-0.01534048</v>
      </c>
      <c r="AM33" s="24" t="n">
        <v>-0.001343359</v>
      </c>
      <c r="AN33" s="24" t="n">
        <v>-0.009468572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0.000806296</v>
      </c>
      <c r="AD34" s="24" t="n">
        <v>-0.00397404</v>
      </c>
      <c r="AE34" s="25" t="n"/>
      <c r="AF34" s="24" t="n">
        <v>3.8863e-05</v>
      </c>
      <c r="AG34" s="24" t="n">
        <v>-0.010116842</v>
      </c>
      <c r="AH34" s="24" t="n">
        <v>-0.000274808</v>
      </c>
      <c r="AI34" s="24" t="n">
        <v>-0.00592963</v>
      </c>
      <c r="AJ34" s="25" t="n"/>
      <c r="AK34" s="24" t="n">
        <v>-0.001250938</v>
      </c>
      <c r="AL34" s="24" t="n">
        <v>-0.011773547</v>
      </c>
      <c r="AM34" s="24" t="n">
        <v>-0.001027283</v>
      </c>
      <c r="AN34" s="24" t="n">
        <v>-0.007238441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33" t="n"/>
      <c r="AD35" s="33" t="n"/>
      <c r="AE35" s="25" t="n"/>
      <c r="AF35" s="33" t="n"/>
      <c r="AG35" s="33" t="n"/>
      <c r="AH35" s="33" t="n"/>
      <c r="AI35" s="33" t="n"/>
      <c r="AJ35" s="25" t="n"/>
      <c r="AK35" s="33" t="n"/>
      <c r="AL35" s="33" t="n"/>
      <c r="AM35" s="33" t="n"/>
      <c r="AN35" s="33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1">
        <f>IFERROR(subQ!W28/subQ!R28-1,"")</f>
        <v/>
      </c>
      <c r="X36" s="21">
        <f>IFERROR(subQ!X28/subQ!S28-1,"")</f>
        <v/>
      </c>
      <c r="Y36" s="21">
        <f>IFERROR(subQ!Y28/subQ!T28-1,"")</f>
        <v/>
      </c>
      <c r="Z36" s="22" t="n"/>
      <c r="AA36" s="21">
        <f>IFERROR(subQ!AA28/subQ!V28-1,"")</f>
        <v/>
      </c>
      <c r="AB36" s="23">
        <f>IFERROR(subQ!AB28/subQ!W28-1,"")</f>
        <v/>
      </c>
      <c r="AC36" s="24" t="n">
        <v>-0.39704984</v>
      </c>
      <c r="AD36" s="24" t="n">
        <v>-0.441366014</v>
      </c>
      <c r="AE36" s="25" t="n"/>
      <c r="AF36" s="24" t="n">
        <v>1.929443199</v>
      </c>
      <c r="AG36" s="24" t="n">
        <v>2.466881558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33" t="n"/>
      <c r="AD37" s="33" t="n"/>
      <c r="AE37" s="25" t="n"/>
      <c r="AF37" s="33" t="n"/>
      <c r="AG37" s="33" t="n"/>
      <c r="AH37" s="33" t="n"/>
      <c r="AI37" s="33" t="n"/>
      <c r="AJ37" s="25" t="n"/>
      <c r="AK37" s="33" t="n"/>
      <c r="AL37" s="33" t="n"/>
      <c r="AM37" s="33" t="n"/>
      <c r="AN37" s="33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subQ!E33</f>
        <v/>
      </c>
      <c r="F39" s="28">
        <f>subQ!F33</f>
        <v/>
      </c>
      <c r="G39" s="27">
        <f>subQ!G33</f>
        <v/>
      </c>
      <c r="H39" s="27">
        <f>subQ!H33</f>
        <v/>
      </c>
      <c r="I39" s="27">
        <f>subQ!I33</f>
        <v/>
      </c>
      <c r="J39" s="27">
        <f>subQ!J33</f>
        <v/>
      </c>
      <c r="K39" s="28">
        <f>subQ!K33</f>
        <v/>
      </c>
      <c r="L39" s="27">
        <f>subQ!L33</f>
        <v/>
      </c>
      <c r="M39" s="27">
        <f>subQ!M33</f>
        <v/>
      </c>
      <c r="N39" s="27">
        <f>subQ!N33</f>
        <v/>
      </c>
      <c r="O39" s="27">
        <f>subQ!O33</f>
        <v/>
      </c>
      <c r="P39" s="28">
        <f>subQ!P33</f>
        <v/>
      </c>
      <c r="Q39" s="27">
        <f>subQ!Q33</f>
        <v/>
      </c>
      <c r="R39" s="27">
        <f>subQ!R33</f>
        <v/>
      </c>
      <c r="S39" s="27">
        <f>subQ!S33</f>
        <v/>
      </c>
      <c r="T39" s="27">
        <f>subQ!T33</f>
        <v/>
      </c>
      <c r="U39" s="28">
        <f>subQ!U33</f>
        <v/>
      </c>
      <c r="V39" s="27">
        <f>subQ!V33</f>
        <v/>
      </c>
      <c r="W39" s="27">
        <f>subQ!W33</f>
        <v/>
      </c>
      <c r="X39" s="27">
        <f>subQ!X33</f>
        <v/>
      </c>
      <c r="Y39" s="27">
        <f>subQ!Y33</f>
        <v/>
      </c>
      <c r="Z39" s="28">
        <f>subQ!Z33</f>
        <v/>
      </c>
      <c r="AA39" s="27">
        <f>subQ!AA33</f>
        <v/>
      </c>
      <c r="AB39" s="29">
        <f>subQ!AB33</f>
        <v/>
      </c>
      <c r="AC39" s="32" t="n"/>
      <c r="AD39" s="30" t="n">
        <v>100</v>
      </c>
      <c r="AE39" s="31">
        <f>subQ!AE33</f>
        <v/>
      </c>
      <c r="AF39" s="32" t="n"/>
      <c r="AG39" s="32" t="n"/>
      <c r="AH39" s="32" t="n"/>
      <c r="AI39" s="30" t="n">
        <v>100</v>
      </c>
      <c r="AJ39" s="31">
        <f>subQ!AJ33</f>
        <v/>
      </c>
      <c r="AK39" s="32" t="n"/>
      <c r="AL39" s="32" t="n"/>
      <c r="AM39" s="32" t="n"/>
      <c r="AN39" s="30" t="n">
        <v>100</v>
      </c>
      <c r="AO39" s="31">
        <f>subQ!AO33</f>
        <v/>
      </c>
    </row>
    <row r="40"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8950</v>
      </c>
      <c r="E42" s="2" t="inlineStr">
        <is>
          <t>원 — 네이버 정규장 종가(aik 확정종가 대조 · aik 8,810원)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20261008</t>
        </is>
      </c>
      <c r="E43" s="2" t="inlineStr">
        <is>
          <t>종가 기준일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5</v>
      </c>
      <c r="E45" s="2" t="inlineStr">
        <is>
          <t>PER 밴드 하단(배) — hist_quarterly(분기 평균가 ÷ TTM EPS, 10분기, 25/50/75 백분위) · 캡 5~30배 적용(원값 1.3/5.4/6.8)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5.4</v>
      </c>
      <c r="E46" s="2" t="inlineStr">
        <is>
          <t>PER 밴드 중단(배)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6.8</v>
      </c>
      <c r="E47" s="2" t="inlineStr">
        <is>
          <t>PER 밴드 상단(배)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0.04347826086956521</v>
      </c>
      <c r="E49" s="2" t="inlineStr">
        <is>
          <t>연결 — 법인세 = MAX(세전,0) × 세율(역산, 재현 오차 ≤ 0.05억 · 모델 assumptions 0.0522) · 최근 12분기 유효세율 5.2%(5~27% 안 — 그대로)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0.1619279045206875</v>
      </c>
      <c r="E50" s="2" t="inlineStr">
        <is>
          <t>연결 — 판관비 = 매출액 × 판관비율(역산, 재현 오차 ≤ 0.05억 · 모델 assumptions 0.1619)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1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0.03042783283443792</v>
      </c>
      <c r="E52" s="2" t="inlineStr">
        <is>
          <t>연결 — 이자손익 = (전분기 이자발생자산 × 자산이자율 − 전분기 총차입금 × 부채이자율)/4(역산, 재현 오차 ≤ 0.05억 · 모델 assumptions 0.0304)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0</v>
      </c>
      <c r="E53" s="2" t="inlineStr">
        <is>
          <t>연결 — 같은 수식의 부채 쪽(총차입금 행이 없으면 0)(역산,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/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엔케이(연)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71679.87</v>
      </c>
      <c r="F5" s="37" t="n">
        <v>71679.87</v>
      </c>
      <c r="G5" s="18" t="n">
        <v>64304.02</v>
      </c>
      <c r="H5" s="18" t="n">
        <v>62744.95</v>
      </c>
      <c r="I5" s="18" t="n">
        <v>69036.31</v>
      </c>
      <c r="J5" s="18" t="n">
        <v>85643.41</v>
      </c>
      <c r="K5" s="37" t="n">
        <v>85643.41</v>
      </c>
      <c r="L5" s="18" t="n">
        <v>84154.74000000001</v>
      </c>
      <c r="M5" s="18" t="n">
        <v>78641.35000000001</v>
      </c>
      <c r="N5" s="18" t="n">
        <v>75977.75999999999</v>
      </c>
      <c r="O5" s="18" t="n">
        <v>169799.53</v>
      </c>
      <c r="P5" s="37" t="n">
        <v>169799.53</v>
      </c>
      <c r="Q5" s="18" t="n">
        <v>173152.02</v>
      </c>
      <c r="R5" s="18" t="n">
        <v>170030.54</v>
      </c>
      <c r="S5" s="18" t="n">
        <v>162508</v>
      </c>
      <c r="T5" s="18" t="n">
        <v>166228.28</v>
      </c>
      <c r="U5" s="37" t="n">
        <v>166228.28</v>
      </c>
      <c r="V5" s="18" t="n">
        <v>157874.01</v>
      </c>
      <c r="W5" s="18" t="n">
        <v>135473.65</v>
      </c>
      <c r="X5" s="18" t="n">
        <v>131010.66</v>
      </c>
      <c r="Y5" s="18" t="n">
        <v>125704.72</v>
      </c>
      <c r="Z5" s="37" t="n">
        <v>125704.72</v>
      </c>
      <c r="AA5" s="18" t="n">
        <v>128279.78</v>
      </c>
      <c r="AB5" s="19" t="n">
        <v>126600.56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51477.69</v>
      </c>
      <c r="F6" s="37" t="n">
        <v>51477.69</v>
      </c>
      <c r="G6" s="18" t="n">
        <v>30806.24</v>
      </c>
      <c r="H6" s="18" t="n">
        <v>30022.25</v>
      </c>
      <c r="I6" s="18" t="n">
        <v>21710.66</v>
      </c>
      <c r="J6" s="18" t="n">
        <v>29701.15</v>
      </c>
      <c r="K6" s="37" t="n">
        <v>29701.15</v>
      </c>
      <c r="L6" s="18" t="n">
        <v>28795.96</v>
      </c>
      <c r="M6" s="18" t="n">
        <v>27058.65</v>
      </c>
      <c r="N6" s="18" t="n">
        <v>27348.1</v>
      </c>
      <c r="O6" s="18" t="n">
        <v>24768.6</v>
      </c>
      <c r="P6" s="37" t="n">
        <v>24768.6</v>
      </c>
      <c r="Q6" s="18" t="n">
        <v>24771.32</v>
      </c>
      <c r="R6" s="18" t="n">
        <v>22065.86</v>
      </c>
      <c r="S6" s="18" t="n">
        <v>24250.94</v>
      </c>
      <c r="T6" s="18" t="n">
        <v>28765.02</v>
      </c>
      <c r="U6" s="37" t="n">
        <v>28765.02</v>
      </c>
      <c r="V6" s="18" t="n">
        <v>32241.33</v>
      </c>
      <c r="W6" s="18" t="n">
        <v>29451.54</v>
      </c>
      <c r="X6" s="18" t="n">
        <v>50369.61</v>
      </c>
      <c r="Y6" s="18" t="n">
        <v>48368.97</v>
      </c>
      <c r="Z6" s="37" t="n">
        <v>48368.97</v>
      </c>
      <c r="AA6" s="18" t="n">
        <v>54587.23</v>
      </c>
      <c r="AB6" s="19" t="n">
        <v>76964.59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7887.37</v>
      </c>
      <c r="F7" s="37" t="n">
        <v>7887.37</v>
      </c>
      <c r="G7" s="18" t="n">
        <v>22709.38</v>
      </c>
      <c r="H7" s="18" t="n">
        <v>19709.38</v>
      </c>
      <c r="I7" s="18" t="n">
        <v>27659.39</v>
      </c>
      <c r="J7" s="18" t="n">
        <v>24847.25</v>
      </c>
      <c r="K7" s="37" t="n">
        <v>24847.25</v>
      </c>
      <c r="L7" s="18" t="n">
        <v>26241.16</v>
      </c>
      <c r="M7" s="18" t="n">
        <v>23277.21</v>
      </c>
      <c r="N7" s="18" t="n">
        <v>21392.85</v>
      </c>
      <c r="O7" s="18" t="n">
        <v>109172.01</v>
      </c>
      <c r="P7" s="37" t="n">
        <v>109172.01</v>
      </c>
      <c r="Q7" s="18" t="n">
        <v>108401.61</v>
      </c>
      <c r="R7" s="18" t="n">
        <v>108571.21</v>
      </c>
      <c r="S7" s="18" t="n">
        <v>103292.81</v>
      </c>
      <c r="T7" s="18" t="n">
        <v>98895.44</v>
      </c>
      <c r="U7" s="37" t="n">
        <v>98895.44</v>
      </c>
      <c r="V7" s="18" t="n">
        <v>79748.63</v>
      </c>
      <c r="W7" s="18" t="n">
        <v>60867.28</v>
      </c>
      <c r="X7" s="18" t="n">
        <v>20016.61</v>
      </c>
      <c r="Y7" s="18" t="n">
        <v>20000</v>
      </c>
      <c r="Z7" s="37" t="n">
        <v>20000</v>
      </c>
      <c r="AA7" s="18" t="n">
        <v>20000</v>
      </c>
      <c r="AB7" s="19" t="n">
        <v>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10328.7</v>
      </c>
      <c r="F8" s="37" t="n">
        <v>10328.7</v>
      </c>
      <c r="G8" s="18" t="n">
        <v>8803.49</v>
      </c>
      <c r="H8" s="18" t="n">
        <v>11297.35</v>
      </c>
      <c r="I8" s="18" t="n">
        <v>16530.03</v>
      </c>
      <c r="J8" s="18" t="n">
        <v>20794.39</v>
      </c>
      <c r="K8" s="37" t="n">
        <v>20794.39</v>
      </c>
      <c r="L8" s="18" t="n">
        <v>19788.58</v>
      </c>
      <c r="M8" s="18" t="n">
        <v>18081.67</v>
      </c>
      <c r="N8" s="18" t="n">
        <v>13807.79</v>
      </c>
      <c r="O8" s="18" t="n">
        <v>17989.6</v>
      </c>
      <c r="P8" s="37" t="n">
        <v>17989.6</v>
      </c>
      <c r="Q8" s="18" t="n">
        <v>22131.19</v>
      </c>
      <c r="R8" s="18" t="n">
        <v>21567.47</v>
      </c>
      <c r="S8" s="18" t="n">
        <v>15528.65</v>
      </c>
      <c r="T8" s="18" t="n">
        <v>18230</v>
      </c>
      <c r="U8" s="37" t="n">
        <v>18230</v>
      </c>
      <c r="V8" s="18" t="n">
        <v>14915.44</v>
      </c>
      <c r="W8" s="18" t="n">
        <v>23182.68</v>
      </c>
      <c r="X8" s="18" t="n">
        <v>29530.14</v>
      </c>
      <c r="Y8" s="18" t="n">
        <v>28443.13</v>
      </c>
      <c r="Z8" s="37" t="n">
        <v>28443.13</v>
      </c>
      <c r="AA8" s="18" t="n">
        <v>22942.14</v>
      </c>
      <c r="AB8" s="19" t="n">
        <v>20643.78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116.57</v>
      </c>
      <c r="F9" s="37" t="n">
        <v>116.57</v>
      </c>
      <c r="G9" s="18" t="n">
        <v>395.35</v>
      </c>
      <c r="H9" s="18" t="n">
        <v>261.86</v>
      </c>
      <c r="I9" s="18" t="n">
        <v>1240.54</v>
      </c>
      <c r="J9" s="18" t="n">
        <v>767.9400000000001</v>
      </c>
      <c r="K9" s="37" t="n">
        <v>767.9400000000001</v>
      </c>
      <c r="L9" s="18" t="n">
        <v>612.6</v>
      </c>
      <c r="M9" s="18" t="n">
        <v>1183.96</v>
      </c>
      <c r="N9" s="18" t="n">
        <v>2764.26</v>
      </c>
      <c r="O9" s="18" t="n">
        <v>3131.23</v>
      </c>
      <c r="P9" s="37" t="n">
        <v>3131.23</v>
      </c>
      <c r="Q9" s="18" t="n">
        <v>3652.91</v>
      </c>
      <c r="R9" s="18" t="n">
        <v>5233.87</v>
      </c>
      <c r="S9" s="18" t="n">
        <v>4679.88</v>
      </c>
      <c r="T9" s="18" t="n">
        <v>4581.33</v>
      </c>
      <c r="U9" s="37" t="n">
        <v>4581.33</v>
      </c>
      <c r="V9" s="18" t="n">
        <v>12618.49</v>
      </c>
      <c r="W9" s="18" t="n">
        <v>3791.02</v>
      </c>
      <c r="X9" s="18" t="n">
        <v>5209.86</v>
      </c>
      <c r="Y9" s="18" t="n">
        <v>8197.299999999999</v>
      </c>
      <c r="Z9" s="37" t="n">
        <v>8197.299999999999</v>
      </c>
      <c r="AA9" s="18" t="n">
        <v>10108.48</v>
      </c>
      <c r="AB9" s="19" t="n">
        <v>9363.950000000001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당기법인세자산(선급법인세)</t>
        </is>
      </c>
      <c r="E10" s="18" t="n">
        <v>36.46</v>
      </c>
      <c r="F10" s="37" t="n">
        <v>36.46</v>
      </c>
      <c r="G10" s="18" t="n">
        <v>55.6</v>
      </c>
      <c r="H10" s="18" t="n">
        <v>46.89</v>
      </c>
      <c r="I10" s="18" t="n">
        <v>85.12</v>
      </c>
      <c r="J10" s="18" t="n">
        <v>173.41</v>
      </c>
      <c r="K10" s="37" t="n">
        <v>173.41</v>
      </c>
      <c r="L10" s="18" t="n">
        <v>294.83</v>
      </c>
      <c r="M10" s="18" t="n">
        <v>219.81</v>
      </c>
      <c r="N10" s="18" t="n">
        <v>261.02</v>
      </c>
      <c r="O10" s="18" t="n">
        <v>46.79</v>
      </c>
      <c r="P10" s="37" t="n">
        <v>46.79</v>
      </c>
      <c r="Q10" s="18" t="n">
        <v>145.67</v>
      </c>
      <c r="R10" s="18" t="n">
        <v>153.65</v>
      </c>
      <c r="S10" s="18" t="n">
        <v>450.95</v>
      </c>
      <c r="T10" s="18" t="n">
        <v>488.86</v>
      </c>
      <c r="U10" s="37" t="n">
        <v>488.86</v>
      </c>
      <c r="V10" s="18" t="n">
        <v>789.21</v>
      </c>
      <c r="W10" s="18" t="n">
        <v>342.01</v>
      </c>
      <c r="X10" s="18" t="n">
        <v>527.11</v>
      </c>
      <c r="Y10" s="18" t="n">
        <v>554.9400000000001</v>
      </c>
      <c r="Z10" s="37" t="n">
        <v>554.9400000000001</v>
      </c>
      <c r="AA10" s="18" t="n">
        <v>619.99</v>
      </c>
      <c r="AB10" s="19" t="n">
        <v>18.01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1833.08</v>
      </c>
      <c r="F11" s="37" t="n">
        <v>1833.08</v>
      </c>
      <c r="G11" s="18" t="n">
        <v>1533.96</v>
      </c>
      <c r="H11" s="18" t="n">
        <v>1407.23</v>
      </c>
      <c r="I11" s="18" t="n">
        <v>1810.57</v>
      </c>
      <c r="J11" s="18" t="n">
        <v>9359.280000000001</v>
      </c>
      <c r="K11" s="37" t="n">
        <v>9359.280000000001</v>
      </c>
      <c r="L11" s="18" t="n">
        <v>8421.620000000001</v>
      </c>
      <c r="M11" s="18" t="n">
        <v>8820.049999999999</v>
      </c>
      <c r="N11" s="18" t="n">
        <v>10403.75</v>
      </c>
      <c r="O11" s="18" t="n">
        <v>14691.29</v>
      </c>
      <c r="P11" s="37" t="n">
        <v>14691.29</v>
      </c>
      <c r="Q11" s="18" t="n">
        <v>14049.33</v>
      </c>
      <c r="R11" s="18" t="n">
        <v>12438.48</v>
      </c>
      <c r="S11" s="18" t="n">
        <v>14304.76</v>
      </c>
      <c r="T11" s="18" t="n">
        <v>13409.86</v>
      </c>
      <c r="U11" s="37" t="n">
        <v>13409.86</v>
      </c>
      <c r="V11" s="18" t="n">
        <v>15647.15</v>
      </c>
      <c r="W11" s="18" t="n">
        <v>16705.87</v>
      </c>
      <c r="X11" s="18" t="n">
        <v>23820.46</v>
      </c>
      <c r="Y11" s="18" t="n">
        <v>16999.58</v>
      </c>
      <c r="Z11" s="37" t="n">
        <v>16999.58</v>
      </c>
      <c r="AA11" s="18" t="n">
        <v>15686.4</v>
      </c>
      <c r="AB11" s="19" t="n">
        <v>14867.22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유동파생상품자산</t>
        </is>
      </c>
      <c r="E12" s="18" t="n">
        <v>0</v>
      </c>
      <c r="F12" s="37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37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37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37" t="n">
        <v>0</v>
      </c>
      <c r="V12" s="18" t="n">
        <v>0</v>
      </c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단기금융자산</t>
        </is>
      </c>
      <c r="E13" s="18" t="n">
        <v>0</v>
      </c>
      <c r="F13" s="37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37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37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37" t="n">
        <v>0</v>
      </c>
      <c r="V13" s="18" t="n">
        <v>0</v>
      </c>
      <c r="Z13" s="9" t="n"/>
      <c r="AB13" s="5" t="n"/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매각예정비유동자산및처분자산</t>
        </is>
      </c>
      <c r="E14" s="18" t="n">
        <v>0</v>
      </c>
      <c r="F14" s="37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37" t="n">
        <v>0</v>
      </c>
      <c r="L14" s="18" t="n">
        <v>0</v>
      </c>
      <c r="M14" s="18" t="n">
        <v>0</v>
      </c>
      <c r="N14" s="18" t="n">
        <v>0</v>
      </c>
      <c r="O14" s="18" t="n">
        <v>10407.89</v>
      </c>
      <c r="P14" s="37" t="n">
        <v>10407.89</v>
      </c>
      <c r="Q14" s="18" t="n">
        <v>10407.89</v>
      </c>
      <c r="R14" s="18" t="n">
        <v>0</v>
      </c>
      <c r="S14" s="18" t="n">
        <v>0</v>
      </c>
      <c r="T14" s="18" t="n">
        <v>0</v>
      </c>
      <c r="U14" s="37" t="n">
        <v>0</v>
      </c>
      <c r="V14" s="18" t="n">
        <v>0</v>
      </c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59046.65</v>
      </c>
      <c r="F15" s="37" t="n">
        <v>59046.65</v>
      </c>
      <c r="G15" s="18" t="n">
        <v>66383.16</v>
      </c>
      <c r="H15" s="18" t="n">
        <v>68472.8</v>
      </c>
      <c r="I15" s="18" t="n">
        <v>65383.72</v>
      </c>
      <c r="J15" s="18" t="n">
        <v>100102.52</v>
      </c>
      <c r="K15" s="37" t="n">
        <v>100102.52</v>
      </c>
      <c r="L15" s="18" t="n">
        <v>99547.66</v>
      </c>
      <c r="M15" s="18" t="n">
        <v>98262.42</v>
      </c>
      <c r="N15" s="18" t="n">
        <v>103965.19</v>
      </c>
      <c r="O15" s="18" t="n">
        <v>67458.66</v>
      </c>
      <c r="P15" s="37" t="n">
        <v>67458.66</v>
      </c>
      <c r="Q15" s="18" t="n">
        <v>61542.69</v>
      </c>
      <c r="R15" s="18" t="n">
        <v>61805.43</v>
      </c>
      <c r="S15" s="18" t="n">
        <v>63903</v>
      </c>
      <c r="T15" s="18" t="n">
        <v>60915.41</v>
      </c>
      <c r="U15" s="37" t="n">
        <v>60915.41</v>
      </c>
      <c r="V15" s="18" t="n">
        <v>60094.82</v>
      </c>
      <c r="W15" s="18" t="n">
        <v>70310.39</v>
      </c>
      <c r="X15" s="18" t="n">
        <v>100310.74</v>
      </c>
      <c r="Y15" s="18" t="n">
        <v>104842.51</v>
      </c>
      <c r="Z15" s="37" t="n">
        <v>104842.51</v>
      </c>
      <c r="AA15" s="18" t="n">
        <v>100513.06</v>
      </c>
      <c r="AB15" s="19" t="n">
        <v>100605.42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12220.19</v>
      </c>
      <c r="F16" s="37" t="n">
        <v>12220.19</v>
      </c>
      <c r="G16" s="18" t="n">
        <v>15231.79</v>
      </c>
      <c r="H16" s="18" t="n">
        <v>14481.42</v>
      </c>
      <c r="I16" s="18" t="n">
        <v>14481.42</v>
      </c>
      <c r="J16" s="18" t="n">
        <v>2244.84</v>
      </c>
      <c r="K16" s="37" t="n">
        <v>2244.84</v>
      </c>
      <c r="L16" s="18" t="n">
        <v>1244.84</v>
      </c>
      <c r="M16" s="18" t="n">
        <v>645.84</v>
      </c>
      <c r="N16" s="18" t="n">
        <v>645.84</v>
      </c>
      <c r="O16" s="18" t="n">
        <v>644.9299999999999</v>
      </c>
      <c r="P16" s="37" t="n">
        <v>644.9299999999999</v>
      </c>
      <c r="Q16" s="18" t="n">
        <v>644.9299999999999</v>
      </c>
      <c r="R16" s="18" t="n">
        <v>644.9299999999999</v>
      </c>
      <c r="S16" s="18" t="n">
        <v>675.66</v>
      </c>
      <c r="T16" s="18" t="n">
        <v>644.9299999999999</v>
      </c>
      <c r="U16" s="37" t="n">
        <v>644.9299999999999</v>
      </c>
      <c r="V16" s="18" t="n">
        <v>644.9299999999999</v>
      </c>
      <c r="W16" s="18" t="n">
        <v>644.9299999999999</v>
      </c>
      <c r="X16" s="18" t="n">
        <v>729.4299999999999</v>
      </c>
      <c r="Y16" s="18" t="n">
        <v>475.47</v>
      </c>
      <c r="Z16" s="37" t="n">
        <v>475.47</v>
      </c>
      <c r="AA16" s="18" t="n">
        <v>475.47</v>
      </c>
      <c r="AB16" s="19" t="n">
        <v>475.97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27935.17</v>
      </c>
      <c r="F17" s="37" t="n">
        <v>27935.17</v>
      </c>
      <c r="G17" s="18" t="n">
        <v>32097.53</v>
      </c>
      <c r="H17" s="18" t="n">
        <v>32210.21</v>
      </c>
      <c r="I17" s="18" t="n">
        <v>33203.19</v>
      </c>
      <c r="J17" s="18" t="n">
        <v>21317.01</v>
      </c>
      <c r="K17" s="37" t="n">
        <v>21317.01</v>
      </c>
      <c r="L17" s="18" t="n">
        <v>21103.88</v>
      </c>
      <c r="M17" s="18" t="n">
        <v>20049.73</v>
      </c>
      <c r="N17" s="18" t="n">
        <v>26055.25</v>
      </c>
      <c r="O17" s="18" t="n">
        <v>1891.78</v>
      </c>
      <c r="P17" s="37" t="n">
        <v>1891.78</v>
      </c>
      <c r="Q17" s="18" t="n">
        <v>1792.64</v>
      </c>
      <c r="R17" s="18" t="n">
        <v>1789.42</v>
      </c>
      <c r="S17" s="18" t="n">
        <v>1817.34</v>
      </c>
      <c r="T17" s="18" t="n">
        <v>1791.1</v>
      </c>
      <c r="U17" s="37" t="n">
        <v>1791.1</v>
      </c>
      <c r="V17" s="18" t="n">
        <v>1813.18</v>
      </c>
      <c r="W17" s="18" t="n">
        <v>1810.68</v>
      </c>
      <c r="X17" s="18" t="n">
        <v>1892.17</v>
      </c>
      <c r="Y17" s="18" t="n">
        <v>475.47</v>
      </c>
      <c r="Z17" s="37" t="n">
        <v>475.47</v>
      </c>
      <c r="AA17" s="18" t="n">
        <v>475.47</v>
      </c>
      <c r="AB17" s="19" t="n">
        <v>475.97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15714.98</v>
      </c>
      <c r="F18" s="37" t="n">
        <v>15714.98</v>
      </c>
      <c r="G18" s="18" t="n">
        <v>16865.74</v>
      </c>
      <c r="H18" s="18" t="n">
        <v>17728.79</v>
      </c>
      <c r="I18" s="18" t="n">
        <v>18721.77</v>
      </c>
      <c r="J18" s="18" t="n">
        <v>19072.17</v>
      </c>
      <c r="K18" s="37" t="n">
        <v>19072.17</v>
      </c>
      <c r="L18" s="18" t="n">
        <v>19859.04</v>
      </c>
      <c r="M18" s="18" t="n">
        <v>19403.89</v>
      </c>
      <c r="N18" s="18" t="n">
        <v>25409.41</v>
      </c>
      <c r="O18" s="18" t="n">
        <v>1246.85</v>
      </c>
      <c r="P18" s="37" t="n">
        <v>1246.85</v>
      </c>
      <c r="Q18" s="18" t="n">
        <v>1147.71</v>
      </c>
      <c r="R18" s="18" t="n">
        <v>1144.49</v>
      </c>
      <c r="S18" s="18" t="n">
        <v>1141.68</v>
      </c>
      <c r="T18" s="18" t="n">
        <v>1146.17</v>
      </c>
      <c r="U18" s="37" t="n">
        <v>1146.17</v>
      </c>
      <c r="V18" s="18" t="n">
        <v>1168.25</v>
      </c>
      <c r="W18" s="18" t="n">
        <v>1165.75</v>
      </c>
      <c r="X18" s="18" t="n">
        <v>1162.74</v>
      </c>
      <c r="Y18" s="18" t="n">
        <v>0</v>
      </c>
      <c r="Z18" s="37" t="n">
        <v>0</v>
      </c>
      <c r="AA18" s="18" t="n">
        <v>0</v>
      </c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장기매출채권및기타채권</t>
        </is>
      </c>
      <c r="E19" s="18" t="n">
        <v>0</v>
      </c>
      <c r="F19" s="37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37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37" t="n">
        <v>0</v>
      </c>
      <c r="Q19" s="18" t="n">
        <v>0</v>
      </c>
      <c r="R19" s="18" t="n">
        <v>0</v>
      </c>
      <c r="U19" s="9" t="n"/>
      <c r="Y19" s="18" t="n">
        <v>0</v>
      </c>
      <c r="Z19" s="37" t="n">
        <v>0</v>
      </c>
      <c r="AA19" s="18" t="n">
        <v>0</v>
      </c>
      <c r="AB19" s="19" t="n">
        <v>0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18" t="n">
        <v>21213.33</v>
      </c>
      <c r="F20" s="37" t="n">
        <v>21213.33</v>
      </c>
      <c r="G20" s="18" t="n">
        <v>23828.59</v>
      </c>
      <c r="H20" s="18" t="n">
        <v>25408.94</v>
      </c>
      <c r="I20" s="18" t="n">
        <v>21295.34</v>
      </c>
      <c r="J20" s="18" t="n">
        <v>51379.8</v>
      </c>
      <c r="K20" s="37" t="n">
        <v>51379.8</v>
      </c>
      <c r="L20" s="18" t="n">
        <v>50948.62</v>
      </c>
      <c r="M20" s="18" t="n">
        <v>50815.97</v>
      </c>
      <c r="N20" s="18" t="n">
        <v>50094.22</v>
      </c>
      <c r="O20" s="18" t="n">
        <v>40053.57</v>
      </c>
      <c r="P20" s="37" t="n">
        <v>40053.57</v>
      </c>
      <c r="Q20" s="18" t="n">
        <v>41454.66</v>
      </c>
      <c r="R20" s="18" t="n">
        <v>41495.46</v>
      </c>
      <c r="S20" s="18" t="n">
        <v>40136.05</v>
      </c>
      <c r="T20" s="18" t="n">
        <v>40617.62</v>
      </c>
      <c r="U20" s="37" t="n">
        <v>40617.62</v>
      </c>
      <c r="V20" s="18" t="n">
        <v>40104.11</v>
      </c>
      <c r="W20" s="18" t="n">
        <v>40974.14</v>
      </c>
      <c r="X20" s="18" t="n">
        <v>75752.46000000001</v>
      </c>
      <c r="Y20" s="18" t="n">
        <v>80767.64</v>
      </c>
      <c r="Z20" s="37" t="n">
        <v>80767.64</v>
      </c>
      <c r="AA20" s="18" t="n">
        <v>80985.53999999999</v>
      </c>
      <c r="AB20" s="19" t="n">
        <v>81301.78999999999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사용권자산</t>
        </is>
      </c>
      <c r="E21" s="18" t="n">
        <v>96.25</v>
      </c>
      <c r="F21" s="37" t="n">
        <v>96.25</v>
      </c>
      <c r="G21" s="18" t="n">
        <v>92.5</v>
      </c>
      <c r="H21" s="18" t="n">
        <v>88.75</v>
      </c>
      <c r="I21" s="18" t="n">
        <v>85</v>
      </c>
      <c r="J21" s="18" t="n">
        <v>13341.87</v>
      </c>
      <c r="K21" s="37" t="n">
        <v>13341.87</v>
      </c>
      <c r="L21" s="18" t="n">
        <v>13256.6</v>
      </c>
      <c r="M21" s="18" t="n">
        <v>13171.33</v>
      </c>
      <c r="N21" s="18" t="n">
        <v>13086.06</v>
      </c>
      <c r="O21" s="18" t="n">
        <v>13367.43</v>
      </c>
      <c r="P21" s="37" t="n">
        <v>13367.43</v>
      </c>
      <c r="Q21" s="18" t="n">
        <v>6282.43</v>
      </c>
      <c r="R21" s="18" t="n">
        <v>6369.11</v>
      </c>
      <c r="S21" s="18" t="n">
        <v>6581.42</v>
      </c>
      <c r="T21" s="18" t="n">
        <v>6441.65</v>
      </c>
      <c r="U21" s="37" t="n">
        <v>6441.65</v>
      </c>
      <c r="V21" s="18" t="n">
        <v>6143.97</v>
      </c>
      <c r="W21" s="18" t="n">
        <v>6086.28</v>
      </c>
      <c r="X21" s="18" t="n">
        <v>6071.84</v>
      </c>
      <c r="Y21" s="18" t="n">
        <v>7643.6</v>
      </c>
      <c r="Z21" s="37" t="n">
        <v>7643.6</v>
      </c>
      <c r="AA21" s="18" t="n">
        <v>3051.47</v>
      </c>
      <c r="AB21" s="19" t="n">
        <v>2843.52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기타비유동자산</t>
        </is>
      </c>
      <c r="E22" s="18" t="n">
        <v>96.25</v>
      </c>
      <c r="F22" s="37" t="n">
        <v>96.25</v>
      </c>
      <c r="G22" s="18" t="n">
        <v>92.5</v>
      </c>
      <c r="H22" s="18" t="n">
        <v>88.75</v>
      </c>
      <c r="I22" s="18" t="n">
        <v>85</v>
      </c>
      <c r="J22" s="18" t="n">
        <v>13341.87</v>
      </c>
      <c r="K22" s="37" t="n">
        <v>13341.87</v>
      </c>
      <c r="L22" s="18" t="n">
        <v>13256.6</v>
      </c>
      <c r="M22" s="18" t="n">
        <v>13171.33</v>
      </c>
      <c r="N22" s="18" t="n">
        <v>13086.06</v>
      </c>
      <c r="O22" s="18" t="n">
        <v>13367.43</v>
      </c>
      <c r="P22" s="37" t="n">
        <v>13367.43</v>
      </c>
      <c r="Q22" s="18" t="n">
        <v>6282.43</v>
      </c>
      <c r="R22" s="18" t="n">
        <v>6369.11</v>
      </c>
      <c r="S22" s="18" t="n">
        <v>6581.42</v>
      </c>
      <c r="T22" s="18" t="n">
        <v>6441.65</v>
      </c>
      <c r="U22" s="37" t="n">
        <v>6441.65</v>
      </c>
      <c r="V22" s="18" t="n">
        <v>6143.97</v>
      </c>
      <c r="W22" s="18" t="n">
        <v>14886.28</v>
      </c>
      <c r="X22" s="18" t="n">
        <v>6071.84</v>
      </c>
      <c r="Y22" s="18" t="n">
        <v>7643.6</v>
      </c>
      <c r="Z22" s="37" t="n">
        <v>7643.6</v>
      </c>
      <c r="AA22" s="18" t="n">
        <v>3051.47</v>
      </c>
      <c r="AB22" s="19" t="n">
        <v>2843.52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무형자산</t>
        </is>
      </c>
      <c r="E23" s="18" t="n">
        <v>47.03</v>
      </c>
      <c r="F23" s="37" t="n">
        <v>47.03</v>
      </c>
      <c r="G23" s="18" t="n">
        <v>47.03</v>
      </c>
      <c r="H23" s="18" t="n">
        <v>47.03</v>
      </c>
      <c r="I23" s="18" t="n">
        <v>47.03</v>
      </c>
      <c r="J23" s="18" t="n">
        <v>103.87</v>
      </c>
      <c r="K23" s="37" t="n">
        <v>103.87</v>
      </c>
      <c r="L23" s="18" t="n">
        <v>96.76000000000001</v>
      </c>
      <c r="M23" s="18" t="n">
        <v>109.32</v>
      </c>
      <c r="N23" s="18" t="n">
        <v>175.78</v>
      </c>
      <c r="O23" s="18" t="n">
        <v>181.53</v>
      </c>
      <c r="P23" s="37" t="n">
        <v>181.53</v>
      </c>
      <c r="Q23" s="18" t="n">
        <v>175.21</v>
      </c>
      <c r="R23" s="18" t="n">
        <v>336.35</v>
      </c>
      <c r="S23" s="18" t="n">
        <v>271.54</v>
      </c>
      <c r="T23" s="18" t="n">
        <v>282.61</v>
      </c>
      <c r="U23" s="37" t="n">
        <v>282.61</v>
      </c>
      <c r="V23" s="18" t="n">
        <v>266.31</v>
      </c>
      <c r="W23" s="18" t="n">
        <v>250.34</v>
      </c>
      <c r="X23" s="18" t="n">
        <v>255.35</v>
      </c>
      <c r="Y23" s="18" t="n">
        <v>234.76</v>
      </c>
      <c r="Z23" s="37" t="n">
        <v>234.76</v>
      </c>
      <c r="AA23" s="18" t="n">
        <v>215.04</v>
      </c>
      <c r="AB23" s="19" t="n">
        <v>209.14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투자부동산</t>
        </is>
      </c>
      <c r="E24" s="18" t="n">
        <v>8962.200000000001</v>
      </c>
      <c r="F24" s="37" t="n">
        <v>8962.200000000001</v>
      </c>
      <c r="G24" s="18" t="n">
        <v>8949.120000000001</v>
      </c>
      <c r="H24" s="18" t="n">
        <v>8936.040000000001</v>
      </c>
      <c r="I24" s="18" t="n">
        <v>9977.219999999999</v>
      </c>
      <c r="J24" s="18" t="n">
        <v>11476.04</v>
      </c>
      <c r="K24" s="37" t="n">
        <v>11476.04</v>
      </c>
      <c r="L24" s="18" t="n">
        <v>11527</v>
      </c>
      <c r="M24" s="18" t="n">
        <v>11501.27</v>
      </c>
      <c r="N24" s="18" t="n">
        <v>11889.08</v>
      </c>
      <c r="O24" s="18" t="n">
        <v>11388.38</v>
      </c>
      <c r="P24" s="37" t="n">
        <v>11388.38</v>
      </c>
      <c r="Q24" s="18" t="n">
        <v>11362.21</v>
      </c>
      <c r="R24" s="18" t="n">
        <v>11336.04</v>
      </c>
      <c r="S24" s="18" t="n">
        <v>11309.87</v>
      </c>
      <c r="T24" s="18" t="n">
        <v>11283.71</v>
      </c>
      <c r="U24" s="37" t="n">
        <v>11283.71</v>
      </c>
      <c r="V24" s="18" t="n">
        <v>11257.54</v>
      </c>
      <c r="W24" s="18" t="n">
        <v>11857.84</v>
      </c>
      <c r="X24" s="18" t="n">
        <v>14917.8</v>
      </c>
      <c r="Y24" s="18" t="n">
        <v>14254.69</v>
      </c>
      <c r="Z24" s="37" t="n">
        <v>14254.69</v>
      </c>
      <c r="AA24" s="18" t="n">
        <v>14228.52</v>
      </c>
      <c r="AB24" s="19" t="n">
        <v>14202.35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이연법인세자산</t>
        </is>
      </c>
      <c r="E25" s="18" t="n">
        <v>0</v>
      </c>
      <c r="F25" s="37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37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37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37" t="n">
        <v>0</v>
      </c>
      <c r="V25" s="18" t="n">
        <v>0</v>
      </c>
      <c r="Y25" s="18" t="n">
        <v>21.2</v>
      </c>
      <c r="Z25" s="37" t="n">
        <v>21.2</v>
      </c>
      <c r="AA25" s="18" t="n">
        <v>21.2</v>
      </c>
      <c r="AB25" s="19" t="n">
        <v>21.2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18" t="n">
        <v>130726.53</v>
      </c>
      <c r="F26" s="37" t="n">
        <v>130726.53</v>
      </c>
      <c r="G26" s="18" t="n">
        <v>130687.18</v>
      </c>
      <c r="H26" s="18" t="n">
        <v>131217.75</v>
      </c>
      <c r="I26" s="18" t="n">
        <v>134420.03</v>
      </c>
      <c r="J26" s="18" t="n">
        <v>185745.93</v>
      </c>
      <c r="K26" s="37" t="n">
        <v>185745.93</v>
      </c>
      <c r="L26" s="18" t="n">
        <v>183702.4</v>
      </c>
      <c r="M26" s="18" t="n">
        <v>176903.77</v>
      </c>
      <c r="N26" s="18" t="n">
        <v>179942.96</v>
      </c>
      <c r="O26" s="18" t="n">
        <v>247666.09</v>
      </c>
      <c r="P26" s="37" t="n">
        <v>247666.09</v>
      </c>
      <c r="Q26" s="18" t="n">
        <v>245102.6</v>
      </c>
      <c r="R26" s="18" t="n">
        <v>231835.97</v>
      </c>
      <c r="S26" s="18" t="n">
        <v>226411</v>
      </c>
      <c r="T26" s="18" t="n">
        <v>227143.69</v>
      </c>
      <c r="U26" s="37" t="n">
        <v>227143.69</v>
      </c>
      <c r="V26" s="18" t="n">
        <v>217968.84</v>
      </c>
      <c r="W26" s="18" t="n">
        <v>205784.04</v>
      </c>
      <c r="X26" s="18" t="n">
        <v>231321.4</v>
      </c>
      <c r="Y26" s="18" t="n">
        <v>230547.23</v>
      </c>
      <c r="Z26" s="37" t="n">
        <v>230547.23</v>
      </c>
      <c r="AA26" s="18" t="n">
        <v>228792.84</v>
      </c>
      <c r="AB26" s="19" t="n">
        <v>227205.97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18" t="n">
        <v>26677.28</v>
      </c>
      <c r="F27" s="37" t="n">
        <v>26677.28</v>
      </c>
      <c r="G27" s="18" t="n">
        <v>26786.67</v>
      </c>
      <c r="H27" s="18" t="n">
        <v>25952.57</v>
      </c>
      <c r="I27" s="18" t="n">
        <v>25624.92</v>
      </c>
      <c r="J27" s="18" t="n">
        <v>40936.88</v>
      </c>
      <c r="K27" s="37" t="n">
        <v>40936.88</v>
      </c>
      <c r="L27" s="18" t="n">
        <v>36507.5</v>
      </c>
      <c r="M27" s="18" t="n">
        <v>29216.18</v>
      </c>
      <c r="N27" s="18" t="n">
        <v>24954.35</v>
      </c>
      <c r="O27" s="18" t="n">
        <v>41882.69</v>
      </c>
      <c r="P27" s="37" t="n">
        <v>41882.69</v>
      </c>
      <c r="Q27" s="18" t="n">
        <v>43653.21</v>
      </c>
      <c r="R27" s="18" t="n">
        <v>35143.14</v>
      </c>
      <c r="S27" s="18" t="n">
        <v>32794.57</v>
      </c>
      <c r="T27" s="18" t="n">
        <v>37203.71</v>
      </c>
      <c r="U27" s="37" t="n">
        <v>37203.71</v>
      </c>
      <c r="V27" s="18" t="n">
        <v>31981.87</v>
      </c>
      <c r="W27" s="18" t="n">
        <v>27685.47</v>
      </c>
      <c r="X27" s="18" t="n">
        <v>57662.57</v>
      </c>
      <c r="Y27" s="18" t="n">
        <v>55256.86</v>
      </c>
      <c r="Z27" s="37" t="n">
        <v>55256.86</v>
      </c>
      <c r="AA27" s="18" t="n">
        <v>55697.7</v>
      </c>
      <c r="AB27" s="19" t="n">
        <v>50684.51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E28" s="18" t="n">
        <v>0</v>
      </c>
      <c r="F28" s="37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37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37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37" t="n">
        <v>0</v>
      </c>
      <c r="V28" s="18" t="n">
        <v>0</v>
      </c>
      <c r="Z28" s="9" t="n"/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단기차입금</t>
        </is>
      </c>
      <c r="E29" s="18" t="n">
        <v>0</v>
      </c>
      <c r="F29" s="37" t="n">
        <v>0</v>
      </c>
      <c r="G29" s="18" t="n">
        <v>0</v>
      </c>
      <c r="H29" s="18" t="n">
        <v>0</v>
      </c>
      <c r="I29" s="18" t="n">
        <v>0</v>
      </c>
      <c r="J29" s="18" t="n">
        <v>8248.15</v>
      </c>
      <c r="K29" s="37" t="n">
        <v>8248.15</v>
      </c>
      <c r="L29" s="18" t="n">
        <v>7271.23</v>
      </c>
      <c r="M29" s="18" t="n">
        <v>7498.54</v>
      </c>
      <c r="N29" s="18" t="n">
        <v>2265.85</v>
      </c>
      <c r="O29" s="18" t="n">
        <v>2525.93</v>
      </c>
      <c r="P29" s="37" t="n">
        <v>2525.93</v>
      </c>
      <c r="Q29" s="18" t="n">
        <v>2634.55</v>
      </c>
      <c r="R29" s="18" t="n">
        <v>3255.08</v>
      </c>
      <c r="S29" s="18" t="n">
        <v>3034.91</v>
      </c>
      <c r="T29" s="18" t="n">
        <v>5005.95</v>
      </c>
      <c r="U29" s="37" t="n">
        <v>5005.95</v>
      </c>
      <c r="V29" s="18" t="n">
        <v>3893.72</v>
      </c>
      <c r="W29" s="18" t="n">
        <v>122.04</v>
      </c>
      <c r="X29" s="18" t="n">
        <v>7070.13</v>
      </c>
      <c r="Y29" s="18" t="n">
        <v>6380</v>
      </c>
      <c r="Z29" s="37" t="n">
        <v>6380</v>
      </c>
      <c r="AA29" s="18" t="n">
        <v>15440</v>
      </c>
      <c r="AB29" s="19" t="n">
        <v>17160.13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당기법인세부채(미지급법인세)</t>
        </is>
      </c>
      <c r="E30" s="18" t="n">
        <v>0</v>
      </c>
      <c r="F30" s="37" t="n">
        <v>0</v>
      </c>
      <c r="G30" s="18" t="n">
        <v>0</v>
      </c>
      <c r="H30" s="18" t="n">
        <v>0</v>
      </c>
      <c r="I30" s="18" t="n">
        <v>0</v>
      </c>
      <c r="J30" s="18" t="n">
        <v>0.21</v>
      </c>
      <c r="K30" s="37" t="n">
        <v>0.21</v>
      </c>
      <c r="L30" s="18" t="n">
        <v>0</v>
      </c>
      <c r="M30" s="18" t="n">
        <v>0</v>
      </c>
      <c r="N30" s="18" t="n">
        <v>0</v>
      </c>
      <c r="O30" s="18" t="n">
        <v>4159.27</v>
      </c>
      <c r="P30" s="37" t="n">
        <v>4159.27</v>
      </c>
      <c r="Q30" s="18" t="n">
        <v>4159.27</v>
      </c>
      <c r="R30" s="18" t="n">
        <v>0</v>
      </c>
      <c r="S30" s="18" t="n">
        <v>0</v>
      </c>
      <c r="T30" s="18" t="n">
        <v>0</v>
      </c>
      <c r="U30" s="37" t="n">
        <v>0</v>
      </c>
      <c r="V30" s="18" t="n">
        <v>0</v>
      </c>
      <c r="Y30" s="18" t="n">
        <v>201.83</v>
      </c>
      <c r="Z30" s="37" t="n">
        <v>201.83</v>
      </c>
      <c r="AA30" s="18" t="n">
        <v>25.63</v>
      </c>
      <c r="AB30" s="19" t="n">
        <v>684.38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유동성장기부채</t>
        </is>
      </c>
      <c r="E31" s="18" t="n">
        <v>10066.44</v>
      </c>
      <c r="F31" s="37" t="n">
        <v>10066.44</v>
      </c>
      <c r="G31" s="18" t="n">
        <v>10385.18</v>
      </c>
      <c r="H31" s="18" t="n">
        <v>10721.69</v>
      </c>
      <c r="I31" s="18" t="n">
        <v>10563.45</v>
      </c>
      <c r="J31" s="18" t="n">
        <v>10903.99</v>
      </c>
      <c r="K31" s="37" t="n">
        <v>10903.99</v>
      </c>
      <c r="L31" s="18" t="n">
        <v>7073.16</v>
      </c>
      <c r="M31" s="18" t="n">
        <v>0</v>
      </c>
      <c r="N31" s="18" t="n">
        <v>0</v>
      </c>
      <c r="O31" s="18" t="n">
        <v>0</v>
      </c>
      <c r="P31" s="37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37" t="n">
        <v>0</v>
      </c>
      <c r="V31" s="18" t="n">
        <v>0</v>
      </c>
      <c r="X31" s="18" t="n">
        <v>8760.5</v>
      </c>
      <c r="Y31" s="18" t="n">
        <v>9345.5</v>
      </c>
      <c r="Z31" s="37" t="n">
        <v>9345.5</v>
      </c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유동리스부채</t>
        </is>
      </c>
      <c r="E32" s="18" t="n">
        <v>0</v>
      </c>
      <c r="F32" s="37" t="n">
        <v>0</v>
      </c>
      <c r="G32" s="18" t="n">
        <v>0</v>
      </c>
      <c r="H32" s="18" t="n">
        <v>0</v>
      </c>
      <c r="I32" s="18" t="n">
        <v>0</v>
      </c>
      <c r="J32" s="18" t="n">
        <v>27.09</v>
      </c>
      <c r="K32" s="37" t="n">
        <v>27.09</v>
      </c>
      <c r="L32" s="18" t="n">
        <v>27.34</v>
      </c>
      <c r="M32" s="18" t="n">
        <v>29.42</v>
      </c>
      <c r="N32" s="18" t="n">
        <v>23.24</v>
      </c>
      <c r="O32" s="18" t="n">
        <v>264.46</v>
      </c>
      <c r="P32" s="37" t="n">
        <v>264.46</v>
      </c>
      <c r="Q32" s="18" t="n">
        <v>162.32</v>
      </c>
      <c r="R32" s="18" t="n">
        <v>87.31</v>
      </c>
      <c r="S32" s="18" t="n">
        <v>358.4</v>
      </c>
      <c r="T32" s="18" t="n">
        <v>269.8</v>
      </c>
      <c r="U32" s="37" t="n">
        <v>269.8</v>
      </c>
      <c r="V32" s="18" t="n">
        <v>29.8</v>
      </c>
      <c r="W32" s="18" t="n">
        <v>29.8</v>
      </c>
      <c r="X32" s="18" t="n">
        <v>39.91</v>
      </c>
      <c r="Y32" s="18" t="n">
        <v>691.79</v>
      </c>
      <c r="Z32" s="37" t="n">
        <v>691.79</v>
      </c>
      <c r="AA32" s="18" t="n">
        <v>662.1799999999999</v>
      </c>
      <c r="AB32" s="19" t="n">
        <v>677.3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리스부채</t>
        </is>
      </c>
      <c r="E33" s="18" t="n">
        <v>0</v>
      </c>
      <c r="F33" s="37" t="n">
        <v>0</v>
      </c>
      <c r="G33" s="18" t="n">
        <v>0</v>
      </c>
      <c r="H33" s="18" t="n">
        <v>0</v>
      </c>
      <c r="I33" s="18" t="n">
        <v>0</v>
      </c>
      <c r="J33" s="18" t="n">
        <v>12951.62</v>
      </c>
      <c r="K33" s="37" t="n">
        <v>12951.62</v>
      </c>
      <c r="L33" s="18" t="n">
        <v>12945.21</v>
      </c>
      <c r="M33" s="18" t="n">
        <v>12936.92</v>
      </c>
      <c r="N33" s="18" t="n">
        <v>12930.74</v>
      </c>
      <c r="O33" s="18" t="n">
        <v>13171.96</v>
      </c>
      <c r="P33" s="37" t="n">
        <v>13171.96</v>
      </c>
      <c r="Q33" s="18" t="n">
        <v>6127.38</v>
      </c>
      <c r="R33" s="18" t="n">
        <v>6267.75</v>
      </c>
      <c r="S33" s="18" t="n">
        <v>6531.32</v>
      </c>
      <c r="T33" s="18" t="n">
        <v>6434.63</v>
      </c>
      <c r="U33" s="37" t="n">
        <v>6434.63</v>
      </c>
      <c r="V33" s="18" t="n">
        <v>6187.61</v>
      </c>
      <c r="W33" s="18" t="n">
        <v>6180.31</v>
      </c>
      <c r="X33" s="18" t="n">
        <v>6182.83</v>
      </c>
      <c r="Y33" s="18" t="n">
        <v>7785.57</v>
      </c>
      <c r="Z33" s="37" t="n">
        <v>7785.57</v>
      </c>
      <c r="AA33" s="18" t="n">
        <v>2964.76</v>
      </c>
      <c r="AB33" s="19" t="n">
        <v>2799.45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단기금융부채</t>
        </is>
      </c>
      <c r="E34" s="18" t="n">
        <v>3091.39</v>
      </c>
      <c r="F34" s="37" t="n">
        <v>3091.39</v>
      </c>
      <c r="G34" s="18" t="n">
        <v>3091.39</v>
      </c>
      <c r="H34" s="18" t="n">
        <v>1092.38</v>
      </c>
      <c r="I34" s="18" t="n">
        <v>1042.72</v>
      </c>
      <c r="J34" s="18" t="n">
        <v>511.36</v>
      </c>
      <c r="K34" s="37" t="n">
        <v>511.36</v>
      </c>
      <c r="L34" s="18" t="n">
        <v>331.74</v>
      </c>
      <c r="M34" s="18" t="n">
        <v>29.42</v>
      </c>
      <c r="N34" s="18" t="n">
        <v>23.24</v>
      </c>
      <c r="O34" s="18" t="n">
        <v>264.46</v>
      </c>
      <c r="P34" s="37" t="n">
        <v>264.46</v>
      </c>
      <c r="Q34" s="18" t="n">
        <v>162.32</v>
      </c>
      <c r="R34" s="18" t="n">
        <v>87.31</v>
      </c>
      <c r="S34" s="18" t="n">
        <v>358.4</v>
      </c>
      <c r="T34" s="18" t="n">
        <v>269.8</v>
      </c>
      <c r="U34" s="37" t="n">
        <v>269.8</v>
      </c>
      <c r="V34" s="18" t="n">
        <v>29.8</v>
      </c>
      <c r="W34" s="18" t="n">
        <v>29.8</v>
      </c>
      <c r="X34" s="18" t="n">
        <v>39.91</v>
      </c>
      <c r="Y34" s="18" t="n">
        <v>691.79</v>
      </c>
      <c r="Z34" s="37" t="n">
        <v>691.79</v>
      </c>
      <c r="AA34" s="18" t="n">
        <v>662.1799999999999</v>
      </c>
      <c r="AB34" s="19" t="n">
        <v>677.3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단기충당부채</t>
        </is>
      </c>
      <c r="E35" s="18" t="n">
        <v>1480.71</v>
      </c>
      <c r="F35" s="37" t="n">
        <v>1480.71</v>
      </c>
      <c r="G35" s="18" t="n">
        <v>1480.71</v>
      </c>
      <c r="H35" s="18" t="n">
        <v>2345</v>
      </c>
      <c r="I35" s="18" t="n">
        <v>2345</v>
      </c>
      <c r="J35" s="18" t="n">
        <v>2818.04</v>
      </c>
      <c r="K35" s="37" t="n">
        <v>2818.04</v>
      </c>
      <c r="L35" s="18" t="n">
        <v>2435.61</v>
      </c>
      <c r="M35" s="18" t="n">
        <v>2678.4</v>
      </c>
      <c r="N35" s="18" t="n">
        <v>2586.18</v>
      </c>
      <c r="O35" s="18" t="n">
        <v>1566.35</v>
      </c>
      <c r="P35" s="37" t="n">
        <v>1566.35</v>
      </c>
      <c r="Q35" s="18" t="n">
        <v>1305.06</v>
      </c>
      <c r="R35" s="18" t="n">
        <v>1349.31</v>
      </c>
      <c r="S35" s="18" t="n">
        <v>1389.2</v>
      </c>
      <c r="T35" s="18" t="n">
        <v>1769.37</v>
      </c>
      <c r="U35" s="37" t="n">
        <v>1769.37</v>
      </c>
      <c r="V35" s="18" t="n">
        <v>1336.98</v>
      </c>
      <c r="W35" s="18" t="n">
        <v>1334.68</v>
      </c>
      <c r="X35" s="18" t="n">
        <v>1338.94</v>
      </c>
      <c r="Y35" s="18" t="n">
        <v>1384.34</v>
      </c>
      <c r="Z35" s="37" t="n">
        <v>1384.34</v>
      </c>
      <c r="AA35" s="18" t="n">
        <v>1095.25</v>
      </c>
      <c r="AB35" s="19" t="n">
        <v>1121.27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단기파생상품부채</t>
        </is>
      </c>
      <c r="E36" s="18" t="n">
        <v>3091.39</v>
      </c>
      <c r="F36" s="37" t="n">
        <v>3091.39</v>
      </c>
      <c r="G36" s="18" t="n">
        <v>3091.39</v>
      </c>
      <c r="H36" s="18" t="n">
        <v>1092.38</v>
      </c>
      <c r="I36" s="18" t="n">
        <v>1042.72</v>
      </c>
      <c r="J36" s="18" t="n">
        <v>484.27</v>
      </c>
      <c r="K36" s="37" t="n">
        <v>484.27</v>
      </c>
      <c r="L36" s="18" t="n">
        <v>304.4</v>
      </c>
      <c r="M36" s="18" t="n">
        <v>0</v>
      </c>
      <c r="N36" s="18" t="n">
        <v>0</v>
      </c>
      <c r="O36" s="18" t="n">
        <v>0</v>
      </c>
      <c r="P36" s="37" t="n">
        <v>0</v>
      </c>
      <c r="Q36" s="18" t="n">
        <v>0</v>
      </c>
      <c r="R36" s="18" t="n">
        <v>0</v>
      </c>
      <c r="S36" s="18" t="n">
        <v>0</v>
      </c>
      <c r="T36" s="18" t="n">
        <v>0</v>
      </c>
      <c r="U36" s="37" t="n">
        <v>0</v>
      </c>
      <c r="V36" s="18" t="n">
        <v>0</v>
      </c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비유동부채</t>
        </is>
      </c>
      <c r="E37" s="18" t="n">
        <v>1334.65</v>
      </c>
      <c r="F37" s="37" t="n">
        <v>1334.65</v>
      </c>
      <c r="G37" s="18" t="n">
        <v>1368</v>
      </c>
      <c r="H37" s="18" t="n">
        <v>1254.14</v>
      </c>
      <c r="I37" s="18" t="n">
        <v>1255.21</v>
      </c>
      <c r="J37" s="18" t="n">
        <v>16577.52</v>
      </c>
      <c r="K37" s="37" t="n">
        <v>16577.52</v>
      </c>
      <c r="L37" s="18" t="n">
        <v>16573.9</v>
      </c>
      <c r="M37" s="18" t="n">
        <v>16308.52</v>
      </c>
      <c r="N37" s="18" t="n">
        <v>21398.21</v>
      </c>
      <c r="O37" s="18" t="n">
        <v>21073.49</v>
      </c>
      <c r="P37" s="37" t="n">
        <v>21073.49</v>
      </c>
      <c r="Q37" s="18" t="n">
        <v>14365.46</v>
      </c>
      <c r="R37" s="18" t="n">
        <v>13531.49</v>
      </c>
      <c r="S37" s="18" t="n">
        <v>13494.35</v>
      </c>
      <c r="T37" s="18" t="n">
        <v>6883.4</v>
      </c>
      <c r="U37" s="37" t="n">
        <v>6883.4</v>
      </c>
      <c r="V37" s="18" t="n">
        <v>6866.88</v>
      </c>
      <c r="W37" s="18" t="n">
        <v>6869.43</v>
      </c>
      <c r="X37" s="18" t="n">
        <v>8751.85</v>
      </c>
      <c r="Y37" s="18" t="n">
        <v>9041.120000000001</v>
      </c>
      <c r="Z37" s="37" t="n">
        <v>9041.120000000001</v>
      </c>
      <c r="AA37" s="18" t="n">
        <v>4249.93</v>
      </c>
      <c r="AB37" s="19" t="n">
        <v>4027.81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장기차입금</t>
        </is>
      </c>
      <c r="E38" s="18" t="n">
        <v>0</v>
      </c>
      <c r="F38" s="37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37" t="n">
        <v>0</v>
      </c>
      <c r="L38" s="18" t="n">
        <v>0</v>
      </c>
      <c r="M38" s="18" t="n">
        <v>0</v>
      </c>
      <c r="N38" s="18" t="n">
        <v>5000</v>
      </c>
      <c r="O38" s="18" t="n">
        <v>5000</v>
      </c>
      <c r="P38" s="37" t="n">
        <v>5000</v>
      </c>
      <c r="Q38" s="18" t="n">
        <v>5000</v>
      </c>
      <c r="R38" s="18" t="n">
        <v>5000</v>
      </c>
      <c r="S38" s="18" t="n">
        <v>5000</v>
      </c>
      <c r="T38" s="18" t="n">
        <v>0</v>
      </c>
      <c r="U38" s="37" t="n">
        <v>0</v>
      </c>
      <c r="V38" s="18" t="n">
        <v>0</v>
      </c>
      <c r="X38" s="18" t="n">
        <v>662</v>
      </c>
      <c r="Y38" s="18" t="n">
        <v>6</v>
      </c>
      <c r="Z38" s="37" t="n">
        <v>6</v>
      </c>
      <c r="AA38" s="18" t="n">
        <v>6</v>
      </c>
      <c r="AB38" s="19" t="n">
        <v>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비유동리스부채</t>
        </is>
      </c>
      <c r="E39" s="18" t="n">
        <v>0</v>
      </c>
      <c r="F39" s="37" t="n">
        <v>0</v>
      </c>
      <c r="G39" s="18" t="n">
        <v>0</v>
      </c>
      <c r="H39" s="18" t="n">
        <v>0</v>
      </c>
      <c r="I39" s="18" t="n">
        <v>0</v>
      </c>
      <c r="J39" s="18" t="n">
        <v>12924.53</v>
      </c>
      <c r="K39" s="37" t="n">
        <v>12924.53</v>
      </c>
      <c r="L39" s="18" t="n">
        <v>12917.87</v>
      </c>
      <c r="M39" s="18" t="n">
        <v>12907.5</v>
      </c>
      <c r="N39" s="18" t="n">
        <v>12907.5</v>
      </c>
      <c r="O39" s="18" t="n">
        <v>12907.5</v>
      </c>
      <c r="P39" s="37" t="n">
        <v>12907.5</v>
      </c>
      <c r="Q39" s="18" t="n">
        <v>5965.06</v>
      </c>
      <c r="R39" s="18" t="n">
        <v>6180.44</v>
      </c>
      <c r="S39" s="18" t="n">
        <v>6172.92</v>
      </c>
      <c r="T39" s="18" t="n">
        <v>6164.83</v>
      </c>
      <c r="U39" s="37" t="n">
        <v>6164.83</v>
      </c>
      <c r="V39" s="18" t="n">
        <v>6157.81</v>
      </c>
      <c r="W39" s="18" t="n">
        <v>6150.51</v>
      </c>
      <c r="X39" s="18" t="n">
        <v>6142.92</v>
      </c>
      <c r="Y39" s="18" t="n">
        <v>7093.78</v>
      </c>
      <c r="Z39" s="37" t="n">
        <v>7093.78</v>
      </c>
      <c r="AA39" s="18" t="n">
        <v>2302.58</v>
      </c>
      <c r="AB39" s="19" t="n">
        <v>2122.15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장기금융부채</t>
        </is>
      </c>
      <c r="E40" s="18" t="n">
        <v>0</v>
      </c>
      <c r="F40" s="37" t="n">
        <v>0</v>
      </c>
      <c r="G40" s="18" t="n">
        <v>0</v>
      </c>
      <c r="H40" s="18" t="n">
        <v>0</v>
      </c>
      <c r="I40" s="18" t="n">
        <v>0</v>
      </c>
      <c r="J40" s="18" t="n">
        <v>12924.53</v>
      </c>
      <c r="K40" s="37" t="n">
        <v>12924.53</v>
      </c>
      <c r="L40" s="18" t="n">
        <v>12917.87</v>
      </c>
      <c r="M40" s="18" t="n">
        <v>12907.5</v>
      </c>
      <c r="N40" s="18" t="n">
        <v>12907.5</v>
      </c>
      <c r="O40" s="18" t="n">
        <v>12907.5</v>
      </c>
      <c r="P40" s="37" t="n">
        <v>12907.5</v>
      </c>
      <c r="Q40" s="18" t="n">
        <v>5965.06</v>
      </c>
      <c r="R40" s="18" t="n">
        <v>6180.44</v>
      </c>
      <c r="S40" s="18" t="n">
        <v>6172.92</v>
      </c>
      <c r="T40" s="18" t="n">
        <v>6164.83</v>
      </c>
      <c r="U40" s="37" t="n">
        <v>6164.83</v>
      </c>
      <c r="V40" s="18" t="n">
        <v>6157.81</v>
      </c>
      <c r="W40" s="18" t="n">
        <v>6150.51</v>
      </c>
      <c r="X40" s="18" t="n">
        <v>6142.92</v>
      </c>
      <c r="Y40" s="18" t="n">
        <v>7093.78</v>
      </c>
      <c r="Z40" s="37" t="n">
        <v>7093.78</v>
      </c>
      <c r="AA40" s="18" t="n">
        <v>2302.58</v>
      </c>
      <c r="AB40" s="19" t="n">
        <v>2122.15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사채</t>
        </is>
      </c>
      <c r="E41" s="18" t="n">
        <v>0</v>
      </c>
      <c r="F41" s="37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37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37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37" t="n">
        <v>0</v>
      </c>
      <c r="V41" s="18" t="n">
        <v>0</v>
      </c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이연법인세부채</t>
        </is>
      </c>
      <c r="E42" s="18" t="n">
        <v>0</v>
      </c>
      <c r="F42" s="37" t="n">
        <v>0</v>
      </c>
      <c r="G42" s="18" t="n">
        <v>0</v>
      </c>
      <c r="H42" s="18" t="n">
        <v>0</v>
      </c>
      <c r="I42" s="18" t="n">
        <v>0</v>
      </c>
      <c r="J42" s="18" t="n">
        <v>2754.53</v>
      </c>
      <c r="K42" s="37" t="n">
        <v>2754.53</v>
      </c>
      <c r="L42" s="18" t="n">
        <v>2754.53</v>
      </c>
      <c r="M42" s="18" t="n">
        <v>2681.84</v>
      </c>
      <c r="N42" s="18" t="n">
        <v>2645.99</v>
      </c>
      <c r="O42" s="18" t="n">
        <v>2466.93</v>
      </c>
      <c r="P42" s="37" t="n">
        <v>2466.93</v>
      </c>
      <c r="Q42" s="18" t="n">
        <v>2446.34</v>
      </c>
      <c r="R42" s="18" t="n">
        <v>1693.34</v>
      </c>
      <c r="S42" s="18" t="n">
        <v>1672.75</v>
      </c>
      <c r="T42" s="18" t="n">
        <v>99.55</v>
      </c>
      <c r="U42" s="37" t="n">
        <v>99.55</v>
      </c>
      <c r="V42" s="18" t="n">
        <v>89.8</v>
      </c>
      <c r="W42" s="18" t="n">
        <v>99.55</v>
      </c>
      <c r="X42" s="18" t="n">
        <v>1265.64</v>
      </c>
      <c r="Y42" s="18" t="n">
        <v>1276.7</v>
      </c>
      <c r="Z42" s="37" t="n">
        <v>1276.7</v>
      </c>
      <c r="AA42" s="18" t="n">
        <v>1276.7</v>
      </c>
      <c r="AB42" s="19" t="n">
        <v>1276.7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28011.92</v>
      </c>
      <c r="F43" s="37" t="n">
        <v>28011.92</v>
      </c>
      <c r="G43" s="18" t="n">
        <v>28154.67</v>
      </c>
      <c r="H43" s="18" t="n">
        <v>27206.71</v>
      </c>
      <c r="I43" s="18" t="n">
        <v>26880.13</v>
      </c>
      <c r="J43" s="18" t="n">
        <v>57514.39</v>
      </c>
      <c r="K43" s="37" t="n">
        <v>57514.39</v>
      </c>
      <c r="L43" s="18" t="n">
        <v>53081.4</v>
      </c>
      <c r="M43" s="18" t="n">
        <v>45524.7</v>
      </c>
      <c r="N43" s="18" t="n">
        <v>46352.56</v>
      </c>
      <c r="O43" s="18" t="n">
        <v>62956.18</v>
      </c>
      <c r="P43" s="37" t="n">
        <v>62956.18</v>
      </c>
      <c r="Q43" s="18" t="n">
        <v>58018.67</v>
      </c>
      <c r="R43" s="18" t="n">
        <v>48674.63</v>
      </c>
      <c r="S43" s="18" t="n">
        <v>46288.92</v>
      </c>
      <c r="T43" s="18" t="n">
        <v>44087.12</v>
      </c>
      <c r="U43" s="37" t="n">
        <v>44087.12</v>
      </c>
      <c r="V43" s="18" t="n">
        <v>38848.74</v>
      </c>
      <c r="W43" s="18" t="n">
        <v>34554.91</v>
      </c>
      <c r="X43" s="18" t="n">
        <v>66414.42</v>
      </c>
      <c r="Y43" s="18" t="n">
        <v>64297.98</v>
      </c>
      <c r="Z43" s="37" t="n">
        <v>64297.98</v>
      </c>
      <c r="AA43" s="18" t="n">
        <v>59947.63</v>
      </c>
      <c r="AB43" s="19" t="n">
        <v>54712.32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102681</v>
      </c>
      <c r="F44" s="37" t="n">
        <v>102681</v>
      </c>
      <c r="G44" s="18" t="n">
        <v>102498.21</v>
      </c>
      <c r="H44" s="18" t="n">
        <v>103974.41</v>
      </c>
      <c r="I44" s="18" t="n">
        <v>107499.26</v>
      </c>
      <c r="J44" s="18" t="n">
        <v>114895.13</v>
      </c>
      <c r="K44" s="37" t="n">
        <v>114895.13</v>
      </c>
      <c r="L44" s="18" t="n">
        <v>116648.12</v>
      </c>
      <c r="M44" s="18" t="n">
        <v>117346.89</v>
      </c>
      <c r="N44" s="18" t="n">
        <v>121972.64</v>
      </c>
      <c r="O44" s="18" t="n">
        <v>173702.37</v>
      </c>
      <c r="P44" s="37" t="n">
        <v>173702.37</v>
      </c>
      <c r="Q44" s="18" t="n">
        <v>175765.51</v>
      </c>
      <c r="R44" s="18" t="n">
        <v>172266.95</v>
      </c>
      <c r="S44" s="18" t="n">
        <v>169912.93</v>
      </c>
      <c r="T44" s="18" t="n">
        <v>173414.28</v>
      </c>
      <c r="U44" s="37" t="n">
        <v>173414.28</v>
      </c>
      <c r="V44" s="18" t="n">
        <v>169978.44</v>
      </c>
      <c r="W44" s="18" t="n">
        <v>161111.1</v>
      </c>
      <c r="X44" s="18" t="n">
        <v>161101.48</v>
      </c>
      <c r="Y44" s="18" t="n">
        <v>162396.44</v>
      </c>
      <c r="Z44" s="37" t="n">
        <v>162396.44</v>
      </c>
      <c r="AA44" s="18" t="n">
        <v>161350.33</v>
      </c>
      <c r="AB44" s="19" t="n">
        <v>168560.1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123528.57</v>
      </c>
      <c r="F45" s="37" t="n">
        <v>123528.57</v>
      </c>
      <c r="G45" s="18" t="n">
        <v>123528.57</v>
      </c>
      <c r="H45" s="18" t="n">
        <v>123528.57</v>
      </c>
      <c r="I45" s="18" t="n">
        <v>123528.57</v>
      </c>
      <c r="J45" s="18" t="n">
        <v>123528.57</v>
      </c>
      <c r="K45" s="37" t="n">
        <v>123528.57</v>
      </c>
      <c r="L45" s="18" t="n">
        <v>123528.57</v>
      </c>
      <c r="M45" s="18" t="n">
        <v>123528.57</v>
      </c>
      <c r="N45" s="18" t="n">
        <v>123528.57</v>
      </c>
      <c r="O45" s="18" t="n">
        <v>123528.57</v>
      </c>
      <c r="P45" s="37" t="n">
        <v>123528.57</v>
      </c>
      <c r="Q45" s="18" t="n">
        <v>123528.57</v>
      </c>
      <c r="R45" s="18" t="n">
        <v>123528.57</v>
      </c>
      <c r="S45" s="18" t="n">
        <v>123528.57</v>
      </c>
      <c r="T45" s="18" t="n">
        <v>123528.57</v>
      </c>
      <c r="U45" s="37" t="n">
        <v>123528.57</v>
      </c>
      <c r="V45" s="18" t="n">
        <v>123528.57</v>
      </c>
      <c r="W45" s="18" t="n">
        <v>123528.57</v>
      </c>
      <c r="X45" s="18" t="n">
        <v>123528.57</v>
      </c>
      <c r="Y45" s="18" t="n">
        <v>123528.57</v>
      </c>
      <c r="Z45" s="37" t="n">
        <v>123528.57</v>
      </c>
      <c r="AA45" s="18" t="n">
        <v>123528.57</v>
      </c>
      <c r="AB45" s="19" t="n">
        <v>123528.56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이익잉여금</t>
        </is>
      </c>
      <c r="E46" s="18" t="n">
        <v>-37093.12</v>
      </c>
      <c r="F46" s="37" t="n">
        <v>-37093.12</v>
      </c>
      <c r="G46" s="18" t="n">
        <v>-38106.85</v>
      </c>
      <c r="H46" s="18" t="n">
        <v>-37103.7</v>
      </c>
      <c r="I46" s="18" t="n">
        <v>-34451.68</v>
      </c>
      <c r="J46" s="18" t="n">
        <v>-29935.3</v>
      </c>
      <c r="K46" s="37" t="n">
        <v>-29935.3</v>
      </c>
      <c r="L46" s="18" t="n">
        <v>-28386.09</v>
      </c>
      <c r="M46" s="18" t="n">
        <v>-33038.79</v>
      </c>
      <c r="N46" s="18" t="n">
        <v>-27852.41</v>
      </c>
      <c r="O46" s="18" t="n">
        <v>23982.93</v>
      </c>
      <c r="P46" s="37" t="n">
        <v>23982.93</v>
      </c>
      <c r="Q46" s="18" t="n">
        <v>25853.12</v>
      </c>
      <c r="R46" s="18" t="n">
        <v>22151.05</v>
      </c>
      <c r="S46" s="18" t="n">
        <v>20129.91</v>
      </c>
      <c r="T46" s="18" t="n">
        <v>23108.3</v>
      </c>
      <c r="U46" s="37" t="n">
        <v>23108.3</v>
      </c>
      <c r="V46" s="18" t="n">
        <v>15889.2</v>
      </c>
      <c r="W46" s="18" t="n">
        <v>13232.67</v>
      </c>
      <c r="X46" s="18" t="n">
        <v>10454.11</v>
      </c>
      <c r="Y46" s="18" t="n">
        <v>11608.47</v>
      </c>
      <c r="Z46" s="37" t="n">
        <v>11608.47</v>
      </c>
      <c r="AA46" s="18" t="n">
        <v>13712.12</v>
      </c>
      <c r="AB46" s="19" t="n">
        <v>12956.67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16245.56</v>
      </c>
      <c r="F47" s="37" t="n">
        <v>16245.56</v>
      </c>
      <c r="G47" s="18" t="n">
        <v>17076.5</v>
      </c>
      <c r="H47" s="18" t="n">
        <v>17549.54</v>
      </c>
      <c r="I47" s="18" t="n">
        <v>18422.38</v>
      </c>
      <c r="J47" s="18" t="n">
        <v>21301.86</v>
      </c>
      <c r="K47" s="37" t="n">
        <v>21301.86</v>
      </c>
      <c r="L47" s="18" t="n">
        <v>21505.65</v>
      </c>
      <c r="M47" s="18" t="n">
        <v>26857.11</v>
      </c>
      <c r="N47" s="18" t="n">
        <v>26296.49</v>
      </c>
      <c r="O47" s="18" t="n">
        <v>26190.87</v>
      </c>
      <c r="P47" s="37" t="n">
        <v>26190.87</v>
      </c>
      <c r="Q47" s="18" t="n">
        <v>26383.83</v>
      </c>
      <c r="R47" s="18" t="n">
        <v>26587.34</v>
      </c>
      <c r="S47" s="18" t="n">
        <v>26254.45</v>
      </c>
      <c r="T47" s="18" t="n">
        <v>26777.41</v>
      </c>
      <c r="U47" s="37" t="n">
        <v>26777.41</v>
      </c>
      <c r="V47" s="18" t="n">
        <v>30560.67</v>
      </c>
      <c r="W47" s="18" t="n">
        <v>24349.87</v>
      </c>
      <c r="X47" s="18" t="n">
        <v>27118.8</v>
      </c>
      <c r="Y47" s="18" t="n">
        <v>27259.41</v>
      </c>
      <c r="Z47" s="37" t="n">
        <v>27259.41</v>
      </c>
      <c r="AA47" s="18" t="n">
        <v>24109.64</v>
      </c>
      <c r="AB47" s="19" t="n">
        <v>32074.87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비지배주주지분</t>
        </is>
      </c>
      <c r="E48" s="18" t="n">
        <v>33.6</v>
      </c>
      <c r="F48" s="37" t="n">
        <v>33.6</v>
      </c>
      <c r="G48" s="18" t="n">
        <v>34.3</v>
      </c>
      <c r="H48" s="18" t="n">
        <v>36.62</v>
      </c>
      <c r="I48" s="18" t="n">
        <v>40.64</v>
      </c>
      <c r="J48" s="18" t="n">
        <v>13336.42</v>
      </c>
      <c r="K48" s="37" t="n">
        <v>13336.42</v>
      </c>
      <c r="L48" s="18" t="n">
        <v>13972.88</v>
      </c>
      <c r="M48" s="18" t="n">
        <v>14032.18</v>
      </c>
      <c r="N48" s="18" t="n">
        <v>11617.76</v>
      </c>
      <c r="O48" s="18" t="n">
        <v>11007.54</v>
      </c>
      <c r="P48" s="37" t="n">
        <v>11007.54</v>
      </c>
      <c r="Q48" s="18" t="n">
        <v>11318.43</v>
      </c>
      <c r="R48" s="18" t="n">
        <v>10894.39</v>
      </c>
      <c r="S48" s="18" t="n">
        <v>10209.15</v>
      </c>
      <c r="T48" s="18" t="n">
        <v>9642.299999999999</v>
      </c>
      <c r="U48" s="37" t="n">
        <v>9642.299999999999</v>
      </c>
      <c r="V48" s="18" t="n">
        <v>9141.65</v>
      </c>
      <c r="W48" s="18" t="n">
        <v>10118.03</v>
      </c>
      <c r="X48" s="18" t="n">
        <v>3805.5</v>
      </c>
      <c r="Y48" s="18" t="n">
        <v>3852.81</v>
      </c>
      <c r="Z48" s="37" t="n">
        <v>3852.81</v>
      </c>
      <c r="AA48" s="18" t="n">
        <v>7494.88</v>
      </c>
      <c r="AB48" s="19" t="n">
        <v>3933.55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자본총계</t>
        </is>
      </c>
      <c r="E49" s="18" t="n">
        <v>102714.61</v>
      </c>
      <c r="F49" s="37" t="n">
        <v>102714.61</v>
      </c>
      <c r="G49" s="18" t="n">
        <v>102532.51</v>
      </c>
      <c r="H49" s="18" t="n">
        <v>104011.03</v>
      </c>
      <c r="I49" s="18" t="n">
        <v>107539.91</v>
      </c>
      <c r="J49" s="18" t="n">
        <v>128231.54</v>
      </c>
      <c r="K49" s="37" t="n">
        <v>128231.54</v>
      </c>
      <c r="L49" s="18" t="n">
        <v>130621.01</v>
      </c>
      <c r="M49" s="18" t="n">
        <v>131379.07</v>
      </c>
      <c r="N49" s="18" t="n">
        <v>133590.4</v>
      </c>
      <c r="O49" s="18" t="n">
        <v>184709.91</v>
      </c>
      <c r="P49" s="37" t="n">
        <v>184709.91</v>
      </c>
      <c r="Q49" s="18" t="n">
        <v>187083.94</v>
      </c>
      <c r="R49" s="18" t="n">
        <v>183161.34</v>
      </c>
      <c r="S49" s="18" t="n">
        <v>180122.08</v>
      </c>
      <c r="T49" s="18" t="n">
        <v>183056.58</v>
      </c>
      <c r="U49" s="37" t="n">
        <v>183056.58</v>
      </c>
      <c r="V49" s="18" t="n">
        <v>179120.09</v>
      </c>
      <c r="W49" s="18" t="n">
        <v>171229.13</v>
      </c>
      <c r="X49" s="18" t="n">
        <v>164906.98</v>
      </c>
      <c r="Y49" s="18" t="n">
        <v>166249.25</v>
      </c>
      <c r="Z49" s="37" t="n">
        <v>166249.25</v>
      </c>
      <c r="AA49" s="18" t="n">
        <v>168845.21</v>
      </c>
      <c r="AB49" s="19" t="n">
        <v>172493.65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부채와자본총계</t>
        </is>
      </c>
      <c r="E50" s="18" t="n">
        <v>130726.53</v>
      </c>
      <c r="F50" s="37" t="n">
        <v>130726.53</v>
      </c>
      <c r="G50" s="18" t="n">
        <v>130687.18</v>
      </c>
      <c r="H50" s="18" t="n">
        <v>131217.75</v>
      </c>
      <c r="I50" s="18" t="n">
        <v>134420.03</v>
      </c>
      <c r="J50" s="18" t="n">
        <v>185745.93</v>
      </c>
      <c r="K50" s="37" t="n">
        <v>185745.93</v>
      </c>
      <c r="L50" s="18" t="n">
        <v>183702.4</v>
      </c>
      <c r="M50" s="18" t="n">
        <v>176903.77</v>
      </c>
      <c r="N50" s="18" t="n">
        <v>179942.96</v>
      </c>
      <c r="O50" s="18" t="n">
        <v>247666.09</v>
      </c>
      <c r="P50" s="37" t="n">
        <v>247666.09</v>
      </c>
      <c r="Q50" s="18" t="n">
        <v>245102.6</v>
      </c>
      <c r="R50" s="18" t="n">
        <v>231835.97</v>
      </c>
      <c r="S50" s="18" t="n">
        <v>226411</v>
      </c>
      <c r="T50" s="18" t="n">
        <v>227143.69</v>
      </c>
      <c r="U50" s="37" t="n">
        <v>227143.69</v>
      </c>
      <c r="V50" s="18" t="n">
        <v>217968.84</v>
      </c>
      <c r="W50" s="18" t="n">
        <v>205784.04</v>
      </c>
      <c r="X50" s="18" t="n">
        <v>231321.4</v>
      </c>
      <c r="Y50" s="18" t="n">
        <v>230547.23</v>
      </c>
      <c r="Z50" s="37" t="n">
        <v>230547.23</v>
      </c>
      <c r="AA50" s="18" t="n">
        <v>228792.84</v>
      </c>
      <c r="AB50" s="19" t="n">
        <v>227205.97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10066.44</v>
      </c>
      <c r="F51" s="37" t="n">
        <v>10066.44</v>
      </c>
      <c r="G51" s="18" t="n">
        <v>10385.18</v>
      </c>
      <c r="H51" s="18" t="n">
        <v>10721.69</v>
      </c>
      <c r="I51" s="18" t="n">
        <v>10563.45</v>
      </c>
      <c r="J51" s="18" t="n">
        <v>19152.14</v>
      </c>
      <c r="K51" s="37" t="n">
        <v>19152.14</v>
      </c>
      <c r="L51" s="18" t="n">
        <v>14344.39</v>
      </c>
      <c r="M51" s="18" t="n">
        <v>7498.54</v>
      </c>
      <c r="N51" s="18" t="n">
        <v>7265.85</v>
      </c>
      <c r="O51" s="18" t="n">
        <v>7525.93</v>
      </c>
      <c r="P51" s="37" t="n">
        <v>7525.93</v>
      </c>
      <c r="Q51" s="18" t="n">
        <v>7634.55</v>
      </c>
      <c r="R51" s="18" t="n">
        <v>8255.08</v>
      </c>
      <c r="S51" s="18" t="n">
        <v>8034.91</v>
      </c>
      <c r="T51" s="18" t="n">
        <v>5005.95</v>
      </c>
      <c r="U51" s="37" t="n">
        <v>5005.95</v>
      </c>
      <c r="V51" s="18" t="n">
        <v>3893.72</v>
      </c>
      <c r="W51" s="18" t="n">
        <v>122.04</v>
      </c>
      <c r="X51" s="18" t="n">
        <v>16492.63</v>
      </c>
      <c r="Y51" s="18" t="n">
        <v>15731.5</v>
      </c>
      <c r="Z51" s="37" t="n">
        <v>15731.5</v>
      </c>
      <c r="AA51" s="18" t="n">
        <v>15446</v>
      </c>
      <c r="AB51" s="19" t="n">
        <v>17160.13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-41411.25</v>
      </c>
      <c r="F52" s="37" t="n">
        <v>-41411.25</v>
      </c>
      <c r="G52" s="18" t="n">
        <v>-20421.06</v>
      </c>
      <c r="H52" s="18" t="n">
        <v>-19300.56</v>
      </c>
      <c r="I52" s="18" t="n">
        <v>-11147.21</v>
      </c>
      <c r="J52" s="18" t="n">
        <v>-10549.01</v>
      </c>
      <c r="K52" s="37" t="n">
        <v>-10549.01</v>
      </c>
      <c r="L52" s="18" t="n">
        <v>-14451.57</v>
      </c>
      <c r="M52" s="18" t="n">
        <v>-19560.11</v>
      </c>
      <c r="N52" s="18" t="n">
        <v>-20082.25</v>
      </c>
      <c r="O52" s="18" t="n">
        <v>-17242.67</v>
      </c>
      <c r="P52" s="37" t="n">
        <v>-17242.67</v>
      </c>
      <c r="Q52" s="18" t="n">
        <v>-17136.77</v>
      </c>
      <c r="R52" s="18" t="n">
        <v>-13810.78</v>
      </c>
      <c r="S52" s="18" t="n">
        <v>-16216.03</v>
      </c>
      <c r="T52" s="18" t="n">
        <v>-23759.07</v>
      </c>
      <c r="U52" s="37" t="n">
        <v>-23759.07</v>
      </c>
      <c r="V52" s="18" t="n">
        <v>-28347.61</v>
      </c>
      <c r="W52" s="18" t="n">
        <v>-29329.5</v>
      </c>
      <c r="X52" s="18" t="n">
        <v>-33876.98</v>
      </c>
      <c r="Y52" s="18" t="n">
        <v>-32637.47</v>
      </c>
      <c r="Z52" s="37" t="n">
        <v>-32637.47</v>
      </c>
      <c r="AA52" s="18" t="n">
        <v>-39141.23</v>
      </c>
      <c r="AB52" s="19" t="n">
        <v>-59804.46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63697.88</v>
      </c>
      <c r="F53" s="37" t="n">
        <v>63697.88</v>
      </c>
      <c r="G53" s="18" t="n">
        <v>46038.03</v>
      </c>
      <c r="H53" s="18" t="n">
        <v>44503.67</v>
      </c>
      <c r="I53" s="18" t="n">
        <v>36192.08</v>
      </c>
      <c r="J53" s="18" t="n">
        <v>31945.99</v>
      </c>
      <c r="K53" s="37" t="n">
        <v>31945.99</v>
      </c>
      <c r="L53" s="18" t="n">
        <v>30040.8</v>
      </c>
      <c r="M53" s="18" t="n">
        <v>27704.49</v>
      </c>
      <c r="N53" s="18" t="n">
        <v>27993.94</v>
      </c>
      <c r="O53" s="18" t="n">
        <v>25413.53</v>
      </c>
      <c r="P53" s="37" t="n">
        <v>25413.53</v>
      </c>
      <c r="Q53" s="18" t="n">
        <v>25416.25</v>
      </c>
      <c r="R53" s="18" t="n">
        <v>22710.79</v>
      </c>
      <c r="S53" s="18" t="n">
        <v>24926.6</v>
      </c>
      <c r="T53" s="18" t="n">
        <v>29409.95</v>
      </c>
      <c r="U53" s="37" t="n">
        <v>29409.95</v>
      </c>
      <c r="V53" s="18" t="n">
        <v>32886.26</v>
      </c>
      <c r="W53" s="18" t="n">
        <v>30096.47</v>
      </c>
      <c r="X53" s="18" t="n">
        <v>51099.04</v>
      </c>
      <c r="Y53" s="18" t="n">
        <v>48844.44</v>
      </c>
      <c r="Z53" s="37" t="n">
        <v>48844.44</v>
      </c>
      <c r="AA53" s="18" t="n">
        <v>55062.7</v>
      </c>
      <c r="AB53" s="19" t="n">
        <v>77440.56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기타비유동부채</t>
        </is>
      </c>
      <c r="F54" s="9" t="n"/>
      <c r="K54" s="9" t="n"/>
      <c r="O54" s="18" t="n">
        <v>0</v>
      </c>
      <c r="P54" s="37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37" t="n">
        <v>0</v>
      </c>
      <c r="V54" s="18" t="n">
        <v>0</v>
      </c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계약자산</t>
        </is>
      </c>
      <c r="F55" s="9" t="n"/>
      <c r="K55" s="9" t="n"/>
      <c r="P55" s="9" t="n"/>
      <c r="T55" s="18" t="n">
        <v>1857.79</v>
      </c>
      <c r="U55" s="37" t="n">
        <v>1857.79</v>
      </c>
      <c r="V55" s="18" t="n">
        <v>1913.75</v>
      </c>
      <c r="W55" s="18" t="n">
        <v>1133.26</v>
      </c>
      <c r="X55" s="18" t="n">
        <v>1536.88</v>
      </c>
      <c r="Y55" s="18" t="n">
        <v>3140.8</v>
      </c>
      <c r="Z55" s="37" t="n">
        <v>3140.8</v>
      </c>
      <c r="AA55" s="18" t="n">
        <v>4335.54</v>
      </c>
      <c r="AB55" s="19" t="n">
        <v>4743.01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계약부채</t>
        </is>
      </c>
      <c r="F56" s="9" t="n"/>
      <c r="K56" s="9" t="n"/>
      <c r="P56" s="9" t="n"/>
      <c r="T56" s="18" t="n">
        <v>2639.77</v>
      </c>
      <c r="U56" s="37" t="n">
        <v>2639.77</v>
      </c>
      <c r="V56" s="18" t="n">
        <v>1069.23</v>
      </c>
      <c r="W56" s="18" t="n">
        <v>519.91</v>
      </c>
      <c r="X56" s="18" t="n">
        <v>2981.73</v>
      </c>
      <c r="Y56" s="18" t="n">
        <v>4793.79</v>
      </c>
      <c r="Z56" s="37" t="n">
        <v>4793.79</v>
      </c>
      <c r="AA56" s="18" t="n">
        <v>5464.72</v>
      </c>
      <c r="AB56" s="19" t="n">
        <v>886.46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장기금융부채(face)</t>
        </is>
      </c>
      <c r="F57" s="9" t="n"/>
      <c r="K57" s="9" t="n"/>
      <c r="P57" s="9" t="n"/>
      <c r="T57" s="18" t="n">
        <v>0</v>
      </c>
      <c r="U57" s="37" t="n">
        <v>0</v>
      </c>
      <c r="V57" s="18" t="n">
        <v>0</v>
      </c>
      <c r="Z57" s="9" t="n"/>
      <c r="AB57" s="19" t="n">
        <v>0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단기금융부채(face)</t>
        </is>
      </c>
      <c r="F58" s="9" t="n"/>
      <c r="K58" s="9" t="n"/>
      <c r="P58" s="9" t="n"/>
      <c r="U58" s="9" t="n"/>
      <c r="Z58" s="9" t="n"/>
      <c r="AA58" s="18" t="n">
        <v>15440</v>
      </c>
      <c r="AB58" s="19" t="n">
        <v>17160.13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매출액(수익)</t>
        </is>
      </c>
      <c r="E59" s="18" t="n">
        <v>19224.71</v>
      </c>
      <c r="F59" s="9" t="n"/>
      <c r="G59" s="18" t="n">
        <v>15491.23</v>
      </c>
      <c r="H59" s="18" t="n">
        <v>17163.19</v>
      </c>
      <c r="I59" s="18" t="n">
        <v>18451.56</v>
      </c>
      <c r="J59" s="18" t="n">
        <v>25581.91</v>
      </c>
      <c r="K59" s="37" t="n">
        <v>76687.89</v>
      </c>
      <c r="L59" s="18" t="n">
        <v>26304.85</v>
      </c>
      <c r="M59" s="18" t="n">
        <v>24975.49</v>
      </c>
      <c r="N59" s="18" t="n">
        <v>17348.67</v>
      </c>
      <c r="O59" s="18" t="n">
        <v>22906.23</v>
      </c>
      <c r="P59" s="37" t="n">
        <v>91535.24000000001</v>
      </c>
      <c r="Q59" s="18" t="n">
        <v>25528.82</v>
      </c>
      <c r="R59" s="18" t="n">
        <v>25567.91</v>
      </c>
      <c r="S59" s="18" t="n">
        <v>23853.75</v>
      </c>
      <c r="T59" s="18" t="n">
        <v>35986.08</v>
      </c>
      <c r="U59" s="37" t="n">
        <v>110936.56</v>
      </c>
      <c r="V59" s="18" t="n">
        <v>23944.61</v>
      </c>
      <c r="W59" s="18" t="n">
        <v>28559.28</v>
      </c>
      <c r="X59" s="18" t="n">
        <v>28555.64</v>
      </c>
      <c r="Y59" s="18" t="n">
        <v>49042.73</v>
      </c>
      <c r="Z59" s="37" t="n">
        <v>130102.26</v>
      </c>
      <c r="AA59" s="18" t="n">
        <v>31914.33</v>
      </c>
      <c r="AB59" s="19" t="n">
        <v>36792.11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매출원가</t>
        </is>
      </c>
      <c r="E60" s="18" t="n">
        <v>15254.53</v>
      </c>
      <c r="F60" s="9" t="n"/>
      <c r="G60" s="18" t="n">
        <v>15211.06</v>
      </c>
      <c r="H60" s="18" t="n">
        <v>16437.47</v>
      </c>
      <c r="I60" s="18" t="n">
        <v>16038.69</v>
      </c>
      <c r="J60" s="18" t="n">
        <v>20418.31</v>
      </c>
      <c r="K60" s="37" t="n">
        <v>68105.53</v>
      </c>
      <c r="L60" s="18" t="n">
        <v>21032.47</v>
      </c>
      <c r="M60" s="18" t="n">
        <v>19934.73</v>
      </c>
      <c r="N60" s="18" t="n">
        <v>15672.11</v>
      </c>
      <c r="O60" s="18" t="n">
        <v>21567.92</v>
      </c>
      <c r="P60" s="37" t="n">
        <v>78207.23</v>
      </c>
      <c r="Q60" s="18" t="n">
        <v>21796.99</v>
      </c>
      <c r="R60" s="18" t="n">
        <v>24017.89</v>
      </c>
      <c r="S60" s="18" t="n">
        <v>21720.64</v>
      </c>
      <c r="T60" s="18" t="n">
        <v>32519.44</v>
      </c>
      <c r="U60" s="37" t="n">
        <v>100054.96</v>
      </c>
      <c r="V60" s="18" t="n">
        <v>21630.58</v>
      </c>
      <c r="W60" s="18" t="n">
        <v>24662.64</v>
      </c>
      <c r="X60" s="18" t="n">
        <v>28374.83</v>
      </c>
      <c r="Y60" s="18" t="n">
        <v>38518.99</v>
      </c>
      <c r="Z60" s="37" t="n">
        <v>113187.04</v>
      </c>
      <c r="AA60" s="18" t="n">
        <v>26192.33</v>
      </c>
      <c r="AB60" s="19" t="n">
        <v>27713.55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매출총이익</t>
        </is>
      </c>
      <c r="E61" s="18" t="n">
        <v>3970.18</v>
      </c>
      <c r="F61" s="9" t="n"/>
      <c r="G61" s="18" t="n">
        <v>280.17</v>
      </c>
      <c r="H61" s="18" t="n">
        <v>725.72</v>
      </c>
      <c r="I61" s="18" t="n">
        <v>2412.87</v>
      </c>
      <c r="J61" s="18" t="n">
        <v>5163.6</v>
      </c>
      <c r="K61" s="37" t="n">
        <v>8582.360000000001</v>
      </c>
      <c r="L61" s="18" t="n">
        <v>5272.38</v>
      </c>
      <c r="M61" s="18" t="n">
        <v>5040.76</v>
      </c>
      <c r="N61" s="18" t="n">
        <v>1676.56</v>
      </c>
      <c r="O61" s="18" t="n">
        <v>1338.32</v>
      </c>
      <c r="P61" s="37" t="n">
        <v>13328.02</v>
      </c>
      <c r="Q61" s="18" t="n">
        <v>3731.83</v>
      </c>
      <c r="R61" s="18" t="n">
        <v>1550.02</v>
      </c>
      <c r="S61" s="18" t="n">
        <v>2133.12</v>
      </c>
      <c r="T61" s="18" t="n">
        <v>3466.64</v>
      </c>
      <c r="U61" s="37" t="n">
        <v>10881.61</v>
      </c>
      <c r="V61" s="18" t="n">
        <v>2314.04</v>
      </c>
      <c r="W61" s="18" t="n">
        <v>3896.64</v>
      </c>
      <c r="X61" s="18" t="n">
        <v>180.81</v>
      </c>
      <c r="Y61" s="18" t="n">
        <v>10523.74</v>
      </c>
      <c r="Z61" s="37" t="n">
        <v>16915.23</v>
      </c>
      <c r="AA61" s="18" t="n">
        <v>5722</v>
      </c>
      <c r="AB61" s="19" t="n">
        <v>9078.549999999999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판관비</t>
        </is>
      </c>
      <c r="E62" s="18" t="n">
        <v>1595</v>
      </c>
      <c r="F62" s="9" t="n"/>
      <c r="G62" s="18" t="n">
        <v>2002.01</v>
      </c>
      <c r="H62" s="18" t="n">
        <v>2279.99</v>
      </c>
      <c r="I62" s="18" t="n">
        <v>2243.35</v>
      </c>
      <c r="J62" s="18" t="n">
        <v>1186.66</v>
      </c>
      <c r="K62" s="37" t="n">
        <v>7712.01</v>
      </c>
      <c r="L62" s="18" t="n">
        <v>3200.66</v>
      </c>
      <c r="M62" s="18" t="n">
        <v>3244.46</v>
      </c>
      <c r="N62" s="18" t="n">
        <v>3693.7</v>
      </c>
      <c r="O62" s="18" t="n">
        <v>4293.31</v>
      </c>
      <c r="P62" s="37" t="n">
        <v>14432.13</v>
      </c>
      <c r="Q62" s="18" t="n">
        <v>3747.57</v>
      </c>
      <c r="R62" s="18" t="n">
        <v>3580.73</v>
      </c>
      <c r="S62" s="18" t="n">
        <v>3470.77</v>
      </c>
      <c r="T62" s="18" t="n">
        <v>4907.4</v>
      </c>
      <c r="U62" s="37" t="n">
        <v>15706.47</v>
      </c>
      <c r="V62" s="18" t="n">
        <v>3276.31</v>
      </c>
      <c r="W62" s="18" t="n">
        <v>3556.4</v>
      </c>
      <c r="X62" s="18" t="n">
        <v>5203.2</v>
      </c>
      <c r="Y62" s="18" t="n">
        <v>5527.11</v>
      </c>
      <c r="Z62" s="37" t="n">
        <v>17563.02</v>
      </c>
      <c r="AA62" s="18" t="n">
        <v>5187.96</v>
      </c>
      <c r="AB62" s="19" t="n">
        <v>5934.33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영업이익</t>
        </is>
      </c>
      <c r="E63" s="18" t="n">
        <v>2375.18</v>
      </c>
      <c r="F63" s="9" t="n"/>
      <c r="G63" s="18" t="n">
        <v>-1721.84</v>
      </c>
      <c r="H63" s="18" t="n">
        <v>-1554.27</v>
      </c>
      <c r="I63" s="18" t="n">
        <v>169.52</v>
      </c>
      <c r="J63" s="18" t="n">
        <v>3976.93</v>
      </c>
      <c r="K63" s="37" t="n">
        <v>870.34</v>
      </c>
      <c r="L63" s="18" t="n">
        <v>2071.72</v>
      </c>
      <c r="M63" s="18" t="n">
        <v>1796.3</v>
      </c>
      <c r="N63" s="18" t="n">
        <v>-2017.14</v>
      </c>
      <c r="O63" s="18" t="n">
        <v>-2954.98</v>
      </c>
      <c r="P63" s="37" t="n">
        <v>-1104.1</v>
      </c>
      <c r="Q63" s="18" t="n">
        <v>-15.74</v>
      </c>
      <c r="R63" s="18" t="n">
        <v>-2030.7</v>
      </c>
      <c r="S63" s="18" t="n">
        <v>-1337.65</v>
      </c>
      <c r="T63" s="18" t="n">
        <v>-1440.77</v>
      </c>
      <c r="U63" s="37" t="n">
        <v>-4824.86</v>
      </c>
      <c r="V63" s="18" t="n">
        <v>-962.28</v>
      </c>
      <c r="W63" s="18" t="n">
        <v>340.24</v>
      </c>
      <c r="X63" s="18" t="n">
        <v>-5022.39</v>
      </c>
      <c r="Y63" s="18" t="n">
        <v>4996.63</v>
      </c>
      <c r="Z63" s="37" t="n">
        <v>-647.8</v>
      </c>
      <c r="AA63" s="18" t="n">
        <v>534.04</v>
      </c>
      <c r="AB63" s="19" t="n">
        <v>3144.23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기타영업외수익</t>
        </is>
      </c>
      <c r="E64" s="18" t="n">
        <v>5045.86</v>
      </c>
      <c r="F64" s="9" t="n"/>
      <c r="G64" s="18" t="n">
        <v>385.92</v>
      </c>
      <c r="H64" s="18" t="n">
        <v>837.95</v>
      </c>
      <c r="I64" s="18" t="n">
        <v>1915.2</v>
      </c>
      <c r="J64" s="18" t="n">
        <v>7434.34</v>
      </c>
      <c r="K64" s="37" t="n">
        <v>10573.41</v>
      </c>
      <c r="L64" s="18" t="n">
        <v>568.29</v>
      </c>
      <c r="M64" s="18" t="n">
        <v>237.87</v>
      </c>
      <c r="N64" s="18" t="n">
        <v>579.79</v>
      </c>
      <c r="O64" s="18" t="n">
        <v>61744.35</v>
      </c>
      <c r="P64" s="37" t="n">
        <v>63130.3</v>
      </c>
      <c r="Q64" s="18" t="n">
        <v>950.39</v>
      </c>
      <c r="R64" s="18" t="n">
        <v>646.54</v>
      </c>
      <c r="S64" s="18" t="n">
        <v>-336.67</v>
      </c>
      <c r="T64" s="18" t="n">
        <v>1648.74</v>
      </c>
      <c r="U64" s="37" t="n">
        <v>2909</v>
      </c>
      <c r="V64" s="18" t="n">
        <v>969.5599999999999</v>
      </c>
      <c r="W64" s="18" t="n">
        <v>94.39</v>
      </c>
      <c r="X64" s="18" t="n">
        <v>1775.5</v>
      </c>
      <c r="Y64" s="18" t="n">
        <v>-311.2</v>
      </c>
      <c r="Z64" s="37" t="n">
        <v>2528.25</v>
      </c>
      <c r="AA64" s="18" t="n">
        <v>1390.92</v>
      </c>
      <c r="AB64" s="19" t="n">
        <v>1018.51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기타영업외비용</t>
        </is>
      </c>
      <c r="E65" s="18" t="n">
        <v>172.55</v>
      </c>
      <c r="F65" s="9" t="n"/>
      <c r="G65" s="18" t="n">
        <v>157.34</v>
      </c>
      <c r="H65" s="18" t="n">
        <v>1293.49</v>
      </c>
      <c r="I65" s="18" t="n">
        <v>541.1799999999999</v>
      </c>
      <c r="J65" s="18" t="n">
        <v>4508.34</v>
      </c>
      <c r="K65" s="37" t="n">
        <v>6500.35</v>
      </c>
      <c r="L65" s="18" t="n">
        <v>504.71</v>
      </c>
      <c r="M65" s="18" t="n">
        <v>867.09</v>
      </c>
      <c r="N65" s="18" t="n">
        <v>-240.93</v>
      </c>
      <c r="O65" s="18" t="n">
        <v>2079.85</v>
      </c>
      <c r="P65" s="37" t="n">
        <v>3210.72</v>
      </c>
      <c r="Q65" s="18" t="n">
        <v>212.4</v>
      </c>
      <c r="R65" s="18" t="n">
        <v>3640.46</v>
      </c>
      <c r="S65" s="18" t="n">
        <v>1317.38</v>
      </c>
      <c r="T65" s="18" t="n">
        <v>334.03</v>
      </c>
      <c r="U65" s="37" t="n">
        <v>5504.27</v>
      </c>
      <c r="V65" s="18" t="n">
        <v>924.73</v>
      </c>
      <c r="W65" s="18" t="n">
        <v>876.66</v>
      </c>
      <c r="X65" s="18" t="n">
        <v>540.1799999999999</v>
      </c>
      <c r="Y65" s="18" t="n">
        <v>3166.07</v>
      </c>
      <c r="Z65" s="37" t="n">
        <v>5507.64</v>
      </c>
      <c r="AA65" s="18" t="n">
        <v>362.32</v>
      </c>
      <c r="AB65" s="19" t="n">
        <v>326.36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금융수익</t>
        </is>
      </c>
      <c r="E66" s="18" t="n">
        <v>-1083.74</v>
      </c>
      <c r="F66" s="9" t="n"/>
      <c r="G66" s="18" t="n">
        <v>401.4</v>
      </c>
      <c r="H66" s="18" t="n">
        <v>2572.2</v>
      </c>
      <c r="I66" s="18" t="n">
        <v>663.65</v>
      </c>
      <c r="J66" s="18" t="n">
        <v>1044.22</v>
      </c>
      <c r="K66" s="37" t="n">
        <v>4681.47</v>
      </c>
      <c r="L66" s="18" t="n">
        <v>1035.17</v>
      </c>
      <c r="M66" s="18" t="n">
        <v>912.55</v>
      </c>
      <c r="N66" s="18" t="n">
        <v>439.35</v>
      </c>
      <c r="O66" s="18" t="n">
        <v>271.8</v>
      </c>
      <c r="P66" s="37" t="n">
        <v>2658.87</v>
      </c>
      <c r="Q66" s="18" t="n">
        <v>1850.23</v>
      </c>
      <c r="R66" s="18" t="n">
        <v>965.89</v>
      </c>
      <c r="S66" s="18" t="n">
        <v>1023.12</v>
      </c>
      <c r="T66" s="18" t="n">
        <v>1544.15</v>
      </c>
      <c r="U66" s="37" t="n">
        <v>5383.39</v>
      </c>
      <c r="V66" s="18" t="n">
        <v>947.9299999999999</v>
      </c>
      <c r="W66" s="18" t="n">
        <v>612.5599999999999</v>
      </c>
      <c r="X66" s="18" t="n">
        <v>399.19</v>
      </c>
      <c r="Y66" s="18" t="n">
        <v>598.17</v>
      </c>
      <c r="Z66" s="37" t="n">
        <v>2557.85</v>
      </c>
      <c r="AA66" s="18" t="n">
        <v>1597</v>
      </c>
      <c r="AB66" s="19" t="n">
        <v>854.61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금융비용</t>
        </is>
      </c>
      <c r="E67" s="18" t="n">
        <v>-1779.84</v>
      </c>
      <c r="F67" s="9" t="n"/>
      <c r="G67" s="18" t="n">
        <v>365.3</v>
      </c>
      <c r="H67" s="18" t="n">
        <v>349.19</v>
      </c>
      <c r="I67" s="18" t="n">
        <v>364.69</v>
      </c>
      <c r="J67" s="18" t="n">
        <v>1021.69</v>
      </c>
      <c r="K67" s="37" t="n">
        <v>2100.87</v>
      </c>
      <c r="L67" s="18" t="n">
        <v>1690.15</v>
      </c>
      <c r="M67" s="18" t="n">
        <v>773.95</v>
      </c>
      <c r="N67" s="18" t="n">
        <v>403.82</v>
      </c>
      <c r="O67" s="18" t="n">
        <v>874.71</v>
      </c>
      <c r="P67" s="37" t="n">
        <v>3742.63</v>
      </c>
      <c r="Q67" s="18" t="n">
        <v>398.57</v>
      </c>
      <c r="R67" s="18" t="n">
        <v>520.67</v>
      </c>
      <c r="S67" s="18" t="n">
        <v>753.59</v>
      </c>
      <c r="T67" s="18" t="n">
        <v>588.52</v>
      </c>
      <c r="U67" s="37" t="n">
        <v>2261.35</v>
      </c>
      <c r="V67" s="18" t="n">
        <v>394.9</v>
      </c>
      <c r="W67" s="18" t="n">
        <v>1834.6</v>
      </c>
      <c r="X67" s="18" t="n">
        <v>-529.36</v>
      </c>
      <c r="Y67" s="18" t="n">
        <v>721.4400000000001</v>
      </c>
      <c r="Z67" s="37" t="n">
        <v>2421.58</v>
      </c>
      <c r="AA67" s="18" t="n">
        <v>237.95</v>
      </c>
      <c r="AB67" s="19" t="n">
        <v>365.4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종속기업,공동지배기업및관계기업관련손익</t>
        </is>
      </c>
      <c r="E68" s="18" t="n">
        <v>269.86</v>
      </c>
      <c r="F68" s="9" t="n"/>
      <c r="G68" s="18" t="n">
        <v>443.4</v>
      </c>
      <c r="H68" s="18" t="n">
        <v>790.5599999999999</v>
      </c>
      <c r="I68" s="18" t="n">
        <v>809.52</v>
      </c>
      <c r="J68" s="18" t="n">
        <v>941.1799999999999</v>
      </c>
      <c r="K68" s="37" t="n">
        <v>2984.66</v>
      </c>
      <c r="L68" s="18" t="n">
        <v>760.14</v>
      </c>
      <c r="M68" s="18" t="n">
        <v>0</v>
      </c>
      <c r="N68" s="18" t="n">
        <v>5949.15</v>
      </c>
      <c r="O68" s="18" t="n">
        <v>-1075.67</v>
      </c>
      <c r="P68" s="37" t="n">
        <v>5633.62</v>
      </c>
      <c r="Q68" s="18" t="n">
        <v>0</v>
      </c>
      <c r="R68" s="18" t="n">
        <v>0</v>
      </c>
      <c r="S68" s="18" t="n">
        <v>0</v>
      </c>
      <c r="T68" s="18" t="n">
        <v>0</v>
      </c>
      <c r="U68" s="37" t="n">
        <v>0</v>
      </c>
      <c r="V68" s="18" t="n">
        <v>0</v>
      </c>
      <c r="W68" s="18" t="n">
        <v>2.5</v>
      </c>
      <c r="X68" s="18" t="n">
        <v>3.01</v>
      </c>
      <c r="Y68" s="18" t="n">
        <v>-7.24</v>
      </c>
      <c r="Z68" s="37" t="n">
        <v>-1.73</v>
      </c>
      <c r="AA68" s="18" t="n">
        <v>0</v>
      </c>
      <c r="AB68" s="19" t="n">
        <v>0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지분법관련손익</t>
        </is>
      </c>
      <c r="E69" s="18" t="n">
        <v>269.86</v>
      </c>
      <c r="F69" s="9" t="n"/>
      <c r="G69" s="18" t="n">
        <v>443.4</v>
      </c>
      <c r="H69" s="18" t="n">
        <v>790.5599999999999</v>
      </c>
      <c r="I69" s="18" t="n">
        <v>809.52</v>
      </c>
      <c r="J69" s="18" t="n">
        <v>941.1799999999999</v>
      </c>
      <c r="K69" s="37" t="n">
        <v>2984.66</v>
      </c>
      <c r="L69" s="18" t="n">
        <v>760.14</v>
      </c>
      <c r="M69" s="18" t="n">
        <v>0</v>
      </c>
      <c r="N69" s="18" t="n">
        <v>5949.15</v>
      </c>
      <c r="O69" s="18" t="n">
        <v>-1075.67</v>
      </c>
      <c r="P69" s="37" t="n">
        <v>5633.62</v>
      </c>
      <c r="Q69" s="18" t="n">
        <v>0</v>
      </c>
      <c r="R69" s="18" t="n">
        <v>0</v>
      </c>
      <c r="S69" s="18" t="n">
        <v>0</v>
      </c>
      <c r="T69" s="18" t="n">
        <v>0</v>
      </c>
      <c r="U69" s="37" t="n">
        <v>0</v>
      </c>
      <c r="V69" s="18" t="n">
        <v>0</v>
      </c>
      <c r="W69" s="18" t="n">
        <v>2.5</v>
      </c>
      <c r="X69" s="18" t="n">
        <v>3.01</v>
      </c>
      <c r="Y69" s="18" t="n">
        <v>-7.24</v>
      </c>
      <c r="Z69" s="37" t="n">
        <v>-1.73</v>
      </c>
      <c r="AA69" s="18" t="n">
        <v>0</v>
      </c>
      <c r="AB69" s="19" t="n">
        <v>0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법인세비용차감전계속사업이익</t>
        </is>
      </c>
      <c r="E70" s="18" t="n">
        <v>8210.5</v>
      </c>
      <c r="F70" s="9" t="n"/>
      <c r="G70" s="18" t="n">
        <v>-1013.75</v>
      </c>
      <c r="H70" s="18" t="n">
        <v>1003.77</v>
      </c>
      <c r="I70" s="18" t="n">
        <v>2652.03</v>
      </c>
      <c r="J70" s="18" t="n">
        <v>7866.66</v>
      </c>
      <c r="K70" s="37" t="n">
        <v>10508.71</v>
      </c>
      <c r="L70" s="18" t="n">
        <v>2240.44</v>
      </c>
      <c r="M70" s="18" t="n">
        <v>865.1799999999999</v>
      </c>
      <c r="N70" s="18" t="n">
        <v>4784.8</v>
      </c>
      <c r="O70" s="18" t="n">
        <v>55474.89</v>
      </c>
      <c r="P70" s="37" t="n">
        <v>63365.31</v>
      </c>
      <c r="Q70" s="18" t="n">
        <v>2158.86</v>
      </c>
      <c r="R70" s="18" t="n">
        <v>-4582.63</v>
      </c>
      <c r="S70" s="18" t="n">
        <v>-2724.99</v>
      </c>
      <c r="T70" s="18" t="n">
        <v>834.0700000000001</v>
      </c>
      <c r="U70" s="37" t="n">
        <v>-4314.69</v>
      </c>
      <c r="V70" s="18" t="n">
        <v>-366.15</v>
      </c>
      <c r="W70" s="18" t="n">
        <v>-1666.57</v>
      </c>
      <c r="X70" s="18" t="n">
        <v>-2861.52</v>
      </c>
      <c r="Y70" s="18" t="n">
        <v>1392.5</v>
      </c>
      <c r="Z70" s="37" t="n">
        <v>-3501.74</v>
      </c>
      <c r="AA70" s="18" t="n">
        <v>2921.69</v>
      </c>
      <c r="AB70" s="19" t="n">
        <v>4325.6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</t>
        </is>
      </c>
      <c r="E71" s="18" t="n">
        <v>0</v>
      </c>
      <c r="F71" s="9" t="n"/>
      <c r="G71" s="18" t="n">
        <v>0</v>
      </c>
      <c r="H71" s="18" t="n">
        <v>0.62</v>
      </c>
      <c r="I71" s="18" t="n">
        <v>0.02</v>
      </c>
      <c r="J71" s="18" t="n">
        <v>-173.37</v>
      </c>
      <c r="K71" s="37" t="n">
        <v>-172.73</v>
      </c>
      <c r="L71" s="18" t="n">
        <v>55.81</v>
      </c>
      <c r="M71" s="18" t="n">
        <v>-60.85</v>
      </c>
      <c r="N71" s="18" t="n">
        <v>-35.85</v>
      </c>
      <c r="O71" s="18" t="n">
        <v>4249.93</v>
      </c>
      <c r="P71" s="37" t="n">
        <v>4209.04</v>
      </c>
      <c r="Q71" s="18" t="n">
        <v>-20.58</v>
      </c>
      <c r="R71" s="18" t="n">
        <v>-455.32</v>
      </c>
      <c r="S71" s="18" t="n">
        <v>-20.58</v>
      </c>
      <c r="T71" s="18" t="n">
        <v>-1573.2</v>
      </c>
      <c r="U71" s="37" t="n">
        <v>-2069.68</v>
      </c>
      <c r="V71" s="18" t="n">
        <v>-9.75</v>
      </c>
      <c r="W71" s="18" t="n">
        <v>10.46</v>
      </c>
      <c r="X71" s="18" t="n">
        <v>-0.01</v>
      </c>
      <c r="Y71" s="18" t="n">
        <v>191.75</v>
      </c>
      <c r="Z71" s="37" t="n">
        <v>192.45</v>
      </c>
      <c r="AA71" s="18" t="n">
        <v>4.1</v>
      </c>
      <c r="AB71" s="19" t="n">
        <v>773.15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계속사업이익</t>
        </is>
      </c>
      <c r="E72" s="18" t="n">
        <v>8210.49</v>
      </c>
      <c r="F72" s="9" t="n"/>
      <c r="G72" s="18" t="n">
        <v>-1013.75</v>
      </c>
      <c r="H72" s="18" t="n">
        <v>1003.15</v>
      </c>
      <c r="I72" s="18" t="n">
        <v>2652.02</v>
      </c>
      <c r="J72" s="18" t="n">
        <v>8040.04</v>
      </c>
      <c r="K72" s="37" t="n">
        <v>10681.46</v>
      </c>
      <c r="L72" s="18" t="n">
        <v>2184.63</v>
      </c>
      <c r="M72" s="18" t="n">
        <v>926.03</v>
      </c>
      <c r="N72" s="18" t="n">
        <v>4820.64</v>
      </c>
      <c r="O72" s="18" t="n">
        <v>51224.96</v>
      </c>
      <c r="P72" s="37" t="n">
        <v>59156.26</v>
      </c>
      <c r="Q72" s="18" t="n">
        <v>2179.45</v>
      </c>
      <c r="R72" s="18" t="n">
        <v>-4127.31</v>
      </c>
      <c r="S72" s="18" t="n">
        <v>-2704.41</v>
      </c>
      <c r="T72" s="18" t="n">
        <v>2407.27</v>
      </c>
      <c r="U72" s="37" t="n">
        <v>-2245</v>
      </c>
      <c r="V72" s="18" t="n">
        <v>-356.4</v>
      </c>
      <c r="W72" s="18" t="n">
        <v>-1677.04</v>
      </c>
      <c r="X72" s="18" t="n">
        <v>-2861.51</v>
      </c>
      <c r="Y72" s="18" t="n">
        <v>1200.75</v>
      </c>
      <c r="Z72" s="37" t="n">
        <v>-3694.2</v>
      </c>
      <c r="AA72" s="18" t="n">
        <v>2917.59</v>
      </c>
      <c r="AB72" s="19" t="n">
        <v>3552.45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중단사업이익</t>
        </is>
      </c>
      <c r="E73" s="18" t="n">
        <v>0</v>
      </c>
      <c r="F73" s="9" t="n"/>
      <c r="G73" s="18" t="n">
        <v>0</v>
      </c>
      <c r="H73" s="18" t="n">
        <v>0</v>
      </c>
      <c r="I73" s="18" t="n">
        <v>0</v>
      </c>
      <c r="J73" s="18" t="n">
        <v>0</v>
      </c>
      <c r="K73" s="37" t="n">
        <v>0</v>
      </c>
      <c r="L73" s="18" t="n">
        <v>0</v>
      </c>
      <c r="M73" s="18" t="n">
        <v>0</v>
      </c>
      <c r="N73" s="18" t="n">
        <v>0</v>
      </c>
      <c r="O73" s="18" t="n">
        <v>0</v>
      </c>
      <c r="P73" s="37" t="n">
        <v>0</v>
      </c>
      <c r="Q73" s="18" t="n">
        <v>0</v>
      </c>
      <c r="R73" s="18" t="n">
        <v>0</v>
      </c>
      <c r="S73" s="18" t="n">
        <v>0</v>
      </c>
      <c r="T73" s="18" t="n">
        <v>0</v>
      </c>
      <c r="U73" s="37" t="n">
        <v>0</v>
      </c>
      <c r="V73" s="18" t="n">
        <v>0</v>
      </c>
      <c r="W73" s="18" t="n">
        <v>0</v>
      </c>
      <c r="X73" s="18" t="n">
        <v>0</v>
      </c>
      <c r="Z73" s="9" t="n"/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당기순이익</t>
        </is>
      </c>
      <c r="E74" s="18" t="n">
        <v>8210.49</v>
      </c>
      <c r="F74" s="9" t="n"/>
      <c r="G74" s="18" t="n">
        <v>-1013.75</v>
      </c>
      <c r="H74" s="18" t="n">
        <v>1003.15</v>
      </c>
      <c r="I74" s="18" t="n">
        <v>2652.02</v>
      </c>
      <c r="J74" s="18" t="n">
        <v>8040.04</v>
      </c>
      <c r="K74" s="37" t="n">
        <v>10681.46</v>
      </c>
      <c r="L74" s="18" t="n">
        <v>2184.63</v>
      </c>
      <c r="M74" s="18" t="n">
        <v>926.03</v>
      </c>
      <c r="N74" s="18" t="n">
        <v>4820.64</v>
      </c>
      <c r="O74" s="18" t="n">
        <v>51224.96</v>
      </c>
      <c r="P74" s="37" t="n">
        <v>59156.26</v>
      </c>
      <c r="Q74" s="18" t="n">
        <v>2179.45</v>
      </c>
      <c r="R74" s="18" t="n">
        <v>-4127.31</v>
      </c>
      <c r="S74" s="18" t="n">
        <v>-2704.41</v>
      </c>
      <c r="T74" s="18" t="n">
        <v>2407.27</v>
      </c>
      <c r="U74" s="37" t="n">
        <v>-2245</v>
      </c>
      <c r="V74" s="18" t="n">
        <v>-356.4</v>
      </c>
      <c r="W74" s="18" t="n">
        <v>-1677.04</v>
      </c>
      <c r="X74" s="18" t="n">
        <v>-2861.51</v>
      </c>
      <c r="Y74" s="18" t="n">
        <v>1200.75</v>
      </c>
      <c r="Z74" s="37" t="n">
        <v>-3694.2</v>
      </c>
      <c r="AA74" s="18" t="n">
        <v>2917.59</v>
      </c>
      <c r="AB74" s="19" t="n">
        <v>3552.45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18" t="n">
        <v>8210.5</v>
      </c>
      <c r="F75" s="9" t="n"/>
      <c r="G75" s="18" t="n">
        <v>-1013.73</v>
      </c>
      <c r="H75" s="18" t="n">
        <v>1003.15</v>
      </c>
      <c r="I75" s="18" t="n">
        <v>2652.02</v>
      </c>
      <c r="J75" s="18" t="n">
        <v>8070.63</v>
      </c>
      <c r="K75" s="37" t="n">
        <v>10712.07</v>
      </c>
      <c r="L75" s="18" t="n">
        <v>1549.2</v>
      </c>
      <c r="M75" s="18" t="n">
        <v>866.98</v>
      </c>
      <c r="N75" s="18" t="n">
        <v>5186.37</v>
      </c>
      <c r="O75" s="18" t="n">
        <v>51835.34</v>
      </c>
      <c r="P75" s="37" t="n">
        <v>59437.89</v>
      </c>
      <c r="Q75" s="18" t="n">
        <v>1870.19</v>
      </c>
      <c r="R75" s="18" t="n">
        <v>-3702.07</v>
      </c>
      <c r="S75" s="18" t="n">
        <v>-2021.14</v>
      </c>
      <c r="T75" s="18" t="n">
        <v>2978.4</v>
      </c>
      <c r="U75" s="37" t="n">
        <v>-874.62</v>
      </c>
      <c r="V75" s="18" t="n">
        <v>144.15</v>
      </c>
      <c r="W75" s="18" t="n">
        <v>-2656.54</v>
      </c>
      <c r="X75" s="18" t="n">
        <v>-2778.56</v>
      </c>
      <c r="Y75" s="18" t="n">
        <v>1154.36</v>
      </c>
      <c r="Z75" s="37" t="n">
        <v>-4136.59</v>
      </c>
      <c r="AA75" s="18" t="n">
        <v>2798.47</v>
      </c>
      <c r="AB75" s="19" t="n">
        <v>3593.82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(비지배주주지분)당기순이익</t>
        </is>
      </c>
      <c r="E76" s="18" t="n">
        <v>0</v>
      </c>
      <c r="F76" s="9" t="n"/>
      <c r="G76" s="18" t="n">
        <v>-0.02</v>
      </c>
      <c r="H76" s="18" t="n">
        <v>0</v>
      </c>
      <c r="I76" s="18" t="n">
        <v>0</v>
      </c>
      <c r="J76" s="18" t="n">
        <v>-30.6</v>
      </c>
      <c r="K76" s="37" t="n">
        <v>-30.62</v>
      </c>
      <c r="L76" s="18" t="n">
        <v>635.4299999999999</v>
      </c>
      <c r="M76" s="18" t="n">
        <v>59.04</v>
      </c>
      <c r="N76" s="18" t="n">
        <v>-365.73</v>
      </c>
      <c r="O76" s="18" t="n">
        <v>-610.37</v>
      </c>
      <c r="P76" s="37" t="n">
        <v>-281.63</v>
      </c>
      <c r="Q76" s="18" t="n">
        <v>309.25</v>
      </c>
      <c r="R76" s="18" t="n">
        <v>-425.24</v>
      </c>
      <c r="S76" s="18" t="n">
        <v>-683.27</v>
      </c>
      <c r="T76" s="18" t="n">
        <v>-571.12</v>
      </c>
      <c r="U76" s="37" t="n">
        <v>-1370.38</v>
      </c>
      <c r="V76" s="18" t="n">
        <v>-500.55</v>
      </c>
      <c r="W76" s="18" t="n">
        <v>979.5</v>
      </c>
      <c r="X76" s="18" t="n">
        <v>-82.95</v>
      </c>
      <c r="Y76" s="18" t="n">
        <v>46.39</v>
      </c>
      <c r="Z76" s="37" t="n">
        <v>442.39</v>
      </c>
      <c r="AA76" s="18" t="n">
        <v>119.12</v>
      </c>
      <c r="AB76" s="19" t="n">
        <v>-41.37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총포괄손익</t>
        </is>
      </c>
      <c r="E77" s="18" t="n">
        <v>9546.469999999999</v>
      </c>
      <c r="F77" s="9" t="n"/>
      <c r="G77" s="18" t="n">
        <v>-182.1</v>
      </c>
      <c r="H77" s="18" t="n">
        <v>1478.52</v>
      </c>
      <c r="I77" s="18" t="n">
        <v>3528.87</v>
      </c>
      <c r="J77" s="18" t="n">
        <v>7360.52</v>
      </c>
      <c r="K77" s="37" t="n">
        <v>12185.81</v>
      </c>
      <c r="L77" s="18" t="n">
        <v>2389.46</v>
      </c>
      <c r="M77" s="18" t="n">
        <v>758.0599999999999</v>
      </c>
      <c r="N77" s="18" t="n">
        <v>5034.99</v>
      </c>
      <c r="O77" s="18" t="n">
        <v>51119.51</v>
      </c>
      <c r="P77" s="37" t="n">
        <v>59302.02</v>
      </c>
      <c r="Q77" s="18" t="n">
        <v>2374.03</v>
      </c>
      <c r="R77" s="18" t="n">
        <v>-3922.59</v>
      </c>
      <c r="S77" s="18" t="n">
        <v>-3039.26</v>
      </c>
      <c r="T77" s="18" t="n">
        <v>3130.89</v>
      </c>
      <c r="U77" s="37" t="n">
        <v>-1456.93</v>
      </c>
      <c r="V77" s="18" t="n">
        <v>-349.57</v>
      </c>
      <c r="W77" s="18" t="n">
        <v>-2204.08</v>
      </c>
      <c r="X77" s="18" t="n">
        <v>-2643.16</v>
      </c>
      <c r="Y77" s="18" t="n">
        <v>1356.95</v>
      </c>
      <c r="Z77" s="37" t="n">
        <v>-3839.86</v>
      </c>
      <c r="AA77" s="18" t="n">
        <v>3290.77</v>
      </c>
      <c r="AB77" s="19" t="n">
        <v>3684.33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금융손익</t>
        </is>
      </c>
      <c r="E78" s="18" t="n">
        <v>696.1</v>
      </c>
      <c r="F78" s="9" t="n"/>
      <c r="G78" s="18" t="n">
        <v>36.1</v>
      </c>
      <c r="H78" s="18" t="n">
        <v>2223.01</v>
      </c>
      <c r="I78" s="18" t="n">
        <v>298.96</v>
      </c>
      <c r="J78" s="18" t="n">
        <v>22.53</v>
      </c>
      <c r="K78" s="37" t="n">
        <v>2580.6</v>
      </c>
      <c r="L78" s="18" t="n">
        <v>-654.98</v>
      </c>
      <c r="M78" s="18" t="n">
        <v>138.6</v>
      </c>
      <c r="N78" s="18" t="n">
        <v>35.53</v>
      </c>
      <c r="O78" s="18" t="n">
        <v>-602.91</v>
      </c>
      <c r="P78" s="37" t="n">
        <v>-1083.76</v>
      </c>
      <c r="Q78" s="18" t="n">
        <v>1451.66</v>
      </c>
      <c r="R78" s="18" t="n">
        <v>445.22</v>
      </c>
      <c r="S78" s="18" t="n">
        <v>269.53</v>
      </c>
      <c r="T78" s="18" t="n">
        <v>955.63</v>
      </c>
      <c r="U78" s="37" t="n">
        <v>3122.04</v>
      </c>
      <c r="V78" s="18" t="n">
        <v>553.03</v>
      </c>
      <c r="W78" s="18" t="n">
        <v>-1222.04</v>
      </c>
      <c r="X78" s="18" t="n">
        <v>928.55</v>
      </c>
      <c r="Y78" s="18" t="n">
        <v>-123.27</v>
      </c>
      <c r="Z78" s="37" t="n">
        <v>136.27</v>
      </c>
      <c r="AA78" s="18" t="n">
        <v>1359.05</v>
      </c>
      <c r="AB78" s="19" t="n">
        <v>489.21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기타영업외손익</t>
        </is>
      </c>
      <c r="E79" s="18" t="n">
        <v>4873.31</v>
      </c>
      <c r="F79" s="9" t="n"/>
      <c r="G79" s="18" t="n">
        <v>228.58</v>
      </c>
      <c r="H79" s="18" t="n">
        <v>-455.54</v>
      </c>
      <c r="I79" s="18" t="n">
        <v>1374.02</v>
      </c>
      <c r="J79" s="18" t="n">
        <v>2926</v>
      </c>
      <c r="K79" s="37" t="n">
        <v>4073.06</v>
      </c>
      <c r="L79" s="18" t="n">
        <v>63.58</v>
      </c>
      <c r="M79" s="18" t="n">
        <v>-629.22</v>
      </c>
      <c r="N79" s="18" t="n">
        <v>820.72</v>
      </c>
      <c r="O79" s="18" t="n">
        <v>59664.5</v>
      </c>
      <c r="P79" s="37" t="n">
        <v>59919.58</v>
      </c>
      <c r="Q79" s="18" t="n">
        <v>737.99</v>
      </c>
      <c r="R79" s="18" t="n">
        <v>-2993.92</v>
      </c>
      <c r="S79" s="18" t="n">
        <v>-1654.05</v>
      </c>
      <c r="T79" s="18" t="n">
        <v>1314.71</v>
      </c>
      <c r="U79" s="37" t="n">
        <v>-2595.27</v>
      </c>
      <c r="V79" s="18" t="n">
        <v>44.83</v>
      </c>
      <c r="W79" s="18" t="n">
        <v>-782.27</v>
      </c>
      <c r="X79" s="18" t="n">
        <v>1235.32</v>
      </c>
      <c r="Y79" s="18" t="n">
        <v>-3477.27</v>
      </c>
      <c r="Z79" s="37" t="n">
        <v>-2979.39</v>
      </c>
      <c r="AA79" s="18" t="n">
        <v>1028.6</v>
      </c>
      <c r="AB79" s="19" t="n">
        <v>692.15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-1873.83</v>
      </c>
      <c r="F80" s="9" t="n"/>
      <c r="G80" s="18" t="n">
        <v>144.41</v>
      </c>
      <c r="H80" s="18" t="n">
        <v>-2745.59</v>
      </c>
      <c r="I80" s="18" t="n">
        <v>1145.72</v>
      </c>
      <c r="J80" s="18" t="n">
        <v>-1573.83</v>
      </c>
      <c r="K80" s="37" t="n">
        <v>-3029.29</v>
      </c>
      <c r="L80" s="18" t="n">
        <v>5092.62</v>
      </c>
      <c r="M80" s="18" t="n">
        <v>3005.68</v>
      </c>
      <c r="N80" s="18" t="n">
        <v>995.21</v>
      </c>
      <c r="O80" s="18" t="n">
        <v>2911.17</v>
      </c>
      <c r="P80" s="37" t="n">
        <v>12004.68</v>
      </c>
      <c r="Q80" s="18" t="n">
        <v>271.18</v>
      </c>
      <c r="R80" s="18" t="n">
        <v>-6547.03</v>
      </c>
      <c r="S80" s="18" t="n">
        <v>-2058.29</v>
      </c>
      <c r="T80" s="18" t="n">
        <v>-343.65</v>
      </c>
      <c r="U80" s="37" t="n">
        <v>-8677.790000000001</v>
      </c>
      <c r="V80" s="18" t="n">
        <v>-11926.44</v>
      </c>
      <c r="W80" s="18" t="n">
        <v>1160.69</v>
      </c>
      <c r="X80" s="18" t="n">
        <v>771.46</v>
      </c>
      <c r="Y80" s="18" t="n">
        <v>4114.85</v>
      </c>
      <c r="Z80" s="37" t="n">
        <v>-5879.44</v>
      </c>
      <c r="AA80" s="18" t="n">
        <v>6687.76</v>
      </c>
      <c r="AB80" s="19" t="n">
        <v>2504.78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법인세납부(CF)</t>
        </is>
      </c>
      <c r="E81" s="18" t="n">
        <v>-9.460000000000001</v>
      </c>
      <c r="F81" s="9" t="n"/>
      <c r="G81" s="18" t="n">
        <v>-19.14</v>
      </c>
      <c r="H81" s="18" t="n">
        <v>8.09</v>
      </c>
      <c r="I81" s="18" t="n">
        <v>-38.25</v>
      </c>
      <c r="J81" s="18" t="n">
        <v>-87.15000000000001</v>
      </c>
      <c r="K81" s="37" t="n">
        <v>-136.45</v>
      </c>
      <c r="L81" s="18" t="n">
        <v>-177.44</v>
      </c>
      <c r="M81" s="18" t="n">
        <v>63.18</v>
      </c>
      <c r="N81" s="18" t="n">
        <v>-41.21</v>
      </c>
      <c r="O81" s="18" t="n">
        <v>-53.75</v>
      </c>
      <c r="P81" s="37" t="n">
        <v>-209.22</v>
      </c>
      <c r="Q81" s="18" t="n">
        <v>-98.88</v>
      </c>
      <c r="R81" s="18" t="n">
        <v>-4464.94</v>
      </c>
      <c r="S81" s="18" t="n">
        <v>-297.3</v>
      </c>
      <c r="T81" s="18" t="n">
        <v>-37.92</v>
      </c>
      <c r="U81" s="37" t="n">
        <v>-4899.04</v>
      </c>
      <c r="V81" s="18" t="n">
        <v>-300.35</v>
      </c>
      <c r="W81" s="18" t="n">
        <v>446.48</v>
      </c>
      <c r="X81" s="18" t="n">
        <v>-161.11</v>
      </c>
      <c r="Y81" s="18" t="n">
        <v>-13.01</v>
      </c>
      <c r="Z81" s="37" t="n">
        <v>-27.99</v>
      </c>
      <c r="AA81" s="18" t="n">
        <v>-230.78</v>
      </c>
      <c r="AB81" s="19" t="n">
        <v>449.1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투자활동으로인한현금흐름</t>
        </is>
      </c>
      <c r="E82" s="18" t="n">
        <v>22715.38</v>
      </c>
      <c r="F82" s="9" t="n"/>
      <c r="G82" s="18" t="n">
        <v>-20925.56</v>
      </c>
      <c r="H82" s="18" t="n">
        <v>1495.66</v>
      </c>
      <c r="I82" s="18" t="n">
        <v>-9705.52</v>
      </c>
      <c r="J82" s="18" t="n">
        <v>12048.26</v>
      </c>
      <c r="K82" s="37" t="n">
        <v>-17087.16</v>
      </c>
      <c r="L82" s="18" t="n">
        <v>-829.1900000000001</v>
      </c>
      <c r="M82" s="18" t="n">
        <v>3383.22</v>
      </c>
      <c r="N82" s="18" t="n">
        <v>1221.23</v>
      </c>
      <c r="O82" s="18" t="n">
        <v>-4318.93</v>
      </c>
      <c r="P82" s="37" t="n">
        <v>-543.67</v>
      </c>
      <c r="Q82" s="18" t="n">
        <v>-551.09</v>
      </c>
      <c r="R82" s="18" t="n">
        <v>3195.59</v>
      </c>
      <c r="S82" s="18" t="n">
        <v>4947.66</v>
      </c>
      <c r="T82" s="18" t="n">
        <v>7690.25</v>
      </c>
      <c r="U82" s="37" t="n">
        <v>15282.41</v>
      </c>
      <c r="V82" s="18" t="n">
        <v>19352.48</v>
      </c>
      <c r="W82" s="18" t="n">
        <v>7112.81</v>
      </c>
      <c r="X82" s="18" t="n">
        <v>19336.64</v>
      </c>
      <c r="Y82" s="18" t="n">
        <v>-6847.75</v>
      </c>
      <c r="Z82" s="37" t="n">
        <v>38954.18</v>
      </c>
      <c r="AA82" s="18" t="n">
        <v>-1260.61</v>
      </c>
      <c r="AB82" s="19" t="n">
        <v>18944.91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유형자산의감소</t>
        </is>
      </c>
      <c r="E83" s="18" t="n">
        <v>17596.91</v>
      </c>
      <c r="F83" s="9" t="n"/>
      <c r="G83" s="18" t="n">
        <v>0</v>
      </c>
      <c r="H83" s="18" t="n">
        <v>0.45</v>
      </c>
      <c r="I83" s="18" t="n">
        <v>43.91</v>
      </c>
      <c r="J83" s="18" t="n">
        <v>5382.72</v>
      </c>
      <c r="K83" s="37" t="n">
        <v>5427.08</v>
      </c>
      <c r="L83" s="18" t="n">
        <v>0</v>
      </c>
      <c r="M83" s="18" t="n">
        <v>0</v>
      </c>
      <c r="N83" s="18" t="n">
        <v>13.22</v>
      </c>
      <c r="O83" s="18" t="n">
        <v>38.25</v>
      </c>
      <c r="P83" s="37" t="n">
        <v>51.47</v>
      </c>
      <c r="Q83" s="18" t="n">
        <v>1.82</v>
      </c>
      <c r="R83" s="18" t="n">
        <v>1.35</v>
      </c>
      <c r="S83" s="18" t="n">
        <v>0</v>
      </c>
      <c r="T83" s="18" t="n">
        <v>0</v>
      </c>
      <c r="U83" s="37" t="n">
        <v>3.17</v>
      </c>
      <c r="V83" s="18" t="n">
        <v>6.2</v>
      </c>
      <c r="W83" s="18" t="n">
        <v>0</v>
      </c>
      <c r="X83" s="18" t="n">
        <v>20.71</v>
      </c>
      <c r="Y83" s="18" t="n">
        <v>113</v>
      </c>
      <c r="Z83" s="37" t="n">
        <v>139.91</v>
      </c>
      <c r="AA83" s="18" t="n">
        <v>0</v>
      </c>
      <c r="AB83" s="19" t="n">
        <v>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무형자산의감소</t>
        </is>
      </c>
      <c r="E84" s="18" t="n">
        <v>0</v>
      </c>
      <c r="F84" s="9" t="n"/>
      <c r="G84" s="18" t="n">
        <v>0</v>
      </c>
      <c r="H84" s="18" t="n">
        <v>0</v>
      </c>
      <c r="I84" s="18" t="n">
        <v>0</v>
      </c>
      <c r="J84" s="18" t="n">
        <v>0</v>
      </c>
      <c r="K84" s="37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37" t="n">
        <v>0</v>
      </c>
      <c r="Q84" s="18" t="n">
        <v>0</v>
      </c>
      <c r="R84" s="18" t="n">
        <v>0</v>
      </c>
      <c r="S84" s="18" t="n">
        <v>0</v>
      </c>
      <c r="T84" s="18" t="n">
        <v>0</v>
      </c>
      <c r="U84" s="37" t="n">
        <v>0</v>
      </c>
      <c r="V84" s="18" t="n">
        <v>0</v>
      </c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유형자산의증가</t>
        </is>
      </c>
      <c r="E85" s="18" t="n">
        <v>1945.15</v>
      </c>
      <c r="F85" s="9" t="n"/>
      <c r="G85" s="18" t="n">
        <v>2915.89</v>
      </c>
      <c r="H85" s="18" t="n">
        <v>1933.64</v>
      </c>
      <c r="I85" s="18" t="n">
        <v>1048.48</v>
      </c>
      <c r="K85" s="9" t="n"/>
      <c r="L85" s="18" t="n">
        <v>249.24</v>
      </c>
      <c r="M85" s="18" t="n">
        <v>479.22</v>
      </c>
      <c r="N85" s="18" t="n">
        <v>197.28</v>
      </c>
      <c r="O85" s="18" t="n">
        <v>679.53</v>
      </c>
      <c r="P85" s="37" t="n">
        <v>1605.27</v>
      </c>
      <c r="Q85" s="18" t="n">
        <v>1950.74</v>
      </c>
      <c r="R85" s="18" t="n">
        <v>872.52</v>
      </c>
      <c r="S85" s="18" t="n">
        <v>173.1</v>
      </c>
      <c r="T85" s="18" t="n">
        <v>833.91</v>
      </c>
      <c r="U85" s="37" t="n">
        <v>3830.27</v>
      </c>
      <c r="V85" s="18" t="n">
        <v>49.58</v>
      </c>
      <c r="W85" s="18" t="n">
        <v>1122.13</v>
      </c>
      <c r="X85" s="18" t="n">
        <v>6563.51</v>
      </c>
      <c r="Y85" s="18" t="n">
        <v>7086.02</v>
      </c>
      <c r="Z85" s="37" t="n">
        <v>14821.24</v>
      </c>
      <c r="AA85" s="18" t="n">
        <v>1351.11</v>
      </c>
      <c r="AB85" s="19" t="n">
        <v>1127.28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CAPEX</t>
        </is>
      </c>
      <c r="E86" s="18" t="n">
        <v>1945.15</v>
      </c>
      <c r="F86" s="9" t="n"/>
      <c r="G86" s="18" t="n">
        <v>2915.89</v>
      </c>
      <c r="H86" s="18" t="n">
        <v>1933.64</v>
      </c>
      <c r="I86" s="18" t="n">
        <v>1048.48</v>
      </c>
      <c r="J86" s="18" t="n">
        <v>0</v>
      </c>
      <c r="K86" s="37" t="n">
        <v>5898.01</v>
      </c>
      <c r="L86" s="18" t="n">
        <v>249.24</v>
      </c>
      <c r="M86" s="18" t="n">
        <v>499.22</v>
      </c>
      <c r="N86" s="18" t="n">
        <v>274.08</v>
      </c>
      <c r="O86" s="18" t="n">
        <v>680.26</v>
      </c>
      <c r="P86" s="37" t="n">
        <v>1702.8</v>
      </c>
      <c r="Q86" s="18" t="n">
        <v>1950.74</v>
      </c>
      <c r="R86" s="18" t="n">
        <v>902.52</v>
      </c>
      <c r="S86" s="18" t="n">
        <v>173.14</v>
      </c>
      <c r="T86" s="18" t="n">
        <v>870.14</v>
      </c>
      <c r="U86" s="37" t="n">
        <v>3896.54</v>
      </c>
      <c r="V86" s="18" t="n">
        <v>49.58</v>
      </c>
      <c r="W86" s="18" t="n">
        <v>1122.13</v>
      </c>
      <c r="X86" s="18" t="n">
        <v>6564.39</v>
      </c>
      <c r="Y86" s="18" t="n">
        <v>7085.14</v>
      </c>
      <c r="Z86" s="37" t="n">
        <v>14821.24</v>
      </c>
      <c r="AA86" s="18" t="n">
        <v>1351.11</v>
      </c>
      <c r="AB86" s="19" t="n">
        <v>1141.66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무형자산의증가</t>
        </is>
      </c>
      <c r="E87" s="18" t="n">
        <v>0</v>
      </c>
      <c r="F87" s="9" t="n"/>
      <c r="G87" s="18" t="n">
        <v>0</v>
      </c>
      <c r="H87" s="18" t="n">
        <v>0</v>
      </c>
      <c r="I87" s="18" t="n">
        <v>0</v>
      </c>
      <c r="J87" s="18" t="n">
        <v>0</v>
      </c>
      <c r="K87" s="37" t="n">
        <v>0</v>
      </c>
      <c r="L87" s="18" t="n">
        <v>0</v>
      </c>
      <c r="M87" s="18" t="n">
        <v>20</v>
      </c>
      <c r="N87" s="18" t="n">
        <v>76.8</v>
      </c>
      <c r="O87" s="18" t="n">
        <v>0.73</v>
      </c>
      <c r="P87" s="37" t="n">
        <v>97.53</v>
      </c>
      <c r="Q87" s="18" t="n">
        <v>0</v>
      </c>
      <c r="R87" s="18" t="n">
        <v>30</v>
      </c>
      <c r="S87" s="18" t="n">
        <v>0.04</v>
      </c>
      <c r="T87" s="18" t="n">
        <v>36.23</v>
      </c>
      <c r="U87" s="37" t="n">
        <v>66.27</v>
      </c>
      <c r="V87" s="18" t="n">
        <v>0</v>
      </c>
      <c r="W87" s="18" t="n">
        <v>0</v>
      </c>
      <c r="X87" s="18" t="n">
        <v>0.88</v>
      </c>
      <c r="Z87" s="9" t="n"/>
      <c r="AA87" s="18" t="n">
        <v>0</v>
      </c>
      <c r="AB87" s="19" t="n">
        <v>14.38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재무활동으로인한현금흐름</t>
        </is>
      </c>
      <c r="E88" s="18" t="n">
        <v>-10.21</v>
      </c>
      <c r="F88" s="9" t="n"/>
      <c r="G88" s="18" t="n">
        <v>0</v>
      </c>
      <c r="H88" s="18" t="n">
        <v>0</v>
      </c>
      <c r="I88" s="18" t="n">
        <v>-504.5</v>
      </c>
      <c r="J88" s="18" t="n">
        <v>-849.11</v>
      </c>
      <c r="K88" s="37" t="n">
        <v>-1353.61</v>
      </c>
      <c r="L88" s="18" t="n">
        <v>-5345.24</v>
      </c>
      <c r="M88" s="18" t="n">
        <v>-8173.93</v>
      </c>
      <c r="N88" s="18" t="n">
        <v>-2115.25</v>
      </c>
      <c r="O88" s="18" t="n">
        <v>-847.27</v>
      </c>
      <c r="P88" s="37" t="n">
        <v>-16481.69</v>
      </c>
      <c r="Q88" s="18" t="n">
        <v>-76.37</v>
      </c>
      <c r="R88" s="18" t="n">
        <v>486.26</v>
      </c>
      <c r="S88" s="18" t="n">
        <v>-287.27</v>
      </c>
      <c r="T88" s="18" t="n">
        <v>-3718.38</v>
      </c>
      <c r="U88" s="37" t="n">
        <v>-3595.76</v>
      </c>
      <c r="V88" s="18" t="n">
        <v>-4040.89</v>
      </c>
      <c r="W88" s="18" t="n">
        <v>-10343.2</v>
      </c>
      <c r="X88" s="18" t="n">
        <v>352.23</v>
      </c>
      <c r="Y88" s="18" t="n">
        <v>-918.55</v>
      </c>
      <c r="Z88" s="37" t="n">
        <v>-14950.41</v>
      </c>
      <c r="AA88" s="18" t="n">
        <v>-522.11</v>
      </c>
      <c r="AB88" s="19" t="n">
        <v>410.04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단기차입금의증가</t>
        </is>
      </c>
      <c r="E89" s="18" t="n">
        <v>0</v>
      </c>
      <c r="F89" s="9" t="n"/>
      <c r="G89" s="18" t="n">
        <v>0</v>
      </c>
      <c r="H89" s="18" t="n">
        <v>0</v>
      </c>
      <c r="I89" s="18" t="n">
        <v>0</v>
      </c>
      <c r="J89" s="18" t="n">
        <v>0</v>
      </c>
      <c r="K89" s="37" t="n">
        <v>0</v>
      </c>
      <c r="L89" s="18" t="n">
        <v>4421.76</v>
      </c>
      <c r="M89" s="18" t="n">
        <v>8383</v>
      </c>
      <c r="N89" s="18" t="n">
        <v>2266.6</v>
      </c>
      <c r="P89" s="9" t="n"/>
      <c r="Q89" s="18" t="n">
        <v>2876.09</v>
      </c>
      <c r="R89" s="18" t="n">
        <v>4242.55</v>
      </c>
      <c r="S89" s="18" t="n">
        <v>3842.13</v>
      </c>
      <c r="T89" s="18" t="n">
        <v>4144.42</v>
      </c>
      <c r="U89" s="37" t="n">
        <v>15105.19</v>
      </c>
      <c r="V89" s="18" t="n">
        <v>3230.66</v>
      </c>
      <c r="W89" s="18" t="n">
        <v>3711.25</v>
      </c>
      <c r="X89" s="18" t="n">
        <v>2388.06</v>
      </c>
      <c r="Y89" s="18" t="n">
        <v>0</v>
      </c>
      <c r="Z89" s="37" t="n">
        <v>9329.969999999999</v>
      </c>
      <c r="AA89" s="18" t="n">
        <v>0</v>
      </c>
      <c r="AB89" s="19" t="n">
        <v>1540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장기차입금의증가</t>
        </is>
      </c>
      <c r="E90" s="18" t="n">
        <v>0</v>
      </c>
      <c r="F90" s="9" t="n"/>
      <c r="G90" s="18" t="n">
        <v>0</v>
      </c>
      <c r="H90" s="18" t="n">
        <v>0</v>
      </c>
      <c r="I90" s="18" t="n">
        <v>0</v>
      </c>
      <c r="J90" s="18" t="n">
        <v>0</v>
      </c>
      <c r="K90" s="37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37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37" t="n">
        <v>0</v>
      </c>
      <c r="V90" s="18" t="n">
        <v>0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단기차입금의감소</t>
        </is>
      </c>
      <c r="E91" s="18" t="n">
        <v>0</v>
      </c>
      <c r="F91" s="9" t="n"/>
      <c r="G91" s="18" t="n">
        <v>0</v>
      </c>
      <c r="H91" s="18" t="n">
        <v>0</v>
      </c>
      <c r="I91" s="18" t="n">
        <v>0</v>
      </c>
      <c r="J91" s="18" t="n">
        <v>817.1799999999999</v>
      </c>
      <c r="K91" s="37" t="n">
        <v>817.1799999999999</v>
      </c>
      <c r="L91" s="18" t="n">
        <v>5398.68</v>
      </c>
      <c r="M91" s="18" t="n">
        <v>9226.41</v>
      </c>
      <c r="N91" s="18" t="n">
        <v>1428.57</v>
      </c>
      <c r="P91" s="9" t="n"/>
      <c r="Q91" s="18" t="n">
        <v>2767.47</v>
      </c>
      <c r="R91" s="18" t="n">
        <v>3660.73</v>
      </c>
      <c r="S91" s="18" t="n">
        <v>3964.82</v>
      </c>
      <c r="T91" s="18" t="n">
        <v>2521.71</v>
      </c>
      <c r="U91" s="37" t="n">
        <v>12914.73</v>
      </c>
      <c r="V91" s="18" t="n">
        <v>4372.35</v>
      </c>
      <c r="W91" s="18" t="n">
        <v>7453.48</v>
      </c>
      <c r="X91" s="18" t="n">
        <v>1953.98</v>
      </c>
      <c r="Y91" s="18" t="n">
        <v>748.12</v>
      </c>
      <c r="Z91" s="37" t="n">
        <v>14527.93</v>
      </c>
      <c r="AA91" s="18" t="n">
        <v>285.5</v>
      </c>
      <c r="AB91" s="19" t="n">
        <v>123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유동성장기부채의감소</t>
        </is>
      </c>
      <c r="E92" s="18" t="n">
        <v>0</v>
      </c>
      <c r="F92" s="9" t="n"/>
      <c r="G92" s="18" t="n">
        <v>0</v>
      </c>
      <c r="H92" s="18" t="n">
        <v>0</v>
      </c>
      <c r="I92" s="18" t="n">
        <v>0</v>
      </c>
      <c r="J92" s="18" t="n">
        <v>0</v>
      </c>
      <c r="K92" s="37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37" t="n">
        <v>0</v>
      </c>
      <c r="Q92" s="18" t="n">
        <v>0</v>
      </c>
      <c r="R92" s="18" t="n">
        <v>0</v>
      </c>
      <c r="S92" s="18" t="n">
        <v>0</v>
      </c>
      <c r="T92" s="18" t="n">
        <v>0</v>
      </c>
      <c r="U92" s="37" t="n">
        <v>0</v>
      </c>
      <c r="V92" s="18" t="n">
        <v>0</v>
      </c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리스부채의상환</t>
        </is>
      </c>
      <c r="E93" s="18" t="n">
        <v>10.21</v>
      </c>
      <c r="F93" s="9" t="n"/>
      <c r="G93" s="18" t="n">
        <v>0</v>
      </c>
      <c r="H93" s="18" t="n">
        <v>0</v>
      </c>
      <c r="I93" s="18" t="n">
        <v>0</v>
      </c>
      <c r="J93" s="18" t="n">
        <v>0</v>
      </c>
      <c r="K93" s="37" t="n">
        <v>0</v>
      </c>
      <c r="L93" s="18" t="n">
        <v>134.72</v>
      </c>
      <c r="M93" s="18" t="n">
        <v>101.88</v>
      </c>
      <c r="N93" s="18" t="n">
        <v>129.61</v>
      </c>
      <c r="O93" s="18" t="n">
        <v>953.7</v>
      </c>
      <c r="P93" s="37" t="n">
        <v>1319.91</v>
      </c>
      <c r="Q93" s="18" t="n">
        <v>192.99</v>
      </c>
      <c r="R93" s="18" t="n">
        <v>117.55</v>
      </c>
      <c r="S93" s="18" t="n">
        <v>154.6</v>
      </c>
      <c r="T93" s="18" t="n">
        <v>154.69</v>
      </c>
      <c r="U93" s="37" t="n">
        <v>619.83</v>
      </c>
      <c r="V93" s="18" t="n">
        <v>98.59</v>
      </c>
      <c r="W93" s="18" t="n">
        <v>127.79</v>
      </c>
      <c r="X93" s="18" t="n">
        <v>81.84</v>
      </c>
      <c r="Y93" s="18" t="n">
        <v>205.76</v>
      </c>
      <c r="Z93" s="37" t="n">
        <v>513.98</v>
      </c>
      <c r="AA93" s="18" t="n">
        <v>236.61</v>
      </c>
      <c r="AB93" s="19" t="n">
        <v>236.26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장기차입금의감소</t>
        </is>
      </c>
      <c r="E94" s="18" t="n">
        <v>0</v>
      </c>
      <c r="F94" s="9" t="n"/>
      <c r="G94" s="18" t="n">
        <v>0</v>
      </c>
      <c r="H94" s="18" t="n">
        <v>0</v>
      </c>
      <c r="I94" s="18" t="n">
        <v>0</v>
      </c>
      <c r="J94" s="18" t="n">
        <v>0</v>
      </c>
      <c r="K94" s="37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37" t="n">
        <v>0</v>
      </c>
      <c r="Q94" s="18" t="n">
        <v>0</v>
      </c>
      <c r="R94" s="18" t="n">
        <v>0</v>
      </c>
      <c r="S94" s="18" t="n">
        <v>0</v>
      </c>
      <c r="T94" s="18" t="n">
        <v>5000</v>
      </c>
      <c r="U94" s="37" t="n">
        <v>5000</v>
      </c>
      <c r="V94" s="18" t="n">
        <v>0</v>
      </c>
      <c r="Z94" s="9" t="n"/>
      <c r="AA94" s="18" t="n">
        <v>0</v>
      </c>
      <c r="AB94" s="19" t="n">
        <v>0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현금및현금성자산의증감</t>
        </is>
      </c>
      <c r="E95" s="18" t="n">
        <v>41462.56</v>
      </c>
      <c r="F95" s="9" t="n"/>
      <c r="G95" s="18" t="n">
        <v>-41452.6</v>
      </c>
      <c r="H95" s="18" t="n">
        <v>-2033.92</v>
      </c>
      <c r="I95" s="18" t="n">
        <v>-17375.89</v>
      </c>
      <c r="J95" s="18" t="n">
        <v>17615.8</v>
      </c>
      <c r="K95" s="37" t="n">
        <v>-43246.61</v>
      </c>
      <c r="L95" s="18" t="n">
        <v>-1987</v>
      </c>
      <c r="M95" s="18" t="n">
        <v>-3522.34</v>
      </c>
      <c r="N95" s="18" t="n">
        <v>390.62</v>
      </c>
      <c r="O95" s="18" t="n">
        <v>-4834.51</v>
      </c>
      <c r="P95" s="37" t="n">
        <v>-9953.23</v>
      </c>
      <c r="Q95" s="18" t="n">
        <v>-353.57</v>
      </c>
      <c r="R95" s="18" t="n">
        <v>-5570.62</v>
      </c>
      <c r="S95" s="18" t="n">
        <v>4787.17</v>
      </c>
      <c r="T95" s="18" t="n">
        <v>8142.29</v>
      </c>
      <c r="U95" s="37" t="n">
        <v>7005.27</v>
      </c>
      <c r="V95" s="18" t="n">
        <v>6861.46</v>
      </c>
      <c r="W95" s="18" t="n">
        <v>-4859.49</v>
      </c>
      <c r="X95" s="18" t="n">
        <v>41378.41</v>
      </c>
      <c r="Y95" s="18" t="n">
        <v>-5652.1</v>
      </c>
      <c r="Z95" s="37" t="n">
        <v>37728.28</v>
      </c>
      <c r="AA95" s="18" t="n">
        <v>11123.3</v>
      </c>
      <c r="AB95" s="19" t="n">
        <v>44237.09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기말현금및현금성자산</t>
        </is>
      </c>
      <c r="E96" s="18" t="n">
        <v>20631.21</v>
      </c>
      <c r="F96" s="9" t="n"/>
      <c r="G96" s="18" t="n">
        <v>30806.24</v>
      </c>
      <c r="H96" s="18" t="n">
        <v>-783.99</v>
      </c>
      <c r="I96" s="18" t="n">
        <v>-8311.59</v>
      </c>
      <c r="J96" s="18" t="n">
        <v>7990.49</v>
      </c>
      <c r="K96" s="37" t="n">
        <v>29701.15</v>
      </c>
      <c r="L96" s="18" t="n">
        <v>28795.96</v>
      </c>
      <c r="M96" s="18" t="n">
        <v>-1737.31</v>
      </c>
      <c r="N96" s="18" t="n">
        <v>289.45</v>
      </c>
      <c r="O96" s="18" t="n">
        <v>-2579.5</v>
      </c>
      <c r="P96" s="37" t="n">
        <v>24768.6</v>
      </c>
      <c r="Q96" s="18" t="n">
        <v>24771.32</v>
      </c>
      <c r="R96" s="18" t="n">
        <v>-2705.46</v>
      </c>
      <c r="S96" s="18" t="n">
        <v>2185.08</v>
      </c>
      <c r="T96" s="18" t="n">
        <v>4514.08</v>
      </c>
      <c r="U96" s="37" t="n">
        <v>28765.02</v>
      </c>
      <c r="V96" s="18" t="n">
        <v>32241.33</v>
      </c>
      <c r="W96" s="18" t="n">
        <v>-2789.79</v>
      </c>
      <c r="X96" s="18" t="n">
        <v>20918.07</v>
      </c>
      <c r="Y96" s="18" t="n">
        <v>-2000.64</v>
      </c>
      <c r="Z96" s="37" t="n">
        <v>48368.97</v>
      </c>
      <c r="AA96" s="18" t="n">
        <v>54587.23</v>
      </c>
      <c r="AB96" s="19" t="n">
        <v>22377.36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이자수취(CF)</t>
        </is>
      </c>
      <c r="F97" s="9" t="n"/>
      <c r="K97" s="9" t="n"/>
      <c r="O97" s="18" t="n">
        <v>406.72</v>
      </c>
      <c r="P97" s="9" t="n"/>
      <c r="Q97" s="18" t="n">
        <v>336.85</v>
      </c>
      <c r="R97" s="18" t="n">
        <v>587.3200000000001</v>
      </c>
      <c r="S97" s="18" t="n">
        <v>1932.03</v>
      </c>
      <c r="T97" s="18" t="n">
        <v>242.14</v>
      </c>
      <c r="U97" s="37" t="n">
        <v>3098.34</v>
      </c>
      <c r="V97" s="18" t="n">
        <v>1815.32</v>
      </c>
      <c r="W97" s="18" t="n">
        <v>274.31</v>
      </c>
      <c r="X97" s="18" t="n">
        <v>1044.55</v>
      </c>
      <c r="Y97" s="18" t="n">
        <v>149.83</v>
      </c>
      <c r="Z97" s="37" t="n">
        <v>3284.01</v>
      </c>
      <c r="AA97" s="18" t="n">
        <v>348.45</v>
      </c>
      <c r="AB97" s="19" t="n">
        <v>225.59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자기주식의취득</t>
        </is>
      </c>
      <c r="F98" s="9" t="n"/>
      <c r="K98" s="9" t="n"/>
      <c r="P98" s="9" t="n"/>
      <c r="U98" s="9" t="n"/>
      <c r="V98" s="18" t="n">
        <v>2800.61</v>
      </c>
      <c r="W98" s="18" t="n">
        <v>5686.88</v>
      </c>
      <c r="X98" s="18" t="n">
        <v>0</v>
      </c>
      <c r="Y98" s="18" t="n">
        <v>14.67</v>
      </c>
      <c r="Z98" s="37" t="n">
        <v>8502.16</v>
      </c>
      <c r="AA98" s="18" t="n">
        <v>0</v>
      </c>
      <c r="AB98" s="19" t="n">
        <v>35.89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배당금지급</t>
        </is>
      </c>
      <c r="F99" s="9" t="n"/>
      <c r="K99" s="9" t="n"/>
      <c r="P99" s="9" t="n"/>
      <c r="U99" s="9" t="n"/>
      <c r="X99" s="18" t="n">
        <v>0</v>
      </c>
      <c r="Y99" s="18" t="n">
        <v>0</v>
      </c>
      <c r="Z99" s="9" t="n"/>
      <c r="AA99" s="18" t="n">
        <v>0</v>
      </c>
      <c r="AB99" s="19" t="n">
        <v>694.8099999999999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엔케이(별)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65566.7</v>
      </c>
      <c r="F5" s="37" t="n">
        <v>65566.7</v>
      </c>
      <c r="G5" s="18" t="n">
        <v>58061.8</v>
      </c>
      <c r="H5" s="18" t="n">
        <v>56092.85</v>
      </c>
      <c r="I5" s="18" t="n">
        <v>61653.85</v>
      </c>
      <c r="J5" s="18" t="n">
        <v>64525.92</v>
      </c>
      <c r="K5" s="37" t="n">
        <v>64525.92</v>
      </c>
      <c r="L5" s="18" t="n">
        <v>60619.77</v>
      </c>
      <c r="M5" s="18" t="n">
        <v>54225.72</v>
      </c>
      <c r="N5" s="18" t="n">
        <v>50780.97</v>
      </c>
      <c r="O5" s="18" t="n">
        <v>143601.76</v>
      </c>
      <c r="P5" s="37" t="n">
        <v>143601.76</v>
      </c>
      <c r="Q5" s="18" t="n">
        <v>140981.67</v>
      </c>
      <c r="R5" s="18" t="n">
        <v>139146.41</v>
      </c>
      <c r="S5" s="18" t="n">
        <v>136032.54</v>
      </c>
      <c r="T5" s="18" t="n">
        <v>136865.88</v>
      </c>
      <c r="U5" s="37" t="n">
        <v>136865.88</v>
      </c>
      <c r="V5" s="18" t="n">
        <v>130801.12</v>
      </c>
      <c r="W5" s="18" t="n">
        <v>100569.74</v>
      </c>
      <c r="X5" s="18" t="n">
        <v>79177.08</v>
      </c>
      <c r="Y5" s="18" t="n">
        <v>72833.22</v>
      </c>
      <c r="Z5" s="37" t="n">
        <v>72833.22</v>
      </c>
      <c r="AA5" s="18" t="n">
        <v>71039.31</v>
      </c>
      <c r="AB5" s="19" t="n">
        <v>75630.07000000001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45391.44</v>
      </c>
      <c r="F6" s="37" t="n">
        <v>45391.44</v>
      </c>
      <c r="G6" s="18" t="n">
        <v>24587.41</v>
      </c>
      <c r="H6" s="18" t="n">
        <v>23393.87</v>
      </c>
      <c r="I6" s="18" t="n">
        <v>14350.98</v>
      </c>
      <c r="J6" s="18" t="n">
        <v>19363.79</v>
      </c>
      <c r="K6" s="37" t="n">
        <v>19363.79</v>
      </c>
      <c r="L6" s="18" t="n">
        <v>17881.11</v>
      </c>
      <c r="M6" s="18" t="n">
        <v>14744.16</v>
      </c>
      <c r="N6" s="18" t="n">
        <v>11982.17</v>
      </c>
      <c r="O6" s="18" t="n">
        <v>10792.67</v>
      </c>
      <c r="P6" s="37" t="n">
        <v>10792.67</v>
      </c>
      <c r="Q6" s="18" t="n">
        <v>6039.45</v>
      </c>
      <c r="R6" s="18" t="n">
        <v>4140.99</v>
      </c>
      <c r="S6" s="18" t="n">
        <v>5998.83</v>
      </c>
      <c r="T6" s="18" t="n">
        <v>10292.83</v>
      </c>
      <c r="U6" s="37" t="n">
        <v>10292.83</v>
      </c>
      <c r="V6" s="18" t="n">
        <v>14756.4</v>
      </c>
      <c r="W6" s="18" t="n">
        <v>6412.75</v>
      </c>
      <c r="X6" s="18" t="n">
        <v>25044.62</v>
      </c>
      <c r="Y6" s="18" t="n">
        <v>25060.54</v>
      </c>
      <c r="Z6" s="37" t="n">
        <v>25060.54</v>
      </c>
      <c r="AA6" s="18" t="n">
        <v>26799.93</v>
      </c>
      <c r="AB6" s="19" t="n">
        <v>54894.2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7887.37</v>
      </c>
      <c r="F7" s="37" t="n">
        <v>7887.37</v>
      </c>
      <c r="G7" s="18" t="n">
        <v>22709.38</v>
      </c>
      <c r="H7" s="18" t="n">
        <v>19709.38</v>
      </c>
      <c r="I7" s="18" t="n">
        <v>27659.39</v>
      </c>
      <c r="J7" s="18" t="n">
        <v>24833.6</v>
      </c>
      <c r="K7" s="37" t="n">
        <v>24833.6</v>
      </c>
      <c r="L7" s="18" t="n">
        <v>26226.8</v>
      </c>
      <c r="M7" s="18" t="n">
        <v>23262.8</v>
      </c>
      <c r="N7" s="18" t="n">
        <v>21379.2</v>
      </c>
      <c r="O7" s="18" t="n">
        <v>109157.6</v>
      </c>
      <c r="P7" s="37" t="n">
        <v>109157.6</v>
      </c>
      <c r="Q7" s="18" t="n">
        <v>108387.2</v>
      </c>
      <c r="R7" s="18" t="n">
        <v>108556.8</v>
      </c>
      <c r="S7" s="18" t="n">
        <v>103278.4</v>
      </c>
      <c r="T7" s="18" t="n">
        <v>98880</v>
      </c>
      <c r="U7" s="37" t="n">
        <v>98880</v>
      </c>
      <c r="V7" s="18" t="n">
        <v>79732</v>
      </c>
      <c r="W7" s="18" t="n">
        <v>60851.2</v>
      </c>
      <c r="X7" s="18" t="n">
        <v>20000</v>
      </c>
      <c r="Y7" s="18" t="n">
        <v>20000</v>
      </c>
      <c r="Z7" s="37" t="n">
        <v>20000</v>
      </c>
      <c r="AA7" s="18" t="n">
        <v>20000</v>
      </c>
      <c r="AB7" s="19" t="n">
        <v>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10301.78</v>
      </c>
      <c r="F8" s="37" t="n">
        <v>10301.78</v>
      </c>
      <c r="G8" s="18" t="n">
        <v>8780.110000000001</v>
      </c>
      <c r="H8" s="18" t="n">
        <v>11273.63</v>
      </c>
      <c r="I8" s="18" t="n">
        <v>16507.26</v>
      </c>
      <c r="J8" s="18" t="n">
        <v>14007.41</v>
      </c>
      <c r="K8" s="37" t="n">
        <v>14007.41</v>
      </c>
      <c r="L8" s="18" t="n">
        <v>14275.54</v>
      </c>
      <c r="M8" s="18" t="n">
        <v>13706.06</v>
      </c>
      <c r="N8" s="18" t="n">
        <v>13512.04</v>
      </c>
      <c r="O8" s="18" t="n">
        <v>12083.1</v>
      </c>
      <c r="P8" s="37" t="n">
        <v>12083.1</v>
      </c>
      <c r="Q8" s="18" t="n">
        <v>14827.28</v>
      </c>
      <c r="R8" s="18" t="n">
        <v>14369.05</v>
      </c>
      <c r="S8" s="18" t="n">
        <v>12758.09</v>
      </c>
      <c r="T8" s="18" t="n">
        <v>14752.08</v>
      </c>
      <c r="U8" s="37" t="n">
        <v>14752.08</v>
      </c>
      <c r="V8" s="18" t="n">
        <v>12942.06</v>
      </c>
      <c r="W8" s="18" t="n">
        <v>20081.87</v>
      </c>
      <c r="X8" s="18" t="n">
        <v>18544.05</v>
      </c>
      <c r="Y8" s="18" t="n">
        <v>19473.09</v>
      </c>
      <c r="Z8" s="37" t="n">
        <v>19473.09</v>
      </c>
      <c r="AA8" s="18" t="n">
        <v>14875.38</v>
      </c>
      <c r="AB8" s="19" t="n">
        <v>12513.45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116.57</v>
      </c>
      <c r="F9" s="37" t="n">
        <v>116.57</v>
      </c>
      <c r="G9" s="18" t="n">
        <v>395.35</v>
      </c>
      <c r="H9" s="18" t="n">
        <v>261.86</v>
      </c>
      <c r="I9" s="18" t="n">
        <v>1240.54</v>
      </c>
      <c r="J9" s="18" t="n">
        <v>561.63</v>
      </c>
      <c r="K9" s="37" t="n">
        <v>561.63</v>
      </c>
      <c r="L9" s="18" t="n">
        <v>372.09</v>
      </c>
      <c r="M9" s="18" t="n">
        <v>819.55</v>
      </c>
      <c r="N9" s="18" t="n">
        <v>2251.58</v>
      </c>
      <c r="O9" s="18" t="n">
        <v>3045.64</v>
      </c>
      <c r="P9" s="37" t="n">
        <v>3045.64</v>
      </c>
      <c r="Q9" s="18" t="n">
        <v>3582.36</v>
      </c>
      <c r="R9" s="18" t="n">
        <v>5544.74</v>
      </c>
      <c r="S9" s="18" t="n">
        <v>5060.28</v>
      </c>
      <c r="T9" s="18" t="n">
        <v>4758.32</v>
      </c>
      <c r="U9" s="37" t="n">
        <v>4758.32</v>
      </c>
      <c r="V9" s="18" t="n">
        <v>13085.14</v>
      </c>
      <c r="W9" s="18" t="n">
        <v>3847.35</v>
      </c>
      <c r="X9" s="18" t="n">
        <v>4873.19</v>
      </c>
      <c r="Y9" s="18" t="n">
        <v>3192.83</v>
      </c>
      <c r="Z9" s="37" t="n">
        <v>3192.83</v>
      </c>
      <c r="AA9" s="18" t="n">
        <v>3777.35</v>
      </c>
      <c r="AB9" s="19" t="n">
        <v>3712.77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당기법인세자산(선급법인세)</t>
        </is>
      </c>
      <c r="E10" s="18" t="n">
        <v>36.45</v>
      </c>
      <c r="F10" s="37" t="n">
        <v>36.45</v>
      </c>
      <c r="G10" s="18" t="n">
        <v>55.59</v>
      </c>
      <c r="H10" s="18" t="n">
        <v>46.89</v>
      </c>
      <c r="I10" s="18" t="n">
        <v>85.12</v>
      </c>
      <c r="J10" s="18" t="n">
        <v>129.57</v>
      </c>
      <c r="K10" s="37" t="n">
        <v>129.57</v>
      </c>
      <c r="L10" s="18" t="n">
        <v>250.44</v>
      </c>
      <c r="M10" s="18" t="n">
        <v>170.36</v>
      </c>
      <c r="N10" s="18" t="n">
        <v>210.73</v>
      </c>
      <c r="O10" s="18" t="n">
        <v>0</v>
      </c>
      <c r="P10" s="37" t="n">
        <v>0</v>
      </c>
      <c r="Q10" s="18" t="n">
        <v>49.4</v>
      </c>
      <c r="R10" s="18" t="n">
        <v>106.18</v>
      </c>
      <c r="S10" s="18" t="n">
        <v>401.01</v>
      </c>
      <c r="T10" s="18" t="n">
        <v>437.55</v>
      </c>
      <c r="U10" s="37" t="n">
        <v>437.55</v>
      </c>
      <c r="V10" s="18" t="n">
        <v>689.9299999999999</v>
      </c>
      <c r="W10" s="18" t="n">
        <v>291.49</v>
      </c>
      <c r="X10" s="18" t="n">
        <v>451.4</v>
      </c>
      <c r="Y10" s="18" t="n">
        <v>464.06</v>
      </c>
      <c r="Z10" s="37" t="n">
        <v>464.06</v>
      </c>
      <c r="AA10" s="18" t="n">
        <v>513.92</v>
      </c>
      <c r="AB10" s="19" t="n">
        <v>0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1833.08</v>
      </c>
      <c r="F11" s="37" t="n">
        <v>1833.08</v>
      </c>
      <c r="G11" s="18" t="n">
        <v>1533.96</v>
      </c>
      <c r="H11" s="18" t="n">
        <v>1407.23</v>
      </c>
      <c r="I11" s="18" t="n">
        <v>1810.57</v>
      </c>
      <c r="J11" s="18" t="n">
        <v>2052.43</v>
      </c>
      <c r="K11" s="37" t="n">
        <v>2052.43</v>
      </c>
      <c r="L11" s="18" t="n">
        <v>1613.79</v>
      </c>
      <c r="M11" s="18" t="n">
        <v>1522.78</v>
      </c>
      <c r="N11" s="18" t="n">
        <v>1445.26</v>
      </c>
      <c r="O11" s="18" t="n">
        <v>8522.76</v>
      </c>
      <c r="P11" s="37" t="n">
        <v>8522.76</v>
      </c>
      <c r="Q11" s="18" t="n">
        <v>8095.98</v>
      </c>
      <c r="R11" s="18" t="n">
        <v>6428.65</v>
      </c>
      <c r="S11" s="18" t="n">
        <v>8535.92</v>
      </c>
      <c r="T11" s="18" t="n">
        <v>5887.29</v>
      </c>
      <c r="U11" s="37" t="n">
        <v>5887.29</v>
      </c>
      <c r="V11" s="18" t="n">
        <v>7681.84</v>
      </c>
      <c r="W11" s="18" t="n">
        <v>7951.82</v>
      </c>
      <c r="X11" s="18" t="n">
        <v>9130.559999999999</v>
      </c>
      <c r="Y11" s="18" t="n">
        <v>3249.86</v>
      </c>
      <c r="Z11" s="37" t="n">
        <v>3249.86</v>
      </c>
      <c r="AA11" s="18" t="n">
        <v>3679.91</v>
      </c>
      <c r="AB11" s="19" t="n">
        <v>3116.82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유동파생상품자산</t>
        </is>
      </c>
      <c r="E12" s="18" t="n">
        <v>0</v>
      </c>
      <c r="F12" s="37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37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37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37" t="n">
        <v>0</v>
      </c>
      <c r="V12" s="18" t="n">
        <v>0</v>
      </c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단기금융자산</t>
        </is>
      </c>
      <c r="E13" s="18" t="n">
        <v>0</v>
      </c>
      <c r="F13" s="37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37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37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37" t="n">
        <v>0</v>
      </c>
      <c r="V13" s="18" t="n">
        <v>0</v>
      </c>
      <c r="Z13" s="9" t="n"/>
      <c r="AB13" s="5" t="n"/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매각예정비유동자산및처분자산</t>
        </is>
      </c>
      <c r="E14" s="18" t="n">
        <v>0</v>
      </c>
      <c r="F14" s="37" t="n">
        <v>0</v>
      </c>
      <c r="G14" s="18" t="n">
        <v>0</v>
      </c>
      <c r="H14" s="18" t="n">
        <v>0</v>
      </c>
      <c r="I14" s="18" t="n">
        <v>0</v>
      </c>
      <c r="J14" s="18" t="n">
        <v>3577.49</v>
      </c>
      <c r="K14" s="37" t="n">
        <v>3577.49</v>
      </c>
      <c r="L14" s="18" t="n">
        <v>0</v>
      </c>
      <c r="M14" s="18" t="n">
        <v>0</v>
      </c>
      <c r="N14" s="18" t="n">
        <v>0</v>
      </c>
      <c r="O14" s="18" t="n">
        <v>0</v>
      </c>
      <c r="P14" s="37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37" t="n">
        <v>0</v>
      </c>
      <c r="V14" s="18" t="n">
        <v>0</v>
      </c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61435.85</v>
      </c>
      <c r="F15" s="37" t="n">
        <v>61435.85</v>
      </c>
      <c r="G15" s="18" t="n">
        <v>67617.44</v>
      </c>
      <c r="H15" s="18" t="n">
        <v>68826.75999999999</v>
      </c>
      <c r="I15" s="18" t="n">
        <v>64698.62</v>
      </c>
      <c r="J15" s="18" t="n">
        <v>65851.86</v>
      </c>
      <c r="K15" s="37" t="n">
        <v>65851.86</v>
      </c>
      <c r="L15" s="18" t="n">
        <v>65182.82</v>
      </c>
      <c r="M15" s="18" t="n">
        <v>64756.09</v>
      </c>
      <c r="N15" s="18" t="n">
        <v>67818.82000000001</v>
      </c>
      <c r="O15" s="18" t="n">
        <v>57484.07</v>
      </c>
      <c r="P15" s="37" t="n">
        <v>57484.07</v>
      </c>
      <c r="Q15" s="18" t="n">
        <v>57898.94</v>
      </c>
      <c r="R15" s="18" t="n">
        <v>58621.16</v>
      </c>
      <c r="S15" s="18" t="n">
        <v>58802.69</v>
      </c>
      <c r="T15" s="18" t="n">
        <v>60884.75</v>
      </c>
      <c r="U15" s="37" t="n">
        <v>60884.75</v>
      </c>
      <c r="V15" s="18" t="n">
        <v>60475.12</v>
      </c>
      <c r="W15" s="18" t="n">
        <v>81147.23</v>
      </c>
      <c r="X15" s="18" t="n">
        <v>103407.05</v>
      </c>
      <c r="Y15" s="18" t="n">
        <v>106726.67</v>
      </c>
      <c r="Z15" s="37" t="n">
        <v>106726.67</v>
      </c>
      <c r="AA15" s="18" t="n">
        <v>106931.04</v>
      </c>
      <c r="AB15" s="19" t="n">
        <v>101975.88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12220.19</v>
      </c>
      <c r="F16" s="37" t="n">
        <v>12220.19</v>
      </c>
      <c r="G16" s="18" t="n">
        <v>15231.79</v>
      </c>
      <c r="H16" s="18" t="n">
        <v>14481.42</v>
      </c>
      <c r="I16" s="18" t="n">
        <v>14481.42</v>
      </c>
      <c r="J16" s="18" t="n">
        <v>12537.04</v>
      </c>
      <c r="K16" s="37" t="n">
        <v>12537.04</v>
      </c>
      <c r="L16" s="18" t="n">
        <v>11537.04</v>
      </c>
      <c r="M16" s="18" t="n">
        <v>10938.04</v>
      </c>
      <c r="N16" s="18" t="n">
        <v>10938.04</v>
      </c>
      <c r="O16" s="18" t="n">
        <v>12186.72</v>
      </c>
      <c r="P16" s="37" t="n">
        <v>12186.72</v>
      </c>
      <c r="Q16" s="18" t="n">
        <v>12186.72</v>
      </c>
      <c r="R16" s="18" t="n">
        <v>12186.72</v>
      </c>
      <c r="S16" s="18" t="n">
        <v>12186.72</v>
      </c>
      <c r="T16" s="18" t="n">
        <v>13991.7</v>
      </c>
      <c r="U16" s="37" t="n">
        <v>13991.7</v>
      </c>
      <c r="V16" s="18" t="n">
        <v>13991.7</v>
      </c>
      <c r="W16" s="18" t="n">
        <v>13991.7</v>
      </c>
      <c r="X16" s="18" t="n">
        <v>13991.7</v>
      </c>
      <c r="Y16" s="18" t="n">
        <v>13837.67</v>
      </c>
      <c r="Z16" s="37" t="n">
        <v>13837.67</v>
      </c>
      <c r="AA16" s="18" t="n">
        <v>13837.67</v>
      </c>
      <c r="AB16" s="19" t="n">
        <v>8697.389999999999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30330.09</v>
      </c>
      <c r="F17" s="37" t="n">
        <v>30330.09</v>
      </c>
      <c r="G17" s="18" t="n">
        <v>33337.17</v>
      </c>
      <c r="H17" s="18" t="n">
        <v>32569.16</v>
      </c>
      <c r="I17" s="18" t="n">
        <v>32522.71</v>
      </c>
      <c r="J17" s="18" t="n">
        <v>36534</v>
      </c>
      <c r="K17" s="37" t="n">
        <v>36534</v>
      </c>
      <c r="L17" s="18" t="n">
        <v>35722.67</v>
      </c>
      <c r="M17" s="18" t="n">
        <v>34924.47</v>
      </c>
      <c r="N17" s="18" t="n">
        <v>37699.74</v>
      </c>
      <c r="O17" s="18" t="n">
        <v>28127.07</v>
      </c>
      <c r="P17" s="37" t="n">
        <v>28127.07</v>
      </c>
      <c r="Q17" s="18" t="n">
        <v>28127.07</v>
      </c>
      <c r="R17" s="18" t="n">
        <v>28090.97</v>
      </c>
      <c r="S17" s="18" t="n">
        <v>28091.04</v>
      </c>
      <c r="T17" s="18" t="n">
        <v>29895.02</v>
      </c>
      <c r="U17" s="37" t="n">
        <v>29895.02</v>
      </c>
      <c r="V17" s="18" t="n">
        <v>29894.06</v>
      </c>
      <c r="W17" s="18" t="n">
        <v>42689.93</v>
      </c>
      <c r="X17" s="18" t="n">
        <v>69198.94</v>
      </c>
      <c r="Y17" s="18" t="n">
        <v>67997.48</v>
      </c>
      <c r="Z17" s="37" t="n">
        <v>67997.48</v>
      </c>
      <c r="AA17" s="18" t="n">
        <v>67997.48</v>
      </c>
      <c r="AB17" s="19" t="n">
        <v>8697.389999999999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18109.9</v>
      </c>
      <c r="F18" s="37" t="n">
        <v>18109.9</v>
      </c>
      <c r="G18" s="18" t="n">
        <v>18105.38</v>
      </c>
      <c r="H18" s="18" t="n">
        <v>18087.74</v>
      </c>
      <c r="I18" s="18" t="n">
        <v>18041.29</v>
      </c>
      <c r="J18" s="18" t="n">
        <v>23996.96</v>
      </c>
      <c r="K18" s="37" t="n">
        <v>23996.96</v>
      </c>
      <c r="L18" s="18" t="n">
        <v>24185.63</v>
      </c>
      <c r="M18" s="18" t="n">
        <v>23986.43</v>
      </c>
      <c r="N18" s="18" t="n">
        <v>26761.7</v>
      </c>
      <c r="O18" s="18" t="n">
        <v>15940.35</v>
      </c>
      <c r="P18" s="37" t="n">
        <v>15940.35</v>
      </c>
      <c r="Q18" s="18" t="n">
        <v>15940.35</v>
      </c>
      <c r="R18" s="18" t="n">
        <v>15904.25</v>
      </c>
      <c r="S18" s="18" t="n">
        <v>15904.32</v>
      </c>
      <c r="T18" s="18" t="n">
        <v>15903.32</v>
      </c>
      <c r="U18" s="37" t="n">
        <v>15903.32</v>
      </c>
      <c r="V18" s="18" t="n">
        <v>15902.36</v>
      </c>
      <c r="W18" s="18" t="n">
        <v>28698.23</v>
      </c>
      <c r="X18" s="18" t="n">
        <v>55207.24</v>
      </c>
      <c r="Y18" s="18" t="n">
        <v>54159.81</v>
      </c>
      <c r="Z18" s="37" t="n">
        <v>54159.81</v>
      </c>
      <c r="AA18" s="18" t="n">
        <v>54159.81</v>
      </c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장기매출채권및기타채권</t>
        </is>
      </c>
      <c r="E19" s="18" t="n">
        <v>0</v>
      </c>
      <c r="F19" s="37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37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37" t="n">
        <v>0</v>
      </c>
      <c r="Q19" s="18" t="n">
        <v>0</v>
      </c>
      <c r="R19" s="18" t="n">
        <v>0</v>
      </c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18" t="n">
        <v>21207.61</v>
      </c>
      <c r="F20" s="37" t="n">
        <v>21207.61</v>
      </c>
      <c r="G20" s="18" t="n">
        <v>23823.24</v>
      </c>
      <c r="H20" s="18" t="n">
        <v>25403.95</v>
      </c>
      <c r="I20" s="18" t="n">
        <v>21290.72</v>
      </c>
      <c r="J20" s="18" t="n">
        <v>16195.17</v>
      </c>
      <c r="K20" s="37" t="n">
        <v>16195.17</v>
      </c>
      <c r="L20" s="18" t="n">
        <v>16159.38</v>
      </c>
      <c r="M20" s="18" t="n">
        <v>16560.33</v>
      </c>
      <c r="N20" s="18" t="n">
        <v>16413.72</v>
      </c>
      <c r="O20" s="18" t="n">
        <v>16925.15</v>
      </c>
      <c r="P20" s="37" t="n">
        <v>16925.15</v>
      </c>
      <c r="Q20" s="18" t="n">
        <v>17548.83</v>
      </c>
      <c r="R20" s="18" t="n">
        <v>18434.13</v>
      </c>
      <c r="S20" s="18" t="n">
        <v>18375.37</v>
      </c>
      <c r="T20" s="18" t="n">
        <v>18772.98</v>
      </c>
      <c r="U20" s="37" t="n">
        <v>18772.98</v>
      </c>
      <c r="V20" s="18" t="n">
        <v>18633.81</v>
      </c>
      <c r="W20" s="18" t="n">
        <v>17112.69</v>
      </c>
      <c r="X20" s="18" t="n">
        <v>21680.86</v>
      </c>
      <c r="Y20" s="18" t="n">
        <v>26386.49</v>
      </c>
      <c r="Z20" s="37" t="n">
        <v>26386.49</v>
      </c>
      <c r="AA20" s="18" t="n">
        <v>26709.65</v>
      </c>
      <c r="AB20" s="19" t="n">
        <v>27022.1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사용권자산</t>
        </is>
      </c>
      <c r="E21" s="18" t="n">
        <v>96.25</v>
      </c>
      <c r="F21" s="37" t="n">
        <v>96.25</v>
      </c>
      <c r="G21" s="18" t="n">
        <v>92.5</v>
      </c>
      <c r="H21" s="18" t="n">
        <v>88.75</v>
      </c>
      <c r="I21" s="18" t="n">
        <v>85</v>
      </c>
      <c r="J21" s="18" t="n">
        <v>81.25</v>
      </c>
      <c r="K21" s="37" t="n">
        <v>81.25</v>
      </c>
      <c r="L21" s="18" t="n">
        <v>77.5</v>
      </c>
      <c r="M21" s="18" t="n">
        <v>73.75</v>
      </c>
      <c r="N21" s="18" t="n">
        <v>70</v>
      </c>
      <c r="O21" s="18" t="n">
        <v>425.47</v>
      </c>
      <c r="P21" s="37" t="n">
        <v>425.47</v>
      </c>
      <c r="Q21" s="18" t="n">
        <v>340.26</v>
      </c>
      <c r="R21" s="18" t="n">
        <v>235.93</v>
      </c>
      <c r="S21" s="18" t="n">
        <v>491.61</v>
      </c>
      <c r="T21" s="18" t="n">
        <v>387.29</v>
      </c>
      <c r="U21" s="37" t="n">
        <v>387.29</v>
      </c>
      <c r="V21" s="18" t="n">
        <v>132.97</v>
      </c>
      <c r="W21" s="18" t="n">
        <v>118.64</v>
      </c>
      <c r="X21" s="18" t="n">
        <v>104.32</v>
      </c>
      <c r="Y21" s="18" t="n">
        <v>707.3200000000001</v>
      </c>
      <c r="Z21" s="37" t="n">
        <v>707.3200000000001</v>
      </c>
      <c r="AA21" s="18" t="n">
        <v>604.8</v>
      </c>
      <c r="AB21" s="19" t="n">
        <v>502.29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기타비유동자산</t>
        </is>
      </c>
      <c r="E22" s="18" t="n">
        <v>96.25</v>
      </c>
      <c r="F22" s="37" t="n">
        <v>96.25</v>
      </c>
      <c r="G22" s="18" t="n">
        <v>92.5</v>
      </c>
      <c r="H22" s="18" t="n">
        <v>88.75</v>
      </c>
      <c r="I22" s="18" t="n">
        <v>85</v>
      </c>
      <c r="J22" s="18" t="n">
        <v>81.25</v>
      </c>
      <c r="K22" s="37" t="n">
        <v>81.25</v>
      </c>
      <c r="L22" s="18" t="n">
        <v>77.5</v>
      </c>
      <c r="M22" s="18" t="n">
        <v>73.75</v>
      </c>
      <c r="N22" s="18" t="n">
        <v>70</v>
      </c>
      <c r="O22" s="18" t="n">
        <v>425.47</v>
      </c>
      <c r="P22" s="37" t="n">
        <v>425.47</v>
      </c>
      <c r="Q22" s="18" t="n">
        <v>340.26</v>
      </c>
      <c r="R22" s="18" t="n">
        <v>235.93</v>
      </c>
      <c r="S22" s="18" t="n">
        <v>491.61</v>
      </c>
      <c r="T22" s="18" t="n">
        <v>387.29</v>
      </c>
      <c r="U22" s="37" t="n">
        <v>387.29</v>
      </c>
      <c r="V22" s="18" t="n">
        <v>132.97</v>
      </c>
      <c r="W22" s="18" t="n">
        <v>8918.639999999999</v>
      </c>
      <c r="X22" s="18" t="n">
        <v>104.32</v>
      </c>
      <c r="Y22" s="18" t="n">
        <v>707.3200000000001</v>
      </c>
      <c r="Z22" s="37" t="n">
        <v>707.3200000000001</v>
      </c>
      <c r="AA22" s="18" t="n">
        <v>604.8</v>
      </c>
      <c r="AB22" s="19" t="n">
        <v>502.29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무형자산</t>
        </is>
      </c>
      <c r="E23" s="18" t="n">
        <v>47.03</v>
      </c>
      <c r="F23" s="37" t="n">
        <v>47.03</v>
      </c>
      <c r="G23" s="18" t="n">
        <v>47.03</v>
      </c>
      <c r="H23" s="18" t="n">
        <v>47.03</v>
      </c>
      <c r="I23" s="18" t="n">
        <v>47.03</v>
      </c>
      <c r="J23" s="18" t="n">
        <v>47.03</v>
      </c>
      <c r="K23" s="37" t="n">
        <v>47.03</v>
      </c>
      <c r="L23" s="18" t="n">
        <v>47.03</v>
      </c>
      <c r="M23" s="18" t="n">
        <v>47.03</v>
      </c>
      <c r="N23" s="18" t="n">
        <v>47.03</v>
      </c>
      <c r="O23" s="18" t="n">
        <v>47.03</v>
      </c>
      <c r="P23" s="37" t="n">
        <v>47.03</v>
      </c>
      <c r="Q23" s="18" t="n">
        <v>47.03</v>
      </c>
      <c r="R23" s="18" t="n">
        <v>47.03</v>
      </c>
      <c r="S23" s="18" t="n">
        <v>47.03</v>
      </c>
      <c r="T23" s="18" t="n">
        <v>47.03</v>
      </c>
      <c r="U23" s="37" t="n">
        <v>47.03</v>
      </c>
      <c r="V23" s="18" t="n">
        <v>47.03</v>
      </c>
      <c r="W23" s="18" t="n">
        <v>47.03</v>
      </c>
      <c r="X23" s="18" t="n">
        <v>47.91</v>
      </c>
      <c r="Y23" s="18" t="n">
        <v>47.03</v>
      </c>
      <c r="Z23" s="37" t="n">
        <v>47.03</v>
      </c>
      <c r="AA23" s="18" t="n">
        <v>47.03</v>
      </c>
      <c r="AB23" s="19" t="n">
        <v>47.03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투자부동산</t>
        </is>
      </c>
      <c r="E24" s="18" t="n">
        <v>8962.200000000001</v>
      </c>
      <c r="F24" s="37" t="n">
        <v>8962.200000000001</v>
      </c>
      <c r="G24" s="18" t="n">
        <v>8949.120000000001</v>
      </c>
      <c r="H24" s="18" t="n">
        <v>8936.040000000001</v>
      </c>
      <c r="I24" s="18" t="n">
        <v>9977.219999999999</v>
      </c>
      <c r="J24" s="18" t="n">
        <v>11476.04</v>
      </c>
      <c r="K24" s="37" t="n">
        <v>11476.04</v>
      </c>
      <c r="L24" s="18" t="n">
        <v>11527</v>
      </c>
      <c r="M24" s="18" t="n">
        <v>11501.27</v>
      </c>
      <c r="N24" s="18" t="n">
        <v>11889.08</v>
      </c>
      <c r="O24" s="18" t="n">
        <v>11388.38</v>
      </c>
      <c r="P24" s="37" t="n">
        <v>11388.38</v>
      </c>
      <c r="Q24" s="18" t="n">
        <v>11362.21</v>
      </c>
      <c r="R24" s="18" t="n">
        <v>11336.04</v>
      </c>
      <c r="S24" s="18" t="n">
        <v>11309.87</v>
      </c>
      <c r="T24" s="18" t="n">
        <v>11283.71</v>
      </c>
      <c r="U24" s="37" t="n">
        <v>11283.71</v>
      </c>
      <c r="V24" s="18" t="n">
        <v>11257.54</v>
      </c>
      <c r="W24" s="18" t="n">
        <v>11857.84</v>
      </c>
      <c r="X24" s="18" t="n">
        <v>11842.15</v>
      </c>
      <c r="Y24" s="18" t="n">
        <v>11179.03</v>
      </c>
      <c r="Z24" s="37" t="n">
        <v>11179.03</v>
      </c>
      <c r="AA24" s="18" t="n">
        <v>11152.86</v>
      </c>
      <c r="AB24" s="19" t="n">
        <v>11126.7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이연법인세자산</t>
        </is>
      </c>
      <c r="E25" s="18" t="n">
        <v>0</v>
      </c>
      <c r="F25" s="37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37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37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37" t="n">
        <v>0</v>
      </c>
      <c r="V25" s="18" t="n">
        <v>0</v>
      </c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18" t="n">
        <v>127002.55</v>
      </c>
      <c r="F26" s="37" t="n">
        <v>127002.55</v>
      </c>
      <c r="G26" s="18" t="n">
        <v>125679.24</v>
      </c>
      <c r="H26" s="18" t="n">
        <v>124919.61</v>
      </c>
      <c r="I26" s="18" t="n">
        <v>126352.47</v>
      </c>
      <c r="J26" s="18" t="n">
        <v>130377.79</v>
      </c>
      <c r="K26" s="37" t="n">
        <v>130377.79</v>
      </c>
      <c r="L26" s="18" t="n">
        <v>125802.59</v>
      </c>
      <c r="M26" s="18" t="n">
        <v>118981.81</v>
      </c>
      <c r="N26" s="18" t="n">
        <v>118599.79</v>
      </c>
      <c r="O26" s="18" t="n">
        <v>201085.83</v>
      </c>
      <c r="P26" s="37" t="n">
        <v>201085.83</v>
      </c>
      <c r="Q26" s="18" t="n">
        <v>198880.61</v>
      </c>
      <c r="R26" s="18" t="n">
        <v>197767.58</v>
      </c>
      <c r="S26" s="18" t="n">
        <v>194835.24</v>
      </c>
      <c r="T26" s="18" t="n">
        <v>197750.63</v>
      </c>
      <c r="U26" s="37" t="n">
        <v>197750.63</v>
      </c>
      <c r="V26" s="18" t="n">
        <v>191276.24</v>
      </c>
      <c r="W26" s="18" t="n">
        <v>181716.97</v>
      </c>
      <c r="X26" s="18" t="n">
        <v>182584.13</v>
      </c>
      <c r="Y26" s="18" t="n">
        <v>179559.89</v>
      </c>
      <c r="Z26" s="37" t="n">
        <v>179559.89</v>
      </c>
      <c r="AA26" s="18" t="n">
        <v>177970.35</v>
      </c>
      <c r="AB26" s="19" t="n">
        <v>177605.94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18" t="n">
        <v>26434.17</v>
      </c>
      <c r="F27" s="37" t="n">
        <v>26434.17</v>
      </c>
      <c r="G27" s="18" t="n">
        <v>26527.84</v>
      </c>
      <c r="H27" s="18" t="n">
        <v>25684.43</v>
      </c>
      <c r="I27" s="18" t="n">
        <v>25301.97</v>
      </c>
      <c r="J27" s="18" t="n">
        <v>25675.45</v>
      </c>
      <c r="K27" s="37" t="n">
        <v>25675.45</v>
      </c>
      <c r="L27" s="18" t="n">
        <v>20779.9</v>
      </c>
      <c r="M27" s="18" t="n">
        <v>13418.56</v>
      </c>
      <c r="N27" s="18" t="n">
        <v>12704.99</v>
      </c>
      <c r="O27" s="18" t="n">
        <v>28139.98</v>
      </c>
      <c r="P27" s="37" t="n">
        <v>28139.98</v>
      </c>
      <c r="Q27" s="18" t="n">
        <v>24684.31</v>
      </c>
      <c r="R27" s="18" t="n">
        <v>23467.55</v>
      </c>
      <c r="S27" s="18" t="n">
        <v>21861.54</v>
      </c>
      <c r="T27" s="18" t="n">
        <v>23177.72</v>
      </c>
      <c r="U27" s="37" t="n">
        <v>23177.72</v>
      </c>
      <c r="V27" s="18" t="n">
        <v>19721.68</v>
      </c>
      <c r="W27" s="18" t="n">
        <v>19639.27</v>
      </c>
      <c r="X27" s="18" t="n">
        <v>21535.74</v>
      </c>
      <c r="Y27" s="18" t="n">
        <v>21263.41</v>
      </c>
      <c r="Z27" s="37" t="n">
        <v>21263.41</v>
      </c>
      <c r="AA27" s="18" t="n">
        <v>16180.38</v>
      </c>
      <c r="AB27" s="19" t="n">
        <v>13423.8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E28" s="18" t="n">
        <v>0</v>
      </c>
      <c r="F28" s="37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37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37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37" t="n">
        <v>0</v>
      </c>
      <c r="V28" s="18" t="n">
        <v>0</v>
      </c>
      <c r="Z28" s="9" t="n"/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단기차입금</t>
        </is>
      </c>
      <c r="E29" s="18" t="n">
        <v>0</v>
      </c>
      <c r="F29" s="37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37" t="n">
        <v>0</v>
      </c>
      <c r="L29" s="18" t="n">
        <v>0</v>
      </c>
      <c r="M29" s="18" t="n">
        <v>0</v>
      </c>
      <c r="N29" s="18" t="n">
        <v>0</v>
      </c>
      <c r="O29" s="18" t="n">
        <v>0</v>
      </c>
      <c r="P29" s="37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37" t="n">
        <v>0</v>
      </c>
      <c r="V29" s="18" t="n">
        <v>0</v>
      </c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당기법인세부채(미지급법인세)</t>
        </is>
      </c>
      <c r="E30" s="18" t="n">
        <v>0</v>
      </c>
      <c r="F30" s="37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37" t="n">
        <v>0</v>
      </c>
      <c r="L30" s="18" t="n">
        <v>0</v>
      </c>
      <c r="M30" s="18" t="n">
        <v>0</v>
      </c>
      <c r="N30" s="18" t="n">
        <v>0</v>
      </c>
      <c r="O30" s="18" t="n">
        <v>4159.27</v>
      </c>
      <c r="P30" s="37" t="n">
        <v>4159.27</v>
      </c>
      <c r="Q30" s="18" t="n">
        <v>4159.27</v>
      </c>
      <c r="R30" s="18" t="n">
        <v>0</v>
      </c>
      <c r="S30" s="18" t="n">
        <v>0</v>
      </c>
      <c r="T30" s="18" t="n">
        <v>0</v>
      </c>
      <c r="U30" s="37" t="n">
        <v>0</v>
      </c>
      <c r="V30" s="18" t="n">
        <v>0</v>
      </c>
      <c r="Y30" s="18" t="n">
        <v>0</v>
      </c>
      <c r="Z30" s="37" t="n">
        <v>0</v>
      </c>
      <c r="AA30" s="18" t="n">
        <v>0</v>
      </c>
      <c r="AB30" s="19" t="n">
        <v>684.38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유동성장기부채</t>
        </is>
      </c>
      <c r="E31" s="18" t="n">
        <v>10066.44</v>
      </c>
      <c r="F31" s="37" t="n">
        <v>10066.44</v>
      </c>
      <c r="G31" s="18" t="n">
        <v>10385.18</v>
      </c>
      <c r="H31" s="18" t="n">
        <v>10721.69</v>
      </c>
      <c r="I31" s="18" t="n">
        <v>10563.45</v>
      </c>
      <c r="J31" s="18" t="n">
        <v>10903.99</v>
      </c>
      <c r="K31" s="37" t="n">
        <v>10903.99</v>
      </c>
      <c r="L31" s="18" t="n">
        <v>7073.16</v>
      </c>
      <c r="M31" s="18" t="n">
        <v>0</v>
      </c>
      <c r="N31" s="18" t="n">
        <v>0</v>
      </c>
      <c r="O31" s="18" t="n">
        <v>0</v>
      </c>
      <c r="P31" s="37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37" t="n">
        <v>0</v>
      </c>
      <c r="V31" s="18" t="n">
        <v>0</v>
      </c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유동리스부채</t>
        </is>
      </c>
      <c r="E32" s="18" t="n">
        <v>0</v>
      </c>
      <c r="F32" s="37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37" t="n">
        <v>0</v>
      </c>
      <c r="L32" s="18" t="n">
        <v>0</v>
      </c>
      <c r="M32" s="18" t="n">
        <v>0</v>
      </c>
      <c r="N32" s="18" t="n">
        <v>0</v>
      </c>
      <c r="O32" s="18" t="n">
        <v>240</v>
      </c>
      <c r="P32" s="37" t="n">
        <v>240</v>
      </c>
      <c r="Q32" s="18" t="n">
        <v>150</v>
      </c>
      <c r="R32" s="18" t="n">
        <v>60</v>
      </c>
      <c r="S32" s="18" t="n">
        <v>330</v>
      </c>
      <c r="T32" s="18" t="n">
        <v>240</v>
      </c>
      <c r="U32" s="37" t="n">
        <v>240</v>
      </c>
      <c r="V32" s="18" t="n">
        <v>0</v>
      </c>
      <c r="W32" s="18" t="n">
        <v>0</v>
      </c>
      <c r="X32" s="18" t="n">
        <v>0</v>
      </c>
      <c r="Y32" s="18" t="n">
        <v>319.69</v>
      </c>
      <c r="Z32" s="37" t="n">
        <v>319.69</v>
      </c>
      <c r="AA32" s="18" t="n">
        <v>319.69</v>
      </c>
      <c r="AB32" s="19" t="n">
        <v>334.77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리스부채</t>
        </is>
      </c>
      <c r="E33" s="18" t="n">
        <v>0</v>
      </c>
      <c r="F33" s="37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37" t="n">
        <v>0</v>
      </c>
      <c r="L33" s="18" t="n">
        <v>0</v>
      </c>
      <c r="M33" s="18" t="n">
        <v>0</v>
      </c>
      <c r="N33" s="18" t="n">
        <v>0</v>
      </c>
      <c r="O33" s="18" t="n">
        <v>240</v>
      </c>
      <c r="P33" s="37" t="n">
        <v>240</v>
      </c>
      <c r="Q33" s="18" t="n">
        <v>150</v>
      </c>
      <c r="R33" s="18" t="n">
        <v>60</v>
      </c>
      <c r="S33" s="18" t="n">
        <v>330</v>
      </c>
      <c r="T33" s="18" t="n">
        <v>240</v>
      </c>
      <c r="U33" s="37" t="n">
        <v>240</v>
      </c>
      <c r="V33" s="18" t="n">
        <v>0</v>
      </c>
      <c r="W33" s="18" t="n">
        <v>0</v>
      </c>
      <c r="X33" s="18" t="n">
        <v>0</v>
      </c>
      <c r="Y33" s="18" t="n">
        <v>579.5599999999999</v>
      </c>
      <c r="Z33" s="37" t="n">
        <v>579.5599999999999</v>
      </c>
      <c r="AA33" s="18" t="n">
        <v>502.38</v>
      </c>
      <c r="AB33" s="19" t="n">
        <v>423.4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단기금융부채</t>
        </is>
      </c>
      <c r="E34" s="18" t="n">
        <v>3091.39</v>
      </c>
      <c r="F34" s="37" t="n">
        <v>3091.39</v>
      </c>
      <c r="G34" s="18" t="n">
        <v>3091.39</v>
      </c>
      <c r="H34" s="18" t="n">
        <v>1092.38</v>
      </c>
      <c r="I34" s="18" t="n">
        <v>1042.72</v>
      </c>
      <c r="J34" s="18" t="n">
        <v>484.27</v>
      </c>
      <c r="K34" s="37" t="n">
        <v>484.27</v>
      </c>
      <c r="L34" s="18" t="n">
        <v>304.4</v>
      </c>
      <c r="M34" s="18" t="n">
        <v>0</v>
      </c>
      <c r="N34" s="18" t="n">
        <v>0</v>
      </c>
      <c r="O34" s="18" t="n">
        <v>240</v>
      </c>
      <c r="P34" s="37" t="n">
        <v>240</v>
      </c>
      <c r="Q34" s="18" t="n">
        <v>150</v>
      </c>
      <c r="R34" s="18" t="n">
        <v>60</v>
      </c>
      <c r="S34" s="18" t="n">
        <v>330</v>
      </c>
      <c r="T34" s="18" t="n">
        <v>240</v>
      </c>
      <c r="U34" s="37" t="n">
        <v>240</v>
      </c>
      <c r="V34" s="18" t="n">
        <v>0</v>
      </c>
      <c r="W34" s="18" t="n">
        <v>0</v>
      </c>
      <c r="X34" s="18" t="n">
        <v>0</v>
      </c>
      <c r="Y34" s="18" t="n">
        <v>319.69</v>
      </c>
      <c r="Z34" s="37" t="n">
        <v>319.69</v>
      </c>
      <c r="AA34" s="18" t="n">
        <v>319.69</v>
      </c>
      <c r="AB34" s="19" t="n">
        <v>334.77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단기충당부채</t>
        </is>
      </c>
      <c r="E35" s="18" t="n">
        <v>1480.71</v>
      </c>
      <c r="F35" s="37" t="n">
        <v>1480.71</v>
      </c>
      <c r="G35" s="18" t="n">
        <v>1480.71</v>
      </c>
      <c r="H35" s="18" t="n">
        <v>2345</v>
      </c>
      <c r="I35" s="18" t="n">
        <v>2345</v>
      </c>
      <c r="J35" s="18" t="n">
        <v>2818.04</v>
      </c>
      <c r="K35" s="37" t="n">
        <v>2818.04</v>
      </c>
      <c r="L35" s="18" t="n">
        <v>2435.61</v>
      </c>
      <c r="M35" s="18" t="n">
        <v>2678.4</v>
      </c>
      <c r="N35" s="18" t="n">
        <v>2586.18</v>
      </c>
      <c r="O35" s="18" t="n">
        <v>1566.35</v>
      </c>
      <c r="P35" s="37" t="n">
        <v>1566.35</v>
      </c>
      <c r="Q35" s="18" t="n">
        <v>1305.06</v>
      </c>
      <c r="R35" s="18" t="n">
        <v>1349.31</v>
      </c>
      <c r="S35" s="18" t="n">
        <v>1389.2</v>
      </c>
      <c r="T35" s="18" t="n">
        <v>1769.37</v>
      </c>
      <c r="U35" s="37" t="n">
        <v>1769.37</v>
      </c>
      <c r="V35" s="18" t="n">
        <v>1336.98</v>
      </c>
      <c r="W35" s="18" t="n">
        <v>1334.68</v>
      </c>
      <c r="X35" s="18" t="n">
        <v>1338.94</v>
      </c>
      <c r="Y35" s="18" t="n">
        <v>1384.34</v>
      </c>
      <c r="Z35" s="37" t="n">
        <v>1384.34</v>
      </c>
      <c r="AA35" s="18" t="n">
        <v>1095.25</v>
      </c>
      <c r="AB35" s="19" t="n">
        <v>1121.27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기타유동금융부채</t>
        </is>
      </c>
      <c r="E36" s="18" t="n">
        <v>0</v>
      </c>
      <c r="F36" s="37" t="n">
        <v>0</v>
      </c>
      <c r="G36" s="18" t="n">
        <v>0</v>
      </c>
      <c r="H36" s="18" t="n">
        <v>0</v>
      </c>
      <c r="I36" s="18" t="n">
        <v>0</v>
      </c>
      <c r="J36" s="18" t="n">
        <v>0</v>
      </c>
      <c r="K36" s="37" t="n">
        <v>0</v>
      </c>
      <c r="L36" s="18" t="n">
        <v>0</v>
      </c>
      <c r="M36" s="18" t="n">
        <v>0</v>
      </c>
      <c r="N36" s="18" t="n">
        <v>0</v>
      </c>
      <c r="O36" s="18" t="n">
        <v>0</v>
      </c>
      <c r="P36" s="37" t="n">
        <v>0</v>
      </c>
      <c r="Q36" s="18" t="n">
        <v>0</v>
      </c>
      <c r="R36" s="18" t="n">
        <v>0</v>
      </c>
      <c r="S36" s="18" t="n">
        <v>0</v>
      </c>
      <c r="T36" s="18" t="n">
        <v>0</v>
      </c>
      <c r="U36" s="37" t="n">
        <v>0</v>
      </c>
      <c r="V36" s="18" t="n">
        <v>0</v>
      </c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단기파생상품부채</t>
        </is>
      </c>
      <c r="E37" s="18" t="n">
        <v>3091.39</v>
      </c>
      <c r="F37" s="37" t="n">
        <v>3091.39</v>
      </c>
      <c r="G37" s="18" t="n">
        <v>3091.39</v>
      </c>
      <c r="H37" s="18" t="n">
        <v>1092.38</v>
      </c>
      <c r="I37" s="18" t="n">
        <v>1042.72</v>
      </c>
      <c r="J37" s="18" t="n">
        <v>484.27</v>
      </c>
      <c r="K37" s="37" t="n">
        <v>484.27</v>
      </c>
      <c r="L37" s="18" t="n">
        <v>304.4</v>
      </c>
      <c r="M37" s="18" t="n">
        <v>0</v>
      </c>
      <c r="N37" s="18" t="n">
        <v>0</v>
      </c>
      <c r="O37" s="18" t="n">
        <v>0</v>
      </c>
      <c r="P37" s="37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37" t="n">
        <v>0</v>
      </c>
      <c r="V37" s="18" t="n">
        <v>0</v>
      </c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비유동부채</t>
        </is>
      </c>
      <c r="E38" s="18" t="n">
        <v>1334.65</v>
      </c>
      <c r="F38" s="37" t="n">
        <v>1334.65</v>
      </c>
      <c r="G38" s="18" t="n">
        <v>1368</v>
      </c>
      <c r="H38" s="18" t="n">
        <v>1254.14</v>
      </c>
      <c r="I38" s="18" t="n">
        <v>1255.21</v>
      </c>
      <c r="J38" s="18" t="n">
        <v>898.46</v>
      </c>
      <c r="K38" s="37" t="n">
        <v>898.46</v>
      </c>
      <c r="L38" s="18" t="n">
        <v>901.5</v>
      </c>
      <c r="M38" s="18" t="n">
        <v>719.1799999999999</v>
      </c>
      <c r="N38" s="18" t="n">
        <v>651.38</v>
      </c>
      <c r="O38" s="18" t="n">
        <v>689</v>
      </c>
      <c r="P38" s="37" t="n">
        <v>689</v>
      </c>
      <c r="Q38" s="18" t="n">
        <v>689.03</v>
      </c>
      <c r="R38" s="18" t="n">
        <v>617.66</v>
      </c>
      <c r="S38" s="18" t="n">
        <v>618.63</v>
      </c>
      <c r="T38" s="18" t="n">
        <v>619.02</v>
      </c>
      <c r="U38" s="37" t="n">
        <v>619.02</v>
      </c>
      <c r="V38" s="18" t="n">
        <v>619.27</v>
      </c>
      <c r="W38" s="18" t="n">
        <v>619.37</v>
      </c>
      <c r="X38" s="18" t="n">
        <v>627.0599999999999</v>
      </c>
      <c r="Y38" s="18" t="n">
        <v>888.84</v>
      </c>
      <c r="Z38" s="37" t="n">
        <v>888.84</v>
      </c>
      <c r="AA38" s="18" t="n">
        <v>811.66</v>
      </c>
      <c r="AB38" s="19" t="n">
        <v>717.6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장기차입금</t>
        </is>
      </c>
      <c r="E39" s="18" t="n">
        <v>0</v>
      </c>
      <c r="F39" s="37" t="n">
        <v>0</v>
      </c>
      <c r="G39" s="18" t="n">
        <v>0</v>
      </c>
      <c r="H39" s="18" t="n">
        <v>0</v>
      </c>
      <c r="I39" s="18" t="n">
        <v>0</v>
      </c>
      <c r="J39" s="18" t="n">
        <v>0</v>
      </c>
      <c r="K39" s="37" t="n">
        <v>0</v>
      </c>
      <c r="L39" s="18" t="n">
        <v>0</v>
      </c>
      <c r="M39" s="18" t="n">
        <v>0</v>
      </c>
      <c r="N39" s="18" t="n">
        <v>0</v>
      </c>
      <c r="O39" s="18" t="n">
        <v>0</v>
      </c>
      <c r="P39" s="37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37" t="n">
        <v>0</v>
      </c>
      <c r="V39" s="18" t="n">
        <v>0</v>
      </c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비유동리스부채</t>
        </is>
      </c>
      <c r="E40" s="18" t="n">
        <v>0</v>
      </c>
      <c r="F40" s="37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37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37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37" t="n">
        <v>0</v>
      </c>
      <c r="V40" s="18" t="n">
        <v>0</v>
      </c>
      <c r="Y40" s="18" t="n">
        <v>259.87</v>
      </c>
      <c r="Z40" s="37" t="n">
        <v>259.87</v>
      </c>
      <c r="AA40" s="18" t="n">
        <v>182.69</v>
      </c>
      <c r="AB40" s="19" t="n">
        <v>88.63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장기금융부채</t>
        </is>
      </c>
      <c r="E41" s="18" t="n">
        <v>0</v>
      </c>
      <c r="F41" s="37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37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37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37" t="n">
        <v>0</v>
      </c>
      <c r="V41" s="18" t="n">
        <v>0</v>
      </c>
      <c r="Y41" s="18" t="n">
        <v>259.87</v>
      </c>
      <c r="Z41" s="37" t="n">
        <v>259.87</v>
      </c>
      <c r="AA41" s="18" t="n">
        <v>182.69</v>
      </c>
      <c r="AB41" s="19" t="n">
        <v>88.63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사채</t>
        </is>
      </c>
      <c r="E42" s="18" t="n">
        <v>0</v>
      </c>
      <c r="F42" s="37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37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37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37" t="n">
        <v>0</v>
      </c>
      <c r="V42" s="18" t="n">
        <v>0</v>
      </c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이연법인세부채</t>
        </is>
      </c>
      <c r="E43" s="18" t="n">
        <v>0</v>
      </c>
      <c r="F43" s="37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37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37" t="n">
        <v>0</v>
      </c>
      <c r="Q43" s="18" t="n">
        <v>0</v>
      </c>
      <c r="R43" s="18" t="n">
        <v>0</v>
      </c>
      <c r="S43" s="18" t="n">
        <v>0</v>
      </c>
      <c r="T43" s="18" t="n">
        <v>0</v>
      </c>
      <c r="U43" s="37" t="n">
        <v>0</v>
      </c>
      <c r="V43" s="18" t="n">
        <v>0</v>
      </c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부채총계</t>
        </is>
      </c>
      <c r="E44" s="18" t="n">
        <v>27768.82</v>
      </c>
      <c r="F44" s="37" t="n">
        <v>27768.82</v>
      </c>
      <c r="G44" s="18" t="n">
        <v>27895.84</v>
      </c>
      <c r="H44" s="18" t="n">
        <v>26938.57</v>
      </c>
      <c r="I44" s="18" t="n">
        <v>26557.18</v>
      </c>
      <c r="J44" s="18" t="n">
        <v>26573.91</v>
      </c>
      <c r="K44" s="37" t="n">
        <v>26573.91</v>
      </c>
      <c r="L44" s="18" t="n">
        <v>21681.4</v>
      </c>
      <c r="M44" s="18" t="n">
        <v>14137.74</v>
      </c>
      <c r="N44" s="18" t="n">
        <v>13356.37</v>
      </c>
      <c r="O44" s="18" t="n">
        <v>28828.98</v>
      </c>
      <c r="P44" s="37" t="n">
        <v>28828.98</v>
      </c>
      <c r="Q44" s="18" t="n">
        <v>25373.34</v>
      </c>
      <c r="R44" s="18" t="n">
        <v>24085.21</v>
      </c>
      <c r="S44" s="18" t="n">
        <v>22480.16</v>
      </c>
      <c r="T44" s="18" t="n">
        <v>23796.74</v>
      </c>
      <c r="U44" s="37" t="n">
        <v>23796.74</v>
      </c>
      <c r="V44" s="18" t="n">
        <v>20340.95</v>
      </c>
      <c r="W44" s="18" t="n">
        <v>20258.64</v>
      </c>
      <c r="X44" s="18" t="n">
        <v>22162.81</v>
      </c>
      <c r="Y44" s="18" t="n">
        <v>22152.25</v>
      </c>
      <c r="Z44" s="37" t="n">
        <v>22152.25</v>
      </c>
      <c r="AA44" s="18" t="n">
        <v>16992.04</v>
      </c>
      <c r="AB44" s="19" t="n">
        <v>14141.4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123528.57</v>
      </c>
      <c r="F45" s="37" t="n">
        <v>123528.57</v>
      </c>
      <c r="G45" s="18" t="n">
        <v>123528.57</v>
      </c>
      <c r="H45" s="18" t="n">
        <v>123528.57</v>
      </c>
      <c r="I45" s="18" t="n">
        <v>123528.57</v>
      </c>
      <c r="J45" s="18" t="n">
        <v>123528.57</v>
      </c>
      <c r="K45" s="37" t="n">
        <v>123528.57</v>
      </c>
      <c r="L45" s="18" t="n">
        <v>123528.57</v>
      </c>
      <c r="M45" s="18" t="n">
        <v>123528.57</v>
      </c>
      <c r="N45" s="18" t="n">
        <v>123528.57</v>
      </c>
      <c r="O45" s="18" t="n">
        <v>123528.57</v>
      </c>
      <c r="P45" s="37" t="n">
        <v>123528.57</v>
      </c>
      <c r="Q45" s="18" t="n">
        <v>123528.57</v>
      </c>
      <c r="R45" s="18" t="n">
        <v>123528.57</v>
      </c>
      <c r="S45" s="18" t="n">
        <v>123528.57</v>
      </c>
      <c r="T45" s="18" t="n">
        <v>123528.57</v>
      </c>
      <c r="U45" s="37" t="n">
        <v>123528.57</v>
      </c>
      <c r="V45" s="18" t="n">
        <v>123528.57</v>
      </c>
      <c r="W45" s="18" t="n">
        <v>123528.57</v>
      </c>
      <c r="X45" s="18" t="n">
        <v>123528.57</v>
      </c>
      <c r="Y45" s="18" t="n">
        <v>123528.57</v>
      </c>
      <c r="Z45" s="37" t="n">
        <v>123528.57</v>
      </c>
      <c r="AA45" s="18" t="n">
        <v>123528.57</v>
      </c>
      <c r="AB45" s="19" t="n">
        <v>123528.56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이익잉여금</t>
        </is>
      </c>
      <c r="E46" s="18" t="n">
        <v>-20082.13</v>
      </c>
      <c r="F46" s="37" t="n">
        <v>-20082.13</v>
      </c>
      <c r="G46" s="18" t="n">
        <v>-21532.47</v>
      </c>
      <c r="H46" s="18" t="n">
        <v>-21334.82</v>
      </c>
      <c r="I46" s="18" t="n">
        <v>-19520.57</v>
      </c>
      <c r="J46" s="18" t="n">
        <v>-19688.19</v>
      </c>
      <c r="K46" s="37" t="n">
        <v>-19688.19</v>
      </c>
      <c r="L46" s="18" t="n">
        <v>-19370.88</v>
      </c>
      <c r="M46" s="18" t="n">
        <v>-23970.51</v>
      </c>
      <c r="N46" s="18" t="n">
        <v>-23571.16</v>
      </c>
      <c r="O46" s="18" t="n">
        <v>43442.27</v>
      </c>
      <c r="P46" s="37" t="n">
        <v>43442.27</v>
      </c>
      <c r="Q46" s="18" t="n">
        <v>44692.7</v>
      </c>
      <c r="R46" s="18" t="n">
        <v>44867.79</v>
      </c>
      <c r="S46" s="18" t="n">
        <v>43540.5</v>
      </c>
      <c r="T46" s="18" t="n">
        <v>45335.71</v>
      </c>
      <c r="U46" s="37" t="n">
        <v>45335.71</v>
      </c>
      <c r="V46" s="18" t="n">
        <v>38540.78</v>
      </c>
      <c r="W46" s="18" t="n">
        <v>34750.7</v>
      </c>
      <c r="X46" s="18" t="n">
        <v>33713.69</v>
      </c>
      <c r="Y46" s="18" t="n">
        <v>30714.69</v>
      </c>
      <c r="Z46" s="37" t="n">
        <v>30714.69</v>
      </c>
      <c r="AA46" s="18" t="n">
        <v>34285.36</v>
      </c>
      <c r="AB46" s="19" t="n">
        <v>32458.2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-4212.7</v>
      </c>
      <c r="F47" s="37" t="n">
        <v>-4212.7</v>
      </c>
      <c r="G47" s="18" t="n">
        <v>-4212.7</v>
      </c>
      <c r="H47" s="18" t="n">
        <v>-4212.7</v>
      </c>
      <c r="I47" s="18" t="n">
        <v>-4212.7</v>
      </c>
      <c r="J47" s="18" t="n">
        <v>-36.49</v>
      </c>
      <c r="K47" s="37" t="n">
        <v>-36.49</v>
      </c>
      <c r="L47" s="18" t="n">
        <v>-36.49</v>
      </c>
      <c r="M47" s="18" t="n">
        <v>5286.01</v>
      </c>
      <c r="N47" s="18" t="n">
        <v>5286.01</v>
      </c>
      <c r="O47" s="18" t="n">
        <v>5286.01</v>
      </c>
      <c r="P47" s="37" t="n">
        <v>5286.01</v>
      </c>
      <c r="Q47" s="18" t="n">
        <v>5286.01</v>
      </c>
      <c r="R47" s="18" t="n">
        <v>5286.01</v>
      </c>
      <c r="S47" s="18" t="n">
        <v>5286.01</v>
      </c>
      <c r="T47" s="18" t="n">
        <v>5089.62</v>
      </c>
      <c r="U47" s="37" t="n">
        <v>5089.62</v>
      </c>
      <c r="V47" s="18" t="n">
        <v>8865.940000000001</v>
      </c>
      <c r="W47" s="18" t="n">
        <v>3179.06</v>
      </c>
      <c r="X47" s="18" t="n">
        <v>3179.06</v>
      </c>
      <c r="Y47" s="18" t="n">
        <v>3164.39</v>
      </c>
      <c r="Z47" s="37" t="n">
        <v>3164.39</v>
      </c>
      <c r="AA47" s="18" t="n">
        <v>3164.39</v>
      </c>
      <c r="AB47" s="19" t="n">
        <v>7477.78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자본총계</t>
        </is>
      </c>
      <c r="E48" s="18" t="n">
        <v>99233.73</v>
      </c>
      <c r="F48" s="37" t="n">
        <v>99233.73</v>
      </c>
      <c r="G48" s="18" t="n">
        <v>97783.39999999999</v>
      </c>
      <c r="H48" s="18" t="n">
        <v>97981.05</v>
      </c>
      <c r="I48" s="18" t="n">
        <v>99795.28999999999</v>
      </c>
      <c r="J48" s="18" t="n">
        <v>103803.88</v>
      </c>
      <c r="K48" s="37" t="n">
        <v>103803.88</v>
      </c>
      <c r="L48" s="18" t="n">
        <v>104121.19</v>
      </c>
      <c r="M48" s="18" t="n">
        <v>104844.06</v>
      </c>
      <c r="N48" s="18" t="n">
        <v>105243.41</v>
      </c>
      <c r="O48" s="18" t="n">
        <v>172256.84</v>
      </c>
      <c r="P48" s="37" t="n">
        <v>172256.84</v>
      </c>
      <c r="Q48" s="18" t="n">
        <v>173507.27</v>
      </c>
      <c r="R48" s="18" t="n">
        <v>173682.36</v>
      </c>
      <c r="S48" s="18" t="n">
        <v>172355.08</v>
      </c>
      <c r="T48" s="18" t="n">
        <v>173953.89</v>
      </c>
      <c r="U48" s="37" t="n">
        <v>173953.89</v>
      </c>
      <c r="V48" s="18" t="n">
        <v>170935.29</v>
      </c>
      <c r="W48" s="18" t="n">
        <v>161458.33</v>
      </c>
      <c r="X48" s="18" t="n">
        <v>160421.32</v>
      </c>
      <c r="Y48" s="18" t="n">
        <v>157407.64</v>
      </c>
      <c r="Z48" s="37" t="n">
        <v>157407.64</v>
      </c>
      <c r="AA48" s="18" t="n">
        <v>160978.31</v>
      </c>
      <c r="AB48" s="19" t="n">
        <v>163464.54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부채와자본총계</t>
        </is>
      </c>
      <c r="E49" s="18" t="n">
        <v>127002.55</v>
      </c>
      <c r="F49" s="37" t="n">
        <v>127002.55</v>
      </c>
      <c r="G49" s="18" t="n">
        <v>125679.24</v>
      </c>
      <c r="H49" s="18" t="n">
        <v>124919.61</v>
      </c>
      <c r="I49" s="18" t="n">
        <v>126352.47</v>
      </c>
      <c r="J49" s="18" t="n">
        <v>130377.79</v>
      </c>
      <c r="K49" s="37" t="n">
        <v>130377.79</v>
      </c>
      <c r="L49" s="18" t="n">
        <v>125802.59</v>
      </c>
      <c r="M49" s="18" t="n">
        <v>118981.81</v>
      </c>
      <c r="N49" s="18" t="n">
        <v>118599.79</v>
      </c>
      <c r="O49" s="18" t="n">
        <v>201085.83</v>
      </c>
      <c r="P49" s="37" t="n">
        <v>201085.83</v>
      </c>
      <c r="Q49" s="18" t="n">
        <v>198880.61</v>
      </c>
      <c r="R49" s="18" t="n">
        <v>197767.58</v>
      </c>
      <c r="S49" s="18" t="n">
        <v>194835.24</v>
      </c>
      <c r="T49" s="18" t="n">
        <v>197750.63</v>
      </c>
      <c r="U49" s="37" t="n">
        <v>197750.63</v>
      </c>
      <c r="V49" s="18" t="n">
        <v>191276.24</v>
      </c>
      <c r="W49" s="18" t="n">
        <v>181716.97</v>
      </c>
      <c r="X49" s="18" t="n">
        <v>182584.13</v>
      </c>
      <c r="Y49" s="18" t="n">
        <v>179559.89</v>
      </c>
      <c r="Z49" s="37" t="n">
        <v>179559.89</v>
      </c>
      <c r="AA49" s="18" t="n">
        <v>177970.35</v>
      </c>
      <c r="AB49" s="19" t="n">
        <v>177605.94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지배주주지분</t>
        </is>
      </c>
      <c r="E50" s="18" t="n">
        <v>99233.73</v>
      </c>
      <c r="F50" s="37" t="n">
        <v>99233.73</v>
      </c>
      <c r="G50" s="18" t="n">
        <v>97783.39999999999</v>
      </c>
      <c r="H50" s="18" t="n">
        <v>97981.05</v>
      </c>
      <c r="I50" s="18" t="n">
        <v>99795.28999999999</v>
      </c>
      <c r="J50" s="18" t="n">
        <v>103803.88</v>
      </c>
      <c r="K50" s="37" t="n">
        <v>103803.88</v>
      </c>
      <c r="L50" s="18" t="n">
        <v>104121.19</v>
      </c>
      <c r="M50" s="18" t="n">
        <v>104844.06</v>
      </c>
      <c r="N50" s="18" t="n">
        <v>105243.41</v>
      </c>
      <c r="O50" s="18" t="n">
        <v>172256.84</v>
      </c>
      <c r="P50" s="37" t="n">
        <v>172256.84</v>
      </c>
      <c r="Q50" s="18" t="n">
        <v>173507.27</v>
      </c>
      <c r="R50" s="18" t="n">
        <v>173682.36</v>
      </c>
      <c r="S50" s="18" t="n">
        <v>172355.08</v>
      </c>
      <c r="T50" s="18" t="n">
        <v>173953.89</v>
      </c>
      <c r="U50" s="37" t="n">
        <v>173953.89</v>
      </c>
      <c r="V50" s="18" t="n">
        <v>170935.29</v>
      </c>
      <c r="W50" s="18" t="n">
        <v>161458.33</v>
      </c>
      <c r="X50" s="18" t="n">
        <v>160421.32</v>
      </c>
      <c r="Y50" s="18" t="n">
        <v>157407.64</v>
      </c>
      <c r="Z50" s="37" t="n">
        <v>157407.64</v>
      </c>
      <c r="AA50" s="18" t="n">
        <v>160978.31</v>
      </c>
      <c r="AB50" s="19" t="n">
        <v>163464.54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10066.44</v>
      </c>
      <c r="F51" s="37" t="n">
        <v>10066.44</v>
      </c>
      <c r="G51" s="18" t="n">
        <v>10385.18</v>
      </c>
      <c r="H51" s="18" t="n">
        <v>10721.69</v>
      </c>
      <c r="I51" s="18" t="n">
        <v>10563.45</v>
      </c>
      <c r="J51" s="18" t="n">
        <v>10903.99</v>
      </c>
      <c r="K51" s="37" t="n">
        <v>10903.99</v>
      </c>
      <c r="L51" s="18" t="n">
        <v>7073.16</v>
      </c>
      <c r="M51" s="18" t="n">
        <v>0</v>
      </c>
      <c r="N51" s="18" t="n">
        <v>0</v>
      </c>
      <c r="O51" s="18" t="n">
        <v>0</v>
      </c>
      <c r="P51" s="37" t="n">
        <v>0</v>
      </c>
      <c r="Q51" s="18" t="n">
        <v>0</v>
      </c>
      <c r="R51" s="18" t="n">
        <v>0</v>
      </c>
      <c r="S51" s="18" t="n">
        <v>0</v>
      </c>
      <c r="T51" s="18" t="n">
        <v>0</v>
      </c>
      <c r="U51" s="37" t="n">
        <v>0</v>
      </c>
      <c r="V51" s="18" t="n">
        <v>0</v>
      </c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-35325</v>
      </c>
      <c r="F52" s="37" t="n">
        <v>-35325</v>
      </c>
      <c r="G52" s="18" t="n">
        <v>-14202.23</v>
      </c>
      <c r="H52" s="18" t="n">
        <v>-12672.18</v>
      </c>
      <c r="I52" s="18" t="n">
        <v>-3787.53</v>
      </c>
      <c r="J52" s="18" t="n">
        <v>-8459.799999999999</v>
      </c>
      <c r="K52" s="37" t="n">
        <v>-8459.799999999999</v>
      </c>
      <c r="L52" s="18" t="n">
        <v>-10807.95</v>
      </c>
      <c r="M52" s="18" t="n">
        <v>-14744.16</v>
      </c>
      <c r="N52" s="18" t="n">
        <v>-11982.17</v>
      </c>
      <c r="O52" s="18" t="n">
        <v>-10792.67</v>
      </c>
      <c r="P52" s="37" t="n">
        <v>-10792.67</v>
      </c>
      <c r="Q52" s="18" t="n">
        <v>-6039.45</v>
      </c>
      <c r="R52" s="18" t="n">
        <v>-4140.99</v>
      </c>
      <c r="S52" s="18" t="n">
        <v>-5998.83</v>
      </c>
      <c r="T52" s="18" t="n">
        <v>-10292.83</v>
      </c>
      <c r="U52" s="37" t="n">
        <v>-10292.83</v>
      </c>
      <c r="V52" s="18" t="n">
        <v>-14756.4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57611.63</v>
      </c>
      <c r="F53" s="37" t="n">
        <v>57611.63</v>
      </c>
      <c r="G53" s="18" t="n">
        <v>39819.2</v>
      </c>
      <c r="H53" s="18" t="n">
        <v>37875.29</v>
      </c>
      <c r="I53" s="18" t="n">
        <v>28832.4</v>
      </c>
      <c r="J53" s="18" t="n">
        <v>31900.83</v>
      </c>
      <c r="K53" s="37" t="n">
        <v>31900.83</v>
      </c>
      <c r="L53" s="18" t="n">
        <v>29418.15</v>
      </c>
      <c r="M53" s="18" t="n">
        <v>25682.2</v>
      </c>
      <c r="N53" s="18" t="n">
        <v>22920.21</v>
      </c>
      <c r="O53" s="18" t="n">
        <v>22979.39</v>
      </c>
      <c r="P53" s="37" t="n">
        <v>22979.39</v>
      </c>
      <c r="Q53" s="18" t="n">
        <v>18226.17</v>
      </c>
      <c r="R53" s="18" t="n">
        <v>16327.71</v>
      </c>
      <c r="S53" s="18" t="n">
        <v>18185.55</v>
      </c>
      <c r="T53" s="18" t="n">
        <v>24284.53</v>
      </c>
      <c r="U53" s="37" t="n">
        <v>24284.53</v>
      </c>
      <c r="V53" s="18" t="n">
        <v>28748.1</v>
      </c>
      <c r="W53" s="18" t="n">
        <v>20404.45</v>
      </c>
      <c r="X53" s="18" t="n">
        <v>39036.32</v>
      </c>
      <c r="Y53" s="18" t="n">
        <v>38898.21</v>
      </c>
      <c r="Z53" s="37" t="n">
        <v>38898.21</v>
      </c>
      <c r="AA53" s="18" t="n">
        <v>40637.6</v>
      </c>
      <c r="AB53" s="19" t="n">
        <v>63591.59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단기금융부채(face)</t>
        </is>
      </c>
      <c r="F54" s="9" t="n"/>
      <c r="K54" s="9" t="n"/>
      <c r="N54" s="18" t="n">
        <v>0</v>
      </c>
      <c r="O54" s="18" t="n">
        <v>0</v>
      </c>
      <c r="P54" s="37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37" t="n">
        <v>0</v>
      </c>
      <c r="V54" s="18" t="n">
        <v>0</v>
      </c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기타비유동부채</t>
        </is>
      </c>
      <c r="F55" s="9" t="n"/>
      <c r="K55" s="9" t="n"/>
      <c r="N55" s="18" t="n">
        <v>0</v>
      </c>
      <c r="O55" s="18" t="n">
        <v>0</v>
      </c>
      <c r="P55" s="37" t="n">
        <v>0</v>
      </c>
      <c r="Q55" s="18" t="n">
        <v>0</v>
      </c>
      <c r="R55" s="18" t="n">
        <v>0</v>
      </c>
      <c r="S55" s="18" t="n">
        <v>0</v>
      </c>
      <c r="T55" s="18" t="n">
        <v>0</v>
      </c>
      <c r="U55" s="37" t="n">
        <v>0</v>
      </c>
      <c r="V55" s="18" t="n">
        <v>0</v>
      </c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장기금융부채(face)</t>
        </is>
      </c>
      <c r="F56" s="9" t="n"/>
      <c r="K56" s="9" t="n"/>
      <c r="P56" s="9" t="n"/>
      <c r="S56" s="18" t="n">
        <v>0</v>
      </c>
      <c r="T56" s="18" t="n">
        <v>0</v>
      </c>
      <c r="U56" s="37" t="n">
        <v>0</v>
      </c>
      <c r="V56" s="18" t="n">
        <v>0</v>
      </c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계약자산</t>
        </is>
      </c>
      <c r="F57" s="9" t="n"/>
      <c r="K57" s="9" t="n"/>
      <c r="P57" s="9" t="n"/>
      <c r="T57" s="18" t="n">
        <v>1857.79</v>
      </c>
      <c r="U57" s="37" t="n">
        <v>1857.79</v>
      </c>
      <c r="V57" s="18" t="n">
        <v>1913.75</v>
      </c>
      <c r="W57" s="18" t="n">
        <v>1133.26</v>
      </c>
      <c r="X57" s="18" t="n">
        <v>1133.26</v>
      </c>
      <c r="Y57" s="18" t="n">
        <v>1392.83</v>
      </c>
      <c r="Z57" s="37" t="n">
        <v>1392.83</v>
      </c>
      <c r="AA57" s="18" t="n">
        <v>1392.83</v>
      </c>
      <c r="AB57" s="19" t="n">
        <v>1392.83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계약부채</t>
        </is>
      </c>
      <c r="F58" s="9" t="n"/>
      <c r="K58" s="9" t="n"/>
      <c r="P58" s="9" t="n"/>
      <c r="T58" s="18" t="n">
        <v>2639.77</v>
      </c>
      <c r="U58" s="37" t="n">
        <v>2639.77</v>
      </c>
      <c r="V58" s="18" t="n">
        <v>1069.23</v>
      </c>
      <c r="W58" s="18" t="n">
        <v>519.91</v>
      </c>
      <c r="X58" s="18" t="n">
        <v>519.91</v>
      </c>
      <c r="Y58" s="18" t="n">
        <v>0</v>
      </c>
      <c r="Z58" s="37" t="n">
        <v>0</v>
      </c>
      <c r="AA58" s="18" t="n">
        <v>0</v>
      </c>
      <c r="AB58" s="19" t="n">
        <v>0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매출액(수익)</t>
        </is>
      </c>
      <c r="E59" s="18" t="n">
        <v>19189.6</v>
      </c>
      <c r="F59" s="9" t="n"/>
      <c r="G59" s="18" t="n">
        <v>15460.29</v>
      </c>
      <c r="H59" s="18" t="n">
        <v>17129.94</v>
      </c>
      <c r="I59" s="18" t="n">
        <v>18420.39</v>
      </c>
      <c r="J59" s="18" t="n">
        <v>20174.69</v>
      </c>
      <c r="K59" s="37" t="n">
        <v>71185.31</v>
      </c>
      <c r="L59" s="18" t="n">
        <v>13811.68</v>
      </c>
      <c r="M59" s="18" t="n">
        <v>16227.93</v>
      </c>
      <c r="N59" s="18" t="n">
        <v>12058.9</v>
      </c>
      <c r="O59" s="18" t="n">
        <v>15169.37</v>
      </c>
      <c r="P59" s="37" t="n">
        <v>57267.88</v>
      </c>
      <c r="Q59" s="18" t="n">
        <v>18296.41</v>
      </c>
      <c r="R59" s="18" t="n">
        <v>19065.15</v>
      </c>
      <c r="S59" s="18" t="n">
        <v>17139.93</v>
      </c>
      <c r="T59" s="18" t="n">
        <v>30150.32</v>
      </c>
      <c r="U59" s="37" t="n">
        <v>84651.81</v>
      </c>
      <c r="V59" s="18" t="n">
        <v>20166.42</v>
      </c>
      <c r="W59" s="18" t="n">
        <v>22849.01</v>
      </c>
      <c r="X59" s="18" t="n">
        <v>19200.5</v>
      </c>
      <c r="Y59" s="18" t="n">
        <v>31134.14</v>
      </c>
      <c r="Z59" s="37" t="n">
        <v>93350.07000000001</v>
      </c>
      <c r="AA59" s="18" t="n">
        <v>19599.25</v>
      </c>
      <c r="AB59" s="19" t="n">
        <v>21215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매출원가</t>
        </is>
      </c>
      <c r="E60" s="18" t="n">
        <v>15278.53</v>
      </c>
      <c r="F60" s="9" t="n"/>
      <c r="G60" s="18" t="n">
        <v>15235.06</v>
      </c>
      <c r="H60" s="18" t="n">
        <v>16461.47</v>
      </c>
      <c r="I60" s="18" t="n">
        <v>16062.69</v>
      </c>
      <c r="J60" s="18" t="n">
        <v>15482.73</v>
      </c>
      <c r="K60" s="37" t="n">
        <v>63241.95</v>
      </c>
      <c r="L60" s="18" t="n">
        <v>12094.67</v>
      </c>
      <c r="M60" s="18" t="n">
        <v>13421.2</v>
      </c>
      <c r="N60" s="18" t="n">
        <v>10801.54</v>
      </c>
      <c r="O60" s="18" t="n">
        <v>14681.94</v>
      </c>
      <c r="P60" s="37" t="n">
        <v>50999.35</v>
      </c>
      <c r="Q60" s="18" t="n">
        <v>16141.89</v>
      </c>
      <c r="R60" s="18" t="n">
        <v>17649.31</v>
      </c>
      <c r="S60" s="18" t="n">
        <v>17013.2</v>
      </c>
      <c r="T60" s="18" t="n">
        <v>28310.7</v>
      </c>
      <c r="U60" s="37" t="n">
        <v>79115.10000000001</v>
      </c>
      <c r="V60" s="18" t="n">
        <v>18154.57</v>
      </c>
      <c r="W60" s="18" t="n">
        <v>22462.72</v>
      </c>
      <c r="X60" s="18" t="n">
        <v>18508.87</v>
      </c>
      <c r="Y60" s="18" t="n">
        <v>28812.98</v>
      </c>
      <c r="Z60" s="37" t="n">
        <v>87939.14</v>
      </c>
      <c r="AA60" s="18" t="n">
        <v>14279.02</v>
      </c>
      <c r="AB60" s="19" t="n">
        <v>14038.72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매출총이익</t>
        </is>
      </c>
      <c r="E61" s="18" t="n">
        <v>3911.07</v>
      </c>
      <c r="F61" s="9" t="n"/>
      <c r="G61" s="18" t="n">
        <v>225.23</v>
      </c>
      <c r="H61" s="18" t="n">
        <v>668.47</v>
      </c>
      <c r="I61" s="18" t="n">
        <v>2357.71</v>
      </c>
      <c r="J61" s="18" t="n">
        <v>4691.96</v>
      </c>
      <c r="K61" s="37" t="n">
        <v>7943.37</v>
      </c>
      <c r="L61" s="18" t="n">
        <v>1717.01</v>
      </c>
      <c r="M61" s="18" t="n">
        <v>2806.73</v>
      </c>
      <c r="N61" s="18" t="n">
        <v>1257.36</v>
      </c>
      <c r="O61" s="18" t="n">
        <v>487.43</v>
      </c>
      <c r="P61" s="37" t="n">
        <v>6268.53</v>
      </c>
      <c r="Q61" s="18" t="n">
        <v>2154.52</v>
      </c>
      <c r="R61" s="18" t="n">
        <v>1415.84</v>
      </c>
      <c r="S61" s="18" t="n">
        <v>126.73</v>
      </c>
      <c r="T61" s="18" t="n">
        <v>1839.62</v>
      </c>
      <c r="U61" s="37" t="n">
        <v>5536.71</v>
      </c>
      <c r="V61" s="18" t="n">
        <v>2011.85</v>
      </c>
      <c r="W61" s="18" t="n">
        <v>386.28</v>
      </c>
      <c r="X61" s="18" t="n">
        <v>691.64</v>
      </c>
      <c r="Y61" s="18" t="n">
        <v>2321.16</v>
      </c>
      <c r="Z61" s="37" t="n">
        <v>5410.93</v>
      </c>
      <c r="AA61" s="18" t="n">
        <v>5320.23</v>
      </c>
      <c r="AB61" s="19" t="n">
        <v>7176.28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판관비</t>
        </is>
      </c>
      <c r="E62" s="18" t="n">
        <v>1521.66</v>
      </c>
      <c r="F62" s="9" t="n"/>
      <c r="G62" s="18" t="n">
        <v>1938.98</v>
      </c>
      <c r="H62" s="18" t="n">
        <v>2220.71</v>
      </c>
      <c r="I62" s="18" t="n">
        <v>2170.1</v>
      </c>
      <c r="J62" s="18" t="n">
        <v>570.87</v>
      </c>
      <c r="K62" s="37" t="n">
        <v>6900.66</v>
      </c>
      <c r="L62" s="18" t="n">
        <v>2079.41</v>
      </c>
      <c r="M62" s="18" t="n">
        <v>2219.57</v>
      </c>
      <c r="N62" s="18" t="n">
        <v>2482.32</v>
      </c>
      <c r="O62" s="18" t="n">
        <v>2862.14</v>
      </c>
      <c r="P62" s="37" t="n">
        <v>9643.440000000001</v>
      </c>
      <c r="Q62" s="18" t="n">
        <v>2724.58</v>
      </c>
      <c r="R62" s="18" t="n">
        <v>2478.13</v>
      </c>
      <c r="S62" s="18" t="n">
        <v>1639.26</v>
      </c>
      <c r="T62" s="18" t="n">
        <v>4694.66</v>
      </c>
      <c r="U62" s="37" t="n">
        <v>11536.63</v>
      </c>
      <c r="V62" s="18" t="n">
        <v>2417.47</v>
      </c>
      <c r="W62" s="18" t="n">
        <v>2422.11</v>
      </c>
      <c r="X62" s="18" t="n">
        <v>3026.92</v>
      </c>
      <c r="Y62" s="18" t="n">
        <v>3382.12</v>
      </c>
      <c r="Z62" s="37" t="n">
        <v>11248.62</v>
      </c>
      <c r="AA62" s="18" t="n">
        <v>2913.92</v>
      </c>
      <c r="AB62" s="19" t="n">
        <v>4109.23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영업이익</t>
        </is>
      </c>
      <c r="E63" s="18" t="n">
        <v>2389.41</v>
      </c>
      <c r="F63" s="9" t="n"/>
      <c r="G63" s="18" t="n">
        <v>-1713.75</v>
      </c>
      <c r="H63" s="18" t="n">
        <v>-1552.24</v>
      </c>
      <c r="I63" s="18" t="n">
        <v>187.6</v>
      </c>
      <c r="J63" s="18" t="n">
        <v>4121.09</v>
      </c>
      <c r="K63" s="37" t="n">
        <v>1042.7</v>
      </c>
      <c r="L63" s="18" t="n">
        <v>-362.4</v>
      </c>
      <c r="M63" s="18" t="n">
        <v>587.16</v>
      </c>
      <c r="N63" s="18" t="n">
        <v>-1224.96</v>
      </c>
      <c r="O63" s="18" t="n">
        <v>-2374.72</v>
      </c>
      <c r="P63" s="37" t="n">
        <v>-3374.92</v>
      </c>
      <c r="Q63" s="18" t="n">
        <v>-570.0599999999999</v>
      </c>
      <c r="R63" s="18" t="n">
        <v>-1062.29</v>
      </c>
      <c r="S63" s="18" t="n">
        <v>-1512.53</v>
      </c>
      <c r="T63" s="18" t="n">
        <v>-2855.03</v>
      </c>
      <c r="U63" s="37" t="n">
        <v>-5999.91</v>
      </c>
      <c r="V63" s="18" t="n">
        <v>-405.62</v>
      </c>
      <c r="W63" s="18" t="n">
        <v>-2035.82</v>
      </c>
      <c r="X63" s="18" t="n">
        <v>-2335.28</v>
      </c>
      <c r="Y63" s="18" t="n">
        <v>-1060.97</v>
      </c>
      <c r="Z63" s="37" t="n">
        <v>-5837.69</v>
      </c>
      <c r="AA63" s="18" t="n">
        <v>2406.31</v>
      </c>
      <c r="AB63" s="19" t="n">
        <v>3067.05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기타영업외수익</t>
        </is>
      </c>
      <c r="E64" s="18" t="n">
        <v>5045.85</v>
      </c>
      <c r="F64" s="9" t="n"/>
      <c r="G64" s="18" t="n">
        <v>385.92</v>
      </c>
      <c r="H64" s="18" t="n">
        <v>837.9400000000001</v>
      </c>
      <c r="I64" s="18" t="n">
        <v>1915.2</v>
      </c>
      <c r="J64" s="18" t="n">
        <v>1044.14</v>
      </c>
      <c r="K64" s="37" t="n">
        <v>4183.2</v>
      </c>
      <c r="L64" s="18" t="n">
        <v>652.4400000000001</v>
      </c>
      <c r="M64" s="18" t="n">
        <v>22.76</v>
      </c>
      <c r="N64" s="18" t="n">
        <v>1320.17</v>
      </c>
      <c r="O64" s="18" t="n">
        <v>76727.95</v>
      </c>
      <c r="P64" s="37" t="n">
        <v>78723.32000000001</v>
      </c>
      <c r="Q64" s="18" t="n">
        <v>529.24</v>
      </c>
      <c r="R64" s="18" t="n">
        <v>448.66</v>
      </c>
      <c r="S64" s="18" t="n">
        <v>-83.53</v>
      </c>
      <c r="T64" s="18" t="n">
        <v>2997.63</v>
      </c>
      <c r="U64" s="37" t="n">
        <v>3892</v>
      </c>
      <c r="V64" s="18" t="n">
        <v>959.7</v>
      </c>
      <c r="W64" s="18" t="n">
        <v>183.87</v>
      </c>
      <c r="X64" s="18" t="n">
        <v>774.36</v>
      </c>
      <c r="Y64" s="18" t="n">
        <v>538.73</v>
      </c>
      <c r="Z64" s="37" t="n">
        <v>2456.66</v>
      </c>
      <c r="AA64" s="18" t="n">
        <v>626.85</v>
      </c>
      <c r="AB64" s="19" t="n">
        <v>1195.08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기타영업외비용</t>
        </is>
      </c>
      <c r="E65" s="18" t="n">
        <v>328.49</v>
      </c>
      <c r="F65" s="9" t="n"/>
      <c r="G65" s="18" t="n">
        <v>158.6</v>
      </c>
      <c r="H65" s="18" t="n">
        <v>1311.03</v>
      </c>
      <c r="I65" s="18" t="n">
        <v>587.53</v>
      </c>
      <c r="J65" s="18" t="n">
        <v>1702.01</v>
      </c>
      <c r="K65" s="37" t="n">
        <v>3759.17</v>
      </c>
      <c r="L65" s="18" t="n">
        <v>429.02</v>
      </c>
      <c r="M65" s="18" t="n">
        <v>292.11</v>
      </c>
      <c r="N65" s="18" t="n">
        <v>238.6</v>
      </c>
      <c r="O65" s="18" t="n">
        <v>2951.66</v>
      </c>
      <c r="P65" s="37" t="n">
        <v>3911.39</v>
      </c>
      <c r="Q65" s="18" t="n">
        <v>196.14</v>
      </c>
      <c r="R65" s="18" t="n">
        <v>172.84</v>
      </c>
      <c r="S65" s="18" t="n">
        <v>272.67</v>
      </c>
      <c r="T65" s="18" t="n">
        <v>161.78</v>
      </c>
      <c r="U65" s="37" t="n">
        <v>803.4299999999999</v>
      </c>
      <c r="V65" s="18" t="n">
        <v>904.48</v>
      </c>
      <c r="W65" s="18" t="n">
        <v>798.23</v>
      </c>
      <c r="X65" s="18" t="n">
        <v>870.95</v>
      </c>
      <c r="Y65" s="18" t="n">
        <v>2931.62</v>
      </c>
      <c r="Z65" s="37" t="n">
        <v>5505.28</v>
      </c>
      <c r="AA65" s="18" t="n">
        <v>268.63</v>
      </c>
      <c r="AB65" s="19" t="n">
        <v>1752.46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금융수익</t>
        </is>
      </c>
      <c r="E66" s="18" t="n">
        <v>-1083.77</v>
      </c>
      <c r="F66" s="9" t="n"/>
      <c r="G66" s="18" t="n">
        <v>401.39</v>
      </c>
      <c r="H66" s="18" t="n">
        <v>2572.16</v>
      </c>
      <c r="I66" s="18" t="n">
        <v>663.64</v>
      </c>
      <c r="J66" s="18" t="n">
        <v>889.6900000000001</v>
      </c>
      <c r="K66" s="37" t="n">
        <v>4526.88</v>
      </c>
      <c r="L66" s="18" t="n">
        <v>905.01</v>
      </c>
      <c r="M66" s="18" t="n">
        <v>731.0700000000001</v>
      </c>
      <c r="N66" s="18" t="n">
        <v>534.55</v>
      </c>
      <c r="O66" s="18" t="n">
        <v>301.01</v>
      </c>
      <c r="P66" s="37" t="n">
        <v>2471.64</v>
      </c>
      <c r="Q66" s="18" t="n">
        <v>1488.37</v>
      </c>
      <c r="R66" s="18" t="n">
        <v>1260.73</v>
      </c>
      <c r="S66" s="18" t="n">
        <v>916.39</v>
      </c>
      <c r="T66" s="18" t="n">
        <v>1533.31</v>
      </c>
      <c r="U66" s="37" t="n">
        <v>5198.8</v>
      </c>
      <c r="V66" s="18" t="n">
        <v>967.15</v>
      </c>
      <c r="W66" s="18" t="n">
        <v>415.89</v>
      </c>
      <c r="X66" s="18" t="n">
        <v>445.47</v>
      </c>
      <c r="Y66" s="18" t="n">
        <v>610.11</v>
      </c>
      <c r="Z66" s="37" t="n">
        <v>2438.62</v>
      </c>
      <c r="AA66" s="18" t="n">
        <v>1513.78</v>
      </c>
      <c r="AB66" s="19" t="n">
        <v>794.99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금융비용</t>
        </is>
      </c>
      <c r="E67" s="18" t="n">
        <v>-1779.84</v>
      </c>
      <c r="F67" s="9" t="n"/>
      <c r="G67" s="18" t="n">
        <v>365.3</v>
      </c>
      <c r="H67" s="18" t="n">
        <v>349.19</v>
      </c>
      <c r="I67" s="18" t="n">
        <v>364.67</v>
      </c>
      <c r="J67" s="18" t="n">
        <v>1090.45</v>
      </c>
      <c r="K67" s="37" t="n">
        <v>2169.61</v>
      </c>
      <c r="L67" s="18" t="n">
        <v>392.91</v>
      </c>
      <c r="M67" s="18" t="n">
        <v>117.64</v>
      </c>
      <c r="N67" s="18" t="n">
        <v>-8.19</v>
      </c>
      <c r="O67" s="18" t="n">
        <v>209.65</v>
      </c>
      <c r="P67" s="37" t="n">
        <v>712.01</v>
      </c>
      <c r="Q67" s="18" t="n">
        <v>0.98</v>
      </c>
      <c r="R67" s="18" t="n">
        <v>2.16</v>
      </c>
      <c r="S67" s="18" t="n">
        <v>374.94</v>
      </c>
      <c r="T67" s="18" t="n">
        <v>-281.07</v>
      </c>
      <c r="U67" s="37" t="n">
        <v>97.01000000000001</v>
      </c>
      <c r="V67" s="18" t="n">
        <v>48.43</v>
      </c>
      <c r="W67" s="18" t="n">
        <v>1555.78</v>
      </c>
      <c r="X67" s="18" t="n">
        <v>-949.39</v>
      </c>
      <c r="Y67" s="18" t="n">
        <v>155.27</v>
      </c>
      <c r="Z67" s="37" t="n">
        <v>810.09</v>
      </c>
      <c r="AA67" s="18" t="n">
        <v>12.82</v>
      </c>
      <c r="AB67" s="19" t="n">
        <v>11.02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법인세비용차감전계속사업이익</t>
        </is>
      </c>
      <c r="E68" s="18" t="n">
        <v>7802.84</v>
      </c>
      <c r="F68" s="9" t="n"/>
      <c r="G68" s="18" t="n">
        <v>-1450.33</v>
      </c>
      <c r="H68" s="18" t="n">
        <v>197.65</v>
      </c>
      <c r="I68" s="18" t="n">
        <v>1814.25</v>
      </c>
      <c r="J68" s="18" t="n">
        <v>3262.47</v>
      </c>
      <c r="K68" s="37" t="n">
        <v>3824.04</v>
      </c>
      <c r="L68" s="18" t="n">
        <v>373.12</v>
      </c>
      <c r="M68" s="18" t="n">
        <v>931.24</v>
      </c>
      <c r="N68" s="18" t="n">
        <v>399.35</v>
      </c>
      <c r="O68" s="18" t="n">
        <v>71492.94</v>
      </c>
      <c r="P68" s="37" t="n">
        <v>73196.64999999999</v>
      </c>
      <c r="Q68" s="18" t="n">
        <v>1250.43</v>
      </c>
      <c r="R68" s="18" t="n">
        <v>472.11</v>
      </c>
      <c r="S68" s="18" t="n">
        <v>-1327.29</v>
      </c>
      <c r="T68" s="18" t="n">
        <v>1795.21</v>
      </c>
      <c r="U68" s="37" t="n">
        <v>2190.46</v>
      </c>
      <c r="V68" s="18" t="n">
        <v>568.3200000000001</v>
      </c>
      <c r="W68" s="18" t="n">
        <v>-3790.08</v>
      </c>
      <c r="X68" s="18" t="n">
        <v>-1037.01</v>
      </c>
      <c r="Y68" s="18" t="n">
        <v>-2999.01</v>
      </c>
      <c r="Z68" s="37" t="n">
        <v>-7257.78</v>
      </c>
      <c r="AA68" s="18" t="n">
        <v>4265.48</v>
      </c>
      <c r="AB68" s="19" t="n">
        <v>3293.64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</t>
        </is>
      </c>
      <c r="E69" s="18" t="n">
        <v>0</v>
      </c>
      <c r="F69" s="9" t="n"/>
      <c r="G69" s="18" t="n">
        <v>0</v>
      </c>
      <c r="H69" s="18" t="n">
        <v>0</v>
      </c>
      <c r="I69" s="18" t="n">
        <v>0</v>
      </c>
      <c r="J69" s="18" t="n">
        <v>0</v>
      </c>
      <c r="K69" s="37" t="n">
        <v>0</v>
      </c>
      <c r="L69" s="18" t="n">
        <v>55.81</v>
      </c>
      <c r="M69" s="18" t="n">
        <v>11.19</v>
      </c>
      <c r="N69" s="18" t="n">
        <v>0</v>
      </c>
      <c r="O69" s="18" t="n">
        <v>4427.26</v>
      </c>
      <c r="P69" s="37" t="n">
        <v>4494.26</v>
      </c>
      <c r="Q69" s="18" t="n">
        <v>0</v>
      </c>
      <c r="R69" s="18" t="n">
        <v>297.01</v>
      </c>
      <c r="S69" s="18" t="n">
        <v>0</v>
      </c>
      <c r="T69" s="18" t="n">
        <v>0</v>
      </c>
      <c r="U69" s="37" t="n">
        <v>297.01</v>
      </c>
      <c r="V69" s="18" t="n">
        <v>0</v>
      </c>
      <c r="W69" s="18" t="n">
        <v>0</v>
      </c>
      <c r="X69" s="18" t="n">
        <v>0</v>
      </c>
      <c r="Y69" s="18" t="n">
        <v>0</v>
      </c>
      <c r="Z69" s="37" t="n">
        <v>0</v>
      </c>
      <c r="AA69" s="18" t="n">
        <v>0</v>
      </c>
      <c r="AB69" s="19" t="n">
        <v>771.52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계속사업이익</t>
        </is>
      </c>
      <c r="E70" s="18" t="n">
        <v>7802.84</v>
      </c>
      <c r="F70" s="9" t="n"/>
      <c r="G70" s="18" t="n">
        <v>-1450.33</v>
      </c>
      <c r="H70" s="18" t="n">
        <v>197.65</v>
      </c>
      <c r="I70" s="18" t="n">
        <v>1814.25</v>
      </c>
      <c r="J70" s="18" t="n">
        <v>3262.47</v>
      </c>
      <c r="K70" s="37" t="n">
        <v>3824.04</v>
      </c>
      <c r="L70" s="18" t="n">
        <v>317.31</v>
      </c>
      <c r="M70" s="18" t="n">
        <v>920.05</v>
      </c>
      <c r="N70" s="18" t="n">
        <v>399.35</v>
      </c>
      <c r="O70" s="18" t="n">
        <v>67065.67999999999</v>
      </c>
      <c r="P70" s="37" t="n">
        <v>68702.39</v>
      </c>
      <c r="Q70" s="18" t="n">
        <v>1250.43</v>
      </c>
      <c r="R70" s="18" t="n">
        <v>175.09</v>
      </c>
      <c r="S70" s="18" t="n">
        <v>-1327.29</v>
      </c>
      <c r="T70" s="18" t="n">
        <v>1795.21</v>
      </c>
      <c r="U70" s="37" t="n">
        <v>1893.44</v>
      </c>
      <c r="V70" s="18" t="n">
        <v>568.3200000000001</v>
      </c>
      <c r="W70" s="18" t="n">
        <v>-3790.08</v>
      </c>
      <c r="X70" s="18" t="n">
        <v>-1037.01</v>
      </c>
      <c r="Y70" s="18" t="n">
        <v>-2999.01</v>
      </c>
      <c r="Z70" s="37" t="n">
        <v>-7257.78</v>
      </c>
      <c r="AA70" s="18" t="n">
        <v>4265.48</v>
      </c>
      <c r="AB70" s="19" t="n">
        <v>2522.12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7802.84</v>
      </c>
      <c r="F71" s="9" t="n"/>
      <c r="G71" s="18" t="n">
        <v>-1450.33</v>
      </c>
      <c r="H71" s="18" t="n">
        <v>197.65</v>
      </c>
      <c r="I71" s="18" t="n">
        <v>1814.25</v>
      </c>
      <c r="J71" s="18" t="n">
        <v>3262.47</v>
      </c>
      <c r="K71" s="37" t="n">
        <v>3824.04</v>
      </c>
      <c r="L71" s="18" t="n">
        <v>317.31</v>
      </c>
      <c r="M71" s="18" t="n">
        <v>920.05</v>
      </c>
      <c r="N71" s="18" t="n">
        <v>399.35</v>
      </c>
      <c r="O71" s="18" t="n">
        <v>67013.42999999999</v>
      </c>
      <c r="P71" s="37" t="n">
        <v>68650.14</v>
      </c>
      <c r="Q71" s="18" t="n">
        <v>1250.43</v>
      </c>
      <c r="R71" s="18" t="n">
        <v>175.09</v>
      </c>
      <c r="S71" s="18" t="n">
        <v>-1327.29</v>
      </c>
      <c r="T71" s="18" t="n">
        <v>1795.21</v>
      </c>
      <c r="U71" s="37" t="n">
        <v>1893.44</v>
      </c>
      <c r="V71" s="18" t="n">
        <v>568.3200000000001</v>
      </c>
      <c r="W71" s="18" t="n">
        <v>-3790.08</v>
      </c>
      <c r="X71" s="18" t="n">
        <v>-1037.01</v>
      </c>
      <c r="Y71" s="18" t="n">
        <v>-2999.01</v>
      </c>
      <c r="Z71" s="37" t="n">
        <v>-7257.78</v>
      </c>
      <c r="AA71" s="18" t="n">
        <v>4265.48</v>
      </c>
      <c r="AB71" s="19" t="n">
        <v>2522.12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9072.17</v>
      </c>
      <c r="F72" s="9" t="n"/>
      <c r="G72" s="18" t="n">
        <v>-1450.33</v>
      </c>
      <c r="H72" s="18" t="n">
        <v>197.65</v>
      </c>
      <c r="I72" s="18" t="n">
        <v>1814.25</v>
      </c>
      <c r="J72" s="18" t="n">
        <v>4008.58</v>
      </c>
      <c r="K72" s="37" t="n">
        <v>4570.15</v>
      </c>
      <c r="L72" s="18" t="n">
        <v>317.31</v>
      </c>
      <c r="M72" s="18" t="n">
        <v>722.87</v>
      </c>
      <c r="N72" s="18" t="n">
        <v>399.35</v>
      </c>
      <c r="O72" s="18" t="n">
        <v>67013.42999999999</v>
      </c>
      <c r="P72" s="37" t="n">
        <v>68452.96000000001</v>
      </c>
      <c r="Q72" s="18" t="n">
        <v>1250.43</v>
      </c>
      <c r="R72" s="18" t="n">
        <v>175.09</v>
      </c>
      <c r="S72" s="18" t="n">
        <v>-1327.29</v>
      </c>
      <c r="T72" s="18" t="n">
        <v>1795.21</v>
      </c>
      <c r="U72" s="37" t="n">
        <v>1893.44</v>
      </c>
      <c r="V72" s="18" t="n">
        <v>568.3200000000001</v>
      </c>
      <c r="W72" s="18" t="n">
        <v>-3790.08</v>
      </c>
      <c r="X72" s="18" t="n">
        <v>-1037.01</v>
      </c>
      <c r="Y72" s="18" t="n">
        <v>-2999.01</v>
      </c>
      <c r="Z72" s="37" t="n">
        <v>-7257.78</v>
      </c>
      <c r="AA72" s="18" t="n">
        <v>4265.48</v>
      </c>
      <c r="AB72" s="19" t="n">
        <v>2522.12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18" t="n">
        <v>696.0700000000001</v>
      </c>
      <c r="F73" s="9" t="n"/>
      <c r="G73" s="18" t="n">
        <v>36.09</v>
      </c>
      <c r="H73" s="18" t="n">
        <v>2222.97</v>
      </c>
      <c r="I73" s="18" t="n">
        <v>298.97</v>
      </c>
      <c r="J73" s="18" t="n">
        <v>-200.76</v>
      </c>
      <c r="K73" s="37" t="n">
        <v>2357.27</v>
      </c>
      <c r="L73" s="18" t="n">
        <v>512.1</v>
      </c>
      <c r="M73" s="18" t="n">
        <v>613.4299999999999</v>
      </c>
      <c r="N73" s="18" t="n">
        <v>542.74</v>
      </c>
      <c r="O73" s="18" t="n">
        <v>91.36</v>
      </c>
      <c r="P73" s="37" t="n">
        <v>1759.63</v>
      </c>
      <c r="Q73" s="18" t="n">
        <v>1487.39</v>
      </c>
      <c r="R73" s="18" t="n">
        <v>1258.57</v>
      </c>
      <c r="S73" s="18" t="n">
        <v>541.45</v>
      </c>
      <c r="T73" s="18" t="n">
        <v>1814.38</v>
      </c>
      <c r="U73" s="37" t="n">
        <v>5101.79</v>
      </c>
      <c r="V73" s="18" t="n">
        <v>918.72</v>
      </c>
      <c r="W73" s="18" t="n">
        <v>-1139.89</v>
      </c>
      <c r="X73" s="18" t="n">
        <v>1394.86</v>
      </c>
      <c r="Y73" s="18" t="n">
        <v>454.84</v>
      </c>
      <c r="Z73" s="37" t="n">
        <v>1628.53</v>
      </c>
      <c r="AA73" s="18" t="n">
        <v>1500.96</v>
      </c>
      <c r="AB73" s="19" t="n">
        <v>783.97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</t>
        </is>
      </c>
      <c r="E74" s="18" t="n">
        <v>4717.36</v>
      </c>
      <c r="F74" s="9" t="n"/>
      <c r="G74" s="18" t="n">
        <v>227.32</v>
      </c>
      <c r="H74" s="18" t="n">
        <v>-473.09</v>
      </c>
      <c r="I74" s="18" t="n">
        <v>1327.67</v>
      </c>
      <c r="J74" s="18" t="n">
        <v>-657.87</v>
      </c>
      <c r="K74" s="37" t="n">
        <v>424.03</v>
      </c>
      <c r="L74" s="18" t="n">
        <v>223.42</v>
      </c>
      <c r="M74" s="18" t="n">
        <v>-269.35</v>
      </c>
      <c r="N74" s="18" t="n">
        <v>1081.57</v>
      </c>
      <c r="O74" s="18" t="n">
        <v>73776.28999999999</v>
      </c>
      <c r="P74" s="37" t="n">
        <v>74811.92999999999</v>
      </c>
      <c r="Q74" s="18" t="n">
        <v>333.1</v>
      </c>
      <c r="R74" s="18" t="n">
        <v>275.82</v>
      </c>
      <c r="S74" s="18" t="n">
        <v>-356.2</v>
      </c>
      <c r="T74" s="18" t="n">
        <v>2835.85</v>
      </c>
      <c r="U74" s="37" t="n">
        <v>3088.57</v>
      </c>
      <c r="V74" s="18" t="n">
        <v>55.22</v>
      </c>
      <c r="W74" s="18" t="n">
        <v>-614.36</v>
      </c>
      <c r="X74" s="18" t="n">
        <v>-96.59</v>
      </c>
      <c r="Y74" s="18" t="n">
        <v>-2392.89</v>
      </c>
      <c r="Z74" s="37" t="n">
        <v>-3048.62</v>
      </c>
      <c r="AA74" s="18" t="n">
        <v>358.22</v>
      </c>
      <c r="AB74" s="19" t="n">
        <v>-557.38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18" t="n">
        <v>7802.84</v>
      </c>
      <c r="F75" s="9" t="n"/>
      <c r="G75" s="18" t="n">
        <v>-1450.33</v>
      </c>
      <c r="H75" s="18" t="n">
        <v>197.65</v>
      </c>
      <c r="I75" s="18" t="n">
        <v>1814.25</v>
      </c>
      <c r="J75" s="18" t="n">
        <v>3262.47</v>
      </c>
      <c r="K75" s="37" t="n">
        <v>3824.04</v>
      </c>
      <c r="L75" s="18" t="n">
        <v>317.31</v>
      </c>
      <c r="M75" s="18" t="n">
        <v>920.05</v>
      </c>
      <c r="N75" s="18" t="n">
        <v>399.35</v>
      </c>
      <c r="O75" s="18" t="n">
        <v>67013.42999999999</v>
      </c>
      <c r="P75" s="37" t="n">
        <v>68650.14</v>
      </c>
      <c r="Q75" s="18" t="n">
        <v>1250.43</v>
      </c>
      <c r="R75" s="18" t="n">
        <v>175.09</v>
      </c>
      <c r="S75" s="18" t="n">
        <v>-1327.29</v>
      </c>
      <c r="T75" s="18" t="n">
        <v>1795.21</v>
      </c>
      <c r="U75" s="37" t="n">
        <v>1893.44</v>
      </c>
      <c r="V75" s="18" t="n">
        <v>568.3200000000001</v>
      </c>
      <c r="W75" s="18" t="n">
        <v>-3790.08</v>
      </c>
      <c r="X75" s="18" t="n">
        <v>-1037.01</v>
      </c>
      <c r="Y75" s="18" t="n">
        <v>-2999.01</v>
      </c>
      <c r="Z75" s="37" t="n">
        <v>-7257.78</v>
      </c>
      <c r="AA75" s="18" t="n">
        <v>4265.48</v>
      </c>
      <c r="AB75" s="19" t="n">
        <v>2522.12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중단사업이익</t>
        </is>
      </c>
      <c r="F76" s="9" t="n"/>
      <c r="G76" s="18" t="n">
        <v>0</v>
      </c>
      <c r="H76" s="18" t="n">
        <v>0</v>
      </c>
      <c r="I76" s="18" t="n">
        <v>0</v>
      </c>
      <c r="J76" s="18" t="n">
        <v>0</v>
      </c>
      <c r="K76" s="37" t="n">
        <v>0</v>
      </c>
      <c r="L76" s="18" t="n">
        <v>0</v>
      </c>
      <c r="M76" s="18" t="n">
        <v>0</v>
      </c>
      <c r="N76" s="18" t="n">
        <v>0</v>
      </c>
      <c r="O76" s="18" t="n">
        <v>-52.25</v>
      </c>
      <c r="P76" s="37" t="n">
        <v>-52.25</v>
      </c>
      <c r="Q76" s="18" t="n">
        <v>0</v>
      </c>
      <c r="R76" s="18" t="n">
        <v>0</v>
      </c>
      <c r="S76" s="18" t="n">
        <v>0</v>
      </c>
      <c r="T76" s="18" t="n">
        <v>0</v>
      </c>
      <c r="U76" s="37" t="n">
        <v>0</v>
      </c>
      <c r="V76" s="18" t="n">
        <v>0</v>
      </c>
      <c r="W76" s="18" t="n">
        <v>0</v>
      </c>
      <c r="X76" s="18" t="n">
        <v>0</v>
      </c>
      <c r="Y76" s="18" t="n">
        <v>0</v>
      </c>
      <c r="Z76" s="37" t="n">
        <v>0</v>
      </c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영업활동으로인한현금흐름</t>
        </is>
      </c>
      <c r="E77" s="18" t="n">
        <v>-1884.77</v>
      </c>
      <c r="F77" s="9" t="n"/>
      <c r="G77" s="18" t="n">
        <v>140.86</v>
      </c>
      <c r="H77" s="18" t="n">
        <v>-2736.54</v>
      </c>
      <c r="I77" s="18" t="n">
        <v>1137.83</v>
      </c>
      <c r="J77" s="18" t="n">
        <v>1615.85</v>
      </c>
      <c r="K77" s="37" t="n">
        <v>158</v>
      </c>
      <c r="L77" s="18" t="n">
        <v>3370.61</v>
      </c>
      <c r="M77" s="18" t="n">
        <v>653.08</v>
      </c>
      <c r="N77" s="18" t="n">
        <v>-1315.66</v>
      </c>
      <c r="O77" s="18" t="n">
        <v>-547.77</v>
      </c>
      <c r="P77" s="37" t="n">
        <v>2160.26</v>
      </c>
      <c r="Q77" s="18" t="n">
        <v>-4976.02</v>
      </c>
      <c r="R77" s="18" t="n">
        <v>-484.71</v>
      </c>
      <c r="S77" s="18" t="n">
        <v>-2832</v>
      </c>
      <c r="T77" s="18" t="n">
        <v>-731.01</v>
      </c>
      <c r="U77" s="37" t="n">
        <v>-9023.74</v>
      </c>
      <c r="V77" s="18" t="n">
        <v>-12062.15</v>
      </c>
      <c r="W77" s="18" t="n">
        <v>1106.54</v>
      </c>
      <c r="X77" s="18" t="n">
        <v>-412.18</v>
      </c>
      <c r="Y77" s="18" t="n">
        <v>5845.75</v>
      </c>
      <c r="Z77" s="37" t="n">
        <v>-5522.04</v>
      </c>
      <c r="AA77" s="18" t="n">
        <v>1611.53</v>
      </c>
      <c r="AB77" s="19" t="n">
        <v>4893.31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법인세납부(CF)</t>
        </is>
      </c>
      <c r="E78" s="18" t="n">
        <v>-10.6</v>
      </c>
      <c r="F78" s="9" t="n"/>
      <c r="G78" s="18" t="n">
        <v>-19.14</v>
      </c>
      <c r="H78" s="18" t="n">
        <v>8.699999999999999</v>
      </c>
      <c r="I78" s="18" t="n">
        <v>-38.22</v>
      </c>
      <c r="J78" s="18" t="n">
        <v>-44.46</v>
      </c>
      <c r="K78" s="37" t="n">
        <v>-93.12</v>
      </c>
      <c r="L78" s="18" t="n">
        <v>-176.67</v>
      </c>
      <c r="M78" s="18" t="n">
        <v>68.88</v>
      </c>
      <c r="N78" s="18" t="n">
        <v>-40.36</v>
      </c>
      <c r="O78" s="18" t="n">
        <v>-57.26</v>
      </c>
      <c r="P78" s="37" t="n">
        <v>-205.41</v>
      </c>
      <c r="Q78" s="18" t="n">
        <v>-49.4</v>
      </c>
      <c r="R78" s="18" t="n">
        <v>-4513.07</v>
      </c>
      <c r="S78" s="18" t="n">
        <v>-294.82</v>
      </c>
      <c r="T78" s="18" t="n">
        <v>-36.55</v>
      </c>
      <c r="U78" s="37" t="n">
        <v>-4893.84</v>
      </c>
      <c r="V78" s="18" t="n">
        <v>-252.38</v>
      </c>
      <c r="W78" s="18" t="n">
        <v>398.44</v>
      </c>
      <c r="X78" s="18" t="n">
        <v>-159.91</v>
      </c>
      <c r="Y78" s="18" t="n">
        <v>-12.66</v>
      </c>
      <c r="Z78" s="37" t="n">
        <v>-26.51</v>
      </c>
      <c r="AA78" s="18" t="n">
        <v>-49.86</v>
      </c>
      <c r="AB78" s="19" t="n">
        <v>426.78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투자활동으로인한현금흐름</t>
        </is>
      </c>
      <c r="E79" s="18" t="n">
        <v>22715.38</v>
      </c>
      <c r="F79" s="9" t="n"/>
      <c r="G79" s="18" t="n">
        <v>-20925.56</v>
      </c>
      <c r="H79" s="18" t="n">
        <v>1495.66</v>
      </c>
      <c r="I79" s="18" t="n">
        <v>-9705.52</v>
      </c>
      <c r="J79" s="18" t="n">
        <v>4177.93</v>
      </c>
      <c r="K79" s="37" t="n">
        <v>-24957.49</v>
      </c>
      <c r="L79" s="18" t="n">
        <v>-609.99</v>
      </c>
      <c r="M79" s="18" t="n">
        <v>3436.77</v>
      </c>
      <c r="N79" s="18" t="n">
        <v>-1471.45</v>
      </c>
      <c r="O79" s="18" t="n">
        <v>-282.03</v>
      </c>
      <c r="P79" s="37" t="n">
        <v>1073.3</v>
      </c>
      <c r="Q79" s="18" t="n">
        <v>247.7</v>
      </c>
      <c r="R79" s="18" t="n">
        <v>-1267.37</v>
      </c>
      <c r="S79" s="18" t="n">
        <v>4842.45</v>
      </c>
      <c r="T79" s="18" t="n">
        <v>5194.08</v>
      </c>
      <c r="U79" s="37" t="n">
        <v>9016.860000000001</v>
      </c>
      <c r="V79" s="18" t="n">
        <v>19251.22</v>
      </c>
      <c r="W79" s="18" t="n">
        <v>-2818.15</v>
      </c>
      <c r="X79" s="18" t="n">
        <v>18900.57</v>
      </c>
      <c r="Y79" s="18" t="n">
        <v>-5822.12</v>
      </c>
      <c r="Z79" s="37" t="n">
        <v>29511.52</v>
      </c>
      <c r="AA79" s="18" t="n">
        <v>-724.09</v>
      </c>
      <c r="AB79" s="19" t="n">
        <v>23654.95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유형자산의감소</t>
        </is>
      </c>
      <c r="E80" s="18" t="n">
        <v>17596.91</v>
      </c>
      <c r="F80" s="9" t="n"/>
      <c r="G80" s="18" t="n">
        <v>0</v>
      </c>
      <c r="H80" s="18" t="n">
        <v>0.45</v>
      </c>
      <c r="I80" s="18" t="n">
        <v>43.91</v>
      </c>
      <c r="J80" s="18" t="n">
        <v>5382.71</v>
      </c>
      <c r="K80" s="37" t="n">
        <v>5427.07</v>
      </c>
      <c r="L80" s="18" t="n">
        <v>0</v>
      </c>
      <c r="M80" s="18" t="n">
        <v>0</v>
      </c>
      <c r="N80" s="18" t="n">
        <v>0</v>
      </c>
      <c r="O80" s="18" t="n">
        <v>38.25</v>
      </c>
      <c r="P80" s="37" t="n">
        <v>38.25</v>
      </c>
      <c r="Q80" s="18" t="n">
        <v>1.82</v>
      </c>
      <c r="R80" s="18" t="n">
        <v>317.85</v>
      </c>
      <c r="S80" s="18" t="n">
        <v>0</v>
      </c>
      <c r="T80" s="18" t="n">
        <v>0</v>
      </c>
      <c r="U80" s="37" t="n">
        <v>319.67</v>
      </c>
      <c r="V80" s="18" t="n">
        <v>6.2</v>
      </c>
      <c r="W80" s="18" t="n">
        <v>0</v>
      </c>
      <c r="X80" s="18" t="n">
        <v>0</v>
      </c>
      <c r="Y80" s="18" t="n">
        <v>0</v>
      </c>
      <c r="Z80" s="37" t="n">
        <v>6.2</v>
      </c>
      <c r="AA80" s="18" t="n">
        <v>0</v>
      </c>
      <c r="AB80" s="19" t="n">
        <v>0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유형자산의증가</t>
        </is>
      </c>
      <c r="E81" s="18" t="n">
        <v>1945.15</v>
      </c>
      <c r="F81" s="9" t="n"/>
      <c r="G81" s="18" t="n">
        <v>2915.89</v>
      </c>
      <c r="H81" s="18" t="n">
        <v>1933.64</v>
      </c>
      <c r="I81" s="18" t="n">
        <v>1048.48</v>
      </c>
      <c r="K81" s="9" t="n"/>
      <c r="L81" s="18" t="n">
        <v>30.04</v>
      </c>
      <c r="M81" s="18" t="n">
        <v>445.67</v>
      </c>
      <c r="N81" s="18" t="n">
        <v>129.88</v>
      </c>
      <c r="O81" s="18" t="n">
        <v>326.13</v>
      </c>
      <c r="P81" s="37" t="n">
        <v>931.72</v>
      </c>
      <c r="Q81" s="18" t="n">
        <v>748.8099999999999</v>
      </c>
      <c r="R81" s="18" t="n">
        <v>1395.31</v>
      </c>
      <c r="S81" s="18" t="n">
        <v>216.26</v>
      </c>
      <c r="T81" s="18" t="n">
        <v>198.28</v>
      </c>
      <c r="U81" s="37" t="n">
        <v>2558.66</v>
      </c>
      <c r="V81" s="18" t="n">
        <v>3.85</v>
      </c>
      <c r="W81" s="18" t="n">
        <v>1063.08</v>
      </c>
      <c r="X81" s="18" t="n">
        <v>5068.22</v>
      </c>
      <c r="Y81" s="18" t="n">
        <v>6473.21</v>
      </c>
      <c r="Z81" s="37" t="n">
        <v>12608.36</v>
      </c>
      <c r="AA81" s="18" t="n">
        <v>826.95</v>
      </c>
      <c r="AB81" s="19" t="n">
        <v>414.76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CAPEX</t>
        </is>
      </c>
      <c r="E82" s="18" t="n">
        <v>1945.15</v>
      </c>
      <c r="F82" s="9" t="n"/>
      <c r="G82" s="18" t="n">
        <v>2915.89</v>
      </c>
      <c r="H82" s="18" t="n">
        <v>1933.64</v>
      </c>
      <c r="I82" s="18" t="n">
        <v>1048.48</v>
      </c>
      <c r="J82" s="18" t="n">
        <v>0</v>
      </c>
      <c r="K82" s="37" t="n">
        <v>5898.01</v>
      </c>
      <c r="L82" s="18" t="n">
        <v>30.04</v>
      </c>
      <c r="M82" s="18" t="n">
        <v>445.67</v>
      </c>
      <c r="N82" s="18" t="n">
        <v>129.88</v>
      </c>
      <c r="O82" s="18" t="n">
        <v>326.13</v>
      </c>
      <c r="P82" s="37" t="n">
        <v>931.72</v>
      </c>
      <c r="Q82" s="18" t="n">
        <v>748.8099999999999</v>
      </c>
      <c r="R82" s="18" t="n">
        <v>1395.31</v>
      </c>
      <c r="S82" s="18" t="n">
        <v>216.26</v>
      </c>
      <c r="T82" s="18" t="n">
        <v>198.28</v>
      </c>
      <c r="U82" s="37" t="n">
        <v>2558.66</v>
      </c>
      <c r="V82" s="18" t="n">
        <v>3.85</v>
      </c>
      <c r="W82" s="18" t="n">
        <v>1063.08</v>
      </c>
      <c r="X82" s="18" t="n">
        <v>5069.1</v>
      </c>
      <c r="Y82" s="18" t="n">
        <v>6472.33</v>
      </c>
      <c r="Z82" s="37" t="n">
        <v>12608.36</v>
      </c>
      <c r="AA82" s="18" t="n">
        <v>826.95</v>
      </c>
      <c r="AB82" s="19" t="n">
        <v>414.76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무형자산의증가</t>
        </is>
      </c>
      <c r="E83" s="18" t="n">
        <v>0</v>
      </c>
      <c r="F83" s="9" t="n"/>
      <c r="G83" s="18" t="n">
        <v>0</v>
      </c>
      <c r="H83" s="18" t="n">
        <v>0</v>
      </c>
      <c r="I83" s="18" t="n">
        <v>0</v>
      </c>
      <c r="J83" s="18" t="n">
        <v>0</v>
      </c>
      <c r="K83" s="37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37" t="n">
        <v>0</v>
      </c>
      <c r="Q83" s="18" t="n">
        <v>0</v>
      </c>
      <c r="R83" s="18" t="n">
        <v>0</v>
      </c>
      <c r="S83" s="18" t="n">
        <v>0</v>
      </c>
      <c r="T83" s="18" t="n">
        <v>0</v>
      </c>
      <c r="U83" s="37" t="n">
        <v>0</v>
      </c>
      <c r="V83" s="18" t="n">
        <v>0</v>
      </c>
      <c r="Z83" s="9" t="n"/>
      <c r="AA83" s="18" t="n">
        <v>0</v>
      </c>
      <c r="AB83" s="19" t="n">
        <v>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재무활동으로인한현금흐름</t>
        </is>
      </c>
      <c r="E84" s="18" t="n">
        <v>-10.21</v>
      </c>
      <c r="F84" s="9" t="n"/>
      <c r="G84" s="18" t="n">
        <v>0</v>
      </c>
      <c r="H84" s="18" t="n">
        <v>0</v>
      </c>
      <c r="I84" s="18" t="n">
        <v>-504.5</v>
      </c>
      <c r="J84" s="18" t="n">
        <v>0</v>
      </c>
      <c r="K84" s="37" t="n">
        <v>-504.5</v>
      </c>
      <c r="L84" s="18" t="n">
        <v>-4233.59</v>
      </c>
      <c r="M84" s="18" t="n">
        <v>-7228.64</v>
      </c>
      <c r="N84" s="18" t="n">
        <v>0</v>
      </c>
      <c r="O84" s="18" t="n">
        <v>-317.93</v>
      </c>
      <c r="P84" s="37" t="n">
        <v>-11780.16</v>
      </c>
      <c r="Q84" s="18" t="n">
        <v>-90</v>
      </c>
      <c r="R84" s="18" t="n">
        <v>-90</v>
      </c>
      <c r="S84" s="18" t="n">
        <v>-90</v>
      </c>
      <c r="T84" s="18" t="n">
        <v>-286.39</v>
      </c>
      <c r="U84" s="37" t="n">
        <v>-556.39</v>
      </c>
      <c r="V84" s="18" t="n">
        <v>-2834.61</v>
      </c>
      <c r="W84" s="18" t="n">
        <v>-6473.19</v>
      </c>
      <c r="X84" s="18" t="n">
        <v>0</v>
      </c>
      <c r="Y84" s="18" t="n">
        <v>-50.09</v>
      </c>
      <c r="Z84" s="37" t="n">
        <v>-9357.889999999999</v>
      </c>
      <c r="AA84" s="18" t="n">
        <v>-77.18000000000001</v>
      </c>
      <c r="AB84" s="19" t="n">
        <v>-809.6799999999999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단기차입금의증가</t>
        </is>
      </c>
      <c r="E85" s="18" t="n">
        <v>0</v>
      </c>
      <c r="F85" s="9" t="n"/>
      <c r="G85" s="18" t="n">
        <v>0</v>
      </c>
      <c r="H85" s="18" t="n">
        <v>0</v>
      </c>
      <c r="I85" s="18" t="n">
        <v>0</v>
      </c>
      <c r="J85" s="18" t="n">
        <v>0</v>
      </c>
      <c r="K85" s="37" t="n">
        <v>0</v>
      </c>
      <c r="L85" s="18" t="n">
        <v>0</v>
      </c>
      <c r="M85" s="18" t="n">
        <v>5000</v>
      </c>
      <c r="N85" s="18" t="n">
        <v>0</v>
      </c>
      <c r="P85" s="9" t="n"/>
      <c r="Q85" s="18" t="n">
        <v>0</v>
      </c>
      <c r="R85" s="18" t="n">
        <v>0</v>
      </c>
      <c r="S85" s="18" t="n">
        <v>0</v>
      </c>
      <c r="T85" s="18" t="n">
        <v>0</v>
      </c>
      <c r="U85" s="37" t="n">
        <v>0</v>
      </c>
      <c r="V85" s="18" t="n">
        <v>0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장기차입금의증가</t>
        </is>
      </c>
      <c r="E86" s="18" t="n">
        <v>0</v>
      </c>
      <c r="F86" s="9" t="n"/>
      <c r="G86" s="18" t="n">
        <v>0</v>
      </c>
      <c r="H86" s="18" t="n">
        <v>0</v>
      </c>
      <c r="I86" s="18" t="n">
        <v>0</v>
      </c>
      <c r="J86" s="18" t="n">
        <v>0</v>
      </c>
      <c r="K86" s="37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37" t="n">
        <v>0</v>
      </c>
      <c r="Q86" s="18" t="n">
        <v>0</v>
      </c>
      <c r="R86" s="18" t="n">
        <v>0</v>
      </c>
      <c r="S86" s="18" t="n">
        <v>0</v>
      </c>
      <c r="T86" s="18" t="n">
        <v>0</v>
      </c>
      <c r="U86" s="37" t="n">
        <v>0</v>
      </c>
      <c r="V86" s="18" t="n">
        <v>0</v>
      </c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단기차입금의감소</t>
        </is>
      </c>
      <c r="E87" s="18" t="n">
        <v>0</v>
      </c>
      <c r="F87" s="9" t="n"/>
      <c r="G87" s="18" t="n">
        <v>0</v>
      </c>
      <c r="H87" s="18" t="n">
        <v>0</v>
      </c>
      <c r="I87" s="18" t="n">
        <v>0</v>
      </c>
      <c r="J87" s="18" t="n">
        <v>0</v>
      </c>
      <c r="K87" s="37" t="n">
        <v>0</v>
      </c>
      <c r="L87" s="18" t="n">
        <v>0</v>
      </c>
      <c r="M87" s="18" t="n">
        <v>5000</v>
      </c>
      <c r="N87" s="18" t="n">
        <v>0</v>
      </c>
      <c r="P87" s="9" t="n"/>
      <c r="Q87" s="18" t="n">
        <v>0</v>
      </c>
      <c r="R87" s="18" t="n">
        <v>0</v>
      </c>
      <c r="S87" s="18" t="n">
        <v>0</v>
      </c>
      <c r="T87" s="18" t="n">
        <v>0</v>
      </c>
      <c r="U87" s="37" t="n">
        <v>0</v>
      </c>
      <c r="V87" s="18" t="n">
        <v>0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유동성장기부채의감소</t>
        </is>
      </c>
      <c r="E88" s="18" t="n">
        <v>0</v>
      </c>
      <c r="F88" s="9" t="n"/>
      <c r="G88" s="18" t="n">
        <v>0</v>
      </c>
      <c r="H88" s="18" t="n">
        <v>0</v>
      </c>
      <c r="I88" s="18" t="n">
        <v>0</v>
      </c>
      <c r="J88" s="18" t="n">
        <v>0</v>
      </c>
      <c r="K88" s="37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37" t="n">
        <v>0</v>
      </c>
      <c r="Q88" s="18" t="n">
        <v>0</v>
      </c>
      <c r="R88" s="18" t="n">
        <v>0</v>
      </c>
      <c r="S88" s="18" t="n">
        <v>0</v>
      </c>
      <c r="T88" s="18" t="n">
        <v>0</v>
      </c>
      <c r="U88" s="37" t="n">
        <v>0</v>
      </c>
      <c r="V88" s="18" t="n">
        <v>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리스부채의상환</t>
        </is>
      </c>
      <c r="E89" s="18" t="n">
        <v>10.21</v>
      </c>
      <c r="F89" s="9" t="n"/>
      <c r="G89" s="18" t="n">
        <v>0</v>
      </c>
      <c r="H89" s="18" t="n">
        <v>0</v>
      </c>
      <c r="I89" s="18" t="n">
        <v>0</v>
      </c>
      <c r="J89" s="18" t="n">
        <v>0</v>
      </c>
      <c r="K89" s="37" t="n">
        <v>0</v>
      </c>
      <c r="L89" s="18" t="n">
        <v>0</v>
      </c>
      <c r="M89" s="18" t="n">
        <v>0</v>
      </c>
      <c r="N89" s="18" t="n">
        <v>0</v>
      </c>
      <c r="O89" s="18" t="n">
        <v>120</v>
      </c>
      <c r="P89" s="37" t="n">
        <v>120</v>
      </c>
      <c r="Q89" s="18" t="n">
        <v>90</v>
      </c>
      <c r="R89" s="18" t="n">
        <v>90</v>
      </c>
      <c r="S89" s="18" t="n">
        <v>90</v>
      </c>
      <c r="T89" s="18" t="n">
        <v>90</v>
      </c>
      <c r="U89" s="37" t="n">
        <v>360</v>
      </c>
      <c r="V89" s="18" t="n">
        <v>34</v>
      </c>
      <c r="W89" s="18" t="n">
        <v>0</v>
      </c>
      <c r="X89" s="18" t="n">
        <v>0</v>
      </c>
      <c r="Y89" s="18" t="n">
        <v>75.42</v>
      </c>
      <c r="Z89" s="37" t="n">
        <v>109.42</v>
      </c>
      <c r="AA89" s="18" t="n">
        <v>77.18000000000001</v>
      </c>
      <c r="AB89" s="19" t="n">
        <v>78.98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장기차입금의감소</t>
        </is>
      </c>
      <c r="E90" s="18" t="n">
        <v>0</v>
      </c>
      <c r="F90" s="9" t="n"/>
      <c r="G90" s="18" t="n">
        <v>0</v>
      </c>
      <c r="H90" s="18" t="n">
        <v>0</v>
      </c>
      <c r="I90" s="18" t="n">
        <v>0</v>
      </c>
      <c r="J90" s="18" t="n">
        <v>0</v>
      </c>
      <c r="K90" s="37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37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37" t="n">
        <v>0</v>
      </c>
      <c r="V90" s="18" t="n">
        <v>0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현금및현금성자산의증감</t>
        </is>
      </c>
      <c r="E91" s="18" t="n">
        <v>41437.61</v>
      </c>
      <c r="F91" s="9" t="n"/>
      <c r="G91" s="18" t="n">
        <v>-41588.73</v>
      </c>
      <c r="H91" s="18" t="n">
        <v>-2434.42</v>
      </c>
      <c r="I91" s="18" t="n">
        <v>-18115.08</v>
      </c>
      <c r="J91" s="18" t="n">
        <v>10806.59</v>
      </c>
      <c r="K91" s="37" t="n">
        <v>-51331.64</v>
      </c>
      <c r="L91" s="18" t="n">
        <v>-2955.65</v>
      </c>
      <c r="M91" s="18" t="n">
        <v>-6275.75</v>
      </c>
      <c r="N91" s="18" t="n">
        <v>-5549.1</v>
      </c>
      <c r="O91" s="18" t="n">
        <v>-2337.22</v>
      </c>
      <c r="P91" s="37" t="n">
        <v>-17117.72</v>
      </c>
      <c r="Q91" s="18" t="n">
        <v>-9571.549999999999</v>
      </c>
      <c r="R91" s="18" t="n">
        <v>-3740.53</v>
      </c>
      <c r="S91" s="18" t="n">
        <v>3778.28</v>
      </c>
      <c r="T91" s="18" t="n">
        <v>8470.690000000001</v>
      </c>
      <c r="U91" s="37" t="n">
        <v>-1063.11</v>
      </c>
      <c r="V91" s="18" t="n">
        <v>8818.030000000001</v>
      </c>
      <c r="W91" s="18" t="n">
        <v>-16528.45</v>
      </c>
      <c r="X91" s="18" t="n">
        <v>37120.26</v>
      </c>
      <c r="Y91" s="18" t="n">
        <v>-10.56</v>
      </c>
      <c r="Z91" s="37" t="n">
        <v>29399.28</v>
      </c>
      <c r="AA91" s="18" t="n">
        <v>2549.65</v>
      </c>
      <c r="AB91" s="19" t="n">
        <v>55832.85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기말현금및현금성자산</t>
        </is>
      </c>
      <c r="E92" s="18" t="n">
        <v>20617.2</v>
      </c>
      <c r="F92" s="9" t="n"/>
      <c r="G92" s="18" t="n">
        <v>24587.41</v>
      </c>
      <c r="H92" s="18" t="n">
        <v>-1193.54</v>
      </c>
      <c r="I92" s="18" t="n">
        <v>-9042.889999999999</v>
      </c>
      <c r="J92" s="18" t="n">
        <v>5012.81</v>
      </c>
      <c r="K92" s="37" t="n">
        <v>19363.79</v>
      </c>
      <c r="L92" s="18" t="n">
        <v>17881.11</v>
      </c>
      <c r="M92" s="18" t="n">
        <v>-3136.95</v>
      </c>
      <c r="N92" s="18" t="n">
        <v>-2761.99</v>
      </c>
      <c r="O92" s="18" t="n">
        <v>-1189.5</v>
      </c>
      <c r="P92" s="37" t="n">
        <v>10792.67</v>
      </c>
      <c r="Q92" s="18" t="n">
        <v>6039.45</v>
      </c>
      <c r="R92" s="18" t="n">
        <v>-1898.46</v>
      </c>
      <c r="S92" s="18" t="n">
        <v>1857.84</v>
      </c>
      <c r="T92" s="18" t="n">
        <v>4294</v>
      </c>
      <c r="U92" s="37" t="n">
        <v>10292.83</v>
      </c>
      <c r="V92" s="18" t="n">
        <v>14756.4</v>
      </c>
      <c r="W92" s="18" t="n">
        <v>-8343.65</v>
      </c>
      <c r="X92" s="18" t="n">
        <v>18631.87</v>
      </c>
      <c r="Y92" s="18" t="n">
        <v>15.92</v>
      </c>
      <c r="Z92" s="37" t="n">
        <v>25060.54</v>
      </c>
      <c r="AA92" s="18" t="n">
        <v>26799.93</v>
      </c>
      <c r="AB92" s="19" t="n">
        <v>28094.27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이자수취(CF)</t>
        </is>
      </c>
      <c r="F93" s="9" t="n"/>
      <c r="K93" s="9" t="n"/>
      <c r="O93" s="18" t="n">
        <v>371.17</v>
      </c>
      <c r="P93" s="9" t="n"/>
      <c r="Q93" s="18" t="n">
        <v>332</v>
      </c>
      <c r="R93" s="18" t="n">
        <v>379.09</v>
      </c>
      <c r="S93" s="18" t="n">
        <v>1925.15</v>
      </c>
      <c r="T93" s="18" t="n">
        <v>205.04</v>
      </c>
      <c r="U93" s="37" t="n">
        <v>2841.28</v>
      </c>
      <c r="V93" s="18" t="n">
        <v>1638.86</v>
      </c>
      <c r="W93" s="18" t="n">
        <v>255.52</v>
      </c>
      <c r="X93" s="18" t="n">
        <v>1038.38</v>
      </c>
      <c r="Y93" s="18" t="n">
        <v>82.22</v>
      </c>
      <c r="Z93" s="37" t="n">
        <v>3014.98</v>
      </c>
      <c r="AA93" s="18" t="n">
        <v>331.93</v>
      </c>
      <c r="AB93" s="19" t="n">
        <v>233.92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자기주식의취득</t>
        </is>
      </c>
      <c r="F94" s="9" t="n"/>
      <c r="K94" s="9" t="n"/>
      <c r="P94" s="9" t="n"/>
      <c r="U94" s="9" t="n"/>
      <c r="V94" s="18" t="n">
        <v>2800.61</v>
      </c>
      <c r="W94" s="18" t="n">
        <v>5686.88</v>
      </c>
      <c r="X94" s="18" t="n">
        <v>0</v>
      </c>
      <c r="Y94" s="18" t="n">
        <v>14.67</v>
      </c>
      <c r="Z94" s="37" t="n">
        <v>8502.16</v>
      </c>
      <c r="AA94" s="18" t="n">
        <v>0</v>
      </c>
      <c r="AB94" s="19" t="n">
        <v>35.89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배당금지급</t>
        </is>
      </c>
      <c r="F95" s="9" t="n"/>
      <c r="K95" s="9" t="n"/>
      <c r="P95" s="9" t="n"/>
      <c r="U95" s="9" t="n"/>
      <c r="X95" s="18" t="n">
        <v>0</v>
      </c>
      <c r="Y95" s="18" t="n">
        <v>0</v>
      </c>
      <c r="Z95" s="9" t="n"/>
      <c r="AA95" s="18" t="n">
        <v>0</v>
      </c>
      <c r="AB95" s="19" t="n">
        <v>694.8099999999999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SUM(Q9:T9)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 t="n"/>
      <c r="AC12" s="20">
        <f>IFERROR((AB26*변수!$D$52-AB24*변수!$D$53)/4,"")</f>
        <v/>
      </c>
      <c r="AD12" s="20">
        <f>IFERROR((AC26*변수!$D$52-AC24*변수!$D$53)/4,"")</f>
        <v/>
      </c>
      <c r="AE12" s="38">
        <f>SUM(AA12:AD12)</f>
        <v/>
      </c>
      <c r="AF12" s="20">
        <f>IFERROR((AD26*변수!$D$52-AD24*변수!$D$53)/4,"")</f>
        <v/>
      </c>
      <c r="AG12" s="20">
        <f>IFERROR((AF26*변수!$D$52-AF24*변수!$D$53)/4,"")</f>
        <v/>
      </c>
      <c r="AH12" s="20">
        <f>IFERROR((AG26*변수!$D$52-AG24*변수!$D$53)/4,"")</f>
        <v/>
      </c>
      <c r="AI12" s="20">
        <f>IFERROR((AH26*변수!$D$52-AH24*변수!$D$53)/4,"")</f>
        <v/>
      </c>
      <c r="AJ12" s="38">
        <f>SUM(AF12:AI12)</f>
        <v/>
      </c>
      <c r="AK12" s="20">
        <f>IFERROR((AI26*변수!$D$52-AI24*변수!$D$53)/4,"")</f>
        <v/>
      </c>
      <c r="AL12" s="20">
        <f>IFERROR((AK26*변수!$D$52-AK24*변수!$D$53)/4,"")</f>
        <v/>
      </c>
      <c r="AM12" s="20">
        <f>IFERROR((AL26*변수!$D$52-AL24*변수!$D$53)/4,"")</f>
        <v/>
      </c>
      <c r="AN12" s="20">
        <f>IFERROR((AM26*변수!$D$52-AM24*변수!$D$53)/4,"")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IFERROR(VLOOKUP($D13,BS연결,MATCH(E$1,BS연결H,0),0)/100,"")</f>
        <v/>
      </c>
      <c r="F13" s="37" t="n"/>
      <c r="G13" s="18">
        <f>IFERROR(VLOOKUP($D13,BS연결,MATCH(G$1,BS연결H,0),0)/100,"")</f>
        <v/>
      </c>
      <c r="H13" s="18">
        <f>IFERROR(VLOOKUP($D13,BS연결,MATCH(H$1,BS연결H,0),0)/100,"")</f>
        <v/>
      </c>
      <c r="I13" s="18">
        <f>IFERROR(VLOOKUP($D13,BS연결,MATCH(I$1,BS연결H,0),0)/100,"")</f>
        <v/>
      </c>
      <c r="J13" s="18">
        <f>IFERROR(VLOOKUP($D13,BS연결,MATCH(J$1,BS연결H,0),0)/100,"")</f>
        <v/>
      </c>
      <c r="K13" s="37">
        <f>IFERROR(VLOOKUP($D13,BS연결,MATCH(K$1,BS연결H,0),0)/100,"")</f>
        <v/>
      </c>
      <c r="L13" s="18">
        <f>IFERROR(VLOOKUP($D13,BS연결,MATCH(L$1,BS연결H,0),0)/100,"")</f>
        <v/>
      </c>
      <c r="M13" s="18">
        <f>IFERROR(VLOOKUP($D13,BS연결,MATCH(M$1,BS연결H,0),0)/100,"")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37">
        <f>IFERROR(VLOOKUP($D13,BS연결,MATCH(P$1,BS연결H,0),0)/100,"")</f>
        <v/>
      </c>
      <c r="Q13" s="18">
        <f>IFERROR(VLOOKUP($D13,BS연결,MATCH(Q$1,BS연결H,0),0)/100,"")</f>
        <v/>
      </c>
      <c r="R13" s="18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37">
        <f>IFERROR(VLOOKUP($D13,BS연결,MATCH(U$1,BS연결H,0),0)/100,"")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IFERROR(VLOOKUP($D13,BS연결,MATCH(Z$1,BS연결H,0),0)/100,"")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지분법손익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종속기업,공동지배기업및관계기업관련손익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IFERROR(AC9+AC11+AC13+AC14,"")</f>
        <v/>
      </c>
      <c r="AD15" s="20">
        <f>IFERROR(AD9+AD11+AD13+AD14,"")</f>
        <v/>
      </c>
      <c r="AE15" s="38">
        <f>SUM(AA15:AD15)</f>
        <v/>
      </c>
      <c r="AF15" s="20">
        <f>IFERROR(AF9+AF11+AF13+AF14,"")</f>
        <v/>
      </c>
      <c r="AG15" s="20">
        <f>IFERROR(AG9+AG11+AG13+AG14,"")</f>
        <v/>
      </c>
      <c r="AH15" s="20">
        <f>IFERROR(AH9+AH11+AH13+AH14,"")</f>
        <v/>
      </c>
      <c r="AI15" s="20">
        <f>IFERROR(AI9+AI11+AI13+AI14,"")</f>
        <v/>
      </c>
      <c r="AJ15" s="38">
        <f>SUM(AF15:AI15)</f>
        <v/>
      </c>
      <c r="AK15" s="20">
        <f>IFERROR(AK9+AK11+AK13+AK14,"")</f>
        <v/>
      </c>
      <c r="AL15" s="20">
        <f>IFERROR(AL9+AL11+AL13+AL14,"")</f>
        <v/>
      </c>
      <c r="AM15" s="20">
        <f>IFERROR(AM9+AM11+AM13+AM14,"")</f>
        <v/>
      </c>
      <c r="AN15" s="20">
        <f>IFERROR(AN9+AN11+AN13+AN14,"")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SUM(V18:Y18)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중단사업이익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중단사업이익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 t="n"/>
      <c r="Z19" s="37">
        <f>SUM(V19:Y19)</f>
        <v/>
      </c>
      <c r="AA19" s="18" t="n"/>
      <c r="AB19" s="19" t="n"/>
      <c r="AC19" s="20" t="n"/>
      <c r="AD19" s="20" t="n"/>
      <c r="AE19" s="38">
        <f>SUM(AA19:AD19)</f>
        <v/>
      </c>
      <c r="AF19" s="20" t="n"/>
      <c r="AG19" s="20" t="n"/>
      <c r="AH19" s="20" t="n"/>
      <c r="AI19" s="20" t="n"/>
      <c r="AJ19" s="38">
        <f>SUM(AF19:AI19)</f>
        <v/>
      </c>
      <c r="AK19" s="20" t="n"/>
      <c r="AL19" s="20" t="n"/>
      <c r="AM19" s="20" t="n"/>
      <c r="AN19" s="20" t="n"/>
      <c r="AO19" s="38">
        <f>SUM(AK19:AN19)</f>
        <v/>
      </c>
    </row>
    <row r="20">
      <c r="A20" s="12" t="inlineStr">
        <is>
          <t>자산총계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자산총계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IFERROR(AC21+AC22,"")</f>
        <v/>
      </c>
      <c r="AD20" s="20">
        <f>IFERROR(AD21+AD22,"")</f>
        <v/>
      </c>
      <c r="AE20" s="38">
        <f>AD20</f>
        <v/>
      </c>
      <c r="AF20" s="20">
        <f>IFERROR(AF21+AF22,"")</f>
        <v/>
      </c>
      <c r="AG20" s="20">
        <f>IFERROR(AG21+AG22,"")</f>
        <v/>
      </c>
      <c r="AH20" s="20">
        <f>IFERROR(AH21+AH22,"")</f>
        <v/>
      </c>
      <c r="AI20" s="20">
        <f>IFERROR(AI21+AI22,"")</f>
        <v/>
      </c>
      <c r="AJ20" s="38">
        <f>AI20</f>
        <v/>
      </c>
      <c r="AK20" s="20">
        <f>IFERROR(AK21+AK22,"")</f>
        <v/>
      </c>
      <c r="AL20" s="20">
        <f>IFERROR(AL21+AL22,"")</f>
        <v/>
      </c>
      <c r="AM20" s="20">
        <f>IFERROR(AM21+AM22,"")</f>
        <v/>
      </c>
      <c r="AN20" s="20">
        <f>IFERROR(AN21+AN22,"")</f>
        <v/>
      </c>
      <c r="AO20" s="38">
        <f>AN20</f>
        <v/>
      </c>
    </row>
    <row r="21">
      <c r="A21" s="12" t="inlineStr">
        <is>
          <t>부채총계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부채총계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IFERROR(AB21*(1+변수!AC29),"")</f>
        <v/>
      </c>
      <c r="AD21" s="20">
        <f>IFERROR(AC21*(1+변수!AD29),"")</f>
        <v/>
      </c>
      <c r="AE21" s="38">
        <f>AD21</f>
        <v/>
      </c>
      <c r="AF21" s="20">
        <f>IFERROR(AD21*(1+변수!AF29),"")</f>
        <v/>
      </c>
      <c r="AG21" s="20">
        <f>IFERROR(AF21*(1+변수!AG29),"")</f>
        <v/>
      </c>
      <c r="AH21" s="20">
        <f>IFERROR(AG21*(1+변수!AH29),"")</f>
        <v/>
      </c>
      <c r="AI21" s="20">
        <f>IFERROR(AH21*(1+변수!AI29),"")</f>
        <v/>
      </c>
      <c r="AJ21" s="38">
        <f>AI21</f>
        <v/>
      </c>
      <c r="AK21" s="20">
        <f>IFERROR(AI21*(1+변수!AK29),"")</f>
        <v/>
      </c>
      <c r="AL21" s="20">
        <f>IFERROR(AK21*(1+변수!AL29),"")</f>
        <v/>
      </c>
      <c r="AM21" s="20">
        <f>IFERROR(AL21*(1+변수!AM29),"")</f>
        <v/>
      </c>
      <c r="AN21" s="20">
        <f>IFERROR(AM21*(1+변수!AN29),"")</f>
        <v/>
      </c>
      <c r="AO21" s="38">
        <f>AN21</f>
        <v/>
      </c>
    </row>
    <row r="22">
      <c r="A22" s="12" t="inlineStr">
        <is>
          <t>자본총계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자본총계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IFERROR(AB22+AC17-변수!AC30,"")</f>
        <v/>
      </c>
      <c r="AD22" s="20">
        <f>IFERROR(AC22+AD17-변수!AD30,"")</f>
        <v/>
      </c>
      <c r="AE22" s="38">
        <f>AD22</f>
        <v/>
      </c>
      <c r="AF22" s="20">
        <f>IFERROR(AD22+AF17-변수!AF30,"")</f>
        <v/>
      </c>
      <c r="AG22" s="20">
        <f>IFERROR(AF22+AG17-변수!AG30,"")</f>
        <v/>
      </c>
      <c r="AH22" s="20">
        <f>IFERROR(AG22+AH17-변수!AH30,"")</f>
        <v/>
      </c>
      <c r="AI22" s="20">
        <f>IFERROR(AH22+AI17-변수!AI30,"")</f>
        <v/>
      </c>
      <c r="AJ22" s="38">
        <f>AI22</f>
        <v/>
      </c>
      <c r="AK22" s="20">
        <f>IFERROR(AI22+AK17-변수!AK30,"")</f>
        <v/>
      </c>
      <c r="AL22" s="20">
        <f>IFERROR(AK22+AL17-변수!AL30,"")</f>
        <v/>
      </c>
      <c r="AM22" s="20">
        <f>IFERROR(AL22+AM17-변수!AM30,"")</f>
        <v/>
      </c>
      <c r="AN22" s="20">
        <f>IFERROR(AM22+AN17-변수!AN30,"")</f>
        <v/>
      </c>
      <c r="AO22" s="38">
        <f>AN22</f>
        <v/>
      </c>
    </row>
    <row r="23">
      <c r="A23" s="12" t="inlineStr">
        <is>
          <t>지배주주지분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지배주주지분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IFERROR(AB23+AC18-변수!AC31,"")</f>
        <v/>
      </c>
      <c r="AD23" s="20">
        <f>IFERROR(AC23+AD18-변수!AD31,"")</f>
        <v/>
      </c>
      <c r="AE23" s="38">
        <f>AD23</f>
        <v/>
      </c>
      <c r="AF23" s="20">
        <f>IFERROR(AD23+AF18-변수!AF31,"")</f>
        <v/>
      </c>
      <c r="AG23" s="20">
        <f>IFERROR(AF23+AG18-변수!AG31,"")</f>
        <v/>
      </c>
      <c r="AH23" s="20">
        <f>IFERROR(AG23+AH18-변수!AH31,"")</f>
        <v/>
      </c>
      <c r="AI23" s="20">
        <f>IFERROR(AH23+AI18-변수!AI31,"")</f>
        <v/>
      </c>
      <c r="AJ23" s="38">
        <f>AI23</f>
        <v/>
      </c>
      <c r="AK23" s="20">
        <f>IFERROR(AI23+AK18-변수!AK31,"")</f>
        <v/>
      </c>
      <c r="AL23" s="20">
        <f>IFERROR(AK23+AL18-변수!AL31,"")</f>
        <v/>
      </c>
      <c r="AM23" s="20">
        <f>IFERROR(AL23+AM18-변수!AM31,"")</f>
        <v/>
      </c>
      <c r="AN23" s="20">
        <f>IFERROR(AM23+AN18-변수!AN31,"")</f>
        <v/>
      </c>
      <c r="AO23" s="38">
        <f>AN23</f>
        <v/>
      </c>
    </row>
    <row r="24">
      <c r="A24" s="12" t="inlineStr">
        <is>
          <t>총차입금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총차입금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순차입금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순차입금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이자발생자산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이자발생자산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현금및현금성자산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현금및현금성자산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AD27</f>
        <v/>
      </c>
      <c r="AF27" s="20" t="n"/>
      <c r="AG27" s="20" t="n"/>
      <c r="AH27" s="20" t="n"/>
      <c r="AI27" s="20" t="n"/>
      <c r="AJ27" s="38">
        <f>AI27</f>
        <v/>
      </c>
      <c r="AK27" s="20" t="n"/>
      <c r="AL27" s="20" t="n"/>
      <c r="AM27" s="20" t="n"/>
      <c r="AN27" s="20" t="n"/>
      <c r="AO27" s="38">
        <f>AN27</f>
        <v/>
      </c>
    </row>
    <row r="28">
      <c r="A28" s="12" t="inlineStr">
        <is>
          <t>CAPEX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CAPEX</t>
        </is>
      </c>
      <c r="E28" s="18">
        <f>IFERROR(VLOOKUP($D28,BS연결,MATCH(E$1,BS연결H,0),0)/100,"")</f>
        <v/>
      </c>
      <c r="F28" s="37" t="n"/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IFERROR(X28*(1+변수!AC36),"")</f>
        <v/>
      </c>
      <c r="AD28" s="20">
        <f>IFERROR(Y28*(1+변수!AD36),"")</f>
        <v/>
      </c>
      <c r="AE28" s="38">
        <f>SUM(AA28:AD28)</f>
        <v/>
      </c>
      <c r="AF28" s="20">
        <f>IFERROR(AA28*(1+변수!AF36),"")</f>
        <v/>
      </c>
      <c r="AG28" s="20">
        <f>IFERROR(AB28*(1+변수!AG36),"")</f>
        <v/>
      </c>
      <c r="AH28" s="20">
        <f>IFERROR(AC28*(1+변수!AH36),"")</f>
        <v/>
      </c>
      <c r="AI28" s="20">
        <f>IFERROR(AD28*(1+변수!AI36),"")</f>
        <v/>
      </c>
      <c r="AJ28" s="38">
        <f>SUM(AF28:AI28)</f>
        <v/>
      </c>
      <c r="AK28" s="20">
        <f>IFERROR(AF28*(1+변수!AK36),"")</f>
        <v/>
      </c>
      <c r="AL28" s="20">
        <f>IFERROR(AG28*(1+변수!AL36),"")</f>
        <v/>
      </c>
      <c r="AM28" s="20">
        <f>IFERROR(AH28*(1+변수!AM36),"")</f>
        <v/>
      </c>
      <c r="AN28" s="20">
        <f>IFERROR(AI28*(1+변수!AN36),"")</f>
        <v/>
      </c>
      <c r="AO28" s="38">
        <f>SUM(AK28:AN28)</f>
        <v/>
      </c>
    </row>
    <row r="29">
      <c r="A29" s="12" t="inlineStr">
        <is>
          <t>영업활동현금흐름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영업활동으로인한현금흐름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SUM(AA29:AD29)</f>
        <v/>
      </c>
      <c r="AF29" s="20" t="n"/>
      <c r="AG29" s="20" t="n"/>
      <c r="AH29" s="20" t="n"/>
      <c r="AI29" s="20" t="n"/>
      <c r="AJ29" s="38">
        <f>SUM(AF29:AI29)</f>
        <v/>
      </c>
      <c r="AK29" s="20" t="n"/>
      <c r="AL29" s="20" t="n"/>
      <c r="AM29" s="20" t="n"/>
      <c r="AN29" s="20" t="n"/>
      <c r="AO29" s="38">
        <f>SUM(AK29:AN29)</f>
        <v/>
      </c>
    </row>
    <row r="30">
      <c r="A30" s="12" t="inlineStr">
        <is>
          <t>주식수</t>
        </is>
      </c>
      <c r="B30" t="inlineStr">
        <is>
          <t>주당</t>
        </is>
      </c>
      <c r="C30" t="inlineStr">
        <is>
          <t>백만주</t>
        </is>
      </c>
      <c r="D30" t="inlineStr">
        <is>
          <t>유통주식수</t>
        </is>
      </c>
      <c r="E30" s="32" t="n">
        <v>7.8880322</v>
      </c>
      <c r="F30" s="28">
        <f>E30</f>
        <v/>
      </c>
      <c r="G30" s="32" t="n">
        <v>7.8880322</v>
      </c>
      <c r="H30" s="32" t="n">
        <v>7.8880322</v>
      </c>
      <c r="I30" s="32" t="n">
        <v>7.8880322</v>
      </c>
      <c r="J30" s="32" t="n">
        <v>7.8880322</v>
      </c>
      <c r="K30" s="28">
        <f>J30</f>
        <v/>
      </c>
      <c r="L30" s="32" t="n">
        <v>7.8880322</v>
      </c>
      <c r="M30" s="32" t="n">
        <v>7.8880322</v>
      </c>
      <c r="N30" s="32" t="n">
        <v>7.8880322</v>
      </c>
      <c r="O30" s="32" t="n">
        <v>7.8880322</v>
      </c>
      <c r="P30" s="28">
        <f>O30</f>
        <v/>
      </c>
      <c r="Q30" s="32" t="n">
        <v>7.8880322</v>
      </c>
      <c r="R30" s="32" t="n">
        <v>7.8880322</v>
      </c>
      <c r="S30" s="32" t="n">
        <v>7.8880322</v>
      </c>
      <c r="T30" s="32" t="n">
        <v>7.8630845</v>
      </c>
      <c r="U30" s="28">
        <f>T30</f>
        <v/>
      </c>
      <c r="V30" s="32" t="n">
        <v>7.5678505</v>
      </c>
      <c r="W30" s="32" t="n">
        <v>6.949711300000001</v>
      </c>
      <c r="X30" s="32" t="n">
        <v>6.949711300000001</v>
      </c>
      <c r="Y30" s="32" t="n">
        <v>6.9481164</v>
      </c>
      <c r="Z30" s="28">
        <f>Y30</f>
        <v/>
      </c>
      <c r="AA30" s="32" t="n">
        <v>6.9481164</v>
      </c>
      <c r="AB30" s="29" t="n">
        <v>6.945</v>
      </c>
      <c r="AC30" s="32">
        <f>IFERROR(AB30*(1+변수!AC38),"")</f>
        <v/>
      </c>
      <c r="AD30" s="32">
        <f>IFERROR(AC30*(1+변수!AD38),"")</f>
        <v/>
      </c>
      <c r="AE30" s="31">
        <f>AD30</f>
        <v/>
      </c>
      <c r="AF30" s="32">
        <f>IFERROR(AD30*(1+변수!AF38),"")</f>
        <v/>
      </c>
      <c r="AG30" s="32">
        <f>IFERROR(AF30*(1+변수!AG38),"")</f>
        <v/>
      </c>
      <c r="AH30" s="32">
        <f>IFERROR(AG30*(1+변수!AH38),"")</f>
        <v/>
      </c>
      <c r="AI30" s="32">
        <f>IFERROR(AH30*(1+변수!AI38),"")</f>
        <v/>
      </c>
      <c r="AJ30" s="31">
        <f>AI30</f>
        <v/>
      </c>
      <c r="AK30" s="32">
        <f>IFERROR(AI30*(1+변수!AK38),"")</f>
        <v/>
      </c>
      <c r="AL30" s="32">
        <f>IFERROR(AK30*(1+변수!AL38),"")</f>
        <v/>
      </c>
      <c r="AM30" s="32">
        <f>IFERROR(AL30*(1+변수!AM38),"")</f>
        <v/>
      </c>
      <c r="AN30" s="32">
        <f>IFERROR(AM30*(1+변수!AN38),"")</f>
        <v/>
      </c>
      <c r="AO30" s="31">
        <f>AN30</f>
        <v/>
      </c>
    </row>
    <row r="31">
      <c r="A31" s="12" t="inlineStr">
        <is>
          <t>EPS</t>
        </is>
      </c>
      <c r="B31" t="inlineStr">
        <is>
          <t>주당</t>
        </is>
      </c>
      <c r="C31" t="inlineStr">
        <is>
          <t>원</t>
        </is>
      </c>
      <c r="D31" t="inlineStr">
        <is>
          <t>EPS</t>
        </is>
      </c>
      <c r="E31" s="18">
        <f>IFERROR(E18*100/E30,"")</f>
        <v/>
      </c>
      <c r="F31" s="37" t="n"/>
      <c r="G31" s="18">
        <f>IFERROR(G18*100/G30,"")</f>
        <v/>
      </c>
      <c r="H31" s="18">
        <f>IFERROR(H18*100/H30,"")</f>
        <v/>
      </c>
      <c r="I31" s="18">
        <f>IFERROR(I18*100/I30,"")</f>
        <v/>
      </c>
      <c r="J31" s="18">
        <f>IFERROR(J18*100/J30,"")</f>
        <v/>
      </c>
      <c r="K31" s="37">
        <f>SUM(G31:J31)</f>
        <v/>
      </c>
      <c r="L31" s="18">
        <f>IFERROR(L18*100/L30,"")</f>
        <v/>
      </c>
      <c r="M31" s="18">
        <f>IFERROR(M18*100/M30,"")</f>
        <v/>
      </c>
      <c r="N31" s="18">
        <f>IFERROR(N18*100/N30,"")</f>
        <v/>
      </c>
      <c r="O31" s="18">
        <f>IFERROR(O18*100/O30,"")</f>
        <v/>
      </c>
      <c r="P31" s="37">
        <f>SUM(L31:O31)</f>
        <v/>
      </c>
      <c r="Q31" s="18">
        <f>IFERROR(Q18*100/Q30,"")</f>
        <v/>
      </c>
      <c r="R31" s="18">
        <f>IFERROR(R18*100/R30,"")</f>
        <v/>
      </c>
      <c r="S31" s="18">
        <f>IFERROR(S18*100/S30,"")</f>
        <v/>
      </c>
      <c r="T31" s="18">
        <f>IFERROR(T18*100/T30,"")</f>
        <v/>
      </c>
      <c r="U31" s="37">
        <f>SUM(Q31:T31)</f>
        <v/>
      </c>
      <c r="V31" s="18">
        <f>IFERROR(V18*100/V30,"")</f>
        <v/>
      </c>
      <c r="W31" s="18">
        <f>IFERROR(W18*100/W30,"")</f>
        <v/>
      </c>
      <c r="X31" s="18">
        <f>IFERROR(X18*100/X30,"")</f>
        <v/>
      </c>
      <c r="Y31" s="18">
        <f>IFERROR(Y18*100/Y30,"")</f>
        <v/>
      </c>
      <c r="Z31" s="37">
        <f>SUM(V31:Y31)</f>
        <v/>
      </c>
      <c r="AA31" s="18">
        <f>IFERROR(AA18*100/AA30,"")</f>
        <v/>
      </c>
      <c r="AB31" s="19">
        <f>IFERROR(AB18*100/AB30,"")</f>
        <v/>
      </c>
      <c r="AC31" s="20">
        <f>IFERROR(AC18*100/AC30,"")</f>
        <v/>
      </c>
      <c r="AD31" s="20">
        <f>IFERROR(AD18*100/AD30,"")</f>
        <v/>
      </c>
      <c r="AE31" s="38">
        <f>SUM(AA31:AD31)</f>
        <v/>
      </c>
      <c r="AF31" s="20">
        <f>IFERROR(AF18*100/AF30,"")</f>
        <v/>
      </c>
      <c r="AG31" s="20">
        <f>IFERROR(AG18*100/AG30,"")</f>
        <v/>
      </c>
      <c r="AH31" s="20">
        <f>IFERROR(AH18*100/AH30,"")</f>
        <v/>
      </c>
      <c r="AI31" s="20">
        <f>IFERROR(AI18*100/AI30,"")</f>
        <v/>
      </c>
      <c r="AJ31" s="38">
        <f>SUM(AF31:AI31)</f>
        <v/>
      </c>
      <c r="AK31" s="20">
        <f>IFERROR(AK18*100/AK30,"")</f>
        <v/>
      </c>
      <c r="AL31" s="20">
        <f>IFERROR(AL18*100/AL30,"")</f>
        <v/>
      </c>
      <c r="AM31" s="20">
        <f>IFERROR(AM18*100/AM30,"")</f>
        <v/>
      </c>
      <c r="AN31" s="20">
        <f>IFERROR(AN18*100/AN30,"")</f>
        <v/>
      </c>
      <c r="AO31" s="38">
        <f>SUM(AK31:AN31)</f>
        <v/>
      </c>
    </row>
    <row r="32">
      <c r="A32" s="12" t="inlineStr">
        <is>
          <t>BPS</t>
        </is>
      </c>
      <c r="B32" t="inlineStr">
        <is>
          <t>주당</t>
        </is>
      </c>
      <c r="C32" t="inlineStr">
        <is>
          <t>원</t>
        </is>
      </c>
      <c r="D32" t="inlineStr">
        <is>
          <t>BPS</t>
        </is>
      </c>
      <c r="E32" s="18">
        <f>IFERROR(E23*100/E30,"")</f>
        <v/>
      </c>
      <c r="F32" s="37">
        <f>E32</f>
        <v/>
      </c>
      <c r="G32" s="18">
        <f>IFERROR(G23*100/G30,"")</f>
        <v/>
      </c>
      <c r="H32" s="18">
        <f>IFERROR(H23*100/H30,"")</f>
        <v/>
      </c>
      <c r="I32" s="18">
        <f>IFERROR(I23*100/I30,"")</f>
        <v/>
      </c>
      <c r="J32" s="18">
        <f>IFERROR(J23*100/J30,"")</f>
        <v/>
      </c>
      <c r="K32" s="37">
        <f>J32</f>
        <v/>
      </c>
      <c r="L32" s="18">
        <f>IFERROR(L23*100/L30,"")</f>
        <v/>
      </c>
      <c r="M32" s="18">
        <f>IFERROR(M23*100/M30,"")</f>
        <v/>
      </c>
      <c r="N32" s="18">
        <f>IFERROR(N23*100/N30,"")</f>
        <v/>
      </c>
      <c r="O32" s="18">
        <f>IFERROR(O23*100/O30,"")</f>
        <v/>
      </c>
      <c r="P32" s="37">
        <f>O32</f>
        <v/>
      </c>
      <c r="Q32" s="18">
        <f>IFERROR(Q23*100/Q30,"")</f>
        <v/>
      </c>
      <c r="R32" s="18">
        <f>IFERROR(R23*100/R30,"")</f>
        <v/>
      </c>
      <c r="S32" s="18">
        <f>IFERROR(S23*100/S30,"")</f>
        <v/>
      </c>
      <c r="T32" s="18">
        <f>IFERROR(T23*100/T30,"")</f>
        <v/>
      </c>
      <c r="U32" s="37">
        <f>T32</f>
        <v/>
      </c>
      <c r="V32" s="18">
        <f>IFERROR(V23*100/V30,"")</f>
        <v/>
      </c>
      <c r="W32" s="18">
        <f>IFERROR(W23*100/W30,"")</f>
        <v/>
      </c>
      <c r="X32" s="18">
        <f>IFERROR(X23*100/X30,"")</f>
        <v/>
      </c>
      <c r="Y32" s="18">
        <f>IFERROR(Y23*100/Y30,"")</f>
        <v/>
      </c>
      <c r="Z32" s="37">
        <f>Y32</f>
        <v/>
      </c>
      <c r="AA32" s="18">
        <f>IFERROR(AA23*100/AA30,"")</f>
        <v/>
      </c>
      <c r="AB32" s="19">
        <f>IFERROR(AB23*100/AB30,"")</f>
        <v/>
      </c>
      <c r="AC32" s="20">
        <f>IFERROR(AC23*100/AC30,"")</f>
        <v/>
      </c>
      <c r="AD32" s="20">
        <f>IFERROR(AD23*100/AD30,"")</f>
        <v/>
      </c>
      <c r="AE32" s="38">
        <f>AD32</f>
        <v/>
      </c>
      <c r="AF32" s="20">
        <f>IFERROR(AF23*100/AF30,"")</f>
        <v/>
      </c>
      <c r="AG32" s="20">
        <f>IFERROR(AG23*100/AG30,"")</f>
        <v/>
      </c>
      <c r="AH32" s="20">
        <f>IFERROR(AH23*100/AH30,"")</f>
        <v/>
      </c>
      <c r="AI32" s="20">
        <f>IFERROR(AI23*100/AI30,"")</f>
        <v/>
      </c>
      <c r="AJ32" s="38">
        <f>AI32</f>
        <v/>
      </c>
      <c r="AK32" s="20">
        <f>IFERROR(AK23*100/AK30,"")</f>
        <v/>
      </c>
      <c r="AL32" s="20">
        <f>IFERROR(AL23*100/AL30,"")</f>
        <v/>
      </c>
      <c r="AM32" s="20">
        <f>IFERROR(AM23*100/AM30,"")</f>
        <v/>
      </c>
      <c r="AN32" s="20">
        <f>IFERROR(AN23*100/AN30,"")</f>
        <v/>
      </c>
      <c r="AO32" s="38">
        <f>AN32</f>
        <v/>
      </c>
    </row>
    <row r="33">
      <c r="A33" s="12" t="inlineStr">
        <is>
          <t>DPS</t>
        </is>
      </c>
      <c r="B33" t="inlineStr">
        <is>
          <t>주당</t>
        </is>
      </c>
      <c r="C33" t="inlineStr">
        <is>
          <t>원</t>
        </is>
      </c>
      <c r="D33" t="inlineStr">
        <is>
          <t>DPS(보통주)</t>
        </is>
      </c>
      <c r="E33" s="18" t="n">
        <v>0</v>
      </c>
      <c r="F33" s="37" t="n">
        <v>0</v>
      </c>
      <c r="G33" s="18" t="n"/>
      <c r="H33" s="18" t="n"/>
      <c r="I33" s="18" t="n"/>
      <c r="J33" s="18" t="n">
        <v>0</v>
      </c>
      <c r="K33" s="37">
        <f>SUM(G33:J33)</f>
        <v/>
      </c>
      <c r="L33" s="18" t="n"/>
      <c r="M33" s="18" t="n"/>
      <c r="N33" s="18" t="n"/>
      <c r="O33" s="18" t="n">
        <v>0</v>
      </c>
      <c r="P33" s="37">
        <f>SUM(L33:O33)</f>
        <v/>
      </c>
      <c r="Q33" s="18" t="n"/>
      <c r="R33" s="18" t="n"/>
      <c r="S33" s="18" t="n"/>
      <c r="T33" s="20" t="n">
        <v>100</v>
      </c>
      <c r="U33" s="37">
        <f>SUM(Q33:T33)</f>
        <v/>
      </c>
      <c r="V33" s="18" t="n"/>
      <c r="W33" s="18" t="n"/>
      <c r="X33" s="18" t="n"/>
      <c r="Y33" s="20" t="n">
        <v>100</v>
      </c>
      <c r="Z33" s="37">
        <f>SUM(V33:Y33)</f>
        <v/>
      </c>
      <c r="AA33" s="18" t="n"/>
      <c r="AB33" s="19" t="n"/>
      <c r="AC33" s="20" t="n"/>
      <c r="AD33" s="20">
        <f>변수!AD39</f>
        <v/>
      </c>
      <c r="AE33" s="38">
        <f>SUM(AA33:AD33)</f>
        <v/>
      </c>
      <c r="AF33" s="20" t="n"/>
      <c r="AG33" s="20" t="n"/>
      <c r="AH33" s="20" t="n"/>
      <c r="AI33" s="20">
        <f>변수!AI39</f>
        <v/>
      </c>
      <c r="AJ33" s="38">
        <f>SUM(AF33:AI33)</f>
        <v/>
      </c>
      <c r="AK33" s="20" t="n"/>
      <c r="AL33" s="20" t="n"/>
      <c r="AM33" s="20" t="n"/>
      <c r="AN33" s="20">
        <f>변수!AN39</f>
        <v/>
      </c>
      <c r="AO33" s="38">
        <f>SUM(AK33:AN33)</f>
        <v/>
      </c>
    </row>
    <row r="34">
      <c r="A34" s="12" t="inlineStr">
        <is>
          <t>PER</t>
        </is>
      </c>
      <c r="B34" t="inlineStr">
        <is>
          <t>주당</t>
        </is>
      </c>
      <c r="C34" t="inlineStr">
        <is>
          <t>배</t>
        </is>
      </c>
      <c r="D34" t="inlineStr">
        <is>
          <t>PER</t>
        </is>
      </c>
      <c r="E34" s="13" t="n"/>
      <c r="F34" s="14">
        <f>E34</f>
        <v/>
      </c>
      <c r="G34" s="13" t="n"/>
      <c r="H34" s="13" t="n"/>
      <c r="I34" s="13">
        <f>IFERROR(변수!I18/(E31+G31+H31+I31),"")</f>
        <v/>
      </c>
      <c r="J34" s="13">
        <f>IFERROR(변수!J18/(G31+H31+I31+J31),"")</f>
        <v/>
      </c>
      <c r="K34" s="14">
        <f>J34</f>
        <v/>
      </c>
      <c r="L34" s="13">
        <f>IFERROR(변수!L18/(H31+I31+J31+L31),"")</f>
        <v/>
      </c>
      <c r="M34" s="13">
        <f>IFERROR(변수!M18/(I31+J31+L31+M31),"")</f>
        <v/>
      </c>
      <c r="N34" s="13">
        <f>IFERROR(변수!N18/(J31+L31+M31+N31),"")</f>
        <v/>
      </c>
      <c r="O34" s="13">
        <f>IFERROR(변수!O18/(L31+M31+N31+O31),"")</f>
        <v/>
      </c>
      <c r="P34" s="14">
        <f>O34</f>
        <v/>
      </c>
      <c r="Q34" s="13">
        <f>IFERROR(변수!Q18/(M31+N31+O31+Q31),"")</f>
        <v/>
      </c>
      <c r="R34" s="13">
        <f>IFERROR(변수!R18/(N31+O31+Q31+R31),"")</f>
        <v/>
      </c>
      <c r="S34" s="13">
        <f>IFERROR(변수!S18/(O31+Q31+R31+S31),"")</f>
        <v/>
      </c>
      <c r="T34" s="13" t="n"/>
      <c r="U34" s="14">
        <f>T34</f>
        <v/>
      </c>
      <c r="V34" s="13" t="n"/>
      <c r="W34" s="13" t="n"/>
      <c r="X34" s="13" t="n"/>
      <c r="Y34" s="13" t="n"/>
      <c r="Z34" s="14">
        <f>Y34</f>
        <v/>
      </c>
      <c r="AA34" s="13" t="n"/>
      <c r="AB34" s="15">
        <f>IFERROR(변수!AB18/(X31+Y31+AA31+AB31),"")</f>
        <v/>
      </c>
      <c r="AC34" s="39">
        <f>IFERROR(변수!$D$42/(Y31+AA31+AB31+AC31),"")</f>
        <v/>
      </c>
      <c r="AD34" s="39">
        <f>IFERROR(변수!$D$42/(AA31+AB31+AC31+AD31),"")</f>
        <v/>
      </c>
      <c r="AE34" s="40">
        <f>AD34</f>
        <v/>
      </c>
      <c r="AF34" s="39">
        <f>IFERROR(변수!$D$42/(AB31+AC31+AD31+AF31),"")</f>
        <v/>
      </c>
      <c r="AG34" s="39" t="n"/>
      <c r="AH34" s="39" t="n"/>
      <c r="AI34" s="39" t="n"/>
      <c r="AJ34" s="40">
        <f>AI34</f>
        <v/>
      </c>
      <c r="AK34" s="39" t="n"/>
      <c r="AL34" s="39" t="n"/>
      <c r="AM34" s="39" t="n"/>
      <c r="AN34" s="39" t="n"/>
      <c r="AO34" s="40">
        <f>AN34</f>
        <v/>
      </c>
    </row>
    <row r="35">
      <c r="A35" s="12" t="inlineStr">
        <is>
          <t>PBR</t>
        </is>
      </c>
      <c r="B35" t="inlineStr">
        <is>
          <t>주당</t>
        </is>
      </c>
      <c r="C35" t="inlineStr">
        <is>
          <t>배</t>
        </is>
      </c>
      <c r="D35" t="inlineStr">
        <is>
          <t>PBR</t>
        </is>
      </c>
      <c r="E35" s="13">
        <f>IFERROR(변수!E18/E32,"")</f>
        <v/>
      </c>
      <c r="F35" s="14">
        <f>E35</f>
        <v/>
      </c>
      <c r="G35" s="13">
        <f>IFERROR(변수!G18/G32,"")</f>
        <v/>
      </c>
      <c r="H35" s="13">
        <f>IFERROR(변수!H18/H32,"")</f>
        <v/>
      </c>
      <c r="I35" s="13">
        <f>IFERROR(변수!I18/I32,"")</f>
        <v/>
      </c>
      <c r="J35" s="13">
        <f>IFERROR(변수!J18/J32,"")</f>
        <v/>
      </c>
      <c r="K35" s="14">
        <f>J35</f>
        <v/>
      </c>
      <c r="L35" s="13">
        <f>IFERROR(변수!L18/L32,"")</f>
        <v/>
      </c>
      <c r="M35" s="13">
        <f>IFERROR(변수!M18/M32,"")</f>
        <v/>
      </c>
      <c r="N35" s="13">
        <f>IFERROR(변수!N18/N32,"")</f>
        <v/>
      </c>
      <c r="O35" s="13">
        <f>IFERROR(변수!O18/O32,"")</f>
        <v/>
      </c>
      <c r="P35" s="14">
        <f>O35</f>
        <v/>
      </c>
      <c r="Q35" s="13">
        <f>IFERROR(변수!Q18/Q32,"")</f>
        <v/>
      </c>
      <c r="R35" s="13">
        <f>IFERROR(변수!R18/R32,"")</f>
        <v/>
      </c>
      <c r="S35" s="13">
        <f>IFERROR(변수!S18/S32,"")</f>
        <v/>
      </c>
      <c r="T35" s="13">
        <f>IFERROR(변수!T18/T32,"")</f>
        <v/>
      </c>
      <c r="U35" s="14">
        <f>T35</f>
        <v/>
      </c>
      <c r="V35" s="13">
        <f>IFERROR(변수!V18/V32,"")</f>
        <v/>
      </c>
      <c r="W35" s="13">
        <f>IFERROR(변수!W18/W32,"")</f>
        <v/>
      </c>
      <c r="X35" s="13">
        <f>IFERROR(변수!X18/X32,"")</f>
        <v/>
      </c>
      <c r="Y35" s="13">
        <f>IFERROR(변수!Y18/Y32,"")</f>
        <v/>
      </c>
      <c r="Z35" s="14">
        <f>Y35</f>
        <v/>
      </c>
      <c r="AA35" s="13">
        <f>IFERROR(변수!AA18/AA32,"")</f>
        <v/>
      </c>
      <c r="AB35" s="15">
        <f>IFERROR(변수!AB18/AB32,"")</f>
        <v/>
      </c>
      <c r="AC35" s="39">
        <f>IFERROR(변수!$D$42/AC32,"")</f>
        <v/>
      </c>
      <c r="AD35" s="39">
        <f>IFERROR(변수!$D$42/AD32,"")</f>
        <v/>
      </c>
      <c r="AE35" s="40">
        <f>AD35</f>
        <v/>
      </c>
      <c r="AF35" s="39">
        <f>IFERROR(변수!$D$42/AF32,"")</f>
        <v/>
      </c>
      <c r="AG35" s="39">
        <f>IFERROR(변수!$D$42/AG32,"")</f>
        <v/>
      </c>
      <c r="AH35" s="39">
        <f>IFERROR(변수!$D$42/AH32,"")</f>
        <v/>
      </c>
      <c r="AI35" s="39">
        <f>IFERROR(변수!$D$42/AI32,"")</f>
        <v/>
      </c>
      <c r="AJ35" s="40">
        <f>AI35</f>
        <v/>
      </c>
      <c r="AK35" s="39">
        <f>IFERROR(변수!$D$42/AK32,"")</f>
        <v/>
      </c>
      <c r="AL35" s="39">
        <f>IFERROR(변수!$D$42/AL32,"")</f>
        <v/>
      </c>
      <c r="AM35" s="39">
        <f>IFERROR(변수!$D$42/AM32,"")</f>
        <v/>
      </c>
      <c r="AN35" s="39">
        <f>IFERROR(변수!$D$42/AN32,"")</f>
        <v/>
      </c>
      <c r="AO35" s="40">
        <f>AN35</f>
        <v/>
      </c>
    </row>
    <row r="36">
      <c r="A36" s="12" t="inlineStr">
        <is>
          <t>매출전사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매출 전사(부문 미분리)</t>
        </is>
      </c>
      <c r="E36" s="18" t="n">
        <v>192.25</v>
      </c>
      <c r="F36" s="37" t="n"/>
      <c r="G36" s="18" t="n">
        <v>154.91</v>
      </c>
      <c r="H36" s="18" t="n">
        <v>171.63</v>
      </c>
      <c r="I36" s="18" t="n">
        <v>184.52</v>
      </c>
      <c r="J36" s="18" t="n">
        <v>255.82</v>
      </c>
      <c r="K36" s="37">
        <f>SUM(G36:J36)</f>
        <v/>
      </c>
      <c r="L36" s="18" t="n">
        <v>263.05</v>
      </c>
      <c r="M36" s="18" t="n">
        <v>249.75</v>
      </c>
      <c r="N36" s="18" t="n">
        <v>173.49</v>
      </c>
      <c r="O36" s="18" t="n">
        <v>229.06</v>
      </c>
      <c r="P36" s="37">
        <f>SUM(L36:O36)</f>
        <v/>
      </c>
      <c r="Q36" s="18" t="n">
        <v>255.29</v>
      </c>
      <c r="R36" s="18" t="n">
        <v>255.68</v>
      </c>
      <c r="S36" s="18" t="n">
        <v>238.54</v>
      </c>
      <c r="T36" s="18" t="n">
        <v>359.86</v>
      </c>
      <c r="U36" s="37">
        <f>SUM(Q36:T36)</f>
        <v/>
      </c>
      <c r="V36" s="18" t="n">
        <v>239.45</v>
      </c>
      <c r="W36" s="18" t="n">
        <v>285.59</v>
      </c>
      <c r="X36" s="18" t="n">
        <v>285.56</v>
      </c>
      <c r="Y36" s="18" t="n">
        <v>490.43</v>
      </c>
      <c r="Z36" s="37">
        <f>SUM(V36:Y36)</f>
        <v/>
      </c>
      <c r="AA36" s="18" t="n">
        <v>319.14</v>
      </c>
      <c r="AB36" s="19" t="n">
        <v>367.92</v>
      </c>
      <c r="AC36" s="20">
        <f>IFERROR(AC5,"")</f>
        <v/>
      </c>
      <c r="AD36" s="20">
        <f>IFERROR(AD5,"")</f>
        <v/>
      </c>
      <c r="AE36" s="38">
        <f>SUM(AA36:AD36)</f>
        <v/>
      </c>
      <c r="AF36" s="20">
        <f>IFERROR(AF5,"")</f>
        <v/>
      </c>
      <c r="AG36" s="20">
        <f>IFERROR(AG5,"")</f>
        <v/>
      </c>
      <c r="AH36" s="20">
        <f>IFERROR(AH5,"")</f>
        <v/>
      </c>
      <c r="AI36" s="20">
        <f>IFERROR(AI5,"")</f>
        <v/>
      </c>
      <c r="AJ36" s="38">
        <f>SUM(AF36:AI36)</f>
        <v/>
      </c>
      <c r="AK36" s="20">
        <f>IFERROR(AK5,"")</f>
        <v/>
      </c>
      <c r="AL36" s="20">
        <f>IFERROR(AL5,"")</f>
        <v/>
      </c>
      <c r="AM36" s="20">
        <f>IFERROR(AM5,"")</f>
        <v/>
      </c>
      <c r="AN36" s="20">
        <f>IFERROR(AN5,"")</f>
        <v/>
      </c>
      <c r="AO36" s="38">
        <f>SUM(AK36:AN36)</f>
        <v/>
      </c>
    </row>
    <row r="37">
      <c r="A37" s="12" t="inlineStr">
        <is>
          <t>OP전사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OP 전사(부문 미분리)</t>
        </is>
      </c>
      <c r="E37" s="18" t="n">
        <v>23.75</v>
      </c>
      <c r="F37" s="37" t="n"/>
      <c r="G37" s="18" t="n">
        <v>-17.22</v>
      </c>
      <c r="H37" s="18" t="n">
        <v>-15.54</v>
      </c>
      <c r="I37" s="18" t="n">
        <v>1.7</v>
      </c>
      <c r="J37" s="18" t="n">
        <v>39.77</v>
      </c>
      <c r="K37" s="37">
        <f>SUM(G37:J37)</f>
        <v/>
      </c>
      <c r="L37" s="18" t="n">
        <v>20.72</v>
      </c>
      <c r="M37" s="18" t="n">
        <v>17.96</v>
      </c>
      <c r="N37" s="18" t="n">
        <v>-20.17</v>
      </c>
      <c r="O37" s="18" t="n">
        <v>-29.55</v>
      </c>
      <c r="P37" s="37">
        <f>SUM(L37:O37)</f>
        <v/>
      </c>
      <c r="Q37" s="18" t="n">
        <v>-0.16</v>
      </c>
      <c r="R37" s="18" t="n">
        <v>-20.31</v>
      </c>
      <c r="S37" s="18" t="n">
        <v>-13.38</v>
      </c>
      <c r="T37" s="18" t="n">
        <v>-14.41</v>
      </c>
      <c r="U37" s="37">
        <f>SUM(Q37:T37)</f>
        <v/>
      </c>
      <c r="V37" s="18" t="n">
        <v>-9.619999999999999</v>
      </c>
      <c r="W37" s="18" t="n">
        <v>3.4</v>
      </c>
      <c r="X37" s="18" t="n">
        <v>-50.22</v>
      </c>
      <c r="Y37" s="18" t="n">
        <v>49.97</v>
      </c>
      <c r="Z37" s="37">
        <f>SUM(V37:Y37)</f>
        <v/>
      </c>
      <c r="AA37" s="18" t="n">
        <v>5.34</v>
      </c>
      <c r="AB37" s="19" t="n">
        <v>31.44</v>
      </c>
      <c r="AC37" s="20">
        <f>IFERROR(AC9,"")</f>
        <v/>
      </c>
      <c r="AD37" s="20">
        <f>IFERROR(AD9,"")</f>
        <v/>
      </c>
      <c r="AE37" s="38">
        <f>SUM(AA37:AD37)</f>
        <v/>
      </c>
      <c r="AF37" s="20">
        <f>IFERROR(AF9,"")</f>
        <v/>
      </c>
      <c r="AG37" s="20">
        <f>IFERROR(AG9,"")</f>
        <v/>
      </c>
      <c r="AH37" s="20">
        <f>IFERROR(AH9,"")</f>
        <v/>
      </c>
      <c r="AI37" s="20">
        <f>IFERROR(AI9,"")</f>
        <v/>
      </c>
      <c r="AJ37" s="38">
        <f>SUM(AF37:AI37)</f>
        <v/>
      </c>
      <c r="AK37" s="20">
        <f>IFERROR(AK9,"")</f>
        <v/>
      </c>
      <c r="AL37" s="20">
        <f>IFERROR(AL9,"")</f>
        <v/>
      </c>
      <c r="AM37" s="20">
        <f>IFERROR(AM9,"")</f>
        <v/>
      </c>
      <c r="AN37" s="20">
        <f>IFERROR(AN9,"")</f>
        <v/>
      </c>
      <c r="AO37" s="38">
        <f>SUM(AK37:AN37)</f>
        <v/>
      </c>
    </row>
    <row r="38">
      <c r="B38" s="2" t="inlineStr">
        <is>
          <t>비율(참고)</t>
        </is>
      </c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s="12" t="inlineStr">
        <is>
          <t>NPM</t>
        </is>
      </c>
      <c r="C39" t="inlineStr">
        <is>
          <t>%</t>
        </is>
      </c>
      <c r="D39" t="inlineStr">
        <is>
          <t>지배주주순이익 / 매출액</t>
        </is>
      </c>
      <c r="E39" s="21">
        <f>IFERROR(E18/E5,"")</f>
        <v/>
      </c>
      <c r="F39" s="22">
        <f>IFERROR(F18/F5,"")</f>
        <v/>
      </c>
      <c r="G39" s="21">
        <f>IFERROR(G18/G5,"")</f>
        <v/>
      </c>
      <c r="H39" s="21">
        <f>IFERROR(H18/H5,"")</f>
        <v/>
      </c>
      <c r="I39" s="21">
        <f>IFERROR(I18/I5,"")</f>
        <v/>
      </c>
      <c r="J39" s="21">
        <f>IFERROR(J18/J5,"")</f>
        <v/>
      </c>
      <c r="K39" s="22">
        <f>IFERROR(K18/K5,"")</f>
        <v/>
      </c>
      <c r="L39" s="21">
        <f>IFERROR(L18/L5,"")</f>
        <v/>
      </c>
      <c r="M39" s="21">
        <f>IFERROR(M18/M5,"")</f>
        <v/>
      </c>
      <c r="N39" s="21">
        <f>IFERROR(N18/N5,"")</f>
        <v/>
      </c>
      <c r="O39" s="21">
        <f>IFERROR(O18/O5,"")</f>
        <v/>
      </c>
      <c r="P39" s="22">
        <f>IFERROR(P18/P5,"")</f>
        <v/>
      </c>
      <c r="Q39" s="21">
        <f>IFERROR(Q18/Q5,"")</f>
        <v/>
      </c>
      <c r="R39" s="21">
        <f>IFERROR(R18/R5,"")</f>
        <v/>
      </c>
      <c r="S39" s="21">
        <f>IFERROR(S18/S5,"")</f>
        <v/>
      </c>
      <c r="T39" s="21">
        <f>IFERROR(T18/T5,"")</f>
        <v/>
      </c>
      <c r="U39" s="22">
        <f>IFERROR(U18/U5,"")</f>
        <v/>
      </c>
      <c r="V39" s="21">
        <f>IFERROR(V18/V5,"")</f>
        <v/>
      </c>
      <c r="W39" s="21">
        <f>IFERROR(W18/W5,"")</f>
        <v/>
      </c>
      <c r="X39" s="21">
        <f>IFERROR(X18/X5,"")</f>
        <v/>
      </c>
      <c r="Y39" s="21">
        <f>IFERROR(Y18/Y5,"")</f>
        <v/>
      </c>
      <c r="Z39" s="22">
        <f>IFERROR(Z18/Z5,"")</f>
        <v/>
      </c>
      <c r="AA39" s="21">
        <f>IFERROR(AA18/AA5,"")</f>
        <v/>
      </c>
      <c r="AB39" s="23">
        <f>IFERROR(AB18/AB5,"")</f>
        <v/>
      </c>
      <c r="AC39" s="33">
        <f>IFERROR(AC18/AC5,"")</f>
        <v/>
      </c>
      <c r="AD39" s="33">
        <f>IFERROR(AD18/AD5,"")</f>
        <v/>
      </c>
      <c r="AE39" s="25">
        <f>IFERROR(AE18/AE5,"")</f>
        <v/>
      </c>
      <c r="AF39" s="33">
        <f>IFERROR(AF18/AF5,"")</f>
        <v/>
      </c>
      <c r="AG39" s="33">
        <f>IFERROR(AG18/AG5,"")</f>
        <v/>
      </c>
      <c r="AH39" s="33">
        <f>IFERROR(AH18/AH5,"")</f>
        <v/>
      </c>
      <c r="AI39" s="33">
        <f>IFERROR(AI18/AI5,"")</f>
        <v/>
      </c>
      <c r="AJ39" s="25">
        <f>IFERROR(AJ18/AJ5,"")</f>
        <v/>
      </c>
      <c r="AK39" s="33">
        <f>IFERROR(AK18/AK5,"")</f>
        <v/>
      </c>
      <c r="AL39" s="33">
        <f>IFERROR(AL18/AL5,"")</f>
        <v/>
      </c>
      <c r="AM39" s="33">
        <f>IFERROR(AM18/AM5,"")</f>
        <v/>
      </c>
      <c r="AN39" s="33">
        <f>IFERROR(AN18/AN5,"")</f>
        <v/>
      </c>
      <c r="AO39" s="25">
        <f>IFERROR(AO18/AO5,"")</f>
        <v/>
      </c>
    </row>
    <row r="40">
      <c r="A40" s="12" t="inlineStr">
        <is>
          <t>매출원가율</t>
        </is>
      </c>
      <c r="C40" t="inlineStr">
        <is>
          <t>%</t>
        </is>
      </c>
      <c r="D40" t="inlineStr">
        <is>
          <t>매출원가 / 매출액</t>
        </is>
      </c>
      <c r="E40" s="21">
        <f>IFERROR(E6/E5,"")</f>
        <v/>
      </c>
      <c r="F40" s="22">
        <f>IFERROR(F6/F5,"")</f>
        <v/>
      </c>
      <c r="G40" s="21">
        <f>IFERROR(G6/G5,"")</f>
        <v/>
      </c>
      <c r="H40" s="21">
        <f>IFERROR(H6/H5,"")</f>
        <v/>
      </c>
      <c r="I40" s="21">
        <f>IFERROR(I6/I5,"")</f>
        <v/>
      </c>
      <c r="J40" s="21">
        <f>IFERROR(J6/J5,"")</f>
        <v/>
      </c>
      <c r="K40" s="22">
        <f>IFERROR(K6/K5,"")</f>
        <v/>
      </c>
      <c r="L40" s="21">
        <f>IFERROR(L6/L5,"")</f>
        <v/>
      </c>
      <c r="M40" s="21">
        <f>IFERROR(M6/M5,"")</f>
        <v/>
      </c>
      <c r="N40" s="21">
        <f>IFERROR(N6/N5,"")</f>
        <v/>
      </c>
      <c r="O40" s="21">
        <f>IFERROR(O6/O5,"")</f>
        <v/>
      </c>
      <c r="P40" s="22">
        <f>IFERROR(P6/P5,"")</f>
        <v/>
      </c>
      <c r="Q40" s="21">
        <f>IFERROR(Q6/Q5,"")</f>
        <v/>
      </c>
      <c r="R40" s="21">
        <f>IFERROR(R6/R5,"")</f>
        <v/>
      </c>
      <c r="S40" s="21">
        <f>IFERROR(S6/S5,"")</f>
        <v/>
      </c>
      <c r="T40" s="21">
        <f>IFERROR(T6/T5,"")</f>
        <v/>
      </c>
      <c r="U40" s="22">
        <f>IFERROR(U6/U5,"")</f>
        <v/>
      </c>
      <c r="V40" s="21">
        <f>IFERROR(V6/V5,"")</f>
        <v/>
      </c>
      <c r="W40" s="21">
        <f>IFERROR(W6/W5,"")</f>
        <v/>
      </c>
      <c r="X40" s="21">
        <f>IFERROR(X6/X5,"")</f>
        <v/>
      </c>
      <c r="Y40" s="21">
        <f>IFERROR(Y6/Y5,"")</f>
        <v/>
      </c>
      <c r="Z40" s="22">
        <f>IFERROR(Z6/Z5,"")</f>
        <v/>
      </c>
      <c r="AA40" s="21">
        <f>IFERROR(AA6/AA5,"")</f>
        <v/>
      </c>
      <c r="AB40" s="23">
        <f>IFERROR(AB6/AB5,"")</f>
        <v/>
      </c>
      <c r="AC40" s="33">
        <f>IFERROR(AC6/AC5,"")</f>
        <v/>
      </c>
      <c r="AD40" s="33">
        <f>IFERROR(AD6/AD5,"")</f>
        <v/>
      </c>
      <c r="AE40" s="25">
        <f>IFERROR(AE6/AE5,"")</f>
        <v/>
      </c>
      <c r="AF40" s="33">
        <f>IFERROR(AF6/AF5,"")</f>
        <v/>
      </c>
      <c r="AG40" s="33">
        <f>IFERROR(AG6/AG5,"")</f>
        <v/>
      </c>
      <c r="AH40" s="33">
        <f>IFERROR(AH6/AH5,"")</f>
        <v/>
      </c>
      <c r="AI40" s="33">
        <f>IFERROR(AI6/AI5,"")</f>
        <v/>
      </c>
      <c r="AJ40" s="25">
        <f>IFERROR(AJ6/AJ5,"")</f>
        <v/>
      </c>
      <c r="AK40" s="33">
        <f>IFERROR(AK6/AK5,"")</f>
        <v/>
      </c>
      <c r="AL40" s="33">
        <f>IFERROR(AL6/AL5,"")</f>
        <v/>
      </c>
      <c r="AM40" s="33">
        <f>IFERROR(AM6/AM5,"")</f>
        <v/>
      </c>
      <c r="AN40" s="33">
        <f>IFERROR(AN6/AN5,"")</f>
        <v/>
      </c>
      <c r="AO40" s="25">
        <f>IFERROR(AO6/AO5,"")</f>
        <v/>
      </c>
    </row>
    <row r="41">
      <c r="A41" s="12" t="inlineStr">
        <is>
          <t>판관비율</t>
        </is>
      </c>
      <c r="C41" t="inlineStr">
        <is>
          <t>%</t>
        </is>
      </c>
      <c r="D41" t="inlineStr">
        <is>
          <t>판관비 / 매출액</t>
        </is>
      </c>
      <c r="E41" s="21">
        <f>IFERROR(E8/E5,"")</f>
        <v/>
      </c>
      <c r="F41" s="22">
        <f>IFERROR(F8/F5,"")</f>
        <v/>
      </c>
      <c r="G41" s="21">
        <f>IFERROR(G8/G5,"")</f>
        <v/>
      </c>
      <c r="H41" s="21">
        <f>IFERROR(H8/H5,"")</f>
        <v/>
      </c>
      <c r="I41" s="21">
        <f>IFERROR(I8/I5,"")</f>
        <v/>
      </c>
      <c r="J41" s="21">
        <f>IFERROR(J8/J5,"")</f>
        <v/>
      </c>
      <c r="K41" s="22">
        <f>IFERROR(K8/K5,"")</f>
        <v/>
      </c>
      <c r="L41" s="21">
        <f>IFERROR(L8/L5,"")</f>
        <v/>
      </c>
      <c r="M41" s="21">
        <f>IFERROR(M8/M5,"")</f>
        <v/>
      </c>
      <c r="N41" s="21">
        <f>IFERROR(N8/N5,"")</f>
        <v/>
      </c>
      <c r="O41" s="21">
        <f>IFERROR(O8/O5,"")</f>
        <v/>
      </c>
      <c r="P41" s="22">
        <f>IFERROR(P8/P5,"")</f>
        <v/>
      </c>
      <c r="Q41" s="21">
        <f>IFERROR(Q8/Q5,"")</f>
        <v/>
      </c>
      <c r="R41" s="21">
        <f>IFERROR(R8/R5,"")</f>
        <v/>
      </c>
      <c r="S41" s="21">
        <f>IFERROR(S8/S5,"")</f>
        <v/>
      </c>
      <c r="T41" s="21">
        <f>IFERROR(T8/T5,"")</f>
        <v/>
      </c>
      <c r="U41" s="22">
        <f>IFERROR(U8/U5,"")</f>
        <v/>
      </c>
      <c r="V41" s="21">
        <f>IFERROR(V8/V5,"")</f>
        <v/>
      </c>
      <c r="W41" s="21">
        <f>IFERROR(W8/W5,"")</f>
        <v/>
      </c>
      <c r="X41" s="21">
        <f>IFERROR(X8/X5,"")</f>
        <v/>
      </c>
      <c r="Y41" s="21">
        <f>IFERROR(Y8/Y5,"")</f>
        <v/>
      </c>
      <c r="Z41" s="22">
        <f>IFERROR(Z8/Z5,"")</f>
        <v/>
      </c>
      <c r="AA41" s="21">
        <f>IFERROR(AA8/AA5,"")</f>
        <v/>
      </c>
      <c r="AB41" s="23">
        <f>IFERROR(AB8/AB5,"")</f>
        <v/>
      </c>
      <c r="AC41" s="33">
        <f>IFERROR(AC8/AC5,"")</f>
        <v/>
      </c>
      <c r="AD41" s="33">
        <f>IFERROR(AD8/AD5,"")</f>
        <v/>
      </c>
      <c r="AE41" s="25">
        <f>IFERROR(AE8/AE5,"")</f>
        <v/>
      </c>
      <c r="AF41" s="33">
        <f>IFERROR(AF8/AF5,"")</f>
        <v/>
      </c>
      <c r="AG41" s="33">
        <f>IFERROR(AG8/AG5,"")</f>
        <v/>
      </c>
      <c r="AH41" s="33">
        <f>IFERROR(AH8/AH5,"")</f>
        <v/>
      </c>
      <c r="AI41" s="33">
        <f>IFERROR(AI8/AI5,"")</f>
        <v/>
      </c>
      <c r="AJ41" s="25">
        <f>IFERROR(AJ8/AJ5,"")</f>
        <v/>
      </c>
      <c r="AK41" s="33">
        <f>IFERROR(AK8/AK5,"")</f>
        <v/>
      </c>
      <c r="AL41" s="33">
        <f>IFERROR(AL8/AL5,"")</f>
        <v/>
      </c>
      <c r="AM41" s="33">
        <f>IFERROR(AM8/AM5,"")</f>
        <v/>
      </c>
      <c r="AN41" s="33">
        <f>IFERROR(AN8/AN5,"")</f>
        <v/>
      </c>
      <c r="AO41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W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지분법손익</t>
        </is>
      </c>
      <c r="D14" t="inlineStr">
        <is>
          <t>지분법손익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중단사업이익</t>
        </is>
      </c>
      <c r="D19" t="inlineStr">
        <is>
          <t>중단사업이익(실적만)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27">
        <f>IFERROR(VLOOKUP($A30,subQ,MATCH(I$1,SUBQH,0),0),"")</f>
        <v/>
      </c>
      <c r="J30" s="27">
        <f>IFERROR(VLOOKUP($A30,subQ,MATCH(J$1,SUBQH,0),0),"")</f>
        <v/>
      </c>
      <c r="K30" s="27">
        <f>IFERROR(VLOOKUP($A30,subQ,MATCH(K$1,SUBQH,0),0),"")</f>
        <v/>
      </c>
      <c r="L30" s="27">
        <f>IFERROR(VLOOKUP($A30,subQ,MATCH(L$1,SUBQH,0),0),"")</f>
        <v/>
      </c>
      <c r="M30" s="27">
        <f>IFERROR(VLOOKUP($A30,subQ,MATCH(M$1,SUBQH,0),0),"")</f>
        <v/>
      </c>
      <c r="N30" s="27">
        <f>IFERROR(VLOOKUP($A30,subQ,MATCH(N$1,SUBQH,0),0),"")</f>
        <v/>
      </c>
      <c r="O30" s="27">
        <f>IFERROR(VLOOKUP($A30,subQ,MATCH(O$1,SUBQH,0),0),"")</f>
        <v/>
      </c>
      <c r="P30" s="27">
        <f>IFERROR(VLOOKUP($A30,subQ,MATCH(P$1,SUBQH,0),0),"")</f>
        <v/>
      </c>
      <c r="Q30" s="27">
        <f>IFERROR(VLOOKUP($A30,subQ,MATCH(Q$1,SUBQH,0),0),"")</f>
        <v/>
      </c>
      <c r="R30" s="27">
        <f>IFERROR(VLOOKUP($A30,subQ,MATCH(R$1,SUBQH,0),0),"")</f>
        <v/>
      </c>
      <c r="S30" s="27">
        <f>IFERROR(VLOOKUP($A30,subQ,MATCH(S$1,SUBQH,0),0),"")</f>
        <v/>
      </c>
      <c r="T30" s="27">
        <f>IFERROR(VLOOKUP($A30,subQ,MATCH(T$1,SUBQH,0),0),"")</f>
        <v/>
      </c>
      <c r="U30" s="27">
        <f>IFERROR(VLOOKUP($A30,subQ,MATCH(U$1,SUBQH,0),0),"")</f>
        <v/>
      </c>
      <c r="V30" s="27">
        <f>IFERROR(VLOOKUP($A30,subQ,MATCH(V$1,SUBQH,0),0),"")</f>
        <v/>
      </c>
      <c r="W30" s="47">
        <f>IFERROR(VLOOKUP($A30,subQ,MATCH(W$1,SUBQH,0),0),"")</f>
        <v/>
      </c>
      <c r="X30" s="32">
        <f>IFERROR(VLOOKUP($A30,subQ,MATCH(X$1,SUBQH,0),0),"")</f>
        <v/>
      </c>
      <c r="Y30" s="32">
        <f>IFERROR(VLOOKUP($A30,subQ,MATCH(Y$1,SUBQH,0),0),"")</f>
        <v/>
      </c>
      <c r="Z30" s="32">
        <f>IFERROR(VLOOKUP($A30,subQ,MATCH(Z$1,SUBQH,0),0),"")</f>
        <v/>
      </c>
      <c r="AA30" s="32">
        <f>IFERROR(VLOOKUP($A30,subQ,MATCH(AA$1,SUBQH,0),0),"")</f>
        <v/>
      </c>
      <c r="AB30" s="32">
        <f>IFERROR(VLOOKUP($A30,subQ,MATCH(AB$1,SUBQH,0),0),"")</f>
        <v/>
      </c>
      <c r="AC30" s="32">
        <f>IFERROR(VLOOKUP($A30,subQ,MATCH(AC$1,SUBQH,0),0),"")</f>
        <v/>
      </c>
      <c r="AD30" s="32">
        <f>IFERROR(VLOOKUP($A30,subQ,MATCH(AD$1,SUBQH,0),0),"")</f>
        <v/>
      </c>
      <c r="AE30" s="32">
        <f>IFERROR(VLOOKUP($A30,subQ,MATCH(AE$1,SUBQH,0),0),"")</f>
        <v/>
      </c>
      <c r="AF30" s="32">
        <f>IFERROR(VLOOKUP($A30,subQ,MATCH(AF$1,SUBQH,0),0),"")</f>
        <v/>
      </c>
      <c r="AG30" s="32">
        <f>IFERROR(VLOOKUP($A30,subQ,MATCH(AG$1,SUBQH,0),0),"")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13">
        <f>IFERROR(VLOOKUP($A34,subQ,MATCH(U$1,SUBQH,0),0),"")</f>
        <v/>
      </c>
      <c r="V34" s="13">
        <f>IFERROR(VLOOKUP($A34,subQ,MATCH(V$1,SUBQH,0),0),"")</f>
        <v/>
      </c>
      <c r="W34" s="48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  <c r="Z34" s="39">
        <f>IFERROR(VLOOKUP($A34,subQ,MATCH(Z$1,SUBQH,0),0),"")</f>
        <v/>
      </c>
      <c r="AA34" s="39">
        <f>IFERROR(VLOOKUP($A34,subQ,MATCH(AA$1,SUBQH,0),0),"")</f>
        <v/>
      </c>
      <c r="AB34" s="39">
        <f>IFERROR(VLOOKUP($A34,subQ,MATCH(AB$1,SUBQH,0),0),"")</f>
        <v/>
      </c>
      <c r="AC34" s="39">
        <f>IFERROR(VLOOKUP($A34,subQ,MATCH(AC$1,SUBQH,0),0),"")</f>
        <v/>
      </c>
      <c r="AD34" s="39">
        <f>IFERROR(VLOOKUP($A34,subQ,MATCH(AD$1,SUBQH,0),0),"")</f>
        <v/>
      </c>
      <c r="AE34" s="39">
        <f>IFERROR(VLOOKUP($A34,subQ,MATCH(AE$1,SUBQH,0),0),"")</f>
        <v/>
      </c>
      <c r="AF34" s="39">
        <f>IFERROR(VLOOKUP($A34,subQ,MATCH(AF$1,SUBQH,0),0),"")</f>
        <v/>
      </c>
      <c r="AG34" s="39">
        <f>IFERROR(VLOOKUP($A34,subQ,MATCH(AG$1,SUBQH,0),0),"")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21">
        <f>IFERROR(VLOOKUP($A38,subQ,MATCH(E$1,SUBQH,0),0),"")</f>
        <v/>
      </c>
      <c r="F38" s="21">
        <f>IFERROR(VLOOKUP($A38,subQ,MATCH(F$1,SUBQH,0),0),"")</f>
        <v/>
      </c>
      <c r="G38" s="21">
        <f>IFERROR(VLOOKUP($A38,subQ,MATCH(G$1,SUBQH,0),0),"")</f>
        <v/>
      </c>
      <c r="H38" s="21">
        <f>IFERROR(VLOOKUP($A38,subQ,MATCH(H$1,SUBQH,0),0),"")</f>
        <v/>
      </c>
      <c r="I38" s="21">
        <f>IFERROR(VLOOKUP($A38,subQ,MATCH(I$1,SUBQH,0),0),"")</f>
        <v/>
      </c>
      <c r="J38" s="21">
        <f>IFERROR(VLOOKUP($A38,subQ,MATCH(J$1,SUBQH,0),0),"")</f>
        <v/>
      </c>
      <c r="K38" s="21">
        <f>IFERROR(VLOOKUP($A38,subQ,MATCH(K$1,SUBQH,0),0),"")</f>
        <v/>
      </c>
      <c r="L38" s="21">
        <f>IFERROR(VLOOKUP($A38,subQ,MATCH(L$1,SUBQH,0),0),"")</f>
        <v/>
      </c>
      <c r="M38" s="21">
        <f>IFERROR(VLOOKUP($A38,subQ,MATCH(M$1,SUBQH,0),0),"")</f>
        <v/>
      </c>
      <c r="N38" s="21">
        <f>IFERROR(VLOOKUP($A38,subQ,MATCH(N$1,SUBQH,0),0),"")</f>
        <v/>
      </c>
      <c r="O38" s="21">
        <f>IFERROR(VLOOKUP($A38,subQ,MATCH(O$1,SUBQH,0),0),"")</f>
        <v/>
      </c>
      <c r="P38" s="21">
        <f>IFERROR(VLOOKUP($A38,subQ,MATCH(P$1,SUBQH,0),0),"")</f>
        <v/>
      </c>
      <c r="Q38" s="21">
        <f>IFERROR(VLOOKUP($A38,subQ,MATCH(Q$1,SUBQH,0),0),"")</f>
        <v/>
      </c>
      <c r="R38" s="21">
        <f>IFERROR(VLOOKUP($A38,subQ,MATCH(R$1,SUBQH,0),0),"")</f>
        <v/>
      </c>
      <c r="S38" s="21">
        <f>IFERROR(VLOOKUP($A38,subQ,MATCH(S$1,SUBQH,0),0),"")</f>
        <v/>
      </c>
      <c r="T38" s="21">
        <f>IFERROR(VLOOKUP($A38,subQ,MATCH(T$1,SUBQH,0),0),"")</f>
        <v/>
      </c>
      <c r="U38" s="21">
        <f>IFERROR(VLOOKUP($A38,subQ,MATCH(U$1,SUBQH,0),0),"")</f>
        <v/>
      </c>
      <c r="V38" s="21">
        <f>IFERROR(VLOOKUP($A38,subQ,MATCH(V$1,SUBQH,0),0),"")</f>
        <v/>
      </c>
      <c r="W38" s="46">
        <f>IFERROR(VLOOKUP($A38,subQ,MATCH(W$1,SUBQH,0),0),"")</f>
        <v/>
      </c>
      <c r="X38" s="33">
        <f>IFERROR(VLOOKUP($A38,subQ,MATCH(X$1,SUBQH,0),0),"")</f>
        <v/>
      </c>
      <c r="Y38" s="33">
        <f>IFERROR(VLOOKUP($A38,subQ,MATCH(Y$1,SUBQH,0),0),"")</f>
        <v/>
      </c>
      <c r="Z38" s="33">
        <f>IFERROR(VLOOKUP($A38,subQ,MATCH(Z$1,SUBQH,0),0),"")</f>
        <v/>
      </c>
      <c r="AA38" s="33">
        <f>IFERROR(VLOOKUP($A38,subQ,MATCH(AA$1,SUBQH,0),0),"")</f>
        <v/>
      </c>
      <c r="AB38" s="33">
        <f>IFERROR(VLOOKUP($A38,subQ,MATCH(AB$1,SUBQH,0),0),"")</f>
        <v/>
      </c>
      <c r="AC38" s="33">
        <f>IFERROR(VLOOKUP($A38,subQ,MATCH(AC$1,SUBQH,0),0),"")</f>
        <v/>
      </c>
      <c r="AD38" s="33">
        <f>IFERROR(VLOOKUP($A38,subQ,MATCH(AD$1,SUBQH,0),0),"")</f>
        <v/>
      </c>
      <c r="AE38" s="33">
        <f>IFERROR(VLOOKUP($A38,subQ,MATCH(AE$1,SUBQH,0),0),"")</f>
        <v/>
      </c>
      <c r="AF38" s="33">
        <f>IFERROR(VLOOKUP($A38,subQ,MATCH(AF$1,SUBQH,0),0),"")</f>
        <v/>
      </c>
      <c r="AG38" s="33">
        <f>IFERROR(VLOOKUP($A38,subQ,MATCH(AG$1,SUBQH,0),0),"")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I39" s="21">
        <f>IFERROR(I5/E5-1,"")</f>
        <v/>
      </c>
      <c r="J39" s="21">
        <f>IFERROR(J5/F5-1,"")</f>
        <v/>
      </c>
      <c r="K39" s="21">
        <f>IFERROR(K5/G5-1,"")</f>
        <v/>
      </c>
      <c r="L39" s="21">
        <f>IFERROR(L5/H5-1,"")</f>
        <v/>
      </c>
      <c r="M39" s="21">
        <f>IFERROR(M5/I5-1,"")</f>
        <v/>
      </c>
      <c r="N39" s="21">
        <f>IFERROR(N5/J5-1,"")</f>
        <v/>
      </c>
      <c r="O39" s="21">
        <f>IFERROR(O5/K5-1,"")</f>
        <v/>
      </c>
      <c r="P39" s="21">
        <f>IFERROR(P5/L5-1,"")</f>
        <v/>
      </c>
      <c r="Q39" s="21">
        <f>IFERROR(Q5/M5-1,"")</f>
        <v/>
      </c>
      <c r="R39" s="21">
        <f>IFERROR(R5/N5-1,"")</f>
        <v/>
      </c>
      <c r="S39" s="21">
        <f>IFERROR(S5/O5-1,"")</f>
        <v/>
      </c>
      <c r="T39" s="21">
        <f>IFERROR(T5/P5-1,"")</f>
        <v/>
      </c>
      <c r="U39" s="21">
        <f>IFERROR(U5/Q5-1,"")</f>
        <v/>
      </c>
      <c r="V39" s="21">
        <f>IFERROR(V5/R5-1,"")</f>
        <v/>
      </c>
      <c r="W39" s="46">
        <f>IFERROR(W5/S5-1,"")</f>
        <v/>
      </c>
      <c r="X39" s="33">
        <f>IFERROR(X5/T5-1,"")</f>
        <v/>
      </c>
      <c r="Y39" s="33">
        <f>IFERROR(Y5/U5-1,"")</f>
        <v/>
      </c>
      <c r="Z39" s="33">
        <f>IFERROR(Z5/V5-1,"")</f>
        <v/>
      </c>
      <c r="AA39" s="33">
        <f>IFERROR(AA5/W5-1,"")</f>
        <v/>
      </c>
      <c r="AB39" s="33">
        <f>IFERROR(AB5/X5-1,"")</f>
        <v/>
      </c>
      <c r="AC39" s="33">
        <f>IFERROR(AC5/Y5-1,"")</f>
        <v/>
      </c>
      <c r="AD39" s="33">
        <f>IFERROR(AD5/Z5-1,"")</f>
        <v/>
      </c>
      <c r="AE39" s="33">
        <f>IFERROR(AE5/AA5-1,"")</f>
        <v/>
      </c>
      <c r="AF39" s="33">
        <f>IFERROR(AF5/AB5-1,"")</f>
        <v/>
      </c>
      <c r="AG39" s="33">
        <f>IFERROR(AG5/AC5-1,"")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I40" s="21">
        <f>IFERROR(I9/E9-1,"")</f>
        <v/>
      </c>
      <c r="J40" s="21">
        <f>IFERROR(J9/F9-1,"")</f>
        <v/>
      </c>
      <c r="K40" s="21">
        <f>IFERROR(K9/G9-1,"")</f>
        <v/>
      </c>
      <c r="L40" s="21">
        <f>IFERROR(L9/H9-1,"")</f>
        <v/>
      </c>
      <c r="M40" s="21">
        <f>IFERROR(M9/I9-1,"")</f>
        <v/>
      </c>
      <c r="N40" s="21">
        <f>IFERROR(N9/J9-1,"")</f>
        <v/>
      </c>
      <c r="O40" s="21">
        <f>IFERROR(O9/K9-1,"")</f>
        <v/>
      </c>
      <c r="P40" s="21">
        <f>IFERROR(P9/L9-1,"")</f>
        <v/>
      </c>
      <c r="Q40" s="21">
        <f>IFERROR(Q9/M9-1,"")</f>
        <v/>
      </c>
      <c r="R40" s="21">
        <f>IFERROR(R9/N9-1,"")</f>
        <v/>
      </c>
      <c r="S40" s="21">
        <f>IFERROR(S9/O9-1,"")</f>
        <v/>
      </c>
      <c r="T40" s="21">
        <f>IFERROR(T9/P9-1,"")</f>
        <v/>
      </c>
      <c r="U40" s="21">
        <f>IFERROR(U9/Q9-1,"")</f>
        <v/>
      </c>
      <c r="V40" s="21">
        <f>IFERROR(V9/R9-1,"")</f>
        <v/>
      </c>
      <c r="W40" s="46">
        <f>IFERROR(W9/S9-1,"")</f>
        <v/>
      </c>
      <c r="X40" s="33">
        <f>IFERROR(X9/T9-1,"")</f>
        <v/>
      </c>
      <c r="Y40" s="33">
        <f>IFERROR(Y9/U9-1,"")</f>
        <v/>
      </c>
      <c r="Z40" s="33">
        <f>IFERROR(Z9/V9-1,"")</f>
        <v/>
      </c>
      <c r="AA40" s="33">
        <f>IFERROR(AA9/W9-1,"")</f>
        <v/>
      </c>
      <c r="AB40" s="33">
        <f>IFERROR(AB9/X9-1,"")</f>
        <v/>
      </c>
      <c r="AC40" s="33">
        <f>IFERROR(AC9/Y9-1,"")</f>
        <v/>
      </c>
      <c r="AD40" s="33">
        <f>IFERROR(AD9/Z9-1,"")</f>
        <v/>
      </c>
      <c r="AE40" s="33">
        <f>IFERROR(AE9/AA9-1,"")</f>
        <v/>
      </c>
      <c r="AF40" s="33">
        <f>IFERROR(AF9/AB9-1,"")</f>
        <v/>
      </c>
      <c r="AG40" s="33">
        <f>IFERROR(AG9/AC9-1,"")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I41" s="21">
        <f>IFERROR(I18/E18-1,"")</f>
        <v/>
      </c>
      <c r="J41" s="21">
        <f>IFERROR(J18/F18-1,"")</f>
        <v/>
      </c>
      <c r="K41" s="21">
        <f>IFERROR(K18/G18-1,"")</f>
        <v/>
      </c>
      <c r="L41" s="21">
        <f>IFERROR(L18/H18-1,"")</f>
        <v/>
      </c>
      <c r="M41" s="21">
        <f>IFERROR(M18/I18-1,"")</f>
        <v/>
      </c>
      <c r="N41" s="21">
        <f>IFERROR(N18/J18-1,"")</f>
        <v/>
      </c>
      <c r="O41" s="21">
        <f>IFERROR(O18/K18-1,"")</f>
        <v/>
      </c>
      <c r="P41" s="21">
        <f>IFERROR(P18/L18-1,"")</f>
        <v/>
      </c>
      <c r="Q41" s="21">
        <f>IFERROR(Q18/M18-1,"")</f>
        <v/>
      </c>
      <c r="R41" s="21">
        <f>IFERROR(R18/N18-1,"")</f>
        <v/>
      </c>
      <c r="S41" s="21">
        <f>IFERROR(S18/O18-1,"")</f>
        <v/>
      </c>
      <c r="T41" s="21">
        <f>IFERROR(T18/P18-1,"")</f>
        <v/>
      </c>
      <c r="U41" s="21">
        <f>IFERROR(U18/Q18-1,"")</f>
        <v/>
      </c>
      <c r="V41" s="21">
        <f>IFERROR(V18/R18-1,"")</f>
        <v/>
      </c>
      <c r="W41" s="46">
        <f>IFERROR(W18/S18-1,"")</f>
        <v/>
      </c>
      <c r="X41" s="33">
        <f>IFERROR(X18/T18-1,"")</f>
        <v/>
      </c>
      <c r="Y41" s="33">
        <f>IFERROR(Y18/U18-1,"")</f>
        <v/>
      </c>
      <c r="Z41" s="33">
        <f>IFERROR(Z18/V18-1,"")</f>
        <v/>
      </c>
      <c r="AA41" s="33">
        <f>IFERROR(AA18/W18-1,"")</f>
        <v/>
      </c>
      <c r="AB41" s="33">
        <f>IFERROR(AB18/X18-1,"")</f>
        <v/>
      </c>
      <c r="AC41" s="33">
        <f>IFERROR(AC18/Y18-1,"")</f>
        <v/>
      </c>
      <c r="AD41" s="33">
        <f>IFERROR(AD18/Z18-1,"")</f>
        <v/>
      </c>
      <c r="AE41" s="33">
        <f>IFERROR(AE18/AA18-1,"")</f>
        <v/>
      </c>
      <c r="AF41" s="33">
        <f>IFERROR(AF18/AB18-1,"")</f>
        <v/>
      </c>
      <c r="AG41" s="33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변수!D42</f>
        <v/>
      </c>
      <c r="I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지분법손익</t>
        </is>
      </c>
      <c r="D14" t="inlineStr">
        <is>
          <t>지분법손익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중단사업이익</t>
        </is>
      </c>
      <c r="D19" t="inlineStr">
        <is>
          <t>중단사업이익(실적만)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47">
        <f>IFERROR(VLOOKUP($A30,subQ,MATCH(I$1,SUBQH,0),0),"")</f>
        <v/>
      </c>
      <c r="J30" s="32">
        <f>IFERROR(VLOOKUP($A30,subQ,MATCH(J$1,SUBQH,0),0),"")</f>
        <v/>
      </c>
      <c r="K30" s="32">
        <f>IFERROR(VLOOKUP($A30,subQ,MATCH(K$1,SUBQH,0),0),"")</f>
        <v/>
      </c>
      <c r="L30" s="32">
        <f>IFERROR(VLOOKUP($A30,subQ,MATCH(L$1,SUBQH,0),0),"")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48">
        <f>IFERROR(VLOOKUP($A34,subQ,MATCH(I$1,SUBQH,0),0),"")</f>
        <v/>
      </c>
      <c r="J34" s="39">
        <f>IFERROR(VLOOKUP($A34,subQ,MATCH(J$1,SUBQH,0),0),"")</f>
        <v/>
      </c>
      <c r="K34" s="39">
        <f>IFERROR(VLOOKUP($A34,subQ,MATCH(K$1,SUBQH,0),0),"")</f>
        <v/>
      </c>
      <c r="L34" s="39">
        <f>IFERROR(VLOOKUP($A34,subQ,MATCH(L$1,SUBQH,0),0),"")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21">
        <f>IFERROR(VLOOKUP($A38,subQ,MATCH(E$1,SUBQH,0),0),"")</f>
        <v/>
      </c>
      <c r="F38" s="21">
        <f>IFERROR(VLOOKUP($A38,subQ,MATCH(F$1,SUBQH,0),0),"")</f>
        <v/>
      </c>
      <c r="G38" s="21">
        <f>IFERROR(VLOOKUP($A38,subQ,MATCH(G$1,SUBQH,0),0),"")</f>
        <v/>
      </c>
      <c r="H38" s="21">
        <f>IFERROR(VLOOKUP($A38,subQ,MATCH(H$1,SUBQH,0),0),"")</f>
        <v/>
      </c>
      <c r="I38" s="46">
        <f>IFERROR(VLOOKUP($A38,subQ,MATCH(I$1,SUBQH,0),0),"")</f>
        <v/>
      </c>
      <c r="J38" s="33">
        <f>IFERROR(VLOOKUP($A38,subQ,MATCH(J$1,SUBQH,0),0),"")</f>
        <v/>
      </c>
      <c r="K38" s="33">
        <f>IFERROR(VLOOKUP($A38,subQ,MATCH(K$1,SUBQH,0),0),"")</f>
        <v/>
      </c>
      <c r="L38" s="33">
        <f>IFERROR(VLOOKUP($A38,subQ,MATCH(L$1,SUBQH,0),0),"")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F39" s="21">
        <f>IFERROR(F5/E5-1,"")</f>
        <v/>
      </c>
      <c r="G39" s="21">
        <f>IFERROR(G5/F5-1,"")</f>
        <v/>
      </c>
      <c r="H39" s="21">
        <f>IFERROR(H5/G5-1,"")</f>
        <v/>
      </c>
      <c r="I39" s="46">
        <f>IFERROR(I5/H5-1,"")</f>
        <v/>
      </c>
      <c r="J39" s="33">
        <f>IFERROR(J5/I5-1,"")</f>
        <v/>
      </c>
      <c r="K39" s="33">
        <f>IFERROR(K5/J5-1,"")</f>
        <v/>
      </c>
      <c r="L39" s="33">
        <f>IFERROR(L5/K5-1,"")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F40" s="21">
        <f>IFERROR(F9/E9-1,"")</f>
        <v/>
      </c>
      <c r="G40" s="21">
        <f>IFERROR(G9/F9-1,"")</f>
        <v/>
      </c>
      <c r="H40" s="21">
        <f>IFERROR(H9/G9-1,"")</f>
        <v/>
      </c>
      <c r="I40" s="46">
        <f>IFERROR(I9/H9-1,"")</f>
        <v/>
      </c>
      <c r="J40" s="33">
        <f>IFERROR(J9/I9-1,"")</f>
        <v/>
      </c>
      <c r="K40" s="33">
        <f>IFERROR(K9/J9-1,"")</f>
        <v/>
      </c>
      <c r="L40" s="33">
        <f>IFERROR(L9/K9-1,"")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F41" s="21">
        <f>IFERROR(F18/E18-1,"")</f>
        <v/>
      </c>
      <c r="G41" s="21">
        <f>IFERROR(G18/F18-1,"")</f>
        <v/>
      </c>
      <c r="H41" s="21">
        <f>IFERROR(H18/G18-1,"")</f>
        <v/>
      </c>
      <c r="I41" s="46">
        <f>IFERROR(I18/H18-1,"")</f>
        <v/>
      </c>
      <c r="J41" s="33">
        <f>IFERROR(J18/I18-1,"")</f>
        <v/>
      </c>
      <c r="K41" s="33">
        <f>IFERROR(K18/J18-1,"")</f>
        <v/>
      </c>
      <c r="L41" s="33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-47.4</v>
      </c>
    </row>
    <row r="30">
      <c r="C30" s="2" t="inlineStr">
        <is>
          <t>bps_latest</t>
        </is>
      </c>
      <c r="D30" t="n">
        <v>24272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0.37</v>
      </c>
    </row>
    <row r="33">
      <c r="C33" s="2" t="inlineStr">
        <is>
          <t>roe_fwd</t>
        </is>
      </c>
      <c r="D33" t="n">
        <v>-0.002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