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-110억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-193억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2.78%(주석 이자수익 ÷ 평균 이자발생자산(2025Q1~2026Q1)) − 총차입금 187억 × 15.95%(주석 이자비용 ÷ 평균 총차입금(2025Q1~2026Q1)) (연율) ÷ 4
[interest]</t>
      </text>
    </comment>
    <comment ref="AD12" authorId="0" shapeId="0">
      <text>
        <t>추정: 이자발생자산 -1억 × 2.78%(주석 이자수익 ÷ 평균 이자발생자산(2025Q1~2026Q1)) − 총차입금 187억 × 15.95%(주석 이자비용 ÷ 평균 총차입금(2025Q1~2026Q1)) (연율) ÷ 4
[interest]</t>
      </text>
    </comment>
    <comment ref="AF12" authorId="0" shapeId="0">
      <text>
        <t>추정: 이자발생자산 -24억 × 2.78%(주석 이자수익 ÷ 평균 이자발생자산(2025Q1~2026Q1)) − 총차입금 187억 × 15.95%(주석 이자비용 ÷ 평균 총차입금(2025Q1~2026Q1)) (연율) ÷ 4
[interest]</t>
      </text>
    </comment>
    <comment ref="AG12" authorId="0" shapeId="0">
      <text>
        <t>추정: 이자발생자산 -52억 × 2.78%(주석 이자수익 ÷ 평균 이자발생자산(2025Q1~2026Q1)) − 총차입금 187억 × 15.95%(주석 이자비용 ÷ 평균 총차입금(2025Q1~2026Q1)) (연율) ÷ 4
[interest]</t>
      </text>
    </comment>
    <comment ref="AH12" authorId="0" shapeId="0">
      <text>
        <t>추정: 이자발생자산 -79억 × 2.78%(주석 이자수익 ÷ 평균 이자발생자산(2025Q1~2026Q1)) − 총차입금 187억 × 15.95%(주석 이자비용 ÷ 평균 총차입금(2025Q1~2026Q1)) (연율) ÷ 4
[interest]</t>
      </text>
    </comment>
    <comment ref="AI12" authorId="0" shapeId="0">
      <text>
        <t>추정: 이자발생자산 -110억 × 2.78%(주석 이자수익 ÷ 평균 이자발생자산(2025Q1~2026Q1)) − 총차입금 187억 × 15.95%(주석 이자비용 ÷ 평균 총차입금(2025Q1~2026Q1)) (연율) ÷ 4
[interest]</t>
      </text>
    </comment>
    <comment ref="AK12" authorId="0" shapeId="0">
      <text>
        <t>추정: 이자발생자산 -135억 × 2.78%(주석 이자수익 ÷ 평균 이자발생자산(2025Q1~2026Q1)) − 총차입금 187억 × 15.95%(주석 이자비용 ÷ 평균 총차입금(2025Q1~2026Q1)) (연율) ÷ 4
[interest]</t>
      </text>
    </comment>
    <comment ref="AL12" authorId="0" shapeId="0">
      <text>
        <t>추정: 이자발생자산 -164억 × 2.78%(주석 이자수익 ÷ 평균 이자발생자산(2025Q1~2026Q1)) − 총차입금 187억 × 15.95%(주석 이자비용 ÷ 평균 총차입금(2025Q1~2026Q1)) (연율) ÷ 4
[interest]</t>
      </text>
    </comment>
    <comment ref="AM12" authorId="0" shapeId="0">
      <text>
        <t>추정: 이자발생자산 -193억 × 2.78%(주석 이자수익 ÷ 평균 이자발생자산(2025Q1~2026Q1)) − 총차입금 187억 × 15.95%(주석 이자비용 ÷ 평균 총차입금(2025Q1~2026Q1)) (연율) ÷ 4
[interest]</t>
      </text>
    </comment>
    <comment ref="AN12" authorId="0" shapeId="0">
      <text>
        <t>추정: 이자발생자산 -225억 × 2.78%(주석 이자수익 ÷ 평균 이자발생자산(2025Q1~2026Q1))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실측(계정 매핑 없음(파생·부문·시세 행) — 모델값 직접) — = EPS(일회성 의심 없음)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추정(실적 구간 갭필): 지배NI 25억 − (비영업손익 33억 − 12분기 기준선 -2억) × (1 − 0.2%, 분기 유효세율(법인세 0억 ÷ 세전 25억)) × 지배 비중 1.00(그 분기 지배NI/NI) = -10억 ÷ 유통주식수 — 일회성 여부·세효과는 주석 미확인(모델 추정); 보고 EPS 63.6원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2.78% / 부채 15.95% — 이자손익 = (전분기 이자발생자산 × 자산이자율 − 전분기 총차입금 × 부채이자율)/4, 최소자승 역산(모델 assumptions [0.0278, 0.1595] 는 4자리 반올림이라 그대로 쓰면 ±1억 어긋남) · 출처: {"asset": "주석 이자수익 ÷ 평균 이자발생자산(2025Q1~2026Q1)",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-26.2원(보고 63.6원; 초과 비영업손익 36억 × (1 − 세율 0.2%) × 지배 비중 1.00 = 36억 차감 — 추정, 조정EPS 행) / 금융손익 실적→추정 단절: 최근 4분기 실적 -2/+5/-3/+41(중위 +2억) → 추정 2026Q3 -7억(차 -9억, -581%)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1586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1530.5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0.004671692</v>
      </c>
      <c r="AD33" s="30" t="n">
        <v>0.009824975999999999</v>
      </c>
      <c r="AE33" s="31" t="n"/>
      <c r="AF33" s="30" t="n">
        <v>0.005343898</v>
      </c>
      <c r="AG33" s="30" t="n">
        <v>0.00289408</v>
      </c>
      <c r="AH33" s="30" t="n">
        <v>0.006898501</v>
      </c>
      <c r="AI33" s="30" t="n">
        <v>0.001268665</v>
      </c>
      <c r="AJ33" s="31" t="n"/>
      <c r="AK33" s="30" t="n">
        <v>0.00748775</v>
      </c>
      <c r="AL33" s="30" t="n">
        <v>-0.006274586</v>
      </c>
      <c r="AM33" s="30" t="n">
        <v>0.006903262</v>
      </c>
      <c r="AN33" s="30" t="n">
        <v>0.002181848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0.004671692</v>
      </c>
      <c r="AD34" s="30" t="n">
        <v>0.009824975999999999</v>
      </c>
      <c r="AE34" s="31" t="n"/>
      <c r="AF34" s="30" t="n">
        <v>0.005343898</v>
      </c>
      <c r="AG34" s="30" t="n">
        <v>0.00289408</v>
      </c>
      <c r="AH34" s="30" t="n">
        <v>0.006898501</v>
      </c>
      <c r="AI34" s="30" t="n">
        <v>0.001268665</v>
      </c>
      <c r="AJ34" s="31" t="n"/>
      <c r="AK34" s="30" t="n">
        <v>0.00748775</v>
      </c>
      <c r="AL34" s="30" t="n">
        <v>-0.006274586</v>
      </c>
      <c r="AM34" s="30" t="n">
        <v>0.006903262</v>
      </c>
      <c r="AN34" s="30" t="n">
        <v>0.002181848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0.163714041</v>
      </c>
      <c r="AD36" s="24" t="n">
        <v>0.113599309</v>
      </c>
      <c r="AE36" s="25" t="n"/>
      <c r="AF36" s="24" t="n">
        <v>0.119407484</v>
      </c>
      <c r="AG36" s="24" t="n">
        <v>0.103092784</v>
      </c>
      <c r="AH36" s="24" t="n">
        <v>0.108348445</v>
      </c>
      <c r="AI36" s="24" t="n">
        <v>0.07881571900000001</v>
      </c>
      <c r="AJ36" s="25" t="n"/>
      <c r="AK36" s="24" t="n">
        <v>0.08559846</v>
      </c>
      <c r="AL36" s="24" t="n">
        <v>0.076189453</v>
      </c>
      <c r="AM36" s="24" t="n">
        <v>0.080855738</v>
      </c>
      <c r="AN36" s="24" t="n">
        <v>0.060395399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-1.021950684</v>
      </c>
      <c r="AD37" s="24" t="n">
        <v>37.619047619</v>
      </c>
      <c r="AE37" s="25" t="n"/>
      <c r="AF37" s="24" t="n">
        <v>1.139745171</v>
      </c>
      <c r="AG37" s="24" t="n">
        <v>0.514790626</v>
      </c>
      <c r="AH37" s="24" t="n">
        <v>0.393989348</v>
      </c>
      <c r="AI37" s="24" t="n">
        <v>0.227781315</v>
      </c>
      <c r="AJ37" s="25" t="n"/>
      <c r="AK37" s="24" t="n">
        <v>0.217529821</v>
      </c>
      <c r="AL37" s="24" t="n">
        <v>0.172579566</v>
      </c>
      <c r="AM37" s="24" t="n">
        <v>0.168041933</v>
      </c>
      <c r="AN37" s="24" t="n">
        <v>0.116230506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1.038567493</v>
      </c>
      <c r="AD42" s="24" t="n">
        <v>-0.115384615</v>
      </c>
      <c r="AE42" s="25" t="n"/>
      <c r="AF42" s="24" t="n">
        <v>1.702702703</v>
      </c>
      <c r="AG42" s="24" t="n">
        <v>1.580152672</v>
      </c>
      <c r="AH42" s="24" t="n">
        <v>0.059459459</v>
      </c>
      <c r="AI42" s="24" t="n">
        <v>0.056856187</v>
      </c>
      <c r="AJ42" s="25" t="n"/>
      <c r="AK42" s="24" t="n">
        <v>0.058571429</v>
      </c>
      <c r="AL42" s="24" t="n">
        <v>0.059171598</v>
      </c>
      <c r="AM42" s="24" t="n">
        <v>0.042091837</v>
      </c>
      <c r="AN42" s="24" t="n">
        <v>0.044303797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1586</v>
      </c>
      <c r="E46" s="2" t="inlineStr">
        <is>
          <t>원 — 네이버 정규장 종가(aik 확정종가 대조 · aik 1,518원)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20261007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2개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</v>
      </c>
      <c r="E53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0.2495927601809954</v>
      </c>
      <c r="E54" s="2" t="inlineStr">
        <is>
          <t>연결 — 판관비 = 매출액 × 판관비율(역산, 재현 오차 ≤ 0.05억 · 모델 assumptions 0.2496)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0.02776052640237282</v>
      </c>
      <c r="E56" s="2" t="inlineStr">
        <is>
          <t>연결 — 이자손익 = (전분기 이자발생자산 × 자산이자율 − 전분기 총차입금 × 부채이자율)/4(역산, 재현 오차 ≤ 0.05억 · 모델 assumptions 0.0278)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0.1595244288940148</v>
      </c>
      <c r="E57" s="2" t="inlineStr">
        <is>
          <t>연결 — 같은 수식의 부채 쪽(총차입금 행이 없으면 0)(역산, 재현 오차 ≤ 0.05억 · 모델 assumptions 0.1595)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13642.19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7116.53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71.751</v>
      </c>
      <c r="F33" s="28">
        <f>E33</f>
        <v/>
      </c>
      <c r="G33" s="27" t="n">
        <v>71.751</v>
      </c>
      <c r="H33" s="27" t="n">
        <v>71.751</v>
      </c>
      <c r="I33" s="27" t="n">
        <v>71.751</v>
      </c>
      <c r="J33" s="27" t="n">
        <v>71.751</v>
      </c>
      <c r="K33" s="28">
        <f>J33</f>
        <v/>
      </c>
      <c r="L33" s="27" t="n">
        <v>17.938</v>
      </c>
      <c r="M33" s="27" t="n">
        <v>18.779</v>
      </c>
      <c r="N33" s="27" t="n">
        <v>18.779</v>
      </c>
      <c r="O33" s="27" t="n">
        <v>18.779</v>
      </c>
      <c r="P33" s="28">
        <f>O33</f>
        <v/>
      </c>
      <c r="Q33" s="27" t="n">
        <v>22.842</v>
      </c>
      <c r="R33" s="27" t="n">
        <v>30.133</v>
      </c>
      <c r="S33" s="27" t="n">
        <v>30.133</v>
      </c>
      <c r="T33" s="27" t="n">
        <v>30.63</v>
      </c>
      <c r="U33" s="28">
        <f>T33</f>
        <v/>
      </c>
      <c r="V33" s="27" t="n">
        <v>33.255</v>
      </c>
      <c r="W33" s="27" t="n">
        <v>33.43</v>
      </c>
      <c r="X33" s="27" t="n">
        <v>33.43</v>
      </c>
      <c r="Y33" s="27" t="n">
        <v>33.43</v>
      </c>
      <c r="Z33" s="28">
        <f>Y33</f>
        <v/>
      </c>
      <c r="AA33" s="27" t="n">
        <v>39.625</v>
      </c>
      <c r="AB33" s="29" t="n">
        <v>39.625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-67.09999999999999</v>
      </c>
      <c r="F35" s="37" t="n"/>
      <c r="G35" s="18" t="n">
        <v>-24.9</v>
      </c>
      <c r="H35" s="18" t="n">
        <v>-7.6</v>
      </c>
      <c r="I35" s="18" t="n">
        <v>-45.6</v>
      </c>
      <c r="J35" s="18" t="n">
        <v>-115.2</v>
      </c>
      <c r="K35" s="37">
        <f>SUM(G35:J35)</f>
        <v/>
      </c>
      <c r="L35" s="18" t="n">
        <v>-59.7</v>
      </c>
      <c r="M35" s="18" t="n">
        <v>116.7</v>
      </c>
      <c r="N35" s="18" t="n">
        <v>29.1</v>
      </c>
      <c r="O35" s="18" t="n">
        <v>107.2</v>
      </c>
      <c r="P35" s="37">
        <f>SUM(L35:O35)</f>
        <v/>
      </c>
      <c r="Q35" s="18" t="n">
        <v>-90.5</v>
      </c>
      <c r="R35" s="18" t="n">
        <v>-121.8</v>
      </c>
      <c r="S35" s="18" t="n">
        <v>39.3</v>
      </c>
      <c r="T35" s="18" t="n">
        <v>-22.7</v>
      </c>
      <c r="U35" s="37">
        <f>SUM(Q35:T35)</f>
        <v/>
      </c>
      <c r="V35" s="18" t="n">
        <v>-58.5</v>
      </c>
      <c r="W35" s="18" t="n">
        <v>-55</v>
      </c>
      <c r="X35" s="18" t="n">
        <v>-36.3</v>
      </c>
      <c r="Y35" s="18" t="n">
        <v>-67.59999999999999</v>
      </c>
      <c r="Z35" s="37">
        <f>SUM(V35:Y35)</f>
        <v/>
      </c>
      <c r="AA35" s="18" t="n">
        <v>-25.9</v>
      </c>
      <c r="AB35" s="39" t="n">
        <v>-26.2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0" t="n"/>
      <c r="AD38" s="40" t="n"/>
      <c r="AE38" s="41">
        <f>AD38</f>
        <v/>
      </c>
      <c r="AF38" s="40" t="n"/>
      <c r="AG38" s="40" t="n"/>
      <c r="AH38" s="40" t="n"/>
      <c r="AI38" s="40" t="n"/>
      <c r="AJ38" s="41">
        <f>AI38</f>
        <v/>
      </c>
      <c r="AK38" s="40" t="n"/>
      <c r="AL38" s="40" t="n"/>
      <c r="AM38" s="40" t="n"/>
      <c r="AN38" s="40" t="n"/>
      <c r="AO38" s="41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0">
        <f>IFERROR(변수!$D$46/AC36,"")</f>
        <v/>
      </c>
      <c r="AD39" s="40">
        <f>IFERROR(변수!$D$46/AD36,"")</f>
        <v/>
      </c>
      <c r="AE39" s="41">
        <f>AD39</f>
        <v/>
      </c>
      <c r="AF39" s="40">
        <f>IFERROR(변수!$D$46/AF36,"")</f>
        <v/>
      </c>
      <c r="AG39" s="40">
        <f>IFERROR(변수!$D$46/AG36,"")</f>
        <v/>
      </c>
      <c r="AH39" s="40">
        <f>IFERROR(변수!$D$46/AH36,"")</f>
        <v/>
      </c>
      <c r="AI39" s="40">
        <f>IFERROR(변수!$D$46/AI36,"")</f>
        <v/>
      </c>
      <c r="AJ39" s="41">
        <f>AI39</f>
        <v/>
      </c>
      <c r="AK39" s="40">
        <f>IFERROR(변수!$D$46/AK36,"")</f>
        <v/>
      </c>
      <c r="AL39" s="40">
        <f>IFERROR(변수!$D$46/AL36,"")</f>
        <v/>
      </c>
      <c r="AM39" s="40">
        <f>IFERROR(변수!$D$46/AM36,"")</f>
        <v/>
      </c>
      <c r="AN39" s="40">
        <f>IFERROR(변수!$D$46/AN36,"")</f>
        <v/>
      </c>
      <c r="AO39" s="41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8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9">
        <f>IFERROR(VLOOKUP($A38,subQ,MATCH(W$1,SUBQH,0),0),"")</f>
        <v/>
      </c>
      <c r="X38" s="40">
        <f>IFERROR(VLOOKUP($A38,subQ,MATCH(X$1,SUBQH,0),0),"")</f>
        <v/>
      </c>
      <c r="Y38" s="40">
        <f>IFERROR(VLOOKUP($A38,subQ,MATCH(Y$1,SUBQH,0),0),"")</f>
        <v/>
      </c>
      <c r="Z38" s="40">
        <f>IFERROR(VLOOKUP($A38,subQ,MATCH(Z$1,SUBQH,0),0),"")</f>
        <v/>
      </c>
      <c r="AA38" s="40">
        <f>IFERROR(VLOOKUP($A38,subQ,MATCH(AA$1,SUBQH,0),0),"")</f>
        <v/>
      </c>
      <c r="AB38" s="40">
        <f>IFERROR(VLOOKUP($A38,subQ,MATCH(AB$1,SUBQH,0),0),"")</f>
        <v/>
      </c>
      <c r="AC38" s="40">
        <f>IFERROR(VLOOKUP($A38,subQ,MATCH(AC$1,SUBQH,0),0),"")</f>
        <v/>
      </c>
      <c r="AD38" s="40">
        <f>IFERROR(VLOOKUP($A38,subQ,MATCH(AD$1,SUBQH,0),0),"")</f>
        <v/>
      </c>
      <c r="AE38" s="40">
        <f>IFERROR(VLOOKUP($A38,subQ,MATCH(AE$1,SUBQH,0),0),"")</f>
        <v/>
      </c>
      <c r="AF38" s="40">
        <f>IFERROR(VLOOKUP($A38,subQ,MATCH(AF$1,SUBQH,0),0),"")</f>
        <v/>
      </c>
      <c r="AG38" s="40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9">
        <f>IFERROR(VLOOKUP($A39,subQ,MATCH(W$1,SUBQH,0),0),"")</f>
        <v/>
      </c>
      <c r="X39" s="40">
        <f>IFERROR(VLOOKUP($A39,subQ,MATCH(X$1,SUBQH,0),0),"")</f>
        <v/>
      </c>
      <c r="Y39" s="40">
        <f>IFERROR(VLOOKUP($A39,subQ,MATCH(Y$1,SUBQH,0),0),"")</f>
        <v/>
      </c>
      <c r="Z39" s="40">
        <f>IFERROR(VLOOKUP($A39,subQ,MATCH(Z$1,SUBQH,0),0),"")</f>
        <v/>
      </c>
      <c r="AA39" s="40">
        <f>IFERROR(VLOOKUP($A39,subQ,MATCH(AA$1,SUBQH,0),0),"")</f>
        <v/>
      </c>
      <c r="AB39" s="40">
        <f>IFERROR(VLOOKUP($A39,subQ,MATCH(AB$1,SUBQH,0),0),"")</f>
        <v/>
      </c>
      <c r="AC39" s="40">
        <f>IFERROR(VLOOKUP($A39,subQ,MATCH(AC$1,SUBQH,0),0),"")</f>
        <v/>
      </c>
      <c r="AD39" s="40">
        <f>IFERROR(VLOOKUP($A39,subQ,MATCH(AD$1,SUBQH,0),0),"")</f>
        <v/>
      </c>
      <c r="AE39" s="40">
        <f>IFERROR(VLOOKUP($A39,subQ,MATCH(AE$1,SUBQH,0),0),"")</f>
        <v/>
      </c>
      <c r="AF39" s="40">
        <f>IFERROR(VLOOKUP($A39,subQ,MATCH(AF$1,SUBQH,0),0),"")</f>
        <v/>
      </c>
      <c r="AG39" s="40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8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9">
        <f>IFERROR(VLOOKUP($A38,subQ,MATCH(I$1,SUBQH,0),0),"")</f>
        <v/>
      </c>
      <c r="J38" s="40">
        <f>IFERROR(VLOOKUP($A38,subQ,MATCH(J$1,SUBQH,0),0),"")</f>
        <v/>
      </c>
      <c r="K38" s="40">
        <f>IFERROR(VLOOKUP($A38,subQ,MATCH(K$1,SUBQH,0),0),"")</f>
        <v/>
      </c>
      <c r="L38" s="40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9">
        <f>IFERROR(VLOOKUP($A39,subQ,MATCH(I$1,SUBQH,0),0),"")</f>
        <v/>
      </c>
      <c r="J39" s="40">
        <f>IFERROR(VLOOKUP($A39,subQ,MATCH(J$1,SUBQH,0),0),"")</f>
        <v/>
      </c>
      <c r="K39" s="40">
        <f>IFERROR(VLOOKUP($A39,subQ,MATCH(K$1,SUBQH,0),0),"")</f>
        <v/>
      </c>
      <c r="L39" s="40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-271.4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-0.2413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