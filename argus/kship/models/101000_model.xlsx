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BS연결!$C$5:$AO$92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모델값 역산(implied): v / 매출액
매출액 × 판관비율 24.96%(최근 4분기 중위)</t>
      </text>
    </comment>
    <comment ref="AD22" authorId="0" shapeId="0">
      <text>
        <t>모델값 역산(implied): v / 매출액
매출액 × 판관비율 24.96%(최근 4분기 중위)</t>
      </text>
    </comment>
    <comment ref="AF22" authorId="0" shapeId="0">
      <text>
        <t>모델값 역산(implied): v / 매출액
매출액 × 판관비율 24.96%(최근 4분기 중위)</t>
      </text>
    </comment>
    <comment ref="AG22" authorId="0" shapeId="0">
      <text>
        <t>모델값 역산(implied): v / 매출액
매출액 × 판관비율 24.96%(최근 4분기 중위)</t>
      </text>
    </comment>
    <comment ref="AH22" authorId="0" shapeId="0">
      <text>
        <t>모델값 역산(implied): v / 매출액
매출액 × 판관비율 24.96%(최근 4분기 중위)</t>
      </text>
    </comment>
    <comment ref="AI22" authorId="0" shapeId="0">
      <text>
        <t>모델값 역산(implied): v / 매출액
매출액 × 판관비율 24.96%(최근 4분기 중위)</t>
      </text>
    </comment>
    <comment ref="AK22" authorId="0" shapeId="0">
      <text>
        <t>모델값 역산(implied): v / 매출액
매출액 × 판관비율 24.96%(최근 4분기 중위)</t>
      </text>
    </comment>
    <comment ref="AL22" authorId="0" shapeId="0">
      <text>
        <t>모델값 역산(implied): v / 매출액
매출액 × 판관비율 24.96%(최근 4분기 중위)</t>
      </text>
    </comment>
    <comment ref="AM22" authorId="0" shapeId="0">
      <text>
        <t>모델값 역산(implied): v / 매출액
매출액 × 판관비율 24.96%(최근 4분기 중위)</t>
      </text>
    </comment>
    <comment ref="AN22" authorId="0" shapeId="0">
      <text>
        <t>모델값 역산(implied): v / 매출액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v / 전년동기 − 1
최근 8분기 OPM 중위 -10.6% 유지(클립 −20~40%)</t>
      </text>
    </comment>
    <comment ref="AD24" authorId="0" shapeId="0">
      <text>
        <t>모델값 역산(implied): v / 전년동기 − 1
최근 8분기 OPM 중위 -10.6% 유지(클립 −20~40%)</t>
      </text>
    </comment>
    <comment ref="AF24" authorId="0" shapeId="0">
      <text>
        <t>모델값 역산(implied): v / 전년동기 − 1
최근 8분기 OPM 중위 -10.6% 유지(클립 −20~40%)</t>
      </text>
    </comment>
    <comment ref="AG24" authorId="0" shapeId="0">
      <text>
        <t>모델값 역산(implied): v / 전년동기 − 1
최근 8분기 OPM 중위 -10.6% 유지(클립 −20~40%)</t>
      </text>
    </comment>
    <comment ref="AH24" authorId="0" shapeId="0">
      <text>
        <t>모델값 역산(implied): v / 전년동기 − 1
최근 8분기 OPM 중위 -10.6% 유지(클립 −20~40%)</t>
      </text>
    </comment>
    <comment ref="AI24" authorId="0" shapeId="0">
      <text>
        <t>모델값 역산(implied): v / 전년동기 − 1
최근 8분기 OPM 중위 -10.6% 유지(클립 −20~40%)</t>
      </text>
    </comment>
    <comment ref="AK24" authorId="0" shapeId="0">
      <text>
        <t>모델값 역산(implied): v / 전년동기 − 1
최근 8분기 OPM 중위 -10.6% 유지(클립 −20~40%)</t>
      </text>
    </comment>
    <comment ref="AL24" authorId="0" shapeId="0">
      <text>
        <t>모델값 역산(implied): v / 전년동기 − 1
최근 8분기 OPM 중위 -10.6% 유지(클립 −20~40%)</t>
      </text>
    </comment>
    <comment ref="AM24" authorId="0" shapeId="0">
      <text>
        <t>모델값 역산(implied): v / 전년동기 − 1
최근 8분기 OPM 중위 -10.6% 유지(클립 −20~40%)</t>
      </text>
    </comment>
    <comment ref="AN24" authorId="0" shapeId="0">
      <text>
        <t>모델값 역산(implied): v / 전년동기 − 1
최근 8분기 OPM 중위 -10.6% 유지(클립 −20~40%)</t>
      </text>
    </comment>
    <comment ref="AC25" authorId="0" shapeId="0">
      <text>
        <t>모델값 역산(implied): 모델 v 그대로
이자손익 = 이자발생자산 29억 × 0.97% − 총차입금 187억 × 6.55% (연율, CF 실측) ÷ 4; 환·평가손익 0 가정</t>
      </text>
    </comment>
    <comment ref="AD25" authorId="0" shapeId="0">
      <text>
        <t>모델값 역산(implied): 모델 v 그대로
이자손익 = 이자발생자산 4억 × 0.97% − 총차입금 187억 × 6.55% (연율, CF 실측) ÷ 4; 환·평가손익 0 가정</t>
      </text>
    </comment>
    <comment ref="AF25" authorId="0" shapeId="0">
      <text>
        <t>모델값 역산(implied): 모델 v 그대로
이자손익 = 이자발생자산 -16억 × 0.97% − 총차입금 187억 × 6.55% (연율, CF 실측) ÷ 4; 환·평가손익 0 가정</t>
      </text>
    </comment>
    <comment ref="AG25" authorId="0" shapeId="0">
      <text>
        <t>모델값 역산(implied): 모델 v 그대로
이자손익 = 이자발생자산 -39억 × 0.97% − 총차입금 187억 × 6.55% (연율, CF 실측) ÷ 4; 환·평가손익 0 가정</t>
      </text>
    </comment>
    <comment ref="AH25" authorId="0" shapeId="0">
      <text>
        <t>모델값 역산(implied): 모델 v 그대로
이자손익 = 이자발생자산 -61억 × 0.97% − 총차입금 187억 × 6.55% (연율, CF 실측) ÷ 4; 환·평가손익 0 가정</t>
      </text>
    </comment>
    <comment ref="AI25" authorId="0" shapeId="0">
      <text>
        <t>모델값 역산(implied): 모델 v 그대로
이자손익 = 이자발생자산 -87억 × 0.97% − 총차입금 187억 × 6.55% (연율, CF 실측) ÷ 4; 환·평가손익 0 가정</t>
      </text>
    </comment>
    <comment ref="AK25" authorId="0" shapeId="0">
      <text>
        <t>모델값 역산(implied): 모델 v 그대로
이자손익 = 이자발생자산 -107억 × 0.97% − 총차입금 187억 × 6.55% (연율, CF 실측) ÷ 4; 환·평가손익 0 가정</t>
      </text>
    </comment>
    <comment ref="AL25" authorId="0" shapeId="0">
      <text>
        <t>모델값 역산(implied): 모델 v 그대로
이자손익 = 이자발생자산 -132억 × 0.97% − 총차입금 187억 × 6.55% (연율, CF 실측) ÷ 4; 환·평가손익 0 가정</t>
      </text>
    </comment>
    <comment ref="AM25" authorId="0" shapeId="0">
      <text>
        <t>모델값 역산(implied): 모델 v 그대로
이자손익 = 이자발생자산 -155억 × 0.97% − 총차입금 187억 × 6.55% (연율, CF 실측) ÷ 4; 환·평가손익 0 가정</t>
      </text>
    </comment>
    <comment ref="AN25" authorId="0" shapeId="0">
      <text>
        <t>모델값 역산(implied): 모델 v 그대로
이자손익 = 이자발생자산 -182억 × 0.97% − 총차입금 187억 × 6.55%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-10.6% 유지(클립 −20~40%)
[yoy]</t>
      </text>
    </comment>
    <comment ref="AD10" authorId="0" shapeId="0">
      <text>
        <t>추정: 최근 8분기 OPM 중위 -10.6% 유지(클립 −20~40%)
[yoy]</t>
      </text>
    </comment>
    <comment ref="AF10" authorId="0" shapeId="0">
      <text>
        <t>추정: 최근 8분기 OPM 중위 -10.6% 유지(클립 −20~40%)
[yoy]</t>
      </text>
    </comment>
    <comment ref="AG10" authorId="0" shapeId="0">
      <text>
        <t>추정: 최근 8분기 OPM 중위 -10.6% 유지(클립 −20~40%)
[yoy]</t>
      </text>
    </comment>
    <comment ref="AH10" authorId="0" shapeId="0">
      <text>
        <t>추정: 최근 8분기 OPM 중위 -10.6% 유지(클립 −20~40%)
[yoy]</t>
      </text>
    </comment>
    <comment ref="AI10" authorId="0" shapeId="0">
      <text>
        <t>추정: 최근 8분기 OPM 중위 -10.6% 유지(클립 −20~40%)
[yoy]</t>
      </text>
    </comment>
    <comment ref="AK10" authorId="0" shapeId="0">
      <text>
        <t>추정: 최근 8분기 OPM 중위 -10.6% 유지(클립 −20~40%)
[yoy]</t>
      </text>
    </comment>
    <comment ref="AL10" authorId="0" shapeId="0">
      <text>
        <t>추정: 최근 8분기 OPM 중위 -10.6% 유지(클립 −20~40%)
[yoy]</t>
      </text>
    </comment>
    <comment ref="AM10" authorId="0" shapeId="0">
      <text>
        <t>추정: 최근 8분기 OPM 중위 -10.6% 유지(클립 −20~40%)
[yoy]</t>
      </text>
    </comment>
    <comment ref="AN10" authorId="0" shapeId="0">
      <text>
        <t>추정: 최근 8분기 OPM 중위 -10.6% 유지(클립 −20~40%)
[yoy]</t>
      </text>
    </comment>
    <comment ref="AC11" authorId="0" shapeId="0">
      <text>
        <t>추정: 이자손익 = 이자발생자산 29억 × 0.97% − 총차입금 187억 × 6.55% (연율, CF 실측) ÷ 4; 환·평가손익 0 가정
[abs]</t>
      </text>
    </comment>
    <comment ref="AD11" authorId="0" shapeId="0">
      <text>
        <t>추정: 이자손익 = 이자발생자산 4억 × 0.97% − 총차입금 187억 × 6.55% (연율, CF 실측) ÷ 4; 환·평가손익 0 가정
[abs]</t>
      </text>
    </comment>
    <comment ref="AF11" authorId="0" shapeId="0">
      <text>
        <t>추정: 이자손익 = 이자발생자산 -16억 × 0.97% − 총차입금 187억 × 6.55% (연율, CF 실측) ÷ 4; 환·평가손익 0 가정
[abs]</t>
      </text>
    </comment>
    <comment ref="AG11" authorId="0" shapeId="0">
      <text>
        <t>추정: 이자손익 = 이자발생자산 -39억 × 0.97% − 총차입금 187억 × 6.55% (연율, CF 실측) ÷ 4; 환·평가손익 0 가정
[abs]</t>
      </text>
    </comment>
    <comment ref="AH11" authorId="0" shapeId="0">
      <text>
        <t>추정: 이자손익 = 이자발생자산 -61억 × 0.97% − 총차입금 187억 × 6.55% (연율, CF 실측) ÷ 4; 환·평가손익 0 가정
[abs]</t>
      </text>
    </comment>
    <comment ref="AI11" authorId="0" shapeId="0">
      <text>
        <t>추정: 이자손익 = 이자발생자산 -87억 × 0.97% − 총차입금 187억 × 6.55% (연율, CF 실측) ÷ 4; 환·평가손익 0 가정
[abs]</t>
      </text>
    </comment>
    <comment ref="AK11" authorId="0" shapeId="0">
      <text>
        <t>추정: 이자손익 = 이자발생자산 -107억 × 0.97% − 총차입금 187억 × 6.55% (연율, CF 실측) ÷ 4; 환·평가손익 0 가정
[abs]</t>
      </text>
    </comment>
    <comment ref="AL11" authorId="0" shapeId="0">
      <text>
        <t>추정: 이자손익 = 이자발생자산 -132억 × 0.97% − 총차입금 187억 × 6.55% (연율, CF 실측) ÷ 4; 환·평가손익 0 가정
[abs]</t>
      </text>
    </comment>
    <comment ref="AM11" authorId="0" shapeId="0">
      <text>
        <t>추정: 이자손익 = 이자발생자산 -155억 × 0.97% − 총차입금 187억 × 6.55% (연율, CF 실측) ÷ 4; 환·평가손익 0 가정
[abs]</t>
      </text>
    </comment>
    <comment ref="AN11" authorId="0" shapeId="0">
      <text>
        <t>추정: 이자손익 = 이자발생자산 -182억 × 0.97% − 총차입금 187억 × 6.55%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assets/models/101000.json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4억) → 지배NI 25억·EPS·FY2026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11675</v>
      </c>
      <c r="F15" s="9" t="n"/>
      <c r="G15" s="18" t="n">
        <v>12312</v>
      </c>
      <c r="H15" s="18" t="n">
        <v>9396</v>
      </c>
      <c r="I15" s="18" t="n">
        <v>7375</v>
      </c>
      <c r="J15" s="18" t="n">
        <v>6615</v>
      </c>
      <c r="K15" s="9" t="n"/>
      <c r="L15" s="18" t="n">
        <v>3981</v>
      </c>
      <c r="M15" s="18" t="n">
        <v>5174</v>
      </c>
      <c r="N15" s="18" t="n">
        <v>5514</v>
      </c>
      <c r="O15" s="18" t="n">
        <v>5856</v>
      </c>
      <c r="P15" s="9" t="n"/>
      <c r="Q15" s="18" t="n">
        <v>7689</v>
      </c>
      <c r="R15" s="18" t="n">
        <v>7224</v>
      </c>
      <c r="S15" s="18" t="n">
        <v>5555</v>
      </c>
      <c r="T15" s="18" t="n">
        <v>5924</v>
      </c>
      <c r="U15" s="9" t="n"/>
      <c r="V15" s="18" t="n">
        <v>5568</v>
      </c>
      <c r="W15" s="18" t="n">
        <v>6034</v>
      </c>
      <c r="X15" s="18" t="n">
        <v>2682</v>
      </c>
      <c r="Y15" s="18" t="n">
        <v>1811</v>
      </c>
      <c r="Z15" s="9" t="n"/>
      <c r="AA15" s="18" t="n">
        <v>2758</v>
      </c>
      <c r="AB15" s="19" t="n">
        <v>1103</v>
      </c>
      <c r="AC15" s="20" t="n">
        <v>1443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14578</v>
      </c>
      <c r="F16" s="9" t="n"/>
      <c r="G16" s="18" t="n">
        <v>13904</v>
      </c>
      <c r="H16" s="18" t="n">
        <v>12495</v>
      </c>
      <c r="I16" s="18" t="n">
        <v>11577</v>
      </c>
      <c r="J16" s="18" t="n">
        <v>8220</v>
      </c>
      <c r="K16" s="9" t="n"/>
      <c r="L16" s="18" t="n">
        <v>7350</v>
      </c>
      <c r="M16" s="18" t="n">
        <v>7689</v>
      </c>
      <c r="N16" s="18" t="n">
        <v>6225</v>
      </c>
      <c r="O16" s="18" t="n">
        <v>6075</v>
      </c>
      <c r="P16" s="9" t="n"/>
      <c r="Q16" s="18" t="n">
        <v>11561</v>
      </c>
      <c r="R16" s="18" t="n">
        <v>8483</v>
      </c>
      <c r="S16" s="18" t="n">
        <v>8264</v>
      </c>
      <c r="T16" s="18" t="n">
        <v>6937</v>
      </c>
      <c r="U16" s="9" t="n"/>
      <c r="V16" s="18" t="n">
        <v>7251</v>
      </c>
      <c r="W16" s="18" t="n">
        <v>8920</v>
      </c>
      <c r="X16" s="18" t="n">
        <v>6731</v>
      </c>
      <c r="Y16" s="18" t="n">
        <v>4225</v>
      </c>
      <c r="Z16" s="9" t="n"/>
      <c r="AA16" s="18" t="n">
        <v>3803</v>
      </c>
      <c r="AB16" s="19" t="n">
        <v>2898</v>
      </c>
      <c r="AC16" s="20" t="n">
        <v>2305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10719</v>
      </c>
      <c r="F17" s="9" t="n"/>
      <c r="G17" s="18" t="n">
        <v>11503</v>
      </c>
      <c r="H17" s="18" t="n">
        <v>8624</v>
      </c>
      <c r="I17" s="18" t="n">
        <v>7313</v>
      </c>
      <c r="J17" s="18" t="n">
        <v>6419</v>
      </c>
      <c r="K17" s="9" t="n"/>
      <c r="L17" s="18" t="n">
        <v>3565</v>
      </c>
      <c r="M17" s="18" t="n">
        <v>3784</v>
      </c>
      <c r="N17" s="18" t="n">
        <v>4321</v>
      </c>
      <c r="O17" s="18" t="n">
        <v>5459</v>
      </c>
      <c r="P17" s="9" t="n"/>
      <c r="Q17" s="18" t="n">
        <v>5443</v>
      </c>
      <c r="R17" s="18" t="n">
        <v>5188</v>
      </c>
      <c r="S17" s="18" t="n">
        <v>5308</v>
      </c>
      <c r="T17" s="18" t="n">
        <v>5098</v>
      </c>
      <c r="U17" s="9" t="n"/>
      <c r="V17" s="18" t="n">
        <v>4255</v>
      </c>
      <c r="W17" s="18" t="n">
        <v>5336</v>
      </c>
      <c r="X17" s="18" t="n">
        <v>2060</v>
      </c>
      <c r="Y17" s="18" t="n">
        <v>1768</v>
      </c>
      <c r="Z17" s="9" t="n"/>
      <c r="AA17" s="18" t="n">
        <v>1699</v>
      </c>
      <c r="AB17" s="19" t="n">
        <v>985</v>
      </c>
      <c r="AC17" s="20" t="n">
        <v>680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11835.3</v>
      </c>
      <c r="F18" s="9" t="n"/>
      <c r="G18" s="18" t="n">
        <v>12352.6</v>
      </c>
      <c r="H18" s="18" t="n">
        <v>10509.4</v>
      </c>
      <c r="I18" s="18" t="n">
        <v>8808.700000000001</v>
      </c>
      <c r="J18" s="18" t="n">
        <v>6950.7</v>
      </c>
      <c r="K18" s="9" t="n"/>
      <c r="L18" s="18" t="n">
        <v>5327.7</v>
      </c>
      <c r="M18" s="18" t="n">
        <v>5273.9</v>
      </c>
      <c r="N18" s="18" t="n">
        <v>5396.8</v>
      </c>
      <c r="O18" s="18" t="n">
        <v>5787.9</v>
      </c>
      <c r="P18" s="9" t="n"/>
      <c r="Q18" s="18" t="n">
        <v>6887.3</v>
      </c>
      <c r="R18" s="18" t="n">
        <v>6791.1</v>
      </c>
      <c r="S18" s="18" t="n">
        <v>6736.2</v>
      </c>
      <c r="T18" s="18" t="n">
        <v>6019.4</v>
      </c>
      <c r="U18" s="9" t="n"/>
      <c r="V18" s="18" t="n">
        <v>6063.4</v>
      </c>
      <c r="W18" s="18" t="n">
        <v>6245.2</v>
      </c>
      <c r="X18" s="18" t="n">
        <v>5001.3</v>
      </c>
      <c r="Y18" s="18" t="n">
        <v>2378</v>
      </c>
      <c r="Z18" s="9" t="n"/>
      <c r="AA18" s="18" t="n">
        <v>2766.3</v>
      </c>
      <c r="AB18" s="19" t="n">
        <v>2023.9</v>
      </c>
      <c r="AC18" s="20" t="n">
        <v>1075.1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0.136683</v>
      </c>
      <c r="AD21" s="24" t="n">
        <v>0.136685</v>
      </c>
      <c r="AE21" s="25" t="n"/>
      <c r="AF21" s="24" t="n">
        <v>0.136692</v>
      </c>
      <c r="AG21" s="24" t="n">
        <v>0.136738</v>
      </c>
      <c r="AH21" s="24" t="n">
        <v>0.06839099999999999</v>
      </c>
      <c r="AI21" s="24" t="n">
        <v>0.068399</v>
      </c>
      <c r="AJ21" s="25" t="n"/>
      <c r="AK21" s="24" t="n">
        <v>0.068341</v>
      </c>
      <c r="AL21" s="24" t="n">
        <v>0.068315</v>
      </c>
      <c r="AM21" s="24" t="n">
        <v>0.034195</v>
      </c>
      <c r="AN21" s="24" t="n">
        <v>0.03419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0.249598</v>
      </c>
      <c r="AD22" s="24" t="n">
        <v>0.249571</v>
      </c>
      <c r="AE22" s="25">
        <f>IFERROR(subQ!AE8/subQ!AE5,"")</f>
        <v/>
      </c>
      <c r="AF22" s="24" t="n">
        <v>0.249598</v>
      </c>
      <c r="AG22" s="24" t="n">
        <v>0.249559</v>
      </c>
      <c r="AH22" s="24" t="n">
        <v>0.249624</v>
      </c>
      <c r="AI22" s="24" t="n">
        <v>0.249541</v>
      </c>
      <c r="AJ22" s="25">
        <f>IFERROR(subQ!AJ8/subQ!AJ5,"")</f>
        <v/>
      </c>
      <c r="AK22" s="24" t="n">
        <v>0.249624</v>
      </c>
      <c r="AL22" s="24" t="n">
        <v>0.249608</v>
      </c>
      <c r="AM22" s="24" t="n">
        <v>0.24957</v>
      </c>
      <c r="AN22" s="24" t="n">
        <v>0.249612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</v>
      </c>
      <c r="AD23" s="24" t="n">
        <v>-0.105663</v>
      </c>
      <c r="AE23" s="25">
        <f>IFERROR(subQ!AE9/subQ!AE5,"")</f>
        <v/>
      </c>
      <c r="AF23" s="24" t="n">
        <v>-0.105642</v>
      </c>
      <c r="AG23" s="24" t="n">
        <v>-0.105679</v>
      </c>
      <c r="AH23" s="24" t="n">
        <v>-0.105663</v>
      </c>
      <c r="AI23" s="24" t="n">
        <v>-0.105668</v>
      </c>
      <c r="AJ23" s="25">
        <f>IFERROR(subQ!AJ9/subQ!AJ5,"")</f>
        <v/>
      </c>
      <c r="AK23" s="24" t="n">
        <v>-0.105692</v>
      </c>
      <c r="AL23" s="24" t="n">
        <v>-0.105707</v>
      </c>
      <c r="AM23" s="24" t="n">
        <v>-0.105674</v>
      </c>
      <c r="AN23" s="24" t="n">
        <v>-0.105724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0.256837</v>
      </c>
      <c r="AD24" s="24" t="n">
        <v>1.017176</v>
      </c>
      <c r="AE24" s="25" t="n"/>
      <c r="AF24" s="24" t="n">
        <v>0.383508</v>
      </c>
      <c r="AG24" s="24" t="n">
        <v>0.242068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-2.99</v>
      </c>
      <c r="AD25" s="29" t="n">
        <v>-3.05</v>
      </c>
      <c r="AE25" s="30">
        <f>subQ!AE11</f>
        <v/>
      </c>
      <c r="AF25" s="29" t="n">
        <v>-3.09</v>
      </c>
      <c r="AG25" s="29" t="n">
        <v>-3.15</v>
      </c>
      <c r="AH25" s="29" t="n">
        <v>-3.2</v>
      </c>
      <c r="AI25" s="29" t="n">
        <v>-3.27</v>
      </c>
      <c r="AJ25" s="30">
        <f>subQ!AJ11</f>
        <v/>
      </c>
      <c r="AK25" s="29" t="n">
        <v>-3.32</v>
      </c>
      <c r="AL25" s="29" t="n">
        <v>-3.38</v>
      </c>
      <c r="AM25" s="29" t="n">
        <v>-3.43</v>
      </c>
      <c r="AN25" s="29" t="n">
        <v>-3.5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-7.62</v>
      </c>
      <c r="AD27" s="29" t="n">
        <v>-7.62</v>
      </c>
      <c r="AE27" s="30">
        <f>subQ!AE13</f>
        <v/>
      </c>
      <c r="AF27" s="29" t="n">
        <v>-7.62</v>
      </c>
      <c r="AG27" s="29" t="n">
        <v>-7.62</v>
      </c>
      <c r="AH27" s="29" t="n">
        <v>-7.62</v>
      </c>
      <c r="AI27" s="29" t="n">
        <v>-7.62</v>
      </c>
      <c r="AJ27" s="30">
        <f>subQ!AJ13</f>
        <v/>
      </c>
      <c r="AK27" s="29" t="n">
        <v>-7.62</v>
      </c>
      <c r="AL27" s="29" t="n">
        <v>-7.62</v>
      </c>
      <c r="AM27" s="29" t="n">
        <v>-7.62</v>
      </c>
      <c r="AN27" s="29" t="n">
        <v>-7.62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-1.3e-05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0.0012</v>
      </c>
      <c r="AD32" s="29" t="n">
        <v>0.01</v>
      </c>
      <c r="AE32" s="30" t="n"/>
      <c r="AF32" s="29" t="n">
        <v>0</v>
      </c>
      <c r="AG32" s="29" t="n">
        <v>0</v>
      </c>
      <c r="AH32" s="29" t="n">
        <v>0</v>
      </c>
      <c r="AI32" s="29" t="n">
        <v>0.01</v>
      </c>
      <c r="AJ32" s="30" t="n"/>
      <c r="AK32" s="29" t="n">
        <v>-0.01</v>
      </c>
      <c r="AL32" s="29" t="n">
        <v>0</v>
      </c>
      <c r="AM32" s="29" t="n">
        <v>-0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0.0012</v>
      </c>
      <c r="AD33" s="29" t="n">
        <v>0.01</v>
      </c>
      <c r="AE33" s="30" t="n"/>
      <c r="AF33" s="29" t="n">
        <v>0</v>
      </c>
      <c r="AG33" s="29" t="n">
        <v>0</v>
      </c>
      <c r="AH33" s="29" t="n">
        <v>0</v>
      </c>
      <c r="AI33" s="29" t="n">
        <v>0.01</v>
      </c>
      <c r="AJ33" s="30" t="n"/>
      <c r="AK33" s="29" t="n">
        <v>-0.01</v>
      </c>
      <c r="AL33" s="29" t="n">
        <v>0</v>
      </c>
      <c r="AM33" s="29" t="n">
        <v>-0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1.2e-05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0.139942</v>
      </c>
      <c r="AD35" s="24" t="n">
        <v>0.094429</v>
      </c>
      <c r="AE35" s="25" t="n"/>
      <c r="AF35" s="24" t="n">
        <v>0.103815</v>
      </c>
      <c r="AG35" s="24" t="n">
        <v>0.089756</v>
      </c>
      <c r="AH35" s="24" t="n">
        <v>0.097721</v>
      </c>
      <c r="AI35" s="24" t="n">
        <v>0.06808699999999999</v>
      </c>
      <c r="AJ35" s="25" t="n"/>
      <c r="AK35" s="24" t="n">
        <v>0.07703500000000001</v>
      </c>
      <c r="AL35" s="24" t="n">
        <v>0.06813900000000001</v>
      </c>
      <c r="AM35" s="24" t="n">
        <v>0.074544</v>
      </c>
      <c r="AN35" s="24" t="n">
        <v>0.052953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-0.873522</v>
      </c>
      <c r="AD36" s="24" t="n">
        <v>-5.316804</v>
      </c>
      <c r="AE36" s="25" t="n"/>
      <c r="AF36" s="24" t="n">
        <v>1.481174</v>
      </c>
      <c r="AG36" s="24" t="n">
        <v>0.569444</v>
      </c>
      <c r="AH36" s="24" t="n">
        <v>0.430678</v>
      </c>
      <c r="AI36" s="24" t="n">
        <v>0.230355</v>
      </c>
      <c r="AJ36" s="25" t="n"/>
      <c r="AK36" s="24" t="n">
        <v>0.22605</v>
      </c>
      <c r="AL36" s="24" t="n">
        <v>0.175792</v>
      </c>
      <c r="AM36" s="24" t="n">
        <v>0.174567</v>
      </c>
      <c r="AN36" s="24" t="n">
        <v>0.113543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-0.654788</v>
      </c>
      <c r="AD43" s="24" t="n">
        <v>-0.281938</v>
      </c>
      <c r="AE43" s="25" t="n"/>
      <c r="AF43" s="24" t="n">
        <v>-0.337165</v>
      </c>
      <c r="AG43" s="24" t="n">
        <v>0.022222</v>
      </c>
      <c r="AH43" s="24" t="n">
        <v>0.277419</v>
      </c>
      <c r="AI43" s="24" t="n">
        <v>0.294479</v>
      </c>
      <c r="AJ43" s="25" t="n"/>
      <c r="AK43" s="24" t="n">
        <v>0.323699</v>
      </c>
      <c r="AL43" s="24" t="n">
        <v>0.353261</v>
      </c>
      <c r="AM43" s="24" t="n">
        <v>0.40404</v>
      </c>
      <c r="AN43" s="24" t="n">
        <v>0.445498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-0.105655</v>
      </c>
      <c r="AD45" s="24" t="n">
        <v>-0.105663</v>
      </c>
      <c r="AE45" s="25">
        <f>IFERROR(subQ!AE36/subQ!AE35,"")</f>
        <v/>
      </c>
      <c r="AF45" s="24" t="n">
        <v>-0.105642</v>
      </c>
      <c r="AG45" s="24" t="n">
        <v>-0.105679</v>
      </c>
      <c r="AH45" s="24" t="n">
        <v>-0.105663</v>
      </c>
      <c r="AI45" s="24" t="n">
        <v>-0.105668</v>
      </c>
      <c r="AJ45" s="25">
        <f>IFERROR(subQ!AJ36/subQ!AJ35,"")</f>
        <v/>
      </c>
      <c r="AK45" s="24" t="n">
        <v>-0.105692</v>
      </c>
      <c r="AL45" s="24" t="n">
        <v>-0.105707</v>
      </c>
      <c r="AM45" s="24" t="n">
        <v>-0.105674</v>
      </c>
      <c r="AN45" s="24" t="n">
        <v>-0.105724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1650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2개 &lt; 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0.2496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4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4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4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4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4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4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4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4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4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4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4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4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4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4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4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4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4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4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4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4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4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4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4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4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4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4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4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4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4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4" t="n">
        <v>28.76</v>
      </c>
      <c r="G11" s="18" t="n">
        <v>34.76</v>
      </c>
      <c r="H11" s="18" t="n">
        <v>39.93</v>
      </c>
      <c r="J11" s="18" t="n">
        <v>158.58</v>
      </c>
      <c r="K11" s="34" t="n">
        <v>158.58</v>
      </c>
      <c r="L11" s="18" t="n">
        <v>93.13</v>
      </c>
      <c r="M11" s="18" t="n">
        <v>48.7</v>
      </c>
      <c r="O11" s="18" t="n">
        <v>237.48</v>
      </c>
      <c r="P11" s="34" t="n">
        <v>237.48</v>
      </c>
      <c r="Q11" s="18" t="n">
        <v>346.04</v>
      </c>
      <c r="S11" s="18" t="n">
        <v>4619.99</v>
      </c>
      <c r="T11" s="18" t="n">
        <v>2673.72</v>
      </c>
      <c r="U11" s="34" t="n">
        <v>2673.72</v>
      </c>
      <c r="V11" s="18" t="n">
        <v>5373.72</v>
      </c>
      <c r="W11" s="18" t="n">
        <v>5519.01</v>
      </c>
      <c r="Y11" s="18" t="n">
        <v>2889.71</v>
      </c>
      <c r="Z11" s="34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4" t="n">
        <v>28.76</v>
      </c>
      <c r="G12" s="18" t="n">
        <v>34.76</v>
      </c>
      <c r="H12" s="18" t="n">
        <v>39.93</v>
      </c>
      <c r="J12" s="18" t="n">
        <v>158.58</v>
      </c>
      <c r="K12" s="34" t="n">
        <v>158.58</v>
      </c>
      <c r="L12" s="18" t="n">
        <v>93.13</v>
      </c>
      <c r="M12" s="18" t="n">
        <v>48.7</v>
      </c>
      <c r="O12" s="18" t="n">
        <v>237.48</v>
      </c>
      <c r="P12" s="34" t="n">
        <v>237.48</v>
      </c>
      <c r="Q12" s="18" t="n">
        <v>346.04</v>
      </c>
      <c r="S12" s="18" t="n">
        <v>4620.56</v>
      </c>
      <c r="T12" s="18" t="n">
        <v>2673.72</v>
      </c>
      <c r="U12" s="34" t="n">
        <v>2673.72</v>
      </c>
      <c r="V12" s="18" t="n">
        <v>5373.72</v>
      </c>
      <c r="W12" s="18" t="n">
        <v>5519.01</v>
      </c>
      <c r="Y12" s="18" t="n">
        <v>2889.71</v>
      </c>
      <c r="Z12" s="34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4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4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4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4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4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4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4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4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4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4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4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4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4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4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4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4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4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4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4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4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4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4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4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4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4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4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4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4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4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4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4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4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4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4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4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4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4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4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4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4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4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4" t="n">
        <v>9540.93</v>
      </c>
      <c r="Q21" s="18" t="n">
        <v>833.96</v>
      </c>
      <c r="R21" s="18" t="n">
        <v>148.07</v>
      </c>
      <c r="S21" s="18" t="n">
        <v>2025.22</v>
      </c>
      <c r="T21" s="18" t="n">
        <v>379.77</v>
      </c>
      <c r="U21" s="34" t="n">
        <v>379.77</v>
      </c>
      <c r="V21" s="18" t="n">
        <v>471.07</v>
      </c>
      <c r="W21" s="18" t="n">
        <v>391.47</v>
      </c>
      <c r="X21" s="18" t="n">
        <v>408.03</v>
      </c>
      <c r="Y21" s="18" t="n">
        <v>313.88</v>
      </c>
      <c r="Z21" s="34" t="n">
        <v>313.88</v>
      </c>
      <c r="AA21" s="18" t="n">
        <v>349.37</v>
      </c>
      <c r="AB21" s="19" t="n">
        <v>359.39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4" t="n">
        <v>3111.11</v>
      </c>
      <c r="G22" s="18" t="n">
        <v>2777.78</v>
      </c>
      <c r="H22" s="18" t="n">
        <v>2444.44</v>
      </c>
      <c r="I22" s="18" t="n">
        <v>9091.059999999999</v>
      </c>
      <c r="J22" s="18" t="n">
        <v>9344.25</v>
      </c>
      <c r="K22" s="34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4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4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4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4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4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4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4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4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4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4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4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4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4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4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4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4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4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4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4" t="n">
        <v>229.21</v>
      </c>
      <c r="Q26" s="18" t="n">
        <v>653.23</v>
      </c>
      <c r="R26" s="18" t="n">
        <v>128.68</v>
      </c>
      <c r="S26" s="18" t="n">
        <v>1843.37</v>
      </c>
      <c r="T26" s="18" t="n">
        <v>293.53</v>
      </c>
      <c r="U26" s="34" t="n">
        <v>293.53</v>
      </c>
      <c r="V26" s="18" t="n">
        <v>315.91</v>
      </c>
      <c r="W26" s="18" t="n">
        <v>239.21</v>
      </c>
      <c r="X26" s="18" t="n">
        <v>208.98</v>
      </c>
      <c r="Y26" s="18" t="n">
        <v>220.98</v>
      </c>
      <c r="Z26" s="34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4" t="n">
        <v>15</v>
      </c>
      <c r="K27" s="9" t="n"/>
      <c r="P27" s="9" t="n"/>
      <c r="T27" s="18" t="n">
        <v>58.74</v>
      </c>
      <c r="U27" s="34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4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4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4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4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4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4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4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4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4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4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4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4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4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4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4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4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4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4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4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4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4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4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4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4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4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4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4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4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4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4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4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4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4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4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4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7911.11</v>
      </c>
      <c r="F35" s="34" t="n">
        <v>7911.11</v>
      </c>
      <c r="G35" s="18" t="n">
        <v>7577.78</v>
      </c>
      <c r="H35" s="18" t="n">
        <v>9244.440000000001</v>
      </c>
      <c r="I35" s="18" t="n">
        <v>16691.06</v>
      </c>
      <c r="J35" s="18" t="n">
        <v>16144.25</v>
      </c>
      <c r="K35" s="34" t="n">
        <v>16144.25</v>
      </c>
      <c r="L35" s="18" t="n">
        <v>8500</v>
      </c>
      <c r="M35" s="18" t="n">
        <v>13199.16</v>
      </c>
      <c r="N35" s="18" t="n">
        <v>11804.54</v>
      </c>
      <c r="O35" s="18" t="n">
        <v>11227.2</v>
      </c>
      <c r="P35" s="34" t="n">
        <v>11227.2</v>
      </c>
      <c r="Q35" s="18" t="n">
        <v>9292.98</v>
      </c>
      <c r="R35" s="18" t="n">
        <v>2071.31</v>
      </c>
      <c r="S35" s="18" t="n">
        <v>2704.28</v>
      </c>
      <c r="T35" s="18" t="n">
        <v>8447.92</v>
      </c>
      <c r="U35" s="34" t="n">
        <v>8447.92</v>
      </c>
      <c r="V35" s="18" t="n">
        <v>9004.040000000001</v>
      </c>
      <c r="W35" s="18" t="n">
        <v>18026.36</v>
      </c>
      <c r="X35" s="18" t="n">
        <v>17121.38</v>
      </c>
      <c r="Y35" s="18" t="n">
        <v>17608.31</v>
      </c>
      <c r="Z35" s="34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6637.76</v>
      </c>
      <c r="F36" s="34" t="n">
        <v>6637.76</v>
      </c>
      <c r="G36" s="18" t="n">
        <v>6438.63</v>
      </c>
      <c r="H36" s="18" t="n">
        <v>6390.8</v>
      </c>
      <c r="I36" s="18" t="n">
        <v>16153.35</v>
      </c>
      <c r="J36" s="18" t="n">
        <v>15426.42</v>
      </c>
      <c r="K36" s="34" t="n">
        <v>15426.42</v>
      </c>
      <c r="L36" s="18" t="n">
        <v>8078.61</v>
      </c>
      <c r="M36" s="18" t="n">
        <v>11697.06</v>
      </c>
      <c r="N36" s="18" t="n">
        <v>10414.33</v>
      </c>
      <c r="O36" s="18" t="n">
        <v>10020.93</v>
      </c>
      <c r="P36" s="34" t="n">
        <v>10020.93</v>
      </c>
      <c r="Q36" s="18" t="n">
        <v>-3620.11</v>
      </c>
      <c r="R36" s="18" t="n">
        <v>-14834.72</v>
      </c>
      <c r="S36" s="18" t="n">
        <v>-7086.98</v>
      </c>
      <c r="T36" s="18" t="n">
        <v>-2878.89</v>
      </c>
      <c r="U36" s="34" t="n">
        <v>-2878.89</v>
      </c>
      <c r="V36" s="18" t="n">
        <v>886.15</v>
      </c>
      <c r="W36" s="18" t="n">
        <v>11820.92</v>
      </c>
      <c r="X36" s="18" t="n">
        <v>14167.07</v>
      </c>
      <c r="Y36" s="18" t="n">
        <v>14226.56</v>
      </c>
      <c r="Z36" s="34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4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4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4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4" t="n">
        <v>14000.53</v>
      </c>
      <c r="V37" s="18" t="n">
        <v>13491.61</v>
      </c>
      <c r="W37" s="18" t="n">
        <v>11724.45</v>
      </c>
      <c r="X37" s="18" t="n">
        <v>2954.31</v>
      </c>
      <c r="Y37" s="18" t="n">
        <v>6271.46</v>
      </c>
      <c r="Z37" s="34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단기금융상품</t>
        </is>
      </c>
      <c r="F38" s="9" t="n"/>
      <c r="H38" s="18" t="n">
        <v>2000</v>
      </c>
      <c r="K38" s="9" t="n"/>
      <c r="P38" s="9" t="n"/>
      <c r="U38" s="9" t="n"/>
      <c r="Z38" s="9" t="n"/>
      <c r="AB38" s="19" t="n">
        <v>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단기금융자산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F40" s="9" t="n"/>
      <c r="H40" s="18" t="n">
        <v>3282.89</v>
      </c>
      <c r="I40" s="18" t="n">
        <v>2694.2</v>
      </c>
      <c r="K40" s="9" t="n"/>
      <c r="O40" s="18" t="n">
        <v>9540.93</v>
      </c>
      <c r="P40" s="34" t="n">
        <v>9540.93</v>
      </c>
      <c r="S40" s="18" t="n">
        <v>1773.08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기타유동자산</t>
        </is>
      </c>
      <c r="F41" s="9" t="n"/>
      <c r="K41" s="9" t="n"/>
      <c r="M41" s="18" t="n">
        <v>11082.11</v>
      </c>
      <c r="N41" s="18" t="n">
        <v>13462.67</v>
      </c>
      <c r="O41" s="18" t="n">
        <v>6358.86</v>
      </c>
      <c r="P41" s="34" t="n">
        <v>6358.86</v>
      </c>
      <c r="Q41" s="18" t="n">
        <v>3964.07</v>
      </c>
      <c r="R41" s="18" t="n">
        <v>4008.23</v>
      </c>
      <c r="S41" s="18" t="n">
        <v>6648.48</v>
      </c>
      <c r="T41" s="18" t="n">
        <v>1055.08</v>
      </c>
      <c r="U41" s="34" t="n">
        <v>1055.08</v>
      </c>
      <c r="V41" s="18" t="n">
        <v>2116.15</v>
      </c>
      <c r="W41" s="18" t="n">
        <v>3163.79</v>
      </c>
      <c r="X41" s="18" t="n">
        <v>3556.22</v>
      </c>
      <c r="Y41" s="18" t="n">
        <v>1156.93</v>
      </c>
      <c r="Z41" s="34" t="n">
        <v>1156.93</v>
      </c>
      <c r="AA41" s="18" t="n">
        <v>1201.39</v>
      </c>
      <c r="AB41" s="19" t="n">
        <v>1409.27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기타유동부채</t>
        </is>
      </c>
      <c r="F42" s="9" t="n"/>
      <c r="K42" s="9" t="n"/>
      <c r="M42" s="18" t="n">
        <v>10235.16</v>
      </c>
      <c r="N42" s="18" t="n">
        <v>10173.55</v>
      </c>
      <c r="O42" s="18" t="n">
        <v>1173.49</v>
      </c>
      <c r="P42" s="34" t="n">
        <v>1173.49</v>
      </c>
      <c r="R42" s="18" t="n">
        <v>506.82</v>
      </c>
      <c r="S42" s="18" t="n">
        <v>618.95</v>
      </c>
      <c r="T42" s="18" t="n">
        <v>490.2</v>
      </c>
      <c r="U42" s="34" t="n">
        <v>490.2</v>
      </c>
      <c r="V42" s="18" t="n">
        <v>322.48</v>
      </c>
      <c r="W42" s="18" t="n">
        <v>318.14</v>
      </c>
      <c r="X42" s="18" t="n">
        <v>747.74</v>
      </c>
      <c r="Y42" s="18" t="n">
        <v>657.12</v>
      </c>
      <c r="Z42" s="34" t="n">
        <v>657.12</v>
      </c>
      <c r="AA42" s="18" t="n">
        <v>615.25</v>
      </c>
      <c r="AB42" s="19" t="n">
        <v>676.76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F43" s="9" t="n"/>
      <c r="K43" s="9" t="n"/>
      <c r="M43" s="18" t="n">
        <v>-4.08</v>
      </c>
      <c r="N43" s="18" t="n">
        <v>-4.08</v>
      </c>
      <c r="P43" s="9" t="n"/>
      <c r="R43" s="18" t="n">
        <v>-36.53</v>
      </c>
      <c r="S43" s="18" t="n">
        <v>-37.25</v>
      </c>
      <c r="T43" s="18" t="n">
        <v>-34.57</v>
      </c>
      <c r="U43" s="34" t="n">
        <v>-34.57</v>
      </c>
      <c r="V43" s="18" t="n">
        <v>-32.56</v>
      </c>
      <c r="W43" s="18" t="n">
        <v>-30.53</v>
      </c>
      <c r="X43" s="18" t="n">
        <v>-28.47</v>
      </c>
      <c r="Y43" s="18" t="n">
        <v>-36.97</v>
      </c>
      <c r="Z43" s="34" t="n">
        <v>-36.97</v>
      </c>
      <c r="AA43" s="18" t="n">
        <v>-37.25</v>
      </c>
      <c r="AB43" s="19" t="n">
        <v>-37.25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O44" s="18" t="n">
        <v>151.08</v>
      </c>
      <c r="P44" s="34" t="n">
        <v>151.08</v>
      </c>
      <c r="Q44" s="18" t="n">
        <v>198.04</v>
      </c>
      <c r="U44" s="9" t="n"/>
      <c r="V44" s="18" t="n">
        <v>6.48</v>
      </c>
      <c r="X44" s="18" t="n">
        <v>0.03</v>
      </c>
      <c r="Y44" s="18" t="n">
        <v>232.06</v>
      </c>
      <c r="Z44" s="34" t="n">
        <v>232.06</v>
      </c>
      <c r="AA44" s="18" t="n">
        <v>160.16</v>
      </c>
      <c r="AB44" s="19" t="n">
        <v>135.66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F45" s="9" t="n"/>
      <c r="K45" s="9" t="n"/>
      <c r="O45" s="18" t="n">
        <v>157.07</v>
      </c>
      <c r="P45" s="34" t="n">
        <v>157.07</v>
      </c>
      <c r="Q45" s="18" t="n">
        <v>131.92</v>
      </c>
      <c r="R45" s="18" t="n">
        <v>106</v>
      </c>
      <c r="U45" s="9" t="n"/>
      <c r="W45" s="18" t="n">
        <v>12000</v>
      </c>
      <c r="X45" s="18" t="n">
        <v>12000</v>
      </c>
      <c r="Y45" s="18" t="n">
        <v>12000</v>
      </c>
      <c r="Z45" s="34" t="n">
        <v>12000</v>
      </c>
      <c r="AA45" s="18" t="n">
        <v>12000</v>
      </c>
      <c r="AB45" s="19" t="n">
        <v>12000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4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4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4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4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4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F52" s="9" t="n"/>
      <c r="K52" s="9" t="n"/>
      <c r="P52" s="9" t="n"/>
      <c r="U52" s="9" t="n"/>
      <c r="Y52" s="18" t="n">
        <v>435.35</v>
      </c>
      <c r="Z52" s="34" t="n">
        <v>435.35</v>
      </c>
      <c r="AA52" s="18" t="n">
        <v>414.15</v>
      </c>
      <c r="AB52" s="19" t="n">
        <v>421.86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기타포괄이익누계액</t>
        </is>
      </c>
      <c r="F53" s="9" t="n"/>
      <c r="K53" s="9" t="n"/>
      <c r="P53" s="9" t="n"/>
      <c r="U53" s="9" t="n"/>
      <c r="Z53" s="9" t="n"/>
      <c r="AB53" s="19" t="n">
        <v>75.56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8501.73</v>
      </c>
      <c r="F54" s="9" t="n"/>
      <c r="G54" s="18" t="n">
        <v>14734.67</v>
      </c>
      <c r="H54" s="18" t="n">
        <v>18706.69</v>
      </c>
      <c r="I54" s="18" t="n">
        <v>17176.15</v>
      </c>
      <c r="J54" s="18" t="n">
        <v>23811.88</v>
      </c>
      <c r="K54" s="34" t="n">
        <v>74429.39</v>
      </c>
      <c r="L54" s="18" t="n">
        <v>21526.67</v>
      </c>
      <c r="M54" s="18" t="n">
        <v>23408.9</v>
      </c>
      <c r="N54" s="18" t="n">
        <v>23294.52</v>
      </c>
      <c r="O54" s="18" t="n">
        <v>18121.3</v>
      </c>
      <c r="P54" s="34" t="n">
        <v>86351.39</v>
      </c>
      <c r="Q54" s="18" t="n">
        <v>15367.8</v>
      </c>
      <c r="R54" s="18" t="n">
        <v>5503.84</v>
      </c>
      <c r="S54" s="18" t="n">
        <v>6059.55</v>
      </c>
      <c r="T54" s="18" t="n">
        <v>8093.04</v>
      </c>
      <c r="U54" s="34" t="n">
        <v>35024.23</v>
      </c>
      <c r="V54" s="18" t="n">
        <v>9021.129999999999</v>
      </c>
      <c r="W54" s="18" t="n">
        <v>11208.93</v>
      </c>
      <c r="X54" s="18" t="n">
        <v>12040.3</v>
      </c>
      <c r="Y54" s="18" t="n">
        <v>7177.01</v>
      </c>
      <c r="Z54" s="34" t="n">
        <v>39447.37</v>
      </c>
      <c r="AA54" s="18" t="n">
        <v>10401.23</v>
      </c>
      <c r="AB54" s="19" t="n">
        <v>9464.799999999999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11253.74</v>
      </c>
      <c r="F55" s="9" t="n"/>
      <c r="G55" s="18" t="n">
        <v>15572.74</v>
      </c>
      <c r="H55" s="18" t="n">
        <v>19449.38</v>
      </c>
      <c r="I55" s="18" t="n">
        <v>19874.92</v>
      </c>
      <c r="J55" s="18" t="n">
        <v>30638.83</v>
      </c>
      <c r="K55" s="34" t="n">
        <v>85535.87</v>
      </c>
      <c r="L55" s="18" t="n">
        <v>20490.95</v>
      </c>
      <c r="M55" s="18" t="n">
        <v>16524.19</v>
      </c>
      <c r="N55" s="18" t="n">
        <v>20829.35</v>
      </c>
      <c r="O55" s="18" t="n">
        <v>14128.64</v>
      </c>
      <c r="P55" s="34" t="n">
        <v>71973.13</v>
      </c>
      <c r="Q55" s="18" t="n">
        <v>11803.12</v>
      </c>
      <c r="R55" s="18" t="n">
        <v>3991.34</v>
      </c>
      <c r="S55" s="18" t="n">
        <v>6053.69</v>
      </c>
      <c r="T55" s="18" t="n">
        <v>7555.47</v>
      </c>
      <c r="U55" s="34" t="n">
        <v>29403.62</v>
      </c>
      <c r="V55" s="18" t="n">
        <v>8351.780000000001</v>
      </c>
      <c r="W55" s="18" t="n">
        <v>10159.19</v>
      </c>
      <c r="X55" s="18" t="n">
        <v>10694.91</v>
      </c>
      <c r="Y55" s="18" t="n">
        <v>5596.68</v>
      </c>
      <c r="Z55" s="34" t="n">
        <v>34802.56</v>
      </c>
      <c r="AA55" s="18" t="n">
        <v>8229.17</v>
      </c>
      <c r="AB55" s="19" t="n">
        <v>8125.4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-2752.01</v>
      </c>
      <c r="F56" s="9" t="n"/>
      <c r="G56" s="18" t="n">
        <v>-838.0599999999999</v>
      </c>
      <c r="H56" s="18" t="n">
        <v>-742.6900000000001</v>
      </c>
      <c r="I56" s="18" t="n">
        <v>-2698.77</v>
      </c>
      <c r="J56" s="18" t="n">
        <v>-6826.94</v>
      </c>
      <c r="K56" s="34" t="n">
        <v>-11106.46</v>
      </c>
      <c r="L56" s="18" t="n">
        <v>1035.72</v>
      </c>
      <c r="M56" s="18" t="n">
        <v>6884.71</v>
      </c>
      <c r="N56" s="18" t="n">
        <v>2465.16</v>
      </c>
      <c r="O56" s="18" t="n">
        <v>3992.68</v>
      </c>
      <c r="P56" s="34" t="n">
        <v>14378.27</v>
      </c>
      <c r="Q56" s="18" t="n">
        <v>3564.68</v>
      </c>
      <c r="R56" s="18" t="n">
        <v>1512.5</v>
      </c>
      <c r="S56" s="18" t="n">
        <v>5.86</v>
      </c>
      <c r="T56" s="18" t="n">
        <v>537.5599999999999</v>
      </c>
      <c r="U56" s="34" t="n">
        <v>5620.6</v>
      </c>
      <c r="V56" s="18" t="n">
        <v>669.35</v>
      </c>
      <c r="W56" s="18" t="n">
        <v>1049.74</v>
      </c>
      <c r="X56" s="18" t="n">
        <v>1345.4</v>
      </c>
      <c r="Y56" s="18" t="n">
        <v>1580.33</v>
      </c>
      <c r="Z56" s="34" t="n">
        <v>4644.82</v>
      </c>
      <c r="AA56" s="18" t="n">
        <v>2172.06</v>
      </c>
      <c r="AB56" s="19" t="n">
        <v>1339.4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816.87</v>
      </c>
      <c r="F57" s="9" t="n"/>
      <c r="G57" s="18" t="n">
        <v>855.6799999999999</v>
      </c>
      <c r="H57" s="18" t="n">
        <v>860.66</v>
      </c>
      <c r="I57" s="18" t="n">
        <v>822.04</v>
      </c>
      <c r="J57" s="18" t="n">
        <v>907.22</v>
      </c>
      <c r="K57" s="34" t="n">
        <v>3445.6</v>
      </c>
      <c r="L57" s="18" t="n">
        <v>830.85</v>
      </c>
      <c r="M57" s="18" t="n">
        <v>832.03</v>
      </c>
      <c r="N57" s="18" t="n">
        <v>808.7</v>
      </c>
      <c r="O57" s="18" t="n">
        <v>1042.66</v>
      </c>
      <c r="P57" s="34" t="n">
        <v>3514.24</v>
      </c>
      <c r="Q57" s="18" t="n">
        <v>1023.17</v>
      </c>
      <c r="R57" s="18" t="n">
        <v>864.87</v>
      </c>
      <c r="S57" s="18" t="n">
        <v>1101.73</v>
      </c>
      <c r="T57" s="18" t="n">
        <v>1559.26</v>
      </c>
      <c r="U57" s="34" t="n">
        <v>4549.03</v>
      </c>
      <c r="V57" s="18" t="n">
        <v>2425.54</v>
      </c>
      <c r="W57" s="18" t="n">
        <v>2525.66</v>
      </c>
      <c r="X57" s="18" t="n">
        <v>2357.89</v>
      </c>
      <c r="Y57" s="18" t="n">
        <v>1956.29</v>
      </c>
      <c r="Z57" s="34" t="n">
        <v>9265.379999999999</v>
      </c>
      <c r="AA57" s="18" t="n">
        <v>2966.35</v>
      </c>
      <c r="AB57" s="19" t="n">
        <v>2144.91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-3568.88</v>
      </c>
      <c r="F58" s="9" t="n"/>
      <c r="G58" s="18" t="n">
        <v>-1693.75</v>
      </c>
      <c r="H58" s="18" t="n">
        <v>-1603.36</v>
      </c>
      <c r="I58" s="18" t="n">
        <v>-3520.82</v>
      </c>
      <c r="J58" s="18" t="n">
        <v>-7734.16</v>
      </c>
      <c r="K58" s="34" t="n">
        <v>-14552.09</v>
      </c>
      <c r="L58" s="18" t="n">
        <v>204.86</v>
      </c>
      <c r="M58" s="18" t="n">
        <v>6052.68</v>
      </c>
      <c r="N58" s="18" t="n">
        <v>1656.47</v>
      </c>
      <c r="O58" s="18" t="n">
        <v>2950.02</v>
      </c>
      <c r="P58" s="34" t="n">
        <v>10864.03</v>
      </c>
      <c r="Q58" s="18" t="n">
        <v>2541.5</v>
      </c>
      <c r="R58" s="18" t="n">
        <v>647.63</v>
      </c>
      <c r="S58" s="18" t="n">
        <v>-1095.87</v>
      </c>
      <c r="T58" s="18" t="n">
        <v>-1021.68</v>
      </c>
      <c r="U58" s="34" t="n">
        <v>1071.58</v>
      </c>
      <c r="V58" s="18" t="n">
        <v>-1756.19</v>
      </c>
      <c r="W58" s="18" t="n">
        <v>-1475.91</v>
      </c>
      <c r="X58" s="18" t="n">
        <v>-1012.49</v>
      </c>
      <c r="Y58" s="18" t="n">
        <v>-375.95</v>
      </c>
      <c r="Z58" s="34" t="n">
        <v>-4620.54</v>
      </c>
      <c r="AA58" s="18" t="n">
        <v>-794.29</v>
      </c>
      <c r="AB58" s="19" t="n">
        <v>-805.51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49.54</v>
      </c>
      <c r="F59" s="9" t="n"/>
      <c r="G59" s="18" t="n">
        <v>63.72</v>
      </c>
      <c r="H59" s="18" t="n">
        <v>1518.18</v>
      </c>
      <c r="I59" s="18" t="n">
        <v>786.16</v>
      </c>
      <c r="J59" s="18" t="n">
        <v>131.95</v>
      </c>
      <c r="K59" s="34" t="n">
        <v>2500.01</v>
      </c>
      <c r="L59" s="18" t="n">
        <v>249.96</v>
      </c>
      <c r="M59" s="18" t="n">
        <v>120.15</v>
      </c>
      <c r="N59" s="18" t="n">
        <v>124.3</v>
      </c>
      <c r="O59" s="18" t="n">
        <v>90.36</v>
      </c>
      <c r="P59" s="34" t="n">
        <v>584.77</v>
      </c>
      <c r="Q59" s="18" t="n">
        <v>173.87</v>
      </c>
      <c r="R59" s="18" t="n">
        <v>61.67</v>
      </c>
      <c r="S59" s="18" t="n">
        <v>74.11</v>
      </c>
      <c r="T59" s="18" t="n">
        <v>196.12</v>
      </c>
      <c r="U59" s="34" t="n">
        <v>505.77</v>
      </c>
      <c r="V59" s="18" t="n">
        <v>95.16</v>
      </c>
      <c r="W59" s="18" t="n">
        <v>753.74</v>
      </c>
      <c r="X59" s="18" t="n">
        <v>110.19</v>
      </c>
      <c r="Y59" s="18" t="n">
        <v>3246.21</v>
      </c>
      <c r="Z59" s="34" t="n">
        <v>4205.3</v>
      </c>
      <c r="AA59" s="18" t="n">
        <v>207</v>
      </c>
      <c r="AB59" s="19" t="n">
        <v>5529.13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161.76</v>
      </c>
      <c r="F60" s="9" t="n"/>
      <c r="G60" s="18" t="n">
        <v>100.45</v>
      </c>
      <c r="H60" s="18" t="n">
        <v>469.14</v>
      </c>
      <c r="I60" s="18" t="n">
        <v>541.35</v>
      </c>
      <c r="J60" s="18" t="n">
        <v>651.15</v>
      </c>
      <c r="K60" s="34" t="n">
        <v>1762.09</v>
      </c>
      <c r="L60" s="18" t="n">
        <v>1532.26</v>
      </c>
      <c r="M60" s="18" t="n">
        <v>3910</v>
      </c>
      <c r="N60" s="18" t="n">
        <v>1236.99</v>
      </c>
      <c r="O60" s="18" t="n">
        <v>381.12</v>
      </c>
      <c r="P60" s="34" t="n">
        <v>7060.37</v>
      </c>
      <c r="Q60" s="18" t="n">
        <v>5099.82</v>
      </c>
      <c r="R60" s="18" t="n">
        <v>-47.96</v>
      </c>
      <c r="S60" s="18" t="n">
        <v>410.29</v>
      </c>
      <c r="T60" s="18" t="n">
        <v>92.45999999999999</v>
      </c>
      <c r="U60" s="34" t="n">
        <v>5554.61</v>
      </c>
      <c r="V60" s="18" t="n">
        <v>363.91</v>
      </c>
      <c r="W60" s="18" t="n">
        <v>530.97</v>
      </c>
      <c r="X60" s="18" t="n">
        <v>309.94</v>
      </c>
      <c r="Y60" s="18" t="n">
        <v>2744.96</v>
      </c>
      <c r="Z60" s="34" t="n">
        <v>3949.78</v>
      </c>
      <c r="AA60" s="18" t="n">
        <v>530.73</v>
      </c>
      <c r="AB60" s="19" t="n">
        <v>1389.13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50.5</v>
      </c>
      <c r="F61" s="9" t="n"/>
      <c r="G61" s="18" t="n">
        <v>4.29</v>
      </c>
      <c r="H61" s="18" t="n">
        <v>10.02</v>
      </c>
      <c r="I61" s="18" t="n">
        <v>2.46</v>
      </c>
      <c r="J61" s="18" t="n">
        <v>0.01</v>
      </c>
      <c r="K61" s="34" t="n">
        <v>16.78</v>
      </c>
      <c r="L61" s="18" t="n">
        <v>6.05</v>
      </c>
      <c r="M61" s="18" t="n">
        <v>57.68</v>
      </c>
      <c r="N61" s="18" t="n">
        <v>8.41</v>
      </c>
      <c r="O61" s="18" t="n">
        <v>0.01</v>
      </c>
      <c r="P61" s="34" t="n">
        <v>72.15000000000001</v>
      </c>
      <c r="Q61" s="18" t="n">
        <v>438</v>
      </c>
      <c r="R61" s="18" t="n">
        <v>-88.44</v>
      </c>
      <c r="S61" s="18" t="n">
        <v>1060.51</v>
      </c>
      <c r="T61" s="18" t="n">
        <v>257.86</v>
      </c>
      <c r="U61" s="34" t="n">
        <v>1667.93</v>
      </c>
      <c r="V61" s="18" t="n">
        <v>56.83</v>
      </c>
      <c r="W61" s="18" t="n">
        <v>32.62</v>
      </c>
      <c r="X61" s="18" t="n">
        <v>62.59</v>
      </c>
      <c r="Y61" s="18" t="n">
        <v>5.34</v>
      </c>
      <c r="Z61" s="34" t="n">
        <v>157.38</v>
      </c>
      <c r="AA61" s="18" t="n">
        <v>94.56999999999999</v>
      </c>
      <c r="AB61" s="19" t="n">
        <v>108.17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1182.2</v>
      </c>
      <c r="F62" s="9" t="n"/>
      <c r="G62" s="18" t="n">
        <v>60.67</v>
      </c>
      <c r="H62" s="18" t="n">
        <v>1.5</v>
      </c>
      <c r="I62" s="18" t="n">
        <v>0</v>
      </c>
      <c r="J62" s="18" t="n">
        <v>11.3</v>
      </c>
      <c r="K62" s="34" t="n">
        <v>73.47</v>
      </c>
      <c r="L62" s="18" t="n">
        <v>0.03</v>
      </c>
      <c r="M62" s="18" t="n">
        <v>129.04</v>
      </c>
      <c r="N62" s="18" t="n">
        <v>-24.49</v>
      </c>
      <c r="O62" s="18" t="n">
        <v>524.24</v>
      </c>
      <c r="P62" s="34" t="n">
        <v>628.8200000000001</v>
      </c>
      <c r="Q62" s="18" t="n">
        <v>0</v>
      </c>
      <c r="R62" s="18" t="n">
        <v>86.59</v>
      </c>
      <c r="S62" s="18" t="n">
        <v>-50.72</v>
      </c>
      <c r="T62" s="18" t="n">
        <v>138.98</v>
      </c>
      <c r="U62" s="34" t="n">
        <v>174.85</v>
      </c>
      <c r="V62" s="18" t="n">
        <v>0.05</v>
      </c>
      <c r="W62" s="18" t="n">
        <v>617.3200000000001</v>
      </c>
      <c r="X62" s="18" t="n">
        <v>62.54</v>
      </c>
      <c r="Y62" s="18" t="n">
        <v>1704.63</v>
      </c>
      <c r="Z62" s="34" t="n">
        <v>2384.54</v>
      </c>
      <c r="AA62" s="18" t="n">
        <v>4.67</v>
      </c>
      <c r="AB62" s="19" t="n">
        <v>156.73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-4812.8</v>
      </c>
      <c r="F63" s="9" t="n"/>
      <c r="G63" s="18" t="n">
        <v>-1786.86</v>
      </c>
      <c r="H63" s="18" t="n">
        <v>-545.8</v>
      </c>
      <c r="I63" s="18" t="n">
        <v>-3273.54</v>
      </c>
      <c r="J63" s="18" t="n">
        <v>-8264.66</v>
      </c>
      <c r="K63" s="34" t="n">
        <v>-13870.86</v>
      </c>
      <c r="L63" s="18" t="n">
        <v>-1071.43</v>
      </c>
      <c r="M63" s="18" t="n">
        <v>2191.47</v>
      </c>
      <c r="N63" s="18" t="n">
        <v>576.67</v>
      </c>
      <c r="O63" s="18" t="n">
        <v>2135.01</v>
      </c>
      <c r="P63" s="34" t="n">
        <v>3831.72</v>
      </c>
      <c r="Q63" s="18" t="n">
        <v>-1946.44</v>
      </c>
      <c r="R63" s="18" t="n">
        <v>582.23</v>
      </c>
      <c r="S63" s="18" t="n">
        <v>-320.82</v>
      </c>
      <c r="T63" s="18" t="n">
        <v>-799.15</v>
      </c>
      <c r="U63" s="34" t="n">
        <v>-2484.18</v>
      </c>
      <c r="V63" s="18" t="n">
        <v>-1968.17</v>
      </c>
      <c r="W63" s="18" t="n">
        <v>-1837.85</v>
      </c>
      <c r="X63" s="18" t="n">
        <v>-1212.2</v>
      </c>
      <c r="Y63" s="18" t="n">
        <v>-1574.01</v>
      </c>
      <c r="Z63" s="34" t="n">
        <v>-6592.23</v>
      </c>
      <c r="AA63" s="18" t="n">
        <v>-1028.12</v>
      </c>
      <c r="AB63" s="19" t="n">
        <v>2523.54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-4812.8</v>
      </c>
      <c r="F64" s="9" t="n"/>
      <c r="G64" s="18" t="n">
        <v>-1786.86</v>
      </c>
      <c r="H64" s="18" t="n">
        <v>-545.8</v>
      </c>
      <c r="I64" s="18" t="n">
        <v>-3273.54</v>
      </c>
      <c r="J64" s="18" t="n">
        <v>-8264.66</v>
      </c>
      <c r="K64" s="34" t="n">
        <v>-13870.86</v>
      </c>
      <c r="L64" s="18" t="n">
        <v>-1071.43</v>
      </c>
      <c r="M64" s="18" t="n">
        <v>2191.47</v>
      </c>
      <c r="N64" s="18" t="n">
        <v>546.3200000000001</v>
      </c>
      <c r="O64" s="18" t="n">
        <v>2013.5</v>
      </c>
      <c r="P64" s="34" t="n">
        <v>3679.86</v>
      </c>
      <c r="Q64" s="18" t="n">
        <v>-2066.68</v>
      </c>
      <c r="R64" s="18" t="n">
        <v>-3669.72</v>
      </c>
      <c r="S64" s="18" t="n">
        <v>1183.51</v>
      </c>
      <c r="T64" s="18" t="n">
        <v>-694.41</v>
      </c>
      <c r="U64" s="34" t="n">
        <v>-5247.3</v>
      </c>
      <c r="V64" s="18" t="n">
        <v>-1946.08</v>
      </c>
      <c r="W64" s="18" t="n">
        <v>-1837.85</v>
      </c>
      <c r="X64" s="18" t="n">
        <v>-1212.2</v>
      </c>
      <c r="Y64" s="18" t="n">
        <v>-2259.9</v>
      </c>
      <c r="Z64" s="34" t="n">
        <v>-7256.03</v>
      </c>
      <c r="AA64" s="18" t="n">
        <v>-1026.45</v>
      </c>
      <c r="AB64" s="19" t="n">
        <v>2518.29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4" t="n">
        <v>-13870.86</v>
      </c>
      <c r="L65" s="18" t="n">
        <v>-1071.43</v>
      </c>
      <c r="M65" s="18" t="n">
        <v>2191.47</v>
      </c>
      <c r="N65" s="18" t="n">
        <v>546.3200000000001</v>
      </c>
      <c r="O65" s="18" t="n">
        <v>2013.5</v>
      </c>
      <c r="P65" s="34" t="n">
        <v>3679.86</v>
      </c>
      <c r="Q65" s="18" t="n">
        <v>-2066.68</v>
      </c>
      <c r="R65" s="18" t="n">
        <v>-3669.72</v>
      </c>
      <c r="S65" s="18" t="n">
        <v>1183.51</v>
      </c>
      <c r="T65" s="18" t="n">
        <v>-694.41</v>
      </c>
      <c r="U65" s="34" t="n">
        <v>-5247.3</v>
      </c>
      <c r="V65" s="18" t="n">
        <v>-1946.08</v>
      </c>
      <c r="W65" s="18" t="n">
        <v>-1837.85</v>
      </c>
      <c r="X65" s="18" t="n">
        <v>-1212.2</v>
      </c>
      <c r="Y65" s="18" t="n">
        <v>-2259.9</v>
      </c>
      <c r="Z65" s="34" t="n">
        <v>-7256.03</v>
      </c>
      <c r="AA65" s="18" t="n">
        <v>-1026.45</v>
      </c>
      <c r="AB65" s="19" t="n">
        <v>2518.29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-112.22</v>
      </c>
      <c r="F66" s="9" t="n"/>
      <c r="G66" s="18" t="n">
        <v>-36.73</v>
      </c>
      <c r="H66" s="18" t="n">
        <v>1049.04</v>
      </c>
      <c r="I66" s="18" t="n">
        <v>244.81</v>
      </c>
      <c r="J66" s="18" t="n">
        <v>-519.2</v>
      </c>
      <c r="K66" s="34" t="n">
        <v>737.92</v>
      </c>
      <c r="L66" s="18" t="n">
        <v>-1282.3</v>
      </c>
      <c r="M66" s="18" t="n">
        <v>-3789.85</v>
      </c>
      <c r="N66" s="18" t="n">
        <v>-1112.69</v>
      </c>
      <c r="O66" s="18" t="n">
        <v>-290.76</v>
      </c>
      <c r="P66" s="34" t="n">
        <v>-6475.6</v>
      </c>
      <c r="Q66" s="18" t="n">
        <v>-4925.95</v>
      </c>
      <c r="R66" s="18" t="n">
        <v>109.63</v>
      </c>
      <c r="S66" s="18" t="n">
        <v>-336.18</v>
      </c>
      <c r="T66" s="18" t="n">
        <v>103.66</v>
      </c>
      <c r="U66" s="34" t="n">
        <v>-5048.84</v>
      </c>
      <c r="V66" s="18" t="n">
        <v>-268.75</v>
      </c>
      <c r="W66" s="18" t="n">
        <v>222.77</v>
      </c>
      <c r="X66" s="18" t="n">
        <v>-199.75</v>
      </c>
      <c r="Y66" s="18" t="n">
        <v>501.25</v>
      </c>
      <c r="Z66" s="34" t="n">
        <v>255.52</v>
      </c>
      <c r="AA66" s="18" t="n">
        <v>-323.73</v>
      </c>
      <c r="AB66" s="19" t="n">
        <v>4140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-1131.7</v>
      </c>
      <c r="F67" s="9" t="n"/>
      <c r="G67" s="18" t="n">
        <v>-56.38</v>
      </c>
      <c r="H67" s="18" t="n">
        <v>8.52</v>
      </c>
      <c r="I67" s="18" t="n">
        <v>2.46</v>
      </c>
      <c r="J67" s="18" t="n">
        <v>-11.29</v>
      </c>
      <c r="K67" s="34" t="n">
        <v>-56.69</v>
      </c>
      <c r="L67" s="18" t="n">
        <v>6.02</v>
      </c>
      <c r="M67" s="18" t="n">
        <v>-71.36</v>
      </c>
      <c r="N67" s="18" t="n">
        <v>32.9</v>
      </c>
      <c r="O67" s="18" t="n">
        <v>-524.23</v>
      </c>
      <c r="P67" s="34" t="n">
        <v>-556.67</v>
      </c>
      <c r="Q67" s="18" t="n">
        <v>438</v>
      </c>
      <c r="R67" s="18" t="n">
        <v>-175.03</v>
      </c>
      <c r="S67" s="18" t="n">
        <v>1111.23</v>
      </c>
      <c r="T67" s="18" t="n">
        <v>118.88</v>
      </c>
      <c r="U67" s="34" t="n">
        <v>1493.08</v>
      </c>
      <c r="V67" s="18" t="n">
        <v>56.78</v>
      </c>
      <c r="W67" s="18" t="n">
        <v>-584.7</v>
      </c>
      <c r="X67" s="18" t="n">
        <v>0.05</v>
      </c>
      <c r="Y67" s="18" t="n">
        <v>-1699.29</v>
      </c>
      <c r="Z67" s="34" t="n">
        <v>-2227.16</v>
      </c>
      <c r="AA67" s="18" t="n">
        <v>89.90000000000001</v>
      </c>
      <c r="AB67" s="19" t="n">
        <v>-48.56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-4812.8</v>
      </c>
      <c r="F68" s="9" t="n"/>
      <c r="G68" s="18" t="n">
        <v>-1786.86</v>
      </c>
      <c r="H68" s="18" t="n">
        <v>-545.8</v>
      </c>
      <c r="I68" s="18" t="n">
        <v>-3273.54</v>
      </c>
      <c r="J68" s="18" t="n">
        <v>-8264.66</v>
      </c>
      <c r="K68" s="34" t="n">
        <v>-13870.86</v>
      </c>
      <c r="L68" s="18" t="n">
        <v>-1071.43</v>
      </c>
      <c r="M68" s="18" t="n">
        <v>2191.47</v>
      </c>
      <c r="N68" s="18" t="n">
        <v>546.3200000000001</v>
      </c>
      <c r="O68" s="18" t="n">
        <v>2013.5</v>
      </c>
      <c r="P68" s="34" t="n">
        <v>3679.86</v>
      </c>
      <c r="Q68" s="18" t="n">
        <v>-2066.68</v>
      </c>
      <c r="R68" s="18" t="n">
        <v>577.9299999999999</v>
      </c>
      <c r="S68" s="18" t="n">
        <v>-321.53</v>
      </c>
      <c r="T68" s="18" t="n">
        <v>-608.73</v>
      </c>
      <c r="U68" s="34" t="n">
        <v>-2419.01</v>
      </c>
      <c r="V68" s="18" t="n">
        <v>-1946.08</v>
      </c>
      <c r="W68" s="18" t="n">
        <v>-1837.85</v>
      </c>
      <c r="X68" s="18" t="n">
        <v>-1212.2</v>
      </c>
      <c r="Y68" s="18" t="n">
        <v>-2259.9</v>
      </c>
      <c r="Z68" s="34" t="n">
        <v>-7256.03</v>
      </c>
      <c r="AA68" s="18" t="n">
        <v>-1026.45</v>
      </c>
      <c r="AB68" s="19" t="n">
        <v>2518.29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-4802.66</v>
      </c>
      <c r="F69" s="9" t="n"/>
      <c r="G69" s="18" t="n">
        <v>-1786.86</v>
      </c>
      <c r="H69" s="18" t="n">
        <v>-545.8</v>
      </c>
      <c r="I69" s="18" t="n">
        <v>-3273.54</v>
      </c>
      <c r="J69" s="18" t="n">
        <v>-7952.57</v>
      </c>
      <c r="K69" s="34" t="n">
        <v>-13558.77</v>
      </c>
      <c r="M69" s="18" t="n">
        <v>2191.47</v>
      </c>
      <c r="N69" s="18" t="n">
        <v>546.3200000000001</v>
      </c>
      <c r="O69" s="18" t="n">
        <v>1956.41</v>
      </c>
      <c r="P69" s="9" t="n"/>
      <c r="Q69" s="18" t="n">
        <v>-2066.68</v>
      </c>
      <c r="R69" s="18" t="n">
        <v>-3669.72</v>
      </c>
      <c r="S69" s="18" t="n">
        <v>1183.51</v>
      </c>
      <c r="U69" s="9" t="n"/>
      <c r="Z69" s="9" t="n"/>
      <c r="AA69" s="18" t="n">
        <v>-1026.45</v>
      </c>
      <c r="AB69" s="19" t="n">
        <v>2593.84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F70" s="9" t="n"/>
      <c r="K70" s="9" t="n"/>
      <c r="N70" s="18" t="n">
        <v>30.35</v>
      </c>
      <c r="O70" s="18" t="n">
        <v>121.51</v>
      </c>
      <c r="P70" s="9" t="n"/>
      <c r="Q70" s="18" t="n">
        <v>120.24</v>
      </c>
      <c r="R70" s="18" t="n">
        <v>4.3</v>
      </c>
      <c r="S70" s="18" t="n">
        <v>0.71</v>
      </c>
      <c r="T70" s="18" t="n">
        <v>-190.42</v>
      </c>
      <c r="U70" s="34" t="n">
        <v>-65.17</v>
      </c>
      <c r="V70" s="18" t="n">
        <v>-22.09</v>
      </c>
      <c r="Y70" s="18" t="n">
        <v>685.9</v>
      </c>
      <c r="Z70" s="9" t="n"/>
      <c r="AA70" s="18" t="n">
        <v>-1.67</v>
      </c>
      <c r="AB70" s="19" t="n">
        <v>5.25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중단사업이익</t>
        </is>
      </c>
      <c r="F71" s="9" t="n"/>
      <c r="K71" s="9" t="n"/>
      <c r="P71" s="9" t="n"/>
      <c r="R71" s="18" t="n">
        <v>-4247.65</v>
      </c>
      <c r="S71" s="18" t="n">
        <v>1505.04</v>
      </c>
      <c r="T71" s="18" t="n">
        <v>-85.69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F72" s="9" t="n"/>
      <c r="K72" s="9" t="n"/>
      <c r="P72" s="9" t="n"/>
      <c r="U72" s="9" t="n"/>
      <c r="Z72" s="9" t="n"/>
      <c r="AB72" s="19" t="n">
        <v>-762.39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지분법관련손익</t>
        </is>
      </c>
      <c r="F73" s="9" t="n"/>
      <c r="K73" s="9" t="n"/>
      <c r="P73" s="9" t="n"/>
      <c r="U73" s="9" t="n"/>
      <c r="Z73" s="9" t="n"/>
      <c r="AB73" s="19" t="n">
        <v>-762.39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2337.26</v>
      </c>
      <c r="F74" s="9" t="n"/>
      <c r="G74" s="18" t="n">
        <v>-5389.2</v>
      </c>
      <c r="H74" s="18" t="n">
        <v>-5213.64</v>
      </c>
      <c r="I74" s="18" t="n">
        <v>-1901.21</v>
      </c>
      <c r="J74" s="18" t="n">
        <v>2138.13</v>
      </c>
      <c r="K74" s="34" t="n">
        <v>-10365.92</v>
      </c>
      <c r="L74" s="18" t="n">
        <v>346.5</v>
      </c>
      <c r="M74" s="18" t="n">
        <v>720.85</v>
      </c>
      <c r="N74" s="18" t="n">
        <v>1769.88</v>
      </c>
      <c r="O74" s="18" t="n">
        <v>924.79</v>
      </c>
      <c r="P74" s="34" t="n">
        <v>3762.02</v>
      </c>
      <c r="Q74" s="18" t="n">
        <v>5058.97</v>
      </c>
      <c r="R74" s="18" t="n">
        <v>9.85</v>
      </c>
      <c r="S74" s="18" t="n">
        <v>-1599.88</v>
      </c>
      <c r="T74" s="18" t="n">
        <v>3119.97</v>
      </c>
      <c r="U74" s="34" t="n">
        <v>6588.91</v>
      </c>
      <c r="V74" s="18" t="n">
        <v>-1714.89</v>
      </c>
      <c r="W74" s="18" t="n">
        <v>-1711.72</v>
      </c>
      <c r="X74" s="18" t="n">
        <v>-1313.6</v>
      </c>
      <c r="Y74" s="18" t="n">
        <v>1072.91</v>
      </c>
      <c r="Z74" s="34" t="n">
        <v>-3667.3</v>
      </c>
      <c r="AA74" s="18" t="n">
        <v>154.59</v>
      </c>
      <c r="AB74" s="19" t="n">
        <v>-767.73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E75" s="18" t="n">
        <v>3.11</v>
      </c>
      <c r="F75" s="9" t="n"/>
      <c r="G75" s="18" t="n">
        <v>6.88</v>
      </c>
      <c r="H75" s="18" t="n">
        <v>27.49</v>
      </c>
      <c r="I75" s="18" t="n">
        <v>5.02</v>
      </c>
      <c r="J75" s="18" t="n">
        <v>1.54</v>
      </c>
      <c r="K75" s="34" t="n">
        <v>40.93</v>
      </c>
      <c r="L75" s="18" t="n">
        <v>0.1</v>
      </c>
      <c r="M75" s="18" t="n">
        <v>0.11</v>
      </c>
      <c r="N75" s="18" t="n">
        <v>0.06</v>
      </c>
      <c r="O75" s="18" t="n">
        <v>0.16</v>
      </c>
      <c r="P75" s="34" t="n">
        <v>0.43</v>
      </c>
      <c r="Q75" s="18" t="n">
        <v>0.09</v>
      </c>
      <c r="R75" s="18" t="n">
        <v>13.86</v>
      </c>
      <c r="S75" s="18" t="n">
        <v>65.19</v>
      </c>
      <c r="T75" s="18" t="n">
        <v>64.34</v>
      </c>
      <c r="U75" s="34" t="n">
        <v>143.48</v>
      </c>
      <c r="V75" s="18" t="n">
        <v>39.79</v>
      </c>
      <c r="W75" s="18" t="n">
        <v>29.67</v>
      </c>
      <c r="X75" s="18" t="n">
        <v>25.52</v>
      </c>
      <c r="Y75" s="18" t="n">
        <v>31.95</v>
      </c>
      <c r="Z75" s="34" t="n">
        <v>126.93</v>
      </c>
      <c r="AA75" s="18" t="n">
        <v>15.78</v>
      </c>
      <c r="AB75" s="19" t="n">
        <v>17.47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이자지급(CF)</t>
        </is>
      </c>
      <c r="E76" s="18" t="n">
        <v>-72.56</v>
      </c>
      <c r="F76" s="9" t="n"/>
      <c r="G76" s="18" t="n">
        <v>-70.7</v>
      </c>
      <c r="H76" s="18" t="n">
        <v>-75.36</v>
      </c>
      <c r="I76" s="18" t="n">
        <v>-101.9</v>
      </c>
      <c r="J76" s="18" t="n">
        <v>-448.38</v>
      </c>
      <c r="K76" s="34" t="n">
        <v>-696.34</v>
      </c>
      <c r="L76" s="18" t="n">
        <v>-104.98</v>
      </c>
      <c r="M76" s="18" t="n">
        <v>-120.07</v>
      </c>
      <c r="P76" s="9" t="n"/>
      <c r="Q76" s="18" t="n">
        <v>-98.40000000000001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-0.48</v>
      </c>
      <c r="F77" s="9" t="n"/>
      <c r="G77" s="18" t="n">
        <v>-1.06</v>
      </c>
      <c r="H77" s="18" t="n">
        <v>3.1</v>
      </c>
      <c r="I77" s="18" t="n">
        <v>-0.77</v>
      </c>
      <c r="J77" s="18" t="n">
        <v>-0.24</v>
      </c>
      <c r="K77" s="34" t="n">
        <v>1.03</v>
      </c>
      <c r="L77" s="18" t="n">
        <v>-0.01</v>
      </c>
      <c r="M77" s="18" t="n">
        <v>5.05</v>
      </c>
      <c r="N77" s="18" t="n">
        <v>-0.23</v>
      </c>
      <c r="O77" s="18" t="n">
        <v>-0.03</v>
      </c>
      <c r="P77" s="34" t="n">
        <v>4.78</v>
      </c>
      <c r="Q77" s="18" t="n">
        <v>-73.27</v>
      </c>
      <c r="R77" s="18" t="n">
        <v>4.91</v>
      </c>
      <c r="S77" s="18" t="n">
        <v>-17.97</v>
      </c>
      <c r="T77" s="18" t="n">
        <v>-21.44</v>
      </c>
      <c r="U77" s="34" t="n">
        <v>-107.77</v>
      </c>
      <c r="V77" s="18" t="n">
        <v>29.49</v>
      </c>
      <c r="W77" s="18" t="n">
        <v>16.63</v>
      </c>
      <c r="X77" s="18" t="n">
        <v>-19.26</v>
      </c>
      <c r="Y77" s="18" t="n">
        <v>-3.69</v>
      </c>
      <c r="Z77" s="34" t="n">
        <v>23.17</v>
      </c>
      <c r="AA77" s="18" t="n">
        <v>-93.3</v>
      </c>
      <c r="AB77" s="19" t="n">
        <v>-8.69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-4210.31</v>
      </c>
      <c r="F78" s="9" t="n"/>
      <c r="G78" s="18" t="n">
        <v>5745.3</v>
      </c>
      <c r="H78" s="18" t="n">
        <v>-7593.11</v>
      </c>
      <c r="I78" s="18" t="n">
        <v>1192.14</v>
      </c>
      <c r="J78" s="18" t="n">
        <v>-968.0599999999999</v>
      </c>
      <c r="K78" s="34" t="n">
        <v>-1623.73</v>
      </c>
      <c r="L78" s="18" t="n">
        <v>-269.94</v>
      </c>
      <c r="M78" s="18" t="n">
        <v>188.97</v>
      </c>
      <c r="N78" s="18" t="n">
        <v>-45.41</v>
      </c>
      <c r="O78" s="18" t="n">
        <v>-18.56</v>
      </c>
      <c r="P78" s="34" t="n">
        <v>-144.94</v>
      </c>
      <c r="Q78" s="18" t="n">
        <v>1088.41</v>
      </c>
      <c r="R78" s="18" t="n">
        <v>5832.28</v>
      </c>
      <c r="S78" s="18" t="n">
        <v>-17365.49</v>
      </c>
      <c r="T78" s="18" t="n">
        <v>-1618.66</v>
      </c>
      <c r="U78" s="34" t="n">
        <v>-12063.46</v>
      </c>
      <c r="V78" s="18" t="n">
        <v>-7361.92</v>
      </c>
      <c r="W78" s="18" t="n">
        <v>-1090.71</v>
      </c>
      <c r="X78" s="18" t="n">
        <v>-1014.16</v>
      </c>
      <c r="Y78" s="18" t="n">
        <v>-528.79</v>
      </c>
      <c r="Z78" s="34" t="n">
        <v>-9995.58</v>
      </c>
      <c r="AA78" s="18" t="n">
        <v>1024.76</v>
      </c>
      <c r="AB78" s="19" t="n">
        <v>-20627.95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445.21</v>
      </c>
      <c r="F79" s="9" t="n"/>
      <c r="G79" s="18" t="n">
        <v>1.79</v>
      </c>
      <c r="H79" s="18" t="n">
        <v>0</v>
      </c>
      <c r="I79" s="18" t="n">
        <v>0</v>
      </c>
      <c r="J79" s="18" t="n">
        <v>0</v>
      </c>
      <c r="K79" s="34" t="n">
        <v>1.79</v>
      </c>
      <c r="N79" s="18" t="n">
        <v>0</v>
      </c>
      <c r="O79" s="18" t="n">
        <v>0</v>
      </c>
      <c r="P79" s="9" t="n"/>
      <c r="Q79" s="18" t="n">
        <v>1715.34</v>
      </c>
      <c r="R79" s="18" t="n">
        <v>141.5</v>
      </c>
      <c r="S79" s="18" t="n">
        <v>68.23</v>
      </c>
      <c r="T79" s="18" t="n">
        <v>764.85</v>
      </c>
      <c r="U79" s="34" t="n">
        <v>2689.92</v>
      </c>
      <c r="V79" s="18" t="n">
        <v>801.3</v>
      </c>
      <c r="X79" s="18" t="n">
        <v>36.37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2149.52</v>
      </c>
      <c r="F80" s="9" t="n"/>
      <c r="G80" s="18" t="n">
        <v>1387.64</v>
      </c>
      <c r="H80" s="18" t="n">
        <v>1587.12</v>
      </c>
      <c r="I80" s="18" t="n">
        <v>839.04</v>
      </c>
      <c r="J80" s="18" t="n">
        <v>958.5599999999999</v>
      </c>
      <c r="K80" s="34" t="n">
        <v>4772.36</v>
      </c>
      <c r="L80" s="18" t="n">
        <v>256.3</v>
      </c>
      <c r="M80" s="18" t="n">
        <v>26.45</v>
      </c>
      <c r="N80" s="18" t="n">
        <v>45.42</v>
      </c>
      <c r="O80" s="18" t="n">
        <v>18.56</v>
      </c>
      <c r="P80" s="34" t="n">
        <v>346.73</v>
      </c>
      <c r="Q80" s="18" t="n">
        <v>26.93</v>
      </c>
      <c r="R80" s="18" t="n">
        <v>356.42</v>
      </c>
      <c r="S80" s="18" t="n">
        <v>16848.55</v>
      </c>
      <c r="T80" s="18" t="n">
        <v>3604.34</v>
      </c>
      <c r="U80" s="34" t="n">
        <v>20836.24</v>
      </c>
      <c r="V80" s="18" t="n">
        <v>2057.85</v>
      </c>
      <c r="W80" s="18" t="n">
        <v>1751.09</v>
      </c>
      <c r="X80" s="18" t="n">
        <v>58.98</v>
      </c>
      <c r="Y80" s="18" t="n">
        <v>177.06</v>
      </c>
      <c r="Z80" s="34" t="n">
        <v>4044.98</v>
      </c>
      <c r="AA80" s="18" t="n">
        <v>95.67</v>
      </c>
      <c r="AB80" s="19" t="n">
        <v>123.02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2149.52</v>
      </c>
      <c r="F81" s="9" t="n"/>
      <c r="G81" s="18" t="n">
        <v>1407.84</v>
      </c>
      <c r="H81" s="18" t="n">
        <v>1587.12</v>
      </c>
      <c r="I81" s="18" t="n">
        <v>848.64</v>
      </c>
      <c r="J81" s="18" t="n">
        <v>958.5599999999999</v>
      </c>
      <c r="K81" s="34" t="n">
        <v>4802.16</v>
      </c>
      <c r="L81" s="18" t="n">
        <v>259.94</v>
      </c>
      <c r="M81" s="18" t="n">
        <v>26.45</v>
      </c>
      <c r="N81" s="18" t="n">
        <v>45.42</v>
      </c>
      <c r="O81" s="18" t="n">
        <v>18.56</v>
      </c>
      <c r="P81" s="34" t="n">
        <v>350.37</v>
      </c>
      <c r="Q81" s="18" t="n">
        <v>26.93</v>
      </c>
      <c r="R81" s="18" t="n">
        <v>356.42</v>
      </c>
      <c r="S81" s="18" t="n">
        <v>16848.55</v>
      </c>
      <c r="T81" s="18" t="n">
        <v>3664.82</v>
      </c>
      <c r="U81" s="34" t="n">
        <v>20896.72</v>
      </c>
      <c r="V81" s="18" t="n">
        <v>2148.81</v>
      </c>
      <c r="W81" s="18" t="n">
        <v>1751.09</v>
      </c>
      <c r="X81" s="18" t="n">
        <v>58.98</v>
      </c>
      <c r="Y81" s="18" t="n">
        <v>177.06</v>
      </c>
      <c r="Z81" s="34" t="n">
        <v>4135.94</v>
      </c>
      <c r="AA81" s="18" t="n">
        <v>95.67</v>
      </c>
      <c r="AB81" s="19" t="n">
        <v>227.82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-468.87</v>
      </c>
      <c r="F82" s="9" t="n"/>
      <c r="G82" s="18" t="n">
        <v>-492.33</v>
      </c>
      <c r="H82" s="18" t="n">
        <v>12522.67</v>
      </c>
      <c r="I82" s="18" t="n">
        <v>393.68</v>
      </c>
      <c r="J82" s="18" t="n">
        <v>-984.11</v>
      </c>
      <c r="K82" s="34" t="n">
        <v>11439.91</v>
      </c>
      <c r="L82" s="18" t="n">
        <v>-372.99</v>
      </c>
      <c r="M82" s="18" t="n">
        <v>170.65</v>
      </c>
      <c r="N82" s="18" t="n">
        <v>-1843.32</v>
      </c>
      <c r="O82" s="18" t="n">
        <v>-1059.02</v>
      </c>
      <c r="P82" s="34" t="n">
        <v>-3104.68</v>
      </c>
      <c r="Q82" s="18" t="n">
        <v>5550.3</v>
      </c>
      <c r="R82" s="18" t="n">
        <v>-1859.83</v>
      </c>
      <c r="S82" s="18" t="n">
        <v>11910.43</v>
      </c>
      <c r="T82" s="18" t="n">
        <v>-10.27</v>
      </c>
      <c r="U82" s="34" t="n">
        <v>15590.63</v>
      </c>
      <c r="V82" s="18" t="n">
        <v>5864.19</v>
      </c>
      <c r="W82" s="18" t="n">
        <v>893.83</v>
      </c>
      <c r="X82" s="18" t="n">
        <v>-932.96</v>
      </c>
      <c r="Y82" s="18" t="n">
        <v>-107.24</v>
      </c>
      <c r="Z82" s="34" t="n">
        <v>5717.82</v>
      </c>
      <c r="AA82" s="18" t="n">
        <v>17989.06</v>
      </c>
      <c r="AB82" s="19" t="n">
        <v>-410.9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I83" s="18" t="n">
        <v>2800</v>
      </c>
      <c r="J83" s="18" t="n">
        <v>0</v>
      </c>
      <c r="K83" s="9" t="n"/>
      <c r="N83" s="18" t="n">
        <v>0</v>
      </c>
      <c r="O83" s="18" t="n">
        <v>0</v>
      </c>
      <c r="P83" s="9" t="n"/>
      <c r="U83" s="9" t="n"/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K84" s="9" t="n"/>
      <c r="P84" s="9" t="n"/>
      <c r="T84" s="18" t="n">
        <v>0</v>
      </c>
      <c r="U84" s="9" t="n"/>
      <c r="X84" s="18" t="n">
        <v>0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E86" s="18" t="n">
        <v>333.34</v>
      </c>
      <c r="F86" s="9" t="n"/>
      <c r="G86" s="18" t="n">
        <v>333.33</v>
      </c>
      <c r="H86" s="18" t="n">
        <v>333.34</v>
      </c>
      <c r="I86" s="18" t="n">
        <v>333.33</v>
      </c>
      <c r="J86" s="18" t="n">
        <v>111.11</v>
      </c>
      <c r="K86" s="34" t="n">
        <v>1111.11</v>
      </c>
      <c r="O86" s="18" t="n">
        <v>30.93</v>
      </c>
      <c r="P86" s="9" t="n"/>
      <c r="Q86" s="18" t="n">
        <v>23.61</v>
      </c>
      <c r="R86" s="18" t="n">
        <v>23.99</v>
      </c>
      <c r="S86" s="18" t="n">
        <v>24.54</v>
      </c>
      <c r="T86" s="18" t="n">
        <v>181.71</v>
      </c>
      <c r="U86" s="34" t="n">
        <v>253.85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-2429.19</v>
      </c>
      <c r="F87" s="9" t="n"/>
      <c r="G87" s="18" t="n">
        <v>-134.19</v>
      </c>
      <c r="H87" s="18" t="n">
        <v>-285.52</v>
      </c>
      <c r="I87" s="18" t="n">
        <v>-315.93</v>
      </c>
      <c r="J87" s="18" t="n">
        <v>180.12</v>
      </c>
      <c r="K87" s="34" t="n">
        <v>-555.52</v>
      </c>
      <c r="L87" s="18" t="n">
        <v>-296.43</v>
      </c>
      <c r="M87" s="18" t="n">
        <v>1080.71</v>
      </c>
      <c r="N87" s="18" t="n">
        <v>-111.9</v>
      </c>
      <c r="O87" s="18" t="n">
        <v>-183.94</v>
      </c>
      <c r="P87" s="34" t="n">
        <v>488.44</v>
      </c>
      <c r="Q87" s="18" t="n">
        <v>11706.82</v>
      </c>
      <c r="R87" s="18" t="n">
        <v>3973.16</v>
      </c>
      <c r="S87" s="18" t="n">
        <v>-7054.94</v>
      </c>
      <c r="T87" s="18" t="n">
        <v>1495.51</v>
      </c>
      <c r="U87" s="34" t="n">
        <v>10120.55</v>
      </c>
      <c r="V87" s="18" t="n">
        <v>-3208.93</v>
      </c>
      <c r="W87" s="18" t="n">
        <v>-1912.44</v>
      </c>
      <c r="X87" s="18" t="n">
        <v>-3251.13</v>
      </c>
      <c r="Y87" s="18" t="n">
        <v>427.44</v>
      </c>
      <c r="Z87" s="34" t="n">
        <v>-7945.06</v>
      </c>
      <c r="AA87" s="18" t="n">
        <v>19222.66</v>
      </c>
      <c r="AB87" s="19" t="n">
        <v>-21860.84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-2429.18</v>
      </c>
      <c r="F88" s="9" t="n"/>
      <c r="G88" s="18" t="n">
        <v>1139.15</v>
      </c>
      <c r="H88" s="18" t="n">
        <v>-285.51</v>
      </c>
      <c r="I88" s="18" t="n">
        <v>-315.93</v>
      </c>
      <c r="J88" s="18" t="n">
        <v>180.12</v>
      </c>
      <c r="K88" s="34" t="n">
        <v>717.83</v>
      </c>
      <c r="L88" s="18" t="n">
        <v>421.39</v>
      </c>
      <c r="M88" s="18" t="n">
        <v>1080.71</v>
      </c>
      <c r="N88" s="18" t="n">
        <v>-111.89</v>
      </c>
      <c r="O88" s="18" t="n">
        <v>-183.94</v>
      </c>
      <c r="P88" s="34" t="n">
        <v>1206.27</v>
      </c>
      <c r="Q88" s="18" t="n">
        <v>12913.09</v>
      </c>
      <c r="R88" s="18" t="n">
        <v>3992.94</v>
      </c>
      <c r="S88" s="18" t="n">
        <v>-7114.77</v>
      </c>
      <c r="T88" s="18" t="n">
        <v>1535.55</v>
      </c>
      <c r="U88" s="34" t="n">
        <v>11326.81</v>
      </c>
      <c r="V88" s="18" t="n">
        <v>8117.89</v>
      </c>
      <c r="W88" s="18" t="n">
        <v>-1912.45</v>
      </c>
      <c r="X88" s="18" t="n">
        <v>-3251.13</v>
      </c>
      <c r="Y88" s="18" t="n">
        <v>427.44</v>
      </c>
      <c r="Z88" s="34" t="n">
        <v>3381.75</v>
      </c>
      <c r="AA88" s="18" t="n">
        <v>22604.41</v>
      </c>
      <c r="AB88" s="19" t="n">
        <v>-21860.84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G89" s="18" t="n">
        <v>20.2</v>
      </c>
      <c r="H89" s="18" t="n">
        <v>0</v>
      </c>
      <c r="I89" s="18" t="n">
        <v>9.6</v>
      </c>
      <c r="J89" s="18" t="n">
        <v>0</v>
      </c>
      <c r="K89" s="34" t="n">
        <v>29.8</v>
      </c>
      <c r="L89" s="18" t="n">
        <v>3.64</v>
      </c>
      <c r="M89" s="18" t="n">
        <v>0</v>
      </c>
      <c r="N89" s="18" t="n">
        <v>0</v>
      </c>
      <c r="O89" s="18" t="n">
        <v>0</v>
      </c>
      <c r="P89" s="34" t="n">
        <v>3.64</v>
      </c>
      <c r="U89" s="9" t="n"/>
      <c r="V89" s="18" t="n">
        <v>90.95999999999999</v>
      </c>
      <c r="W89" s="18" t="n">
        <v>0</v>
      </c>
      <c r="X89" s="18" t="n">
        <v>0</v>
      </c>
      <c r="Y89" s="18" t="n">
        <v>0</v>
      </c>
      <c r="Z89" s="34" t="n">
        <v>90.95999999999999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J90" s="18" t="n">
        <v>800</v>
      </c>
      <c r="K90" s="9" t="n"/>
      <c r="L90" s="18" t="n">
        <v>300</v>
      </c>
      <c r="M90" s="18" t="n">
        <v>0</v>
      </c>
      <c r="N90" s="18" t="n">
        <v>1750</v>
      </c>
      <c r="O90" s="18" t="n">
        <v>950</v>
      </c>
      <c r="P90" s="34" t="n">
        <v>3000</v>
      </c>
      <c r="Q90" s="18" t="n">
        <v>2350</v>
      </c>
      <c r="R90" s="18" t="n">
        <v>1780</v>
      </c>
      <c r="S90" s="18" t="n">
        <v>8000</v>
      </c>
      <c r="U90" s="9" t="n"/>
      <c r="X90" s="18" t="n">
        <v>708.98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F91" s="9" t="n"/>
      <c r="K91" s="9" t="n"/>
      <c r="N91" s="18" t="n">
        <v>78.09</v>
      </c>
      <c r="P91" s="9" t="n"/>
      <c r="U91" s="9" t="n"/>
      <c r="V91" s="18" t="n">
        <v>126.8</v>
      </c>
      <c r="W91" s="18" t="n">
        <v>105.14</v>
      </c>
      <c r="X91" s="18" t="n">
        <v>120.95</v>
      </c>
      <c r="Y91" s="18" t="n">
        <v>109.26</v>
      </c>
      <c r="Z91" s="34" t="n">
        <v>462.15</v>
      </c>
      <c r="AA91" s="18" t="n">
        <v>114.55</v>
      </c>
      <c r="AB91" s="19" t="n">
        <v>110.31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N92" s="18" t="n">
        <v>0</v>
      </c>
      <c r="O92" s="18" t="n">
        <v>0</v>
      </c>
      <c r="P92" s="9" t="n"/>
      <c r="S92" s="18" t="n">
        <v>0.73</v>
      </c>
      <c r="T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4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4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4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4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4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4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4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4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4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4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4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4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4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4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4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4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4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4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4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4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4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4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4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4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4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4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4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4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4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4" t="n">
        <v>28.76</v>
      </c>
      <c r="G11" s="18" t="n">
        <v>34.76</v>
      </c>
      <c r="H11" s="18" t="n">
        <v>39.93</v>
      </c>
      <c r="J11" s="18" t="n">
        <v>158.58</v>
      </c>
      <c r="K11" s="34" t="n">
        <v>158.58</v>
      </c>
      <c r="L11" s="18" t="n">
        <v>93.13</v>
      </c>
      <c r="M11" s="18" t="n">
        <v>48.7</v>
      </c>
      <c r="O11" s="18" t="n">
        <v>237.48</v>
      </c>
      <c r="P11" s="34" t="n">
        <v>237.48</v>
      </c>
      <c r="Q11" s="18" t="n">
        <v>346.04</v>
      </c>
      <c r="S11" s="18" t="n">
        <v>4619.99</v>
      </c>
      <c r="T11" s="18" t="n">
        <v>2673.72</v>
      </c>
      <c r="U11" s="34" t="n">
        <v>2673.72</v>
      </c>
      <c r="V11" s="18" t="n">
        <v>5373.72</v>
      </c>
      <c r="W11" s="18" t="n">
        <v>5519.01</v>
      </c>
      <c r="Y11" s="18" t="n">
        <v>2876.81</v>
      </c>
      <c r="Z11" s="34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4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4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4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4" t="n">
        <v>11593.76</v>
      </c>
      <c r="V12" s="18" t="n">
        <v>14293.76</v>
      </c>
      <c r="W12" s="18" t="n">
        <v>14342.8</v>
      </c>
      <c r="X12" s="18" t="n">
        <v>8823.790000000001</v>
      </c>
      <c r="Y12" s="18" t="n">
        <v>11696.85</v>
      </c>
      <c r="Z12" s="34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4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4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4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4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4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4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4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4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4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4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4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4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4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4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4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4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4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4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4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4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4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4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4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4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4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4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4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4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4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4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4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4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4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4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4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4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4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4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4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4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4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4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4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4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4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4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4" t="n">
        <v>3862.76</v>
      </c>
      <c r="V22" s="18" t="n">
        <v>4607.99</v>
      </c>
      <c r="W22" s="18" t="n">
        <v>352.81</v>
      </c>
      <c r="X22" s="18" t="n">
        <v>374.46</v>
      </c>
      <c r="Y22" s="18" t="n">
        <v>1495.36</v>
      </c>
      <c r="Z22" s="34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4" t="n">
        <v>3111.11</v>
      </c>
      <c r="G23" s="18" t="n">
        <v>2777.78</v>
      </c>
      <c r="H23" s="18" t="n">
        <v>2444.44</v>
      </c>
      <c r="I23" s="18" t="n">
        <v>9091.059999999999</v>
      </c>
      <c r="J23" s="18" t="n">
        <v>9344.25</v>
      </c>
      <c r="K23" s="34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4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4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4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4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4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4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4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4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4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4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4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4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4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4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4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4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4" t="n">
        <v>229.21</v>
      </c>
      <c r="Q27" s="18" t="n">
        <v>653.23</v>
      </c>
      <c r="R27" s="18" t="n">
        <v>128.68</v>
      </c>
      <c r="S27" s="18" t="n">
        <v>1843.37</v>
      </c>
      <c r="T27" s="18" t="n">
        <v>248.51</v>
      </c>
      <c r="U27" s="34" t="n">
        <v>248.51</v>
      </c>
      <c r="V27" s="18" t="n">
        <v>266.1</v>
      </c>
      <c r="W27" s="18" t="n">
        <v>193.87</v>
      </c>
      <c r="X27" s="18" t="n">
        <v>168.26</v>
      </c>
      <c r="Y27" s="18" t="n">
        <v>185</v>
      </c>
      <c r="Z27" s="34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4" t="n">
        <v>15</v>
      </c>
      <c r="K28" s="9" t="n"/>
      <c r="P28" s="9" t="n"/>
      <c r="T28" s="18" t="n">
        <v>49.88</v>
      </c>
      <c r="U28" s="34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4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4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4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4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4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4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4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4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4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4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4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4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4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4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4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4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4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4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4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4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4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4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4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4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4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4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4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4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4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4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4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4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4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4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4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4" t="n">
        <v>7911.11</v>
      </c>
      <c r="G36" s="18" t="n">
        <v>7577.78</v>
      </c>
      <c r="H36" s="18" t="n">
        <v>9244.440000000001</v>
      </c>
      <c r="I36" s="18" t="n">
        <v>16691.06</v>
      </c>
      <c r="J36" s="18" t="n">
        <v>16144.25</v>
      </c>
      <c r="K36" s="34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4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4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4" t="n">
        <v>17304.72</v>
      </c>
      <c r="AA36" s="18" t="n">
        <v>6280.79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4" t="n">
        <v>6658.85</v>
      </c>
      <c r="G37" s="18" t="n">
        <v>6455.36</v>
      </c>
      <c r="H37" s="18" t="n">
        <v>6409.81</v>
      </c>
      <c r="I37" s="18" t="n">
        <v>16167.79</v>
      </c>
      <c r="J37" s="18" t="n">
        <v>15440.86</v>
      </c>
      <c r="K37" s="34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4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4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4" t="n">
        <v>14848.36</v>
      </c>
      <c r="AA37" s="18" t="n">
        <v>-15098.8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4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4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4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4" t="n">
        <v>13324.19</v>
      </c>
      <c r="V38" s="18" t="n">
        <v>12596.71</v>
      </c>
      <c r="W38" s="18" t="n">
        <v>10991.08</v>
      </c>
      <c r="X38" s="18" t="n">
        <v>2298.13</v>
      </c>
      <c r="Y38" s="18" t="n">
        <v>5333.17</v>
      </c>
      <c r="Z38" s="34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4" t="n">
        <v>9540.93</v>
      </c>
      <c r="R41" s="18" t="n">
        <v>307.65</v>
      </c>
      <c r="S41" s="18" t="n">
        <v>1773.08</v>
      </c>
      <c r="T41" s="18" t="n">
        <v>3524.43</v>
      </c>
      <c r="U41" s="34" t="n">
        <v>3524.43</v>
      </c>
      <c r="V41" s="18" t="n">
        <v>4180.55</v>
      </c>
      <c r="Y41" s="18" t="n">
        <v>1209.83</v>
      </c>
      <c r="Z41" s="34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4" t="n">
        <v>6358.86</v>
      </c>
      <c r="R42" s="18" t="n">
        <v>4008.23</v>
      </c>
      <c r="S42" s="18" t="n">
        <v>6648.48</v>
      </c>
      <c r="T42" s="18" t="n">
        <v>902.61</v>
      </c>
      <c r="U42" s="34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4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4" t="n">
        <v>1173.49</v>
      </c>
      <c r="R43" s="18" t="n">
        <v>506.82</v>
      </c>
      <c r="S43" s="18" t="n">
        <v>618.95</v>
      </c>
      <c r="T43" s="18" t="n">
        <v>476.36</v>
      </c>
      <c r="U43" s="34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4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4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4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4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4" t="n">
        <v>157.07</v>
      </c>
      <c r="Q46" s="18" t="n">
        <v>131.92</v>
      </c>
      <c r="R46" s="18" t="n">
        <v>106</v>
      </c>
      <c r="T46" s="18" t="n">
        <v>8000</v>
      </c>
      <c r="U46" s="34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4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4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4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4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4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4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8501.73</v>
      </c>
      <c r="F52" s="9" t="n"/>
      <c r="G52" s="18" t="n">
        <v>14734.67</v>
      </c>
      <c r="H52" s="18" t="n">
        <v>18706.69</v>
      </c>
      <c r="I52" s="18" t="n">
        <v>17176.15</v>
      </c>
      <c r="J52" s="18" t="n">
        <v>23811.88</v>
      </c>
      <c r="K52" s="34" t="n">
        <v>74429.39</v>
      </c>
      <c r="L52" s="18" t="n">
        <v>21526.67</v>
      </c>
      <c r="M52" s="18" t="n">
        <v>23408.9</v>
      </c>
      <c r="N52" s="18" t="n">
        <v>23294.52</v>
      </c>
      <c r="O52" s="18" t="n">
        <v>18121.3</v>
      </c>
      <c r="P52" s="34" t="n">
        <v>86351.39</v>
      </c>
      <c r="Q52" s="18" t="n">
        <v>15367.8</v>
      </c>
      <c r="R52" s="18" t="n">
        <v>5503.84</v>
      </c>
      <c r="S52" s="18" t="n">
        <v>6059.55</v>
      </c>
      <c r="T52" s="18" t="n">
        <v>6937.74</v>
      </c>
      <c r="U52" s="34" t="n">
        <v>33868.93</v>
      </c>
      <c r="V52" s="18" t="n">
        <v>7104.47</v>
      </c>
      <c r="W52" s="18" t="n">
        <v>8471.33</v>
      </c>
      <c r="X52" s="18" t="n">
        <v>7557.75</v>
      </c>
      <c r="Y52" s="18" t="n">
        <v>7760.26</v>
      </c>
      <c r="Z52" s="34" t="n">
        <v>30893.81</v>
      </c>
      <c r="AA52" s="18" t="n">
        <v>7980.48</v>
      </c>
      <c r="AB52" s="19" t="n">
        <v>7785.26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11253.74</v>
      </c>
      <c r="F53" s="9" t="n"/>
      <c r="G53" s="18" t="n">
        <v>15572.74</v>
      </c>
      <c r="H53" s="18" t="n">
        <v>19449.38</v>
      </c>
      <c r="I53" s="18" t="n">
        <v>19874.92</v>
      </c>
      <c r="J53" s="18" t="n">
        <v>30638.83</v>
      </c>
      <c r="K53" s="34" t="n">
        <v>85535.87</v>
      </c>
      <c r="L53" s="18" t="n">
        <v>20490.95</v>
      </c>
      <c r="M53" s="18" t="n">
        <v>16524.19</v>
      </c>
      <c r="N53" s="18" t="n">
        <v>20829.35</v>
      </c>
      <c r="O53" s="18" t="n">
        <v>14128.64</v>
      </c>
      <c r="P53" s="34" t="n">
        <v>71973.13</v>
      </c>
      <c r="Q53" s="18" t="n">
        <v>11803.12</v>
      </c>
      <c r="R53" s="18" t="n">
        <v>3991.34</v>
      </c>
      <c r="S53" s="18" t="n">
        <v>6053.69</v>
      </c>
      <c r="T53" s="18" t="n">
        <v>6603.4</v>
      </c>
      <c r="U53" s="34" t="n">
        <v>28451.55</v>
      </c>
      <c r="V53" s="18" t="n">
        <v>6753.93</v>
      </c>
      <c r="W53" s="18" t="n">
        <v>7844.04</v>
      </c>
      <c r="X53" s="18" t="n">
        <v>6967.28</v>
      </c>
      <c r="Y53" s="18" t="n">
        <v>6804.78</v>
      </c>
      <c r="Z53" s="34" t="n">
        <v>28370.03</v>
      </c>
      <c r="AA53" s="18" t="n">
        <v>6263.46</v>
      </c>
      <c r="AB53" s="19" t="n">
        <v>6717.58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-2752.01</v>
      </c>
      <c r="F54" s="9" t="n"/>
      <c r="G54" s="18" t="n">
        <v>-838.0599999999999</v>
      </c>
      <c r="H54" s="18" t="n">
        <v>-742.6900000000001</v>
      </c>
      <c r="I54" s="18" t="n">
        <v>-2698.77</v>
      </c>
      <c r="J54" s="18" t="n">
        <v>-6826.94</v>
      </c>
      <c r="K54" s="34" t="n">
        <v>-11106.46</v>
      </c>
      <c r="L54" s="18" t="n">
        <v>1035.72</v>
      </c>
      <c r="M54" s="18" t="n">
        <v>6884.71</v>
      </c>
      <c r="N54" s="18" t="n">
        <v>2465.16</v>
      </c>
      <c r="O54" s="18" t="n">
        <v>3992.68</v>
      </c>
      <c r="P54" s="34" t="n">
        <v>14378.27</v>
      </c>
      <c r="Q54" s="18" t="n">
        <v>3564.68</v>
      </c>
      <c r="R54" s="18" t="n">
        <v>1512.5</v>
      </c>
      <c r="S54" s="18" t="n">
        <v>5.86</v>
      </c>
      <c r="T54" s="18" t="n">
        <v>334.34</v>
      </c>
      <c r="U54" s="34" t="n">
        <v>5417.38</v>
      </c>
      <c r="V54" s="18" t="n">
        <v>350.54</v>
      </c>
      <c r="W54" s="18" t="n">
        <v>627.29</v>
      </c>
      <c r="X54" s="18" t="n">
        <v>590.47</v>
      </c>
      <c r="Y54" s="18" t="n">
        <v>955.48</v>
      </c>
      <c r="Z54" s="34" t="n">
        <v>2523.78</v>
      </c>
      <c r="AA54" s="18" t="n">
        <v>1717.02</v>
      </c>
      <c r="AB54" s="19" t="n">
        <v>1067.68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812.58</v>
      </c>
      <c r="F55" s="9" t="n"/>
      <c r="G55" s="18" t="n">
        <v>852.63</v>
      </c>
      <c r="H55" s="18" t="n">
        <v>857.13</v>
      </c>
      <c r="I55" s="18" t="n">
        <v>820.92</v>
      </c>
      <c r="J55" s="18" t="n">
        <v>907.22</v>
      </c>
      <c r="K55" s="34" t="n">
        <v>3437.9</v>
      </c>
      <c r="L55" s="18" t="n">
        <v>830.1900000000001</v>
      </c>
      <c r="M55" s="18" t="n">
        <v>832.03</v>
      </c>
      <c r="N55" s="18" t="n">
        <v>808.08</v>
      </c>
      <c r="O55" s="18" t="n">
        <v>1042.66</v>
      </c>
      <c r="P55" s="34" t="n">
        <v>3512.96</v>
      </c>
      <c r="Q55" s="18" t="n">
        <v>1022.17</v>
      </c>
      <c r="R55" s="18" t="n">
        <v>863.8200000000001</v>
      </c>
      <c r="S55" s="18" t="n">
        <v>1101.13</v>
      </c>
      <c r="T55" s="18" t="n">
        <v>1455.87</v>
      </c>
      <c r="U55" s="34" t="n">
        <v>4442.99</v>
      </c>
      <c r="V55" s="18" t="n">
        <v>2011.63</v>
      </c>
      <c r="W55" s="18" t="n">
        <v>2171.1</v>
      </c>
      <c r="X55" s="18" t="n">
        <v>2075.74</v>
      </c>
      <c r="Y55" s="18" t="n">
        <v>1604.11</v>
      </c>
      <c r="Z55" s="34" t="n">
        <v>7862.58</v>
      </c>
      <c r="AA55" s="18" t="n">
        <v>2584.57</v>
      </c>
      <c r="AB55" s="19" t="n">
        <v>1790.78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-3564.59</v>
      </c>
      <c r="F56" s="9" t="n"/>
      <c r="G56" s="18" t="n">
        <v>-1690.69</v>
      </c>
      <c r="H56" s="18" t="n">
        <v>-1599.82</v>
      </c>
      <c r="I56" s="18" t="n">
        <v>-3519.69</v>
      </c>
      <c r="J56" s="18" t="n">
        <v>-7734.17</v>
      </c>
      <c r="K56" s="34" t="n">
        <v>-14544.37</v>
      </c>
      <c r="L56" s="18" t="n">
        <v>205.52</v>
      </c>
      <c r="M56" s="18" t="n">
        <v>6052.68</v>
      </c>
      <c r="N56" s="18" t="n">
        <v>1657.08</v>
      </c>
      <c r="O56" s="18" t="n">
        <v>2950.02</v>
      </c>
      <c r="P56" s="34" t="n">
        <v>10865.3</v>
      </c>
      <c r="Q56" s="18" t="n">
        <v>2542.51</v>
      </c>
      <c r="R56" s="18" t="n">
        <v>648.6799999999999</v>
      </c>
      <c r="S56" s="18" t="n">
        <v>-1095.27</v>
      </c>
      <c r="T56" s="18" t="n">
        <v>-1121.52</v>
      </c>
      <c r="U56" s="34" t="n">
        <v>974.4</v>
      </c>
      <c r="V56" s="18" t="n">
        <v>-1661.09</v>
      </c>
      <c r="W56" s="18" t="n">
        <v>-1543.81</v>
      </c>
      <c r="X56" s="18" t="n">
        <v>-1485.27</v>
      </c>
      <c r="Y56" s="18" t="n">
        <v>-648.63</v>
      </c>
      <c r="Z56" s="34" t="n">
        <v>-5338.8</v>
      </c>
      <c r="AA56" s="18" t="n">
        <v>-867.55</v>
      </c>
      <c r="AB56" s="19" t="n">
        <v>-723.1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49.42</v>
      </c>
      <c r="F57" s="9" t="n"/>
      <c r="G57" s="18" t="n">
        <v>63.72</v>
      </c>
      <c r="H57" s="18" t="n">
        <v>1518.18</v>
      </c>
      <c r="I57" s="18" t="n">
        <v>786.16</v>
      </c>
      <c r="J57" s="18" t="n">
        <v>131.95</v>
      </c>
      <c r="K57" s="34" t="n">
        <v>2500.01</v>
      </c>
      <c r="L57" s="18" t="n">
        <v>249.95</v>
      </c>
      <c r="M57" s="18" t="n">
        <v>120.15</v>
      </c>
      <c r="N57" s="18" t="n">
        <v>124.3</v>
      </c>
      <c r="O57" s="18" t="n">
        <v>90.36</v>
      </c>
      <c r="P57" s="34" t="n">
        <v>584.76</v>
      </c>
      <c r="Q57" s="18" t="n">
        <v>173.87</v>
      </c>
      <c r="R57" s="18" t="n">
        <v>61.66</v>
      </c>
      <c r="S57" s="18" t="n">
        <v>74.08</v>
      </c>
      <c r="T57" s="18" t="n">
        <v>162.71</v>
      </c>
      <c r="U57" s="34" t="n">
        <v>472.32</v>
      </c>
      <c r="V57" s="18" t="n">
        <v>65.02</v>
      </c>
      <c r="W57" s="18" t="n">
        <v>782.6</v>
      </c>
      <c r="X57" s="18" t="n">
        <v>101.36</v>
      </c>
      <c r="Y57" s="18" t="n">
        <v>3191.29</v>
      </c>
      <c r="Z57" s="34" t="n">
        <v>4140.27</v>
      </c>
      <c r="AA57" s="18" t="n">
        <v>185.35</v>
      </c>
      <c r="AB57" s="19" t="n">
        <v>5512.71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161.76</v>
      </c>
      <c r="F58" s="9" t="n"/>
      <c r="G58" s="18" t="n">
        <v>100.45</v>
      </c>
      <c r="H58" s="18" t="n">
        <v>469.14</v>
      </c>
      <c r="I58" s="18" t="n">
        <v>540.51</v>
      </c>
      <c r="J58" s="18" t="n">
        <v>651.15</v>
      </c>
      <c r="K58" s="34" t="n">
        <v>1761.25</v>
      </c>
      <c r="L58" s="18" t="n">
        <v>1532.26</v>
      </c>
      <c r="M58" s="18" t="n">
        <v>3910</v>
      </c>
      <c r="N58" s="18" t="n">
        <v>1236.99</v>
      </c>
      <c r="O58" s="18" t="n">
        <v>381.12</v>
      </c>
      <c r="P58" s="34" t="n">
        <v>7060.37</v>
      </c>
      <c r="Q58" s="18" t="n">
        <v>5099.82</v>
      </c>
      <c r="R58" s="18" t="n">
        <v>-47.96</v>
      </c>
      <c r="S58" s="18" t="n">
        <v>410.29</v>
      </c>
      <c r="T58" s="18" t="n">
        <v>74.18000000000001</v>
      </c>
      <c r="U58" s="34" t="n">
        <v>5536.33</v>
      </c>
      <c r="V58" s="18" t="n">
        <v>318.39</v>
      </c>
      <c r="W58" s="18" t="n">
        <v>475.65</v>
      </c>
      <c r="X58" s="18" t="n">
        <v>257.49</v>
      </c>
      <c r="Y58" s="18" t="n">
        <v>2783.18</v>
      </c>
      <c r="Z58" s="34" t="n">
        <v>3834.71</v>
      </c>
      <c r="AA58" s="18" t="n">
        <v>511.88</v>
      </c>
      <c r="AB58" s="19" t="n">
        <v>1367.97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50.5</v>
      </c>
      <c r="F59" s="9" t="n"/>
      <c r="G59" s="18" t="n">
        <v>4.29</v>
      </c>
      <c r="H59" s="18" t="n">
        <v>10.02</v>
      </c>
      <c r="I59" s="18" t="n">
        <v>2.45</v>
      </c>
      <c r="J59" s="18" t="n">
        <v>0.01</v>
      </c>
      <c r="K59" s="34" t="n">
        <v>16.77</v>
      </c>
      <c r="L59" s="18" t="n">
        <v>6.05</v>
      </c>
      <c r="M59" s="18" t="n">
        <v>57.68</v>
      </c>
      <c r="N59" s="18" t="n">
        <v>8.41</v>
      </c>
      <c r="O59" s="18" t="n">
        <v>0.01</v>
      </c>
      <c r="P59" s="34" t="n">
        <v>72.15000000000001</v>
      </c>
      <c r="Q59" s="18" t="n">
        <v>438</v>
      </c>
      <c r="R59" s="18" t="n">
        <v>-88.45999999999999</v>
      </c>
      <c r="S59" s="18" t="n">
        <v>1060.51</v>
      </c>
      <c r="T59" s="18" t="n">
        <v>257.85</v>
      </c>
      <c r="U59" s="34" t="n">
        <v>1667.9</v>
      </c>
      <c r="V59" s="18" t="n">
        <v>52.77</v>
      </c>
      <c r="W59" s="18" t="n">
        <v>31.6</v>
      </c>
      <c r="X59" s="18" t="n">
        <v>58.42</v>
      </c>
      <c r="Y59" s="18" t="n">
        <v>5.3</v>
      </c>
      <c r="Z59" s="34" t="n">
        <v>148.09</v>
      </c>
      <c r="AA59" s="18" t="n">
        <v>7.48</v>
      </c>
      <c r="AB59" s="19" t="n">
        <v>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1260.06</v>
      </c>
      <c r="F60" s="9" t="n"/>
      <c r="G60" s="18" t="n">
        <v>60.67</v>
      </c>
      <c r="H60" s="18" t="n">
        <v>8.09</v>
      </c>
      <c r="I60" s="18" t="n">
        <v>0</v>
      </c>
      <c r="J60" s="18" t="n">
        <v>12.41</v>
      </c>
      <c r="K60" s="34" t="n">
        <v>81.17</v>
      </c>
      <c r="L60" s="18" t="n">
        <v>0.03</v>
      </c>
      <c r="M60" s="18" t="n">
        <v>129.7</v>
      </c>
      <c r="N60" s="18" t="n">
        <v>-24.49</v>
      </c>
      <c r="O60" s="18" t="n">
        <v>524.86</v>
      </c>
      <c r="P60" s="34" t="n">
        <v>630.1</v>
      </c>
      <c r="Q60" s="18" t="n">
        <v>0</v>
      </c>
      <c r="R60" s="18" t="n">
        <v>87.02</v>
      </c>
      <c r="S60" s="18" t="n">
        <v>-51.15</v>
      </c>
      <c r="T60" s="18" t="n">
        <v>126.11</v>
      </c>
      <c r="U60" s="34" t="n">
        <v>161.98</v>
      </c>
      <c r="V60" s="18" t="n">
        <v>0.05</v>
      </c>
      <c r="W60" s="18" t="n">
        <v>713.5599999999999</v>
      </c>
      <c r="X60" s="18" t="n">
        <v>61.99</v>
      </c>
      <c r="Y60" s="18" t="n">
        <v>1707.94</v>
      </c>
      <c r="Z60" s="34" t="n">
        <v>2483.54</v>
      </c>
      <c r="AA60" s="18" t="n">
        <v>4.67</v>
      </c>
      <c r="AB60" s="19" t="n">
        <v>154.95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-4886.49</v>
      </c>
      <c r="F61" s="9" t="n"/>
      <c r="G61" s="18" t="n">
        <v>-1783.81</v>
      </c>
      <c r="H61" s="18" t="n">
        <v>-548.85</v>
      </c>
      <c r="I61" s="18" t="n">
        <v>-3271.59</v>
      </c>
      <c r="J61" s="18" t="n">
        <v>-8265.77</v>
      </c>
      <c r="K61" s="34" t="n">
        <v>-13870.02</v>
      </c>
      <c r="L61" s="18" t="n">
        <v>-1070.76</v>
      </c>
      <c r="M61" s="18" t="n">
        <v>2190.81</v>
      </c>
      <c r="N61" s="18" t="n">
        <v>577.29</v>
      </c>
      <c r="O61" s="18" t="n">
        <v>2134.39</v>
      </c>
      <c r="P61" s="34" t="n">
        <v>3831.73</v>
      </c>
      <c r="Q61" s="18" t="n">
        <v>-1945.43</v>
      </c>
      <c r="R61" s="18" t="n">
        <v>582.8200000000001</v>
      </c>
      <c r="S61" s="18" t="n">
        <v>-319.81</v>
      </c>
      <c r="T61" s="18" t="n">
        <v>-901.25</v>
      </c>
      <c r="U61" s="34" t="n">
        <v>-2583.67</v>
      </c>
      <c r="V61" s="18" t="n">
        <v>-1861.74</v>
      </c>
      <c r="W61" s="18" t="n">
        <v>-1918.82</v>
      </c>
      <c r="X61" s="18" t="n">
        <v>-1644.96</v>
      </c>
      <c r="Y61" s="18" t="n">
        <v>-1943.15</v>
      </c>
      <c r="Z61" s="34" t="n">
        <v>-7368.67</v>
      </c>
      <c r="AA61" s="18" t="n">
        <v>-1191.27</v>
      </c>
      <c r="AB61" s="19" t="n">
        <v>3276.67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-4886.49</v>
      </c>
      <c r="F62" s="9" t="n"/>
      <c r="G62" s="18" t="n">
        <v>-1783.81</v>
      </c>
      <c r="H62" s="18" t="n">
        <v>-548.85</v>
      </c>
      <c r="I62" s="18" t="n">
        <v>-3271.59</v>
      </c>
      <c r="J62" s="18" t="n">
        <v>-8265.77</v>
      </c>
      <c r="K62" s="34" t="n">
        <v>-13870.02</v>
      </c>
      <c r="L62" s="18" t="n">
        <v>-1070.76</v>
      </c>
      <c r="M62" s="18" t="n">
        <v>2190.81</v>
      </c>
      <c r="N62" s="18" t="n">
        <v>546.9400000000001</v>
      </c>
      <c r="O62" s="18" t="n">
        <v>2012.89</v>
      </c>
      <c r="P62" s="34" t="n">
        <v>3679.88</v>
      </c>
      <c r="Q62" s="18" t="n">
        <v>-2065.67</v>
      </c>
      <c r="R62" s="18" t="n">
        <v>-3669.72</v>
      </c>
      <c r="S62" s="18" t="n">
        <v>1184.52</v>
      </c>
      <c r="T62" s="18" t="n">
        <v>-1023.5</v>
      </c>
      <c r="U62" s="34" t="n">
        <v>-5574.37</v>
      </c>
      <c r="V62" s="18" t="n">
        <v>-1861.74</v>
      </c>
      <c r="W62" s="18" t="n">
        <v>-1918.82</v>
      </c>
      <c r="X62" s="18" t="n">
        <v>-1644.96</v>
      </c>
      <c r="Y62" s="18" t="n">
        <v>-1943.15</v>
      </c>
      <c r="Z62" s="34" t="n">
        <v>-7368.67</v>
      </c>
      <c r="AA62" s="18" t="n">
        <v>-1191.27</v>
      </c>
      <c r="AB62" s="19" t="n">
        <v>3276.67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-112.34</v>
      </c>
      <c r="F63" s="9" t="n"/>
      <c r="G63" s="18" t="n">
        <v>-36.73</v>
      </c>
      <c r="H63" s="18" t="n">
        <v>1049.04</v>
      </c>
      <c r="I63" s="18" t="n">
        <v>245.65</v>
      </c>
      <c r="J63" s="18" t="n">
        <v>-519.2</v>
      </c>
      <c r="K63" s="34" t="n">
        <v>738.76</v>
      </c>
      <c r="L63" s="18" t="n">
        <v>-1282.31</v>
      </c>
      <c r="M63" s="18" t="n">
        <v>-3789.85</v>
      </c>
      <c r="N63" s="18" t="n">
        <v>-1112.69</v>
      </c>
      <c r="O63" s="18" t="n">
        <v>-290.76</v>
      </c>
      <c r="P63" s="34" t="n">
        <v>-6475.61</v>
      </c>
      <c r="Q63" s="18" t="n">
        <v>-4925.95</v>
      </c>
      <c r="R63" s="18" t="n">
        <v>109.62</v>
      </c>
      <c r="S63" s="18" t="n">
        <v>-336.21</v>
      </c>
      <c r="T63" s="18" t="n">
        <v>88.53</v>
      </c>
      <c r="U63" s="34" t="n">
        <v>-5064.01</v>
      </c>
      <c r="V63" s="18" t="n">
        <v>-253.37</v>
      </c>
      <c r="W63" s="18" t="n">
        <v>306.95</v>
      </c>
      <c r="X63" s="18" t="n">
        <v>-156.13</v>
      </c>
      <c r="Y63" s="18" t="n">
        <v>408.11</v>
      </c>
      <c r="Z63" s="34" t="n">
        <v>305.56</v>
      </c>
      <c r="AA63" s="18" t="n">
        <v>-326.53</v>
      </c>
      <c r="AB63" s="19" t="n">
        <v>4144.74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-1209.56</v>
      </c>
      <c r="F64" s="9" t="n"/>
      <c r="G64" s="18" t="n">
        <v>-56.38</v>
      </c>
      <c r="H64" s="18" t="n">
        <v>1.93</v>
      </c>
      <c r="I64" s="18" t="n">
        <v>2.45</v>
      </c>
      <c r="J64" s="18" t="n">
        <v>-12.4</v>
      </c>
      <c r="K64" s="34" t="n">
        <v>-64.40000000000001</v>
      </c>
      <c r="L64" s="18" t="n">
        <v>6.02</v>
      </c>
      <c r="M64" s="18" t="n">
        <v>-72.02</v>
      </c>
      <c r="N64" s="18" t="n">
        <v>32.9</v>
      </c>
      <c r="O64" s="18" t="n">
        <v>-524.85</v>
      </c>
      <c r="P64" s="34" t="n">
        <v>-557.95</v>
      </c>
      <c r="Q64" s="18" t="n">
        <v>438</v>
      </c>
      <c r="R64" s="18" t="n">
        <v>-175.48</v>
      </c>
      <c r="S64" s="18" t="n">
        <v>1111.66</v>
      </c>
      <c r="T64" s="18" t="n">
        <v>131.74</v>
      </c>
      <c r="U64" s="34" t="n">
        <v>1505.92</v>
      </c>
      <c r="V64" s="18" t="n">
        <v>52.72</v>
      </c>
      <c r="W64" s="18" t="n">
        <v>-681.96</v>
      </c>
      <c r="X64" s="18" t="n">
        <v>-3.57</v>
      </c>
      <c r="Y64" s="18" t="n">
        <v>-1702.64</v>
      </c>
      <c r="Z64" s="34" t="n">
        <v>-2335.45</v>
      </c>
      <c r="AA64" s="18" t="n">
        <v>2.81</v>
      </c>
      <c r="AB64" s="19" t="n">
        <v>-144.97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4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4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4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4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-4886.49</v>
      </c>
      <c r="F66" s="9" t="n"/>
      <c r="G66" s="18" t="n">
        <v>-1783.81</v>
      </c>
      <c r="H66" s="18" t="n">
        <v>-548.85</v>
      </c>
      <c r="I66" s="18" t="n">
        <v>-3271.59</v>
      </c>
      <c r="J66" s="18" t="n">
        <v>-8265.77</v>
      </c>
      <c r="K66" s="34" t="n">
        <v>-13870.02</v>
      </c>
      <c r="L66" s="18" t="n">
        <v>-1070.76</v>
      </c>
      <c r="M66" s="18" t="n">
        <v>2190.81</v>
      </c>
      <c r="N66" s="18" t="n">
        <v>546.9400000000001</v>
      </c>
      <c r="O66" s="18" t="n">
        <v>2012.89</v>
      </c>
      <c r="P66" s="34" t="n">
        <v>3679.88</v>
      </c>
      <c r="Q66" s="18" t="n">
        <v>-2065.67</v>
      </c>
      <c r="R66" s="18" t="n">
        <v>578.52</v>
      </c>
      <c r="S66" s="18" t="n">
        <v>-320.52</v>
      </c>
      <c r="T66" s="18" t="n">
        <v>-937.12</v>
      </c>
      <c r="U66" s="34" t="n">
        <v>-2744.79</v>
      </c>
      <c r="V66" s="18" t="n">
        <v>-1861.74</v>
      </c>
      <c r="W66" s="18" t="n">
        <v>-1918.82</v>
      </c>
      <c r="X66" s="18" t="n">
        <v>-1644.96</v>
      </c>
      <c r="Y66" s="18" t="n">
        <v>-1943.15</v>
      </c>
      <c r="Z66" s="34" t="n">
        <v>-7368.67</v>
      </c>
      <c r="AA66" s="18" t="n">
        <v>-1191.27</v>
      </c>
      <c r="AB66" s="19" t="n">
        <v>3276.67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-4876.35</v>
      </c>
      <c r="F67" s="9" t="n"/>
      <c r="G67" s="18" t="n">
        <v>-1783.81</v>
      </c>
      <c r="H67" s="18" t="n">
        <v>-548.85</v>
      </c>
      <c r="I67" s="18" t="n">
        <v>-3271.59</v>
      </c>
      <c r="J67" s="18" t="n">
        <v>-7953.68</v>
      </c>
      <c r="K67" s="34" t="n">
        <v>-13557.93</v>
      </c>
      <c r="L67" s="18" t="n">
        <v>-1070.76</v>
      </c>
      <c r="M67" s="18" t="n">
        <v>2190.81</v>
      </c>
      <c r="N67" s="18" t="n">
        <v>546.9400000000001</v>
      </c>
      <c r="O67" s="18" t="n">
        <v>1955.8</v>
      </c>
      <c r="P67" s="34" t="n">
        <v>3622.79</v>
      </c>
      <c r="Q67" s="18" t="n">
        <v>-2065.67</v>
      </c>
      <c r="R67" s="18" t="n">
        <v>-3669.72</v>
      </c>
      <c r="S67" s="18" t="n">
        <v>1184.52</v>
      </c>
      <c r="U67" s="9" t="n"/>
      <c r="X67" s="18" t="n">
        <v>-1644.96</v>
      </c>
      <c r="Z67" s="9" t="n"/>
      <c r="AA67" s="18" t="n">
        <v>-1191.27</v>
      </c>
      <c r="AB67" s="19" t="n">
        <v>3276.67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F68" s="9" t="n"/>
      <c r="K68" s="9" t="n"/>
      <c r="N68" s="18" t="n">
        <v>30.35</v>
      </c>
      <c r="O68" s="18" t="n">
        <v>121.51</v>
      </c>
      <c r="P68" s="9" t="n"/>
      <c r="Q68" s="18" t="n">
        <v>120.24</v>
      </c>
      <c r="R68" s="18" t="n">
        <v>4.3</v>
      </c>
      <c r="S68" s="18" t="n">
        <v>0.71</v>
      </c>
      <c r="T68" s="18" t="n">
        <v>35.88</v>
      </c>
      <c r="U68" s="34" t="n">
        <v>161.13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F69" s="9" t="n"/>
      <c r="K69" s="9" t="n"/>
      <c r="P69" s="9" t="n"/>
      <c r="R69" s="18" t="n">
        <v>-4248.24</v>
      </c>
      <c r="S69" s="18" t="n">
        <v>1505.04</v>
      </c>
      <c r="T69" s="18" t="n">
        <v>-86.38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2340.44</v>
      </c>
      <c r="F70" s="9" t="n"/>
      <c r="G70" s="18" t="n">
        <v>-5384.84</v>
      </c>
      <c r="H70" s="18" t="n">
        <v>-5215.92</v>
      </c>
      <c r="I70" s="18" t="n">
        <v>-1896.63</v>
      </c>
      <c r="J70" s="18" t="n">
        <v>2138.13</v>
      </c>
      <c r="K70" s="34" t="n">
        <v>-10359.26</v>
      </c>
      <c r="L70" s="18" t="n">
        <v>346.54</v>
      </c>
      <c r="M70" s="18" t="n">
        <v>721.52</v>
      </c>
      <c r="N70" s="18" t="n">
        <v>1769.07</v>
      </c>
      <c r="O70" s="18" t="n">
        <v>926.27</v>
      </c>
      <c r="P70" s="34" t="n">
        <v>3763.4</v>
      </c>
      <c r="Q70" s="18" t="n">
        <v>5058.88</v>
      </c>
      <c r="R70" s="18" t="n">
        <v>10.99</v>
      </c>
      <c r="S70" s="18" t="n">
        <v>-1599.37</v>
      </c>
      <c r="T70" s="18" t="n">
        <v>3144.36</v>
      </c>
      <c r="U70" s="34" t="n">
        <v>6614.86</v>
      </c>
      <c r="V70" s="18" t="n">
        <v>-1942.63</v>
      </c>
      <c r="W70" s="18" t="n">
        <v>-1399.83</v>
      </c>
      <c r="X70" s="18" t="n">
        <v>-5922.52</v>
      </c>
      <c r="Y70" s="18" t="n">
        <v>4205.08</v>
      </c>
      <c r="Z70" s="34" t="n">
        <v>-5059.9</v>
      </c>
      <c r="AA70" s="18" t="n">
        <v>175.49</v>
      </c>
      <c r="AB70" s="19" t="n">
        <v>-956.42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2.99</v>
      </c>
      <c r="F71" s="9" t="n"/>
      <c r="G71" s="18" t="n">
        <v>6.88</v>
      </c>
      <c r="H71" s="18" t="n">
        <v>27.49</v>
      </c>
      <c r="I71" s="18" t="n">
        <v>5.01</v>
      </c>
      <c r="J71" s="18" t="n">
        <v>1.55</v>
      </c>
      <c r="K71" s="34" t="n">
        <v>40.93</v>
      </c>
      <c r="L71" s="18" t="n">
        <v>0.1</v>
      </c>
      <c r="M71" s="18" t="n">
        <v>0.11</v>
      </c>
      <c r="N71" s="18" t="n">
        <v>0.06</v>
      </c>
      <c r="O71" s="18" t="n">
        <v>0.16</v>
      </c>
      <c r="P71" s="34" t="n">
        <v>0.43</v>
      </c>
      <c r="Q71" s="18" t="n">
        <v>0.09</v>
      </c>
      <c r="R71" s="18" t="n">
        <v>13.86</v>
      </c>
      <c r="S71" s="18" t="n">
        <v>65.16</v>
      </c>
      <c r="T71" s="18" t="n">
        <v>64.26000000000001</v>
      </c>
      <c r="U71" s="34" t="n">
        <v>143.37</v>
      </c>
      <c r="V71" s="18" t="n">
        <v>39.53</v>
      </c>
      <c r="W71" s="18" t="n">
        <v>29.53</v>
      </c>
      <c r="X71" s="18" t="n">
        <v>25.43</v>
      </c>
      <c r="Y71" s="18" t="n">
        <v>25.39</v>
      </c>
      <c r="Z71" s="34" t="n">
        <v>119.88</v>
      </c>
      <c r="AA71" s="18" t="n">
        <v>14.01</v>
      </c>
      <c r="AB71" s="19" t="n">
        <v>8.25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-72.56</v>
      </c>
      <c r="F72" s="9" t="n"/>
      <c r="G72" s="18" t="n">
        <v>-70.7</v>
      </c>
      <c r="H72" s="18" t="n">
        <v>-75.36</v>
      </c>
      <c r="I72" s="18" t="n">
        <v>-101.9</v>
      </c>
      <c r="J72" s="18" t="n">
        <v>-448.38</v>
      </c>
      <c r="K72" s="34" t="n">
        <v>-696.34</v>
      </c>
      <c r="L72" s="18" t="n">
        <v>-104.98</v>
      </c>
      <c r="M72" s="18" t="n">
        <v>-120.07</v>
      </c>
      <c r="P72" s="9" t="n"/>
      <c r="Q72" s="18" t="n">
        <v>-98.40000000000001</v>
      </c>
      <c r="R72" s="18" t="n">
        <v>98.40000000000001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-0.46</v>
      </c>
      <c r="F73" s="9" t="n"/>
      <c r="G73" s="18" t="n">
        <v>-1.06</v>
      </c>
      <c r="H73" s="18" t="n">
        <v>-2.48</v>
      </c>
      <c r="I73" s="18" t="n">
        <v>-0.77</v>
      </c>
      <c r="J73" s="18" t="n">
        <v>-0.23</v>
      </c>
      <c r="K73" s="34" t="n">
        <v>-4.54</v>
      </c>
      <c r="L73" s="18" t="n">
        <v>-0.01</v>
      </c>
      <c r="M73" s="18" t="n">
        <v>5.05</v>
      </c>
      <c r="N73" s="18" t="n">
        <v>-0.23</v>
      </c>
      <c r="O73" s="18" t="n">
        <v>-0.03</v>
      </c>
      <c r="P73" s="34" t="n">
        <v>4.78</v>
      </c>
      <c r="Q73" s="18" t="n">
        <v>-73.27</v>
      </c>
      <c r="R73" s="18" t="n">
        <v>4.91</v>
      </c>
      <c r="S73" s="18" t="n">
        <v>-17.96</v>
      </c>
      <c r="T73" s="18" t="n">
        <v>-21.44</v>
      </c>
      <c r="U73" s="34" t="n">
        <v>-107.76</v>
      </c>
      <c r="V73" s="18" t="n">
        <v>-5.67</v>
      </c>
      <c r="W73" s="18" t="n">
        <v>23.11</v>
      </c>
      <c r="X73" s="18" t="n">
        <v>-3.63</v>
      </c>
      <c r="Y73" s="18" t="n">
        <v>-1.9</v>
      </c>
      <c r="Z73" s="34" t="n">
        <v>11.91</v>
      </c>
      <c r="AA73" s="18" t="n">
        <v>-1.87</v>
      </c>
      <c r="AB73" s="19" t="n">
        <v>13.35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-4210.31</v>
      </c>
      <c r="F74" s="9" t="n"/>
      <c r="G74" s="18" t="n">
        <v>5745.3</v>
      </c>
      <c r="H74" s="18" t="n">
        <v>-7593.11</v>
      </c>
      <c r="I74" s="18" t="n">
        <v>1192.14</v>
      </c>
      <c r="J74" s="18" t="n">
        <v>-968.0599999999999</v>
      </c>
      <c r="K74" s="34" t="n">
        <v>-1623.73</v>
      </c>
      <c r="L74" s="18" t="n">
        <v>-269.94</v>
      </c>
      <c r="M74" s="18" t="n">
        <v>188.97</v>
      </c>
      <c r="N74" s="18" t="n">
        <v>-45.41</v>
      </c>
      <c r="O74" s="18" t="n">
        <v>-18.56</v>
      </c>
      <c r="P74" s="34" t="n">
        <v>-144.94</v>
      </c>
      <c r="Q74" s="18" t="n">
        <v>1088.41</v>
      </c>
      <c r="R74" s="18" t="n">
        <v>5732.28</v>
      </c>
      <c r="S74" s="18" t="n">
        <v>-17365.49</v>
      </c>
      <c r="T74" s="18" t="n">
        <v>-2204.52</v>
      </c>
      <c r="U74" s="34" t="n">
        <v>-12749.32</v>
      </c>
      <c r="V74" s="18" t="n">
        <v>-7361.92</v>
      </c>
      <c r="W74" s="18" t="n">
        <v>-1250.51</v>
      </c>
      <c r="X74" s="18" t="n">
        <v>-1422.48</v>
      </c>
      <c r="Y74" s="18" t="n">
        <v>624.5700000000001</v>
      </c>
      <c r="Z74" s="34" t="n">
        <v>-9410.34</v>
      </c>
      <c r="AA74" s="18" t="n">
        <v>694.33</v>
      </c>
      <c r="AB74" s="19" t="n">
        <v>-19791.96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445.21</v>
      </c>
      <c r="F75" s="9" t="n"/>
      <c r="G75" s="18" t="n">
        <v>1.79</v>
      </c>
      <c r="H75" s="18" t="n">
        <v>0</v>
      </c>
      <c r="I75" s="18" t="n">
        <v>0</v>
      </c>
      <c r="J75" s="18" t="n">
        <v>0</v>
      </c>
      <c r="K75" s="34" t="n">
        <v>1.79</v>
      </c>
      <c r="N75" s="18" t="n">
        <v>0</v>
      </c>
      <c r="O75" s="18" t="n">
        <v>0</v>
      </c>
      <c r="P75" s="9" t="n"/>
      <c r="Q75" s="18" t="n">
        <v>1715.34</v>
      </c>
      <c r="R75" s="18" t="n">
        <v>141.5</v>
      </c>
      <c r="S75" s="18" t="n">
        <v>68.23</v>
      </c>
      <c r="T75" s="18" t="n">
        <v>764.85</v>
      </c>
      <c r="U75" s="34" t="n">
        <v>2689.92</v>
      </c>
      <c r="V75" s="18" t="n">
        <v>801.3</v>
      </c>
      <c r="X75" s="18" t="n">
        <v>21.6</v>
      </c>
      <c r="Y75" s="18" t="n">
        <v>11.8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2149.52</v>
      </c>
      <c r="F76" s="9" t="n"/>
      <c r="G76" s="18" t="n">
        <v>1387.64</v>
      </c>
      <c r="H76" s="18" t="n">
        <v>1587.12</v>
      </c>
      <c r="I76" s="18" t="n">
        <v>839.04</v>
      </c>
      <c r="J76" s="18" t="n">
        <v>958.5599999999999</v>
      </c>
      <c r="K76" s="34" t="n">
        <v>4772.36</v>
      </c>
      <c r="L76" s="18" t="n">
        <v>256.3</v>
      </c>
      <c r="M76" s="18" t="n">
        <v>26.45</v>
      </c>
      <c r="N76" s="18" t="n">
        <v>45.42</v>
      </c>
      <c r="O76" s="18" t="n">
        <v>18.56</v>
      </c>
      <c r="P76" s="34" t="n">
        <v>346.73</v>
      </c>
      <c r="Q76" s="18" t="n">
        <v>26.93</v>
      </c>
      <c r="R76" s="18" t="n">
        <v>356.42</v>
      </c>
      <c r="S76" s="18" t="n">
        <v>16848.55</v>
      </c>
      <c r="T76" s="18" t="n">
        <v>3604.34</v>
      </c>
      <c r="U76" s="34" t="n">
        <v>20836.24</v>
      </c>
      <c r="V76" s="18" t="n">
        <v>2057.85</v>
      </c>
      <c r="W76" s="18" t="n">
        <v>1751.09</v>
      </c>
      <c r="X76" s="18" t="n">
        <v>58.98</v>
      </c>
      <c r="Y76" s="18" t="n">
        <v>177.06</v>
      </c>
      <c r="Z76" s="34" t="n">
        <v>4044.98</v>
      </c>
      <c r="AA76" s="18" t="n">
        <v>95.67</v>
      </c>
      <c r="AB76" s="19" t="n">
        <v>123.02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2149.52</v>
      </c>
      <c r="F77" s="9" t="n"/>
      <c r="G77" s="18" t="n">
        <v>1407.84</v>
      </c>
      <c r="H77" s="18" t="n">
        <v>1587.12</v>
      </c>
      <c r="I77" s="18" t="n">
        <v>848.64</v>
      </c>
      <c r="J77" s="18" t="n">
        <v>958.5599999999999</v>
      </c>
      <c r="K77" s="34" t="n">
        <v>4802.16</v>
      </c>
      <c r="L77" s="18" t="n">
        <v>259.94</v>
      </c>
      <c r="M77" s="18" t="n">
        <v>26.45</v>
      </c>
      <c r="N77" s="18" t="n">
        <v>45.42</v>
      </c>
      <c r="O77" s="18" t="n">
        <v>18.56</v>
      </c>
      <c r="P77" s="34" t="n">
        <v>350.37</v>
      </c>
      <c r="Q77" s="18" t="n">
        <v>26.93</v>
      </c>
      <c r="R77" s="18" t="n">
        <v>356.42</v>
      </c>
      <c r="S77" s="18" t="n">
        <v>16848.55</v>
      </c>
      <c r="T77" s="18" t="n">
        <v>3664.82</v>
      </c>
      <c r="U77" s="34" t="n">
        <v>20896.72</v>
      </c>
      <c r="V77" s="18" t="n">
        <v>2148.81</v>
      </c>
      <c r="W77" s="18" t="n">
        <v>1751.09</v>
      </c>
      <c r="X77" s="18" t="n">
        <v>58.98</v>
      </c>
      <c r="Y77" s="18" t="n">
        <v>177.06</v>
      </c>
      <c r="Z77" s="34" t="n">
        <v>4135.94</v>
      </c>
      <c r="AA77" s="18" t="n">
        <v>95.67</v>
      </c>
      <c r="AB77" s="19" t="n">
        <v>227.82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-468.87</v>
      </c>
      <c r="F78" s="9" t="n"/>
      <c r="G78" s="18" t="n">
        <v>-492.33</v>
      </c>
      <c r="H78" s="18" t="n">
        <v>12522.67</v>
      </c>
      <c r="I78" s="18" t="n">
        <v>393.68</v>
      </c>
      <c r="J78" s="18" t="n">
        <v>-984.11</v>
      </c>
      <c r="K78" s="34" t="n">
        <v>11439.91</v>
      </c>
      <c r="L78" s="18" t="n">
        <v>-372.99</v>
      </c>
      <c r="M78" s="18" t="n">
        <v>170.65</v>
      </c>
      <c r="N78" s="18" t="n">
        <v>-1843.32</v>
      </c>
      <c r="O78" s="18" t="n">
        <v>-1059.02</v>
      </c>
      <c r="P78" s="34" t="n">
        <v>-3104.68</v>
      </c>
      <c r="Q78" s="18" t="n">
        <v>5550.3</v>
      </c>
      <c r="R78" s="18" t="n">
        <v>-1859.83</v>
      </c>
      <c r="S78" s="18" t="n">
        <v>11910.43</v>
      </c>
      <c r="T78" s="18" t="n">
        <v>-13.66</v>
      </c>
      <c r="U78" s="34" t="n">
        <v>15587.24</v>
      </c>
      <c r="V78" s="18" t="n">
        <v>5873.37</v>
      </c>
      <c r="W78" s="18" t="n">
        <v>903.28</v>
      </c>
      <c r="X78" s="18" t="n">
        <v>-395.06</v>
      </c>
      <c r="Y78" s="18" t="n">
        <v>-105.46</v>
      </c>
      <c r="Z78" s="34" t="n">
        <v>6276.13</v>
      </c>
      <c r="AA78" s="18" t="n">
        <v>17999.18</v>
      </c>
      <c r="AB78" s="19" t="n">
        <v>-97.20999999999999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0</v>
      </c>
      <c r="F79" s="9" t="n"/>
      <c r="I79" s="18" t="n">
        <v>2800</v>
      </c>
      <c r="J79" s="18" t="n">
        <v>0</v>
      </c>
      <c r="K79" s="9" t="n"/>
      <c r="N79" s="18" t="n">
        <v>0</v>
      </c>
      <c r="O79" s="18" t="n">
        <v>0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K80" s="9" t="n"/>
      <c r="P80" s="9" t="n"/>
      <c r="T80" s="18" t="n">
        <v>0</v>
      </c>
      <c r="U80" s="9" t="n"/>
      <c r="X80" s="18" t="n">
        <v>0</v>
      </c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333.34</v>
      </c>
      <c r="F82" s="9" t="n"/>
      <c r="G82" s="18" t="n">
        <v>333.33</v>
      </c>
      <c r="H82" s="18" t="n">
        <v>333.34</v>
      </c>
      <c r="I82" s="18" t="n">
        <v>333.33</v>
      </c>
      <c r="J82" s="18" t="n">
        <v>111.11</v>
      </c>
      <c r="K82" s="34" t="n">
        <v>1111.11</v>
      </c>
      <c r="O82" s="18" t="n">
        <v>30.93</v>
      </c>
      <c r="P82" s="9" t="n"/>
      <c r="Q82" s="18" t="n">
        <v>23.61</v>
      </c>
      <c r="R82" s="18" t="n">
        <v>23.99</v>
      </c>
      <c r="S82" s="18" t="n">
        <v>24.54</v>
      </c>
      <c r="T82" s="18" t="n">
        <v>181.71</v>
      </c>
      <c r="U82" s="34" t="n">
        <v>253.85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-2426</v>
      </c>
      <c r="F83" s="9" t="n"/>
      <c r="G83" s="18" t="n">
        <v>-129.83</v>
      </c>
      <c r="H83" s="18" t="n">
        <v>-287.79</v>
      </c>
      <c r="I83" s="18" t="n">
        <v>-311.36</v>
      </c>
      <c r="J83" s="18" t="n">
        <v>180.11</v>
      </c>
      <c r="K83" s="34" t="n">
        <v>-548.87</v>
      </c>
      <c r="L83" s="18" t="n">
        <v>-296.4</v>
      </c>
      <c r="M83" s="18" t="n">
        <v>1081.38</v>
      </c>
      <c r="N83" s="18" t="n">
        <v>-112.7</v>
      </c>
      <c r="O83" s="18" t="n">
        <v>-182.46</v>
      </c>
      <c r="P83" s="34" t="n">
        <v>489.82</v>
      </c>
      <c r="Q83" s="18" t="n">
        <v>11706.73</v>
      </c>
      <c r="R83" s="18" t="n">
        <v>3874.3</v>
      </c>
      <c r="S83" s="18" t="n">
        <v>-7054.43</v>
      </c>
      <c r="T83" s="18" t="n">
        <v>930.66</v>
      </c>
      <c r="U83" s="34" t="n">
        <v>9457.26</v>
      </c>
      <c r="V83" s="18" t="n">
        <v>-3427.47</v>
      </c>
      <c r="W83" s="18" t="n">
        <v>-1750.93</v>
      </c>
      <c r="X83" s="18" t="n">
        <v>-3173.94</v>
      </c>
      <c r="Y83" s="18" t="n">
        <v>158.23</v>
      </c>
      <c r="Z83" s="34" t="n">
        <v>-8194.110000000001</v>
      </c>
      <c r="AA83" s="18" t="n">
        <v>18923.23</v>
      </c>
      <c r="AB83" s="19" t="n">
        <v>-20899.82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-2426</v>
      </c>
      <c r="F84" s="9" t="n"/>
      <c r="G84" s="18" t="n">
        <v>1122.42</v>
      </c>
      <c r="H84" s="18" t="n">
        <v>-287.79</v>
      </c>
      <c r="I84" s="18" t="n">
        <v>-311.36</v>
      </c>
      <c r="J84" s="18" t="n">
        <v>180.12</v>
      </c>
      <c r="K84" s="34" t="n">
        <v>703.39</v>
      </c>
      <c r="L84" s="18" t="n">
        <v>406.99</v>
      </c>
      <c r="M84" s="18" t="n">
        <v>1081.38</v>
      </c>
      <c r="N84" s="18" t="n">
        <v>-112.7</v>
      </c>
      <c r="O84" s="18" t="n">
        <v>-182.46</v>
      </c>
      <c r="P84" s="34" t="n">
        <v>1193.21</v>
      </c>
      <c r="Q84" s="18" t="n">
        <v>12899.94</v>
      </c>
      <c r="R84" s="18" t="n">
        <v>3894.09</v>
      </c>
      <c r="S84" s="18" t="n">
        <v>-7114.26</v>
      </c>
      <c r="T84" s="18" t="n">
        <v>970.7</v>
      </c>
      <c r="U84" s="34" t="n">
        <v>10650.47</v>
      </c>
      <c r="V84" s="18" t="n">
        <v>7222.99</v>
      </c>
      <c r="W84" s="18" t="n">
        <v>-1750.92</v>
      </c>
      <c r="X84" s="18" t="n">
        <v>-3173.94</v>
      </c>
      <c r="Y84" s="18" t="n">
        <v>158.23</v>
      </c>
      <c r="Z84" s="34" t="n">
        <v>2456.36</v>
      </c>
      <c r="AA84" s="18" t="n">
        <v>21379.59</v>
      </c>
      <c r="AB84" s="19" t="n">
        <v>-20899.82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F85" s="9" t="n"/>
      <c r="G85" s="18" t="n">
        <v>20.2</v>
      </c>
      <c r="H85" s="18" t="n">
        <v>0</v>
      </c>
      <c r="I85" s="18" t="n">
        <v>9.6</v>
      </c>
      <c r="J85" s="18" t="n">
        <v>0</v>
      </c>
      <c r="K85" s="34" t="n">
        <v>29.8</v>
      </c>
      <c r="L85" s="18" t="n">
        <v>3.64</v>
      </c>
      <c r="M85" s="18" t="n">
        <v>0</v>
      </c>
      <c r="N85" s="18" t="n">
        <v>0</v>
      </c>
      <c r="O85" s="18" t="n">
        <v>0</v>
      </c>
      <c r="P85" s="34" t="n">
        <v>3.64</v>
      </c>
      <c r="U85" s="9" t="n"/>
      <c r="V85" s="18" t="n">
        <v>90.95999999999999</v>
      </c>
      <c r="W85" s="18" t="n">
        <v>0</v>
      </c>
      <c r="X85" s="18" t="n">
        <v>0</v>
      </c>
      <c r="Y85" s="18" t="n">
        <v>0</v>
      </c>
      <c r="Z85" s="34" t="n">
        <v>90.95999999999999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F86" s="9" t="n"/>
      <c r="J86" s="18" t="n">
        <v>800</v>
      </c>
      <c r="K86" s="9" t="n"/>
      <c r="L86" s="18" t="n">
        <v>300</v>
      </c>
      <c r="M86" s="18" t="n">
        <v>0</v>
      </c>
      <c r="N86" s="18" t="n">
        <v>1750</v>
      </c>
      <c r="O86" s="18" t="n">
        <v>950</v>
      </c>
      <c r="P86" s="34" t="n">
        <v>3000</v>
      </c>
      <c r="Q86" s="18" t="n">
        <v>2350</v>
      </c>
      <c r="R86" s="18" t="n">
        <v>1780</v>
      </c>
      <c r="S86" s="18" t="n">
        <v>8000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F87" s="9" t="n"/>
      <c r="K87" s="9" t="n"/>
      <c r="N87" s="18" t="n">
        <v>78.09</v>
      </c>
      <c r="P87" s="9" t="n"/>
      <c r="U87" s="9" t="n"/>
      <c r="V87" s="18" t="n">
        <v>117.61</v>
      </c>
      <c r="W87" s="18" t="n">
        <v>95.7</v>
      </c>
      <c r="Z87" s="9" t="n"/>
      <c r="AA87" s="18" t="n">
        <v>104.43</v>
      </c>
      <c r="AB87" s="19" t="n">
        <v>100.21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0.73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-0.4198</v>
      </c>
      <c r="F10" s="34" t="n"/>
      <c r="G10" s="18" t="n">
        <v>-0.1149</v>
      </c>
      <c r="H10" s="18" t="n">
        <v>-0.0857</v>
      </c>
      <c r="I10" s="18" t="n">
        <v>-0.205</v>
      </c>
      <c r="J10" s="18" t="n">
        <v>-0.3248</v>
      </c>
      <c r="K10" s="34">
        <f>SUM(G10:J10)</f>
        <v/>
      </c>
      <c r="L10" s="18" t="n">
        <v>0.0095</v>
      </c>
      <c r="M10" s="18" t="n">
        <v>0.2586</v>
      </c>
      <c r="N10" s="18" t="n">
        <v>0.0711</v>
      </c>
      <c r="O10" s="18" t="n">
        <v>0.1628</v>
      </c>
      <c r="P10" s="34">
        <f>SUM(L10:O10)</f>
        <v/>
      </c>
      <c r="Q10" s="18" t="n">
        <v>0.1654</v>
      </c>
      <c r="R10" s="18" t="n">
        <v>0.1177</v>
      </c>
      <c r="S10" s="18" t="n">
        <v>-0.1809</v>
      </c>
      <c r="T10" s="18" t="n">
        <v>-0.1262</v>
      </c>
      <c r="U10" s="34">
        <f>SUM(Q10:T10)</f>
        <v/>
      </c>
      <c r="V10" s="18" t="n">
        <v>-0.1947</v>
      </c>
      <c r="W10" s="18" t="n">
        <v>-0.1317</v>
      </c>
      <c r="X10" s="18" t="n">
        <v>-0.08409999999999999</v>
      </c>
      <c r="Y10" s="18" t="n">
        <v>-0.0524</v>
      </c>
      <c r="Z10" s="34">
        <f>SUM(V10:Y10)</f>
        <v/>
      </c>
      <c r="AA10" s="18" t="n">
        <v>-0.0764</v>
      </c>
      <c r="AB10" s="19" t="n">
        <v>-0.0851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 t="n"/>
      <c r="X15" s="18" t="n"/>
      <c r="Y15" s="18">
        <f>IFERROR(VLOOKUP($D15,BS연결,MATCH(Y$1,BS연결H,0),0)/100,"")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>
        <v>-42.48</v>
      </c>
      <c r="S18" s="18" t="n">
        <v>15.05</v>
      </c>
      <c r="T18" s="18" t="n">
        <v>-0.86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23.37</v>
      </c>
      <c r="F28" s="34" t="n"/>
      <c r="G28" s="18" t="n">
        <v>-53.89</v>
      </c>
      <c r="H28" s="18" t="n">
        <v>-52.14</v>
      </c>
      <c r="I28" s="18" t="n">
        <v>-19.01</v>
      </c>
      <c r="J28" s="18" t="n">
        <v>21.38</v>
      </c>
      <c r="K28" s="34">
        <f>SUM(G28:J28)</f>
        <v/>
      </c>
      <c r="L28" s="18" t="n">
        <v>3.46</v>
      </c>
      <c r="M28" s="18" t="n">
        <v>7.21</v>
      </c>
      <c r="N28" s="18" t="n">
        <v>17.7</v>
      </c>
      <c r="O28" s="18" t="n">
        <v>9.25</v>
      </c>
      <c r="P28" s="34">
        <f>SUM(L28:O28)</f>
        <v/>
      </c>
      <c r="Q28" s="18" t="n">
        <v>50.59</v>
      </c>
      <c r="R28" s="18" t="n">
        <v>0.1</v>
      </c>
      <c r="S28" s="18" t="n">
        <v>-16</v>
      </c>
      <c r="T28" s="18" t="n">
        <v>31.2</v>
      </c>
      <c r="U28" s="34">
        <f>SUM(Q28:T28)</f>
        <v/>
      </c>
      <c r="V28" s="18" t="n">
        <v>-17.15</v>
      </c>
      <c r="W28" s="18" t="n">
        <v>-17.12</v>
      </c>
      <c r="X28" s="18" t="n">
        <v>-13.14</v>
      </c>
      <c r="Y28" s="18" t="n">
        <v>10.73</v>
      </c>
      <c r="Z28" s="34">
        <f>SUM(V28:Y28)</f>
        <v/>
      </c>
      <c r="AA28" s="18" t="n">
        <v>1.55</v>
      </c>
      <c r="AB28" s="19" t="n">
        <v>-7.68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71.751</v>
      </c>
      <c r="F29" s="27">
        <f>E29</f>
        <v/>
      </c>
      <c r="G29" s="26" t="n">
        <v>71.751</v>
      </c>
      <c r="H29" s="26" t="n">
        <v>71.751</v>
      </c>
      <c r="I29" s="26" t="n">
        <v>71.751</v>
      </c>
      <c r="J29" s="26" t="n">
        <v>71.751</v>
      </c>
      <c r="K29" s="27">
        <f>J29</f>
        <v/>
      </c>
      <c r="L29" s="26" t="n">
        <v>17.938</v>
      </c>
      <c r="M29" s="26" t="n">
        <v>18.779</v>
      </c>
      <c r="N29" s="26" t="n">
        <v>18.779</v>
      </c>
      <c r="O29" s="26" t="n">
        <v>18.779</v>
      </c>
      <c r="P29" s="27">
        <f>O29</f>
        <v/>
      </c>
      <c r="Q29" s="26" t="n">
        <v>22.842</v>
      </c>
      <c r="R29" s="26" t="n">
        <v>30.133</v>
      </c>
      <c r="S29" s="26" t="n">
        <v>30.133</v>
      </c>
      <c r="T29" s="26" t="n">
        <v>30.63</v>
      </c>
      <c r="U29" s="27">
        <f>T29</f>
        <v/>
      </c>
      <c r="V29" s="26" t="n">
        <v>33.255</v>
      </c>
      <c r="W29" s="26" t="n">
        <v>33.43</v>
      </c>
      <c r="X29" s="26" t="n">
        <v>33.43</v>
      </c>
      <c r="Y29" s="26" t="n">
        <v>33.43</v>
      </c>
      <c r="Z29" s="27">
        <f>Y29</f>
        <v/>
      </c>
      <c r="AA29" s="26" t="n">
        <v>39.625</v>
      </c>
      <c r="AB29" s="28" t="n">
        <v>39.625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>
        <v>29.94</v>
      </c>
      <c r="P33" s="34">
        <f>SUM(L33:O33)</f>
        <v/>
      </c>
      <c r="Q33" s="18" t="n">
        <v>42.38</v>
      </c>
      <c r="R33" s="18" t="n"/>
      <c r="S33" s="18" t="n"/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/>
      <c r="AC33" s="20" t="n"/>
      <c r="AD33" s="20" t="n"/>
      <c r="AE33" s="35">
        <f>SUM(AA33:AD33)</f>
        <v/>
      </c>
      <c r="AF33" s="20" t="n"/>
      <c r="AG33" s="20" t="n"/>
      <c r="AH33" s="20" t="n"/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34.56</v>
      </c>
      <c r="F34" s="34" t="n">
        <v>34.09</v>
      </c>
      <c r="G34" s="18" t="n">
        <v>38.89</v>
      </c>
      <c r="H34" s="18" t="n">
        <v>33.91</v>
      </c>
      <c r="I34" s="18" t="n">
        <v>33.33</v>
      </c>
      <c r="J34" s="18" t="n">
        <v>45.28</v>
      </c>
      <c r="K34" s="34">
        <f>SUM(G34:J34)</f>
        <v/>
      </c>
      <c r="L34" s="18" t="n">
        <v>9.609999999999999</v>
      </c>
      <c r="M34" s="18" t="n">
        <v>7.54</v>
      </c>
      <c r="N34" s="18" t="n">
        <v>7.41</v>
      </c>
      <c r="O34" s="18" t="n">
        <v>6.95</v>
      </c>
      <c r="P34" s="34">
        <f>SUM(L34:O34)</f>
        <v/>
      </c>
      <c r="Q34" s="18" t="n">
        <v>7.3</v>
      </c>
      <c r="R34" s="18" t="n">
        <v>5.72</v>
      </c>
      <c r="S34" s="18" t="n">
        <v>5.5</v>
      </c>
      <c r="T34" s="18" t="n">
        <v>5.01</v>
      </c>
      <c r="U34" s="34">
        <f>SUM(Q34:T34)</f>
        <v/>
      </c>
      <c r="V34" s="18" t="n">
        <v>5.06</v>
      </c>
      <c r="W34" s="18" t="n">
        <v>5.43</v>
      </c>
      <c r="X34" s="18" t="n">
        <v>4.49</v>
      </c>
      <c r="Y34" s="18" t="n">
        <v>2.27</v>
      </c>
      <c r="Z34" s="34">
        <f>SUM(V34:Y34)</f>
        <v/>
      </c>
      <c r="AA34" s="18" t="n">
        <v>2.61</v>
      </c>
      <c r="AB34" s="19" t="n">
        <v>1.8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85.02</v>
      </c>
      <c r="F35" s="34" t="n"/>
      <c r="G35" s="18" t="n">
        <v>147.35</v>
      </c>
      <c r="H35" s="18" t="n">
        <v>187.07</v>
      </c>
      <c r="I35" s="18" t="n">
        <v>171.76</v>
      </c>
      <c r="J35" s="18" t="n">
        <v>238.12</v>
      </c>
      <c r="K35" s="34">
        <f>SUM(G35:J35)</f>
        <v/>
      </c>
      <c r="L35" s="18" t="n">
        <v>215.27</v>
      </c>
      <c r="M35" s="18" t="n">
        <v>234.09</v>
      </c>
      <c r="N35" s="18" t="n">
        <v>232.95</v>
      </c>
      <c r="O35" s="18" t="n">
        <v>181.21</v>
      </c>
      <c r="P35" s="34">
        <f>SUM(L35:O35)</f>
        <v/>
      </c>
      <c r="Q35" s="18" t="n">
        <v>153.68</v>
      </c>
      <c r="R35" s="18" t="n">
        <v>55.04</v>
      </c>
      <c r="S35" s="18" t="n">
        <v>60.6</v>
      </c>
      <c r="T35" s="18" t="n">
        <v>80.93000000000001</v>
      </c>
      <c r="U35" s="34">
        <f>SUM(Q35:T35)</f>
        <v/>
      </c>
      <c r="V35" s="18" t="n">
        <v>90.20999999999999</v>
      </c>
      <c r="W35" s="18" t="n">
        <v>112.09</v>
      </c>
      <c r="X35" s="18" t="n">
        <v>120.4</v>
      </c>
      <c r="Y35" s="18" t="n">
        <v>71.77</v>
      </c>
      <c r="Z35" s="34">
        <f>SUM(V35:Y35)</f>
        <v/>
      </c>
      <c r="AA35" s="18" t="n">
        <v>104.01</v>
      </c>
      <c r="AB35" s="19" t="n">
        <v>94.65000000000001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-35.69</v>
      </c>
      <c r="F36" s="34" t="n"/>
      <c r="G36" s="18" t="n">
        <v>-16.94</v>
      </c>
      <c r="H36" s="18" t="n">
        <v>-16.03</v>
      </c>
      <c r="I36" s="18" t="n">
        <v>-35.21</v>
      </c>
      <c r="J36" s="18" t="n">
        <v>-77.34</v>
      </c>
      <c r="K36" s="34">
        <f>SUM(G36:J36)</f>
        <v/>
      </c>
      <c r="L36" s="18" t="n">
        <v>2.05</v>
      </c>
      <c r="M36" s="18" t="n">
        <v>60.53</v>
      </c>
      <c r="N36" s="18" t="n">
        <v>16.56</v>
      </c>
      <c r="O36" s="18" t="n">
        <v>29.5</v>
      </c>
      <c r="P36" s="34">
        <f>SUM(L36:O36)</f>
        <v/>
      </c>
      <c r="Q36" s="18" t="n">
        <v>25.41</v>
      </c>
      <c r="R36" s="18" t="n">
        <v>6.48</v>
      </c>
      <c r="S36" s="18" t="n">
        <v>-10.96</v>
      </c>
      <c r="T36" s="18" t="n">
        <v>-10.22</v>
      </c>
      <c r="U36" s="34">
        <f>SUM(Q36:T36)</f>
        <v/>
      </c>
      <c r="V36" s="18" t="n">
        <v>-17.56</v>
      </c>
      <c r="W36" s="18" t="n">
        <v>-14.76</v>
      </c>
      <c r="X36" s="18" t="n">
        <v>-10.12</v>
      </c>
      <c r="Y36" s="18" t="n">
        <v>-3.76</v>
      </c>
      <c r="Z36" s="34">
        <f>SUM(V36:Y36)</f>
        <v/>
      </c>
      <c r="AA36" s="18" t="n">
        <v>-7.94</v>
      </c>
      <c r="AB36" s="19" t="n">
        <v>-8.06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-226.5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1.47</v>
      </c>
    </row>
    <row r="33">
      <c r="C33" s="2" t="inlineStr">
        <is>
          <t>roe_fwd</t>
        </is>
      </c>
      <c r="D33" t="n">
        <v>-0.2014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