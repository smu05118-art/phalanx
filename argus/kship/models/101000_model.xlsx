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분기" sheetId="6" state="visible" r:id="rId6"/>
    <sheet name="연간예상" sheetId="7" state="visible" r:id="rId7"/>
    <sheet name="TP" sheetId="8" state="visible" r:id="rId8"/>
    <sheet name="외화" sheetId="9" state="visible" r:id="rId9"/>
  </sheets>
  <definedNames>
    <definedName name="변수H">변수!$C$1:$AO$1</definedName>
    <definedName name="환율">변수!$C$6:$AO$13</definedName>
    <definedName name="BS연결H">BS연결!$C$1:$AO$1</definedName>
    <definedName name="BS연결">BS연결!$C$5:$AO$104</definedName>
    <definedName name="BS별도H">BS별도!$C$1:$AO$1</definedName>
    <definedName name="BS별도">BS별도!$C$5:$AO$91</definedName>
    <definedName name="SUBQH">subQ!$A$1:$AO$1</definedName>
    <definedName name="subQ">subQ!$A$5:$AO$45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3" fontId="0" fillId="0" borderId="1" pivotButton="0" quotePrefix="0" xfId="0"/>
    <xf numFmtId="3" fontId="0" fillId="5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1" fillId="5" borderId="0" pivotButton="0" quotePrefix="0" xfId="0"/>
    <xf numFmtId="164" fontId="0" fillId="6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5" fontId="0" fillId="5" borderId="0" pivotButton="0" quotePrefix="0" xfId="0"/>
    <xf numFmtId="164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1" fillId="5" borderId="0" pivotButton="0" quotePrefix="0" xfId="0"/>
    <xf numFmtId="165" fontId="0" fillId="5" borderId="1" pivotButton="0" quotePrefix="0" xfId="0"/>
    <xf numFmtId="3" fontId="0" fillId="5" borderId="1" pivotButton="0" quotePrefix="0" xfId="0"/>
    <xf numFmtId="4" fontId="0" fillId="5" borderId="0" pivotButton="0" quotePrefix="0" xfId="0"/>
    <xf numFmtId="4" fontId="1" fillId="5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kship</author>
  </authors>
  <commentList>
    <comment ref="AC6" authorId="0" shapeId="0">
      <text>
        <t>모델 assumptions.fx — 가정 — 마지막 ECB 관측치를 2028Q4 까지 평평하게 둔다. 선도환율·컨센서스 아님.</t>
      </text>
    </comment>
    <comment ref="AD6" authorId="0" shapeId="0">
      <text>
        <t>모델 assumptions.fx — 가정 — 마지막 ECB 관측치를 2028Q4 까지 평평하게 둔다. 선도환율·컨센서스 아님.</t>
      </text>
    </comment>
    <comment ref="AF6" authorId="0" shapeId="0">
      <text>
        <t>모델 assumptions.fx — 가정 — 마지막 ECB 관측치를 2028Q4 까지 평평하게 둔다. 선도환율·컨센서스 아님.</t>
      </text>
    </comment>
    <comment ref="AG6" authorId="0" shapeId="0">
      <text>
        <t>모델 assumptions.fx — 가정 — 마지막 ECB 관측치를 2028Q4 까지 평평하게 둔다. 선도환율·컨센서스 아님.</t>
      </text>
    </comment>
    <comment ref="AH6" authorId="0" shapeId="0">
      <text>
        <t>모델 assumptions.fx — 가정 — 마지막 ECB 관측치를 2028Q4 까지 평평하게 둔다. 선도환율·컨센서스 아님.</t>
      </text>
    </comment>
    <comment ref="AI6" authorId="0" shapeId="0">
      <text>
        <t>모델 assumptions.fx — 가정 — 마지막 ECB 관측치를 2028Q4 까지 평평하게 둔다. 선도환율·컨센서스 아님.</t>
      </text>
    </comment>
    <comment ref="AK6" authorId="0" shapeId="0">
      <text>
        <t>모델 assumptions.fx — 가정 — 마지막 ECB 관측치를 2028Q4 까지 평평하게 둔다. 선도환율·컨센서스 아님.</t>
      </text>
    </comment>
    <comment ref="AL6" authorId="0" shapeId="0">
      <text>
        <t>모델 assumptions.fx — 가정 — 마지막 ECB 관측치를 2028Q4 까지 평평하게 둔다. 선도환율·컨센서스 아님.</t>
      </text>
    </comment>
    <comment ref="AM6" authorId="0" shapeId="0">
      <text>
        <t>모델 assumptions.fx — 가정 — 마지막 ECB 관측치를 2028Q4 까지 평평하게 둔다. 선도환율·컨센서스 아님.</t>
      </text>
    </comment>
    <comment ref="AN6" authorId="0" shapeId="0">
      <text>
        <t>모델 assumptions.fx — 가정 — 마지막 ECB 관측치를 2028Q4 까지 평평하게 둔다. 선도환율·컨센서스 아님.</t>
      </text>
    </comment>
    <comment ref="AC7" authorId="0" shapeId="0">
      <text>
        <t>모델 assumptions.fx — 가정 — 마지막 ECB 관측치를 2028Q4 까지 평평하게 둔다. 선도환율·컨센서스 아님.</t>
      </text>
    </comment>
    <comment ref="AD7" authorId="0" shapeId="0">
      <text>
        <t>모델 assumptions.fx — 가정 — 마지막 ECB 관측치를 2028Q4 까지 평평하게 둔다. 선도환율·컨센서스 아님.</t>
      </text>
    </comment>
    <comment ref="AF7" authorId="0" shapeId="0">
      <text>
        <t>모델 assumptions.fx — 가정 — 마지막 ECB 관측치를 2028Q4 까지 평평하게 둔다. 선도환율·컨센서스 아님.</t>
      </text>
    </comment>
    <comment ref="AG7" authorId="0" shapeId="0">
      <text>
        <t>모델 assumptions.fx — 가정 — 마지막 ECB 관측치를 2028Q4 까지 평평하게 둔다. 선도환율·컨센서스 아님.</t>
      </text>
    </comment>
    <comment ref="AH7" authorId="0" shapeId="0">
      <text>
        <t>모델 assumptions.fx — 가정 — 마지막 ECB 관측치를 2028Q4 까지 평평하게 둔다. 선도환율·컨센서스 아님.</t>
      </text>
    </comment>
    <comment ref="AI7" authorId="0" shapeId="0">
      <text>
        <t>모델 assumptions.fx — 가정 — 마지막 ECB 관측치를 2028Q4 까지 평평하게 둔다. 선도환율·컨센서스 아님.</t>
      </text>
    </comment>
    <comment ref="AK7" authorId="0" shapeId="0">
      <text>
        <t>모델 assumptions.fx — 가정 — 마지막 ECB 관측치를 2028Q4 까지 평평하게 둔다. 선도환율·컨센서스 아님.</t>
      </text>
    </comment>
    <comment ref="AL7" authorId="0" shapeId="0">
      <text>
        <t>모델 assumptions.fx — 가정 — 마지막 ECB 관측치를 2028Q4 까지 평평하게 둔다. 선도환율·컨센서스 아님.</t>
      </text>
    </comment>
    <comment ref="AM7" authorId="0" shapeId="0">
      <text>
        <t>모델 assumptions.fx — 가정 — 마지막 ECB 관측치를 2028Q4 까지 평평하게 둔다. 선도환율·컨센서스 아님.</t>
      </text>
    </comment>
    <comment ref="AN7" authorId="0" shapeId="0">
      <text>
        <t>모델 assumptions.fx — 가정 — 마지막 ECB 관측치를 2028Q4 까지 평평하게 둔다. 선도환율·컨센서스 아님.</t>
      </text>
    </comment>
    <comment ref="AD8" authorId="0" shapeId="0">
      <text>
        <t>fx.json quarters(partial — 분기 진행 중 실측 평균)</t>
      </text>
    </comment>
    <comment ref="AF8" authorId="0" shapeId="0">
      <text>
        <t>fx.json forward(flat_last_end) — 가정</t>
      </text>
    </comment>
    <comment ref="AG8" authorId="0" shapeId="0">
      <text>
        <t>fx.json forward(flat_last_end) — 가정</t>
      </text>
    </comment>
    <comment ref="AH8" authorId="0" shapeId="0">
      <text>
        <t>fx.json forward(flat_last_end) — 가정</t>
      </text>
    </comment>
    <comment ref="AI8" authorId="0" shapeId="0">
      <text>
        <t>fx.json forward(flat_last_end) — 가정</t>
      </text>
    </comment>
    <comment ref="AK8" authorId="0" shapeId="0">
      <text>
        <t>fx.json forward(flat_last_end) — 가정</t>
      </text>
    </comment>
    <comment ref="AL8" authorId="0" shapeId="0">
      <text>
        <t>fx.json forward(flat_last_end) — 가정</t>
      </text>
    </comment>
    <comment ref="AM8" authorId="0" shapeId="0">
      <text>
        <t>fx.json forward(flat_last_end) — 가정</t>
      </text>
    </comment>
    <comment ref="AN8" authorId="0" shapeId="0">
      <text>
        <t>fx.json forward(flat_last_end) — 가정</t>
      </text>
    </comment>
    <comment ref="AD9" authorId="0" shapeId="0">
      <text>
        <t>fx.json quarters(partial — 분기 진행 중 실측 평균)</t>
      </text>
    </comment>
    <comment ref="AF9" authorId="0" shapeId="0">
      <text>
        <t>fx.json forward(flat_last_end) — 가정</t>
      </text>
    </comment>
    <comment ref="AG9" authorId="0" shapeId="0">
      <text>
        <t>fx.json forward(flat_last_end) — 가정</t>
      </text>
    </comment>
    <comment ref="AH9" authorId="0" shapeId="0">
      <text>
        <t>fx.json forward(flat_last_end) — 가정</t>
      </text>
    </comment>
    <comment ref="AI9" authorId="0" shapeId="0">
      <text>
        <t>fx.json forward(flat_last_end) — 가정</t>
      </text>
    </comment>
    <comment ref="AK9" authorId="0" shapeId="0">
      <text>
        <t>fx.json forward(flat_last_end) — 가정</t>
      </text>
    </comment>
    <comment ref="AL9" authorId="0" shapeId="0">
      <text>
        <t>fx.json forward(flat_last_end) — 가정</t>
      </text>
    </comment>
    <comment ref="AM9" authorId="0" shapeId="0">
      <text>
        <t>fx.json forward(flat_last_end) — 가정</t>
      </text>
    </comment>
    <comment ref="AN9" authorId="0" shapeId="0">
      <text>
        <t>fx.json forward(flat_last_end) — 가정</t>
      </text>
    </comment>
    <comment ref="AD10" authorId="0" shapeId="0">
      <text>
        <t>fx.json quarters(partial — 분기 진행 중 실측 평균)</t>
      </text>
    </comment>
    <comment ref="AF10" authorId="0" shapeId="0">
      <text>
        <t>fx.json forward(flat_last_end) — 가정</t>
      </text>
    </comment>
    <comment ref="AG10" authorId="0" shapeId="0">
      <text>
        <t>fx.json forward(flat_last_end) — 가정</t>
      </text>
    </comment>
    <comment ref="AH10" authorId="0" shapeId="0">
      <text>
        <t>fx.json forward(flat_last_end) — 가정</t>
      </text>
    </comment>
    <comment ref="AI10" authorId="0" shapeId="0">
      <text>
        <t>fx.json forward(flat_last_end) — 가정</t>
      </text>
    </comment>
    <comment ref="AK10" authorId="0" shapeId="0">
      <text>
        <t>fx.json forward(flat_last_end) — 가정</t>
      </text>
    </comment>
    <comment ref="AL10" authorId="0" shapeId="0">
      <text>
        <t>fx.json forward(flat_last_end) — 가정</t>
      </text>
    </comment>
    <comment ref="AM10" authorId="0" shapeId="0">
      <text>
        <t>fx.json forward(flat_last_end) — 가정</t>
      </text>
    </comment>
    <comment ref="AN10" authorId="0" shapeId="0">
      <text>
        <t>fx.json forward(flat_last_end) — 가정</t>
      </text>
    </comment>
    <comment ref="AD11" authorId="0" shapeId="0">
      <text>
        <t>fx.json quarters(partial — 분기 진행 중 실측 평균)</t>
      </text>
    </comment>
    <comment ref="AF11" authorId="0" shapeId="0">
      <text>
        <t>fx.json forward(flat_last_end) — 가정</t>
      </text>
    </comment>
    <comment ref="AG11" authorId="0" shapeId="0">
      <text>
        <t>fx.json forward(flat_last_end) — 가정</t>
      </text>
    </comment>
    <comment ref="AH11" authorId="0" shapeId="0">
      <text>
        <t>fx.json forward(flat_last_end) — 가정</t>
      </text>
    </comment>
    <comment ref="AI11" authorId="0" shapeId="0">
      <text>
        <t>fx.json forward(flat_last_end) — 가정</t>
      </text>
    </comment>
    <comment ref="AK11" authorId="0" shapeId="0">
      <text>
        <t>fx.json forward(flat_last_end) — 가정</t>
      </text>
    </comment>
    <comment ref="AL11" authorId="0" shapeId="0">
      <text>
        <t>fx.json forward(flat_last_end) — 가정</t>
      </text>
    </comment>
    <comment ref="AM11" authorId="0" shapeId="0">
      <text>
        <t>fx.json forward(flat_last_end) — 가정</t>
      </text>
    </comment>
    <comment ref="AN11" authorId="0" shapeId="0">
      <text>
        <t>fx.json forward(flat_last_end) — 가정</t>
      </text>
    </comment>
    <comment ref="AD12" authorId="0" shapeId="0">
      <text>
        <t>fx.json quarters(partial — 분기 진행 중 실측 평균)</t>
      </text>
    </comment>
    <comment ref="AF12" authorId="0" shapeId="0">
      <text>
        <t>fx.json forward(flat_last_end) — 가정</t>
      </text>
    </comment>
    <comment ref="AG12" authorId="0" shapeId="0">
      <text>
        <t>fx.json forward(flat_last_end) — 가정</t>
      </text>
    </comment>
    <comment ref="AH12" authorId="0" shapeId="0">
      <text>
        <t>fx.json forward(flat_last_end) — 가정</t>
      </text>
    </comment>
    <comment ref="AI12" authorId="0" shapeId="0">
      <text>
        <t>fx.json forward(flat_last_end) — 가정</t>
      </text>
    </comment>
    <comment ref="AK12" authorId="0" shapeId="0">
      <text>
        <t>fx.json forward(flat_last_end) — 가정</t>
      </text>
    </comment>
    <comment ref="AL12" authorId="0" shapeId="0">
      <text>
        <t>fx.json forward(flat_last_end) — 가정</t>
      </text>
    </comment>
    <comment ref="AM12" authorId="0" shapeId="0">
      <text>
        <t>fx.json forward(flat_last_end) — 가정</t>
      </text>
    </comment>
    <comment ref="AN12" authorId="0" shapeId="0">
      <text>
        <t>fx.json forward(flat_last_end) — 가정</t>
      </text>
    </comment>
    <comment ref="AD13" authorId="0" shapeId="0">
      <text>
        <t>fx.json quarters(partial — 분기 진행 중 실측 평균)</t>
      </text>
    </comment>
    <comment ref="AF13" authorId="0" shapeId="0">
      <text>
        <t>fx.json forward(flat_last_end) — 가정</t>
      </text>
    </comment>
    <comment ref="AG13" authorId="0" shapeId="0">
      <text>
        <t>fx.json forward(flat_last_end) — 가정</t>
      </text>
    </comment>
    <comment ref="AH13" authorId="0" shapeId="0">
      <text>
        <t>fx.json forward(flat_last_end) — 가정</t>
      </text>
    </comment>
    <comment ref="AI13" authorId="0" shapeId="0">
      <text>
        <t>fx.json forward(flat_last_end) — 가정</t>
      </text>
    </comment>
    <comment ref="AK13" authorId="0" shapeId="0">
      <text>
        <t>fx.json forward(flat_last_end) — 가정</t>
      </text>
    </comment>
    <comment ref="AL13" authorId="0" shapeId="0">
      <text>
        <t>fx.json forward(flat_last_end) — 가정</t>
      </text>
    </comment>
    <comment ref="AM13" authorId="0" shapeId="0">
      <text>
        <t>fx.json forward(flat_last_end) — 가정</t>
      </text>
    </comment>
    <comment ref="AN13" authorId="0" shapeId="0">
      <text>
        <t>fx.json forward(flat_last_end) — 가정</t>
      </text>
    </comment>
    <comment ref="AD15" authorId="0" shapeId="0">
      <text>
        <t>분기 진행 중(partial) — aikstockdata/토스 일봉</t>
      </text>
    </comment>
    <comment ref="AD16" authorId="0" shapeId="0">
      <text>
        <t>분기 진행 중(partial) — aikstockdata/토스 일봉</t>
      </text>
    </comment>
    <comment ref="AD17" authorId="0" shapeId="0">
      <text>
        <t>분기 진행 중(partial) — aikstockdata/토스 일봉</t>
      </text>
    </comment>
    <comment ref="AD18" authorId="0" shapeId="0">
      <text>
        <t>분기 진행 중(partial) — aikstockdata/토스 일봉</t>
      </text>
    </comment>
    <comment ref="AC21" authorId="0" shapeId="0">
      <text>
        <t>모델값 역산(implied): v / 전년동기 − 1
전년동기 × (1+13.7%) — g=최근 4분기 합 YoY 13.7% 클립(−30~+50%), 연차별 절반 감쇠(가정)</t>
      </text>
    </comment>
    <comment ref="AD21" authorId="0" shapeId="0">
      <text>
        <t>모델값 역산(implied): v / 전년동기 − 1
전년동기 × (1+13.7%) — g=최근 4분기 합 YoY 13.7% 클립(−30~+50%), 연차별 절반 감쇠(가정)</t>
      </text>
    </comment>
    <comment ref="AF21" authorId="0" shapeId="0">
      <text>
        <t>모델값 역산(implied): v / 전년동기 − 1
전년동기 × (1+13.7%) — g=최근 4분기 합 YoY 13.7% 클립(−30~+50%), 연차별 절반 감쇠(가정)</t>
      </text>
    </comment>
    <comment ref="AG21" authorId="0" shapeId="0">
      <text>
        <t>모델값 역산(implied): v / 전년동기 − 1
전년동기 × (1+13.7%) — g=최근 4분기 합 YoY 13.7% 클립(−30~+50%), 연차별 절반 감쇠(가정)</t>
      </text>
    </comment>
    <comment ref="AH21" authorId="0" shapeId="0">
      <text>
        <t>모델값 역산(implied): v / 전년동기 − 1
전년동기 × (1+6.8%) — g=최근 4분기 합 YoY 13.7% 클립(−30~+50%), 연차별 절반 감쇠(가정)</t>
      </text>
    </comment>
    <comment ref="AI21" authorId="0" shapeId="0">
      <text>
        <t>모델값 역산(implied): v / 전년동기 − 1
전년동기 × (1+6.8%) — g=최근 4분기 합 YoY 13.7% 클립(−30~+50%), 연차별 절반 감쇠(가정)</t>
      </text>
    </comment>
    <comment ref="AK21" authorId="0" shapeId="0">
      <text>
        <t>모델값 역산(implied): v / 전년동기 − 1
전년동기 × (1+6.8%) — g=최근 4분기 합 YoY 13.7% 클립(−30~+50%), 연차별 절반 감쇠(가정)</t>
      </text>
    </comment>
    <comment ref="AL21" authorId="0" shapeId="0">
      <text>
        <t>모델값 역산(implied): v / 전년동기 − 1
전년동기 × (1+6.8%) — g=최근 4분기 합 YoY 13.7% 클립(−30~+50%), 연차별 절반 감쇠(가정)</t>
      </text>
    </comment>
    <comment ref="AM21" authorId="0" shapeId="0">
      <text>
        <t>모델값 역산(implied): v / 전년동기 − 1
전년동기 × (1+3.4%) — g=최근 4분기 합 YoY 13.7% 클립(−30~+50%), 연차별 절반 감쇠(가정)</t>
      </text>
    </comment>
    <comment ref="AN21" authorId="0" shapeId="0">
      <text>
        <t>모델값 역산(implied): v / 전년동기 − 1
전년동기 × (1+3.4%) — g=최근 4분기 합 YoY 13.7% 클립(−30~+50%), 연차별 절반 감쇠(가정)</t>
      </text>
    </comment>
    <comment ref="AC22" authorId="0" shapeId="0">
      <text>
        <t>3절 스칼라 '판관비율' 참조 — 숫자로 덮어쓰면 이 분기만 바뀐다
매출액 × 판관비율 24.96%(최근 4분기 중위)</t>
      </text>
    </comment>
    <comment ref="AD22" authorId="0" shapeId="0">
      <text>
        <t>3절 스칼라 '판관비율' 참조 — 숫자로 덮어쓰면 이 분기만 바뀐다
매출액 × 판관비율 24.96%(최근 4분기 중위)</t>
      </text>
    </comment>
    <comment ref="AF22" authorId="0" shapeId="0">
      <text>
        <t>3절 스칼라 '판관비율' 참조 — 숫자로 덮어쓰면 이 분기만 바뀐다
매출액 × 판관비율 24.96%(최근 4분기 중위)</t>
      </text>
    </comment>
    <comment ref="AG22" authorId="0" shapeId="0">
      <text>
        <t>3절 스칼라 '판관비율' 참조 — 숫자로 덮어쓰면 이 분기만 바뀐다
매출액 × 판관비율 24.96%(최근 4분기 중위)</t>
      </text>
    </comment>
    <comment ref="AH22" authorId="0" shapeId="0">
      <text>
        <t>3절 스칼라 '판관비율' 참조 — 숫자로 덮어쓰면 이 분기만 바뀐다
매출액 × 판관비율 24.96%(최근 4분기 중위)</t>
      </text>
    </comment>
    <comment ref="AI22" authorId="0" shapeId="0">
      <text>
        <t>3절 스칼라 '판관비율' 참조 — 숫자로 덮어쓰면 이 분기만 바뀐다
매출액 × 판관비율 24.96%(최근 4분기 중위)</t>
      </text>
    </comment>
    <comment ref="AK22" authorId="0" shapeId="0">
      <text>
        <t>3절 스칼라 '판관비율' 참조 — 숫자로 덮어쓰면 이 분기만 바뀐다
매출액 × 판관비율 24.96%(최근 4분기 중위)</t>
      </text>
    </comment>
    <comment ref="AL22" authorId="0" shapeId="0">
      <text>
        <t>3절 스칼라 '판관비율' 참조 — 숫자로 덮어쓰면 이 분기만 바뀐다
매출액 × 판관비율 24.96%(최근 4분기 중위)</t>
      </text>
    </comment>
    <comment ref="AM22" authorId="0" shapeId="0">
      <text>
        <t>3절 스칼라 '판관비율' 참조 — 숫자로 덮어쓰면 이 분기만 바뀐다
매출액 × 판관비율 24.96%(최근 4분기 중위)</t>
      </text>
    </comment>
    <comment ref="AN22" authorId="0" shapeId="0">
      <text>
        <t>3절 스칼라 '판관비율' 참조 — 숫자로 덮어쓰면 이 분기만 바뀐다
매출액 × 판관비율 24.96%(최근 4분기 중위)</t>
      </text>
    </comment>
    <comment ref="AC23" authorId="0" shapeId="0">
      <text>
        <t>모델값 역산(implied): v / 매출액
매출액 × OPM(최근 8분기 OPM 중위 -10.6% 유지(클립 −20~40%))</t>
      </text>
    </comment>
    <comment ref="AD23" authorId="0" shapeId="0">
      <text>
        <t>모델값 역산(implied): v / 매출액
매출액 × OPM(최근 8분기 OPM 중위 -10.6% 유지(클립 −20~40%))</t>
      </text>
    </comment>
    <comment ref="AF23" authorId="0" shapeId="0">
      <text>
        <t>모델값 역산(implied): v / 매출액
매출액 × OPM(최근 8분기 OPM 중위 -10.6% 유지(클립 −20~40%))</t>
      </text>
    </comment>
    <comment ref="AG23" authorId="0" shapeId="0">
      <text>
        <t>모델값 역산(implied): v / 매출액
매출액 × OPM(최근 8분기 OPM 중위 -10.6% 유지(클립 −20~40%))</t>
      </text>
    </comment>
    <comment ref="AH23" authorId="0" shapeId="0">
      <text>
        <t>모델값 역산(implied): v / 매출액
매출액 × OPM(최근 8분기 OPM 중위 -10.6% 유지(클립 −20~40%))</t>
      </text>
    </comment>
    <comment ref="AI23" authorId="0" shapeId="0">
      <text>
        <t>모델값 역산(implied): v / 매출액
매출액 × OPM(최근 8분기 OPM 중위 -10.6% 유지(클립 −20~40%))</t>
      </text>
    </comment>
    <comment ref="AK23" authorId="0" shapeId="0">
      <text>
        <t>모델값 역산(implied): v / 매출액
매출액 × OPM(최근 8분기 OPM 중위 -10.6% 유지(클립 −20~40%))</t>
      </text>
    </comment>
    <comment ref="AL23" authorId="0" shapeId="0">
      <text>
        <t>모델값 역산(implied): v / 매출액
매출액 × OPM(최근 8분기 OPM 중위 -10.6% 유지(클립 −20~40%))</t>
      </text>
    </comment>
    <comment ref="AM23" authorId="0" shapeId="0">
      <text>
        <t>모델값 역산(implied): v / 매출액
매출액 × OPM(최근 8분기 OPM 중위 -10.6% 유지(클립 −20~40%))</t>
      </text>
    </comment>
    <comment ref="AN23" authorId="0" shapeId="0">
      <text>
        <t>모델값 역산(implied): v / 매출액
매출액 × OPM(최근 8분기 OPM 중위 -10.6% 유지(클립 −20~40%))</t>
      </text>
    </comment>
    <comment ref="AC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D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F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G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H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I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K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L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M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N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C25" authorId="0" shapeId="0">
      <text>
        <t>모델값 역산(implied): 모델 v 그대로
파생상품 평가·거래손익 0 가정</t>
      </text>
    </comment>
    <comment ref="AD25" authorId="0" shapeId="0">
      <text>
        <t>모델값 역산(implied): 모델 v 그대로
파생상품 평가·거래손익 0 가정</t>
      </text>
    </comment>
    <comment ref="AF25" authorId="0" shapeId="0">
      <text>
        <t>모델값 역산(implied): 모델 v 그대로
파생상품 평가·거래손익 0 가정</t>
      </text>
    </comment>
    <comment ref="AG25" authorId="0" shapeId="0">
      <text>
        <t>모델값 역산(implied): 모델 v 그대로
파생상품 평가·거래손익 0 가정</t>
      </text>
    </comment>
    <comment ref="AH25" authorId="0" shapeId="0">
      <text>
        <t>모델값 역산(implied): 모델 v 그대로
파생상품 평가·거래손익 0 가정</t>
      </text>
    </comment>
    <comment ref="AI25" authorId="0" shapeId="0">
      <text>
        <t>모델값 역산(implied): 모델 v 그대로
파생상품 평가·거래손익 0 가정</t>
      </text>
    </comment>
    <comment ref="AK25" authorId="0" shapeId="0">
      <text>
        <t>모델값 역산(implied): 모델 v 그대로
파생상품 평가·거래손익 0 가정</t>
      </text>
    </comment>
    <comment ref="AL25" authorId="0" shapeId="0">
      <text>
        <t>모델값 역산(implied): 모델 v 그대로
파생상품 평가·거래손익 0 가정</t>
      </text>
    </comment>
    <comment ref="AM25" authorId="0" shapeId="0">
      <text>
        <t>모델값 역산(implied): 모델 v 그대로
파생상품 평가·거래손익 0 가정</t>
      </text>
    </comment>
    <comment ref="AN25" authorId="0" shapeId="0">
      <text>
        <t>모델값 역산(implied): 모델 v 그대로
파생상품 평가·거래손익 0 가정</t>
      </text>
    </comment>
    <comment ref="AC26" authorId="0" shapeId="0">
      <text>
        <t>모델값 역산(implied): 모델 v 그대로
잔차 실측 1분기 &lt; 4 → 0</t>
      </text>
    </comment>
    <comment ref="AD26" authorId="0" shapeId="0">
      <text>
        <t>모델값 역산(implied): 모델 v 그대로
잔차 실측 1분기 &lt; 4 → 0</t>
      </text>
    </comment>
    <comment ref="AF26" authorId="0" shapeId="0">
      <text>
        <t>모델값 역산(implied): 모델 v 그대로
잔차 실측 1분기 &lt; 4 → 0</t>
      </text>
    </comment>
    <comment ref="AG26" authorId="0" shapeId="0">
      <text>
        <t>모델값 역산(implied): 모델 v 그대로
잔차 실측 1분기 &lt; 4 → 0</t>
      </text>
    </comment>
    <comment ref="AH26" authorId="0" shapeId="0">
      <text>
        <t>모델값 역산(implied): 모델 v 그대로
잔차 실측 1분기 &lt; 4 → 0</t>
      </text>
    </comment>
    <comment ref="AI26" authorId="0" shapeId="0">
      <text>
        <t>모델값 역산(implied): 모델 v 그대로
잔차 실측 1분기 &lt; 4 → 0</t>
      </text>
    </comment>
    <comment ref="AK26" authorId="0" shapeId="0">
      <text>
        <t>모델값 역산(implied): 모델 v 그대로
잔차 실측 1분기 &lt; 4 → 0</t>
      </text>
    </comment>
    <comment ref="AL26" authorId="0" shapeId="0">
      <text>
        <t>모델값 역산(implied): 모델 v 그대로
잔차 실측 1분기 &lt; 4 → 0</t>
      </text>
    </comment>
    <comment ref="AM26" authorId="0" shapeId="0">
      <text>
        <t>모델값 역산(implied): 모델 v 그대로
잔차 실측 1분기 &lt; 4 → 0</t>
      </text>
    </comment>
    <comment ref="AN26" authorId="0" shapeId="0">
      <text>
        <t>모델값 역산(implied): 모델 v 그대로
잔차 실측 1분기 &lt; 4 → 0</t>
      </text>
    </comment>
    <comment ref="AC27" authorId="0" shapeId="0">
      <text>
        <t>모델값 역산(implied): 모델 v 그대로
일회성 미가정 → 0</t>
      </text>
    </comment>
    <comment ref="AD27" authorId="0" shapeId="0">
      <text>
        <t>모델값 역산(implied): 모델 v 그대로
일회성 미가정 → 0</t>
      </text>
    </comment>
    <comment ref="AF27" authorId="0" shapeId="0">
      <text>
        <t>모델값 역산(implied): 모델 v 그대로
일회성 미가정 → 0</t>
      </text>
    </comment>
    <comment ref="AG27" authorId="0" shapeId="0">
      <text>
        <t>모델값 역산(implied): 모델 v 그대로
일회성 미가정 → 0</t>
      </text>
    </comment>
    <comment ref="AH27" authorId="0" shapeId="0">
      <text>
        <t>모델값 역산(implied): 모델 v 그대로
일회성 미가정 → 0</t>
      </text>
    </comment>
    <comment ref="AI27" authorId="0" shapeId="0">
      <text>
        <t>모델값 역산(implied): 모델 v 그대로
일회성 미가정 → 0</t>
      </text>
    </comment>
    <comment ref="AK27" authorId="0" shapeId="0">
      <text>
        <t>모델값 역산(implied): 모델 v 그대로
일회성 미가정 → 0</t>
      </text>
    </comment>
    <comment ref="AL27" authorId="0" shapeId="0">
      <text>
        <t>모델값 역산(implied): 모델 v 그대로
일회성 미가정 → 0</t>
      </text>
    </comment>
    <comment ref="AM27" authorId="0" shapeId="0">
      <text>
        <t>모델값 역산(implied): 모델 v 그대로
일회성 미가정 → 0</t>
      </text>
    </comment>
    <comment ref="AN27" authorId="0" shapeId="0">
      <text>
        <t>모델값 역산(implied): 모델 v 그대로
일회성 미가정 → 0</t>
      </text>
    </comment>
    <comment ref="AC28" authorId="0" shapeId="0">
      <text>
        <t>모델값 역산(implied): 모델 v 그대로
최근 4분기 중위</t>
      </text>
    </comment>
    <comment ref="AD28" authorId="0" shapeId="0">
      <text>
        <t>모델값 역산(implied): 모델 v 그대로
최근 4분기 중위</t>
      </text>
    </comment>
    <comment ref="AF28" authorId="0" shapeId="0">
      <text>
        <t>모델값 역산(implied): 모델 v 그대로
최근 4분기 중위</t>
      </text>
    </comment>
    <comment ref="AG28" authorId="0" shapeId="0">
      <text>
        <t>모델값 역산(implied): 모델 v 그대로
최근 4분기 중위</t>
      </text>
    </comment>
    <comment ref="AH28" authorId="0" shapeId="0">
      <text>
        <t>모델값 역산(implied): 모델 v 그대로
최근 4분기 중위</t>
      </text>
    </comment>
    <comment ref="AI28" authorId="0" shapeId="0">
      <text>
        <t>모델값 역산(implied): 모델 v 그대로
최근 4분기 중위</t>
      </text>
    </comment>
    <comment ref="AK28" authorId="0" shapeId="0">
      <text>
        <t>모델값 역산(implied): 모델 v 그대로
최근 4분기 중위</t>
      </text>
    </comment>
    <comment ref="AL28" authorId="0" shapeId="0">
      <text>
        <t>모델값 역산(implied): 모델 v 그대로
최근 4분기 중위</t>
      </text>
    </comment>
    <comment ref="AM28" authorId="0" shapeId="0">
      <text>
        <t>모델값 역산(implied): 모델 v 그대로
최근 4분기 중위</t>
      </text>
    </comment>
    <comment ref="AN28" authorId="0" shapeId="0">
      <text>
        <t>모델값 역산(implied): 모델 v 그대로
최근 4분기 중위</t>
      </text>
    </comment>
    <comment ref="AC29" authorId="0" shapeId="0">
      <text>
        <t>모델값 역산(implied): v / 세전이익
max(세전, 0) × 세율 22.0%(최근 12분기 세전 합 ≤ 0; 세전 &gt; 0 분기 중위 0.2% 도 5~27% 밖 → 법정세율 근사 22% 가정)</t>
      </text>
    </comment>
    <comment ref="AD29" authorId="0" shapeId="0">
      <text>
        <t>모델값 역산(implied): v / 세전이익
max(세전, 0) × 세율 22.0%(최근 12분기 세전 합 ≤ 0; 세전 &gt; 0 분기 중위 0.2% 도 5~27% 밖 → 법정세율 근사 22% 가정)</t>
      </text>
    </comment>
    <comment ref="AF29" authorId="0" shapeId="0">
      <text>
        <t>모델값 역산(implied): v / 세전이익
max(세전, 0) × 세율 22.0%(최근 12분기 세전 합 ≤ 0; 세전 &gt; 0 분기 중위 0.2% 도 5~27% 밖 → 법정세율 근사 22% 가정)</t>
      </text>
    </comment>
    <comment ref="AG29" authorId="0" shapeId="0">
      <text>
        <t>모델값 역산(implied): v / 세전이익
max(세전, 0) × 세율 22.0%(최근 12분기 세전 합 ≤ 0; 세전 &gt; 0 분기 중위 0.2% 도 5~27% 밖 → 법정세율 근사 22% 가정)</t>
      </text>
    </comment>
    <comment ref="AH29" authorId="0" shapeId="0">
      <text>
        <t>모델값 역산(implied): v / 세전이익
max(세전, 0) × 세율 22.0%(최근 12분기 세전 합 ≤ 0; 세전 &gt; 0 분기 중위 0.2% 도 5~27% 밖 → 법정세율 근사 22% 가정)</t>
      </text>
    </comment>
    <comment ref="AI29" authorId="0" shapeId="0">
      <text>
        <t>모델값 역산(implied): v / 세전이익
max(세전, 0) × 세율 22.0%(최근 12분기 세전 합 ≤ 0; 세전 &gt; 0 분기 중위 0.2% 도 5~27% 밖 → 법정세율 근사 22% 가정)</t>
      </text>
    </comment>
    <comment ref="AK29" authorId="0" shapeId="0">
      <text>
        <t>모델값 역산(implied): v / 세전이익
max(세전, 0) × 세율 22.0%(최근 12분기 세전 합 ≤ 0; 세전 &gt; 0 분기 중위 0.2% 도 5~27% 밖 → 법정세율 근사 22% 가정)</t>
      </text>
    </comment>
    <comment ref="AL29" authorId="0" shapeId="0">
      <text>
        <t>모델값 역산(implied): v / 세전이익
max(세전, 0) × 세율 22.0%(최근 12분기 세전 합 ≤ 0; 세전 &gt; 0 분기 중위 0.2% 도 5~27% 밖 → 법정세율 근사 22% 가정)</t>
      </text>
    </comment>
    <comment ref="AM29" authorId="0" shapeId="0">
      <text>
        <t>모델값 역산(implied): v / 세전이익
max(세전, 0) × 세율 22.0%(최근 12분기 세전 합 ≤ 0; 세전 &gt; 0 분기 중위 0.2% 도 5~27% 밖 → 법정세율 근사 22% 가정)</t>
      </text>
    </comment>
    <comment ref="AN29" authorId="0" shapeId="0">
      <text>
        <t>모델값 역산(implied): v / 세전이익
max(세전, 0) × 세율 22.0%(최근 12분기 세전 합 ≤ 0; 세전 &gt; 0 분기 중위 0.2% 도 5~27% 밖 → 법정세율 근사 22% 가정)</t>
      </text>
    </comment>
    <comment ref="AC30" authorId="0" shapeId="0">
      <text>
        <t>3절 스칼라 '지배주주비중' 참조 — 숫자로 덮어쓰면 이 분기만 바뀐다
당기순이익 × (1 − 비지배 비중 0.0%, 최근 8분기 실측)</t>
      </text>
    </comment>
    <comment ref="AD30" authorId="0" shapeId="0">
      <text>
        <t>3절 스칼라 '지배주주비중' 참조 — 숫자로 덮어쓰면 이 분기만 바뀐다
당기순이익 × (1 − 비지배 비중 0.0%, 최근 8분기 실측)</t>
      </text>
    </comment>
    <comment ref="AF30" authorId="0" shapeId="0">
      <text>
        <t>3절 스칼라 '지배주주비중' 참조 — 숫자로 덮어쓰면 이 분기만 바뀐다
당기순이익 × (1 − 비지배 비중 0.0%, 최근 8분기 실측)</t>
      </text>
    </comment>
    <comment ref="AG30" authorId="0" shapeId="0">
      <text>
        <t>3절 스칼라 '지배주주비중' 참조 — 숫자로 덮어쓰면 이 분기만 바뀐다
당기순이익 × (1 − 비지배 비중 0.0%, 최근 8분기 실측)</t>
      </text>
    </comment>
    <comment ref="AH30" authorId="0" shapeId="0">
      <text>
        <t>3절 스칼라 '지배주주비중' 참조 — 숫자로 덮어쓰면 이 분기만 바뀐다
당기순이익 × (1 − 비지배 비중 0.0%, 최근 8분기 실측)</t>
      </text>
    </comment>
    <comment ref="AI30" authorId="0" shapeId="0">
      <text>
        <t>3절 스칼라 '지배주주비중' 참조 — 숫자로 덮어쓰면 이 분기만 바뀐다
당기순이익 × (1 − 비지배 비중 0.0%, 최근 8분기 실측)</t>
      </text>
    </comment>
    <comment ref="AK30" authorId="0" shapeId="0">
      <text>
        <t>3절 스칼라 '지배주주비중' 참조 — 숫자로 덮어쓰면 이 분기만 바뀐다
당기순이익 × (1 − 비지배 비중 0.0%, 최근 8분기 실측)</t>
      </text>
    </comment>
    <comment ref="AL30" authorId="0" shapeId="0">
      <text>
        <t>3절 스칼라 '지배주주비중' 참조 — 숫자로 덮어쓰면 이 분기만 바뀐다
당기순이익 × (1 − 비지배 비중 0.0%, 최근 8분기 실측)</t>
      </text>
    </comment>
    <comment ref="AM30" authorId="0" shapeId="0">
      <text>
        <t>3절 스칼라 '지배주주비중' 참조 — 숫자로 덮어쓰면 이 분기만 바뀐다
당기순이익 × (1 − 비지배 비중 0.0%, 최근 8분기 실측)</t>
      </text>
    </comment>
    <comment ref="AN30" authorId="0" shapeId="0">
      <text>
        <t>3절 스칼라 '지배주주비중' 참조 — 숫자로 덮어쓰면 이 분기만 바뀐다
당기순이익 × (1 − 비지배 비중 0.0%, 최근 8분기 실측)</t>
      </text>
    </comment>
    <comment ref="AC32" authorId="0" shapeId="0">
      <text>
        <t>모델값 역산(implied): v / 전분기 − 1
마지막 실적 유지(가정)</t>
      </text>
    </comment>
    <comment ref="AD32" authorId="0" shapeId="0">
      <text>
        <t>모델값 역산(implied): v / 전분기 − 1
마지막 실적 유지(가정)</t>
      </text>
    </comment>
    <comment ref="AF32" authorId="0" shapeId="0">
      <text>
        <t>모델값 역산(implied): v / 전분기 − 1
마지막 실적 유지(가정)</t>
      </text>
    </comment>
    <comment ref="AG32" authorId="0" shapeId="0">
      <text>
        <t>모델값 역산(implied): v / 전분기 − 1
마지막 실적 유지(가정)</t>
      </text>
    </comment>
    <comment ref="AH32" authorId="0" shapeId="0">
      <text>
        <t>모델값 역산(implied): v / 전분기 − 1
마지막 실적 유지(가정)</t>
      </text>
    </comment>
    <comment ref="AI32" authorId="0" shapeId="0">
      <text>
        <t>모델값 역산(implied): v / 전분기 − 1
마지막 실적 유지(가정)</t>
      </text>
    </comment>
    <comment ref="AK32" authorId="0" shapeId="0">
      <text>
        <t>모델값 역산(implied): v / 전분기 − 1
마지막 실적 유지(가정)</t>
      </text>
    </comment>
    <comment ref="AL32" authorId="0" shapeId="0">
      <text>
        <t>모델값 역산(implied): v / 전분기 − 1
마지막 실적 유지(가정)</t>
      </text>
    </comment>
    <comment ref="AM32" authorId="0" shapeId="0">
      <text>
        <t>모델값 역산(implied): v / 전분기 − 1
마지막 실적 유지(가정)</t>
      </text>
    </comment>
    <comment ref="AN32" authorId="0" shapeId="0">
      <text>
        <t>모델값 역산(implied): v / 전분기 − 1
마지막 실적 유지(가정)</t>
      </text>
    </comment>
    <comment ref="AC33" authorId="0" shapeId="0">
      <text>
        <t>모델값 역산(implied): 전분기(시트값) + 당기순이익(시트 수식값) − v
전분기 + 당기순이익 − 배당(Q2 지급 가정)</t>
      </text>
    </comment>
    <comment ref="AD33" authorId="0" shapeId="0">
      <text>
        <t>모델값 역산(implied): 전분기(시트값) + 당기순이익(시트 수식값) − v
전분기 + 당기순이익 − 배당(Q2 지급 가정)</t>
      </text>
    </comment>
    <comment ref="AF33" authorId="0" shapeId="0">
      <text>
        <t>모델값 역산(implied): 전분기(시트값) + 당기순이익(시트 수식값) − v
전분기 + 당기순이익 − 배당(Q2 지급 가정)</t>
      </text>
    </comment>
    <comment ref="AG33" authorId="0" shapeId="0">
      <text>
        <t>모델값 역산(implied): 전분기(시트값) + 당기순이익(시트 수식값) − v
전분기 + 당기순이익 − 배당(Q2 지급 가정)</t>
      </text>
    </comment>
    <comment ref="AH33" authorId="0" shapeId="0">
      <text>
        <t>모델값 역산(implied): 전분기(시트값) + 당기순이익(시트 수식값) − v
전분기 + 당기순이익 − 배당(Q2 지급 가정)</t>
      </text>
    </comment>
    <comment ref="AI33" authorId="0" shapeId="0">
      <text>
        <t>모델값 역산(implied): 전분기(시트값) + 당기순이익(시트 수식값) − v
전분기 + 당기순이익 − 배당(Q2 지급 가정)</t>
      </text>
    </comment>
    <comment ref="AK33" authorId="0" shapeId="0">
      <text>
        <t>모델값 역산(implied): 전분기(시트값) + 당기순이익(시트 수식값) − v
전분기 + 당기순이익 − 배당(Q2 지급 가정)</t>
      </text>
    </comment>
    <comment ref="AL33" authorId="0" shapeId="0">
      <text>
        <t>모델값 역산(implied): 전분기(시트값) + 당기순이익(시트 수식값) − v
전분기 + 당기순이익 − 배당(Q2 지급 가정)</t>
      </text>
    </comment>
    <comment ref="AM33" authorId="0" shapeId="0">
      <text>
        <t>모델값 역산(implied): 전분기(시트값) + 당기순이익(시트 수식값) − v
전분기 + 당기순이익 − 배당(Q2 지급 가정)</t>
      </text>
    </comment>
    <comment ref="AN33" authorId="0" shapeId="0">
      <text>
        <t>모델값 역산(implied): 전분기(시트값) + 당기순이익(시트 수식값) − v
전분기 + 당기순이익 − 배당(Q2 지급 가정)</t>
      </text>
    </comment>
    <comment ref="AC34" authorId="0" shapeId="0">
      <text>
        <t>모델값 역산(implied): 전분기(시트값) + 지배주주순이익(시트 수식값) − v
전분기 + 지배주주순이익 − 배당</t>
      </text>
    </comment>
    <comment ref="AD34" authorId="0" shapeId="0">
      <text>
        <t>모델값 역산(implied): 전분기(시트값) + 지배주주순이익(시트 수식값) − v
전분기 + 지배주주순이익 − 배당</t>
      </text>
    </comment>
    <comment ref="AF34" authorId="0" shapeId="0">
      <text>
        <t>모델값 역산(implied): 전분기(시트값) + 지배주주순이익(시트 수식값) − v
전분기 + 지배주주순이익 − 배당</t>
      </text>
    </comment>
    <comment ref="AG34" authorId="0" shapeId="0">
      <text>
        <t>모델값 역산(implied): 전분기(시트값) + 지배주주순이익(시트 수식값) − v
전분기 + 지배주주순이익 − 배당</t>
      </text>
    </comment>
    <comment ref="AH34" authorId="0" shapeId="0">
      <text>
        <t>모델값 역산(implied): 전분기(시트값) + 지배주주순이익(시트 수식값) − v
전분기 + 지배주주순이익 − 배당</t>
      </text>
    </comment>
    <comment ref="AI34" authorId="0" shapeId="0">
      <text>
        <t>모델값 역산(implied): 전분기(시트값) + 지배주주순이익(시트 수식값) − v
전분기 + 지배주주순이익 − 배당</t>
      </text>
    </comment>
    <comment ref="AK34" authorId="0" shapeId="0">
      <text>
        <t>모델값 역산(implied): 전분기(시트값) + 지배주주순이익(시트 수식값) − v
전분기 + 지배주주순이익 − 배당</t>
      </text>
    </comment>
    <comment ref="AL34" authorId="0" shapeId="0">
      <text>
        <t>모델값 역산(implied): 전분기(시트값) + 지배주주순이익(시트 수식값) − v
전분기 + 지배주주순이익 − 배당</t>
      </text>
    </comment>
    <comment ref="AM34" authorId="0" shapeId="0">
      <text>
        <t>모델값 역산(implied): 전분기(시트값) + 지배주주순이익(시트 수식값) − v
전분기 + 지배주주순이익 − 배당</t>
      </text>
    </comment>
    <comment ref="AN34" authorId="0" shapeId="0">
      <text>
        <t>모델값 역산(implied): 전분기(시트값) + 지배주주순이익(시트 수식값) − v
전분기 + 지배주주순이익 − 배당</t>
      </text>
    </comment>
    <comment ref="AC35" authorId="0" shapeId="0">
      <text>
        <t>모델값 역산(implied): v / 전분기 − 1
마지막 실적 유지(가정)</t>
      </text>
    </comment>
    <comment ref="AD35" authorId="0" shapeId="0">
      <text>
        <t>모델값 역산(implied): v / 전분기 − 1
마지막 실적 유지(가정)</t>
      </text>
    </comment>
    <comment ref="AF35" authorId="0" shapeId="0">
      <text>
        <t>모델값 역산(implied): v / 전분기 − 1
마지막 실적 유지(가정)</t>
      </text>
    </comment>
    <comment ref="AG35" authorId="0" shapeId="0">
      <text>
        <t>모델값 역산(implied): v / 전분기 − 1
마지막 실적 유지(가정)</t>
      </text>
    </comment>
    <comment ref="AH35" authorId="0" shapeId="0">
      <text>
        <t>모델값 역산(implied): v / 전분기 − 1
마지막 실적 유지(가정)</t>
      </text>
    </comment>
    <comment ref="AI35" authorId="0" shapeId="0">
      <text>
        <t>모델값 역산(implied): v / 전분기 − 1
마지막 실적 유지(가정)</t>
      </text>
    </comment>
    <comment ref="AK35" authorId="0" shapeId="0">
      <text>
        <t>모델값 역산(implied): v / 전분기 − 1
마지막 실적 유지(가정)</t>
      </text>
    </comment>
    <comment ref="AL35" authorId="0" shapeId="0">
      <text>
        <t>모델값 역산(implied): v / 전분기 − 1
마지막 실적 유지(가정)</t>
      </text>
    </comment>
    <comment ref="AM35" authorId="0" shapeId="0">
      <text>
        <t>모델값 역산(implied): v / 전분기 − 1
마지막 실적 유지(가정)</t>
      </text>
    </comment>
    <comment ref="AN35" authorId="0" shapeId="0">
      <text>
        <t>모델값 역산(implied): v / 전분기 − 1
마지막 실적 유지(가정)</t>
      </text>
    </comment>
    <comment ref="AC36" authorId="0" shapeId="0">
      <text>
        <t>모델값 역산(implied): v / 전분기 − 1
전분기 − FCF 근사[순이익 − 배당(감가상각비 없음 → CAPEX≈감가 가정, CAPEX 중위 1억은 행에만)] (운전자본 불변·총차입금 유지 가정 → 변동은 전부 현금)</t>
      </text>
    </comment>
    <comment ref="AD36" authorId="0" shapeId="0">
      <text>
        <t>모델값 역산(implied): v / 전분기 − 1
전분기 − FCF 근사[순이익 − 배당(감가상각비 없음 → CAPEX≈감가 가정, CAPEX 중위 1억은 행에만)] (운전자본 불변·총차입금 유지 가정 → 변동은 전부 현금)</t>
      </text>
    </comment>
    <comment ref="AF36" authorId="0" shapeId="0">
      <text>
        <t>모델값 역산(implied): v / 전분기 − 1
전분기 − FCF 근사[순이익 − 배당(감가상각비 없음 → CAPEX≈감가 가정, CAPEX 중위 1억은 행에만)] (운전자본 불변·총차입금 유지 가정 → 변동은 전부 현금)</t>
      </text>
    </comment>
    <comment ref="AG36" authorId="0" shapeId="0">
      <text>
        <t>모델값 역산(implied): v / 전분기 − 1
전분기 − FCF 근사[순이익 − 배당(감가상각비 없음 → CAPEX≈감가 가정, CAPEX 중위 1억은 행에만)] (운전자본 불변·총차입금 유지 가정 → 변동은 전부 현금)</t>
      </text>
    </comment>
    <comment ref="AH36" authorId="0" shapeId="0">
      <text>
        <t>모델값 역산(implied): v / 전분기 − 1
전분기 − FCF 근사[순이익 − 배당(감가상각비 없음 → CAPEX≈감가 가정, CAPEX 중위 1억은 행에만)] (운전자본 불변·총차입금 유지 가정 → 변동은 전부 현금)</t>
      </text>
    </comment>
    <comment ref="AI36" authorId="0" shapeId="0">
      <text>
        <t>모델값 역산(implied): v / 전분기 − 1
전분기 − FCF 근사[순이익 − 배당(감가상각비 없음 → CAPEX≈감가 가정, CAPEX 중위 1억은 행에만)] (운전자본 불변·총차입금 유지 가정 → 변동은 전부 현금)</t>
      </text>
    </comment>
    <comment ref="AK36" authorId="0" shapeId="0">
      <text>
        <t>모델값 역산(implied): v / 전분기 − 1
전분기 − FCF 근사[순이익 − 배당(감가상각비 없음 → CAPEX≈감가 가정, CAPEX 중위 1억은 행에만)] (운전자본 불변·총차입금 유지 가정 → 변동은 전부 현금)</t>
      </text>
    </comment>
    <comment ref="AL36" authorId="0" shapeId="0">
      <text>
        <t>모델값 역산(implied): v / 전분기 − 1
전분기 − FCF 근사[순이익 − 배당(감가상각비 없음 → CAPEX≈감가 가정, CAPEX 중위 1억은 행에만)] (운전자본 불변·총차입금 유지 가정 → 변동은 전부 현금)</t>
      </text>
    </comment>
    <comment ref="AM36" authorId="0" shapeId="0">
      <text>
        <t>모델값 역산(implied): v / 전분기 − 1
전분기 − FCF 근사[순이익 − 배당(감가상각비 없음 → CAPEX≈감가 가정, CAPEX 중위 1억은 행에만)] (운전자본 불변·총차입금 유지 가정 → 변동은 전부 현금)</t>
      </text>
    </comment>
    <comment ref="AN36" authorId="0" shapeId="0">
      <text>
        <t>모델값 역산(implied): v / 전분기 − 1
전분기 − FCF 근사[순이익 − 배당(감가상각비 없음 → CAPEX≈감가 가정, CAPEX 중위 1억은 행에만)] (운전자본 불변·총차입금 유지 가정 → 변동은 전부 현금)</t>
      </text>
    </comment>
    <comment ref="AC37" authorId="0" shapeId="0">
      <text>
        <t>모델값 역산(implied): v / 전분기 − 1
전분기 + FCF 근사 — 순차입금 롤과 같은 가정</t>
      </text>
    </comment>
    <comment ref="AD37" authorId="0" shapeId="0">
      <text>
        <t>모델값 역산(implied): v / 전분기 − 1
전분기 + FCF 근사 — 순차입금 롤과 같은 가정</t>
      </text>
    </comment>
    <comment ref="AF37" authorId="0" shapeId="0">
      <text>
        <t>모델값 역산(implied): v / 전분기 − 1
전분기 + FCF 근사 — 순차입금 롤과 같은 가정</t>
      </text>
    </comment>
    <comment ref="AG37" authorId="0" shapeId="0">
      <text>
        <t>모델값 역산(implied): v / 전분기 − 1
전분기 + FCF 근사 — 순차입금 롤과 같은 가정</t>
      </text>
    </comment>
    <comment ref="AH37" authorId="0" shapeId="0">
      <text>
        <t>모델값 역산(implied): v / 전분기 − 1
전분기 + FCF 근사 — 순차입금 롤과 같은 가정</t>
      </text>
    </comment>
    <comment ref="AI37" authorId="0" shapeId="0">
      <text>
        <t>모델값 역산(implied): v / 전분기 − 1
전분기 + FCF 근사 — 순차입금 롤과 같은 가정</t>
      </text>
    </comment>
    <comment ref="AK37" authorId="0" shapeId="0">
      <text>
        <t>모델값 역산(implied): v / 전분기 − 1
전분기 + FCF 근사 — 순차입금 롤과 같은 가정</t>
      </text>
    </comment>
    <comment ref="AL37" authorId="0" shapeId="0">
      <text>
        <t>모델값 역산(implied): v / 전분기 − 1
전분기 + FCF 근사 — 순차입금 롤과 같은 가정</t>
      </text>
    </comment>
    <comment ref="AM37" authorId="0" shapeId="0">
      <text>
        <t>모델값 역산(implied): v / 전분기 − 1
전분기 + FCF 근사 — 순차입금 롤과 같은 가정</t>
      </text>
    </comment>
    <comment ref="AN37" authorId="0" shapeId="0">
      <text>
        <t>모델값 역산(implied): v / 전분기 − 1
전분기 + FCF 근사 — 순차입금 롤과 같은 가정</t>
      </text>
    </comment>
    <comment ref="AC39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D39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F39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G39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H39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I39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K39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L39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M39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N39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C41" authorId="0" shapeId="0">
      <text>
        <t>모델값 역산(implied): v / 전분기 − 1
유통주식수 유지 — prices.json shares_outstanding(aik 상장 9,910,487 = fin 2026Q2 보통주 발행 39,641,948 × 1/4 — 분기말 후 병합) − 자기주식 16,979 × 1/4</t>
      </text>
    </comment>
    <comment ref="AD41" authorId="0" shapeId="0">
      <text>
        <t>모델값 역산(implied): v / 전분기 − 1
유통주식수 유지 — prices.json shares_outstanding(aik 상장 9,910,487 = fin 2026Q2 보통주 발행 39,641,948 × 1/4 — 분기말 후 병합) − 자기주식 16,979 × 1/4</t>
      </text>
    </comment>
    <comment ref="AF41" authorId="0" shapeId="0">
      <text>
        <t>모델값 역산(implied): v / 전분기 − 1
유통주식수 유지 — prices.json shares_outstanding(aik 상장 9,910,487 = fin 2026Q2 보통주 발행 39,641,948 × 1/4 — 분기말 후 병합) − 자기주식 16,979 × 1/4</t>
      </text>
    </comment>
    <comment ref="AG41" authorId="0" shapeId="0">
      <text>
        <t>모델값 역산(implied): v / 전분기 − 1
유통주식수 유지 — prices.json shares_outstanding(aik 상장 9,910,487 = fin 2026Q2 보통주 발행 39,641,948 × 1/4 — 분기말 후 병합) − 자기주식 16,979 × 1/4</t>
      </text>
    </comment>
    <comment ref="AH41" authorId="0" shapeId="0">
      <text>
        <t>모델값 역산(implied): v / 전분기 − 1
유통주식수 유지 — prices.json shares_outstanding(aik 상장 9,910,487 = fin 2026Q2 보통주 발행 39,641,948 × 1/4 — 분기말 후 병합) − 자기주식 16,979 × 1/4</t>
      </text>
    </comment>
    <comment ref="AI41" authorId="0" shapeId="0">
      <text>
        <t>모델값 역산(implied): v / 전분기 − 1
유통주식수 유지 — prices.json shares_outstanding(aik 상장 9,910,487 = fin 2026Q2 보통주 발행 39,641,948 × 1/4 — 분기말 후 병합) − 자기주식 16,979 × 1/4</t>
      </text>
    </comment>
    <comment ref="AK41" authorId="0" shapeId="0">
      <text>
        <t>모델값 역산(implied): v / 전분기 − 1
유통주식수 유지 — prices.json shares_outstanding(aik 상장 9,910,487 = fin 2026Q2 보통주 발행 39,641,948 × 1/4 — 분기말 후 병합) − 자기주식 16,979 × 1/4</t>
      </text>
    </comment>
    <comment ref="AL41" authorId="0" shapeId="0">
      <text>
        <t>모델값 역산(implied): v / 전분기 − 1
유통주식수 유지 — prices.json shares_outstanding(aik 상장 9,910,487 = fin 2026Q2 보통주 발행 39,641,948 × 1/4 — 분기말 후 병합) − 자기주식 16,979 × 1/4</t>
      </text>
    </comment>
    <comment ref="AM41" authorId="0" shapeId="0">
      <text>
        <t>모델값 역산(implied): v / 전분기 − 1
유통주식수 유지 — prices.json shares_outstanding(aik 상장 9,910,487 = fin 2026Q2 보통주 발행 39,641,948 × 1/4 — 분기말 후 병합) − 자기주식 16,979 × 1/4</t>
      </text>
    </comment>
    <comment ref="AN41" authorId="0" shapeId="0">
      <text>
        <t>모델값 역산(implied): v / 전분기 − 1
유통주식수 유지 — prices.json shares_outstanding(aik 상장 9,910,487 = fin 2026Q2 보통주 발행 39,641,948 × 1/4 — 분기말 후 병합) − 자기주식 16,979 × 1/4</t>
      </text>
    </comment>
    <comment ref="AD42" authorId="0" shapeId="0">
      <text>
        <t>모델값 역산(implied): 모델 v 그대로
직전 결산 DPS 0원 유지</t>
      </text>
    </comment>
    <comment ref="AI42" authorId="0" shapeId="0">
      <text>
        <t>모델값 역산(implied): 모델 v 그대로
직전 결산 DPS 0원 유지</t>
      </text>
    </comment>
    <comment ref="AN42" authorId="0" shapeId="0">
      <text>
        <t>모델값 역산(implied): 모델 v 그대로
직전 결산 DPS 0원 유지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AC5" authorId="0" shapeId="0">
      <text>
        <t>추정: 전년동기 × (1+13.7%) — g=최근 4분기 합 YoY 13.7% 클립(−30~+50%), 연차별 절반 감쇠(가정)
[yoy]</t>
      </text>
    </comment>
    <comment ref="AD5" authorId="0" shapeId="0">
      <text>
        <t>추정: 전년동기 × (1+13.7%) — g=최근 4분기 합 YoY 13.7% 클립(−30~+50%), 연차별 절반 감쇠(가정)
[yoy]</t>
      </text>
    </comment>
    <comment ref="AF5" authorId="0" shapeId="0">
      <text>
        <t>추정: 전년동기 × (1+13.7%) — g=최근 4분기 합 YoY 13.7% 클립(−30~+50%), 연차별 절반 감쇠(가정)
[yoy]</t>
      </text>
    </comment>
    <comment ref="AG5" authorId="0" shapeId="0">
      <text>
        <t>추정: 전년동기 × (1+13.7%) — g=최근 4분기 합 YoY 13.7% 클립(−30~+50%), 연차별 절반 감쇠(가정)
[yoy]</t>
      </text>
    </comment>
    <comment ref="AH5" authorId="0" shapeId="0">
      <text>
        <t>추정: 전년동기 × (1+6.8%) — g=최근 4분기 합 YoY 13.7% 클립(−30~+50%), 연차별 절반 감쇠(가정)
[yoy]</t>
      </text>
    </comment>
    <comment ref="AI5" authorId="0" shapeId="0">
      <text>
        <t>추정: 전년동기 × (1+6.8%) — g=최근 4분기 합 YoY 13.7% 클립(−30~+50%), 연차별 절반 감쇠(가정)
[yoy]</t>
      </text>
    </comment>
    <comment ref="AK5" authorId="0" shapeId="0">
      <text>
        <t>추정: 전년동기 × (1+6.8%) — g=최근 4분기 합 YoY 13.7% 클립(−30~+50%), 연차별 절반 감쇠(가정)
[yoy]</t>
      </text>
    </comment>
    <comment ref="AL5" authorId="0" shapeId="0">
      <text>
        <t>추정: 전년동기 × (1+6.8%) — g=최근 4분기 합 YoY 13.7% 클립(−30~+50%), 연차별 절반 감쇠(가정)
[yoy]</t>
      </text>
    </comment>
    <comment ref="AM5" authorId="0" shapeId="0">
      <text>
        <t>추정: 전년동기 × (1+3.4%) — g=최근 4분기 합 YoY 13.7% 클립(−30~+50%), 연차별 절반 감쇠(가정)
[yoy]</t>
      </text>
    </comment>
    <comment ref="AN5" authorId="0" shapeId="0">
      <text>
        <t>추정: 전년동기 × (1+3.4%) — g=최근 4분기 합 YoY 13.7% 클립(−30~+50%), 연차별 절반 감쇠(가정)
[yoy]</t>
      </text>
    </comment>
    <comment ref="AC6" authorId="0" shapeId="0">
      <text>
        <t>추정: 매출액 − 매출총이익(항등식)
[identity]</t>
      </text>
    </comment>
    <comment ref="AD6" authorId="0" shapeId="0">
      <text>
        <t>추정: 매출액 − 매출총이익(항등식)
[identity]</t>
      </text>
    </comment>
    <comment ref="AF6" authorId="0" shapeId="0">
      <text>
        <t>추정: 매출액 − 매출총이익(항등식)
[identity]</t>
      </text>
    </comment>
    <comment ref="AG6" authorId="0" shapeId="0">
      <text>
        <t>추정: 매출액 − 매출총이익(항등식)
[identity]</t>
      </text>
    </comment>
    <comment ref="AH6" authorId="0" shapeId="0">
      <text>
        <t>추정: 매출액 − 매출총이익(항등식)
[identity]</t>
      </text>
    </comment>
    <comment ref="AI6" authorId="0" shapeId="0">
      <text>
        <t>추정: 매출액 − 매출총이익(항등식)
[identity]</t>
      </text>
    </comment>
    <comment ref="AK6" authorId="0" shapeId="0">
      <text>
        <t>추정: 매출액 − 매출총이익(항등식)
[identity]</t>
      </text>
    </comment>
    <comment ref="AL6" authorId="0" shapeId="0">
      <text>
        <t>추정: 매출액 − 매출총이익(항등식)
[identity]</t>
      </text>
    </comment>
    <comment ref="AM6" authorId="0" shapeId="0">
      <text>
        <t>추정: 매출액 − 매출총이익(항등식)
[identity]</t>
      </text>
    </comment>
    <comment ref="AN6" authorId="0" shapeId="0">
      <text>
        <t>추정: 매출액 − 매출총이익(항등식)
[identity]</t>
      </text>
    </comment>
    <comment ref="AC7" authorId="0" shapeId="0">
      <text>
        <t>추정: 영업이익 + 판관비 − 기타영업손익(항등식)
[identity]</t>
      </text>
    </comment>
    <comment ref="AD7" authorId="0" shapeId="0">
      <text>
        <t>추정: 영업이익 + 판관비 − 기타영업손익(항등식)
[identity]</t>
      </text>
    </comment>
    <comment ref="AF7" authorId="0" shapeId="0">
      <text>
        <t>추정: 영업이익 + 판관비 − 기타영업손익(항등식)
[identity]</t>
      </text>
    </comment>
    <comment ref="AG7" authorId="0" shapeId="0">
      <text>
        <t>추정: 영업이익 + 판관비 − 기타영업손익(항등식)
[identity]</t>
      </text>
    </comment>
    <comment ref="AH7" authorId="0" shapeId="0">
      <text>
        <t>추정: 영업이익 + 판관비 − 기타영업손익(항등식)
[identity]</t>
      </text>
    </comment>
    <comment ref="AI7" authorId="0" shapeId="0">
      <text>
        <t>추정: 영업이익 + 판관비 − 기타영업손익(항등식)
[identity]</t>
      </text>
    </comment>
    <comment ref="AK7" authorId="0" shapeId="0">
      <text>
        <t>추정: 영업이익 + 판관비 − 기타영업손익(항등식)
[identity]</t>
      </text>
    </comment>
    <comment ref="AL7" authorId="0" shapeId="0">
      <text>
        <t>추정: 영업이익 + 판관비 − 기타영업손익(항등식)
[identity]</t>
      </text>
    </comment>
    <comment ref="AM7" authorId="0" shapeId="0">
      <text>
        <t>추정: 영업이익 + 판관비 − 기타영업손익(항등식)
[identity]</t>
      </text>
    </comment>
    <comment ref="AN7" authorId="0" shapeId="0">
      <text>
        <t>추정: 영업이익 + 판관비 − 기타영업손익(항등식)
[identity]</t>
      </text>
    </comment>
    <comment ref="AC8" authorId="0" shapeId="0">
      <text>
        <t>추정: 매출액 × 판관비율 24.96%(최근 4분기 중위)
[ratio]</t>
      </text>
    </comment>
    <comment ref="AD8" authorId="0" shapeId="0">
      <text>
        <t>추정: 매출액 × 판관비율 24.96%(최근 4분기 중위)
[ratio]</t>
      </text>
    </comment>
    <comment ref="AF8" authorId="0" shapeId="0">
      <text>
        <t>추정: 매출액 × 판관비율 24.96%(최근 4분기 중위)
[ratio]</t>
      </text>
    </comment>
    <comment ref="AG8" authorId="0" shapeId="0">
      <text>
        <t>추정: 매출액 × 판관비율 24.96%(최근 4분기 중위)
[ratio]</t>
      </text>
    </comment>
    <comment ref="AH8" authorId="0" shapeId="0">
      <text>
        <t>추정: 매출액 × 판관비율 24.96%(최근 4분기 중위)
[ratio]</t>
      </text>
    </comment>
    <comment ref="AI8" authorId="0" shapeId="0">
      <text>
        <t>추정: 매출액 × 판관비율 24.96%(최근 4분기 중위)
[ratio]</t>
      </text>
    </comment>
    <comment ref="AK8" authorId="0" shapeId="0">
      <text>
        <t>추정: 매출액 × 판관비율 24.96%(최근 4분기 중위)
[ratio]</t>
      </text>
    </comment>
    <comment ref="AL8" authorId="0" shapeId="0">
      <text>
        <t>추정: 매출액 × 판관비율 24.96%(최근 4분기 중위)
[ratio]</t>
      </text>
    </comment>
    <comment ref="AM8" authorId="0" shapeId="0">
      <text>
        <t>추정: 매출액 × 판관비율 24.96%(최근 4분기 중위)
[ratio]</t>
      </text>
    </comment>
    <comment ref="AN8" authorId="0" shapeId="0">
      <text>
        <t>추정: 매출액 × 판관비율 24.96%(최근 4분기 중위)
[ratio]</t>
      </text>
    </comment>
    <comment ref="AC9" authorId="0" shapeId="0">
      <text>
        <t>추정: 매출액 × OPM(최근 8분기 OPM 중위 -10.6% 유지(클립 −20~40%))
[ratio]</t>
      </text>
    </comment>
    <comment ref="AD9" authorId="0" shapeId="0">
      <text>
        <t>추정: 매출액 × OPM(최근 8분기 OPM 중위 -10.6% 유지(클립 −20~40%))
[ratio]</t>
      </text>
    </comment>
    <comment ref="AF9" authorId="0" shapeId="0">
      <text>
        <t>추정: 매출액 × OPM(최근 8분기 OPM 중위 -10.6% 유지(클립 −20~40%))
[ratio]</t>
      </text>
    </comment>
    <comment ref="AG9" authorId="0" shapeId="0">
      <text>
        <t>추정: 매출액 × OPM(최근 8분기 OPM 중위 -10.6% 유지(클립 −20~40%))
[ratio]</t>
      </text>
    </comment>
    <comment ref="AH9" authorId="0" shapeId="0">
      <text>
        <t>추정: 매출액 × OPM(최근 8분기 OPM 중위 -10.6% 유지(클립 −20~40%))
[ratio]</t>
      </text>
    </comment>
    <comment ref="AI9" authorId="0" shapeId="0">
      <text>
        <t>추정: 매출액 × OPM(최근 8분기 OPM 중위 -10.6% 유지(클립 −20~40%))
[ratio]</t>
      </text>
    </comment>
    <comment ref="AK9" authorId="0" shapeId="0">
      <text>
        <t>추정: 매출액 × OPM(최근 8분기 OPM 중위 -10.6% 유지(클립 −20~40%))
[ratio]</t>
      </text>
    </comment>
    <comment ref="AL9" authorId="0" shapeId="0">
      <text>
        <t>추정: 매출액 × OPM(최근 8분기 OPM 중위 -10.6% 유지(클립 −20~40%))
[ratio]</t>
      </text>
    </comment>
    <comment ref="AM9" authorId="0" shapeId="0">
      <text>
        <t>추정: 매출액 × OPM(최근 8분기 OPM 중위 -10.6% 유지(클립 −20~40%))
[ratio]</t>
      </text>
    </comment>
    <comment ref="AN9" authorId="0" shapeId="0">
      <text>
        <t>추정: 매출액 × OPM(최근 8분기 OPM 중위 -10.6% 유지(클립 −20~40%))
[ratio]</t>
      </text>
    </comment>
    <comment ref="AC10" authorId="0" shapeId="0">
      <text>
        <t>추정: 최근 8분기 OPM 중위 -10.6% 유지(클립 −20~40%)
[divide]</t>
      </text>
    </comment>
    <comment ref="AD10" authorId="0" shapeId="0">
      <text>
        <t>추정: 최근 8분기 OPM 중위 -10.6% 유지(클립 −20~40%)
[divide]</t>
      </text>
    </comment>
    <comment ref="AF10" authorId="0" shapeId="0">
      <text>
        <t>추정: 최근 8분기 OPM 중위 -10.6% 유지(클립 −20~40%)
[divide]</t>
      </text>
    </comment>
    <comment ref="AG10" authorId="0" shapeId="0">
      <text>
        <t>추정: 최근 8분기 OPM 중위 -10.6% 유지(클립 −20~40%)
[divide]</t>
      </text>
    </comment>
    <comment ref="AH10" authorId="0" shapeId="0">
      <text>
        <t>추정: 최근 8분기 OPM 중위 -10.6% 유지(클립 −20~40%)
[divide]</t>
      </text>
    </comment>
    <comment ref="AI10" authorId="0" shapeId="0">
      <text>
        <t>추정: 최근 8분기 OPM 중위 -10.6% 유지(클립 −20~40%)
[divide]</t>
      </text>
    </comment>
    <comment ref="AK10" authorId="0" shapeId="0">
      <text>
        <t>추정: 최근 8분기 OPM 중위 -10.6% 유지(클립 −20~40%)
[divide]</t>
      </text>
    </comment>
    <comment ref="AL10" authorId="0" shapeId="0">
      <text>
        <t>추정: 최근 8분기 OPM 중위 -10.6% 유지(클립 −20~40%)
[divide]</t>
      </text>
    </comment>
    <comment ref="AM10" authorId="0" shapeId="0">
      <text>
        <t>추정: 최근 8분기 OPM 중위 -10.6% 유지(클립 −20~40%)
[divide]</t>
      </text>
    </comment>
    <comment ref="AN10" authorId="0" shapeId="0">
      <text>
        <t>추정: 최근 8분기 OPM 중위 -10.6% 유지(클립 −20~40%)
[divide]</t>
      </text>
    </comment>
    <comment ref="AC11" authorId="0" shapeId="0">
      <text>
        <t>추정: 이자손익 + 외환손익 0 + 파생상품손익 0 + 기타금융손익 +0.00억(잔차 실측 1분기 &lt; 4 → 0) (항등식); 이자손익 = 이자발생자산 29억 × 0.86%(CF 이자수취 ÷ 평균 이자발생자산(2025Q3~2026Q2; 주석 이자수익 연율 2.8% 클립 — 주석 마지막 분기 2026Q1 ≠ 마지막 실적 2026Q2(stale) · 주석/CF 3.24배 · CF 창 2025Q3~2026Q2(= la))) − 총차입금 187억 × 15.95%(주석 이자비용 ÷ 평균 총차입금(2025Q1~2026Q1)) (연율) ÷ 4; 환율 효과는 환관련손익 행 별도
[identity]</t>
      </text>
    </comment>
    <comment ref="AD11" authorId="0" shapeId="0">
      <text>
        <t>추정: 이자손익 + 외환손익 0 + 파생상품손익 0 + 기타금융손익 +0.00억(잔차 실측 1분기 &lt; 4 → 0) (항등식); 이자손익 = 이자발생자산 -1억 × 0.86%(CF 이자수취 ÷ 평균 이자발생자산(2025Q3~2026Q2; 주석 이자수익 연율 2.8% 클립 — 주석 마지막 분기 2026Q1 ≠ 마지막 실적 2026Q2(stale) · 주석/CF 3.24배 · CF 창 2025Q3~2026Q2(= la))) − 총차입금 187억 × 15.95%(주석 이자비용 ÷ 평균 총차입금(2025Q1~2026Q1)) (연율) ÷ 4; 환율 효과는 환관련손익 행 별도
[identity]</t>
      </text>
    </comment>
    <comment ref="AF11" authorId="0" shapeId="0">
      <text>
        <t>추정: 이자손익 + 외환손익 0 + 파생상품손익 0 + 기타금융손익 +0.00억(잔차 실측 1분기 &lt; 4 → 0) (항등식); 이자손익 = 이자발생자산 -24억 × 0.86%(CF 이자수취 ÷ 평균 이자발생자산(2025Q3~2026Q2; 주석 이자수익 연율 2.8% 클립 — 주석 마지막 분기 2026Q1 ≠ 마지막 실적 2026Q2(stale) · 주석/CF 3.24배 · CF 창 2025Q3~2026Q2(= la))) − 총차입금 187억 × 15.95%(주석 이자비용 ÷ 평균 총차입금(2025Q1~2026Q1)) (연율) ÷ 4; 환율 효과는 환관련손익 행 별도
[identity]</t>
      </text>
    </comment>
    <comment ref="AG11" authorId="0" shapeId="0">
      <text>
        <t>추정: 이자손익 + 외환손익 0 + 파생상품손익 0 + 기타금융손익 +0.00억(잔차 실측 1분기 &lt; 4 → 0) (항등식); 이자손익 = 이자발생자산 -52억 × 0.86%(CF 이자수취 ÷ 평균 이자발생자산(2025Q3~2026Q2; 주석 이자수익 연율 2.8% 클립 — 주석 마지막 분기 2026Q1 ≠ 마지막 실적 2026Q2(stale) · 주석/CF 3.24배 · CF 창 2025Q3~2026Q2(= la))) − 총차입금 187억 × 15.95%(주석 이자비용 ÷ 평균 총차입금(2025Q1~2026Q1)) (연율) ÷ 4; 환율 효과는 환관련손익 행 별도
[identity]</t>
      </text>
    </comment>
    <comment ref="AH11" authorId="0" shapeId="0">
      <text>
        <t>추정: 이자손익 + 외환손익 0 + 파생상품손익 0 + 기타금융손익 +0.00억(잔차 실측 1분기 &lt; 4 → 0) (항등식); 이자손익 = 이자발생자산 -79억 × 0.86%(CF 이자수취 ÷ 평균 이자발생자산(2025Q3~2026Q2; 주석 이자수익 연율 2.8% 클립 — 주석 마지막 분기 2026Q1 ≠ 마지막 실적 2026Q2(stale) · 주석/CF 3.24배 · CF 창 2025Q3~2026Q2(= la))) − 총차입금 187억 × 15.95%(주석 이자비용 ÷ 평균 총차입금(2025Q1~2026Q1)) (연율) ÷ 4; 환율 효과는 환관련손익 행 별도
[identity]</t>
      </text>
    </comment>
    <comment ref="AI11" authorId="0" shapeId="0">
      <text>
        <t>추정: 이자손익 + 외환손익 0 + 파생상품손익 0 + 기타금융손익 +0.00억(잔차 실측 1분기 &lt; 4 → 0) (항등식); 이자손익 = 이자발생자산 -109억 × 0.86%(CF 이자수취 ÷ 평균 이자발생자산(2025Q3~2026Q2; 주석 이자수익 연율 2.8% 클립 — 주석 마지막 분기 2026Q1 ≠ 마지막 실적 2026Q2(stale) · 주석/CF 3.24배 · CF 창 2025Q3~2026Q2(= la))) − 총차입금 187억 × 15.95%(주석 이자비용 ÷ 평균 총차입금(2025Q1~2026Q1)) (연율) ÷ 4; 환율 효과는 환관련손익 행 별도
[identity]</t>
      </text>
    </comment>
    <comment ref="AK11" authorId="0" shapeId="0">
      <text>
        <t>추정: 이자손익 + 외환손익 0 + 파생상품손익 0 + 기타금융손익 +0.00억(잔차 실측 1분기 &lt; 4 → 0) (항등식); 이자손익 = 이자발생자산 -134억 × 0.86%(CF 이자수취 ÷ 평균 이자발생자산(2025Q3~2026Q2; 주석 이자수익 연율 2.8% 클립 — 주석 마지막 분기 2026Q1 ≠ 마지막 실적 2026Q2(stale) · 주석/CF 3.24배 · CF 창 2025Q3~2026Q2(= la))) − 총차입금 187억 × 15.95%(주석 이자비용 ÷ 평균 총차입금(2025Q1~2026Q1)) (연율) ÷ 4; 환율 효과는 환관련손익 행 별도
[identity]</t>
      </text>
    </comment>
    <comment ref="AL11" authorId="0" shapeId="0">
      <text>
        <t>추정: 이자손익 + 외환손익 0 + 파생상품손익 0 + 기타금융손익 +0.00억(잔차 실측 1분기 &lt; 4 → 0) (항등식); 이자손익 = 이자발생자산 -163억 × 0.86%(CF 이자수취 ÷ 평균 이자발생자산(2025Q3~2026Q2; 주석 이자수익 연율 2.8% 클립 — 주석 마지막 분기 2026Q1 ≠ 마지막 실적 2026Q2(stale) · 주석/CF 3.24배 · CF 창 2025Q3~2026Q2(= la))) − 총차입금 187억 × 15.95%(주석 이자비용 ÷ 평균 총차입금(2025Q1~2026Q1)) (연율) ÷ 4; 환율 효과는 환관련손익 행 별도
[identity]</t>
      </text>
    </comment>
    <comment ref="AM11" authorId="0" shapeId="0">
      <text>
        <t>추정: 이자손익 + 외환손익 0 + 파생상품손익 0 + 기타금융손익 +0.00억(잔차 실측 1분기 &lt; 4 → 0) (항등식); 이자손익 = 이자발생자산 -190억 × 0.86%(CF 이자수취 ÷ 평균 이자발생자산(2025Q3~2026Q2; 주석 이자수익 연율 2.8% 클립 — 주석 마지막 분기 2026Q1 ≠ 마지막 실적 2026Q2(stale) · 주석/CF 3.24배 · CF 창 2025Q3~2026Q2(= la))) − 총차입금 187억 × 15.95%(주석 이자비용 ÷ 평균 총차입금(2025Q1~2026Q1)) (연율) ÷ 4; 환율 효과는 환관련손익 행 별도
[identity]</t>
      </text>
    </comment>
    <comment ref="AN11" authorId="0" shapeId="0">
      <text>
        <t>추정: 이자손익 + 외환손익 0 + 파생상품손익 0 + 기타금융손익 +0.00억(잔차 실측 1분기 &lt; 4 → 0) (항등식); 이자손익 = 이자발생자산 -222억 × 0.86%(CF 이자수취 ÷ 평균 이자발생자산(2025Q3~2026Q2; 주석 이자수익 연율 2.8% 클립 — 주석 마지막 분기 2026Q1 ≠ 마지막 실적 2026Q2(stale) · 주석/CF 3.24배 · CF 창 2025Q3~2026Q2(= la))) − 총차입금 187억 × 15.95%(주석 이자비용 ÷ 평균 총차입금(2025Q1~2026Q1)) (연율) ÷ 4; 환율 효과는 환관련손익 행 별도
[identity]</t>
      </text>
    </comment>
    <comment ref="AC12" authorId="0" shapeId="0">
      <text>
        <t>추정: 이자발생자산 29억 × 0.86%(CF 이자수취 ÷ 평균 이자발생자산(2025Q3~2026Q2; 주석 이자수익 연율 2.8% 클립 — 주석 마지막 분기 2026Q1 ≠ 마지막 실적 2026Q2(stale) · 주석/CF 3.24배 · CF 창 2025Q3~2026Q2(= la))) − 총차입금 187억 × 15.95%(주석 이자비용 ÷ 평균 총차입금(2025Q1~2026Q1)) (연율) ÷ 4
[interest]</t>
      </text>
    </comment>
    <comment ref="AD12" authorId="0" shapeId="0">
      <text>
        <t>추정: 이자발생자산 -1억 × 0.86%(CF 이자수취 ÷ 평균 이자발생자산(2025Q3~2026Q2; 주석 이자수익 연율 2.8% 클립 — 주석 마지막 분기 2026Q1 ≠ 마지막 실적 2026Q2(stale) · 주석/CF 3.24배 · CF 창 2025Q3~2026Q2(= la))) − 총차입금 187억 × 15.95%(주석 이자비용 ÷ 평균 총차입금(2025Q1~2026Q1)) (연율) ÷ 4
[interest]</t>
      </text>
    </comment>
    <comment ref="AF12" authorId="0" shapeId="0">
      <text>
        <t>추정: 이자발생자산 -24억 × 0.86%(CF 이자수취 ÷ 평균 이자발생자산(2025Q3~2026Q2; 주석 이자수익 연율 2.8% 클립 — 주석 마지막 분기 2026Q1 ≠ 마지막 실적 2026Q2(stale) · 주석/CF 3.24배 · CF 창 2025Q3~2026Q2(= la))) − 총차입금 187억 × 15.95%(주석 이자비용 ÷ 평균 총차입금(2025Q1~2026Q1)) (연율) ÷ 4
[interest]</t>
      </text>
    </comment>
    <comment ref="AG12" authorId="0" shapeId="0">
      <text>
        <t>추정: 이자발생자산 -52억 × 0.86%(CF 이자수취 ÷ 평균 이자발생자산(2025Q3~2026Q2; 주석 이자수익 연율 2.8% 클립 — 주석 마지막 분기 2026Q1 ≠ 마지막 실적 2026Q2(stale) · 주석/CF 3.24배 · CF 창 2025Q3~2026Q2(= la))) − 총차입금 187억 × 15.95%(주석 이자비용 ÷ 평균 총차입금(2025Q1~2026Q1)) (연율) ÷ 4
[interest]</t>
      </text>
    </comment>
    <comment ref="AH12" authorId="0" shapeId="0">
      <text>
        <t>추정: 이자발생자산 -79억 × 0.86%(CF 이자수취 ÷ 평균 이자발생자산(2025Q3~2026Q2; 주석 이자수익 연율 2.8% 클립 — 주석 마지막 분기 2026Q1 ≠ 마지막 실적 2026Q2(stale) · 주석/CF 3.24배 · CF 창 2025Q3~2026Q2(= la))) − 총차입금 187억 × 15.95%(주석 이자비용 ÷ 평균 총차입금(2025Q1~2026Q1)) (연율) ÷ 4
[interest]</t>
      </text>
    </comment>
    <comment ref="AI12" authorId="0" shapeId="0">
      <text>
        <t>추정: 이자발생자산 -109억 × 0.86%(CF 이자수취 ÷ 평균 이자발생자산(2025Q3~2026Q2; 주석 이자수익 연율 2.8% 클립 — 주석 마지막 분기 2026Q1 ≠ 마지막 실적 2026Q2(stale) · 주석/CF 3.24배 · CF 창 2025Q3~2026Q2(= la))) − 총차입금 187억 × 15.95%(주석 이자비용 ÷ 평균 총차입금(2025Q1~2026Q1)) (연율) ÷ 4
[interest]</t>
      </text>
    </comment>
    <comment ref="AK12" authorId="0" shapeId="0">
      <text>
        <t>추정: 이자발생자산 -134억 × 0.86%(CF 이자수취 ÷ 평균 이자발생자산(2025Q3~2026Q2; 주석 이자수익 연율 2.8% 클립 — 주석 마지막 분기 2026Q1 ≠ 마지막 실적 2026Q2(stale) · 주석/CF 3.24배 · CF 창 2025Q3~2026Q2(= la))) − 총차입금 187억 × 15.95%(주석 이자비용 ÷ 평균 총차입금(2025Q1~2026Q1)) (연율) ÷ 4
[interest]</t>
      </text>
    </comment>
    <comment ref="AL12" authorId="0" shapeId="0">
      <text>
        <t>추정: 이자발생자산 -163억 × 0.86%(CF 이자수취 ÷ 평균 이자발생자산(2025Q3~2026Q2; 주석 이자수익 연율 2.8% 클립 — 주석 마지막 분기 2026Q1 ≠ 마지막 실적 2026Q2(stale) · 주석/CF 3.24배 · CF 창 2025Q3~2026Q2(= la))) − 총차입금 187억 × 15.95%(주석 이자비용 ÷ 평균 총차입금(2025Q1~2026Q1)) (연율) ÷ 4
[interest]</t>
      </text>
    </comment>
    <comment ref="AM12" authorId="0" shapeId="0">
      <text>
        <t>추정: 이자발생자산 -190억 × 0.86%(CF 이자수취 ÷ 평균 이자발생자산(2025Q3~2026Q2; 주석 이자수익 연율 2.8% 클립 — 주석 마지막 분기 2026Q1 ≠ 마지막 실적 2026Q2(stale) · 주석/CF 3.24배 · CF 창 2025Q3~2026Q2(= la))) − 총차입금 187억 × 15.95%(주석 이자비용 ÷ 평균 총차입금(2025Q1~2026Q1)) (연율) ÷ 4
[interest]</t>
      </text>
    </comment>
    <comment ref="AN12" authorId="0" shapeId="0">
      <text>
        <t>추정: 이자발생자산 -222억 × 0.86%(CF 이자수취 ÷ 평균 이자발생자산(2025Q3~2026Q2; 주석 이자수익 연율 2.8% 클립 — 주석 마지막 분기 2026Q1 ≠ 마지막 실적 2026Q2(stale) · 주석/CF 3.24배 · CF 창 2025Q3~2026Q2(= la))) − 총차입금 187억 × 15.95%(주석 이자비용 ÷ 평균 총차입금(2025Q1~2026Q1)) (연율) ÷ 4
[interest]</t>
      </text>
    </comment>
    <comment ref="G13" authorId="0" shapeId="0">
      <text>
        <t>BS 계정 합·차: +외환차익 -외환차손 +외화환산이익 -외화환산손실</t>
      </text>
    </comment>
    <comment ref="H13" authorId="0" shapeId="0">
      <text>
        <t>BS 계정 합·차: +외환차익 -외환차손 +외화환산이익 -외화환산손실</t>
      </text>
    </comment>
    <comment ref="I13" authorId="0" shapeId="0">
      <text>
        <t>BS 계정 합·차: +외환차익 -외환차손 +외화환산이익 -외화환산손실</t>
      </text>
    </comment>
    <comment ref="J13" authorId="0" shapeId="0">
      <text>
        <t>BS 계정 합·차: +외환차익 -외환차손 +외화환산이익 -외화환산손실</t>
      </text>
    </comment>
    <comment ref="L13" authorId="0" shapeId="0">
      <text>
        <t>BS 계정 합·차: +외환차익 -외환차손 +외화환산이익 -외화환산손실</t>
      </text>
    </comment>
    <comment ref="M13" authorId="0" shapeId="0">
      <text>
        <t>BS 계정 합·차: +외환차익 -외환차손 +외화환산이익 -외화환산손실</t>
      </text>
    </comment>
    <comment ref="N13" authorId="0" shapeId="0">
      <text>
        <t>BS 계정 합·차: +외환차익 -외환차손 +외화환산이익 -외화환산손실</t>
      </text>
    </comment>
    <comment ref="Q13" authorId="0" shapeId="0">
      <text>
        <t>BS 계정 합·차: +외환차익 -외환차손 +외화환산이익 -외화환산손실</t>
      </text>
    </comment>
    <comment ref="V13" authorId="0" shapeId="0">
      <text>
        <t>BS 계정 합·차: +외환차익 -외환차손 +외화환산이익 -외화환산손실</t>
      </text>
    </comment>
    <comment ref="X13" authorId="0" shapeId="0">
      <text>
        <t>BS 계정 합·차: +외환차익 -외환차손 +외화환산이익 -외화환산손실</t>
      </text>
    </comment>
    <comment ref="Y13" authorId="0" shapeId="0">
      <text>
        <t>BS 계정 합·차: +외환차익 -외환차손 +외화환산이익 -외화환산손실</t>
      </text>
    </comment>
    <comment ref="AA13" authorId="0" shapeId="0">
      <text>
        <t>BS 계정 합·차: +외환차익 -외환차손 +외화환산이익 -외화환산손실</t>
      </text>
    </comment>
    <comment ref="AC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D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F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G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H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I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K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L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M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N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X14" authorId="0" shapeId="0">
      <text>
        <t>BS 계정 합·차: +파생상품이익 -파생상품손실</t>
      </text>
    </comment>
    <comment ref="AC14" authorId="0" shapeId="0">
      <text>
        <t>추정: 파생상품 평가·거래손익 0 가정
[abs]</t>
      </text>
    </comment>
    <comment ref="AD14" authorId="0" shapeId="0">
      <text>
        <t>추정: 파생상품 평가·거래손익 0 가정
[abs]</t>
      </text>
    </comment>
    <comment ref="AF14" authorId="0" shapeId="0">
      <text>
        <t>추정: 파생상품 평가·거래손익 0 가정
[abs]</t>
      </text>
    </comment>
    <comment ref="AG14" authorId="0" shapeId="0">
      <text>
        <t>추정: 파생상품 평가·거래손익 0 가정
[abs]</t>
      </text>
    </comment>
    <comment ref="AH14" authorId="0" shapeId="0">
      <text>
        <t>추정: 파생상품 평가·거래손익 0 가정
[abs]</t>
      </text>
    </comment>
    <comment ref="AI14" authorId="0" shapeId="0">
      <text>
        <t>추정: 파생상품 평가·거래손익 0 가정
[abs]</t>
      </text>
    </comment>
    <comment ref="AK14" authorId="0" shapeId="0">
      <text>
        <t>추정: 파생상품 평가·거래손익 0 가정
[abs]</t>
      </text>
    </comment>
    <comment ref="AL14" authorId="0" shapeId="0">
      <text>
        <t>추정: 파생상품 평가·거래손익 0 가정
[abs]</t>
      </text>
    </comment>
    <comment ref="AM14" authorId="0" shapeId="0">
      <text>
        <t>추정: 파생상품 평가·거래손익 0 가정
[abs]</t>
      </text>
    </comment>
    <comment ref="AN14" authorId="0" shapeId="0">
      <text>
        <t>추정: 파생상품 평가·거래손익 0 가정
[abs]</t>
      </text>
    </comment>
    <comment ref="AC15" authorId="0" shapeId="0">
      <text>
        <t>추정: 잔차 실측 1분기 &lt; 4 → 0
[abs]</t>
      </text>
    </comment>
    <comment ref="AD15" authorId="0" shapeId="0">
      <text>
        <t>추정: 잔차 실측 1분기 &lt; 4 → 0
[abs]</t>
      </text>
    </comment>
    <comment ref="AF15" authorId="0" shapeId="0">
      <text>
        <t>추정: 잔차 실측 1분기 &lt; 4 → 0
[abs]</t>
      </text>
    </comment>
    <comment ref="AG15" authorId="0" shapeId="0">
      <text>
        <t>추정: 잔차 실측 1분기 &lt; 4 → 0
[abs]</t>
      </text>
    </comment>
    <comment ref="AH15" authorId="0" shapeId="0">
      <text>
        <t>추정: 잔차 실측 1분기 &lt; 4 → 0
[abs]</t>
      </text>
    </comment>
    <comment ref="AI15" authorId="0" shapeId="0">
      <text>
        <t>추정: 잔차 실측 1분기 &lt; 4 → 0
[abs]</t>
      </text>
    </comment>
    <comment ref="AK15" authorId="0" shapeId="0">
      <text>
        <t>추정: 잔차 실측 1분기 &lt; 4 → 0
[abs]</t>
      </text>
    </comment>
    <comment ref="AL15" authorId="0" shapeId="0">
      <text>
        <t>추정: 잔차 실측 1분기 &lt; 4 → 0
[abs]</t>
      </text>
    </comment>
    <comment ref="AM15" authorId="0" shapeId="0">
      <text>
        <t>추정: 잔차 실측 1분기 &lt; 4 → 0
[abs]</t>
      </text>
    </comment>
    <comment ref="AN15" authorId="0" shapeId="0">
      <text>
        <t>추정: 잔차 실측 1분기 &lt; 4 → 0
[abs]</t>
      </text>
    </comment>
    <comment ref="AC16" authorId="0" shapeId="0">
      <text>
        <t>추정: 일회성 미가정 → 0
[abs]</t>
      </text>
    </comment>
    <comment ref="AD16" authorId="0" shapeId="0">
      <text>
        <t>추정: 일회성 미가정 → 0
[abs]</t>
      </text>
    </comment>
    <comment ref="AF16" authorId="0" shapeId="0">
      <text>
        <t>추정: 일회성 미가정 → 0
[abs]</t>
      </text>
    </comment>
    <comment ref="AG16" authorId="0" shapeId="0">
      <text>
        <t>추정: 일회성 미가정 → 0
[abs]</t>
      </text>
    </comment>
    <comment ref="AH16" authorId="0" shapeId="0">
      <text>
        <t>추정: 일회성 미가정 → 0
[abs]</t>
      </text>
    </comment>
    <comment ref="AI16" authorId="0" shapeId="0">
      <text>
        <t>추정: 일회성 미가정 → 0
[abs]</t>
      </text>
    </comment>
    <comment ref="AK16" authorId="0" shapeId="0">
      <text>
        <t>추정: 일회성 미가정 → 0
[abs]</t>
      </text>
    </comment>
    <comment ref="AL16" authorId="0" shapeId="0">
      <text>
        <t>추정: 일회성 미가정 → 0
[abs]</t>
      </text>
    </comment>
    <comment ref="AM16" authorId="0" shapeId="0">
      <text>
        <t>추정: 일회성 미가정 → 0
[abs]</t>
      </text>
    </comment>
    <comment ref="AN16" authorId="0" shapeId="0">
      <text>
        <t>추정: 일회성 미가정 → 0
[abs]</t>
      </text>
    </comment>
    <comment ref="AC17" authorId="0" shapeId="0">
      <text>
        <t>추정: 최근 4분기 중위
[abs]</t>
      </text>
    </comment>
    <comment ref="AD17" authorId="0" shapeId="0">
      <text>
        <t>추정: 최근 4분기 중위
[abs]</t>
      </text>
    </comment>
    <comment ref="AF17" authorId="0" shapeId="0">
      <text>
        <t>추정: 최근 4분기 중위
[abs]</t>
      </text>
    </comment>
    <comment ref="AG17" authorId="0" shapeId="0">
      <text>
        <t>추정: 최근 4분기 중위
[abs]</t>
      </text>
    </comment>
    <comment ref="AH17" authorId="0" shapeId="0">
      <text>
        <t>추정: 최근 4분기 중위
[abs]</t>
      </text>
    </comment>
    <comment ref="AI17" authorId="0" shapeId="0">
      <text>
        <t>추정: 최근 4분기 중위
[abs]</t>
      </text>
    </comment>
    <comment ref="AK17" authorId="0" shapeId="0">
      <text>
        <t>추정: 최근 4분기 중위
[abs]</t>
      </text>
    </comment>
    <comment ref="AL17" authorId="0" shapeId="0">
      <text>
        <t>추정: 최근 4분기 중위
[abs]</t>
      </text>
    </comment>
    <comment ref="AM17" authorId="0" shapeId="0">
      <text>
        <t>추정: 최근 4분기 중위
[abs]</t>
      </text>
    </comment>
    <comment ref="AN17" authorId="0" shapeId="0">
      <text>
        <t>추정: 최근 4분기 중위
[abs]</t>
      </text>
    </comment>
    <comment ref="AC18" authorId="0" shapeId="0">
      <text>
        <t>추정: 영업이익 + 금융손익 + 기타영업외 + 지분법 + 환관련(항등식)
[identity]</t>
      </text>
    </comment>
    <comment ref="AD18" authorId="0" shapeId="0">
      <text>
        <t>추정: 영업이익 + 금융손익 + 기타영업외 + 지분법 + 환관련(항등식)
[identity]</t>
      </text>
    </comment>
    <comment ref="AF18" authorId="0" shapeId="0">
      <text>
        <t>추정: 영업이익 + 금융손익 + 기타영업외 + 지분법 + 환관련(항등식)
[identity]</t>
      </text>
    </comment>
    <comment ref="AG18" authorId="0" shapeId="0">
      <text>
        <t>추정: 영업이익 + 금융손익 + 기타영업외 + 지분법 + 환관련(항등식)
[identity]</t>
      </text>
    </comment>
    <comment ref="AH18" authorId="0" shapeId="0">
      <text>
        <t>추정: 영업이익 + 금융손익 + 기타영업외 + 지분법 + 환관련(항등식)
[identity]</t>
      </text>
    </comment>
    <comment ref="AI18" authorId="0" shapeId="0">
      <text>
        <t>추정: 영업이익 + 금융손익 + 기타영업외 + 지분법 + 환관련(항등식)
[identity]</t>
      </text>
    </comment>
    <comment ref="AK18" authorId="0" shapeId="0">
      <text>
        <t>추정: 영업이익 + 금융손익 + 기타영업외 + 지분법 + 환관련(항등식)
[identity]</t>
      </text>
    </comment>
    <comment ref="AL18" authorId="0" shapeId="0">
      <text>
        <t>추정: 영업이익 + 금융손익 + 기타영업외 + 지분법 + 환관련(항등식)
[identity]</t>
      </text>
    </comment>
    <comment ref="AM18" authorId="0" shapeId="0">
      <text>
        <t>추정: 영업이익 + 금융손익 + 기타영업외 + 지분법 + 환관련(항등식)
[identity]</t>
      </text>
    </comment>
    <comment ref="AN18" authorId="0" shapeId="0">
      <text>
        <t>추정: 영업이익 + 금융손익 + 기타영업외 + 지분법 + 환관련(항등식)
[identity]</t>
      </text>
    </comment>
    <comment ref="AC19" authorId="0" shapeId="0">
      <text>
        <t>추정: max(세전, 0) × 세율 22.0%(최근 12분기 세전 합 ≤ 0; 세전 &gt; 0 분기 중위 0.2% 도 5~27% 밖 → 법정세율 근사 22% 가정)
[ratio]</t>
      </text>
    </comment>
    <comment ref="AD19" authorId="0" shapeId="0">
      <text>
        <t>추정: max(세전, 0) × 세율 22.0%(최근 12분기 세전 합 ≤ 0; 세전 &gt; 0 분기 중위 0.2% 도 5~27% 밖 → 법정세율 근사 22% 가정)
[ratio]</t>
      </text>
    </comment>
    <comment ref="AF19" authorId="0" shapeId="0">
      <text>
        <t>추정: max(세전, 0) × 세율 22.0%(최근 12분기 세전 합 ≤ 0; 세전 &gt; 0 분기 중위 0.2% 도 5~27% 밖 → 법정세율 근사 22% 가정)
[ratio]</t>
      </text>
    </comment>
    <comment ref="AG19" authorId="0" shapeId="0">
      <text>
        <t>추정: max(세전, 0) × 세율 22.0%(최근 12분기 세전 합 ≤ 0; 세전 &gt; 0 분기 중위 0.2% 도 5~27% 밖 → 법정세율 근사 22% 가정)
[ratio]</t>
      </text>
    </comment>
    <comment ref="AH19" authorId="0" shapeId="0">
      <text>
        <t>추정: max(세전, 0) × 세율 22.0%(최근 12분기 세전 합 ≤ 0; 세전 &gt; 0 분기 중위 0.2% 도 5~27% 밖 → 법정세율 근사 22% 가정)
[ratio]</t>
      </text>
    </comment>
    <comment ref="AI19" authorId="0" shapeId="0">
      <text>
        <t>추정: max(세전, 0) × 세율 22.0%(최근 12분기 세전 합 ≤ 0; 세전 &gt; 0 분기 중위 0.2% 도 5~27% 밖 → 법정세율 근사 22% 가정)
[ratio]</t>
      </text>
    </comment>
    <comment ref="AK19" authorId="0" shapeId="0">
      <text>
        <t>추정: max(세전, 0) × 세율 22.0%(최근 12분기 세전 합 ≤ 0; 세전 &gt; 0 분기 중위 0.2% 도 5~27% 밖 → 법정세율 근사 22% 가정)
[ratio]</t>
      </text>
    </comment>
    <comment ref="AL19" authorId="0" shapeId="0">
      <text>
        <t>추정: max(세전, 0) × 세율 22.0%(최근 12분기 세전 합 ≤ 0; 세전 &gt; 0 분기 중위 0.2% 도 5~27% 밖 → 법정세율 근사 22% 가정)
[ratio]</t>
      </text>
    </comment>
    <comment ref="AM19" authorId="0" shapeId="0">
      <text>
        <t>추정: max(세전, 0) × 세율 22.0%(최근 12분기 세전 합 ≤ 0; 세전 &gt; 0 분기 중위 0.2% 도 5~27% 밖 → 법정세율 근사 22% 가정)
[ratio]</t>
      </text>
    </comment>
    <comment ref="AN19" authorId="0" shapeId="0">
      <text>
        <t>추정: max(세전, 0) × 세율 22.0%(최근 12분기 세전 합 ≤ 0; 세전 &gt; 0 분기 중위 0.2% 도 5~27% 밖 → 법정세율 근사 22% 가정)
[ratio]</t>
      </text>
    </comment>
    <comment ref="AC20" authorId="0" shapeId="0">
      <text>
        <t>추정: 세전이익 − 법인세비용(항등식)
[identity]</t>
      </text>
    </comment>
    <comment ref="AD20" authorId="0" shapeId="0">
      <text>
        <t>추정: 세전이익 − 법인세비용(항등식)
[identity]</t>
      </text>
    </comment>
    <comment ref="AF20" authorId="0" shapeId="0">
      <text>
        <t>추정: 세전이익 − 법인세비용(항등식)
[identity]</t>
      </text>
    </comment>
    <comment ref="AG20" authorId="0" shapeId="0">
      <text>
        <t>추정: 세전이익 − 법인세비용(항등식)
[identity]</t>
      </text>
    </comment>
    <comment ref="AH20" authorId="0" shapeId="0">
      <text>
        <t>추정: 세전이익 − 법인세비용(항등식)
[identity]</t>
      </text>
    </comment>
    <comment ref="AI20" authorId="0" shapeId="0">
      <text>
        <t>추정: 세전이익 − 법인세비용(항등식)
[identity]</t>
      </text>
    </comment>
    <comment ref="AK20" authorId="0" shapeId="0">
      <text>
        <t>추정: 세전이익 − 법인세비용(항등식)
[identity]</t>
      </text>
    </comment>
    <comment ref="AL20" authorId="0" shapeId="0">
      <text>
        <t>추정: 세전이익 − 법인세비용(항등식)
[identity]</t>
      </text>
    </comment>
    <comment ref="AM20" authorId="0" shapeId="0">
      <text>
        <t>추정: 세전이익 − 법인세비용(항등식)
[identity]</t>
      </text>
    </comment>
    <comment ref="AN20" authorId="0" shapeId="0">
      <text>
        <t>추정: 세전이익 − 법인세비용(항등식)
[identity]</t>
      </text>
    </comment>
    <comment ref="AC21" authorId="0" shapeId="0">
      <text>
        <t>추정: 당기순이익 × (1 − 비지배 비중 0.0%, 최근 8분기 실측)
[ratio]</t>
      </text>
    </comment>
    <comment ref="AD21" authorId="0" shapeId="0">
      <text>
        <t>추정: 당기순이익 × (1 − 비지배 비중 0.0%, 최근 8분기 실측)
[ratio]</t>
      </text>
    </comment>
    <comment ref="AF21" authorId="0" shapeId="0">
      <text>
        <t>추정: 당기순이익 × (1 − 비지배 비중 0.0%, 최근 8분기 실측)
[ratio]</t>
      </text>
    </comment>
    <comment ref="AG21" authorId="0" shapeId="0">
      <text>
        <t>추정: 당기순이익 × (1 − 비지배 비중 0.0%, 최근 8분기 실측)
[ratio]</t>
      </text>
    </comment>
    <comment ref="AH21" authorId="0" shapeId="0">
      <text>
        <t>추정: 당기순이익 × (1 − 비지배 비중 0.0%, 최근 8분기 실측)
[ratio]</t>
      </text>
    </comment>
    <comment ref="AI21" authorId="0" shapeId="0">
      <text>
        <t>추정: 당기순이익 × (1 − 비지배 비중 0.0%, 최근 8분기 실측)
[ratio]</t>
      </text>
    </comment>
    <comment ref="AK21" authorId="0" shapeId="0">
      <text>
        <t>추정: 당기순이익 × (1 − 비지배 비중 0.0%, 최근 8분기 실측)
[ratio]</t>
      </text>
    </comment>
    <comment ref="AL21" authorId="0" shapeId="0">
      <text>
        <t>추정: 당기순이익 × (1 − 비지배 비중 0.0%, 최근 8분기 실측)
[ratio]</t>
      </text>
    </comment>
    <comment ref="AM21" authorId="0" shapeId="0">
      <text>
        <t>추정: 당기순이익 × (1 − 비지배 비중 0.0%, 최근 8분기 실측)
[ratio]</t>
      </text>
    </comment>
    <comment ref="AN21" authorId="0" shapeId="0">
      <text>
        <t>추정: 당기순이익 × (1 − 비지배 비중 0.0%, 최근 8분기 실측)
[ratio]</t>
      </text>
    </comment>
    <comment ref="AC23" authorId="0" shapeId="0">
      <text>
        <t>추정: 부채총계 + 자본총계(항등식)
[identity]</t>
      </text>
    </comment>
    <comment ref="AD23" authorId="0" shapeId="0">
      <text>
        <t>추정: 부채총계 + 자본총계(항등식)
[identity]</t>
      </text>
    </comment>
    <comment ref="AF23" authorId="0" shapeId="0">
      <text>
        <t>추정: 부채총계 + 자본총계(항등식)
[identity]</t>
      </text>
    </comment>
    <comment ref="AG23" authorId="0" shapeId="0">
      <text>
        <t>추정: 부채총계 + 자본총계(항등식)
[identity]</t>
      </text>
    </comment>
    <comment ref="AH23" authorId="0" shapeId="0">
      <text>
        <t>추정: 부채총계 + 자본총계(항등식)
[identity]</t>
      </text>
    </comment>
    <comment ref="AI23" authorId="0" shapeId="0">
      <text>
        <t>추정: 부채총계 + 자본총계(항등식)
[identity]</t>
      </text>
    </comment>
    <comment ref="AK23" authorId="0" shapeId="0">
      <text>
        <t>추정: 부채총계 + 자본총계(항등식)
[identity]</t>
      </text>
    </comment>
    <comment ref="AL23" authorId="0" shapeId="0">
      <text>
        <t>추정: 부채총계 + 자본총계(항등식)
[identity]</t>
      </text>
    </comment>
    <comment ref="AM23" authorId="0" shapeId="0">
      <text>
        <t>추정: 부채총계 + 자본총계(항등식)
[identity]</t>
      </text>
    </comment>
    <comment ref="AN23" authorId="0" shapeId="0">
      <text>
        <t>추정: 부채총계 + 자본총계(항등식)
[identity]</t>
      </text>
    </comment>
    <comment ref="AC24" authorId="0" shapeId="0">
      <text>
        <t>추정: 마지막 실적 유지(가정)
[qoq]</t>
      </text>
    </comment>
    <comment ref="AD24" authorId="0" shapeId="0">
      <text>
        <t>추정: 마지막 실적 유지(가정)
[qoq]</t>
      </text>
    </comment>
    <comment ref="AF24" authorId="0" shapeId="0">
      <text>
        <t>추정: 마지막 실적 유지(가정)
[qoq]</t>
      </text>
    </comment>
    <comment ref="AG24" authorId="0" shapeId="0">
      <text>
        <t>추정: 마지막 실적 유지(가정)
[qoq]</t>
      </text>
    </comment>
    <comment ref="AH24" authorId="0" shapeId="0">
      <text>
        <t>추정: 마지막 실적 유지(가정)
[qoq]</t>
      </text>
    </comment>
    <comment ref="AI24" authorId="0" shapeId="0">
      <text>
        <t>추정: 마지막 실적 유지(가정)
[qoq]</t>
      </text>
    </comment>
    <comment ref="AK24" authorId="0" shapeId="0">
      <text>
        <t>추정: 마지막 실적 유지(가정)
[qoq]</t>
      </text>
    </comment>
    <comment ref="AL24" authorId="0" shapeId="0">
      <text>
        <t>추정: 마지막 실적 유지(가정)
[qoq]</t>
      </text>
    </comment>
    <comment ref="AM24" authorId="0" shapeId="0">
      <text>
        <t>추정: 마지막 실적 유지(가정)
[qoq]</t>
      </text>
    </comment>
    <comment ref="AN24" authorId="0" shapeId="0">
      <text>
        <t>추정: 마지막 실적 유지(가정)
[qoq]</t>
      </text>
    </comment>
    <comment ref="AC25" authorId="0" shapeId="0">
      <text>
        <t>추정: 전분기 + 당기순이익 − 배당(Q2 지급 가정)
[roll]</t>
      </text>
    </comment>
    <comment ref="AD25" authorId="0" shapeId="0">
      <text>
        <t>추정: 전분기 + 당기순이익 − 배당(Q2 지급 가정)
[roll]</t>
      </text>
    </comment>
    <comment ref="AF25" authorId="0" shapeId="0">
      <text>
        <t>추정: 전분기 + 당기순이익 − 배당(Q2 지급 가정)
[roll]</t>
      </text>
    </comment>
    <comment ref="AG25" authorId="0" shapeId="0">
      <text>
        <t>추정: 전분기 + 당기순이익 − 배당(Q2 지급 가정)
[roll]</t>
      </text>
    </comment>
    <comment ref="AH25" authorId="0" shapeId="0">
      <text>
        <t>추정: 전분기 + 당기순이익 − 배당(Q2 지급 가정)
[roll]</t>
      </text>
    </comment>
    <comment ref="AI25" authorId="0" shapeId="0">
      <text>
        <t>추정: 전분기 + 당기순이익 − 배당(Q2 지급 가정)
[roll]</t>
      </text>
    </comment>
    <comment ref="AK25" authorId="0" shapeId="0">
      <text>
        <t>추정: 전분기 + 당기순이익 − 배당(Q2 지급 가정)
[roll]</t>
      </text>
    </comment>
    <comment ref="AL25" authorId="0" shapeId="0">
      <text>
        <t>추정: 전분기 + 당기순이익 − 배당(Q2 지급 가정)
[roll]</t>
      </text>
    </comment>
    <comment ref="AM25" authorId="0" shapeId="0">
      <text>
        <t>추정: 전분기 + 당기순이익 − 배당(Q2 지급 가정)
[roll]</t>
      </text>
    </comment>
    <comment ref="AN25" authorId="0" shapeId="0">
      <text>
        <t>추정: 전분기 + 당기순이익 − 배당(Q2 지급 가정)
[roll]</t>
      </text>
    </comment>
    <comment ref="AC26" authorId="0" shapeId="0">
      <text>
        <t>추정: 전분기 + 지배주주순이익 − 배당
[roll]</t>
      </text>
    </comment>
    <comment ref="AD26" authorId="0" shapeId="0">
      <text>
        <t>추정: 전분기 + 지배주주순이익 − 배당
[roll]</t>
      </text>
    </comment>
    <comment ref="AF26" authorId="0" shapeId="0">
      <text>
        <t>추정: 전분기 + 지배주주순이익 − 배당
[roll]</t>
      </text>
    </comment>
    <comment ref="AG26" authorId="0" shapeId="0">
      <text>
        <t>추정: 전분기 + 지배주주순이익 − 배당
[roll]</t>
      </text>
    </comment>
    <comment ref="AH26" authorId="0" shapeId="0">
      <text>
        <t>추정: 전분기 + 지배주주순이익 − 배당
[roll]</t>
      </text>
    </comment>
    <comment ref="AI26" authorId="0" shapeId="0">
      <text>
        <t>추정: 전분기 + 지배주주순이익 − 배당
[roll]</t>
      </text>
    </comment>
    <comment ref="AK26" authorId="0" shapeId="0">
      <text>
        <t>추정: 전분기 + 지배주주순이익 − 배당
[roll]</t>
      </text>
    </comment>
    <comment ref="AL26" authorId="0" shapeId="0">
      <text>
        <t>추정: 전분기 + 지배주주순이익 − 배당
[roll]</t>
      </text>
    </comment>
    <comment ref="AM26" authorId="0" shapeId="0">
      <text>
        <t>추정: 전분기 + 지배주주순이익 − 배당
[roll]</t>
      </text>
    </comment>
    <comment ref="AN26" authorId="0" shapeId="0">
      <text>
        <t>추정: 전분기 + 지배주주순이익 − 배당
[roll]</t>
      </text>
    </comment>
    <comment ref="AC27" authorId="0" shapeId="0">
      <text>
        <t>추정: 마지막 실적 유지(가정)
[qoq]</t>
      </text>
    </comment>
    <comment ref="AD27" authorId="0" shapeId="0">
      <text>
        <t>추정: 마지막 실적 유지(가정)
[qoq]</t>
      </text>
    </comment>
    <comment ref="AF27" authorId="0" shapeId="0">
      <text>
        <t>추정: 마지막 실적 유지(가정)
[qoq]</t>
      </text>
    </comment>
    <comment ref="AG27" authorId="0" shapeId="0">
      <text>
        <t>추정: 마지막 실적 유지(가정)
[qoq]</t>
      </text>
    </comment>
    <comment ref="AH27" authorId="0" shapeId="0">
      <text>
        <t>추정: 마지막 실적 유지(가정)
[qoq]</t>
      </text>
    </comment>
    <comment ref="AI27" authorId="0" shapeId="0">
      <text>
        <t>추정: 마지막 실적 유지(가정)
[qoq]</t>
      </text>
    </comment>
    <comment ref="AK27" authorId="0" shapeId="0">
      <text>
        <t>추정: 마지막 실적 유지(가정)
[qoq]</t>
      </text>
    </comment>
    <comment ref="AL27" authorId="0" shapeId="0">
      <text>
        <t>추정: 마지막 실적 유지(가정)
[qoq]</t>
      </text>
    </comment>
    <comment ref="AM27" authorId="0" shapeId="0">
      <text>
        <t>추정: 마지막 실적 유지(가정)
[qoq]</t>
      </text>
    </comment>
    <comment ref="AN27" authorId="0" shapeId="0">
      <text>
        <t>추정: 마지막 실적 유지(가정)
[qoq]</t>
      </text>
    </comment>
    <comment ref="AC28" authorId="0" shapeId="0">
      <text>
        <t>추정: 전분기 − FCF 근사[순이익 − 배당(감가상각비 없음 → CAPEX≈감가 가정, CAPEX 중위 1억은 행에만)] (운전자본 불변·총차입금 유지 가정 → 변동은 전부 현금)
[qoq]</t>
      </text>
    </comment>
    <comment ref="AD28" authorId="0" shapeId="0">
      <text>
        <t>추정: 전분기 − FCF 근사[순이익 − 배당(감가상각비 없음 → CAPEX≈감가 가정, CAPEX 중위 1억은 행에만)] (운전자본 불변·총차입금 유지 가정 → 변동은 전부 현금)
[qoq]</t>
      </text>
    </comment>
    <comment ref="AF28" authorId="0" shapeId="0">
      <text>
        <t>추정: 전분기 − FCF 근사[순이익 − 배당(감가상각비 없음 → CAPEX≈감가 가정, CAPEX 중위 1억은 행에만)] (운전자본 불변·총차입금 유지 가정 → 변동은 전부 현금)
[qoq]</t>
      </text>
    </comment>
    <comment ref="AG28" authorId="0" shapeId="0">
      <text>
        <t>추정: 전분기 − FCF 근사[순이익 − 배당(감가상각비 없음 → CAPEX≈감가 가정, CAPEX 중위 1억은 행에만)] (운전자본 불변·총차입금 유지 가정 → 변동은 전부 현금)
[qoq]</t>
      </text>
    </comment>
    <comment ref="AH28" authorId="0" shapeId="0">
      <text>
        <t>추정: 전분기 − FCF 근사[순이익 − 배당(감가상각비 없음 → CAPEX≈감가 가정, CAPEX 중위 1억은 행에만)] (운전자본 불변·총차입금 유지 가정 → 변동은 전부 현금)
[qoq]</t>
      </text>
    </comment>
    <comment ref="AI28" authorId="0" shapeId="0">
      <text>
        <t>추정: 전분기 − FCF 근사[순이익 − 배당(감가상각비 없음 → CAPEX≈감가 가정, CAPEX 중위 1억은 행에만)] (운전자본 불변·총차입금 유지 가정 → 변동은 전부 현금)
[qoq]</t>
      </text>
    </comment>
    <comment ref="AK28" authorId="0" shapeId="0">
      <text>
        <t>추정: 전분기 − FCF 근사[순이익 − 배당(감가상각비 없음 → CAPEX≈감가 가정, CAPEX 중위 1억은 행에만)] (운전자본 불변·총차입금 유지 가정 → 변동은 전부 현금)
[qoq]</t>
      </text>
    </comment>
    <comment ref="AL28" authorId="0" shapeId="0">
      <text>
        <t>추정: 전분기 − FCF 근사[순이익 − 배당(감가상각비 없음 → CAPEX≈감가 가정, CAPEX 중위 1억은 행에만)] (운전자본 불변·총차입금 유지 가정 → 변동은 전부 현금)
[qoq]</t>
      </text>
    </comment>
    <comment ref="AM28" authorId="0" shapeId="0">
      <text>
        <t>추정: 전분기 − FCF 근사[순이익 − 배당(감가상각비 없음 → CAPEX≈감가 가정, CAPEX 중위 1억은 행에만)] (운전자본 불변·총차입금 유지 가정 → 변동은 전부 현금)
[qoq]</t>
      </text>
    </comment>
    <comment ref="AN28" authorId="0" shapeId="0">
      <text>
        <t>추정: 전분기 − FCF 근사[순이익 − 배당(감가상각비 없음 → CAPEX≈감가 가정, CAPEX 중위 1억은 행에만)] (운전자본 불변·총차입금 유지 가정 → 변동은 전부 현금)
[qoq]</t>
      </text>
    </comment>
    <comment ref="AC29" authorId="0" shapeId="0">
      <text>
        <t>추정: 전분기 + FCF 근사 — 순차입금 롤과 같은 가정
[qoq]</t>
      </text>
    </comment>
    <comment ref="AD29" authorId="0" shapeId="0">
      <text>
        <t>추정: 전분기 + FCF 근사 — 순차입금 롤과 같은 가정
[qoq]</t>
      </text>
    </comment>
    <comment ref="AF29" authorId="0" shapeId="0">
      <text>
        <t>추정: 전분기 + FCF 근사 — 순차입금 롤과 같은 가정
[qoq]</t>
      </text>
    </comment>
    <comment ref="AG29" authorId="0" shapeId="0">
      <text>
        <t>추정: 전분기 + FCF 근사 — 순차입금 롤과 같은 가정
[qoq]</t>
      </text>
    </comment>
    <comment ref="AH29" authorId="0" shapeId="0">
      <text>
        <t>추정: 전분기 + FCF 근사 — 순차입금 롤과 같은 가정
[qoq]</t>
      </text>
    </comment>
    <comment ref="AI29" authorId="0" shapeId="0">
      <text>
        <t>추정: 전분기 + FCF 근사 — 순차입금 롤과 같은 가정
[qoq]</t>
      </text>
    </comment>
    <comment ref="AK29" authorId="0" shapeId="0">
      <text>
        <t>추정: 전분기 + FCF 근사 — 순차입금 롤과 같은 가정
[qoq]</t>
      </text>
    </comment>
    <comment ref="AL29" authorId="0" shapeId="0">
      <text>
        <t>추정: 전분기 + FCF 근사 — 순차입금 롤과 같은 가정
[qoq]</t>
      </text>
    </comment>
    <comment ref="AM29" authorId="0" shapeId="0">
      <text>
        <t>추정: 전분기 + FCF 근사 — 순차입금 롤과 같은 가정
[qoq]</t>
      </text>
    </comment>
    <comment ref="AN29" authorId="0" shapeId="0">
      <text>
        <t>추정: 전분기 + FCF 근사 — 순차입금 롤과 같은 가정
[qoq]</t>
      </text>
    </comment>
    <comment ref="AC31" authorId="0" shapeId="0">
      <text>
        <t>추정: 최근 4분기(2025Q3~2026Q2) CAPEX 중위 유지 — 순차입금 롤에 미반영(감가상각비 없음 → CAPEX≈감가 가정)
[yoy]</t>
      </text>
    </comment>
    <comment ref="AD31" authorId="0" shapeId="0">
      <text>
        <t>추정: 최근 4분기(2025Q3~2026Q2) CAPEX 중위 유지 — 순차입금 롤에 미반영(감가상각비 없음 → CAPEX≈감가 가정)
[yoy]</t>
      </text>
    </comment>
    <comment ref="AF31" authorId="0" shapeId="0">
      <text>
        <t>추정: 최근 4분기(2025Q3~2026Q2) CAPEX 중위 유지 — 순차입금 롤에 미반영(감가상각비 없음 → CAPEX≈감가 가정)
[yoy]</t>
      </text>
    </comment>
    <comment ref="AG31" authorId="0" shapeId="0">
      <text>
        <t>추정: 최근 4분기(2025Q3~2026Q2) CAPEX 중위 유지 — 순차입금 롤에 미반영(감가상각비 없음 → CAPEX≈감가 가정)
[yoy]</t>
      </text>
    </comment>
    <comment ref="AH31" authorId="0" shapeId="0">
      <text>
        <t>추정: 최근 4분기(2025Q3~2026Q2) CAPEX 중위 유지 — 순차입금 롤에 미반영(감가상각비 없음 → CAPEX≈감가 가정)
[yoy]</t>
      </text>
    </comment>
    <comment ref="AI31" authorId="0" shapeId="0">
      <text>
        <t>추정: 최근 4분기(2025Q3~2026Q2) CAPEX 중위 유지 — 순차입금 롤에 미반영(감가상각비 없음 → CAPEX≈감가 가정)
[yoy]</t>
      </text>
    </comment>
    <comment ref="AK31" authorId="0" shapeId="0">
      <text>
        <t>추정: 최근 4분기(2025Q3~2026Q2) CAPEX 중위 유지 — 순차입금 롤에 미반영(감가상각비 없음 → CAPEX≈감가 가정)
[yoy]</t>
      </text>
    </comment>
    <comment ref="AL31" authorId="0" shapeId="0">
      <text>
        <t>추정: 최근 4분기(2025Q3~2026Q2) CAPEX 중위 유지 — 순차입금 롤에 미반영(감가상각비 없음 → CAPEX≈감가 가정)
[yoy]</t>
      </text>
    </comment>
    <comment ref="AM31" authorId="0" shapeId="0">
      <text>
        <t>추정: 최근 4분기(2025Q3~2026Q2) CAPEX 중위 유지 — 순차입금 롤에 미반영(감가상각비 없음 → CAPEX≈감가 가정)
[yoy]</t>
      </text>
    </comment>
    <comment ref="AN31" authorId="0" shapeId="0">
      <text>
        <t>추정: 최근 4분기(2025Q3~2026Q2) CAPEX 중위 유지 — 순차입금 롤에 미반영(감가상각비 없음 → CAPEX≈감가 가정)
[yoy]</t>
      </text>
    </comment>
    <comment ref="E33" authorId="0" shapeId="0">
      <text>
        <t>추정(실적 구간 갭필): fin.shares.common_outstanding 71,750,792주 × 1/16(환산 — 2023Q1 1/4 병합 · 2026Q2 분기말 후 1/4(aik 상장주식수); IAS 33.64 비교표시·수정주가 이력과 정합)</t>
      </text>
    </comment>
    <comment ref="G33" authorId="0" shapeId="0">
      <text>
        <t>추정(실적 구간 갭필): fin.shares.common_outstanding 71,750,792주 × 1/16(환산 — 2023Q1 1/4 병합 · 2026Q2 분기말 후 1/4(aik 상장주식수); IAS 33.64 비교표시·수정주가 이력과 정합)</t>
      </text>
    </comment>
    <comment ref="H33" authorId="0" shapeId="0">
      <text>
        <t>추정(실적 구간 갭필): fin.shares.common_outstanding 71,750,792주 × 1/16(환산 — 2023Q1 1/4 병합 · 2026Q2 분기말 후 1/4(aik 상장주식수); IAS 33.64 비교표시·수정주가 이력과 정합)</t>
      </text>
    </comment>
    <comment ref="I33" authorId="0" shapeId="0">
      <text>
        <t>추정(실적 구간 갭필): fin.shares.common_outstanding 71,750,792주 × 1/16(환산 — 2023Q1 1/4 병합 · 2026Q2 분기말 후 1/4(aik 상장주식수); IAS 33.64 비교표시·수정주가 이력과 정합)</t>
      </text>
    </comment>
    <comment ref="J33" authorId="0" shapeId="0">
      <text>
        <t>추정(실적 구간 갭필): fin.shares.common_outstanding 71,750,792주 × 1/16(환산 — 2023Q1 1/4 병합 · 2026Q2 분기말 후 1/4(aik 상장주식수); IAS 33.64 비교표시·수정주가 이력과 정합)</t>
      </text>
    </comment>
    <comment ref="L33" authorId="0" shapeId="0">
      <text>
        <t>추정(실적 구간 갭필): fin.shares.common_outstanding 17,937,698주 × 1/4(환산 — 2026Q2 분기말 후 1/4(aik 상장주식수); IAS 33.64 비교표시·수정주가 이력과 정합)</t>
      </text>
    </comment>
    <comment ref="M33" authorId="0" shapeId="0">
      <text>
        <t>추정(실적 구간 갭필): fin.shares.common_outstanding 18,779,448주 × 1/4(환산 — 2026Q2 분기말 후 1/4(aik 상장주식수); IAS 33.64 비교표시·수정주가 이력과 정합)</t>
      </text>
    </comment>
    <comment ref="N33" authorId="0" shapeId="0">
      <text>
        <t>추정(실적 구간 갭필): fin.shares.common_outstanding 18,779,448주 × 1/4(환산 — 2026Q2 분기말 후 1/4(aik 상장주식수); IAS 33.64 비교표시·수정주가 이력과 정합)</t>
      </text>
    </comment>
    <comment ref="O33" authorId="0" shapeId="0">
      <text>
        <t>추정(실적 구간 갭필): fin.shares.common_outstanding 18,779,448주 × 1/4(환산 — 2026Q2 분기말 후 1/4(aik 상장주식수); IAS 33.64 비교표시·수정주가 이력과 정합)</t>
      </text>
    </comment>
    <comment ref="Q33" authorId="0" shapeId="0">
      <text>
        <t>추정(실적 구간 갭필): fin.shares.common_outstanding 22,842,424주 × 1/4(환산 — 2026Q2 분기말 후 1/4(aik 상장주식수); IAS 33.64 비교표시·수정주가 이력과 정합)</t>
      </text>
    </comment>
    <comment ref="R33" authorId="0" shapeId="0">
      <text>
        <t>추정(실적 구간 갭필): fin.shares.common_outstanding 30,132,955주 × 1/4(환산 — 2026Q2 분기말 후 1/4(aik 상장주식수); IAS 33.64 비교표시·수정주가 이력과 정합)</t>
      </text>
    </comment>
    <comment ref="S33" authorId="0" shapeId="0">
      <text>
        <t>추정(실적 구간 갭필): fin.shares.common_outstanding 30,132,640주 × 1/4(환산 — 2026Q2 분기말 후 1/4(aik 상장주식수); IAS 33.64 비교표시·수정주가 이력과 정합)</t>
      </text>
    </comment>
    <comment ref="T33" authorId="0" shapeId="0">
      <text>
        <t>추정(실적 구간 갭필): fin.shares.common_outstanding 30,630,152주 × 1/4(환산 — 2026Q2 분기말 후 1/4(aik 상장주식수); IAS 33.64 비교표시·수정주가 이력과 정합)</t>
      </text>
    </comment>
    <comment ref="V33" authorId="0" shapeId="0">
      <text>
        <t>추정(실적 구간 갭필): fin.shares.common_outstanding 33,254,823주 × 1/4(환산 — 2026Q2 분기말 후 1/4(aik 상장주식수); IAS 33.64 비교표시·수정주가 이력과 정합)</t>
      </text>
    </comment>
    <comment ref="W33" authorId="0" shapeId="0">
      <text>
        <t>추정(실적 구간 갭필): fin.shares.common_outstanding 33,429,823주 × 1/4(환산 — 2026Q2 분기말 후 1/4(aik 상장주식수); IAS 33.64 비교표시·수정주가 이력과 정합)</t>
      </text>
    </comment>
    <comment ref="X33" authorId="0" shapeId="0">
      <text>
        <t>추정(실적 구간 갭필): fin.shares.common_outstanding 33,429,823주 × 1/4(환산 — 2026Q2 분기말 후 1/4(aik 상장주식수); IAS 33.64 비교표시·수정주가 이력과 정합)</t>
      </text>
    </comment>
    <comment ref="Y33" authorId="0" shapeId="0">
      <text>
        <t>추정(실적 구간 갭필): fin.shares.common_outstanding 33,429,823주 × 1/4(환산 — 2026Q2 분기말 후 1/4(aik 상장주식수); IAS 33.64 비교표시·수정주가 이력과 정합)</t>
      </text>
    </comment>
    <comment ref="AA33" authorId="0" shapeId="0">
      <text>
        <t>추정(실적 구간 갭필): fin.shares.common_outstanding 39,624,969주 × 1/4(환산 — 2026Q2 분기말 후 1/4(aik 상장주식수); IAS 33.64 비교표시·수정주가 이력과 정합)</t>
      </text>
    </comment>
    <comment ref="AB33" authorId="0" shapeId="0">
      <text>
        <t>추정(실적 구간 갭필): fin.shares.common_outstanding 39,624,969주 × 1/4(환산 — 2026Q2 분기말 후 1/4(aik 상장주식수); IAS 33.64 비교표시·수정주가 이력과 정합)</t>
      </text>
    </comment>
    <comment ref="AC33" authorId="0" shapeId="0">
      <text>
        <t>추정: 유통주식수 유지 — prices.json shares_outstanding(aik 상장 9,910,487 = fin 2026Q2 보통주 발행 39,641,948 × 1/4 — 분기말 후 병합) − 자기주식 16,979 × 1/4
[qoq]</t>
      </text>
    </comment>
    <comment ref="AD33" authorId="0" shapeId="0">
      <text>
        <t>추정: 유통주식수 유지 — prices.json shares_outstanding(aik 상장 9,910,487 = fin 2026Q2 보통주 발행 39,641,948 × 1/4 — 분기말 후 병합) − 자기주식 16,979 × 1/4
[qoq]</t>
      </text>
    </comment>
    <comment ref="AF33" authorId="0" shapeId="0">
      <text>
        <t>추정: 유통주식수 유지 — prices.json shares_outstanding(aik 상장 9,910,487 = fin 2026Q2 보통주 발행 39,641,948 × 1/4 — 분기말 후 병합) − 자기주식 16,979 × 1/4
[qoq]</t>
      </text>
    </comment>
    <comment ref="AG33" authorId="0" shapeId="0">
      <text>
        <t>추정: 유통주식수 유지 — prices.json shares_outstanding(aik 상장 9,910,487 = fin 2026Q2 보통주 발행 39,641,948 × 1/4 — 분기말 후 병합) − 자기주식 16,979 × 1/4
[qoq]</t>
      </text>
    </comment>
    <comment ref="AH33" authorId="0" shapeId="0">
      <text>
        <t>추정: 유통주식수 유지 — prices.json shares_outstanding(aik 상장 9,910,487 = fin 2026Q2 보통주 발행 39,641,948 × 1/4 — 분기말 후 병합) − 자기주식 16,979 × 1/4
[qoq]</t>
      </text>
    </comment>
    <comment ref="AI33" authorId="0" shapeId="0">
      <text>
        <t>추정: 유통주식수 유지 — prices.json shares_outstanding(aik 상장 9,910,487 = fin 2026Q2 보통주 발행 39,641,948 × 1/4 — 분기말 후 병합) − 자기주식 16,979 × 1/4
[qoq]</t>
      </text>
    </comment>
    <comment ref="AK33" authorId="0" shapeId="0">
      <text>
        <t>추정: 유통주식수 유지 — prices.json shares_outstanding(aik 상장 9,910,487 = fin 2026Q2 보통주 발행 39,641,948 × 1/4 — 분기말 후 병합) − 자기주식 16,979 × 1/4
[qoq]</t>
      </text>
    </comment>
    <comment ref="AL33" authorId="0" shapeId="0">
      <text>
        <t>추정: 유통주식수 유지 — prices.json shares_outstanding(aik 상장 9,910,487 = fin 2026Q2 보통주 발행 39,641,948 × 1/4 — 분기말 후 병합) − 자기주식 16,979 × 1/4
[qoq]</t>
      </text>
    </comment>
    <comment ref="AM33" authorId="0" shapeId="0">
      <text>
        <t>추정: 유통주식수 유지 — prices.json shares_outstanding(aik 상장 9,910,487 = fin 2026Q2 보통주 발행 39,641,948 × 1/4 — 분기말 후 병합) − 자기주식 16,979 × 1/4
[qoq]</t>
      </text>
    </comment>
    <comment ref="AN33" authorId="0" shapeId="0">
      <text>
        <t>추정: 유통주식수 유지 — prices.json shares_outstanding(aik 상장 9,910,487 = fin 2026Q2 보통주 발행 39,641,948 × 1/4 — 분기말 후 병합) − 자기주식 16,979 × 1/4
[qoq]</t>
      </text>
    </comment>
    <comment ref="AC34" authorId="0" shapeId="0">
      <text>
        <t>추정: 지배주주순이익 ÷ 유통주식수
[per_share]</t>
      </text>
    </comment>
    <comment ref="AD34" authorId="0" shapeId="0">
      <text>
        <t>추정: 지배주주순이익 ÷ 유통주식수
[per_share]</t>
      </text>
    </comment>
    <comment ref="AF34" authorId="0" shapeId="0">
      <text>
        <t>추정: 지배주주순이익 ÷ 유통주식수
[per_share]</t>
      </text>
    </comment>
    <comment ref="AG34" authorId="0" shapeId="0">
      <text>
        <t>추정: 지배주주순이익 ÷ 유통주식수
[per_share]</t>
      </text>
    </comment>
    <comment ref="AH34" authorId="0" shapeId="0">
      <text>
        <t>추정: 지배주주순이익 ÷ 유통주식수
[per_share]</t>
      </text>
    </comment>
    <comment ref="AI34" authorId="0" shapeId="0">
      <text>
        <t>추정: 지배주주순이익 ÷ 유통주식수
[per_share]</t>
      </text>
    </comment>
    <comment ref="AK34" authorId="0" shapeId="0">
      <text>
        <t>추정: 지배주주순이익 ÷ 유통주식수
[per_share]</t>
      </text>
    </comment>
    <comment ref="AL34" authorId="0" shapeId="0">
      <text>
        <t>추정: 지배주주순이익 ÷ 유통주식수
[per_share]</t>
      </text>
    </comment>
    <comment ref="AM34" authorId="0" shapeId="0">
      <text>
        <t>추정: 지배주주순이익 ÷ 유통주식수
[per_share]</t>
      </text>
    </comment>
    <comment ref="AN34" authorId="0" shapeId="0">
      <text>
        <t>추정: 지배주주순이익 ÷ 유통주식수
[per_share]</t>
      </text>
    </comment>
    <comment ref="AB35" authorId="0" shapeId="0">
      <text>
        <t>조정EPS 산식(모델 추정, 일회성 여부·세효과 주석 미확인): 지배NI − 초과 비영업손익 36억 × (1 − 세율 0.2% [분기 유효세율(법인세 0억 ÷ 세전 25억)]) × 지배 비중 1.0000 [그 분기 지배NI/NI] = -10억 ÷ 유통주식수 · 초과 = 비영업손익 33억 − 12분기 기준선 -2억 · 보고 EPS 254원(EPS 행 불변) · 상수 35.56·1.0 는 모델 one_offs_detected 값(세전·법인세 셀을 바꿔도 재계산되지 않음)</t>
      </text>
    </comment>
    <comment ref="AC35" authorId="0" shapeId="0">
      <text>
        <t>추정: = EPS(추정 구간은 일회성 미가정)
[identity]</t>
      </text>
    </comment>
    <comment ref="AD35" authorId="0" shapeId="0">
      <text>
        <t>추정: = EPS(추정 구간은 일회성 미가정)
[identity]</t>
      </text>
    </comment>
    <comment ref="AF35" authorId="0" shapeId="0">
      <text>
        <t>추정: = EPS(추정 구간은 일회성 미가정)
[identity]</t>
      </text>
    </comment>
    <comment ref="AG35" authorId="0" shapeId="0">
      <text>
        <t>추정: = EPS(추정 구간은 일회성 미가정)
[identity]</t>
      </text>
    </comment>
    <comment ref="AH35" authorId="0" shapeId="0">
      <text>
        <t>추정: = EPS(추정 구간은 일회성 미가정)
[identity]</t>
      </text>
    </comment>
    <comment ref="AI35" authorId="0" shapeId="0">
      <text>
        <t>추정: = EPS(추정 구간은 일회성 미가정)
[identity]</t>
      </text>
    </comment>
    <comment ref="AK35" authorId="0" shapeId="0">
      <text>
        <t>추정: = EPS(추정 구간은 일회성 미가정)
[identity]</t>
      </text>
    </comment>
    <comment ref="AL35" authorId="0" shapeId="0">
      <text>
        <t>추정: = EPS(추정 구간은 일회성 미가정)
[identity]</t>
      </text>
    </comment>
    <comment ref="AM35" authorId="0" shapeId="0">
      <text>
        <t>추정: = EPS(추정 구간은 일회성 미가정)
[identity]</t>
      </text>
    </comment>
    <comment ref="AN35" authorId="0" shapeId="0">
      <text>
        <t>추정: = EPS(추정 구간은 일회성 미가정)
[identity]</t>
      </text>
    </comment>
    <comment ref="AC36" authorId="0" shapeId="0">
      <text>
        <t>추정: 지배주주지분 ÷ 유통주식수
[per_share]</t>
      </text>
    </comment>
    <comment ref="AD36" authorId="0" shapeId="0">
      <text>
        <t>추정: 지배주주지분 ÷ 유통주식수
[per_share]</t>
      </text>
    </comment>
    <comment ref="AF36" authorId="0" shapeId="0">
      <text>
        <t>추정: 지배주주지분 ÷ 유통주식수
[per_share]</t>
      </text>
    </comment>
    <comment ref="AG36" authorId="0" shapeId="0">
      <text>
        <t>추정: 지배주주지분 ÷ 유통주식수
[per_share]</t>
      </text>
    </comment>
    <comment ref="AH36" authorId="0" shapeId="0">
      <text>
        <t>추정: 지배주주지분 ÷ 유통주식수
[per_share]</t>
      </text>
    </comment>
    <comment ref="AI36" authorId="0" shapeId="0">
      <text>
        <t>추정: 지배주주지분 ÷ 유통주식수
[per_share]</t>
      </text>
    </comment>
    <comment ref="AK36" authorId="0" shapeId="0">
      <text>
        <t>추정: 지배주주지분 ÷ 유통주식수
[per_share]</t>
      </text>
    </comment>
    <comment ref="AL36" authorId="0" shapeId="0">
      <text>
        <t>추정: 지배주주지분 ÷ 유통주식수
[per_share]</t>
      </text>
    </comment>
    <comment ref="AM36" authorId="0" shapeId="0">
      <text>
        <t>추정: 지배주주지분 ÷ 유통주식수
[per_share]</t>
      </text>
    </comment>
    <comment ref="AN36" authorId="0" shapeId="0">
      <text>
        <t>추정: 지배주주지분 ÷ 유통주식수
[per_share]</t>
      </text>
    </comment>
    <comment ref="E37" authorId="0" shapeId="0">
      <text>
        <t>실측(계정 매핑 없음(파생·부문·시세 행) — 모델값 직접) — fin.dividend.dps_common(연간, Q4 에 표기)</t>
      </text>
    </comment>
    <comment ref="F37" authorId="0" shapeId="0">
      <text>
        <t>연간(actual) — 분기 미완 연도, 모델 a 값 직접</t>
      </text>
    </comment>
    <comment ref="J37" authorId="0" shapeId="0">
      <text>
        <t>실측(계정 매핑 없음(파생·부문·시세 행) — 모델값 직접) — fin.dividend.dps_common(연간, Q4 에 표기)</t>
      </text>
    </comment>
    <comment ref="O37" authorId="0" shapeId="0">
      <text>
        <t>실측(계정 매핑 없음(파생·부문·시세 행) — 모델값 직접) — fin.dividend.dps_common(연간, Q4 에 표기)</t>
      </text>
    </comment>
    <comment ref="T37" authorId="0" shapeId="0">
      <text>
        <t>실측(계정 매핑 없음(파생·부문·시세 행) — 모델값 직접) — fin.dividend.dps_common(연간, Q4 에 표기)</t>
      </text>
    </comment>
    <comment ref="Y37" authorId="0" shapeId="0">
      <text>
        <t>실측(계정 매핑 없음(파생·부문·시세 행) — 모델값 직접) — fin.dividend.dps_common(연간, Q4 에 표기)</t>
      </text>
    </comment>
    <comment ref="AD37" authorId="0" shapeId="0">
      <text>
        <t>추정: 직전 결산 DPS 0원 유지
[abs]</t>
      </text>
    </comment>
    <comment ref="AI37" authorId="0" shapeId="0">
      <text>
        <t>추정: 직전 결산 DPS 0원 유지
[abs]</t>
      </text>
    </comment>
    <comment ref="AN37" authorId="0" shapeId="0">
      <text>
        <t>추정: 직전 결산 DPS 0원 유지
[abs]</t>
      </text>
    </comment>
    <comment ref="AC39" authorId="0" shapeId="0">
      <text>
        <t>추정: 현재 종가 ÷ BPS(추정 포함)
[valuation]</t>
      </text>
    </comment>
    <comment ref="AD39" authorId="0" shapeId="0">
      <text>
        <t>추정: 현재 종가 ÷ BPS(추정 포함)
[valuation]</t>
      </text>
    </comment>
    <comment ref="AF39" authorId="0" shapeId="0">
      <text>
        <t>추정: 현재 종가 ÷ BPS(추정 포함)
[valuation]</t>
      </text>
    </comment>
    <comment ref="AG39" authorId="0" shapeId="0">
      <text>
        <t>추정: 현재 종가 ÷ BPS(추정 포함)
[valuation]</t>
      </text>
    </comment>
    <comment ref="AH39" authorId="0" shapeId="0">
      <text>
        <t>추정: 현재 종가 ÷ BPS(추정 포함)
[valuation]</t>
      </text>
    </comment>
    <comment ref="AI39" authorId="0" shapeId="0">
      <text>
        <t>추정: 현재 종가 ÷ BPS(추정 포함)
[valuation]</t>
      </text>
    </comment>
    <comment ref="AK39" authorId="0" shapeId="0">
      <text>
        <t>추정: 현재 종가 ÷ BPS(추정 포함)
[valuation]</t>
      </text>
    </comment>
    <comment ref="AL39" authorId="0" shapeId="0">
      <text>
        <t>추정: 현재 종가 ÷ BPS(추정 포함)
[valuation]</t>
      </text>
    </comment>
    <comment ref="AM39" authorId="0" shapeId="0">
      <text>
        <t>추정: 현재 종가 ÷ BPS(추정 포함)
[valuation]</t>
      </text>
    </comment>
    <comment ref="AN39" authorId="0" shapeId="0">
      <text>
        <t>추정: 현재 종가 ÷ BPS(추정 포함)
[valuation]</t>
      </text>
    </comment>
    <comment ref="E40" authorId="0" shapeId="0">
      <text>
        <t>실측(계정 매핑 없음(파생·부문·시세 행) — 모델값 직접) — = 매출액(부문 미분리)</t>
      </text>
    </comment>
    <comment ref="G40" authorId="0" shapeId="0">
      <text>
        <t>실측(계정 매핑 없음(파생·부문·시세 행) — 모델값 직접) — = 매출액(부문 미분리)</t>
      </text>
    </comment>
    <comment ref="H40" authorId="0" shapeId="0">
      <text>
        <t>실측(계정 매핑 없음(파생·부문·시세 행) — 모델값 직접) — = 매출액(부문 미분리)</t>
      </text>
    </comment>
    <comment ref="I40" authorId="0" shapeId="0">
      <text>
        <t>실측(계정 매핑 없음(파생·부문·시세 행) — 모델값 직접) — = 매출액(부문 미분리)</t>
      </text>
    </comment>
    <comment ref="J40" authorId="0" shapeId="0">
      <text>
        <t>실측(계정 매핑 없음(파생·부문·시세 행) — 모델값 직접) — = 매출액(부문 미분리)</t>
      </text>
    </comment>
    <comment ref="L40" authorId="0" shapeId="0">
      <text>
        <t>실측(계정 매핑 없음(파생·부문·시세 행) — 모델값 직접) — = 매출액(부문 미분리)</t>
      </text>
    </comment>
    <comment ref="M40" authorId="0" shapeId="0">
      <text>
        <t>실측(계정 매핑 없음(파생·부문·시세 행) — 모델값 직접) — = 매출액(부문 미분리)</t>
      </text>
    </comment>
    <comment ref="N40" authorId="0" shapeId="0">
      <text>
        <t>실측(계정 매핑 없음(파생·부문·시세 행) — 모델값 직접) — = 매출액(부문 미분리)</t>
      </text>
    </comment>
    <comment ref="O40" authorId="0" shapeId="0">
      <text>
        <t>실측(계정 매핑 없음(파생·부문·시세 행) — 모델값 직접) — = 매출액(부문 미분리)</t>
      </text>
    </comment>
    <comment ref="Q40" authorId="0" shapeId="0">
      <text>
        <t>실측(계정 매핑 없음(파생·부문·시세 행) — 모델값 직접) — = 매출액(부문 미분리)</t>
      </text>
    </comment>
    <comment ref="R40" authorId="0" shapeId="0">
      <text>
        <t>실측(계정 매핑 없음(파생·부문·시세 행) — 모델값 직접) — = 매출액(부문 미분리)</t>
      </text>
    </comment>
    <comment ref="S40" authorId="0" shapeId="0">
      <text>
        <t>실측(계정 매핑 없음(파생·부문·시세 행) — 모델값 직접) — = 매출액(부문 미분리)</t>
      </text>
    </comment>
    <comment ref="T40" authorId="0" shapeId="0">
      <text>
        <t>실측(계정 매핑 없음(파생·부문·시세 행) — 모델값 직접) — = 매출액(부문 미분리)</t>
      </text>
    </comment>
    <comment ref="V40" authorId="0" shapeId="0">
      <text>
        <t>실측(계정 매핑 없음(파생·부문·시세 행) — 모델값 직접) — = 매출액(부문 미분리)</t>
      </text>
    </comment>
    <comment ref="W40" authorId="0" shapeId="0">
      <text>
        <t>실측(계정 매핑 없음(파생·부문·시세 행) — 모델값 직접) — = 매출액(부문 미분리)</t>
      </text>
    </comment>
    <comment ref="X40" authorId="0" shapeId="0">
      <text>
        <t>실측(계정 매핑 없음(파생·부문·시세 행) — 모델값 직접) — = 매출액(부문 미분리)</t>
      </text>
    </comment>
    <comment ref="Y40" authorId="0" shapeId="0">
      <text>
        <t>실측(계정 매핑 없음(파생·부문·시세 행) — 모델값 직접) — = 매출액(부문 미분리)</t>
      </text>
    </comment>
    <comment ref="AA40" authorId="0" shapeId="0">
      <text>
        <t>실측(계정 매핑 없음(파생·부문·시세 행) — 모델값 직접) — = 매출액(부문 미분리)</t>
      </text>
    </comment>
    <comment ref="AB40" authorId="0" shapeId="0">
      <text>
        <t>실측(계정 매핑 없음(파생·부문·시세 행) — 모델값 직접) — = 매출액(부문 미분리)</t>
      </text>
    </comment>
    <comment ref="AC40" authorId="0" shapeId="0">
      <text>
        <t>추정: = 매출액 추정(부문 미분리)
[identity]</t>
      </text>
    </comment>
    <comment ref="AD40" authorId="0" shapeId="0">
      <text>
        <t>추정: = 매출액 추정(부문 미분리)
[identity]</t>
      </text>
    </comment>
    <comment ref="AF40" authorId="0" shapeId="0">
      <text>
        <t>추정: = 매출액 추정(부문 미분리)
[identity]</t>
      </text>
    </comment>
    <comment ref="AG40" authorId="0" shapeId="0">
      <text>
        <t>추정: = 매출액 추정(부문 미분리)
[identity]</t>
      </text>
    </comment>
    <comment ref="AH40" authorId="0" shapeId="0">
      <text>
        <t>추정: = 매출액 추정(부문 미분리)
[identity]</t>
      </text>
    </comment>
    <comment ref="AI40" authorId="0" shapeId="0">
      <text>
        <t>추정: = 매출액 추정(부문 미분리)
[identity]</t>
      </text>
    </comment>
    <comment ref="AK40" authorId="0" shapeId="0">
      <text>
        <t>추정: = 매출액 추정(부문 미분리)
[identity]</t>
      </text>
    </comment>
    <comment ref="AL40" authorId="0" shapeId="0">
      <text>
        <t>추정: = 매출액 추정(부문 미분리)
[identity]</t>
      </text>
    </comment>
    <comment ref="AM40" authorId="0" shapeId="0">
      <text>
        <t>추정: = 매출액 추정(부문 미분리)
[identity]</t>
      </text>
    </comment>
    <comment ref="AN40" authorId="0" shapeId="0">
      <text>
        <t>추정: = 매출액 추정(부문 미분리)
[identity]</t>
      </text>
    </comment>
    <comment ref="E41" authorId="0" shapeId="0">
      <text>
        <t>실측(계정 매핑 없음(파생·부문·시세 행) — 모델값 직접) — = 영업이익(부문 미분리)</t>
      </text>
    </comment>
    <comment ref="G41" authorId="0" shapeId="0">
      <text>
        <t>실측(계정 매핑 없음(파생·부문·시세 행) — 모델값 직접) — = 영업이익(부문 미분리)</t>
      </text>
    </comment>
    <comment ref="H41" authorId="0" shapeId="0">
      <text>
        <t>실측(계정 매핑 없음(파생·부문·시세 행) — 모델값 직접) — = 영업이익(부문 미분리)</t>
      </text>
    </comment>
    <comment ref="I41" authorId="0" shapeId="0">
      <text>
        <t>실측(계정 매핑 없음(파생·부문·시세 행) — 모델값 직접) — = 영업이익(부문 미분리)</t>
      </text>
    </comment>
    <comment ref="J41" authorId="0" shapeId="0">
      <text>
        <t>실측(계정 매핑 없음(파생·부문·시세 행) — 모델값 직접) — = 영업이익(부문 미분리)</t>
      </text>
    </comment>
    <comment ref="L41" authorId="0" shapeId="0">
      <text>
        <t>실측(계정 매핑 없음(파생·부문·시세 행) — 모델값 직접) — = 영업이익(부문 미분리)</t>
      </text>
    </comment>
    <comment ref="M41" authorId="0" shapeId="0">
      <text>
        <t>실측(계정 매핑 없음(파생·부문·시세 행) — 모델값 직접) — = 영업이익(부문 미분리)</t>
      </text>
    </comment>
    <comment ref="N41" authorId="0" shapeId="0">
      <text>
        <t>실측(계정 매핑 없음(파생·부문·시세 행) — 모델값 직접) — = 영업이익(부문 미분리)</t>
      </text>
    </comment>
    <comment ref="O41" authorId="0" shapeId="0">
      <text>
        <t>실측(계정 매핑 없음(파생·부문·시세 행) — 모델값 직접) — = 영업이익(부문 미분리)</t>
      </text>
    </comment>
    <comment ref="Q41" authorId="0" shapeId="0">
      <text>
        <t>실측(계정 매핑 없음(파생·부문·시세 행) — 모델값 직접) — = 영업이익(부문 미분리)</t>
      </text>
    </comment>
    <comment ref="R41" authorId="0" shapeId="0">
      <text>
        <t>실측(계정 매핑 없음(파생·부문·시세 행) — 모델값 직접) — = 영업이익(부문 미분리)</t>
      </text>
    </comment>
    <comment ref="S41" authorId="0" shapeId="0">
      <text>
        <t>실측(계정 매핑 없음(파생·부문·시세 행) — 모델값 직접) — = 영업이익(부문 미분리)</t>
      </text>
    </comment>
    <comment ref="T41" authorId="0" shapeId="0">
      <text>
        <t>실측(계정 매핑 없음(파생·부문·시세 행) — 모델값 직접) — = 영업이익(부문 미분리)</t>
      </text>
    </comment>
    <comment ref="V41" authorId="0" shapeId="0">
      <text>
        <t>실측(계정 매핑 없음(파생·부문·시세 행) — 모델값 직접) — = 영업이익(부문 미분리)</t>
      </text>
    </comment>
    <comment ref="W41" authorId="0" shapeId="0">
      <text>
        <t>실측(계정 매핑 없음(파생·부문·시세 행) — 모델값 직접) — = 영업이익(부문 미분리)</t>
      </text>
    </comment>
    <comment ref="X41" authorId="0" shapeId="0">
      <text>
        <t>실측(계정 매핑 없음(파생·부문·시세 행) — 모델값 직접) — = 영업이익(부문 미분리)</t>
      </text>
    </comment>
    <comment ref="Y41" authorId="0" shapeId="0">
      <text>
        <t>실측(계정 매핑 없음(파생·부문·시세 행) — 모델값 직접) — = 영업이익(부문 미분리)</t>
      </text>
    </comment>
    <comment ref="AA41" authorId="0" shapeId="0">
      <text>
        <t>실측(계정 매핑 없음(파생·부문·시세 행) — 모델값 직접) — = 영업이익(부문 미분리)</t>
      </text>
    </comment>
    <comment ref="AB41" authorId="0" shapeId="0">
      <text>
        <t>실측(계정 매핑 없음(파생·부문·시세 행) — 모델값 직접) — = 영업이익(부문 미분리)</t>
      </text>
    </comment>
    <comment ref="AC41" authorId="0" shapeId="0">
      <text>
        <t>추정: = 매출액 × OPM(부문 미분리)
[identity]</t>
      </text>
    </comment>
    <comment ref="AD41" authorId="0" shapeId="0">
      <text>
        <t>추정: = 매출액 × OPM(부문 미분리)
[identity]</t>
      </text>
    </comment>
    <comment ref="AF41" authorId="0" shapeId="0">
      <text>
        <t>추정: = 매출액 × OPM(부문 미분리)
[identity]</t>
      </text>
    </comment>
    <comment ref="AG41" authorId="0" shapeId="0">
      <text>
        <t>추정: = 매출액 × OPM(부문 미분리)
[identity]</t>
      </text>
    </comment>
    <comment ref="AH41" authorId="0" shapeId="0">
      <text>
        <t>추정: = 매출액 × OPM(부문 미분리)
[identity]</t>
      </text>
    </comment>
    <comment ref="AI41" authorId="0" shapeId="0">
      <text>
        <t>추정: = 매출액 × OPM(부문 미분리)
[identity]</t>
      </text>
    </comment>
    <comment ref="AK41" authorId="0" shapeId="0">
      <text>
        <t>추정: = 매출액 × OPM(부문 미분리)
[identity]</t>
      </text>
    </comment>
    <comment ref="AL41" authorId="0" shapeId="0">
      <text>
        <t>추정: = 매출액 × OPM(부문 미분리)
[identity]</t>
      </text>
    </comment>
    <comment ref="AM41" authorId="0" shapeId="0">
      <text>
        <t>추정: = 매출액 × OPM(부문 미분리)
[identity]</t>
      </text>
    </comment>
    <comment ref="AN41" authorId="0" shapeId="0">
      <text>
        <t>추정: = 매출액 × OPM(부문 미분리)
[identity]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KS인더스트리(101000) 실적 모델 — ARGUS 한국조선</t>
        </is>
      </c>
    </row>
    <row r="2">
      <c r="A2" t="inlineStr">
        <is>
          <t>기준 분기 2026Q2 · 마지막 실적 2026Q2 · 생성 2026-10-11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수식, 조정EPS 는 EPS 참조(일회성 의심 분기만 산식 셀)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22.00% — 연결 안 됨(MAX(세전,0)×단일 세율로 재현 불가(지주 자회사 합산 등) → 분기별 역산) — 드라이버 행 분기별 역산값 사용</t>
        </is>
      </c>
    </row>
    <row r="23">
      <c r="A23" t="inlineStr">
        <is>
          <t>· 판관비율 24.96% — 판관비 = 매출액 × 판관비율, 추정 전 분기 연결</t>
        </is>
      </c>
    </row>
    <row r="24">
      <c r="A24" t="inlineStr">
        <is>
          <t>· 지배주주 비중 100.0% — 지배주주순이익 = 당기순이익 × 비중, 추정 전 분기 연결</t>
        </is>
      </c>
    </row>
    <row r="25">
      <c r="A25" t="inlineStr">
        <is>
          <t>· 이자율 자산 0.85% / 부채 15.95% — 이자손익 = (전분기 이자발생자산 × 자산이자율 − 전분기 총차입금 × 부채이자율)/4, 최소자승 역산(모델 assumptions [0.0086, 0.1595] 는 4자리 반올림이라 그대로 쓰면 ±1억 어긋남) · 출처: {"asset": "CF 이자수취 ÷ 평균 이자발생자산(2025Q3~2026Q2; 주석 이자수익 연율 2.8% 클립 — 주석 마지막 분기 2026Q1 ≠ 마지막 실적 2026Q2(stale) · 주석/CF 3.24배 · CF 창 2025Q3~2026Q2(= la))", "debt": "주석 이자비용 ÷ 평균 총차입금(2025Q1~2026Q1)"}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조정EPS(일회성 의심 1분기: 2026Q2 보고 254→조정 -105원) — 의심 분기 = 지배NI − (비영업손익 − 12분기 기준선) × (1 − 세율) × 지배 비중 ÷ 유통주식수(subQ 수식+메모, 세후 초과·지배 비중은 모델 상수), 다른 분기 = EPS. 보고 EPS 행·TP 12M fwd EPS(추정 분기만) 는 불변. 일회성 여부·세효과는 주석 미확인(모델 추정)</t>
        </is>
      </c>
    </row>
    <row r="28">
      <c r="A28" t="inlineStr">
        <is>
          <t>· 연결된 가정: 판관비율, 지배주주비중, 이자율 · 연결 안 된 가정(모델값·분기별 역산 그대로): 세율(MAX(세전,0)×단일 세율로 재현 불가(지주 자회사 합산 등) → 분기별 역산)</t>
        </is>
      </c>
    </row>
    <row r="29">
      <c r="A29" t="inlineStr">
        <is>
          <t>· 밸류에이션 — PER 밴드 10.0/15.0/20.0배(sector_default(레퍼런스 TP_PE PB 예시 10/15/20배; 과거 양(+)EPS 분기 2개 &lt; 4)) · COE 9.0% · 12M fwd EPS 가중 0.5(가정). 모델 산출값 구간이며 추천이 아니다</t>
        </is>
      </c>
    </row>
    <row r="30">
      <c r="A30" t="inlineStr"/>
    </row>
    <row r="31">
      <c r="A31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2">
      <c r="A32" t="inlineStr">
        <is>
          <t>재현: cd argus/kship/tools &amp;&amp; python3 kship_model_xlsx.py --model assets/models/101000.json --verify   (모델 json 부터: kship_model.py --build --all --xlsx · xlsx 58사 일괄: kship_model_xlsx.py --all --verify)</t>
        </is>
      </c>
    </row>
    <row r="33">
      <c r="A33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4">
      <c r="A34" t="inlineStr">
        <is>
          <t>한계: 모델 quality.warnings — 매출 드라이버 폴백(고객 연동 격자 상관 0.45 가 단일 검정 5% 임계 r 0.71 미달(n=8, n_eff=8) (suppliers_mentions·시차 3·수준·창 8)): 전년동기 × (1+g) 추세 / 분기말 후 병합: aik 상장주식수 9,910,487 = fin 2026Q2 보통주 발행 39,641,948 × 1/4 → 최신 유통주식수 9,906,242(자기주식 16,979 × 1/4 차감) — 실적 분기 주식수·EPS·BPS·DPS 를 1/4 로 환산(IAS 33.64 비교표시·수정주가 이력과 정합), 추정 분기·PER/PBR now·EV 는 최신 주식수. 효력일·단수주 처리는 정기보고서 캐시 밖(주요사항보고서 미수집) / 주식수 사건 환산: 2023Q1 1/4 병합(eps_reported 교차검증 confirmed) → 사건 전 실적 19분기의 주식수·EPS·BPS·DPS 를 비율 환산(IAS 33.64; 셀 kind estimate, basis 에 원주식수·비율) / 이자발생자산 이자율: 주석 연율 2.8% 이상(주석 마지막 분기 2026Q1 ≠ 마지막 실적 2026Q2(stale) · 주석/CF 3.24배 · CF 창 2025Q3~2026Q2(= la)) → CF 연율 0.9% 로 클립(assumptions.interest_rate_check) / 총차입금 이자율: 주석 연율 16.0% 이상(주석 마지막 분기 2026Q1 ≠ 마지막 실적 2026Q2(stale) · 주석/CF 2.75배 · CF 창 2022Q4~2024Q1(la −9분기) 가 주석 창(~2026Q1)보다 오래됨 → CF 로 교체 안 함) — 더 오래된 CF 연율 5.8% 로 바꾸지 않고 주석 유지(assumptions.interest_rate_check) / 감가상각비가 face·CF 에 없음(주석 미파싱) → EBITDA·EV/EBITDA 미산출 / 일회성 의심 2026Q2: 비영업손익 33억(영업이익 -8억의 4배, 12분기 중위 4억·기준선 -2억) → 지배NI 25억·보고 EPS·FY2026 합계·TTM PER 에 그대로 포함 — 처분이익 등 일회성 여부는 주석 확인 전까지 미확정(12M fwd EPS 에는 미포함) · 조정EPS -104.7원(보고 254.2원; 초과 비영업손익 36억 × (1 − 세율 0.2%) × 지배 비중 1.00 = 36억 차감 — 추정, 조정EPS 행) / 금융손익 실적→추정 단절: 최근 4분기 실적 -2/+5/-3/+41(중위 +2억) → 추정 2026Q3 -7억(차 -9억, -590%) — 추정은 이자손익 + 기타금융 중위, 외환·파생 평가손익 0 가정(환율 효과는 환관련손익 행). 값은 바꾸지 않음 — 지배NI·EPS 해석 시 참고</t>
        </is>
      </c>
    </row>
    <row r="35">
      <c r="A35" t="inlineStr">
        <is>
          <t>백테스트: {"freeze": "2025Q2", "horizon": 4, "revenue_wape_pct": 38.4, "op_wape_pct": 77.8, "n": 4, "note": "단일 회사 4분기 — 통계 아님", "driver_at_freeze": "trend_seasonal", "selection_oos_at_freeze": {"wape_link": null, "wape_trend": null, "adopted": false, "decision": "rejected", "note": "유의성 조건 미달 → OOS 비교 전 기각"},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42.42, "rev_act": 120.4, "op_pred": -1.17, "op_act": -10.12}, {"q": "2025Q4", "rev_pred": 56.65, "rev_act": 71.77, "op_pred": -1.56, "op_act": -3.76}, {"q": "2026Q1", "rev_pred": 63.15, "rev_act": 104.01, "op_pred": -1.74, "op_act": -7.94}, {"q": "2026Q2", "rev_pred": 78.46, "rev_act": 94.65, "op_pred": -2.16, "op_act": -8.06}]}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6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C1" s="2" t="inlineStr">
        <is>
          <t>이름: 변수H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F5" s="9" t="n"/>
      <c r="K5" s="9" t="n"/>
      <c r="P5" s="9" t="n"/>
      <c r="U5" s="9" t="n"/>
      <c r="Z5" s="9" t="n"/>
      <c r="AB5" s="5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1183.5</v>
      </c>
      <c r="F6" s="14" t="n">
        <v>1145.51</v>
      </c>
      <c r="G6" s="13" t="n">
        <v>1205.78</v>
      </c>
      <c r="H6" s="13" t="n">
        <v>1262.09</v>
      </c>
      <c r="I6" s="13" t="n">
        <v>1341.93</v>
      </c>
      <c r="J6" s="13" t="n">
        <v>1360.12</v>
      </c>
      <c r="K6" s="14" t="n">
        <v>1292.98</v>
      </c>
      <c r="L6" s="13" t="n">
        <v>1276.95</v>
      </c>
      <c r="M6" s="13" t="n">
        <v>1315.69</v>
      </c>
      <c r="N6" s="13" t="n">
        <v>1313.62</v>
      </c>
      <c r="O6" s="13" t="n">
        <v>1322.01</v>
      </c>
      <c r="P6" s="14" t="n">
        <v>1306.85</v>
      </c>
      <c r="Q6" s="13" t="n">
        <v>1330.14</v>
      </c>
      <c r="R6" s="13" t="n">
        <v>1371.28</v>
      </c>
      <c r="S6" s="13" t="n">
        <v>1356.22</v>
      </c>
      <c r="T6" s="13" t="n">
        <v>1396.3</v>
      </c>
      <c r="U6" s="14" t="n">
        <v>1363.53</v>
      </c>
      <c r="V6" s="13" t="n">
        <v>1452.28</v>
      </c>
      <c r="W6" s="13" t="n">
        <v>1398.52</v>
      </c>
      <c r="X6" s="13" t="n">
        <v>1386.95</v>
      </c>
      <c r="Y6" s="13" t="n">
        <v>1449.19</v>
      </c>
      <c r="Z6" s="14" t="n">
        <v>1421.52</v>
      </c>
      <c r="AA6" s="13" t="n">
        <v>1466.12</v>
      </c>
      <c r="AB6" s="15" t="n">
        <v>1501.75</v>
      </c>
      <c r="AC6" s="16" t="n">
        <v>1418.75</v>
      </c>
      <c r="AD6" s="16" t="n">
        <v>1345.14</v>
      </c>
      <c r="AE6" s="17" t="n">
        <v>1457.21</v>
      </c>
      <c r="AF6" s="16" t="n">
        <v>1341.49</v>
      </c>
      <c r="AG6" s="16" t="n">
        <v>1341.49</v>
      </c>
      <c r="AH6" s="16" t="n">
        <v>1341.49</v>
      </c>
      <c r="AI6" s="16" t="n">
        <v>1341.49</v>
      </c>
      <c r="AJ6" s="11" t="n"/>
      <c r="AK6" s="16" t="n">
        <v>1341.49</v>
      </c>
      <c r="AL6" s="16" t="n">
        <v>1341.49</v>
      </c>
      <c r="AM6" s="16" t="n">
        <v>1341.49</v>
      </c>
      <c r="AN6" s="16" t="n">
        <v>1341.49</v>
      </c>
      <c r="AO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1188.75</v>
      </c>
      <c r="F7" s="14" t="n">
        <v>1188.75</v>
      </c>
      <c r="G7" s="13" t="n">
        <v>1213.74</v>
      </c>
      <c r="H7" s="13" t="n">
        <v>1301.24</v>
      </c>
      <c r="I7" s="13" t="n">
        <v>1436.9</v>
      </c>
      <c r="J7" s="13" t="n">
        <v>1260.16</v>
      </c>
      <c r="K7" s="14" t="n">
        <v>1260.16</v>
      </c>
      <c r="L7" s="13" t="n">
        <v>1305.99</v>
      </c>
      <c r="M7" s="13" t="n">
        <v>1321.44</v>
      </c>
      <c r="N7" s="13" t="n">
        <v>1345.35</v>
      </c>
      <c r="O7" s="13" t="n">
        <v>1297.43</v>
      </c>
      <c r="P7" s="14" t="n">
        <v>1297.43</v>
      </c>
      <c r="Q7" s="13" t="n">
        <v>1349.25</v>
      </c>
      <c r="R7" s="13" t="n">
        <v>1377.73</v>
      </c>
      <c r="S7" s="13" t="n">
        <v>1312.17</v>
      </c>
      <c r="T7" s="13" t="n">
        <v>1474.78</v>
      </c>
      <c r="U7" s="14" t="n">
        <v>1474.78</v>
      </c>
      <c r="V7" s="13" t="n">
        <v>1474.54</v>
      </c>
      <c r="W7" s="13" t="n">
        <v>1355.13</v>
      </c>
      <c r="X7" s="13" t="n">
        <v>1403.67</v>
      </c>
      <c r="Y7" s="13" t="n">
        <v>1444.2</v>
      </c>
      <c r="Z7" s="14" t="n">
        <v>1444.2</v>
      </c>
      <c r="AA7" s="13" t="n">
        <v>1524.8</v>
      </c>
      <c r="AB7" s="15" t="n">
        <v>1550.89</v>
      </c>
      <c r="AC7" s="16" t="n">
        <v>1355.4</v>
      </c>
      <c r="AD7" s="16" t="n">
        <v>1341.49</v>
      </c>
      <c r="AE7" s="17" t="n">
        <v>1341.49</v>
      </c>
      <c r="AF7" s="16" t="n">
        <v>1341.49</v>
      </c>
      <c r="AG7" s="16" t="n">
        <v>1341.49</v>
      </c>
      <c r="AH7" s="16" t="n">
        <v>1341.49</v>
      </c>
      <c r="AI7" s="16" t="n">
        <v>1341.49</v>
      </c>
      <c r="AJ7" s="11" t="n"/>
      <c r="AK7" s="16" t="n">
        <v>1341.49</v>
      </c>
      <c r="AL7" s="16" t="n">
        <v>1341.49</v>
      </c>
      <c r="AM7" s="16" t="n">
        <v>1341.49</v>
      </c>
      <c r="AN7" s="16" t="n">
        <v>1341.49</v>
      </c>
      <c r="AO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1041.02</v>
      </c>
      <c r="F8" s="14" t="n">
        <v>1042.74</v>
      </c>
      <c r="G8" s="13" t="n">
        <v>1036.79</v>
      </c>
      <c r="H8" s="13" t="n">
        <v>972.23</v>
      </c>
      <c r="I8" s="13" t="n">
        <v>970.61</v>
      </c>
      <c r="J8" s="13" t="n">
        <v>961.03</v>
      </c>
      <c r="K8" s="14" t="n">
        <v>985.1</v>
      </c>
      <c r="L8" s="13" t="n">
        <v>964.89</v>
      </c>
      <c r="M8" s="13" t="n">
        <v>957.36</v>
      </c>
      <c r="N8" s="13" t="n">
        <v>909</v>
      </c>
      <c r="O8" s="13" t="n">
        <v>893.22</v>
      </c>
      <c r="P8" s="14" t="n">
        <v>931.11</v>
      </c>
      <c r="Q8" s="13" t="n">
        <v>896.29</v>
      </c>
      <c r="R8" s="13" t="n">
        <v>880.14</v>
      </c>
      <c r="S8" s="13" t="n">
        <v>909.35</v>
      </c>
      <c r="T8" s="13" t="n">
        <v>917.25</v>
      </c>
      <c r="U8" s="14" t="n">
        <v>900.92</v>
      </c>
      <c r="V8" s="13" t="n">
        <v>952.59</v>
      </c>
      <c r="W8" s="13" t="n">
        <v>967.92</v>
      </c>
      <c r="X8" s="13" t="n">
        <v>940.3200000000001</v>
      </c>
      <c r="Y8" s="13" t="n">
        <v>940.77</v>
      </c>
      <c r="Z8" s="14" t="n">
        <v>950.17</v>
      </c>
      <c r="AA8" s="13" t="n">
        <v>934.39</v>
      </c>
      <c r="AB8" s="15" t="n">
        <v>942.16</v>
      </c>
      <c r="AC8" s="16" t="n">
        <v>890.41</v>
      </c>
      <c r="AD8" s="16" t="n">
        <v>850.79</v>
      </c>
      <c r="AE8" s="17" t="n">
        <v>919.21</v>
      </c>
      <c r="AF8" s="16" t="n">
        <v>847.7</v>
      </c>
      <c r="AG8" s="16" t="n">
        <v>847.7</v>
      </c>
      <c r="AH8" s="16" t="n">
        <v>847.7</v>
      </c>
      <c r="AI8" s="16" t="n">
        <v>847.7</v>
      </c>
      <c r="AJ8" s="11" t="n"/>
      <c r="AK8" s="16" t="n">
        <v>847.7</v>
      </c>
      <c r="AL8" s="16" t="n">
        <v>847.7</v>
      </c>
      <c r="AM8" s="16" t="n">
        <v>847.7</v>
      </c>
      <c r="AN8" s="16" t="n">
        <v>847.7</v>
      </c>
      <c r="AO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1032.62</v>
      </c>
      <c r="F9" s="14" t="n">
        <v>1032.62</v>
      </c>
      <c r="G9" s="13" t="n">
        <v>996.83</v>
      </c>
      <c r="H9" s="13" t="n">
        <v>954.9</v>
      </c>
      <c r="I9" s="13" t="n">
        <v>993.29</v>
      </c>
      <c r="J9" s="13" t="n">
        <v>955.54</v>
      </c>
      <c r="K9" s="14" t="n">
        <v>955.54</v>
      </c>
      <c r="L9" s="13" t="n">
        <v>980.62</v>
      </c>
      <c r="M9" s="13" t="n">
        <v>913.67</v>
      </c>
      <c r="N9" s="13" t="n">
        <v>901.47</v>
      </c>
      <c r="O9" s="13" t="n">
        <v>917.04</v>
      </c>
      <c r="P9" s="14" t="n">
        <v>917.04</v>
      </c>
      <c r="Q9" s="13" t="n">
        <v>892.42</v>
      </c>
      <c r="R9" s="13" t="n">
        <v>857.76</v>
      </c>
      <c r="S9" s="13" t="n">
        <v>919.21</v>
      </c>
      <c r="T9" s="13" t="n">
        <v>939.65</v>
      </c>
      <c r="U9" s="14" t="n">
        <v>939.65</v>
      </c>
      <c r="V9" s="13" t="n">
        <v>986.84</v>
      </c>
      <c r="W9" s="13" t="n">
        <v>938.85</v>
      </c>
      <c r="X9" s="13" t="n">
        <v>948.49</v>
      </c>
      <c r="Y9" s="13" t="n">
        <v>921.8099999999999</v>
      </c>
      <c r="Z9" s="14" t="n">
        <v>921.8099999999999</v>
      </c>
      <c r="AA9" s="13" t="n">
        <v>955.99</v>
      </c>
      <c r="AB9" s="15" t="n">
        <v>954.75</v>
      </c>
      <c r="AC9" s="16" t="n">
        <v>863.3099999999999</v>
      </c>
      <c r="AD9" s="16" t="n">
        <v>847.7</v>
      </c>
      <c r="AE9" s="17" t="n">
        <v>847.7</v>
      </c>
      <c r="AF9" s="16" t="n">
        <v>847.7</v>
      </c>
      <c r="AG9" s="16" t="n">
        <v>847.7</v>
      </c>
      <c r="AH9" s="16" t="n">
        <v>847.7</v>
      </c>
      <c r="AI9" s="16" t="n">
        <v>847.7</v>
      </c>
      <c r="AJ9" s="11" t="n"/>
      <c r="AK9" s="16" t="n">
        <v>847.7</v>
      </c>
      <c r="AL9" s="16" t="n">
        <v>847.7</v>
      </c>
      <c r="AM9" s="16" t="n">
        <v>847.7</v>
      </c>
      <c r="AN9" s="16" t="n">
        <v>847.7</v>
      </c>
      <c r="AO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1353.32</v>
      </c>
      <c r="F10" s="14" t="n">
        <v>1354.06</v>
      </c>
      <c r="G10" s="13" t="n">
        <v>1352.29</v>
      </c>
      <c r="H10" s="13" t="n">
        <v>1343.31</v>
      </c>
      <c r="I10" s="13" t="n">
        <v>1350.63</v>
      </c>
      <c r="J10" s="13" t="n">
        <v>1386.07</v>
      </c>
      <c r="K10" s="14" t="n">
        <v>1358.07</v>
      </c>
      <c r="L10" s="13" t="n">
        <v>1369.93</v>
      </c>
      <c r="M10" s="13" t="n">
        <v>1432.41</v>
      </c>
      <c r="N10" s="13" t="n">
        <v>1429.41</v>
      </c>
      <c r="O10" s="13" t="n">
        <v>1420.91</v>
      </c>
      <c r="P10" s="14" t="n">
        <v>1412.88</v>
      </c>
      <c r="Q10" s="13" t="n">
        <v>1444.21</v>
      </c>
      <c r="R10" s="13" t="n">
        <v>1476.42</v>
      </c>
      <c r="S10" s="13" t="n">
        <v>1489.3</v>
      </c>
      <c r="T10" s="13" t="n">
        <v>1490.78</v>
      </c>
      <c r="U10" s="14" t="n">
        <v>1475.4</v>
      </c>
      <c r="V10" s="13" t="n">
        <v>1528.33</v>
      </c>
      <c r="W10" s="13" t="n">
        <v>1585.13</v>
      </c>
      <c r="X10" s="13" t="n">
        <v>1620.04</v>
      </c>
      <c r="Y10" s="13" t="n">
        <v>1686.02</v>
      </c>
      <c r="Z10" s="14" t="n">
        <v>1605.45</v>
      </c>
      <c r="AA10" s="13" t="n">
        <v>1715.47</v>
      </c>
      <c r="AB10" s="15" t="n">
        <v>1746.09</v>
      </c>
      <c r="AC10" s="16" t="n">
        <v>1631.97</v>
      </c>
      <c r="AD10" s="16" t="n">
        <v>1509.74</v>
      </c>
      <c r="AE10" s="17" t="n">
        <v>1689.95</v>
      </c>
      <c r="AF10" s="16" t="n">
        <v>1503.27</v>
      </c>
      <c r="AG10" s="16" t="n">
        <v>1503.27</v>
      </c>
      <c r="AH10" s="16" t="n">
        <v>1503.27</v>
      </c>
      <c r="AI10" s="16" t="n">
        <v>1503.27</v>
      </c>
      <c r="AJ10" s="11" t="n"/>
      <c r="AK10" s="16" t="n">
        <v>1503.27</v>
      </c>
      <c r="AL10" s="16" t="n">
        <v>1503.27</v>
      </c>
      <c r="AM10" s="16" t="n">
        <v>1503.27</v>
      </c>
      <c r="AN10" s="16" t="n">
        <v>1503.27</v>
      </c>
      <c r="AO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1346.38</v>
      </c>
      <c r="F11" s="14" t="n">
        <v>1346.38</v>
      </c>
      <c r="G11" s="13" t="n">
        <v>1347.37</v>
      </c>
      <c r="H11" s="13" t="n">
        <v>1351.6</v>
      </c>
      <c r="I11" s="13" t="n">
        <v>1400.62</v>
      </c>
      <c r="J11" s="13" t="n">
        <v>1344.08</v>
      </c>
      <c r="K11" s="14" t="n">
        <v>1344.08</v>
      </c>
      <c r="L11" s="13" t="n">
        <v>1420.26</v>
      </c>
      <c r="M11" s="13" t="n">
        <v>1435.88</v>
      </c>
      <c r="N11" s="13" t="n">
        <v>1425.26</v>
      </c>
      <c r="O11" s="13" t="n">
        <v>1433.66</v>
      </c>
      <c r="P11" s="14" t="n">
        <v>1433.66</v>
      </c>
      <c r="Q11" s="13" t="n">
        <v>1458.68</v>
      </c>
      <c r="R11" s="13" t="n">
        <v>1474.86</v>
      </c>
      <c r="S11" s="13" t="n">
        <v>1469.1</v>
      </c>
      <c r="T11" s="13" t="n">
        <v>1532.14</v>
      </c>
      <c r="U11" s="14" t="n">
        <v>1532.14</v>
      </c>
      <c r="V11" s="13" t="n">
        <v>1594.72</v>
      </c>
      <c r="W11" s="13" t="n">
        <v>1588.22</v>
      </c>
      <c r="X11" s="13" t="n">
        <v>1648.04</v>
      </c>
      <c r="Y11" s="13" t="n">
        <v>1696.94</v>
      </c>
      <c r="Z11" s="14" t="n">
        <v>1696.94</v>
      </c>
      <c r="AA11" s="13" t="n">
        <v>1753.21</v>
      </c>
      <c r="AB11" s="15" t="n">
        <v>1767.09</v>
      </c>
      <c r="AC11" s="16" t="n">
        <v>1539.06</v>
      </c>
      <c r="AD11" s="16" t="n">
        <v>1503.27</v>
      </c>
      <c r="AE11" s="17" t="n">
        <v>1503.27</v>
      </c>
      <c r="AF11" s="16" t="n">
        <v>1503.27</v>
      </c>
      <c r="AG11" s="16" t="n">
        <v>1503.27</v>
      </c>
      <c r="AH11" s="16" t="n">
        <v>1503.27</v>
      </c>
      <c r="AI11" s="16" t="n">
        <v>1503.27</v>
      </c>
      <c r="AJ11" s="11" t="n"/>
      <c r="AK11" s="16" t="n">
        <v>1503.27</v>
      </c>
      <c r="AL11" s="16" t="n">
        <v>1503.27</v>
      </c>
      <c r="AM11" s="16" t="n">
        <v>1503.27</v>
      </c>
      <c r="AN11" s="16" t="n">
        <v>1503.27</v>
      </c>
      <c r="AO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185.14</v>
      </c>
      <c r="F12" s="14" t="n">
        <v>177.65</v>
      </c>
      <c r="G12" s="13" t="n">
        <v>189.93</v>
      </c>
      <c r="H12" s="13" t="n">
        <v>190.76</v>
      </c>
      <c r="I12" s="13" t="n">
        <v>195.79</v>
      </c>
      <c r="J12" s="13" t="n">
        <v>191.09</v>
      </c>
      <c r="K12" s="14" t="n">
        <v>191.93</v>
      </c>
      <c r="L12" s="13" t="n">
        <v>186.59</v>
      </c>
      <c r="M12" s="13" t="n">
        <v>187.45</v>
      </c>
      <c r="N12" s="13" t="n">
        <v>181.28</v>
      </c>
      <c r="O12" s="13" t="n">
        <v>182.86</v>
      </c>
      <c r="P12" s="14" t="n">
        <v>184.52</v>
      </c>
      <c r="Q12" s="13" t="n">
        <v>185.04</v>
      </c>
      <c r="R12" s="13" t="n">
        <v>189.35</v>
      </c>
      <c r="S12" s="13" t="n">
        <v>189.24</v>
      </c>
      <c r="T12" s="13" t="n">
        <v>194.24</v>
      </c>
      <c r="U12" s="14" t="n">
        <v>189.49</v>
      </c>
      <c r="V12" s="13" t="n">
        <v>199.63</v>
      </c>
      <c r="W12" s="13" t="n">
        <v>193.41</v>
      </c>
      <c r="X12" s="13" t="n">
        <v>193.79</v>
      </c>
      <c r="Y12" s="13" t="n">
        <v>204.38</v>
      </c>
      <c r="Z12" s="14" t="n">
        <v>197.8</v>
      </c>
      <c r="AA12" s="13" t="n">
        <v>211.75</v>
      </c>
      <c r="AB12" s="15" t="n">
        <v>220.8</v>
      </c>
      <c r="AC12" s="16" t="n">
        <v>210.43</v>
      </c>
      <c r="AD12" s="16" t="n">
        <v>200.69</v>
      </c>
      <c r="AE12" s="17" t="n">
        <v>213.75</v>
      </c>
      <c r="AF12" s="16" t="n">
        <v>200.46</v>
      </c>
      <c r="AG12" s="16" t="n">
        <v>200.46</v>
      </c>
      <c r="AH12" s="16" t="n">
        <v>200.46</v>
      </c>
      <c r="AI12" s="16" t="n">
        <v>200.46</v>
      </c>
      <c r="AJ12" s="11" t="n"/>
      <c r="AK12" s="16" t="n">
        <v>200.46</v>
      </c>
      <c r="AL12" s="16" t="n">
        <v>200.46</v>
      </c>
      <c r="AM12" s="16" t="n">
        <v>200.46</v>
      </c>
      <c r="AN12" s="16" t="n">
        <v>200.46</v>
      </c>
      <c r="AO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187.13</v>
      </c>
      <c r="F13" s="14" t="n">
        <v>187.13</v>
      </c>
      <c r="G13" s="13" t="n">
        <v>191.38</v>
      </c>
      <c r="H13" s="13" t="n">
        <v>194.13</v>
      </c>
      <c r="I13" s="13" t="n">
        <v>201.92</v>
      </c>
      <c r="J13" s="13" t="n">
        <v>182.67</v>
      </c>
      <c r="K13" s="14" t="n">
        <v>182.67</v>
      </c>
      <c r="L13" s="13" t="n">
        <v>189.97</v>
      </c>
      <c r="M13" s="13" t="n">
        <v>181.8</v>
      </c>
      <c r="N13" s="13" t="n">
        <v>184.26</v>
      </c>
      <c r="O13" s="13" t="n">
        <v>182.61</v>
      </c>
      <c r="P13" s="14" t="n">
        <v>182.61</v>
      </c>
      <c r="Q13" s="13" t="n">
        <v>186.66</v>
      </c>
      <c r="R13" s="13" t="n">
        <v>189.7</v>
      </c>
      <c r="S13" s="13" t="n">
        <v>187.12</v>
      </c>
      <c r="T13" s="13" t="n">
        <v>202.04</v>
      </c>
      <c r="U13" s="14" t="n">
        <v>202.04</v>
      </c>
      <c r="V13" s="13" t="n">
        <v>203.3</v>
      </c>
      <c r="W13" s="13" t="n">
        <v>189.14</v>
      </c>
      <c r="X13" s="13" t="n">
        <v>197.16</v>
      </c>
      <c r="Y13" s="13" t="n">
        <v>206.28</v>
      </c>
      <c r="Z13" s="14" t="n">
        <v>206.28</v>
      </c>
      <c r="AA13" s="13" t="n">
        <v>220.97</v>
      </c>
      <c r="AB13" s="15" t="n">
        <v>228.56</v>
      </c>
      <c r="AC13" s="16" t="n">
        <v>202.16</v>
      </c>
      <c r="AD13" s="16" t="n">
        <v>200.46</v>
      </c>
      <c r="AE13" s="17" t="n">
        <v>200.46</v>
      </c>
      <c r="AF13" s="16" t="n">
        <v>200.46</v>
      </c>
      <c r="AG13" s="16" t="n">
        <v>200.46</v>
      </c>
      <c r="AH13" s="16" t="n">
        <v>200.46</v>
      </c>
      <c r="AI13" s="16" t="n">
        <v>200.46</v>
      </c>
      <c r="AJ13" s="11" t="n"/>
      <c r="AK13" s="16" t="n">
        <v>200.46</v>
      </c>
      <c r="AL13" s="16" t="n">
        <v>200.46</v>
      </c>
      <c r="AM13" s="16" t="n">
        <v>200.46</v>
      </c>
      <c r="AN13" s="16" t="n">
        <v>200.46</v>
      </c>
      <c r="AO13" s="11" t="n"/>
    </row>
    <row r="14">
      <c r="B14" s="1" t="inlineStr">
        <is>
          <t>1b. 종가</t>
        </is>
      </c>
      <c r="F14" s="9" t="n"/>
      <c r="K14" s="9" t="n"/>
      <c r="P14" s="9" t="n"/>
      <c r="U14" s="9" t="n"/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s="12" t="inlineStr">
        <is>
          <t>price_close_end</t>
        </is>
      </c>
      <c r="C15" t="inlineStr">
        <is>
          <t>종가(기말)</t>
        </is>
      </c>
      <c r="E15" s="18" t="n">
        <v>11673</v>
      </c>
      <c r="F15" s="9" t="n"/>
      <c r="G15" s="18" t="n">
        <v>12310</v>
      </c>
      <c r="H15" s="18" t="n">
        <v>9393</v>
      </c>
      <c r="I15" s="18" t="n">
        <v>7374</v>
      </c>
      <c r="J15" s="18" t="n">
        <v>6613</v>
      </c>
      <c r="K15" s="9" t="n"/>
      <c r="L15" s="18" t="n">
        <v>3981</v>
      </c>
      <c r="M15" s="18" t="n">
        <v>5174</v>
      </c>
      <c r="N15" s="18" t="n">
        <v>5513</v>
      </c>
      <c r="O15" s="18" t="n">
        <v>5855</v>
      </c>
      <c r="P15" s="9" t="n"/>
      <c r="Q15" s="18" t="n">
        <v>7689</v>
      </c>
      <c r="R15" s="18" t="n">
        <v>7223</v>
      </c>
      <c r="S15" s="18" t="n">
        <v>5554</v>
      </c>
      <c r="T15" s="18" t="n">
        <v>5924</v>
      </c>
      <c r="U15" s="9" t="n"/>
      <c r="V15" s="18" t="n">
        <v>5568</v>
      </c>
      <c r="W15" s="18" t="n">
        <v>6033</v>
      </c>
      <c r="X15" s="18" t="n">
        <v>2681</v>
      </c>
      <c r="Y15" s="18" t="n">
        <v>1811</v>
      </c>
      <c r="Z15" s="9" t="n"/>
      <c r="AA15" s="18" t="n">
        <v>2758</v>
      </c>
      <c r="AB15" s="19" t="n">
        <v>1102</v>
      </c>
      <c r="AC15" s="20" t="n">
        <v>1443</v>
      </c>
      <c r="AD15" s="20" t="n">
        <v>1427</v>
      </c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s="12" t="inlineStr">
        <is>
          <t>price_high</t>
        </is>
      </c>
      <c r="C16" t="inlineStr">
        <is>
          <t>종가(최고)</t>
        </is>
      </c>
      <c r="E16" s="18" t="n">
        <v>14576</v>
      </c>
      <c r="F16" s="9" t="n"/>
      <c r="G16" s="18" t="n">
        <v>13903</v>
      </c>
      <c r="H16" s="18" t="n">
        <v>12494</v>
      </c>
      <c r="I16" s="18" t="n">
        <v>11574</v>
      </c>
      <c r="J16" s="18" t="n">
        <v>8219</v>
      </c>
      <c r="K16" s="9" t="n"/>
      <c r="L16" s="18" t="n">
        <v>7349</v>
      </c>
      <c r="M16" s="18" t="n">
        <v>7689</v>
      </c>
      <c r="N16" s="18" t="n">
        <v>6225</v>
      </c>
      <c r="O16" s="18" t="n">
        <v>6074</v>
      </c>
      <c r="P16" s="9" t="n"/>
      <c r="Q16" s="18" t="n">
        <v>11561</v>
      </c>
      <c r="R16" s="18" t="n">
        <v>8482</v>
      </c>
      <c r="S16" s="18" t="n">
        <v>8263</v>
      </c>
      <c r="T16" s="18" t="n">
        <v>6936</v>
      </c>
      <c r="U16" s="9" t="n"/>
      <c r="V16" s="18" t="n">
        <v>7251</v>
      </c>
      <c r="W16" s="18" t="n">
        <v>8920</v>
      </c>
      <c r="X16" s="18" t="n">
        <v>6731</v>
      </c>
      <c r="Y16" s="18" t="n">
        <v>4224</v>
      </c>
      <c r="Z16" s="9" t="n"/>
      <c r="AA16" s="18" t="n">
        <v>3803</v>
      </c>
      <c r="AB16" s="19" t="n">
        <v>2897</v>
      </c>
      <c r="AC16" s="20" t="n">
        <v>2305</v>
      </c>
      <c r="AD16" s="20" t="n">
        <v>1646</v>
      </c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s="12" t="inlineStr">
        <is>
          <t>price_low</t>
        </is>
      </c>
      <c r="C17" t="inlineStr">
        <is>
          <t>종가(최저)</t>
        </is>
      </c>
      <c r="E17" s="18" t="n">
        <v>10718</v>
      </c>
      <c r="F17" s="9" t="n"/>
      <c r="G17" s="18" t="n">
        <v>11500</v>
      </c>
      <c r="H17" s="18" t="n">
        <v>8622</v>
      </c>
      <c r="I17" s="18" t="n">
        <v>7311</v>
      </c>
      <c r="J17" s="18" t="n">
        <v>6416</v>
      </c>
      <c r="K17" s="9" t="n"/>
      <c r="L17" s="18" t="n">
        <v>3562</v>
      </c>
      <c r="M17" s="18" t="n">
        <v>3784</v>
      </c>
      <c r="N17" s="18" t="n">
        <v>4320</v>
      </c>
      <c r="O17" s="18" t="n">
        <v>5458</v>
      </c>
      <c r="P17" s="9" t="n"/>
      <c r="Q17" s="18" t="n">
        <v>5442</v>
      </c>
      <c r="R17" s="18" t="n">
        <v>5188</v>
      </c>
      <c r="S17" s="18" t="n">
        <v>5308</v>
      </c>
      <c r="T17" s="18" t="n">
        <v>5097</v>
      </c>
      <c r="U17" s="9" t="n"/>
      <c r="V17" s="18" t="n">
        <v>4255</v>
      </c>
      <c r="W17" s="18" t="n">
        <v>5335</v>
      </c>
      <c r="X17" s="18" t="n">
        <v>2060</v>
      </c>
      <c r="Y17" s="18" t="n">
        <v>1767</v>
      </c>
      <c r="Z17" s="9" t="n"/>
      <c r="AA17" s="18" t="n">
        <v>1699</v>
      </c>
      <c r="AB17" s="19" t="n">
        <v>985</v>
      </c>
      <c r="AC17" s="20" t="n">
        <v>680</v>
      </c>
      <c r="AD17" s="20" t="n">
        <v>1331</v>
      </c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s="12" t="inlineStr">
        <is>
          <t>price_avg</t>
        </is>
      </c>
      <c r="C18" t="inlineStr">
        <is>
          <t>종가(평균)</t>
        </is>
      </c>
      <c r="E18" s="18" t="n">
        <v>11833.3</v>
      </c>
      <c r="F18" s="9" t="n"/>
      <c r="G18" s="18" t="n">
        <v>12350.5</v>
      </c>
      <c r="H18" s="18" t="n">
        <v>10507.7</v>
      </c>
      <c r="I18" s="18" t="n">
        <v>8807</v>
      </c>
      <c r="J18" s="18" t="n">
        <v>6948.8</v>
      </c>
      <c r="K18" s="9" t="n"/>
      <c r="L18" s="18" t="n">
        <v>5418.8</v>
      </c>
      <c r="M18" s="18" t="n">
        <v>5658.6</v>
      </c>
      <c r="N18" s="18" t="n">
        <v>5396.4</v>
      </c>
      <c r="O18" s="18" t="n">
        <v>5787.6</v>
      </c>
      <c r="P18" s="9" t="n"/>
      <c r="Q18" s="18" t="n">
        <v>6886.9</v>
      </c>
      <c r="R18" s="18" t="n">
        <v>6790.7</v>
      </c>
      <c r="S18" s="18" t="n">
        <v>6735.7</v>
      </c>
      <c r="T18" s="18" t="n">
        <v>6019</v>
      </c>
      <c r="U18" s="9" t="n"/>
      <c r="V18" s="18" t="n">
        <v>6062.9</v>
      </c>
      <c r="W18" s="18" t="n">
        <v>6244.6</v>
      </c>
      <c r="X18" s="18" t="n">
        <v>5001.5</v>
      </c>
      <c r="Y18" s="18" t="n">
        <v>2377.5</v>
      </c>
      <c r="Z18" s="9" t="n"/>
      <c r="AA18" s="18" t="n">
        <v>2765.9</v>
      </c>
      <c r="AB18" s="19" t="n">
        <v>2023.5</v>
      </c>
      <c r="AC18" s="20" t="n">
        <v>1132.7</v>
      </c>
      <c r="AD18" s="20" t="n">
        <v>1509.8</v>
      </c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F19" s="9" t="n"/>
      <c r="K19" s="9" t="n"/>
      <c r="P19" s="9" t="n"/>
      <c r="U19" s="9" t="n"/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F20" s="9" t="n"/>
      <c r="K20" s="9" t="n"/>
      <c r="P20" s="9" t="n"/>
      <c r="U20" s="9" t="n"/>
      <c r="Z20" s="9" t="n"/>
      <c r="AB20" s="5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s="12" t="inlineStr">
        <is>
          <t>drv:매출액</t>
        </is>
      </c>
      <c r="B21" s="2" t="inlineStr">
        <is>
          <t>yoy</t>
        </is>
      </c>
      <c r="C21" t="inlineStr">
        <is>
          <t>매출액 YoY</t>
        </is>
      </c>
      <c r="E21" s="21" t="n"/>
      <c r="F21" s="22" t="n"/>
      <c r="G21" s="21" t="n"/>
      <c r="H21" s="21" t="n"/>
      <c r="I21" s="21" t="n"/>
      <c r="J21" s="21">
        <f>IFERROR(subQ!J5/subQ!E5-1,"")</f>
        <v/>
      </c>
      <c r="K21" s="22" t="n"/>
      <c r="L21" s="21">
        <f>IFERROR(subQ!L5/subQ!G5-1,"")</f>
        <v/>
      </c>
      <c r="M21" s="21">
        <f>IFERROR(subQ!M5/subQ!H5-1,"")</f>
        <v/>
      </c>
      <c r="N21" s="21">
        <f>IFERROR(subQ!N5/subQ!I5-1,"")</f>
        <v/>
      </c>
      <c r="O21" s="21">
        <f>IFERROR(subQ!O5/subQ!J5-1,"")</f>
        <v/>
      </c>
      <c r="P21" s="22" t="n"/>
      <c r="Q21" s="21">
        <f>IFERROR(subQ!Q5/subQ!L5-1,"")</f>
        <v/>
      </c>
      <c r="R21" s="21">
        <f>IFERROR(subQ!R5/subQ!M5-1,"")</f>
        <v/>
      </c>
      <c r="S21" s="21">
        <f>IFERROR(subQ!S5/subQ!N5-1,"")</f>
        <v/>
      </c>
      <c r="T21" s="21">
        <f>IFERROR(subQ!T5/subQ!O5-1,"")</f>
        <v/>
      </c>
      <c r="U21" s="22" t="n"/>
      <c r="V21" s="21">
        <f>IFERROR(subQ!V5/subQ!Q5-1,"")</f>
        <v/>
      </c>
      <c r="W21" s="21">
        <f>IFERROR(subQ!W5/subQ!R5-1,"")</f>
        <v/>
      </c>
      <c r="X21" s="21">
        <f>IFERROR(subQ!X5/subQ!S5-1,"")</f>
        <v/>
      </c>
      <c r="Y21" s="21">
        <f>IFERROR(subQ!Y5/subQ!T5-1,"")</f>
        <v/>
      </c>
      <c r="Z21" s="22" t="n"/>
      <c r="AA21" s="21">
        <f>IFERROR(subQ!AA5/subQ!V5-1,"")</f>
        <v/>
      </c>
      <c r="AB21" s="23">
        <f>IFERROR(subQ!AB5/subQ!W5-1,"")</f>
        <v/>
      </c>
      <c r="AC21" s="24" t="n">
        <v>0.136682641</v>
      </c>
      <c r="AD21" s="24" t="n">
        <v>0.136685054</v>
      </c>
      <c r="AE21" s="25" t="n"/>
      <c r="AF21" s="24" t="n">
        <v>0.136692487</v>
      </c>
      <c r="AG21" s="24" t="n">
        <v>0.13673823</v>
      </c>
      <c r="AH21" s="24" t="n">
        <v>0.06839105700000001</v>
      </c>
      <c r="AI21" s="24" t="n">
        <v>0.068399117</v>
      </c>
      <c r="AJ21" s="25" t="n"/>
      <c r="AK21" s="24" t="n">
        <v>0.068341369</v>
      </c>
      <c r="AL21" s="24" t="n">
        <v>0.068314899</v>
      </c>
      <c r="AM21" s="24" t="n">
        <v>0.034195049</v>
      </c>
      <c r="AN21" s="24" t="n">
        <v>0.034189995</v>
      </c>
      <c r="AO21" s="25" t="n"/>
    </row>
    <row r="22">
      <c r="A22" s="12" t="inlineStr">
        <is>
          <t>drv:판관비</t>
        </is>
      </c>
      <c r="B22" s="2" t="inlineStr">
        <is>
          <t>ratio</t>
        </is>
      </c>
      <c r="C22" t="inlineStr">
        <is>
          <t>판관비율(/매출)</t>
        </is>
      </c>
      <c r="E22" s="21">
        <f>IFERROR(subQ!E8/subQ!E5,"")</f>
        <v/>
      </c>
      <c r="F22" s="22">
        <f>IFERROR(subQ!F8/subQ!F5,"")</f>
        <v/>
      </c>
      <c r="G22" s="21">
        <f>IFERROR(subQ!G8/subQ!G5,"")</f>
        <v/>
      </c>
      <c r="H22" s="21">
        <f>IFERROR(subQ!H8/subQ!H5,"")</f>
        <v/>
      </c>
      <c r="I22" s="21">
        <f>IFERROR(subQ!I8/subQ!I5,"")</f>
        <v/>
      </c>
      <c r="J22" s="21">
        <f>IFERROR(subQ!J8/subQ!J5,"")</f>
        <v/>
      </c>
      <c r="K22" s="22">
        <f>IFERROR(subQ!K8/subQ!K5,"")</f>
        <v/>
      </c>
      <c r="L22" s="21">
        <f>IFERROR(subQ!L8/subQ!L5,"")</f>
        <v/>
      </c>
      <c r="M22" s="21">
        <f>IFERROR(subQ!M8/subQ!M5,"")</f>
        <v/>
      </c>
      <c r="N22" s="21">
        <f>IFERROR(subQ!N8/subQ!N5,"")</f>
        <v/>
      </c>
      <c r="O22" s="21">
        <f>IFERROR(subQ!O8/subQ!O5,"")</f>
        <v/>
      </c>
      <c r="P22" s="22">
        <f>IFERROR(subQ!P8/subQ!P5,"")</f>
        <v/>
      </c>
      <c r="Q22" s="21">
        <f>IFERROR(subQ!Q8/subQ!Q5,"")</f>
        <v/>
      </c>
      <c r="R22" s="21">
        <f>IFERROR(subQ!R8/subQ!R5,"")</f>
        <v/>
      </c>
      <c r="S22" s="21">
        <f>IFERROR(subQ!S8/subQ!S5,"")</f>
        <v/>
      </c>
      <c r="T22" s="21">
        <f>IFERROR(subQ!T8/subQ!T5,"")</f>
        <v/>
      </c>
      <c r="U22" s="22">
        <f>IFERROR(subQ!U8/subQ!U5,"")</f>
        <v/>
      </c>
      <c r="V22" s="21">
        <f>IFERROR(subQ!V8/subQ!V5,"")</f>
        <v/>
      </c>
      <c r="W22" s="21">
        <f>IFERROR(subQ!W8/subQ!W5,"")</f>
        <v/>
      </c>
      <c r="X22" s="21">
        <f>IFERROR(subQ!X8/subQ!X5,"")</f>
        <v/>
      </c>
      <c r="Y22" s="21">
        <f>IFERROR(subQ!Y8/subQ!Y5,"")</f>
        <v/>
      </c>
      <c r="Z22" s="22">
        <f>IFERROR(subQ!Z8/subQ!Z5,"")</f>
        <v/>
      </c>
      <c r="AA22" s="21">
        <f>IFERROR(subQ!AA8/subQ!AA5,"")</f>
        <v/>
      </c>
      <c r="AB22" s="23">
        <f>IFERROR(subQ!AB8/subQ!AB5,"")</f>
        <v/>
      </c>
      <c r="AC22" s="26">
        <f>$D$53</f>
        <v/>
      </c>
      <c r="AD22" s="26">
        <f>$D$53</f>
        <v/>
      </c>
      <c r="AE22" s="25">
        <f>IFERROR(subQ!AE8/subQ!AE5,"")</f>
        <v/>
      </c>
      <c r="AF22" s="26">
        <f>$D$53</f>
        <v/>
      </c>
      <c r="AG22" s="26">
        <f>$D$53</f>
        <v/>
      </c>
      <c r="AH22" s="26">
        <f>$D$53</f>
        <v/>
      </c>
      <c r="AI22" s="26">
        <f>$D$53</f>
        <v/>
      </c>
      <c r="AJ22" s="25">
        <f>IFERROR(subQ!AJ8/subQ!AJ5,"")</f>
        <v/>
      </c>
      <c r="AK22" s="26">
        <f>$D$53</f>
        <v/>
      </c>
      <c r="AL22" s="26">
        <f>$D$53</f>
        <v/>
      </c>
      <c r="AM22" s="26">
        <f>$D$53</f>
        <v/>
      </c>
      <c r="AN22" s="26">
        <f>$D$53</f>
        <v/>
      </c>
      <c r="AO22" s="25">
        <f>IFERROR(subQ!AO8/subQ!AO5,"")</f>
        <v/>
      </c>
    </row>
    <row r="23">
      <c r="A23" s="12" t="inlineStr">
        <is>
          <t>drv:영업이익</t>
        </is>
      </c>
      <c r="B23" s="2" t="inlineStr">
        <is>
          <t>ratio</t>
        </is>
      </c>
      <c r="C23" t="inlineStr">
        <is>
          <t>영업이익률(OPM)</t>
        </is>
      </c>
      <c r="E23" s="21">
        <f>IFERROR(subQ!E9/subQ!E5,"")</f>
        <v/>
      </c>
      <c r="F23" s="22">
        <f>IFERROR(subQ!F9/subQ!F5,"")</f>
        <v/>
      </c>
      <c r="G23" s="21">
        <f>IFERROR(subQ!G9/subQ!G5,"")</f>
        <v/>
      </c>
      <c r="H23" s="21">
        <f>IFERROR(subQ!H9/subQ!H5,"")</f>
        <v/>
      </c>
      <c r="I23" s="21">
        <f>IFERROR(subQ!I9/subQ!I5,"")</f>
        <v/>
      </c>
      <c r="J23" s="21">
        <f>IFERROR(subQ!J9/subQ!J5,"")</f>
        <v/>
      </c>
      <c r="K23" s="22">
        <f>IFERROR(subQ!K9/subQ!K5,"")</f>
        <v/>
      </c>
      <c r="L23" s="21">
        <f>IFERROR(subQ!L9/subQ!L5,"")</f>
        <v/>
      </c>
      <c r="M23" s="21">
        <f>IFERROR(subQ!M9/subQ!M5,"")</f>
        <v/>
      </c>
      <c r="N23" s="21">
        <f>IFERROR(subQ!N9/subQ!N5,"")</f>
        <v/>
      </c>
      <c r="O23" s="21">
        <f>IFERROR(subQ!O9/subQ!O5,"")</f>
        <v/>
      </c>
      <c r="P23" s="22">
        <f>IFERROR(subQ!P9/subQ!P5,"")</f>
        <v/>
      </c>
      <c r="Q23" s="21">
        <f>IFERROR(subQ!Q9/subQ!Q5,"")</f>
        <v/>
      </c>
      <c r="R23" s="21">
        <f>IFERROR(subQ!R9/subQ!R5,"")</f>
        <v/>
      </c>
      <c r="S23" s="21">
        <f>IFERROR(subQ!S9/subQ!S5,"")</f>
        <v/>
      </c>
      <c r="T23" s="21">
        <f>IFERROR(subQ!T9/subQ!T5,"")</f>
        <v/>
      </c>
      <c r="U23" s="22">
        <f>IFERROR(subQ!U9/subQ!U5,"")</f>
        <v/>
      </c>
      <c r="V23" s="21">
        <f>IFERROR(subQ!V9/subQ!V5,"")</f>
        <v/>
      </c>
      <c r="W23" s="21">
        <f>IFERROR(subQ!W9/subQ!W5,"")</f>
        <v/>
      </c>
      <c r="X23" s="21">
        <f>IFERROR(subQ!X9/subQ!X5,"")</f>
        <v/>
      </c>
      <c r="Y23" s="21">
        <f>IFERROR(subQ!Y9/subQ!Y5,"")</f>
        <v/>
      </c>
      <c r="Z23" s="22">
        <f>IFERROR(subQ!Z9/subQ!Z5,"")</f>
        <v/>
      </c>
      <c r="AA23" s="21">
        <f>IFERROR(subQ!AA9/subQ!AA5,"")</f>
        <v/>
      </c>
      <c r="AB23" s="23">
        <f>IFERROR(subQ!AB9/subQ!AB5,"")</f>
        <v/>
      </c>
      <c r="AC23" s="24" t="n">
        <v>-0.105655414</v>
      </c>
      <c r="AD23" s="24" t="n">
        <v>-0.105663153</v>
      </c>
      <c r="AE23" s="25">
        <f>IFERROR(subQ!AE9/subQ!AE5,"")</f>
        <v/>
      </c>
      <c r="AF23" s="24" t="n">
        <v>-0.105641546</v>
      </c>
      <c r="AG23" s="24" t="n">
        <v>-0.105678966</v>
      </c>
      <c r="AH23" s="24" t="n">
        <v>-0.1056627</v>
      </c>
      <c r="AI23" s="24" t="n">
        <v>-0.105667737</v>
      </c>
      <c r="AJ23" s="25">
        <f>IFERROR(subQ!AJ9/subQ!AJ5,"")</f>
        <v/>
      </c>
      <c r="AK23" s="24" t="n">
        <v>-0.105692344</v>
      </c>
      <c r="AL23" s="24" t="n">
        <v>-0.105707326</v>
      </c>
      <c r="AM23" s="24" t="n">
        <v>-0.105673853</v>
      </c>
      <c r="AN23" s="24" t="n">
        <v>-0.105724429</v>
      </c>
      <c r="AO23" s="25">
        <f>IFERROR(subQ!AO9/subQ!AO5,"")</f>
        <v/>
      </c>
    </row>
    <row r="24">
      <c r="A24" s="12" t="inlineStr">
        <is>
          <t>drv:외환손익</t>
        </is>
      </c>
      <c r="B24" s="2" t="inlineStr">
        <is>
          <t>abs</t>
        </is>
      </c>
      <c r="C24" t="inlineStr">
        <is>
          <t>외환손익 (가정, 억원)</t>
        </is>
      </c>
      <c r="E24" s="27">
        <f>subQ!E13</f>
        <v/>
      </c>
      <c r="F24" s="28">
        <f>subQ!F13</f>
        <v/>
      </c>
      <c r="G24" s="27">
        <f>subQ!G13</f>
        <v/>
      </c>
      <c r="H24" s="27">
        <f>subQ!H13</f>
        <v/>
      </c>
      <c r="I24" s="27">
        <f>subQ!I13</f>
        <v/>
      </c>
      <c r="J24" s="27">
        <f>subQ!J13</f>
        <v/>
      </c>
      <c r="K24" s="28">
        <f>subQ!K13</f>
        <v/>
      </c>
      <c r="L24" s="27">
        <f>subQ!L13</f>
        <v/>
      </c>
      <c r="M24" s="27">
        <f>subQ!M13</f>
        <v/>
      </c>
      <c r="N24" s="27">
        <f>subQ!N13</f>
        <v/>
      </c>
      <c r="O24" s="27">
        <f>subQ!O13</f>
        <v/>
      </c>
      <c r="P24" s="28">
        <f>subQ!P13</f>
        <v/>
      </c>
      <c r="Q24" s="27">
        <f>subQ!Q13</f>
        <v/>
      </c>
      <c r="R24" s="27">
        <f>subQ!R13</f>
        <v/>
      </c>
      <c r="S24" s="27">
        <f>subQ!S13</f>
        <v/>
      </c>
      <c r="T24" s="27">
        <f>subQ!T13</f>
        <v/>
      </c>
      <c r="U24" s="28">
        <f>subQ!U13</f>
        <v/>
      </c>
      <c r="V24" s="27">
        <f>subQ!V13</f>
        <v/>
      </c>
      <c r="W24" s="27">
        <f>subQ!W13</f>
        <v/>
      </c>
      <c r="X24" s="27">
        <f>subQ!X13</f>
        <v/>
      </c>
      <c r="Y24" s="27">
        <f>subQ!Y13</f>
        <v/>
      </c>
      <c r="Z24" s="28">
        <f>subQ!Z13</f>
        <v/>
      </c>
      <c r="AA24" s="27">
        <f>subQ!AA13</f>
        <v/>
      </c>
      <c r="AB24" s="29">
        <f>subQ!AB13</f>
        <v/>
      </c>
      <c r="AC24" s="30" t="n">
        <v>0</v>
      </c>
      <c r="AD24" s="30" t="n">
        <v>0</v>
      </c>
      <c r="AE24" s="31">
        <f>subQ!AE13</f>
        <v/>
      </c>
      <c r="AF24" s="30" t="n">
        <v>0</v>
      </c>
      <c r="AG24" s="30" t="n">
        <v>0</v>
      </c>
      <c r="AH24" s="30" t="n">
        <v>0</v>
      </c>
      <c r="AI24" s="30" t="n">
        <v>0</v>
      </c>
      <c r="AJ24" s="31">
        <f>subQ!AJ13</f>
        <v/>
      </c>
      <c r="AK24" s="30" t="n">
        <v>0</v>
      </c>
      <c r="AL24" s="30" t="n">
        <v>0</v>
      </c>
      <c r="AM24" s="30" t="n">
        <v>0</v>
      </c>
      <c r="AN24" s="30" t="n">
        <v>0</v>
      </c>
      <c r="AO24" s="31">
        <f>subQ!AO13</f>
        <v/>
      </c>
    </row>
    <row r="25">
      <c r="A25" s="12" t="inlineStr">
        <is>
          <t>drv:파생상품손익</t>
        </is>
      </c>
      <c r="B25" s="2" t="inlineStr">
        <is>
          <t>abs</t>
        </is>
      </c>
      <c r="C25" t="inlineStr">
        <is>
          <t>파생상품손익 (가정, 억원)</t>
        </is>
      </c>
      <c r="E25" s="27">
        <f>subQ!E14</f>
        <v/>
      </c>
      <c r="F25" s="28">
        <f>subQ!F14</f>
        <v/>
      </c>
      <c r="G25" s="27">
        <f>subQ!G14</f>
        <v/>
      </c>
      <c r="H25" s="27">
        <f>subQ!H14</f>
        <v/>
      </c>
      <c r="I25" s="27">
        <f>subQ!I14</f>
        <v/>
      </c>
      <c r="J25" s="27">
        <f>subQ!J14</f>
        <v/>
      </c>
      <c r="K25" s="28">
        <f>subQ!K14</f>
        <v/>
      </c>
      <c r="L25" s="27">
        <f>subQ!L14</f>
        <v/>
      </c>
      <c r="M25" s="27">
        <f>subQ!M14</f>
        <v/>
      </c>
      <c r="N25" s="27">
        <f>subQ!N14</f>
        <v/>
      </c>
      <c r="O25" s="27">
        <f>subQ!O14</f>
        <v/>
      </c>
      <c r="P25" s="28">
        <f>subQ!P14</f>
        <v/>
      </c>
      <c r="Q25" s="27">
        <f>subQ!Q14</f>
        <v/>
      </c>
      <c r="R25" s="27">
        <f>subQ!R14</f>
        <v/>
      </c>
      <c r="S25" s="27">
        <f>subQ!S14</f>
        <v/>
      </c>
      <c r="T25" s="27">
        <f>subQ!T14</f>
        <v/>
      </c>
      <c r="U25" s="28">
        <f>subQ!U14</f>
        <v/>
      </c>
      <c r="V25" s="27">
        <f>subQ!V14</f>
        <v/>
      </c>
      <c r="W25" s="27">
        <f>subQ!W14</f>
        <v/>
      </c>
      <c r="X25" s="27">
        <f>subQ!X14</f>
        <v/>
      </c>
      <c r="Y25" s="27">
        <f>subQ!Y14</f>
        <v/>
      </c>
      <c r="Z25" s="28">
        <f>subQ!Z14</f>
        <v/>
      </c>
      <c r="AA25" s="27">
        <f>subQ!AA14</f>
        <v/>
      </c>
      <c r="AB25" s="29">
        <f>subQ!AB14</f>
        <v/>
      </c>
      <c r="AC25" s="30" t="n">
        <v>0</v>
      </c>
      <c r="AD25" s="30" t="n">
        <v>0</v>
      </c>
      <c r="AE25" s="31">
        <f>subQ!AE14</f>
        <v/>
      </c>
      <c r="AF25" s="30" t="n">
        <v>0</v>
      </c>
      <c r="AG25" s="30" t="n">
        <v>0</v>
      </c>
      <c r="AH25" s="30" t="n">
        <v>0</v>
      </c>
      <c r="AI25" s="30" t="n">
        <v>0</v>
      </c>
      <c r="AJ25" s="31">
        <f>subQ!AJ14</f>
        <v/>
      </c>
      <c r="AK25" s="30" t="n">
        <v>0</v>
      </c>
      <c r="AL25" s="30" t="n">
        <v>0</v>
      </c>
      <c r="AM25" s="30" t="n">
        <v>0</v>
      </c>
      <c r="AN25" s="30" t="n">
        <v>0</v>
      </c>
      <c r="AO25" s="31">
        <f>subQ!AO14</f>
        <v/>
      </c>
    </row>
    <row r="26">
      <c r="A26" s="12" t="inlineStr">
        <is>
          <t>drv:기타금융손익</t>
        </is>
      </c>
      <c r="B26" s="2" t="inlineStr">
        <is>
          <t>abs</t>
        </is>
      </c>
      <c r="C26" t="inlineStr">
        <is>
          <t>기타금융손익 (가정, 억원)</t>
        </is>
      </c>
      <c r="E26" s="27">
        <f>subQ!E15</f>
        <v/>
      </c>
      <c r="F26" s="28">
        <f>subQ!F15</f>
        <v/>
      </c>
      <c r="G26" s="27">
        <f>subQ!G15</f>
        <v/>
      </c>
      <c r="H26" s="27">
        <f>subQ!H15</f>
        <v/>
      </c>
      <c r="I26" s="27">
        <f>subQ!I15</f>
        <v/>
      </c>
      <c r="J26" s="27">
        <f>subQ!J15</f>
        <v/>
      </c>
      <c r="K26" s="28">
        <f>subQ!K15</f>
        <v/>
      </c>
      <c r="L26" s="27">
        <f>subQ!L15</f>
        <v/>
      </c>
      <c r="M26" s="27">
        <f>subQ!M15</f>
        <v/>
      </c>
      <c r="N26" s="27">
        <f>subQ!N15</f>
        <v/>
      </c>
      <c r="O26" s="27">
        <f>subQ!O15</f>
        <v/>
      </c>
      <c r="P26" s="28">
        <f>subQ!P15</f>
        <v/>
      </c>
      <c r="Q26" s="27">
        <f>subQ!Q15</f>
        <v/>
      </c>
      <c r="R26" s="27">
        <f>subQ!R15</f>
        <v/>
      </c>
      <c r="S26" s="27">
        <f>subQ!S15</f>
        <v/>
      </c>
      <c r="T26" s="27">
        <f>subQ!T15</f>
        <v/>
      </c>
      <c r="U26" s="28">
        <f>subQ!U15</f>
        <v/>
      </c>
      <c r="V26" s="27">
        <f>subQ!V15</f>
        <v/>
      </c>
      <c r="W26" s="27">
        <f>subQ!W15</f>
        <v/>
      </c>
      <c r="X26" s="27">
        <f>subQ!X15</f>
        <v/>
      </c>
      <c r="Y26" s="27">
        <f>subQ!Y15</f>
        <v/>
      </c>
      <c r="Z26" s="28">
        <f>subQ!Z15</f>
        <v/>
      </c>
      <c r="AA26" s="27">
        <f>subQ!AA15</f>
        <v/>
      </c>
      <c r="AB26" s="29">
        <f>subQ!AB15</f>
        <v/>
      </c>
      <c r="AC26" s="30" t="n">
        <v>0</v>
      </c>
      <c r="AD26" s="30" t="n">
        <v>0</v>
      </c>
      <c r="AE26" s="31">
        <f>subQ!AE15</f>
        <v/>
      </c>
      <c r="AF26" s="30" t="n">
        <v>0</v>
      </c>
      <c r="AG26" s="30" t="n">
        <v>0</v>
      </c>
      <c r="AH26" s="30" t="n">
        <v>0</v>
      </c>
      <c r="AI26" s="30" t="n">
        <v>0</v>
      </c>
      <c r="AJ26" s="31">
        <f>subQ!AJ15</f>
        <v/>
      </c>
      <c r="AK26" s="30" t="n">
        <v>0</v>
      </c>
      <c r="AL26" s="30" t="n">
        <v>0</v>
      </c>
      <c r="AM26" s="30" t="n">
        <v>0</v>
      </c>
      <c r="AN26" s="30" t="n">
        <v>0</v>
      </c>
      <c r="AO26" s="31">
        <f>subQ!AO15</f>
        <v/>
      </c>
    </row>
    <row r="27">
      <c r="A27" s="12" t="inlineStr">
        <is>
          <t>drv:기타영업외손익</t>
        </is>
      </c>
      <c r="B27" s="2" t="inlineStr">
        <is>
          <t>abs</t>
        </is>
      </c>
      <c r="C27" t="inlineStr">
        <is>
          <t>기타영업외손익 (가정, 억원)</t>
        </is>
      </c>
      <c r="E27" s="27">
        <f>subQ!E16</f>
        <v/>
      </c>
      <c r="F27" s="28">
        <f>subQ!F16</f>
        <v/>
      </c>
      <c r="G27" s="27">
        <f>subQ!G16</f>
        <v/>
      </c>
      <c r="H27" s="27">
        <f>subQ!H16</f>
        <v/>
      </c>
      <c r="I27" s="27">
        <f>subQ!I16</f>
        <v/>
      </c>
      <c r="J27" s="27">
        <f>subQ!J16</f>
        <v/>
      </c>
      <c r="K27" s="28">
        <f>subQ!K16</f>
        <v/>
      </c>
      <c r="L27" s="27">
        <f>subQ!L16</f>
        <v/>
      </c>
      <c r="M27" s="27">
        <f>subQ!M16</f>
        <v/>
      </c>
      <c r="N27" s="27">
        <f>subQ!N16</f>
        <v/>
      </c>
      <c r="O27" s="27">
        <f>subQ!O16</f>
        <v/>
      </c>
      <c r="P27" s="28">
        <f>subQ!P16</f>
        <v/>
      </c>
      <c r="Q27" s="27">
        <f>subQ!Q16</f>
        <v/>
      </c>
      <c r="R27" s="27">
        <f>subQ!R16</f>
        <v/>
      </c>
      <c r="S27" s="27">
        <f>subQ!S16</f>
        <v/>
      </c>
      <c r="T27" s="27">
        <f>subQ!T16</f>
        <v/>
      </c>
      <c r="U27" s="28">
        <f>subQ!U16</f>
        <v/>
      </c>
      <c r="V27" s="27">
        <f>subQ!V16</f>
        <v/>
      </c>
      <c r="W27" s="27">
        <f>subQ!W16</f>
        <v/>
      </c>
      <c r="X27" s="27">
        <f>subQ!X16</f>
        <v/>
      </c>
      <c r="Y27" s="27">
        <f>subQ!Y16</f>
        <v/>
      </c>
      <c r="Z27" s="28">
        <f>subQ!Z16</f>
        <v/>
      </c>
      <c r="AA27" s="27">
        <f>subQ!AA16</f>
        <v/>
      </c>
      <c r="AB27" s="29">
        <f>subQ!AB16</f>
        <v/>
      </c>
      <c r="AC27" s="30" t="n">
        <v>0</v>
      </c>
      <c r="AD27" s="30" t="n">
        <v>0</v>
      </c>
      <c r="AE27" s="31">
        <f>subQ!AE16</f>
        <v/>
      </c>
      <c r="AF27" s="30" t="n">
        <v>0</v>
      </c>
      <c r="AG27" s="30" t="n">
        <v>0</v>
      </c>
      <c r="AH27" s="30" t="n">
        <v>0</v>
      </c>
      <c r="AI27" s="30" t="n">
        <v>0</v>
      </c>
      <c r="AJ27" s="31">
        <f>subQ!AJ16</f>
        <v/>
      </c>
      <c r="AK27" s="30" t="n">
        <v>0</v>
      </c>
      <c r="AL27" s="30" t="n">
        <v>0</v>
      </c>
      <c r="AM27" s="30" t="n">
        <v>0</v>
      </c>
      <c r="AN27" s="30" t="n">
        <v>0</v>
      </c>
      <c r="AO27" s="31">
        <f>subQ!AO16</f>
        <v/>
      </c>
    </row>
    <row r="28">
      <c r="A28" s="12" t="inlineStr">
        <is>
          <t>drv:지분법손익</t>
        </is>
      </c>
      <c r="B28" s="2" t="inlineStr">
        <is>
          <t>abs</t>
        </is>
      </c>
      <c r="C28" t="inlineStr">
        <is>
          <t>지분법손익 (가정, 억원)</t>
        </is>
      </c>
      <c r="E28" s="27">
        <f>subQ!E17</f>
        <v/>
      </c>
      <c r="F28" s="28">
        <f>subQ!F17</f>
        <v/>
      </c>
      <c r="G28" s="27">
        <f>subQ!G17</f>
        <v/>
      </c>
      <c r="H28" s="27">
        <f>subQ!H17</f>
        <v/>
      </c>
      <c r="I28" s="27">
        <f>subQ!I17</f>
        <v/>
      </c>
      <c r="J28" s="27">
        <f>subQ!J17</f>
        <v/>
      </c>
      <c r="K28" s="28">
        <f>subQ!K17</f>
        <v/>
      </c>
      <c r="L28" s="27">
        <f>subQ!L17</f>
        <v/>
      </c>
      <c r="M28" s="27">
        <f>subQ!M17</f>
        <v/>
      </c>
      <c r="N28" s="27">
        <f>subQ!N17</f>
        <v/>
      </c>
      <c r="O28" s="27">
        <f>subQ!O17</f>
        <v/>
      </c>
      <c r="P28" s="28">
        <f>subQ!P17</f>
        <v/>
      </c>
      <c r="Q28" s="27">
        <f>subQ!Q17</f>
        <v/>
      </c>
      <c r="R28" s="27">
        <f>subQ!R17</f>
        <v/>
      </c>
      <c r="S28" s="27">
        <f>subQ!S17</f>
        <v/>
      </c>
      <c r="T28" s="27">
        <f>subQ!T17</f>
        <v/>
      </c>
      <c r="U28" s="28">
        <f>subQ!U17</f>
        <v/>
      </c>
      <c r="V28" s="27">
        <f>subQ!V17</f>
        <v/>
      </c>
      <c r="W28" s="27">
        <f>subQ!W17</f>
        <v/>
      </c>
      <c r="X28" s="27">
        <f>subQ!X17</f>
        <v/>
      </c>
      <c r="Y28" s="27">
        <f>subQ!Y17</f>
        <v/>
      </c>
      <c r="Z28" s="28">
        <f>subQ!Z17</f>
        <v/>
      </c>
      <c r="AA28" s="27">
        <f>subQ!AA17</f>
        <v/>
      </c>
      <c r="AB28" s="29">
        <f>subQ!AB17</f>
        <v/>
      </c>
      <c r="AC28" s="30" t="n">
        <v>-7.62</v>
      </c>
      <c r="AD28" s="30" t="n">
        <v>-7.62</v>
      </c>
      <c r="AE28" s="31">
        <f>subQ!AE17</f>
        <v/>
      </c>
      <c r="AF28" s="30" t="n">
        <v>-7.62</v>
      </c>
      <c r="AG28" s="30" t="n">
        <v>-7.62</v>
      </c>
      <c r="AH28" s="30" t="n">
        <v>-7.62</v>
      </c>
      <c r="AI28" s="30" t="n">
        <v>-7.62</v>
      </c>
      <c r="AJ28" s="31">
        <f>subQ!AJ17</f>
        <v/>
      </c>
      <c r="AK28" s="30" t="n">
        <v>-7.62</v>
      </c>
      <c r="AL28" s="30" t="n">
        <v>-7.62</v>
      </c>
      <c r="AM28" s="30" t="n">
        <v>-7.62</v>
      </c>
      <c r="AN28" s="30" t="n">
        <v>-7.62</v>
      </c>
      <c r="AO28" s="31">
        <f>subQ!AO17</f>
        <v/>
      </c>
    </row>
    <row r="29">
      <c r="A29" s="12" t="inlineStr">
        <is>
          <t>drv:법인세비용</t>
        </is>
      </c>
      <c r="B29" s="2" t="inlineStr">
        <is>
          <t>ratio</t>
        </is>
      </c>
      <c r="C29" t="inlineStr">
        <is>
          <t>법인세율(/세전)</t>
        </is>
      </c>
      <c r="E29" s="21">
        <f>IFERROR(subQ!E19/subQ!E18,"")</f>
        <v/>
      </c>
      <c r="F29" s="22">
        <f>IFERROR(subQ!F19/subQ!F18,"")</f>
        <v/>
      </c>
      <c r="G29" s="21">
        <f>IFERROR(subQ!G19/subQ!G18,"")</f>
        <v/>
      </c>
      <c r="H29" s="21">
        <f>IFERROR(subQ!H19/subQ!H18,"")</f>
        <v/>
      </c>
      <c r="I29" s="21">
        <f>IFERROR(subQ!I19/subQ!I18,"")</f>
        <v/>
      </c>
      <c r="J29" s="21">
        <f>IFERROR(subQ!J19/subQ!J18,"")</f>
        <v/>
      </c>
      <c r="K29" s="22">
        <f>IFERROR(subQ!K19/subQ!K18,"")</f>
        <v/>
      </c>
      <c r="L29" s="21">
        <f>IFERROR(subQ!L19/subQ!L18,"")</f>
        <v/>
      </c>
      <c r="M29" s="21">
        <f>IFERROR(subQ!M19/subQ!M18,"")</f>
        <v/>
      </c>
      <c r="N29" s="21">
        <f>IFERROR(subQ!N19/subQ!N18,"")</f>
        <v/>
      </c>
      <c r="O29" s="21">
        <f>IFERROR(subQ!O19/subQ!O18,"")</f>
        <v/>
      </c>
      <c r="P29" s="22">
        <f>IFERROR(subQ!P19/subQ!P18,"")</f>
        <v/>
      </c>
      <c r="Q29" s="21">
        <f>IFERROR(subQ!Q19/subQ!Q18,"")</f>
        <v/>
      </c>
      <c r="R29" s="21">
        <f>IFERROR(subQ!R19/subQ!R18,"")</f>
        <v/>
      </c>
      <c r="S29" s="21">
        <f>IFERROR(subQ!S19/subQ!S18,"")</f>
        <v/>
      </c>
      <c r="T29" s="21">
        <f>IFERROR(subQ!T19/subQ!T18,"")</f>
        <v/>
      </c>
      <c r="U29" s="22">
        <f>IFERROR(subQ!U19/subQ!U18,"")</f>
        <v/>
      </c>
      <c r="V29" s="21">
        <f>IFERROR(subQ!V19/subQ!V18,"")</f>
        <v/>
      </c>
      <c r="W29" s="21">
        <f>IFERROR(subQ!W19/subQ!W18,"")</f>
        <v/>
      </c>
      <c r="X29" s="21">
        <f>IFERROR(subQ!X19/subQ!X18,"")</f>
        <v/>
      </c>
      <c r="Y29" s="21">
        <f>IFERROR(subQ!Y19/subQ!Y18,"")</f>
        <v/>
      </c>
      <c r="Z29" s="22">
        <f>IFERROR(subQ!Z19/subQ!Z18,"")</f>
        <v/>
      </c>
      <c r="AA29" s="21">
        <f>IFERROR(subQ!AA19/subQ!AA18,"")</f>
        <v/>
      </c>
      <c r="AB29" s="23">
        <f>IFERROR(subQ!AB19/subQ!AB18,"")</f>
        <v/>
      </c>
      <c r="AC29" s="24" t="n">
        <v>-0</v>
      </c>
      <c r="AD29" s="24" t="n">
        <v>-0</v>
      </c>
      <c r="AE29" s="25">
        <f>IFERROR(subQ!AE19/subQ!AE18,"")</f>
        <v/>
      </c>
      <c r="AF29" s="24" t="n">
        <v>-0</v>
      </c>
      <c r="AG29" s="24" t="n">
        <v>-0</v>
      </c>
      <c r="AH29" s="24" t="n">
        <v>-0</v>
      </c>
      <c r="AI29" s="24" t="n">
        <v>-0</v>
      </c>
      <c r="AJ29" s="25">
        <f>IFERROR(subQ!AJ19/subQ!AJ18,"")</f>
        <v/>
      </c>
      <c r="AK29" s="24" t="n">
        <v>-0</v>
      </c>
      <c r="AL29" s="24" t="n">
        <v>-0</v>
      </c>
      <c r="AM29" s="24" t="n">
        <v>-0</v>
      </c>
      <c r="AN29" s="24" t="n">
        <v>-0</v>
      </c>
      <c r="AO29" s="25">
        <f>IFERROR(subQ!AO19/subQ!AO18,"")</f>
        <v/>
      </c>
    </row>
    <row r="30">
      <c r="A30" s="12" t="inlineStr">
        <is>
          <t>drv:지배주주순이익</t>
        </is>
      </c>
      <c r="B30" s="2" t="inlineStr">
        <is>
          <t>ratio</t>
        </is>
      </c>
      <c r="C30" t="inlineStr">
        <is>
          <t>지배주주 비중(/당기순이익)</t>
        </is>
      </c>
      <c r="E30" s="21">
        <f>IFERROR(subQ!E21/subQ!E20,"")</f>
        <v/>
      </c>
      <c r="F30" s="22">
        <f>IFERROR(subQ!F21/subQ!F20,"")</f>
        <v/>
      </c>
      <c r="G30" s="21">
        <f>IFERROR(subQ!G21/subQ!G20,"")</f>
        <v/>
      </c>
      <c r="H30" s="21">
        <f>IFERROR(subQ!H21/subQ!H20,"")</f>
        <v/>
      </c>
      <c r="I30" s="21">
        <f>IFERROR(subQ!I21/subQ!I20,"")</f>
        <v/>
      </c>
      <c r="J30" s="21">
        <f>IFERROR(subQ!J21/subQ!J20,"")</f>
        <v/>
      </c>
      <c r="K30" s="22">
        <f>IFERROR(subQ!K21/subQ!K20,"")</f>
        <v/>
      </c>
      <c r="L30" s="21">
        <f>IFERROR(subQ!L21/subQ!L20,"")</f>
        <v/>
      </c>
      <c r="M30" s="21">
        <f>IFERROR(subQ!M21/subQ!M20,"")</f>
        <v/>
      </c>
      <c r="N30" s="21">
        <f>IFERROR(subQ!N21/subQ!N20,"")</f>
        <v/>
      </c>
      <c r="O30" s="21">
        <f>IFERROR(subQ!O21/subQ!O20,"")</f>
        <v/>
      </c>
      <c r="P30" s="22">
        <f>IFERROR(subQ!P21/subQ!P20,"")</f>
        <v/>
      </c>
      <c r="Q30" s="21">
        <f>IFERROR(subQ!Q21/subQ!Q20,"")</f>
        <v/>
      </c>
      <c r="R30" s="21">
        <f>IFERROR(subQ!R21/subQ!R20,"")</f>
        <v/>
      </c>
      <c r="S30" s="21">
        <f>IFERROR(subQ!S21/subQ!S20,"")</f>
        <v/>
      </c>
      <c r="T30" s="21">
        <f>IFERROR(subQ!T21/subQ!T20,"")</f>
        <v/>
      </c>
      <c r="U30" s="22">
        <f>IFERROR(subQ!U21/subQ!U20,"")</f>
        <v/>
      </c>
      <c r="V30" s="21">
        <f>IFERROR(subQ!V21/subQ!V20,"")</f>
        <v/>
      </c>
      <c r="W30" s="21">
        <f>IFERROR(subQ!W21/subQ!W20,"")</f>
        <v/>
      </c>
      <c r="X30" s="21">
        <f>IFERROR(subQ!X21/subQ!X20,"")</f>
        <v/>
      </c>
      <c r="Y30" s="21">
        <f>IFERROR(subQ!Y21/subQ!Y20,"")</f>
        <v/>
      </c>
      <c r="Z30" s="22">
        <f>IFERROR(subQ!Z21/subQ!Z20,"")</f>
        <v/>
      </c>
      <c r="AA30" s="21">
        <f>IFERROR(subQ!AA21/subQ!AA20,"")</f>
        <v/>
      </c>
      <c r="AB30" s="23">
        <f>IFERROR(subQ!AB21/subQ!AB20,"")</f>
        <v/>
      </c>
      <c r="AC30" s="26">
        <f>$D$54</f>
        <v/>
      </c>
      <c r="AD30" s="26">
        <f>$D$54</f>
        <v/>
      </c>
      <c r="AE30" s="25">
        <f>IFERROR(subQ!AE21/subQ!AE20,"")</f>
        <v/>
      </c>
      <c r="AF30" s="26">
        <f>$D$54</f>
        <v/>
      </c>
      <c r="AG30" s="26">
        <f>$D$54</f>
        <v/>
      </c>
      <c r="AH30" s="26">
        <f>$D$54</f>
        <v/>
      </c>
      <c r="AI30" s="26">
        <f>$D$54</f>
        <v/>
      </c>
      <c r="AJ30" s="25">
        <f>IFERROR(subQ!AJ21/subQ!AJ20,"")</f>
        <v/>
      </c>
      <c r="AK30" s="26">
        <f>$D$54</f>
        <v/>
      </c>
      <c r="AL30" s="26">
        <f>$D$54</f>
        <v/>
      </c>
      <c r="AM30" s="26">
        <f>$D$54</f>
        <v/>
      </c>
      <c r="AN30" s="26">
        <f>$D$54</f>
        <v/>
      </c>
      <c r="AO30" s="25">
        <f>IFERROR(subQ!AO21/subQ!AO20,"")</f>
        <v/>
      </c>
    </row>
    <row r="31">
      <c r="A31" s="12" t="inlineStr">
        <is>
          <t>drv:중단사업이익</t>
        </is>
      </c>
      <c r="B31" s="2" t="inlineStr">
        <is>
          <t>abs</t>
        </is>
      </c>
      <c r="C31" t="inlineStr">
        <is>
          <t>중단사업이익 (가정, 억원)</t>
        </is>
      </c>
      <c r="E31" s="27">
        <f>subQ!E22</f>
        <v/>
      </c>
      <c r="F31" s="28">
        <f>subQ!F22</f>
        <v/>
      </c>
      <c r="G31" s="27">
        <f>subQ!G22</f>
        <v/>
      </c>
      <c r="H31" s="27">
        <f>subQ!H22</f>
        <v/>
      </c>
      <c r="I31" s="27">
        <f>subQ!I22</f>
        <v/>
      </c>
      <c r="J31" s="27">
        <f>subQ!J22</f>
        <v/>
      </c>
      <c r="K31" s="28">
        <f>subQ!K22</f>
        <v/>
      </c>
      <c r="L31" s="27">
        <f>subQ!L22</f>
        <v/>
      </c>
      <c r="M31" s="27">
        <f>subQ!M22</f>
        <v/>
      </c>
      <c r="N31" s="27">
        <f>subQ!N22</f>
        <v/>
      </c>
      <c r="O31" s="27">
        <f>subQ!O22</f>
        <v/>
      </c>
      <c r="P31" s="28">
        <f>subQ!P22</f>
        <v/>
      </c>
      <c r="Q31" s="27">
        <f>subQ!Q22</f>
        <v/>
      </c>
      <c r="R31" s="27">
        <f>subQ!R22</f>
        <v/>
      </c>
      <c r="S31" s="27">
        <f>subQ!S22</f>
        <v/>
      </c>
      <c r="T31" s="27">
        <f>subQ!T22</f>
        <v/>
      </c>
      <c r="U31" s="28">
        <f>subQ!U22</f>
        <v/>
      </c>
      <c r="V31" s="27">
        <f>subQ!V22</f>
        <v/>
      </c>
      <c r="W31" s="27">
        <f>subQ!W22</f>
        <v/>
      </c>
      <c r="X31" s="27">
        <f>subQ!X22</f>
        <v/>
      </c>
      <c r="Y31" s="27">
        <f>subQ!Y22</f>
        <v/>
      </c>
      <c r="Z31" s="28">
        <f>subQ!Z22</f>
        <v/>
      </c>
      <c r="AA31" s="27">
        <f>subQ!AA22</f>
        <v/>
      </c>
      <c r="AB31" s="29">
        <f>subQ!AB22</f>
        <v/>
      </c>
      <c r="AC31" s="32" t="n"/>
      <c r="AD31" s="32" t="n"/>
      <c r="AE31" s="31">
        <f>subQ!AE22</f>
        <v/>
      </c>
      <c r="AF31" s="32" t="n"/>
      <c r="AG31" s="32" t="n"/>
      <c r="AH31" s="32" t="n"/>
      <c r="AI31" s="32" t="n"/>
      <c r="AJ31" s="31">
        <f>subQ!AJ22</f>
        <v/>
      </c>
      <c r="AK31" s="32" t="n"/>
      <c r="AL31" s="32" t="n"/>
      <c r="AM31" s="32" t="n"/>
      <c r="AN31" s="32" t="n"/>
      <c r="AO31" s="31">
        <f>subQ!AO22</f>
        <v/>
      </c>
    </row>
    <row r="32">
      <c r="A32" s="12" t="inlineStr">
        <is>
          <t>drv:부채총계</t>
        </is>
      </c>
      <c r="B32" s="2" t="inlineStr">
        <is>
          <t>qoq</t>
        </is>
      </c>
      <c r="C32" t="inlineStr">
        <is>
          <t>부채총계 QoQ</t>
        </is>
      </c>
      <c r="E32" s="21" t="n"/>
      <c r="F32" s="22" t="n"/>
      <c r="G32" s="21">
        <f>IFERROR(subQ!G24/subQ!E24-1,"")</f>
        <v/>
      </c>
      <c r="H32" s="21">
        <f>IFERROR(subQ!H24/subQ!G24-1,"")</f>
        <v/>
      </c>
      <c r="I32" s="21">
        <f>IFERROR(subQ!I24/subQ!H24-1,"")</f>
        <v/>
      </c>
      <c r="J32" s="21">
        <f>IFERROR(subQ!J24/subQ!I24-1,"")</f>
        <v/>
      </c>
      <c r="K32" s="22" t="n"/>
      <c r="L32" s="21">
        <f>IFERROR(subQ!L24/subQ!J24-1,"")</f>
        <v/>
      </c>
      <c r="M32" s="21">
        <f>IFERROR(subQ!M24/subQ!L24-1,"")</f>
        <v/>
      </c>
      <c r="N32" s="21">
        <f>IFERROR(subQ!N24/subQ!M24-1,"")</f>
        <v/>
      </c>
      <c r="O32" s="21">
        <f>IFERROR(subQ!O24/subQ!N24-1,"")</f>
        <v/>
      </c>
      <c r="P32" s="22" t="n"/>
      <c r="Q32" s="21">
        <f>IFERROR(subQ!Q24/subQ!O24-1,"")</f>
        <v/>
      </c>
      <c r="R32" s="21">
        <f>IFERROR(subQ!R24/subQ!Q24-1,"")</f>
        <v/>
      </c>
      <c r="S32" s="21">
        <f>IFERROR(subQ!S24/subQ!R24-1,"")</f>
        <v/>
      </c>
      <c r="T32" s="21">
        <f>IFERROR(subQ!T24/subQ!S24-1,"")</f>
        <v/>
      </c>
      <c r="U32" s="22" t="n"/>
      <c r="V32" s="21">
        <f>IFERROR(subQ!V24/subQ!T24-1,"")</f>
        <v/>
      </c>
      <c r="W32" s="21">
        <f>IFERROR(subQ!W24/subQ!V24-1,"")</f>
        <v/>
      </c>
      <c r="X32" s="21">
        <f>IFERROR(subQ!X24/subQ!W24-1,"")</f>
        <v/>
      </c>
      <c r="Y32" s="21">
        <f>IFERROR(subQ!Y24/subQ!X24-1,"")</f>
        <v/>
      </c>
      <c r="Z32" s="22" t="n"/>
      <c r="AA32" s="21">
        <f>IFERROR(subQ!AA24/subQ!Y24-1,"")</f>
        <v/>
      </c>
      <c r="AB32" s="23">
        <f>IFERROR(subQ!AB24/subQ!AA24-1,"")</f>
        <v/>
      </c>
      <c r="AC32" s="24" t="n">
        <v>-1.3497e-05</v>
      </c>
      <c r="AD32" s="24" t="n">
        <v>0</v>
      </c>
      <c r="AE32" s="25" t="n"/>
      <c r="AF32" s="24" t="n">
        <v>0</v>
      </c>
      <c r="AG32" s="24" t="n">
        <v>0</v>
      </c>
      <c r="AH32" s="24" t="n">
        <v>0</v>
      </c>
      <c r="AI32" s="24" t="n">
        <v>0</v>
      </c>
      <c r="AJ32" s="25" t="n"/>
      <c r="AK32" s="24" t="n">
        <v>0</v>
      </c>
      <c r="AL32" s="24" t="n">
        <v>0</v>
      </c>
      <c r="AM32" s="24" t="n">
        <v>0</v>
      </c>
      <c r="AN32" s="24" t="n">
        <v>0</v>
      </c>
      <c r="AO32" s="25" t="n"/>
    </row>
    <row r="33">
      <c r="A33" s="12" t="inlineStr">
        <is>
          <t>drv:자본총계</t>
        </is>
      </c>
      <c r="B33" s="2" t="inlineStr">
        <is>
          <t>roll</t>
        </is>
      </c>
      <c r="C33" t="inlineStr">
        <is>
          <t>자본총계 기타변동(배당 등, 억원)</t>
        </is>
      </c>
      <c r="E33" s="27" t="n"/>
      <c r="F33" s="28" t="n"/>
      <c r="G33" s="27">
        <f>IFERROR(subQ!E25+subQ!G20-subQ!G25,"")</f>
        <v/>
      </c>
      <c r="H33" s="27">
        <f>IFERROR(subQ!G25+subQ!H20-subQ!H25,"")</f>
        <v/>
      </c>
      <c r="I33" s="27">
        <f>IFERROR(subQ!H25+subQ!I20-subQ!I25,"")</f>
        <v/>
      </c>
      <c r="J33" s="27">
        <f>IFERROR(subQ!I25+subQ!J20-subQ!J25,"")</f>
        <v/>
      </c>
      <c r="K33" s="28" t="n"/>
      <c r="L33" s="27">
        <f>IFERROR(subQ!J25+subQ!L20-subQ!L25,"")</f>
        <v/>
      </c>
      <c r="M33" s="27">
        <f>IFERROR(subQ!L25+subQ!M20-subQ!M25,"")</f>
        <v/>
      </c>
      <c r="N33" s="27">
        <f>IFERROR(subQ!M25+subQ!N20-subQ!N25,"")</f>
        <v/>
      </c>
      <c r="O33" s="27">
        <f>IFERROR(subQ!N25+subQ!O20-subQ!O25,"")</f>
        <v/>
      </c>
      <c r="P33" s="28" t="n"/>
      <c r="Q33" s="27">
        <f>IFERROR(subQ!O25+subQ!Q20-subQ!Q25,"")</f>
        <v/>
      </c>
      <c r="R33" s="27">
        <f>IFERROR(subQ!Q25+subQ!R20-subQ!R25,"")</f>
        <v/>
      </c>
      <c r="S33" s="27">
        <f>IFERROR(subQ!R25+subQ!S20-subQ!S25,"")</f>
        <v/>
      </c>
      <c r="T33" s="27">
        <f>IFERROR(subQ!S25+subQ!T20-subQ!T25,"")</f>
        <v/>
      </c>
      <c r="U33" s="28" t="n"/>
      <c r="V33" s="27">
        <f>IFERROR(subQ!T25+subQ!V20-subQ!V25,"")</f>
        <v/>
      </c>
      <c r="W33" s="27">
        <f>IFERROR(subQ!V25+subQ!W20-subQ!W25,"")</f>
        <v/>
      </c>
      <c r="X33" s="27">
        <f>IFERROR(subQ!W25+subQ!X20-subQ!X25,"")</f>
        <v/>
      </c>
      <c r="Y33" s="27">
        <f>IFERROR(subQ!X25+subQ!Y20-subQ!Y25,"")</f>
        <v/>
      </c>
      <c r="Z33" s="28" t="n"/>
      <c r="AA33" s="27">
        <f>IFERROR(subQ!Y25+subQ!AA20-subQ!AA25,"")</f>
        <v/>
      </c>
      <c r="AB33" s="29">
        <f>IFERROR(subQ!AA25+subQ!AB20-subQ!AB25,"")</f>
        <v/>
      </c>
      <c r="AC33" s="30" t="n">
        <v>0.006926205</v>
      </c>
      <c r="AD33" s="30" t="n">
        <v>0.002789916</v>
      </c>
      <c r="AE33" s="31" t="n"/>
      <c r="AF33" s="30" t="n">
        <v>0.012269244</v>
      </c>
      <c r="AG33" s="30" t="n">
        <v>0.003367536</v>
      </c>
      <c r="AH33" s="30" t="n">
        <v>0.006747604</v>
      </c>
      <c r="AI33" s="30" t="n">
        <v>0.001298913</v>
      </c>
      <c r="AJ33" s="31" t="n"/>
      <c r="AK33" s="30" t="n">
        <v>0.009029466</v>
      </c>
      <c r="AL33" s="30" t="n">
        <v>-0.002196851</v>
      </c>
      <c r="AM33" s="30" t="n">
        <v>0.009029348</v>
      </c>
      <c r="AN33" s="30" t="n">
        <v>0.001938567</v>
      </c>
      <c r="AO33" s="31" t="n"/>
    </row>
    <row r="34">
      <c r="A34" s="12" t="inlineStr">
        <is>
          <t>drv:지배주주지분</t>
        </is>
      </c>
      <c r="B34" s="2" t="inlineStr">
        <is>
          <t>roll</t>
        </is>
      </c>
      <c r="C34" t="inlineStr">
        <is>
          <t>지배주주지분 기타변동(배당 등, 억원)</t>
        </is>
      </c>
      <c r="E34" s="27" t="n"/>
      <c r="F34" s="28" t="n"/>
      <c r="G34" s="27">
        <f>IFERROR(subQ!E26+subQ!G21-subQ!G26,"")</f>
        <v/>
      </c>
      <c r="H34" s="27">
        <f>IFERROR(subQ!G26+subQ!H21-subQ!H26,"")</f>
        <v/>
      </c>
      <c r="I34" s="27">
        <f>IFERROR(subQ!H26+subQ!I21-subQ!I26,"")</f>
        <v/>
      </c>
      <c r="J34" s="27">
        <f>IFERROR(subQ!I26+subQ!J21-subQ!J26,"")</f>
        <v/>
      </c>
      <c r="K34" s="28" t="n"/>
      <c r="L34" s="27">
        <f>IFERROR(subQ!J26+subQ!L21-subQ!L26,"")</f>
        <v/>
      </c>
      <c r="M34" s="27">
        <f>IFERROR(subQ!L26+subQ!M21-subQ!M26,"")</f>
        <v/>
      </c>
      <c r="N34" s="27">
        <f>IFERROR(subQ!M26+subQ!N21-subQ!N26,"")</f>
        <v/>
      </c>
      <c r="O34" s="27">
        <f>IFERROR(subQ!N26+subQ!O21-subQ!O26,"")</f>
        <v/>
      </c>
      <c r="P34" s="28" t="n"/>
      <c r="Q34" s="27">
        <f>IFERROR(subQ!O26+subQ!Q21-subQ!Q26,"")</f>
        <v/>
      </c>
      <c r="R34" s="27">
        <f>IFERROR(subQ!Q26+subQ!R21-subQ!R26,"")</f>
        <v/>
      </c>
      <c r="S34" s="27">
        <f>IFERROR(subQ!R26+subQ!S21-subQ!S26,"")</f>
        <v/>
      </c>
      <c r="T34" s="27">
        <f>IFERROR(subQ!S26+subQ!T21-subQ!T26,"")</f>
        <v/>
      </c>
      <c r="U34" s="28" t="n"/>
      <c r="V34" s="27">
        <f>IFERROR(subQ!T26+subQ!V21-subQ!V26,"")</f>
        <v/>
      </c>
      <c r="W34" s="27">
        <f>IFERROR(subQ!V26+subQ!W21-subQ!W26,"")</f>
        <v/>
      </c>
      <c r="X34" s="27">
        <f>IFERROR(subQ!W26+subQ!X21-subQ!X26,"")</f>
        <v/>
      </c>
      <c r="Y34" s="27">
        <f>IFERROR(subQ!X26+subQ!Y21-subQ!Y26,"")</f>
        <v/>
      </c>
      <c r="Z34" s="28" t="n"/>
      <c r="AA34" s="27">
        <f>IFERROR(subQ!Y26+subQ!AA21-subQ!AA26,"")</f>
        <v/>
      </c>
      <c r="AB34" s="29">
        <f>IFERROR(subQ!AA26+subQ!AB21-subQ!AB26,"")</f>
        <v/>
      </c>
      <c r="AC34" s="30" t="n">
        <v>0.006926205</v>
      </c>
      <c r="AD34" s="30" t="n">
        <v>0.002789916</v>
      </c>
      <c r="AE34" s="31" t="n"/>
      <c r="AF34" s="30" t="n">
        <v>0.012269244</v>
      </c>
      <c r="AG34" s="30" t="n">
        <v>0.003367536</v>
      </c>
      <c r="AH34" s="30" t="n">
        <v>0.006747604</v>
      </c>
      <c r="AI34" s="30" t="n">
        <v>0.001298913</v>
      </c>
      <c r="AJ34" s="31" t="n"/>
      <c r="AK34" s="30" t="n">
        <v>0.009029466</v>
      </c>
      <c r="AL34" s="30" t="n">
        <v>-0.002196851</v>
      </c>
      <c r="AM34" s="30" t="n">
        <v>0.009029348</v>
      </c>
      <c r="AN34" s="30" t="n">
        <v>0.001938567</v>
      </c>
      <c r="AO34" s="31" t="n"/>
    </row>
    <row r="35">
      <c r="A35" s="12" t="inlineStr">
        <is>
          <t>drv:총차입금</t>
        </is>
      </c>
      <c r="B35" s="2" t="inlineStr">
        <is>
          <t>qoq</t>
        </is>
      </c>
      <c r="C35" t="inlineStr">
        <is>
          <t>총차입금 QoQ</t>
        </is>
      </c>
      <c r="E35" s="21" t="n"/>
      <c r="F35" s="22" t="n"/>
      <c r="G35" s="21">
        <f>IFERROR(subQ!G27/subQ!E27-1,"")</f>
        <v/>
      </c>
      <c r="H35" s="21">
        <f>IFERROR(subQ!H27/subQ!G27-1,"")</f>
        <v/>
      </c>
      <c r="I35" s="21">
        <f>IFERROR(subQ!I27/subQ!H27-1,"")</f>
        <v/>
      </c>
      <c r="J35" s="21">
        <f>IFERROR(subQ!J27/subQ!I27-1,"")</f>
        <v/>
      </c>
      <c r="K35" s="22" t="n"/>
      <c r="L35" s="21">
        <f>IFERROR(subQ!L27/subQ!J27-1,"")</f>
        <v/>
      </c>
      <c r="M35" s="21">
        <f>IFERROR(subQ!M27/subQ!L27-1,"")</f>
        <v/>
      </c>
      <c r="N35" s="21">
        <f>IFERROR(subQ!N27/subQ!M27-1,"")</f>
        <v/>
      </c>
      <c r="O35" s="21">
        <f>IFERROR(subQ!O27/subQ!N27-1,"")</f>
        <v/>
      </c>
      <c r="P35" s="22" t="n"/>
      <c r="Q35" s="21">
        <f>IFERROR(subQ!Q27/subQ!O27-1,"")</f>
        <v/>
      </c>
      <c r="R35" s="21">
        <f>IFERROR(subQ!R27/subQ!Q27-1,"")</f>
        <v/>
      </c>
      <c r="S35" s="21">
        <f>IFERROR(subQ!S27/subQ!R27-1,"")</f>
        <v/>
      </c>
      <c r="T35" s="21">
        <f>IFERROR(subQ!T27/subQ!S27-1,"")</f>
        <v/>
      </c>
      <c r="U35" s="22" t="n"/>
      <c r="V35" s="21">
        <f>IFERROR(subQ!V27/subQ!T27-1,"")</f>
        <v/>
      </c>
      <c r="W35" s="21">
        <f>IFERROR(subQ!W27/subQ!V27-1,"")</f>
        <v/>
      </c>
      <c r="X35" s="21">
        <f>IFERROR(subQ!X27/subQ!W27-1,"")</f>
        <v/>
      </c>
      <c r="Y35" s="21">
        <f>IFERROR(subQ!Y27/subQ!X27-1,"")</f>
        <v/>
      </c>
      <c r="Z35" s="22" t="n"/>
      <c r="AA35" s="21">
        <f>IFERROR(subQ!AA27/subQ!Y27-1,"")</f>
        <v/>
      </c>
      <c r="AB35" s="23">
        <f>IFERROR(subQ!AB27/subQ!AA27-1,"")</f>
        <v/>
      </c>
      <c r="AC35" s="24" t="n">
        <v>1.1784e-05</v>
      </c>
      <c r="AD35" s="24" t="n">
        <v>0</v>
      </c>
      <c r="AE35" s="25" t="n"/>
      <c r="AF35" s="24" t="n">
        <v>0</v>
      </c>
      <c r="AG35" s="24" t="n">
        <v>0</v>
      </c>
      <c r="AH35" s="24" t="n">
        <v>0</v>
      </c>
      <c r="AI35" s="24" t="n">
        <v>0</v>
      </c>
      <c r="AJ35" s="25" t="n"/>
      <c r="AK35" s="24" t="n">
        <v>0</v>
      </c>
      <c r="AL35" s="24" t="n">
        <v>0</v>
      </c>
      <c r="AM35" s="24" t="n">
        <v>0</v>
      </c>
      <c r="AN35" s="24" t="n">
        <v>0</v>
      </c>
      <c r="AO35" s="25" t="n"/>
    </row>
    <row r="36">
      <c r="A36" s="12" t="inlineStr">
        <is>
          <t>drv:순차입금</t>
        </is>
      </c>
      <c r="B36" s="2" t="inlineStr">
        <is>
          <t>qoq</t>
        </is>
      </c>
      <c r="C36" t="inlineStr">
        <is>
          <t>순차입금 QoQ</t>
        </is>
      </c>
      <c r="E36" s="21" t="n"/>
      <c r="F36" s="22" t="n"/>
      <c r="G36" s="21">
        <f>IFERROR(subQ!G28/subQ!E28-1,"")</f>
        <v/>
      </c>
      <c r="H36" s="21">
        <f>IFERROR(subQ!H28/subQ!G28-1,"")</f>
        <v/>
      </c>
      <c r="I36" s="21">
        <f>IFERROR(subQ!I28/subQ!H28-1,"")</f>
        <v/>
      </c>
      <c r="J36" s="21">
        <f>IFERROR(subQ!J28/subQ!I28-1,"")</f>
        <v/>
      </c>
      <c r="K36" s="22" t="n"/>
      <c r="L36" s="21">
        <f>IFERROR(subQ!L28/subQ!J28-1,"")</f>
        <v/>
      </c>
      <c r="M36" s="21">
        <f>IFERROR(subQ!M28/subQ!L28-1,"")</f>
        <v/>
      </c>
      <c r="N36" s="21">
        <f>IFERROR(subQ!N28/subQ!M28-1,"")</f>
        <v/>
      </c>
      <c r="O36" s="21">
        <f>IFERROR(subQ!O28/subQ!N28-1,"")</f>
        <v/>
      </c>
      <c r="P36" s="22" t="n"/>
      <c r="Q36" s="21">
        <f>IFERROR(subQ!Q28/subQ!O28-1,"")</f>
        <v/>
      </c>
      <c r="R36" s="21">
        <f>IFERROR(subQ!R28/subQ!Q28-1,"")</f>
        <v/>
      </c>
      <c r="S36" s="21">
        <f>IFERROR(subQ!S28/subQ!R28-1,"")</f>
        <v/>
      </c>
      <c r="T36" s="21">
        <f>IFERROR(subQ!T28/subQ!S28-1,"")</f>
        <v/>
      </c>
      <c r="U36" s="22" t="n"/>
      <c r="V36" s="21">
        <f>IFERROR(subQ!V28/subQ!T28-1,"")</f>
        <v/>
      </c>
      <c r="W36" s="21">
        <f>IFERROR(subQ!W28/subQ!V28-1,"")</f>
        <v/>
      </c>
      <c r="X36" s="21">
        <f>IFERROR(subQ!X28/subQ!W28-1,"")</f>
        <v/>
      </c>
      <c r="Y36" s="21">
        <f>IFERROR(subQ!Y28/subQ!X28-1,"")</f>
        <v/>
      </c>
      <c r="Z36" s="22" t="n"/>
      <c r="AA36" s="21">
        <f>IFERROR(subQ!AA28/subQ!Y28-1,"")</f>
        <v/>
      </c>
      <c r="AB36" s="23">
        <f>IFERROR(subQ!AB28/subQ!AA28-1,"")</f>
        <v/>
      </c>
      <c r="AC36" s="24" t="n">
        <v>0.164439479</v>
      </c>
      <c r="AD36" s="24" t="n">
        <v>0.11357646</v>
      </c>
      <c r="AE36" s="25" t="n"/>
      <c r="AF36" s="24" t="n">
        <v>0.118819125</v>
      </c>
      <c r="AG36" s="24" t="n">
        <v>0.10212324</v>
      </c>
      <c r="AH36" s="24" t="n">
        <v>0.107109203</v>
      </c>
      <c r="AI36" s="24" t="n">
        <v>0.077296513</v>
      </c>
      <c r="AJ36" s="25" t="n"/>
      <c r="AK36" s="24" t="n">
        <v>0.083981975</v>
      </c>
      <c r="AL36" s="24" t="n">
        <v>0.074398013</v>
      </c>
      <c r="AM36" s="24" t="n">
        <v>0.079045226</v>
      </c>
      <c r="AN36" s="24" t="n">
        <v>0.058375635</v>
      </c>
      <c r="AO36" s="25" t="n"/>
    </row>
    <row r="37">
      <c r="A37" s="12" t="inlineStr">
        <is>
          <t>drv:이자발생자산</t>
        </is>
      </c>
      <c r="B37" s="2" t="inlineStr">
        <is>
          <t>qoq</t>
        </is>
      </c>
      <c r="C37" t="inlineStr">
        <is>
          <t>이자발생자산 QoQ</t>
        </is>
      </c>
      <c r="E37" s="21" t="n"/>
      <c r="F37" s="22" t="n"/>
      <c r="G37" s="21">
        <f>IFERROR(subQ!G29/subQ!E29-1,"")</f>
        <v/>
      </c>
      <c r="H37" s="21">
        <f>IFERROR(subQ!H29/subQ!G29-1,"")</f>
        <v/>
      </c>
      <c r="I37" s="21">
        <f>IFERROR(subQ!I29/subQ!H29-1,"")</f>
        <v/>
      </c>
      <c r="J37" s="21">
        <f>IFERROR(subQ!J29/subQ!I29-1,"")</f>
        <v/>
      </c>
      <c r="K37" s="22" t="n"/>
      <c r="L37" s="21">
        <f>IFERROR(subQ!L29/subQ!J29-1,"")</f>
        <v/>
      </c>
      <c r="M37" s="21">
        <f>IFERROR(subQ!M29/subQ!L29-1,"")</f>
        <v/>
      </c>
      <c r="N37" s="21">
        <f>IFERROR(subQ!N29/subQ!M29-1,"")</f>
        <v/>
      </c>
      <c r="O37" s="21">
        <f>IFERROR(subQ!O29/subQ!N29-1,"")</f>
        <v/>
      </c>
      <c r="P37" s="22" t="n"/>
      <c r="Q37" s="21">
        <f>IFERROR(subQ!Q29/subQ!O29-1,"")</f>
        <v/>
      </c>
      <c r="R37" s="21">
        <f>IFERROR(subQ!R29/subQ!Q29-1,"")</f>
        <v/>
      </c>
      <c r="S37" s="21">
        <f>IFERROR(subQ!S29/subQ!R29-1,"")</f>
        <v/>
      </c>
      <c r="T37" s="21">
        <f>IFERROR(subQ!T29/subQ!S29-1,"")</f>
        <v/>
      </c>
      <c r="U37" s="22" t="n"/>
      <c r="V37" s="21">
        <f>IFERROR(subQ!V29/subQ!T29-1,"")</f>
        <v/>
      </c>
      <c r="W37" s="21">
        <f>IFERROR(subQ!W29/subQ!V29-1,"")</f>
        <v/>
      </c>
      <c r="X37" s="21">
        <f>IFERROR(subQ!X29/subQ!W29-1,"")</f>
        <v/>
      </c>
      <c r="Y37" s="21">
        <f>IFERROR(subQ!Y29/subQ!X29-1,"")</f>
        <v/>
      </c>
      <c r="Z37" s="22" t="n"/>
      <c r="AA37" s="21">
        <f>IFERROR(subQ!AA29/subQ!Y29-1,"")</f>
        <v/>
      </c>
      <c r="AB37" s="23">
        <f>IFERROR(subQ!AB29/subQ!AA29-1,"")</f>
        <v/>
      </c>
      <c r="AC37" s="24" t="n">
        <v>-1.026828614</v>
      </c>
      <c r="AD37" s="24" t="n">
        <v>30.766233766</v>
      </c>
      <c r="AE37" s="25" t="n"/>
      <c r="AF37" s="24" t="n">
        <v>1.129190515</v>
      </c>
      <c r="AG37" s="24" t="n">
        <v>0.5097926270000001</v>
      </c>
      <c r="AH37" s="24" t="n">
        <v>0.390309042</v>
      </c>
      <c r="AI37" s="24" t="n">
        <v>0.224204171</v>
      </c>
      <c r="AJ37" s="25" t="n"/>
      <c r="AK37" s="24" t="n">
        <v>0.214525891</v>
      </c>
      <c r="AL37" s="24" t="n">
        <v>0.169558263</v>
      </c>
      <c r="AM37" s="24" t="n">
        <v>0.165491846</v>
      </c>
      <c r="AN37" s="24" t="n">
        <v>0.113152194</v>
      </c>
      <c r="AO37" s="25" t="n"/>
    </row>
    <row r="38">
      <c r="A38" s="12" t="inlineStr">
        <is>
          <t>drv:현금및현금성자산</t>
        </is>
      </c>
      <c r="B38" s="2" t="inlineStr">
        <is>
          <t>qoq</t>
        </is>
      </c>
      <c r="C38" t="inlineStr">
        <is>
          <t>현금및현금성자산 QoQ</t>
        </is>
      </c>
      <c r="E38" s="21" t="n"/>
      <c r="F38" s="22" t="n"/>
      <c r="G38" s="21">
        <f>IFERROR(subQ!G30/subQ!E30-1,"")</f>
        <v/>
      </c>
      <c r="H38" s="21">
        <f>IFERROR(subQ!H30/subQ!G30-1,"")</f>
        <v/>
      </c>
      <c r="I38" s="21">
        <f>IFERROR(subQ!I30/subQ!H30-1,"")</f>
        <v/>
      </c>
      <c r="J38" s="21">
        <f>IFERROR(subQ!J30/subQ!I30-1,"")</f>
        <v/>
      </c>
      <c r="K38" s="22" t="n"/>
      <c r="L38" s="21">
        <f>IFERROR(subQ!L30/subQ!J30-1,"")</f>
        <v/>
      </c>
      <c r="M38" s="21">
        <f>IFERROR(subQ!M30/subQ!L30-1,"")</f>
        <v/>
      </c>
      <c r="N38" s="21">
        <f>IFERROR(subQ!N30/subQ!M30-1,"")</f>
        <v/>
      </c>
      <c r="O38" s="21">
        <f>IFERROR(subQ!O30/subQ!N30-1,"")</f>
        <v/>
      </c>
      <c r="P38" s="22" t="n"/>
      <c r="Q38" s="21">
        <f>IFERROR(subQ!Q30/subQ!O30-1,"")</f>
        <v/>
      </c>
      <c r="R38" s="21">
        <f>IFERROR(subQ!R30/subQ!Q30-1,"")</f>
        <v/>
      </c>
      <c r="S38" s="21">
        <f>IFERROR(subQ!S30/subQ!R30-1,"")</f>
        <v/>
      </c>
      <c r="T38" s="21">
        <f>IFERROR(subQ!T30/subQ!S30-1,"")</f>
        <v/>
      </c>
      <c r="U38" s="22" t="n"/>
      <c r="V38" s="21">
        <f>IFERROR(subQ!V30/subQ!T30-1,"")</f>
        <v/>
      </c>
      <c r="W38" s="21">
        <f>IFERROR(subQ!W30/subQ!V30-1,"")</f>
        <v/>
      </c>
      <c r="X38" s="21">
        <f>IFERROR(subQ!X30/subQ!W30-1,"")</f>
        <v/>
      </c>
      <c r="Y38" s="21">
        <f>IFERROR(subQ!Y30/subQ!X30-1,"")</f>
        <v/>
      </c>
      <c r="Z38" s="22" t="n"/>
      <c r="AA38" s="21">
        <f>IFERROR(subQ!AA30/subQ!Y30-1,"")</f>
        <v/>
      </c>
      <c r="AB38" s="23">
        <f>IFERROR(subQ!AB30/subQ!AA30-1,"")</f>
        <v/>
      </c>
      <c r="AC38" s="33" t="n"/>
      <c r="AD38" s="33" t="n"/>
      <c r="AE38" s="25" t="n"/>
      <c r="AF38" s="33" t="n"/>
      <c r="AG38" s="33" t="n"/>
      <c r="AH38" s="33" t="n"/>
      <c r="AI38" s="33" t="n"/>
      <c r="AJ38" s="25" t="n"/>
      <c r="AK38" s="33" t="n"/>
      <c r="AL38" s="33" t="n"/>
      <c r="AM38" s="33" t="n"/>
      <c r="AN38" s="33" t="n"/>
      <c r="AO38" s="25" t="n"/>
    </row>
    <row r="39">
      <c r="A39" s="12" t="inlineStr">
        <is>
          <t>drv:CAPEX</t>
        </is>
      </c>
      <c r="B39" s="2" t="inlineStr">
        <is>
          <t>yoy</t>
        </is>
      </c>
      <c r="C39" t="inlineStr">
        <is>
          <t>CAPEX YoY</t>
        </is>
      </c>
      <c r="E39" s="21" t="n"/>
      <c r="F39" s="22" t="n"/>
      <c r="G39" s="21" t="n"/>
      <c r="H39" s="21" t="n"/>
      <c r="I39" s="21" t="n"/>
      <c r="J39" s="21">
        <f>IFERROR(subQ!J31/subQ!E31-1,"")</f>
        <v/>
      </c>
      <c r="K39" s="22" t="n"/>
      <c r="L39" s="21">
        <f>IFERROR(subQ!L31/subQ!G31-1,"")</f>
        <v/>
      </c>
      <c r="M39" s="21">
        <f>IFERROR(subQ!M31/subQ!H31-1,"")</f>
        <v/>
      </c>
      <c r="N39" s="21">
        <f>IFERROR(subQ!N31/subQ!I31-1,"")</f>
        <v/>
      </c>
      <c r="O39" s="21">
        <f>IFERROR(subQ!O31/subQ!J31-1,"")</f>
        <v/>
      </c>
      <c r="P39" s="22" t="n"/>
      <c r="Q39" s="21">
        <f>IFERROR(subQ!Q31/subQ!L31-1,"")</f>
        <v/>
      </c>
      <c r="R39" s="21">
        <f>IFERROR(subQ!R31/subQ!M31-1,"")</f>
        <v/>
      </c>
      <c r="S39" s="21">
        <f>IFERROR(subQ!S31/subQ!N31-1,"")</f>
        <v/>
      </c>
      <c r="T39" s="21">
        <f>IFERROR(subQ!T31/subQ!O31-1,"")</f>
        <v/>
      </c>
      <c r="U39" s="22" t="n"/>
      <c r="V39" s="21">
        <f>IFERROR(subQ!V31/subQ!Q31-1,"")</f>
        <v/>
      </c>
      <c r="W39" s="21">
        <f>IFERROR(subQ!W31/subQ!R31-1,"")</f>
        <v/>
      </c>
      <c r="X39" s="21">
        <f>IFERROR(subQ!X31/subQ!S31-1,"")</f>
        <v/>
      </c>
      <c r="Y39" s="21">
        <f>IFERROR(subQ!Y31/subQ!T31-1,"")</f>
        <v/>
      </c>
      <c r="Z39" s="22" t="n"/>
      <c r="AA39" s="21">
        <f>IFERROR(subQ!AA31/subQ!V31-1,"")</f>
        <v/>
      </c>
      <c r="AB39" s="23">
        <f>IFERROR(subQ!AB31/subQ!W31-1,"")</f>
        <v/>
      </c>
      <c r="AC39" s="24" t="n">
        <v>1.305866395</v>
      </c>
      <c r="AD39" s="24" t="n">
        <v>-0.231898791</v>
      </c>
      <c r="AE39" s="25" t="n"/>
      <c r="AF39" s="24" t="n">
        <v>0.421553256</v>
      </c>
      <c r="AG39" s="24" t="n">
        <v>-0.403037486</v>
      </c>
      <c r="AH39" s="24" t="n">
        <v>0</v>
      </c>
      <c r="AI39" s="24" t="n">
        <v>0</v>
      </c>
      <c r="AJ39" s="25" t="n"/>
      <c r="AK39" s="24" t="n">
        <v>0</v>
      </c>
      <c r="AL39" s="24" t="n">
        <v>0</v>
      </c>
      <c r="AM39" s="24" t="n">
        <v>0</v>
      </c>
      <c r="AN39" s="24" t="n">
        <v>0</v>
      </c>
      <c r="AO39" s="25" t="n"/>
    </row>
    <row r="40">
      <c r="A40" s="12" t="inlineStr">
        <is>
          <t>drv:영업활동현금흐름</t>
        </is>
      </c>
      <c r="B40" s="2" t="inlineStr">
        <is>
          <t>yoy</t>
        </is>
      </c>
      <c r="C40" t="inlineStr">
        <is>
          <t>영업활동현금흐름 YoY</t>
        </is>
      </c>
      <c r="E40" s="21" t="n"/>
      <c r="F40" s="22" t="n"/>
      <c r="G40" s="21" t="n"/>
      <c r="H40" s="21" t="n"/>
      <c r="I40" s="21" t="n"/>
      <c r="J40" s="21">
        <f>IFERROR(subQ!J32/subQ!E32-1,"")</f>
        <v/>
      </c>
      <c r="K40" s="22" t="n"/>
      <c r="L40" s="21">
        <f>IFERROR(subQ!L32/subQ!G32-1,"")</f>
        <v/>
      </c>
      <c r="M40" s="21">
        <f>IFERROR(subQ!M32/subQ!H32-1,"")</f>
        <v/>
      </c>
      <c r="N40" s="21">
        <f>IFERROR(subQ!N32/subQ!I32-1,"")</f>
        <v/>
      </c>
      <c r="O40" s="21">
        <f>IFERROR(subQ!O32/subQ!J32-1,"")</f>
        <v/>
      </c>
      <c r="P40" s="22" t="n"/>
      <c r="Q40" s="21">
        <f>IFERROR(subQ!Q32/subQ!L32-1,"")</f>
        <v/>
      </c>
      <c r="R40" s="21">
        <f>IFERROR(subQ!R32/subQ!M32-1,"")</f>
        <v/>
      </c>
      <c r="S40" s="21">
        <f>IFERROR(subQ!S32/subQ!N32-1,"")</f>
        <v/>
      </c>
      <c r="T40" s="21">
        <f>IFERROR(subQ!T32/subQ!O32-1,"")</f>
        <v/>
      </c>
      <c r="U40" s="22" t="n"/>
      <c r="V40" s="21">
        <f>IFERROR(subQ!V32/subQ!Q32-1,"")</f>
        <v/>
      </c>
      <c r="W40" s="21">
        <f>IFERROR(subQ!W32/subQ!R32-1,"")</f>
        <v/>
      </c>
      <c r="X40" s="21">
        <f>IFERROR(subQ!X32/subQ!S32-1,"")</f>
        <v/>
      </c>
      <c r="Y40" s="21">
        <f>IFERROR(subQ!Y32/subQ!T32-1,"")</f>
        <v/>
      </c>
      <c r="Z40" s="22" t="n"/>
      <c r="AA40" s="21">
        <f>IFERROR(subQ!AA32/subQ!V32-1,"")</f>
        <v/>
      </c>
      <c r="AB40" s="23">
        <f>IFERROR(subQ!AB32/subQ!W32-1,"")</f>
        <v/>
      </c>
      <c r="AC40" s="33" t="n"/>
      <c r="AD40" s="33" t="n"/>
      <c r="AE40" s="25" t="n"/>
      <c r="AF40" s="33" t="n"/>
      <c r="AG40" s="33" t="n"/>
      <c r="AH40" s="33" t="n"/>
      <c r="AI40" s="33" t="n"/>
      <c r="AJ40" s="25" t="n"/>
      <c r="AK40" s="33" t="n"/>
      <c r="AL40" s="33" t="n"/>
      <c r="AM40" s="33" t="n"/>
      <c r="AN40" s="33" t="n"/>
      <c r="AO40" s="25" t="n"/>
    </row>
    <row r="41">
      <c r="A41" s="12" t="inlineStr">
        <is>
          <t>drv:주식수</t>
        </is>
      </c>
      <c r="B41" s="2" t="inlineStr">
        <is>
          <t>qoq</t>
        </is>
      </c>
      <c r="C41" t="inlineStr">
        <is>
          <t>주식수 QoQ</t>
        </is>
      </c>
      <c r="E41" s="21" t="n"/>
      <c r="F41" s="22" t="n"/>
      <c r="G41" s="21">
        <f>IFERROR(subQ!G33/subQ!E33-1,"")</f>
        <v/>
      </c>
      <c r="H41" s="21">
        <f>IFERROR(subQ!H33/subQ!G33-1,"")</f>
        <v/>
      </c>
      <c r="I41" s="21">
        <f>IFERROR(subQ!I33/subQ!H33-1,"")</f>
        <v/>
      </c>
      <c r="J41" s="21">
        <f>IFERROR(subQ!J33/subQ!I33-1,"")</f>
        <v/>
      </c>
      <c r="K41" s="22" t="n"/>
      <c r="L41" s="21">
        <f>IFERROR(subQ!L33/subQ!J33-1,"")</f>
        <v/>
      </c>
      <c r="M41" s="21">
        <f>IFERROR(subQ!M33/subQ!L33-1,"")</f>
        <v/>
      </c>
      <c r="N41" s="21">
        <f>IFERROR(subQ!N33/subQ!M33-1,"")</f>
        <v/>
      </c>
      <c r="O41" s="21">
        <f>IFERROR(subQ!O33/subQ!N33-1,"")</f>
        <v/>
      </c>
      <c r="P41" s="22" t="n"/>
      <c r="Q41" s="21">
        <f>IFERROR(subQ!Q33/subQ!O33-1,"")</f>
        <v/>
      </c>
      <c r="R41" s="21">
        <f>IFERROR(subQ!R33/subQ!Q33-1,"")</f>
        <v/>
      </c>
      <c r="S41" s="21">
        <f>IFERROR(subQ!S33/subQ!R33-1,"")</f>
        <v/>
      </c>
      <c r="T41" s="21">
        <f>IFERROR(subQ!T33/subQ!S33-1,"")</f>
        <v/>
      </c>
      <c r="U41" s="22" t="n"/>
      <c r="V41" s="21">
        <f>IFERROR(subQ!V33/subQ!T33-1,"")</f>
        <v/>
      </c>
      <c r="W41" s="21">
        <f>IFERROR(subQ!W33/subQ!V33-1,"")</f>
        <v/>
      </c>
      <c r="X41" s="21">
        <f>IFERROR(subQ!X33/subQ!W33-1,"")</f>
        <v/>
      </c>
      <c r="Y41" s="21">
        <f>IFERROR(subQ!Y33/subQ!X33-1,"")</f>
        <v/>
      </c>
      <c r="Z41" s="22" t="n"/>
      <c r="AA41" s="21">
        <f>IFERROR(subQ!AA33/subQ!Y33-1,"")</f>
        <v/>
      </c>
      <c r="AB41" s="23">
        <f>IFERROR(subQ!AB33/subQ!AA33-1,"")</f>
        <v/>
      </c>
      <c r="AC41" s="24" t="n">
        <v>-2.5e-08</v>
      </c>
      <c r="AD41" s="24" t="n">
        <v>0</v>
      </c>
      <c r="AE41" s="25" t="n"/>
      <c r="AF41" s="24" t="n">
        <v>0</v>
      </c>
      <c r="AG41" s="24" t="n">
        <v>0</v>
      </c>
      <c r="AH41" s="24" t="n">
        <v>0</v>
      </c>
      <c r="AI41" s="24" t="n">
        <v>0</v>
      </c>
      <c r="AJ41" s="25" t="n"/>
      <c r="AK41" s="24" t="n">
        <v>0</v>
      </c>
      <c r="AL41" s="24" t="n">
        <v>0</v>
      </c>
      <c r="AM41" s="24" t="n">
        <v>0</v>
      </c>
      <c r="AN41" s="24" t="n">
        <v>0</v>
      </c>
      <c r="AO41" s="25" t="n"/>
    </row>
    <row r="42">
      <c r="A42" s="12" t="inlineStr">
        <is>
          <t>drv:DPS</t>
        </is>
      </c>
      <c r="B42" s="2" t="inlineStr">
        <is>
          <t>abs</t>
        </is>
      </c>
      <c r="C42" t="inlineStr">
        <is>
          <t>DPS (가정, 원)</t>
        </is>
      </c>
      <c r="E42" s="27">
        <f>subQ!E37</f>
        <v/>
      </c>
      <c r="F42" s="28">
        <f>subQ!F37</f>
        <v/>
      </c>
      <c r="G42" s="27">
        <f>subQ!G37</f>
        <v/>
      </c>
      <c r="H42" s="27">
        <f>subQ!H37</f>
        <v/>
      </c>
      <c r="I42" s="27">
        <f>subQ!I37</f>
        <v/>
      </c>
      <c r="J42" s="27">
        <f>subQ!J37</f>
        <v/>
      </c>
      <c r="K42" s="28">
        <f>subQ!K37</f>
        <v/>
      </c>
      <c r="L42" s="27">
        <f>subQ!L37</f>
        <v/>
      </c>
      <c r="M42" s="27">
        <f>subQ!M37</f>
        <v/>
      </c>
      <c r="N42" s="27">
        <f>subQ!N37</f>
        <v/>
      </c>
      <c r="O42" s="27">
        <f>subQ!O37</f>
        <v/>
      </c>
      <c r="P42" s="28">
        <f>subQ!P37</f>
        <v/>
      </c>
      <c r="Q42" s="27">
        <f>subQ!Q37</f>
        <v/>
      </c>
      <c r="R42" s="27">
        <f>subQ!R37</f>
        <v/>
      </c>
      <c r="S42" s="27">
        <f>subQ!S37</f>
        <v/>
      </c>
      <c r="T42" s="27">
        <f>subQ!T37</f>
        <v/>
      </c>
      <c r="U42" s="28">
        <f>subQ!U37</f>
        <v/>
      </c>
      <c r="V42" s="27">
        <f>subQ!V37</f>
        <v/>
      </c>
      <c r="W42" s="27">
        <f>subQ!W37</f>
        <v/>
      </c>
      <c r="X42" s="27">
        <f>subQ!X37</f>
        <v/>
      </c>
      <c r="Y42" s="27">
        <f>subQ!Y37</f>
        <v/>
      </c>
      <c r="Z42" s="28">
        <f>subQ!Z37</f>
        <v/>
      </c>
      <c r="AA42" s="27">
        <f>subQ!AA37</f>
        <v/>
      </c>
      <c r="AB42" s="29">
        <f>subQ!AB37</f>
        <v/>
      </c>
      <c r="AC42" s="32" t="n"/>
      <c r="AD42" s="30" t="n">
        <v>0</v>
      </c>
      <c r="AE42" s="31">
        <f>subQ!AE37</f>
        <v/>
      </c>
      <c r="AF42" s="32" t="n"/>
      <c r="AG42" s="32" t="n"/>
      <c r="AH42" s="32" t="n"/>
      <c r="AI42" s="30" t="n">
        <v>0</v>
      </c>
      <c r="AJ42" s="31">
        <f>subQ!AJ37</f>
        <v/>
      </c>
      <c r="AK42" s="32" t="n"/>
      <c r="AL42" s="32" t="n"/>
      <c r="AM42" s="32" t="n"/>
      <c r="AN42" s="30" t="n">
        <v>0</v>
      </c>
      <c r="AO42" s="31">
        <f>subQ!AO37</f>
        <v/>
      </c>
    </row>
    <row r="43">
      <c r="F43" s="9" t="n"/>
      <c r="K43" s="9" t="n"/>
      <c r="P43" s="9" t="n"/>
      <c r="U43" s="9" t="n"/>
      <c r="Z43" s="9" t="n"/>
      <c r="AB43" s="5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B44" s="1" t="inlineStr">
        <is>
          <t>3. 밸류에이션·스칼라</t>
        </is>
      </c>
      <c r="C44" s="2" t="inlineStr">
        <is>
          <t>노란 셀 = 가정. '연결' 표시는 추정 전 분기 수식이 이 셀을 참조한다는 뜻</t>
        </is>
      </c>
      <c r="F44" s="9" t="n"/>
      <c r="K44" s="9" t="n"/>
      <c r="P44" s="9" t="n"/>
      <c r="U44" s="9" t="n"/>
      <c r="Z44" s="9" t="n"/>
      <c r="AB44" s="5" t="n"/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s="12" t="inlineStr">
        <is>
          <t>sc:종가</t>
        </is>
      </c>
      <c r="C45" t="inlineStr">
        <is>
          <t>종가</t>
        </is>
      </c>
      <c r="D45" s="34" t="n">
        <v>1427</v>
      </c>
      <c r="E45" s="2" t="inlineStr">
        <is>
          <t>원 — 네이버 정규장 종가(aik 확정종가 대조 · aik 1,586원)</t>
        </is>
      </c>
      <c r="F45" s="9" t="n"/>
      <c r="K45" s="9" t="n"/>
      <c r="P45" s="9" t="n"/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s="12" t="inlineStr">
        <is>
          <t>sc:기준일</t>
        </is>
      </c>
      <c r="C46" t="inlineStr">
        <is>
          <t>기준일</t>
        </is>
      </c>
      <c r="D46" s="35" t="inlineStr">
        <is>
          <t>20261008</t>
        </is>
      </c>
      <c r="E46" s="2" t="inlineStr">
        <is>
          <t>종가 기준일</t>
        </is>
      </c>
      <c r="F46" s="9" t="n"/>
      <c r="K46" s="9" t="n"/>
      <c r="P46" s="9" t="n"/>
      <c r="U46" s="9" t="n"/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s="12" t="inlineStr">
        <is>
          <t>sc:COE</t>
        </is>
      </c>
      <c r="C47" t="inlineStr">
        <is>
          <t>COE</t>
        </is>
      </c>
      <c r="D47" s="24" t="n">
        <v>0.09</v>
      </c>
      <c r="E47" s="2" t="inlineStr">
        <is>
          <t>자기자본비용(가정) — TP 적정 PBR = ROE/COE</t>
        </is>
      </c>
      <c r="F47" s="9" t="n"/>
      <c r="K47" s="9" t="n"/>
      <c r="P47" s="9" t="n"/>
      <c r="U47" s="9" t="n"/>
      <c r="Z47" s="9" t="n"/>
      <c r="AB47" s="5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s="12" t="inlineStr">
        <is>
          <t>sc:PER_lo</t>
        </is>
      </c>
      <c r="C48" t="inlineStr">
        <is>
          <t>PER_lo</t>
        </is>
      </c>
      <c r="D48" s="30" t="n">
        <v>10</v>
      </c>
      <c r="E48" s="2" t="inlineStr">
        <is>
          <t>PER 밴드 하단(배) — sector_default(레퍼런스 TP_PE PB 예시 10/15/20배; 과거 양(+)EPS 분기 2개 &lt; 4)</t>
        </is>
      </c>
      <c r="F48" s="9" t="n"/>
      <c r="K48" s="9" t="n"/>
      <c r="P48" s="9" t="n"/>
      <c r="U48" s="9" t="n"/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s="12" t="inlineStr">
        <is>
          <t>sc:PER_mid</t>
        </is>
      </c>
      <c r="C49" t="inlineStr">
        <is>
          <t>PER_mid</t>
        </is>
      </c>
      <c r="D49" s="30" t="n">
        <v>15</v>
      </c>
      <c r="E49" s="2" t="inlineStr">
        <is>
          <t>PER 밴드 중단(배)</t>
        </is>
      </c>
      <c r="F49" s="9" t="n"/>
      <c r="K49" s="9" t="n"/>
      <c r="P49" s="9" t="n"/>
      <c r="U49" s="9" t="n"/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s="12" t="inlineStr">
        <is>
          <t>sc:PER_hi</t>
        </is>
      </c>
      <c r="C50" t="inlineStr">
        <is>
          <t>PER_hi</t>
        </is>
      </c>
      <c r="D50" s="30" t="n">
        <v>20</v>
      </c>
      <c r="E50" s="2" t="inlineStr">
        <is>
          <t>PER 밴드 상단(배)</t>
        </is>
      </c>
      <c r="F50" s="9" t="n"/>
      <c r="K50" s="9" t="n"/>
      <c r="P50" s="9" t="n"/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s="12" t="inlineStr">
        <is>
          <t>sc:EPS_Y1가중</t>
        </is>
      </c>
      <c r="C51" t="inlineStr">
        <is>
          <t>EPS_Y1가중</t>
        </is>
      </c>
      <c r="D51" s="24" t="n">
        <v>0.5</v>
      </c>
      <c r="E51" s="2" t="inlineStr">
        <is>
          <t>12M fwd EPS = FY(last_actual연도)E × w + FY+1E × (1−w) — 기준 분기 2Q 이면 0.5(가정)</t>
        </is>
      </c>
      <c r="F51" s="9" t="n"/>
      <c r="K51" s="9" t="n"/>
      <c r="P51" s="9" t="n"/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s="12" t="inlineStr">
        <is>
          <t>sc:세율</t>
        </is>
      </c>
      <c r="C52" t="inlineStr">
        <is>
          <t>세율</t>
        </is>
      </c>
      <c r="D52" s="36" t="n">
        <v>0.22</v>
      </c>
      <c r="E52" s="2" t="inlineStr">
        <is>
          <t>참고(연결 안 됨: MAX(세전,0)×단일 세율로 재현 불가(지주 자회사 합산 등) → 분기별 역산) — 모델 assumptions 값 · 최근 12분기 세전 합 ≤ 0; 세전 &gt; 0 분기 중위 0.2% 도 5~27% 밖 → 법정세율 근사 22% 가정</t>
        </is>
      </c>
      <c r="F52" s="9" t="n"/>
      <c r="K52" s="9" t="n"/>
      <c r="P52" s="9" t="n"/>
      <c r="U52" s="9" t="n"/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s="12" t="inlineStr">
        <is>
          <t>sc:판관비율</t>
        </is>
      </c>
      <c r="C53" t="inlineStr">
        <is>
          <t>판관비율</t>
        </is>
      </c>
      <c r="D53" s="36" t="n">
        <v>0.2495927601809954</v>
      </c>
      <c r="E53" s="2" t="inlineStr">
        <is>
          <t>연결 — 판관비 = 매출액 × 판관비율(역산, 재현 오차 ≤ 0.05억 · 모델 assumptions 0.2496)</t>
        </is>
      </c>
      <c r="F53" s="9" t="n"/>
      <c r="K53" s="9" t="n"/>
      <c r="P53" s="9" t="n"/>
      <c r="U53" s="9" t="n"/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s="12" t="inlineStr">
        <is>
          <t>sc:지배주주비중</t>
        </is>
      </c>
      <c r="C54" t="inlineStr">
        <is>
          <t>지배주주비중</t>
        </is>
      </c>
      <c r="D54" s="36" t="n">
        <v>1</v>
      </c>
      <c r="E54" s="2" t="inlineStr">
        <is>
          <t>연결 — 지배주주순이익 = 당기순이익 × 비중(역산, 재현 오차 ≤ 0.05억)</t>
        </is>
      </c>
      <c r="F54" s="9" t="n"/>
      <c r="K54" s="9" t="n"/>
      <c r="P54" s="9" t="n"/>
      <c r="U54" s="9" t="n"/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s="12" t="inlineStr">
        <is>
          <t>sc:이자율_자산</t>
        </is>
      </c>
      <c r="C55" t="inlineStr">
        <is>
          <t>이자율_자산</t>
        </is>
      </c>
      <c r="D55" s="36" t="n">
        <v>0.008530302041496889</v>
      </c>
      <c r="E55" s="2" t="inlineStr">
        <is>
          <t>연결 — 이자손익 = (전분기 이자발생자산 × 자산이자율 − 전분기 총차입금 × 부채이자율)/4(역산, 재현 오차 ≤ 0.05억 · 모델 assumptions 0.0086)</t>
        </is>
      </c>
      <c r="F55" s="9" t="n"/>
      <c r="K55" s="9" t="n"/>
      <c r="P55" s="9" t="n"/>
      <c r="U55" s="9" t="n"/>
      <c r="Z55" s="9" t="n"/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s="12" t="inlineStr">
        <is>
          <t>sc:이자율_부채</t>
        </is>
      </c>
      <c r="C56" t="inlineStr">
        <is>
          <t>이자율_부채</t>
        </is>
      </c>
      <c r="D56" s="36" t="n">
        <v>0.1595193996304005</v>
      </c>
      <c r="E56" s="2" t="inlineStr">
        <is>
          <t>연결 — 같은 수식의 부채 쪽(총차입금 행이 없으면 0)(역산, 재현 오차 ≤ 0.05억 · 모델 assumptions 0.1595)</t>
        </is>
      </c>
      <c r="F56" s="9" t="n"/>
      <c r="K56" s="9" t="n"/>
      <c r="P56" s="9" t="n"/>
      <c r="U56" s="9" t="n"/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s="12" t="inlineStr">
        <is>
          <t>sc:배당성향</t>
        </is>
      </c>
      <c r="C57" t="inlineStr">
        <is>
          <t>배당성향</t>
        </is>
      </c>
      <c r="D57" s="24" t="n"/>
      <c r="E57" s="2" t="inlineStr">
        <is>
          <t>배당성향(참고 — 모델은 직전 DPS 유지·Q2 지급 가정)</t>
        </is>
      </c>
      <c r="F57" s="9" t="n"/>
      <c r="K57" s="9" t="n"/>
      <c r="P57" s="9" t="n"/>
      <c r="U57" s="9" t="n"/>
      <c r="Z57" s="9" t="n"/>
      <c r="AB57" s="5" t="n"/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s="12" t="inlineStr">
        <is>
          <t>sc:외화순노출_백만$</t>
        </is>
      </c>
      <c r="C58" t="inlineStr">
        <is>
          <t>외화순노출_백만$</t>
        </is>
      </c>
      <c r="D58" s="30" t="n"/>
      <c r="E58" s="2" t="inlineStr">
        <is>
          <t>외화 순노출 × Δ기말환율 (외화 시트 방식) — 외화 순노출 미공시(face) → 0 + 표기</t>
        </is>
      </c>
      <c r="F58" s="9" t="n"/>
      <c r="K58" s="9" t="n"/>
      <c r="P58" s="9" t="n"/>
      <c r="U58" s="9" t="n"/>
      <c r="Z58" s="9" t="n"/>
      <c r="AB58" s="5" t="n"/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s="12" t="inlineStr">
        <is>
          <t>sc:헤지비율</t>
        </is>
      </c>
      <c r="C59" t="inlineStr">
        <is>
          <t>헤지비율</t>
        </is>
      </c>
      <c r="D59" s="24" t="n"/>
      <c r="E59" s="2" t="inlineStr">
        <is>
          <t>sls 없음</t>
        </is>
      </c>
      <c r="F59" s="9" t="n"/>
      <c r="K59" s="9" t="n"/>
      <c r="P59" s="9" t="n"/>
      <c r="U59" s="9" t="n"/>
      <c r="Z59" s="9" t="n"/>
      <c r="AB59" s="5" t="n"/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s="12" t="inlineStr">
        <is>
          <t>sc:헤지환율_약정</t>
        </is>
      </c>
      <c r="C60" t="inlineStr">
        <is>
          <t>헤지환율_약정</t>
        </is>
      </c>
      <c r="D60" s="16" t="n"/>
      <c r="E60" s="2" t="inlineStr">
        <is>
          <t>sls 없음</t>
        </is>
      </c>
      <c r="F60" s="9" t="n"/>
      <c r="K60" s="9" t="n"/>
      <c r="P60" s="9" t="n"/>
      <c r="U60" s="9" t="n"/>
      <c r="Z60" s="9" t="n"/>
      <c r="AB60" s="5" t="n"/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0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AB2" s="5" t="n"/>
    </row>
    <row r="3">
      <c r="B3" t="inlineStr">
        <is>
          <t>KS인더스트리(연)</t>
        </is>
      </c>
      <c r="C3" s="2" t="inlineStr">
        <is>
          <t>UPDATE: 26-10-11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26377.33</v>
      </c>
      <c r="F5" s="37" t="n">
        <v>26377.33</v>
      </c>
      <c r="G5" s="18" t="n">
        <v>21070.51</v>
      </c>
      <c r="H5" s="18" t="n">
        <v>28814.52</v>
      </c>
      <c r="I5" s="18" t="n">
        <v>28181.07</v>
      </c>
      <c r="J5" s="18" t="n">
        <v>26887.14</v>
      </c>
      <c r="K5" s="37" t="n">
        <v>26887.14</v>
      </c>
      <c r="L5" s="18" t="n">
        <v>29627.19</v>
      </c>
      <c r="M5" s="18" t="n">
        <v>28900.32</v>
      </c>
      <c r="N5" s="18" t="n">
        <v>27575.94</v>
      </c>
      <c r="O5" s="18" t="n">
        <v>18136.22</v>
      </c>
      <c r="P5" s="37" t="n">
        <v>18136.22</v>
      </c>
      <c r="Q5" s="18" t="n">
        <v>35882.04</v>
      </c>
      <c r="R5" s="18" t="n">
        <v>35531.42</v>
      </c>
      <c r="S5" s="18" t="n">
        <v>26584.13</v>
      </c>
      <c r="T5" s="18" t="n">
        <v>25980.5</v>
      </c>
      <c r="U5" s="37" t="n">
        <v>25980.5</v>
      </c>
      <c r="V5" s="18" t="n">
        <v>22528.81</v>
      </c>
      <c r="W5" s="18" t="n">
        <v>22120.28</v>
      </c>
      <c r="X5" s="18" t="n">
        <v>21400.44</v>
      </c>
      <c r="Y5" s="18" t="n">
        <v>18664.24</v>
      </c>
      <c r="Z5" s="37" t="n">
        <v>18664.24</v>
      </c>
      <c r="AA5" s="18" t="n">
        <v>36218.6</v>
      </c>
      <c r="AB5" s="19" t="n">
        <v>26441.94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1273.35</v>
      </c>
      <c r="F6" s="37" t="n">
        <v>1273.35</v>
      </c>
      <c r="G6" s="18" t="n">
        <v>1139.15</v>
      </c>
      <c r="H6" s="18" t="n">
        <v>853.64</v>
      </c>
      <c r="I6" s="18" t="n">
        <v>537.71</v>
      </c>
      <c r="J6" s="18" t="n">
        <v>717.83</v>
      </c>
      <c r="K6" s="37" t="n">
        <v>717.83</v>
      </c>
      <c r="L6" s="18" t="n">
        <v>421.39</v>
      </c>
      <c r="M6" s="18" t="n">
        <v>1502.1</v>
      </c>
      <c r="N6" s="18" t="n">
        <v>1390.21</v>
      </c>
      <c r="O6" s="18" t="n">
        <v>1206.27</v>
      </c>
      <c r="P6" s="37" t="n">
        <v>1206.27</v>
      </c>
      <c r="Q6" s="18" t="n">
        <v>12913.09</v>
      </c>
      <c r="R6" s="18" t="n">
        <v>16906.03</v>
      </c>
      <c r="S6" s="18" t="n">
        <v>9791.26</v>
      </c>
      <c r="T6" s="18" t="n">
        <v>11326.81</v>
      </c>
      <c r="U6" s="37" t="n">
        <v>11326.81</v>
      </c>
      <c r="V6" s="18" t="n">
        <v>8117.89</v>
      </c>
      <c r="W6" s="18" t="n">
        <v>6205.44</v>
      </c>
      <c r="X6" s="18" t="n">
        <v>2954.31</v>
      </c>
      <c r="Y6" s="18" t="n">
        <v>3381.75</v>
      </c>
      <c r="Z6" s="37" t="n">
        <v>3381.75</v>
      </c>
      <c r="AA6" s="18" t="n">
        <v>22604.41</v>
      </c>
      <c r="AB6" s="19" t="n">
        <v>743.5700000000001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매출채권및기타채권</t>
        </is>
      </c>
      <c r="E7" s="18" t="n">
        <v>2827.61</v>
      </c>
      <c r="F7" s="37" t="n">
        <v>2827.61</v>
      </c>
      <c r="G7" s="18" t="n">
        <v>3605.47</v>
      </c>
      <c r="H7" s="18" t="n">
        <v>6684.61</v>
      </c>
      <c r="I7" s="18" t="n">
        <v>8067.23</v>
      </c>
      <c r="J7" s="18" t="n">
        <v>8106.44</v>
      </c>
      <c r="K7" s="37" t="n">
        <v>8106.44</v>
      </c>
      <c r="L7" s="18" t="n">
        <v>7403.9</v>
      </c>
      <c r="M7" s="18" t="n">
        <v>6850.1</v>
      </c>
      <c r="N7" s="18" t="n">
        <v>5727.77</v>
      </c>
      <c r="O7" s="18" t="n">
        <v>4999.29</v>
      </c>
      <c r="P7" s="37" t="n">
        <v>4999.29</v>
      </c>
      <c r="Q7" s="18" t="n">
        <v>13006.2</v>
      </c>
      <c r="R7" s="18" t="n">
        <v>7705.54</v>
      </c>
      <c r="S7" s="18" t="n">
        <v>3010.89</v>
      </c>
      <c r="T7" s="18" t="n">
        <v>6297.56</v>
      </c>
      <c r="U7" s="37" t="n">
        <v>6297.56</v>
      </c>
      <c r="V7" s="18" t="n">
        <v>4518.12</v>
      </c>
      <c r="W7" s="18" t="n">
        <v>5299.15</v>
      </c>
      <c r="X7" s="18" t="n">
        <v>7010.62</v>
      </c>
      <c r="Y7" s="18" t="n">
        <v>7047.48</v>
      </c>
      <c r="Z7" s="37" t="n">
        <v>7047.48</v>
      </c>
      <c r="AA7" s="18" t="n">
        <v>4938.42</v>
      </c>
      <c r="AB7" s="19" t="n">
        <v>15957.42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재고자산</t>
        </is>
      </c>
      <c r="E8" s="18" t="n">
        <v>12149.58</v>
      </c>
      <c r="F8" s="37" t="n">
        <v>12149.58</v>
      </c>
      <c r="G8" s="18" t="n">
        <v>9706.18</v>
      </c>
      <c r="H8" s="18" t="n">
        <v>8440.08</v>
      </c>
      <c r="I8" s="18" t="n">
        <v>12617.06</v>
      </c>
      <c r="J8" s="18" t="n">
        <v>8553.1</v>
      </c>
      <c r="K8" s="37" t="n">
        <v>8553.1</v>
      </c>
      <c r="L8" s="18" t="n">
        <v>9161.58</v>
      </c>
      <c r="M8" s="18" t="n">
        <v>9465.48</v>
      </c>
      <c r="N8" s="18" t="n">
        <v>6995.26</v>
      </c>
      <c r="O8" s="18" t="n">
        <v>5571.81</v>
      </c>
      <c r="P8" s="37" t="n">
        <v>5571.81</v>
      </c>
      <c r="Q8" s="18" t="n">
        <v>5998.67</v>
      </c>
      <c r="R8" s="18" t="n">
        <v>6752.09</v>
      </c>
      <c r="S8" s="18" t="n">
        <v>6694.7</v>
      </c>
      <c r="T8" s="18" t="n">
        <v>6827.28</v>
      </c>
      <c r="U8" s="37" t="n">
        <v>6827.28</v>
      </c>
      <c r="V8" s="18" t="n">
        <v>7310.22</v>
      </c>
      <c r="W8" s="18" t="n">
        <v>6978.76</v>
      </c>
      <c r="X8" s="18" t="n">
        <v>7386.13</v>
      </c>
      <c r="Y8" s="18" t="n">
        <v>6888.22</v>
      </c>
      <c r="Z8" s="37" t="n">
        <v>6888.22</v>
      </c>
      <c r="AA8" s="18" t="n">
        <v>7277.42</v>
      </c>
      <c r="AB8" s="19" t="n">
        <v>8321.639999999999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당기법인세자산(선급법인세)</t>
        </is>
      </c>
      <c r="E9" s="18" t="n">
        <v>6.6</v>
      </c>
      <c r="F9" s="37" t="n">
        <v>6.6</v>
      </c>
      <c r="G9" s="18" t="n">
        <v>7.66</v>
      </c>
      <c r="H9" s="18" t="n">
        <v>4.56</v>
      </c>
      <c r="I9" s="18" t="n">
        <v>5.33</v>
      </c>
      <c r="J9" s="18" t="n">
        <v>5.57</v>
      </c>
      <c r="K9" s="37" t="n">
        <v>5.57</v>
      </c>
      <c r="L9" s="18" t="n">
        <v>5.58</v>
      </c>
      <c r="M9" s="18" t="n">
        <v>0.53</v>
      </c>
      <c r="N9" s="18" t="n">
        <v>0.03</v>
      </c>
      <c r="P9" s="9" t="n"/>
      <c r="R9" s="18" t="n">
        <v>0.38</v>
      </c>
      <c r="S9" s="18" t="n">
        <v>14</v>
      </c>
      <c r="T9" s="18" t="n">
        <v>34.02</v>
      </c>
      <c r="U9" s="37" t="n">
        <v>34.02</v>
      </c>
      <c r="V9" s="18" t="n">
        <v>33.1</v>
      </c>
      <c r="W9" s="18" t="n">
        <v>9.99</v>
      </c>
      <c r="X9" s="18" t="n">
        <v>29.28</v>
      </c>
      <c r="Y9" s="18" t="n">
        <v>15.52</v>
      </c>
      <c r="Z9" s="37" t="n">
        <v>15.52</v>
      </c>
      <c r="AA9" s="18" t="n">
        <v>17.39</v>
      </c>
      <c r="AB9" s="19" t="n">
        <v>4.03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비유동자산</t>
        </is>
      </c>
      <c r="E10" s="18" t="n">
        <v>20521.6</v>
      </c>
      <c r="F10" s="37" t="n">
        <v>20521.6</v>
      </c>
      <c r="G10" s="18" t="n">
        <v>21939.39</v>
      </c>
      <c r="H10" s="18" t="n">
        <v>26283.73</v>
      </c>
      <c r="I10" s="18" t="n">
        <v>26642.11</v>
      </c>
      <c r="J10" s="18" t="n">
        <v>27288.78</v>
      </c>
      <c r="K10" s="37" t="n">
        <v>27288.78</v>
      </c>
      <c r="L10" s="18" t="n">
        <v>26986.12</v>
      </c>
      <c r="M10" s="18" t="n">
        <v>26163.31</v>
      </c>
      <c r="N10" s="18" t="n">
        <v>25687.56</v>
      </c>
      <c r="O10" s="18" t="n">
        <v>25420.68</v>
      </c>
      <c r="P10" s="37" t="n">
        <v>25420.68</v>
      </c>
      <c r="Q10" s="18" t="n">
        <v>16273.7</v>
      </c>
      <c r="R10" s="18" t="n">
        <v>7529.54</v>
      </c>
      <c r="S10" s="18" t="n">
        <v>29015.89</v>
      </c>
      <c r="T10" s="18" t="n">
        <v>39838.3</v>
      </c>
      <c r="U10" s="37" t="n">
        <v>39838.3</v>
      </c>
      <c r="V10" s="18" t="n">
        <v>46034.51</v>
      </c>
      <c r="W10" s="18" t="n">
        <v>45974.1</v>
      </c>
      <c r="X10" s="18" t="n">
        <v>44854.93</v>
      </c>
      <c r="Y10" s="18" t="n">
        <v>42529.37</v>
      </c>
      <c r="Z10" s="37" t="n">
        <v>42529.37</v>
      </c>
      <c r="AA10" s="18" t="n">
        <v>42145.44</v>
      </c>
      <c r="AB10" s="19" t="n">
        <v>49991.61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장기금융자산</t>
        </is>
      </c>
      <c r="E11" s="18" t="n">
        <v>28.76</v>
      </c>
      <c r="F11" s="37" t="n">
        <v>28.76</v>
      </c>
      <c r="G11" s="18" t="n">
        <v>34.76</v>
      </c>
      <c r="H11" s="18" t="n">
        <v>39.93</v>
      </c>
      <c r="J11" s="18" t="n">
        <v>158.58</v>
      </c>
      <c r="K11" s="37" t="n">
        <v>158.58</v>
      </c>
      <c r="L11" s="18" t="n">
        <v>93.13</v>
      </c>
      <c r="M11" s="18" t="n">
        <v>48.7</v>
      </c>
      <c r="O11" s="18" t="n">
        <v>237.48</v>
      </c>
      <c r="P11" s="37" t="n">
        <v>237.48</v>
      </c>
      <c r="Q11" s="18" t="n">
        <v>346.04</v>
      </c>
      <c r="S11" s="18" t="n">
        <v>4619.99</v>
      </c>
      <c r="T11" s="18" t="n">
        <v>2673.72</v>
      </c>
      <c r="U11" s="37" t="n">
        <v>2673.72</v>
      </c>
      <c r="V11" s="18" t="n">
        <v>5373.72</v>
      </c>
      <c r="W11" s="18" t="n">
        <v>5519.01</v>
      </c>
      <c r="X11" s="18" t="n">
        <v>4818.4</v>
      </c>
      <c r="Y11" s="18" t="n">
        <v>2889.71</v>
      </c>
      <c r="Z11" s="37" t="n">
        <v>2889.71</v>
      </c>
      <c r="AA11" s="18" t="n">
        <v>2876.2</v>
      </c>
      <c r="AB11" s="19" t="n">
        <v>2120.5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투자자산</t>
        </is>
      </c>
      <c r="E12" s="18" t="n">
        <v>28.76</v>
      </c>
      <c r="F12" s="37" t="n">
        <v>28.76</v>
      </c>
      <c r="G12" s="18" t="n">
        <v>34.76</v>
      </c>
      <c r="H12" s="18" t="n">
        <v>39.93</v>
      </c>
      <c r="J12" s="18" t="n">
        <v>158.58</v>
      </c>
      <c r="K12" s="37" t="n">
        <v>158.58</v>
      </c>
      <c r="L12" s="18" t="n">
        <v>93.13</v>
      </c>
      <c r="M12" s="18" t="n">
        <v>48.7</v>
      </c>
      <c r="O12" s="18" t="n">
        <v>237.48</v>
      </c>
      <c r="P12" s="37" t="n">
        <v>237.48</v>
      </c>
      <c r="Q12" s="18" t="n">
        <v>346.04</v>
      </c>
      <c r="S12" s="18" t="n">
        <v>4620.56</v>
      </c>
      <c r="T12" s="18" t="n">
        <v>2673.72</v>
      </c>
      <c r="U12" s="37" t="n">
        <v>2673.72</v>
      </c>
      <c r="V12" s="18" t="n">
        <v>5373.72</v>
      </c>
      <c r="W12" s="18" t="n">
        <v>5519.01</v>
      </c>
      <c r="X12" s="18" t="n">
        <v>4818.4</v>
      </c>
      <c r="Y12" s="18" t="n">
        <v>2889.71</v>
      </c>
      <c r="Z12" s="37" t="n">
        <v>2889.71</v>
      </c>
      <c r="AA12" s="18" t="n">
        <v>2876.2</v>
      </c>
      <c r="AB12" s="19" t="n">
        <v>11806.07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유형자산</t>
        </is>
      </c>
      <c r="E13" s="18" t="n">
        <v>16058.32</v>
      </c>
      <c r="F13" s="37" t="n">
        <v>16058.32</v>
      </c>
      <c r="G13" s="18" t="n">
        <v>17412.18</v>
      </c>
      <c r="H13" s="18" t="n">
        <v>18306.58</v>
      </c>
      <c r="I13" s="18" t="n">
        <v>18618.41</v>
      </c>
      <c r="J13" s="18" t="n">
        <v>18895.27</v>
      </c>
      <c r="K13" s="37" t="n">
        <v>18895.27</v>
      </c>
      <c r="L13" s="18" t="n">
        <v>18572.44</v>
      </c>
      <c r="M13" s="18" t="n">
        <v>17721.05</v>
      </c>
      <c r="N13" s="18" t="n">
        <v>17219.4</v>
      </c>
      <c r="O13" s="18" t="n">
        <v>16610.9</v>
      </c>
      <c r="P13" s="37" t="n">
        <v>16610.9</v>
      </c>
      <c r="Q13" s="18" t="n">
        <v>15239.23</v>
      </c>
      <c r="R13" s="18" t="n">
        <v>6160.38</v>
      </c>
      <c r="S13" s="18" t="n">
        <v>22787.77</v>
      </c>
      <c r="T13" s="18" t="n">
        <v>27023.09</v>
      </c>
      <c r="U13" s="37" t="n">
        <v>27023.09</v>
      </c>
      <c r="V13" s="18" t="n">
        <v>28205.55</v>
      </c>
      <c r="W13" s="18" t="n">
        <v>28350.4</v>
      </c>
      <c r="X13" s="18" t="n">
        <v>28107.07</v>
      </c>
      <c r="Y13" s="18" t="n">
        <v>27972.89</v>
      </c>
      <c r="Z13" s="37" t="n">
        <v>27972.89</v>
      </c>
      <c r="AA13" s="18" t="n">
        <v>27683.45</v>
      </c>
      <c r="AB13" s="19" t="n">
        <v>26599.21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무형자산</t>
        </is>
      </c>
      <c r="E14" s="18" t="n">
        <v>67.68000000000001</v>
      </c>
      <c r="F14" s="37" t="n">
        <v>67.68000000000001</v>
      </c>
      <c r="G14" s="18" t="n">
        <v>82.58</v>
      </c>
      <c r="H14" s="18" t="n">
        <v>76.59999999999999</v>
      </c>
      <c r="I14" s="18" t="n">
        <v>80.06</v>
      </c>
      <c r="J14" s="18" t="n">
        <v>196.89</v>
      </c>
      <c r="K14" s="37" t="n">
        <v>196.89</v>
      </c>
      <c r="L14" s="18" t="n">
        <v>186.69</v>
      </c>
      <c r="M14" s="18" t="n">
        <v>172.97</v>
      </c>
      <c r="N14" s="18" t="n">
        <v>161.69</v>
      </c>
      <c r="O14" s="18" t="n">
        <v>148.67</v>
      </c>
      <c r="P14" s="37" t="n">
        <v>148.67</v>
      </c>
      <c r="Q14" s="18" t="n">
        <v>135.66</v>
      </c>
      <c r="R14" s="18" t="n">
        <v>122.65</v>
      </c>
      <c r="S14" s="18" t="n">
        <v>109.64</v>
      </c>
      <c r="T14" s="18" t="n">
        <v>7969.09</v>
      </c>
      <c r="U14" s="37" t="n">
        <v>7969.09</v>
      </c>
      <c r="V14" s="18" t="n">
        <v>7950.59</v>
      </c>
      <c r="W14" s="18" t="n">
        <v>7838.34</v>
      </c>
      <c r="X14" s="18" t="n">
        <v>7726.08</v>
      </c>
      <c r="Y14" s="18" t="n">
        <v>7613.82</v>
      </c>
      <c r="Z14" s="37" t="n">
        <v>7613.82</v>
      </c>
      <c r="AA14" s="18" t="n">
        <v>7501.56</v>
      </c>
      <c r="AB14" s="19" t="n">
        <v>7644.36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자산총계</t>
        </is>
      </c>
      <c r="E15" s="18" t="n">
        <v>46898.93</v>
      </c>
      <c r="F15" s="37" t="n">
        <v>46898.93</v>
      </c>
      <c r="G15" s="18" t="n">
        <v>43009.9</v>
      </c>
      <c r="H15" s="18" t="n">
        <v>55098.25</v>
      </c>
      <c r="I15" s="18" t="n">
        <v>54823.18</v>
      </c>
      <c r="J15" s="18" t="n">
        <v>54175.92</v>
      </c>
      <c r="K15" s="37" t="n">
        <v>54175.92</v>
      </c>
      <c r="L15" s="18" t="n">
        <v>56613.31</v>
      </c>
      <c r="M15" s="18" t="n">
        <v>55063.64</v>
      </c>
      <c r="N15" s="18" t="n">
        <v>53263.51</v>
      </c>
      <c r="O15" s="18" t="n">
        <v>43556.9</v>
      </c>
      <c r="P15" s="37" t="n">
        <v>43556.9</v>
      </c>
      <c r="Q15" s="18" t="n">
        <v>52155.74</v>
      </c>
      <c r="R15" s="18" t="n">
        <v>43060.96</v>
      </c>
      <c r="S15" s="18" t="n">
        <v>55600.02</v>
      </c>
      <c r="T15" s="18" t="n">
        <v>65818.8</v>
      </c>
      <c r="U15" s="37" t="n">
        <v>65818.8</v>
      </c>
      <c r="V15" s="18" t="n">
        <v>68563.32000000001</v>
      </c>
      <c r="W15" s="18" t="n">
        <v>68094.39</v>
      </c>
      <c r="X15" s="18" t="n">
        <v>66255.38</v>
      </c>
      <c r="Y15" s="18" t="n">
        <v>61193.61</v>
      </c>
      <c r="Z15" s="37" t="n">
        <v>61193.61</v>
      </c>
      <c r="AA15" s="18" t="n">
        <v>78364.03999999999</v>
      </c>
      <c r="AB15" s="19" t="n">
        <v>76433.55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유동부채</t>
        </is>
      </c>
      <c r="E16" s="18" t="n">
        <v>20865.72</v>
      </c>
      <c r="F16" s="37" t="n">
        <v>20865.72</v>
      </c>
      <c r="G16" s="18" t="n">
        <v>18845.78</v>
      </c>
      <c r="H16" s="18" t="n">
        <v>32061.53</v>
      </c>
      <c r="I16" s="18" t="n">
        <v>35288.41</v>
      </c>
      <c r="J16" s="18" t="n">
        <v>42714.35</v>
      </c>
      <c r="K16" s="37" t="n">
        <v>42714.35</v>
      </c>
      <c r="L16" s="18" t="n">
        <v>46291.61</v>
      </c>
      <c r="M16" s="18" t="n">
        <v>41625.97</v>
      </c>
      <c r="N16" s="18" t="n">
        <v>39235.08</v>
      </c>
      <c r="O16" s="18" t="n">
        <v>27540.69</v>
      </c>
      <c r="P16" s="37" t="n">
        <v>27540.69</v>
      </c>
      <c r="Q16" s="18" t="n">
        <v>29807.34</v>
      </c>
      <c r="R16" s="18" t="n">
        <v>7073.1</v>
      </c>
      <c r="S16" s="18" t="n">
        <v>8657.76</v>
      </c>
      <c r="T16" s="18" t="n">
        <v>18613.96</v>
      </c>
      <c r="U16" s="37" t="n">
        <v>18613.96</v>
      </c>
      <c r="V16" s="18" t="n">
        <v>18255.73</v>
      </c>
      <c r="W16" s="18" t="n">
        <v>15322.09</v>
      </c>
      <c r="X16" s="18" t="n">
        <v>14709.23</v>
      </c>
      <c r="Y16" s="18" t="n">
        <v>13371.43</v>
      </c>
      <c r="Z16" s="37" t="n">
        <v>13371.43</v>
      </c>
      <c r="AA16" s="18" t="n">
        <v>23470.07</v>
      </c>
      <c r="AB16" s="19" t="n">
        <v>18890.11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매입채무및기타채무</t>
        </is>
      </c>
      <c r="E17" s="18" t="n">
        <v>8159.73</v>
      </c>
      <c r="F17" s="37" t="n">
        <v>8159.73</v>
      </c>
      <c r="G17" s="18" t="n">
        <v>7342.42</v>
      </c>
      <c r="H17" s="18" t="n">
        <v>9583.379999999999</v>
      </c>
      <c r="I17" s="18" t="n">
        <v>10071.16</v>
      </c>
      <c r="J17" s="18" t="n">
        <v>10939.39</v>
      </c>
      <c r="K17" s="37" t="n">
        <v>10939.39</v>
      </c>
      <c r="L17" s="18" t="n">
        <v>23480.38</v>
      </c>
      <c r="M17" s="18" t="n">
        <v>8796.299999999999</v>
      </c>
      <c r="N17" s="18" t="n">
        <v>7214.51</v>
      </c>
      <c r="O17" s="18" t="n">
        <v>5385.93</v>
      </c>
      <c r="P17" s="37" t="n">
        <v>5385.93</v>
      </c>
      <c r="Q17" s="18" t="n">
        <v>5032.72</v>
      </c>
      <c r="R17" s="18" t="n">
        <v>4145.25</v>
      </c>
      <c r="S17" s="18" t="n">
        <v>3309.31</v>
      </c>
      <c r="T17" s="18" t="n">
        <v>5771.63</v>
      </c>
      <c r="U17" s="37" t="n">
        <v>5771.63</v>
      </c>
      <c r="V17" s="18" t="n">
        <v>4271.11</v>
      </c>
      <c r="W17" s="18" t="n">
        <v>5085.52</v>
      </c>
      <c r="X17" s="18" t="n">
        <v>5446.89</v>
      </c>
      <c r="Y17" s="18" t="n">
        <v>4737.07</v>
      </c>
      <c r="Z17" s="37" t="n">
        <v>4737.07</v>
      </c>
      <c r="AA17" s="18" t="n">
        <v>4518.27</v>
      </c>
      <c r="AB17" s="19" t="n">
        <v>5015.07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단기차입금</t>
        </is>
      </c>
      <c r="E18" s="18" t="n">
        <v>4800</v>
      </c>
      <c r="F18" s="37" t="n">
        <v>4800</v>
      </c>
      <c r="G18" s="18" t="n">
        <v>4800</v>
      </c>
      <c r="H18" s="18" t="n">
        <v>6800</v>
      </c>
      <c r="I18" s="18" t="n">
        <v>7600</v>
      </c>
      <c r="J18" s="18" t="n">
        <v>6800</v>
      </c>
      <c r="K18" s="37" t="n">
        <v>6800</v>
      </c>
      <c r="L18" s="18" t="n">
        <v>6500</v>
      </c>
      <c r="M18" s="18" t="n">
        <v>6850</v>
      </c>
      <c r="N18" s="18" t="n">
        <v>5100</v>
      </c>
      <c r="O18" s="18" t="n">
        <v>5850</v>
      </c>
      <c r="P18" s="37" t="n">
        <v>5850</v>
      </c>
      <c r="Q18" s="18" t="n">
        <v>3500</v>
      </c>
      <c r="R18" s="18" t="n">
        <v>1720</v>
      </c>
      <c r="S18" s="18" t="n">
        <v>1720</v>
      </c>
      <c r="T18" s="18" t="n">
        <v>3823.6</v>
      </c>
      <c r="U18" s="37" t="n">
        <v>3823.6</v>
      </c>
      <c r="V18" s="18" t="n">
        <v>3823.6</v>
      </c>
      <c r="W18" s="18" t="n">
        <v>823.6</v>
      </c>
      <c r="X18" s="18" t="n">
        <v>303.59</v>
      </c>
      <c r="Y18" s="18" t="n">
        <v>303.59</v>
      </c>
      <c r="Z18" s="37" t="n">
        <v>303.59</v>
      </c>
      <c r="AA18" s="18" t="n">
        <v>303.59</v>
      </c>
      <c r="AB18" s="5" t="n"/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유동리스부채</t>
        </is>
      </c>
      <c r="E19" s="18" t="n">
        <v>511.42</v>
      </c>
      <c r="F19" s="37" t="n">
        <v>511.42</v>
      </c>
      <c r="G19" s="18" t="n">
        <v>516.3</v>
      </c>
      <c r="H19" s="18" t="n">
        <v>260.97</v>
      </c>
      <c r="I19" s="18" t="n">
        <v>263.75</v>
      </c>
      <c r="J19" s="18" t="n">
        <v>266.57</v>
      </c>
      <c r="K19" s="37" t="n">
        <v>266.57</v>
      </c>
      <c r="L19" s="18" t="n">
        <v>269.42</v>
      </c>
      <c r="M19" s="18" t="n">
        <v>272.3</v>
      </c>
      <c r="N19" s="18" t="n">
        <v>251.84</v>
      </c>
      <c r="P19" s="9" t="n"/>
      <c r="Q19" s="18" t="n">
        <v>833.96</v>
      </c>
      <c r="R19" s="18" t="n">
        <v>148.07</v>
      </c>
      <c r="S19" s="18" t="n">
        <v>252.14</v>
      </c>
      <c r="T19" s="18" t="n">
        <v>379.77</v>
      </c>
      <c r="U19" s="37" t="n">
        <v>379.77</v>
      </c>
      <c r="V19" s="18" t="n">
        <v>471.07</v>
      </c>
      <c r="W19" s="18" t="n">
        <v>391.47</v>
      </c>
      <c r="X19" s="18" t="n">
        <v>408.03</v>
      </c>
      <c r="Y19" s="18" t="n">
        <v>313.88</v>
      </c>
      <c r="Z19" s="37" t="n">
        <v>313.88</v>
      </c>
      <c r="AA19" s="18" t="n">
        <v>349.37</v>
      </c>
      <c r="AB19" s="19" t="n">
        <v>359.39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리스부채</t>
        </is>
      </c>
      <c r="E20" s="18" t="n">
        <v>1916.5</v>
      </c>
      <c r="F20" s="37" t="n">
        <v>1916.5</v>
      </c>
      <c r="G20" s="18" t="n">
        <v>1790.46</v>
      </c>
      <c r="H20" s="18" t="n">
        <v>851.99</v>
      </c>
      <c r="I20" s="18" t="n">
        <v>779.53</v>
      </c>
      <c r="J20" s="18" t="n">
        <v>714.64</v>
      </c>
      <c r="K20" s="37" t="n">
        <v>714.64</v>
      </c>
      <c r="L20" s="18" t="n">
        <v>649.0599999999999</v>
      </c>
      <c r="M20" s="18" t="n">
        <v>582.78</v>
      </c>
      <c r="N20" s="18" t="n">
        <v>540.6900000000001</v>
      </c>
      <c r="O20" s="18" t="n">
        <v>229.21</v>
      </c>
      <c r="P20" s="37" t="n">
        <v>229.21</v>
      </c>
      <c r="Q20" s="18" t="n">
        <v>1487.19</v>
      </c>
      <c r="R20" s="18" t="n">
        <v>276.75</v>
      </c>
      <c r="S20" s="18" t="n">
        <v>430.64</v>
      </c>
      <c r="T20" s="18" t="n">
        <v>673.3</v>
      </c>
      <c r="U20" s="37" t="n">
        <v>673.3</v>
      </c>
      <c r="V20" s="18" t="n">
        <v>786.98</v>
      </c>
      <c r="W20" s="18" t="n">
        <v>630.6799999999999</v>
      </c>
      <c r="X20" s="18" t="n">
        <v>617.01</v>
      </c>
      <c r="Y20" s="18" t="n">
        <v>534.86</v>
      </c>
      <c r="Z20" s="37" t="n">
        <v>534.86</v>
      </c>
      <c r="AA20" s="18" t="n">
        <v>667.52</v>
      </c>
      <c r="AB20" s="19" t="n">
        <v>706.52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단기금융부채</t>
        </is>
      </c>
      <c r="E21" s="18" t="n">
        <v>511.42</v>
      </c>
      <c r="F21" s="37" t="n">
        <v>511.42</v>
      </c>
      <c r="G21" s="18" t="n">
        <v>516.3</v>
      </c>
      <c r="H21" s="18" t="n">
        <v>3543.86</v>
      </c>
      <c r="I21" s="18" t="n">
        <v>2957.95</v>
      </c>
      <c r="J21" s="18" t="n">
        <v>266.57</v>
      </c>
      <c r="K21" s="37" t="n">
        <v>266.57</v>
      </c>
      <c r="L21" s="18" t="n">
        <v>269.42</v>
      </c>
      <c r="M21" s="18" t="n">
        <v>272.3</v>
      </c>
      <c r="N21" s="18" t="n">
        <v>251.84</v>
      </c>
      <c r="O21" s="18" t="n">
        <v>9540.93</v>
      </c>
      <c r="P21" s="37" t="n">
        <v>9540.93</v>
      </c>
      <c r="Q21" s="18" t="n">
        <v>833.96</v>
      </c>
      <c r="R21" s="18" t="n">
        <v>148.07</v>
      </c>
      <c r="S21" s="18" t="n">
        <v>2025.22</v>
      </c>
      <c r="T21" s="18" t="n">
        <v>3904.2</v>
      </c>
      <c r="U21" s="37" t="n">
        <v>3904.2</v>
      </c>
      <c r="V21" s="18" t="n">
        <v>4651.62</v>
      </c>
      <c r="W21" s="18" t="n">
        <v>3892.06</v>
      </c>
      <c r="X21" s="18" t="n">
        <v>3393.19</v>
      </c>
      <c r="Y21" s="18" t="n">
        <v>1523.71</v>
      </c>
      <c r="Z21" s="37" t="n">
        <v>1523.71</v>
      </c>
      <c r="AA21" s="18" t="n">
        <v>10957.5</v>
      </c>
      <c r="AB21" s="19" t="n">
        <v>5736.01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유동성장기부채</t>
        </is>
      </c>
      <c r="E22" s="18" t="n">
        <v>3111.11</v>
      </c>
      <c r="F22" s="37" t="n">
        <v>3111.11</v>
      </c>
      <c r="G22" s="18" t="n">
        <v>2777.78</v>
      </c>
      <c r="H22" s="18" t="n">
        <v>9079.129999999999</v>
      </c>
      <c r="I22" s="18" t="n">
        <v>9091.059999999999</v>
      </c>
      <c r="J22" s="18" t="n">
        <v>9344.25</v>
      </c>
      <c r="K22" s="37" t="n">
        <v>9344.25</v>
      </c>
      <c r="L22" s="18" t="n">
        <v>2000</v>
      </c>
      <c r="M22" s="18" t="n">
        <v>6349.16</v>
      </c>
      <c r="N22" s="18" t="n">
        <v>6704.54</v>
      </c>
      <c r="O22" s="18" t="n">
        <v>5220.13</v>
      </c>
      <c r="P22" s="37" t="n">
        <v>5220.13</v>
      </c>
      <c r="Q22" s="18" t="n">
        <v>5661.06</v>
      </c>
      <c r="R22" s="18" t="n">
        <v>245.31</v>
      </c>
      <c r="S22" s="18" t="n">
        <v>984.28</v>
      </c>
      <c r="T22" s="18" t="n">
        <v>4624.32</v>
      </c>
      <c r="U22" s="37" t="n">
        <v>4624.32</v>
      </c>
      <c r="V22" s="18" t="n">
        <v>5180.44</v>
      </c>
      <c r="W22" s="18" t="n">
        <v>5202.76</v>
      </c>
      <c r="X22" s="18" t="n">
        <v>4817.79</v>
      </c>
      <c r="Y22" s="18" t="n">
        <v>5304.72</v>
      </c>
      <c r="Z22" s="37" t="n">
        <v>5304.72</v>
      </c>
      <c r="AA22" s="18" t="n">
        <v>6280.79</v>
      </c>
      <c r="AB22" s="19" t="n">
        <v>6669.78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비유동부채</t>
        </is>
      </c>
      <c r="E23" s="18" t="n">
        <v>1461.79</v>
      </c>
      <c r="F23" s="37" t="n">
        <v>1461.79</v>
      </c>
      <c r="G23" s="18" t="n">
        <v>1379.56</v>
      </c>
      <c r="H23" s="18" t="n">
        <v>797.96</v>
      </c>
      <c r="I23" s="18" t="n">
        <v>568.71</v>
      </c>
      <c r="J23" s="18" t="n">
        <v>448.07</v>
      </c>
      <c r="K23" s="37" t="n">
        <v>448.07</v>
      </c>
      <c r="L23" s="18" t="n">
        <v>379.64</v>
      </c>
      <c r="M23" s="18" t="n">
        <v>310.48</v>
      </c>
      <c r="N23" s="18" t="n">
        <v>354.92</v>
      </c>
      <c r="O23" s="18" t="n">
        <v>386.28</v>
      </c>
      <c r="P23" s="37" t="n">
        <v>386.28</v>
      </c>
      <c r="Q23" s="18" t="n">
        <v>785.15</v>
      </c>
      <c r="R23" s="18" t="n">
        <v>234.68</v>
      </c>
      <c r="S23" s="18" t="n">
        <v>10005.28</v>
      </c>
      <c r="T23" s="18" t="n">
        <v>10373.46</v>
      </c>
      <c r="U23" s="37" t="n">
        <v>10373.46</v>
      </c>
      <c r="V23" s="18" t="n">
        <v>10429.28</v>
      </c>
      <c r="W23" s="18" t="n">
        <v>14323.65</v>
      </c>
      <c r="X23" s="18" t="n">
        <v>14307.64</v>
      </c>
      <c r="Y23" s="18" t="n">
        <v>12817.78</v>
      </c>
      <c r="Z23" s="37" t="n">
        <v>12817.78</v>
      </c>
      <c r="AA23" s="18" t="n">
        <v>12912.7</v>
      </c>
      <c r="AB23" s="19" t="n">
        <v>12968.32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확정급여부채</t>
        </is>
      </c>
      <c r="E24" s="18" t="n">
        <v>41.71</v>
      </c>
      <c r="F24" s="37" t="n">
        <v>41.71</v>
      </c>
      <c r="G24" s="18" t="n">
        <v>105.4</v>
      </c>
      <c r="H24" s="18" t="n">
        <v>206.94</v>
      </c>
      <c r="I24" s="18" t="n">
        <v>52.93</v>
      </c>
      <c r="K24" s="9" t="n"/>
      <c r="N24" s="18" t="n">
        <v>66.06999999999999</v>
      </c>
      <c r="P24" s="9" t="n"/>
      <c r="T24" s="18" t="n">
        <v>97.63</v>
      </c>
      <c r="U24" s="37" t="n">
        <v>97.63</v>
      </c>
      <c r="V24" s="18" t="n">
        <v>111.84</v>
      </c>
      <c r="W24" s="18" t="n">
        <v>126.05</v>
      </c>
      <c r="X24" s="18" t="n">
        <v>140.27</v>
      </c>
      <c r="Y24" s="18" t="n">
        <v>161.45</v>
      </c>
      <c r="Z24" s="37" t="n">
        <v>161.45</v>
      </c>
      <c r="AA24" s="18" t="n">
        <v>180.39</v>
      </c>
      <c r="AB24" s="19" t="n">
        <v>199.33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비유동리스부채</t>
        </is>
      </c>
      <c r="E25" s="18" t="n">
        <v>1405.08</v>
      </c>
      <c r="F25" s="37" t="n">
        <v>1405.08</v>
      </c>
      <c r="G25" s="18" t="n">
        <v>1274.16</v>
      </c>
      <c r="H25" s="18" t="n">
        <v>591.02</v>
      </c>
      <c r="I25" s="18" t="n">
        <v>515.78</v>
      </c>
      <c r="J25" s="18" t="n">
        <v>448.07</v>
      </c>
      <c r="K25" s="37" t="n">
        <v>448.07</v>
      </c>
      <c r="L25" s="18" t="n">
        <v>379.64</v>
      </c>
      <c r="M25" s="18" t="n">
        <v>310.48</v>
      </c>
      <c r="N25" s="18" t="n">
        <v>288.85</v>
      </c>
      <c r="O25" s="18" t="n">
        <v>229.21</v>
      </c>
      <c r="P25" s="37" t="n">
        <v>229.21</v>
      </c>
      <c r="Q25" s="18" t="n">
        <v>653.23</v>
      </c>
      <c r="R25" s="18" t="n">
        <v>128.68</v>
      </c>
      <c r="S25" s="18" t="n">
        <v>178.5</v>
      </c>
      <c r="T25" s="18" t="n">
        <v>293.53</v>
      </c>
      <c r="U25" s="37" t="n">
        <v>293.53</v>
      </c>
      <c r="V25" s="18" t="n">
        <v>315.91</v>
      </c>
      <c r="W25" s="18" t="n">
        <v>239.21</v>
      </c>
      <c r="X25" s="18" t="n">
        <v>208.98</v>
      </c>
      <c r="Y25" s="18" t="n">
        <v>220.98</v>
      </c>
      <c r="Z25" s="37" t="n">
        <v>220.98</v>
      </c>
      <c r="AA25" s="18" t="n">
        <v>318.15</v>
      </c>
      <c r="AB25" s="19" t="n">
        <v>347.13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장기금융부채</t>
        </is>
      </c>
      <c r="E26" s="18" t="n">
        <v>1405.08</v>
      </c>
      <c r="F26" s="37" t="n">
        <v>1405.08</v>
      </c>
      <c r="G26" s="18" t="n">
        <v>1274.16</v>
      </c>
      <c r="H26" s="18" t="n">
        <v>591.02</v>
      </c>
      <c r="I26" s="18" t="n">
        <v>515.78</v>
      </c>
      <c r="J26" s="18" t="n">
        <v>448.07</v>
      </c>
      <c r="K26" s="37" t="n">
        <v>448.07</v>
      </c>
      <c r="L26" s="18" t="n">
        <v>379.64</v>
      </c>
      <c r="M26" s="18" t="n">
        <v>310.48</v>
      </c>
      <c r="N26" s="18" t="n">
        <v>288.85</v>
      </c>
      <c r="O26" s="18" t="n">
        <v>229.21</v>
      </c>
      <c r="P26" s="37" t="n">
        <v>229.21</v>
      </c>
      <c r="Q26" s="18" t="n">
        <v>653.23</v>
      </c>
      <c r="R26" s="18" t="n">
        <v>128.68</v>
      </c>
      <c r="S26" s="18" t="n">
        <v>1843.37</v>
      </c>
      <c r="T26" s="18" t="n">
        <v>2217.09</v>
      </c>
      <c r="U26" s="37" t="n">
        <v>2217.09</v>
      </c>
      <c r="V26" s="18" t="n">
        <v>2258.07</v>
      </c>
      <c r="W26" s="18" t="n">
        <v>1625.33</v>
      </c>
      <c r="X26" s="18" t="n">
        <v>-1177.14</v>
      </c>
      <c r="Y26" s="18" t="n">
        <v>220.98</v>
      </c>
      <c r="Z26" s="37" t="n">
        <v>220.98</v>
      </c>
      <c r="AA26" s="18" t="n">
        <v>318.15</v>
      </c>
      <c r="AB26" s="19" t="n">
        <v>347.13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기타비유동부채</t>
        </is>
      </c>
      <c r="E27" s="18" t="n">
        <v>15</v>
      </c>
      <c r="F27" s="37" t="n">
        <v>15</v>
      </c>
      <c r="K27" s="9" t="n"/>
      <c r="P27" s="9" t="n"/>
      <c r="T27" s="18" t="n">
        <v>58.74</v>
      </c>
      <c r="U27" s="37" t="n">
        <v>58.74</v>
      </c>
      <c r="V27" s="18" t="n">
        <v>59.38</v>
      </c>
      <c r="Z27" s="9" t="n"/>
      <c r="AB27" s="5" t="n"/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부채총계</t>
        </is>
      </c>
      <c r="E28" s="18" t="n">
        <v>22327.51</v>
      </c>
      <c r="F28" s="37" t="n">
        <v>22327.51</v>
      </c>
      <c r="G28" s="18" t="n">
        <v>20225.34</v>
      </c>
      <c r="H28" s="18" t="n">
        <v>32859.49</v>
      </c>
      <c r="I28" s="18" t="n">
        <v>35857.12</v>
      </c>
      <c r="J28" s="18" t="n">
        <v>43162.43</v>
      </c>
      <c r="K28" s="37" t="n">
        <v>43162.43</v>
      </c>
      <c r="L28" s="18" t="n">
        <v>46671.25</v>
      </c>
      <c r="M28" s="18" t="n">
        <v>41936.45</v>
      </c>
      <c r="N28" s="18" t="n">
        <v>39590</v>
      </c>
      <c r="O28" s="18" t="n">
        <v>27926.98</v>
      </c>
      <c r="P28" s="37" t="n">
        <v>27926.98</v>
      </c>
      <c r="Q28" s="18" t="n">
        <v>30592.49</v>
      </c>
      <c r="R28" s="18" t="n">
        <v>7307.78</v>
      </c>
      <c r="S28" s="18" t="n">
        <v>18663.04</v>
      </c>
      <c r="T28" s="18" t="n">
        <v>28987.42</v>
      </c>
      <c r="U28" s="37" t="n">
        <v>28987.42</v>
      </c>
      <c r="V28" s="18" t="n">
        <v>28685.02</v>
      </c>
      <c r="W28" s="18" t="n">
        <v>29645.74</v>
      </c>
      <c r="X28" s="18" t="n">
        <v>29016.87</v>
      </c>
      <c r="Y28" s="18" t="n">
        <v>26189.21</v>
      </c>
      <c r="Z28" s="37" t="n">
        <v>26189.21</v>
      </c>
      <c r="AA28" s="18" t="n">
        <v>36382.77</v>
      </c>
      <c r="AB28" s="19" t="n">
        <v>31858.43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지배주주지분</t>
        </is>
      </c>
      <c r="E29" s="18" t="n">
        <v>24571.42</v>
      </c>
      <c r="F29" s="37" t="n">
        <v>24571.42</v>
      </c>
      <c r="G29" s="18" t="n">
        <v>22784.56</v>
      </c>
      <c r="H29" s="18" t="n">
        <v>22238.76</v>
      </c>
      <c r="I29" s="18" t="n">
        <v>18966.06</v>
      </c>
      <c r="J29" s="18" t="n">
        <v>11013.49</v>
      </c>
      <c r="K29" s="37" t="n">
        <v>11013.49</v>
      </c>
      <c r="L29" s="18" t="n">
        <v>9942.07</v>
      </c>
      <c r="M29" s="18" t="n">
        <v>13127.19</v>
      </c>
      <c r="N29" s="18" t="n">
        <v>13673.51</v>
      </c>
      <c r="O29" s="18" t="n">
        <v>15629.93</v>
      </c>
      <c r="P29" s="37" t="n">
        <v>15629.93</v>
      </c>
      <c r="Q29" s="18" t="n">
        <v>21563.25</v>
      </c>
      <c r="R29" s="18" t="n">
        <v>35753.19</v>
      </c>
      <c r="S29" s="18" t="n">
        <v>36936.97</v>
      </c>
      <c r="T29" s="18" t="n">
        <v>36831.38</v>
      </c>
      <c r="U29" s="37" t="n">
        <v>36831.38</v>
      </c>
      <c r="V29" s="18" t="n">
        <v>39878.3</v>
      </c>
      <c r="W29" s="18" t="n">
        <v>38448.65</v>
      </c>
      <c r="X29" s="18" t="n">
        <v>37238.51</v>
      </c>
      <c r="Y29" s="18" t="n">
        <v>35004.4</v>
      </c>
      <c r="Z29" s="37" t="n">
        <v>35004.4</v>
      </c>
      <c r="AA29" s="18" t="n">
        <v>41981.27</v>
      </c>
      <c r="AB29" s="19" t="n">
        <v>44575.12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자본금</t>
        </is>
      </c>
      <c r="E30" s="18" t="n">
        <v>35875.4</v>
      </c>
      <c r="F30" s="37" t="n">
        <v>35875.4</v>
      </c>
      <c r="G30" s="18" t="n">
        <v>35875.4</v>
      </c>
      <c r="H30" s="18" t="n">
        <v>35875.4</v>
      </c>
      <c r="I30" s="18" t="n">
        <v>35875.4</v>
      </c>
      <c r="J30" s="18" t="n">
        <v>35875.4</v>
      </c>
      <c r="K30" s="37" t="n">
        <v>35875.4</v>
      </c>
      <c r="L30" s="18" t="n">
        <v>8968.85</v>
      </c>
      <c r="M30" s="18" t="n">
        <v>9389.719999999999</v>
      </c>
      <c r="N30" s="18" t="n">
        <v>9389.719999999999</v>
      </c>
      <c r="O30" s="18" t="n">
        <v>9389.719999999999</v>
      </c>
      <c r="P30" s="37" t="n">
        <v>9389.719999999999</v>
      </c>
      <c r="Q30" s="18" t="n">
        <v>11421.21</v>
      </c>
      <c r="R30" s="18" t="n">
        <v>15074.81</v>
      </c>
      <c r="S30" s="18" t="n">
        <v>15074.81</v>
      </c>
      <c r="T30" s="18" t="n">
        <v>15323.57</v>
      </c>
      <c r="U30" s="37" t="n">
        <v>15323.57</v>
      </c>
      <c r="V30" s="18" t="n">
        <v>16635.9</v>
      </c>
      <c r="W30" s="18" t="n">
        <v>16723.4</v>
      </c>
      <c r="X30" s="18" t="n">
        <v>16723.4</v>
      </c>
      <c r="Y30" s="18" t="n">
        <v>16723.4</v>
      </c>
      <c r="Z30" s="37" t="n">
        <v>16723.4</v>
      </c>
      <c r="AA30" s="18" t="n">
        <v>19820.97</v>
      </c>
      <c r="AB30" s="19" t="n">
        <v>19820.97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자본잉여금</t>
        </is>
      </c>
      <c r="E31" s="18" t="n">
        <v>41176.71</v>
      </c>
      <c r="F31" s="37" t="n">
        <v>41176.71</v>
      </c>
      <c r="G31" s="18" t="n">
        <v>41176.71</v>
      </c>
      <c r="H31" s="18" t="n">
        <v>41176.71</v>
      </c>
      <c r="I31" s="18" t="n">
        <v>41176.71</v>
      </c>
      <c r="J31" s="18" t="n">
        <v>41176.71</v>
      </c>
      <c r="K31" s="37" t="n">
        <v>41176.71</v>
      </c>
      <c r="L31" s="18" t="n">
        <v>41176.71</v>
      </c>
      <c r="M31" s="18" t="n">
        <v>41753.57</v>
      </c>
      <c r="N31" s="18" t="n">
        <v>41753.57</v>
      </c>
      <c r="O31" s="18" t="n">
        <v>41749.49</v>
      </c>
      <c r="P31" s="37" t="n">
        <v>41749.49</v>
      </c>
      <c r="Q31" s="18" t="n">
        <v>47718</v>
      </c>
      <c r="R31" s="18" t="n">
        <v>61845.21</v>
      </c>
      <c r="S31" s="18" t="n">
        <v>61845.21</v>
      </c>
      <c r="T31" s="18" t="n">
        <v>62577</v>
      </c>
      <c r="U31" s="37" t="n">
        <v>62577</v>
      </c>
      <c r="V31" s="18" t="n">
        <v>66255.64999999999</v>
      </c>
      <c r="W31" s="18" t="n">
        <v>66574.31</v>
      </c>
      <c r="X31" s="18" t="n">
        <v>66574.31</v>
      </c>
      <c r="Y31" s="18" t="n">
        <v>66574.31</v>
      </c>
      <c r="Z31" s="37" t="n">
        <v>66574.31</v>
      </c>
      <c r="AA31" s="18" t="n">
        <v>71480.34</v>
      </c>
      <c r="AB31" s="19" t="n">
        <v>71480.34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이익잉여금</t>
        </is>
      </c>
      <c r="E32" s="18" t="n">
        <v>-52480.69</v>
      </c>
      <c r="F32" s="37" t="n">
        <v>-52480.69</v>
      </c>
      <c r="G32" s="18" t="n">
        <v>-54267.55</v>
      </c>
      <c r="H32" s="18" t="n">
        <v>-54813.35</v>
      </c>
      <c r="I32" s="18" t="n">
        <v>-58086.05</v>
      </c>
      <c r="J32" s="18" t="n">
        <v>-66038.62</v>
      </c>
      <c r="K32" s="37" t="n">
        <v>-66038.62</v>
      </c>
      <c r="L32" s="18" t="n">
        <v>-40203.5</v>
      </c>
      <c r="M32" s="18" t="n">
        <v>-38012.03</v>
      </c>
      <c r="N32" s="18" t="n">
        <v>-37465.7</v>
      </c>
      <c r="O32" s="18" t="n">
        <v>-35509.29</v>
      </c>
      <c r="P32" s="37" t="n">
        <v>-35509.29</v>
      </c>
      <c r="Q32" s="18" t="n">
        <v>-37575.96</v>
      </c>
      <c r="R32" s="18" t="n">
        <v>-41130.31</v>
      </c>
      <c r="S32" s="18" t="n">
        <v>-39945.79</v>
      </c>
      <c r="T32" s="18" t="n">
        <v>-41034.61</v>
      </c>
      <c r="U32" s="37" t="n">
        <v>-41034.61</v>
      </c>
      <c r="V32" s="18" t="n">
        <v>-42980.69</v>
      </c>
      <c r="W32" s="18" t="n">
        <v>-44818.53</v>
      </c>
      <c r="X32" s="18" t="n">
        <v>-46030.73</v>
      </c>
      <c r="Y32" s="18" t="n">
        <v>-48256.34</v>
      </c>
      <c r="Z32" s="37" t="n">
        <v>-48256.34</v>
      </c>
      <c r="AA32" s="18" t="n">
        <v>-49282.79</v>
      </c>
      <c r="AB32" s="19" t="n">
        <v>-46764.5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자본총계</t>
        </is>
      </c>
      <c r="E33" s="18" t="n">
        <v>24571.42</v>
      </c>
      <c r="F33" s="37" t="n">
        <v>24571.42</v>
      </c>
      <c r="G33" s="18" t="n">
        <v>22784.56</v>
      </c>
      <c r="H33" s="18" t="n">
        <v>22238.76</v>
      </c>
      <c r="I33" s="18" t="n">
        <v>18966.06</v>
      </c>
      <c r="J33" s="18" t="n">
        <v>11013.49</v>
      </c>
      <c r="K33" s="37" t="n">
        <v>11013.49</v>
      </c>
      <c r="L33" s="18" t="n">
        <v>9942.07</v>
      </c>
      <c r="M33" s="18" t="n">
        <v>13127.19</v>
      </c>
      <c r="N33" s="18" t="n">
        <v>13673.51</v>
      </c>
      <c r="O33" s="18" t="n">
        <v>15629.93</v>
      </c>
      <c r="P33" s="37" t="n">
        <v>15629.93</v>
      </c>
      <c r="Q33" s="18" t="n">
        <v>21563.25</v>
      </c>
      <c r="R33" s="18" t="n">
        <v>35753.19</v>
      </c>
      <c r="S33" s="18" t="n">
        <v>36936.97</v>
      </c>
      <c r="T33" s="18" t="n">
        <v>36831.38</v>
      </c>
      <c r="U33" s="37" t="n">
        <v>36831.38</v>
      </c>
      <c r="V33" s="18" t="n">
        <v>39878.3</v>
      </c>
      <c r="W33" s="18" t="n">
        <v>38448.65</v>
      </c>
      <c r="X33" s="18" t="n">
        <v>37238.51</v>
      </c>
      <c r="Y33" s="18" t="n">
        <v>35004.4</v>
      </c>
      <c r="Z33" s="37" t="n">
        <v>35004.4</v>
      </c>
      <c r="AA33" s="18" t="n">
        <v>41981.27</v>
      </c>
      <c r="AB33" s="19" t="n">
        <v>44575.12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부채와자본총계</t>
        </is>
      </c>
      <c r="E34" s="18" t="n">
        <v>46898.93</v>
      </c>
      <c r="F34" s="37" t="n">
        <v>46898.93</v>
      </c>
      <c r="G34" s="18" t="n">
        <v>43009.9</v>
      </c>
      <c r="H34" s="18" t="n">
        <v>55098.25</v>
      </c>
      <c r="I34" s="18" t="n">
        <v>54823.18</v>
      </c>
      <c r="J34" s="18" t="n">
        <v>54175.92</v>
      </c>
      <c r="K34" s="37" t="n">
        <v>54175.92</v>
      </c>
      <c r="L34" s="18" t="n">
        <v>56613.31</v>
      </c>
      <c r="M34" s="18" t="n">
        <v>55063.64</v>
      </c>
      <c r="N34" s="18" t="n">
        <v>53263.51</v>
      </c>
      <c r="O34" s="18" t="n">
        <v>43556.9</v>
      </c>
      <c r="P34" s="37" t="n">
        <v>43556.9</v>
      </c>
      <c r="Q34" s="18" t="n">
        <v>52155.74</v>
      </c>
      <c r="R34" s="18" t="n">
        <v>43060.96</v>
      </c>
      <c r="S34" s="18" t="n">
        <v>55600.02</v>
      </c>
      <c r="T34" s="18" t="n">
        <v>65818.8</v>
      </c>
      <c r="U34" s="37" t="n">
        <v>65818.8</v>
      </c>
      <c r="V34" s="18" t="n">
        <v>68563.32000000001</v>
      </c>
      <c r="W34" s="18" t="n">
        <v>68094.39</v>
      </c>
      <c r="X34" s="18" t="n">
        <v>66255.38</v>
      </c>
      <c r="Y34" s="18" t="n">
        <v>61193.61</v>
      </c>
      <c r="Z34" s="37" t="n">
        <v>61193.61</v>
      </c>
      <c r="AA34" s="18" t="n">
        <v>78364.03999999999</v>
      </c>
      <c r="AB34" s="19" t="n">
        <v>76433.55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총차입금</t>
        </is>
      </c>
      <c r="E35" s="18" t="n">
        <v>9022.219999999999</v>
      </c>
      <c r="F35" s="37" t="n">
        <v>9022.219999999999</v>
      </c>
      <c r="G35" s="18" t="n">
        <v>8355.559999999999</v>
      </c>
      <c r="H35" s="18" t="n">
        <v>16323.57</v>
      </c>
      <c r="I35" s="18" t="n">
        <v>16802.17</v>
      </c>
      <c r="J35" s="18" t="n">
        <v>18144.25</v>
      </c>
      <c r="K35" s="37" t="n">
        <v>18144.25</v>
      </c>
      <c r="L35" s="18" t="n">
        <v>10500</v>
      </c>
      <c r="M35" s="18" t="n">
        <v>15199.16</v>
      </c>
      <c r="N35" s="18" t="n">
        <v>12089.32</v>
      </c>
      <c r="O35" s="18" t="n">
        <v>11227.2</v>
      </c>
      <c r="P35" s="37" t="n">
        <v>11227.2</v>
      </c>
      <c r="Q35" s="18" t="n">
        <v>9292.98</v>
      </c>
      <c r="R35" s="18" t="n">
        <v>2071.31</v>
      </c>
      <c r="S35" s="18" t="n">
        <v>2885.99</v>
      </c>
      <c r="T35" s="18" t="n">
        <v>16447.92</v>
      </c>
      <c r="U35" s="37" t="n">
        <v>16447.92</v>
      </c>
      <c r="V35" s="18" t="n">
        <v>17004.04</v>
      </c>
      <c r="W35" s="18" t="n">
        <v>18026.36</v>
      </c>
      <c r="X35" s="18" t="n">
        <v>17121.38</v>
      </c>
      <c r="Y35" s="18" t="n">
        <v>17608.31</v>
      </c>
      <c r="Z35" s="37" t="n">
        <v>17608.31</v>
      </c>
      <c r="AA35" s="18" t="n">
        <v>18584.38</v>
      </c>
      <c r="AB35" s="19" t="n">
        <v>18669.78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순차입금</t>
        </is>
      </c>
      <c r="E36" s="18" t="n">
        <v>7748.87</v>
      </c>
      <c r="F36" s="37" t="n">
        <v>7748.87</v>
      </c>
      <c r="G36" s="18" t="n">
        <v>7216.41</v>
      </c>
      <c r="H36" s="18" t="n">
        <v>13469.93</v>
      </c>
      <c r="I36" s="18" t="n">
        <v>16264.46</v>
      </c>
      <c r="J36" s="18" t="n">
        <v>17426.42</v>
      </c>
      <c r="K36" s="37" t="n">
        <v>17426.42</v>
      </c>
      <c r="L36" s="18" t="n">
        <v>10078.61</v>
      </c>
      <c r="M36" s="18" t="n">
        <v>13697.06</v>
      </c>
      <c r="N36" s="18" t="n">
        <v>10699.11</v>
      </c>
      <c r="O36" s="18" t="n">
        <v>10020.93</v>
      </c>
      <c r="P36" s="37" t="n">
        <v>10020.93</v>
      </c>
      <c r="Q36" s="18" t="n">
        <v>-3620.11</v>
      </c>
      <c r="R36" s="18" t="n">
        <v>-14834.72</v>
      </c>
      <c r="S36" s="18" t="n">
        <v>-6905.27</v>
      </c>
      <c r="T36" s="18" t="n">
        <v>5121.11</v>
      </c>
      <c r="U36" s="37" t="n">
        <v>5121.11</v>
      </c>
      <c r="V36" s="18" t="n">
        <v>8886.15</v>
      </c>
      <c r="W36" s="18" t="n">
        <v>11820.92</v>
      </c>
      <c r="X36" s="18" t="n">
        <v>14167.07</v>
      </c>
      <c r="Y36" s="18" t="n">
        <v>14226.56</v>
      </c>
      <c r="Z36" s="37" t="n">
        <v>14226.56</v>
      </c>
      <c r="AA36" s="18" t="n">
        <v>-4020.03</v>
      </c>
      <c r="AB36" s="19" t="n">
        <v>17920.21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이자발생자산</t>
        </is>
      </c>
      <c r="E37" s="18" t="n">
        <v>1302.11</v>
      </c>
      <c r="F37" s="37" t="n">
        <v>1302.11</v>
      </c>
      <c r="G37" s="18" t="n">
        <v>1173.91</v>
      </c>
      <c r="H37" s="18" t="n">
        <v>2893.57</v>
      </c>
      <c r="I37" s="18" t="n">
        <v>537.71</v>
      </c>
      <c r="J37" s="18" t="n">
        <v>876.41</v>
      </c>
      <c r="K37" s="37" t="n">
        <v>876.41</v>
      </c>
      <c r="L37" s="18" t="n">
        <v>514.52</v>
      </c>
      <c r="M37" s="18" t="n">
        <v>1550.8</v>
      </c>
      <c r="N37" s="18" t="n">
        <v>1390.21</v>
      </c>
      <c r="O37" s="18" t="n">
        <v>1443.75</v>
      </c>
      <c r="P37" s="37" t="n">
        <v>1443.75</v>
      </c>
      <c r="Q37" s="18" t="n">
        <v>13259.13</v>
      </c>
      <c r="R37" s="18" t="n">
        <v>16906.03</v>
      </c>
      <c r="S37" s="18" t="n">
        <v>14411.25</v>
      </c>
      <c r="T37" s="18" t="n">
        <v>14000.53</v>
      </c>
      <c r="U37" s="37" t="n">
        <v>14000.53</v>
      </c>
      <c r="V37" s="18" t="n">
        <v>13491.61</v>
      </c>
      <c r="W37" s="18" t="n">
        <v>11724.45</v>
      </c>
      <c r="X37" s="18" t="n">
        <v>7772.71</v>
      </c>
      <c r="Y37" s="18" t="n">
        <v>6271.46</v>
      </c>
      <c r="Z37" s="37" t="n">
        <v>6271.46</v>
      </c>
      <c r="AA37" s="18" t="n">
        <v>25480.61</v>
      </c>
      <c r="AB37" s="19" t="n">
        <v>2870.07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장기차입금</t>
        </is>
      </c>
      <c r="E38" s="18" t="n">
        <v>1111.11</v>
      </c>
      <c r="F38" s="37" t="n">
        <v>1111.11</v>
      </c>
      <c r="G38" s="18" t="n">
        <v>777.78</v>
      </c>
      <c r="H38" s="18" t="n">
        <v>444.44</v>
      </c>
      <c r="I38" s="18" t="n">
        <v>111.11</v>
      </c>
      <c r="J38" s="18" t="n">
        <v>2000</v>
      </c>
      <c r="K38" s="37" t="n">
        <v>2000</v>
      </c>
      <c r="L38" s="18" t="n">
        <v>2000</v>
      </c>
      <c r="M38" s="18" t="n">
        <v>2000</v>
      </c>
      <c r="N38" s="18" t="n">
        <v>284.78</v>
      </c>
      <c r="O38" s="18" t="n">
        <v>157.07</v>
      </c>
      <c r="P38" s="37" t="n">
        <v>157.07</v>
      </c>
      <c r="Q38" s="18" t="n">
        <v>131.92</v>
      </c>
      <c r="R38" s="18" t="n">
        <v>106</v>
      </c>
      <c r="S38" s="18" t="n">
        <v>181.71</v>
      </c>
      <c r="T38" s="18" t="n">
        <v>8000</v>
      </c>
      <c r="U38" s="37" t="n">
        <v>8000</v>
      </c>
      <c r="V38" s="18" t="n">
        <v>8000</v>
      </c>
      <c r="W38" s="18" t="n">
        <v>12000</v>
      </c>
      <c r="X38" s="18" t="n">
        <v>12000</v>
      </c>
      <c r="Y38" s="18" t="n">
        <v>12000</v>
      </c>
      <c r="Z38" s="37" t="n">
        <v>12000</v>
      </c>
      <c r="AA38" s="18" t="n">
        <v>12000</v>
      </c>
      <c r="AB38" s="19" t="n">
        <v>12000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단기금융상품</t>
        </is>
      </c>
      <c r="F39" s="9" t="n"/>
      <c r="H39" s="18" t="n">
        <v>2000</v>
      </c>
      <c r="K39" s="9" t="n"/>
      <c r="P39" s="9" t="n"/>
      <c r="U39" s="9" t="n"/>
      <c r="Z39" s="9" t="n"/>
      <c r="AB39" s="19" t="n">
        <v>6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단기금융자산</t>
        </is>
      </c>
      <c r="F40" s="9" t="n"/>
      <c r="H40" s="18" t="n">
        <v>2000</v>
      </c>
      <c r="K40" s="9" t="n"/>
      <c r="P40" s="9" t="n"/>
      <c r="U40" s="9" t="n"/>
      <c r="Z40" s="9" t="n"/>
      <c r="AB40" s="19" t="n">
        <v>6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단기파생상품부채</t>
        </is>
      </c>
      <c r="F41" s="9" t="n"/>
      <c r="H41" s="18" t="n">
        <v>3282.89</v>
      </c>
      <c r="I41" s="18" t="n">
        <v>2694.2</v>
      </c>
      <c r="K41" s="9" t="n"/>
      <c r="O41" s="18" t="n">
        <v>9540.93</v>
      </c>
      <c r="P41" s="37" t="n">
        <v>9540.93</v>
      </c>
      <c r="S41" s="18" t="n">
        <v>1773.08</v>
      </c>
      <c r="U41" s="9" t="n"/>
      <c r="Z41" s="9" t="n"/>
      <c r="AB41" s="5" t="n"/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기타유동자산</t>
        </is>
      </c>
      <c r="F42" s="9" t="n"/>
      <c r="K42" s="9" t="n"/>
      <c r="M42" s="18" t="n">
        <v>11082.11</v>
      </c>
      <c r="N42" s="18" t="n">
        <v>13462.67</v>
      </c>
      <c r="O42" s="18" t="n">
        <v>6358.86</v>
      </c>
      <c r="P42" s="37" t="n">
        <v>6358.86</v>
      </c>
      <c r="Q42" s="18" t="n">
        <v>3964.07</v>
      </c>
      <c r="R42" s="18" t="n">
        <v>4008.23</v>
      </c>
      <c r="S42" s="18" t="n">
        <v>6648.48</v>
      </c>
      <c r="T42" s="18" t="n">
        <v>1055.08</v>
      </c>
      <c r="U42" s="37" t="n">
        <v>1055.08</v>
      </c>
      <c r="V42" s="18" t="n">
        <v>2116.15</v>
      </c>
      <c r="W42" s="18" t="n">
        <v>3163.79</v>
      </c>
      <c r="X42" s="18" t="n">
        <v>3556.22</v>
      </c>
      <c r="Y42" s="18" t="n">
        <v>1156.93</v>
      </c>
      <c r="Z42" s="37" t="n">
        <v>1156.93</v>
      </c>
      <c r="AA42" s="18" t="n">
        <v>1201.39</v>
      </c>
      <c r="AB42" s="19" t="n">
        <v>1409.27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기타유동부채</t>
        </is>
      </c>
      <c r="F43" s="9" t="n"/>
      <c r="K43" s="9" t="n"/>
      <c r="M43" s="18" t="n">
        <v>10235.16</v>
      </c>
      <c r="N43" s="18" t="n">
        <v>10173.55</v>
      </c>
      <c r="O43" s="18" t="n">
        <v>1173.49</v>
      </c>
      <c r="P43" s="37" t="n">
        <v>1173.49</v>
      </c>
      <c r="R43" s="18" t="n">
        <v>506.82</v>
      </c>
      <c r="S43" s="18" t="n">
        <v>618.95</v>
      </c>
      <c r="T43" s="18" t="n">
        <v>490.2</v>
      </c>
      <c r="U43" s="37" t="n">
        <v>490.2</v>
      </c>
      <c r="V43" s="18" t="n">
        <v>322.48</v>
      </c>
      <c r="W43" s="18" t="n">
        <v>318.14</v>
      </c>
      <c r="X43" s="18" t="n">
        <v>747.74</v>
      </c>
      <c r="Y43" s="18" t="n">
        <v>657.12</v>
      </c>
      <c r="Z43" s="37" t="n">
        <v>657.12</v>
      </c>
      <c r="AA43" s="18" t="n">
        <v>615.25</v>
      </c>
      <c r="AB43" s="19" t="n">
        <v>676.76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기타자본</t>
        </is>
      </c>
      <c r="F44" s="9" t="n"/>
      <c r="K44" s="9" t="n"/>
      <c r="M44" s="18" t="n">
        <v>-4.08</v>
      </c>
      <c r="N44" s="18" t="n">
        <v>-4.08</v>
      </c>
      <c r="P44" s="9" t="n"/>
      <c r="R44" s="18" t="n">
        <v>-36.53</v>
      </c>
      <c r="S44" s="18" t="n">
        <v>-37.25</v>
      </c>
      <c r="T44" s="18" t="n">
        <v>-34.57</v>
      </c>
      <c r="U44" s="37" t="n">
        <v>-34.57</v>
      </c>
      <c r="V44" s="18" t="n">
        <v>-32.56</v>
      </c>
      <c r="W44" s="18" t="n">
        <v>-30.53</v>
      </c>
      <c r="X44" s="18" t="n">
        <v>-28.47</v>
      </c>
      <c r="Y44" s="18" t="n">
        <v>-36.97</v>
      </c>
      <c r="Z44" s="37" t="n">
        <v>-36.97</v>
      </c>
      <c r="AA44" s="18" t="n">
        <v>-37.25</v>
      </c>
      <c r="AB44" s="19" t="n">
        <v>-37.25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당기법인세부채(미지급법인세)</t>
        </is>
      </c>
      <c r="F45" s="9" t="n"/>
      <c r="K45" s="9" t="n"/>
      <c r="O45" s="18" t="n">
        <v>151.08</v>
      </c>
      <c r="P45" s="37" t="n">
        <v>151.08</v>
      </c>
      <c r="Q45" s="18" t="n">
        <v>198.04</v>
      </c>
      <c r="U45" s="9" t="n"/>
      <c r="V45" s="18" t="n">
        <v>6.48</v>
      </c>
      <c r="X45" s="18" t="n">
        <v>0.03</v>
      </c>
      <c r="Y45" s="18" t="n">
        <v>232.06</v>
      </c>
      <c r="Z45" s="37" t="n">
        <v>232.06</v>
      </c>
      <c r="AA45" s="18" t="n">
        <v>160.16</v>
      </c>
      <c r="AB45" s="19" t="n">
        <v>135.66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단기투자자산(공정가치)</t>
        </is>
      </c>
      <c r="F46" s="9" t="n"/>
      <c r="K46" s="9" t="n"/>
      <c r="P46" s="9" t="n"/>
      <c r="R46" s="18" t="n">
        <v>159.16</v>
      </c>
      <c r="S46" s="18" t="n">
        <v>424.79</v>
      </c>
      <c r="T46" s="18" t="n">
        <v>439.75</v>
      </c>
      <c r="U46" s="37" t="n">
        <v>439.75</v>
      </c>
      <c r="V46" s="18" t="n">
        <v>433.33</v>
      </c>
      <c r="W46" s="18" t="n">
        <v>463.14</v>
      </c>
      <c r="X46" s="18" t="n">
        <v>463.87</v>
      </c>
      <c r="Z46" s="9" t="n"/>
      <c r="AA46" s="18" t="n">
        <v>179.58</v>
      </c>
      <c r="AB46" s="19" t="n">
        <v>0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사용권자산</t>
        </is>
      </c>
      <c r="F47" s="9" t="n"/>
      <c r="K47" s="9" t="n"/>
      <c r="P47" s="9" t="n"/>
      <c r="R47" s="18" t="n">
        <v>299.71</v>
      </c>
      <c r="S47" s="18" t="n">
        <v>461.03</v>
      </c>
      <c r="T47" s="18" t="n">
        <v>738.71</v>
      </c>
      <c r="U47" s="37" t="n">
        <v>738.71</v>
      </c>
      <c r="V47" s="18" t="n">
        <v>848.95</v>
      </c>
      <c r="W47" s="18" t="n">
        <v>676.41</v>
      </c>
      <c r="X47" s="18" t="n">
        <v>648.24</v>
      </c>
      <c r="Y47" s="18" t="n">
        <v>551.45</v>
      </c>
      <c r="Z47" s="37" t="n">
        <v>551.45</v>
      </c>
      <c r="AA47" s="18" t="n">
        <v>675.1900000000001</v>
      </c>
      <c r="AB47" s="19" t="n">
        <v>708.8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기타비유동자산</t>
        </is>
      </c>
      <c r="F48" s="9" t="n"/>
      <c r="K48" s="9" t="n"/>
      <c r="P48" s="9" t="n"/>
      <c r="R48" s="18" t="n">
        <v>447.12</v>
      </c>
      <c r="S48" s="18" t="n">
        <v>461.03</v>
      </c>
      <c r="T48" s="18" t="n">
        <v>1067.97</v>
      </c>
      <c r="U48" s="37" t="n">
        <v>1067.97</v>
      </c>
      <c r="V48" s="18" t="n">
        <v>962.14</v>
      </c>
      <c r="W48" s="18" t="n">
        <v>1341.97</v>
      </c>
      <c r="X48" s="18" t="n">
        <v>1256.78</v>
      </c>
      <c r="Y48" s="18" t="n">
        <v>1100.28</v>
      </c>
      <c r="Z48" s="37" t="n">
        <v>1100.28</v>
      </c>
      <c r="AA48" s="18" t="n">
        <v>1113.14</v>
      </c>
      <c r="AB48" s="19" t="n">
        <v>3941.97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종속기업및관계기업투자</t>
        </is>
      </c>
      <c r="F49" s="9" t="n"/>
      <c r="K49" s="9" t="n"/>
      <c r="P49" s="9" t="n"/>
      <c r="S49" s="18" t="n">
        <v>0.57</v>
      </c>
      <c r="U49" s="9" t="n"/>
      <c r="Z49" s="9" t="n"/>
      <c r="AB49" s="19" t="n">
        <v>9685.57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장기매입채무및기타채무</t>
        </is>
      </c>
      <c r="F50" s="9" t="n"/>
      <c r="K50" s="9" t="n"/>
      <c r="P50" s="9" t="n"/>
      <c r="S50" s="18" t="n">
        <v>8080.05</v>
      </c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장기파생상품부채</t>
        </is>
      </c>
      <c r="F51" s="9" t="n"/>
      <c r="K51" s="9" t="n"/>
      <c r="P51" s="9" t="n"/>
      <c r="S51" s="18" t="n">
        <v>1664.87</v>
      </c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기타유동금융부채</t>
        </is>
      </c>
      <c r="F52" s="9" t="n"/>
      <c r="K52" s="9" t="n"/>
      <c r="P52" s="9" t="n"/>
      <c r="T52" s="18" t="n">
        <v>3524.43</v>
      </c>
      <c r="U52" s="37" t="n">
        <v>3524.43</v>
      </c>
      <c r="V52" s="18" t="n">
        <v>4180.55</v>
      </c>
      <c r="W52" s="18" t="n">
        <v>3500.59</v>
      </c>
      <c r="X52" s="18" t="n">
        <v>2985.16</v>
      </c>
      <c r="Y52" s="18" t="n">
        <v>1209.83</v>
      </c>
      <c r="Z52" s="37" t="n">
        <v>1209.83</v>
      </c>
      <c r="AA52" s="18" t="n">
        <v>10608.13</v>
      </c>
      <c r="AB52" s="19" t="n">
        <v>5376.62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기타비유동금융부채</t>
        </is>
      </c>
      <c r="F53" s="9" t="n"/>
      <c r="K53" s="9" t="n"/>
      <c r="P53" s="9" t="n"/>
      <c r="T53" s="18" t="n">
        <v>1923.56</v>
      </c>
      <c r="U53" s="37" t="n">
        <v>1923.56</v>
      </c>
      <c r="V53" s="18" t="n">
        <v>1942.16</v>
      </c>
      <c r="W53" s="18" t="n">
        <v>1386.12</v>
      </c>
      <c r="X53" s="18" t="n">
        <v>-1386.12</v>
      </c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이연법인세부채</t>
        </is>
      </c>
      <c r="F54" s="9" t="n"/>
      <c r="K54" s="9" t="n"/>
      <c r="P54" s="9" t="n"/>
      <c r="U54" s="9" t="n"/>
      <c r="Y54" s="18" t="n">
        <v>435.35</v>
      </c>
      <c r="Z54" s="37" t="n">
        <v>435.35</v>
      </c>
      <c r="AA54" s="18" t="n">
        <v>414.15</v>
      </c>
      <c r="AB54" s="19" t="n">
        <v>421.86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기타포괄이익누계액</t>
        </is>
      </c>
      <c r="F55" s="9" t="n"/>
      <c r="K55" s="9" t="n"/>
      <c r="P55" s="9" t="n"/>
      <c r="U55" s="9" t="n"/>
      <c r="Z55" s="9" t="n"/>
      <c r="AB55" s="19" t="n">
        <v>75.56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매출액(수익)</t>
        </is>
      </c>
      <c r="E56" s="18" t="n">
        <v>8501.73</v>
      </c>
      <c r="F56" s="9" t="n"/>
      <c r="G56" s="18" t="n">
        <v>14734.67</v>
      </c>
      <c r="H56" s="18" t="n">
        <v>18706.69</v>
      </c>
      <c r="I56" s="18" t="n">
        <v>17176.15</v>
      </c>
      <c r="J56" s="18" t="n">
        <v>23811.88</v>
      </c>
      <c r="K56" s="37" t="n">
        <v>74429.39</v>
      </c>
      <c r="L56" s="18" t="n">
        <v>21526.67</v>
      </c>
      <c r="M56" s="18" t="n">
        <v>23408.9</v>
      </c>
      <c r="N56" s="18" t="n">
        <v>23294.52</v>
      </c>
      <c r="O56" s="18" t="n">
        <v>18121.3</v>
      </c>
      <c r="P56" s="37" t="n">
        <v>86351.39</v>
      </c>
      <c r="Q56" s="18" t="n">
        <v>15367.8</v>
      </c>
      <c r="R56" s="18" t="n">
        <v>5503.84</v>
      </c>
      <c r="S56" s="18" t="n">
        <v>6059.55</v>
      </c>
      <c r="T56" s="18" t="n">
        <v>8093.04</v>
      </c>
      <c r="U56" s="37" t="n">
        <v>35024.23</v>
      </c>
      <c r="V56" s="18" t="n">
        <v>9021.129999999999</v>
      </c>
      <c r="W56" s="18" t="n">
        <v>11208.93</v>
      </c>
      <c r="X56" s="18" t="n">
        <v>12040.3</v>
      </c>
      <c r="Y56" s="18" t="n">
        <v>7177.01</v>
      </c>
      <c r="Z56" s="37" t="n">
        <v>39447.37</v>
      </c>
      <c r="AA56" s="18" t="n">
        <v>10401.23</v>
      </c>
      <c r="AB56" s="19" t="n">
        <v>9464.799999999999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매출원가</t>
        </is>
      </c>
      <c r="E57" s="18" t="n">
        <v>11253.74</v>
      </c>
      <c r="F57" s="9" t="n"/>
      <c r="G57" s="18" t="n">
        <v>15572.74</v>
      </c>
      <c r="H57" s="18" t="n">
        <v>19449.38</v>
      </c>
      <c r="I57" s="18" t="n">
        <v>19874.92</v>
      </c>
      <c r="J57" s="18" t="n">
        <v>30638.83</v>
      </c>
      <c r="K57" s="37" t="n">
        <v>85535.87</v>
      </c>
      <c r="L57" s="18" t="n">
        <v>20490.95</v>
      </c>
      <c r="M57" s="18" t="n">
        <v>16524.19</v>
      </c>
      <c r="N57" s="18" t="n">
        <v>20829.35</v>
      </c>
      <c r="O57" s="18" t="n">
        <v>14128.64</v>
      </c>
      <c r="P57" s="37" t="n">
        <v>71973.13</v>
      </c>
      <c r="Q57" s="18" t="n">
        <v>11803.12</v>
      </c>
      <c r="R57" s="18" t="n">
        <v>3991.34</v>
      </c>
      <c r="S57" s="18" t="n">
        <v>6053.69</v>
      </c>
      <c r="T57" s="18" t="n">
        <v>7555.47</v>
      </c>
      <c r="U57" s="37" t="n">
        <v>29403.62</v>
      </c>
      <c r="V57" s="18" t="n">
        <v>8351.780000000001</v>
      </c>
      <c r="W57" s="18" t="n">
        <v>10159.19</v>
      </c>
      <c r="X57" s="18" t="n">
        <v>10694.91</v>
      </c>
      <c r="Y57" s="18" t="n">
        <v>5596.68</v>
      </c>
      <c r="Z57" s="37" t="n">
        <v>34802.56</v>
      </c>
      <c r="AA57" s="18" t="n">
        <v>8229.17</v>
      </c>
      <c r="AB57" s="19" t="n">
        <v>8125.4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매출총이익</t>
        </is>
      </c>
      <c r="E58" s="18" t="n">
        <v>-2752.01</v>
      </c>
      <c r="F58" s="9" t="n"/>
      <c r="G58" s="18" t="n">
        <v>-838.0599999999999</v>
      </c>
      <c r="H58" s="18" t="n">
        <v>-742.6900000000001</v>
      </c>
      <c r="I58" s="18" t="n">
        <v>-2698.77</v>
      </c>
      <c r="J58" s="18" t="n">
        <v>-6826.94</v>
      </c>
      <c r="K58" s="37" t="n">
        <v>-11106.46</v>
      </c>
      <c r="L58" s="18" t="n">
        <v>1035.72</v>
      </c>
      <c r="M58" s="18" t="n">
        <v>6884.71</v>
      </c>
      <c r="N58" s="18" t="n">
        <v>2465.16</v>
      </c>
      <c r="O58" s="18" t="n">
        <v>3992.68</v>
      </c>
      <c r="P58" s="37" t="n">
        <v>14378.27</v>
      </c>
      <c r="Q58" s="18" t="n">
        <v>3564.68</v>
      </c>
      <c r="R58" s="18" t="n">
        <v>1512.5</v>
      </c>
      <c r="S58" s="18" t="n">
        <v>5.86</v>
      </c>
      <c r="T58" s="18" t="n">
        <v>537.5599999999999</v>
      </c>
      <c r="U58" s="37" t="n">
        <v>5620.6</v>
      </c>
      <c r="V58" s="18" t="n">
        <v>669.35</v>
      </c>
      <c r="W58" s="18" t="n">
        <v>1049.74</v>
      </c>
      <c r="X58" s="18" t="n">
        <v>1345.4</v>
      </c>
      <c r="Y58" s="18" t="n">
        <v>1580.33</v>
      </c>
      <c r="Z58" s="37" t="n">
        <v>4644.82</v>
      </c>
      <c r="AA58" s="18" t="n">
        <v>2172.06</v>
      </c>
      <c r="AB58" s="19" t="n">
        <v>1339.4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판관비</t>
        </is>
      </c>
      <c r="E59" s="18" t="n">
        <v>816.87</v>
      </c>
      <c r="F59" s="9" t="n"/>
      <c r="G59" s="18" t="n">
        <v>855.6799999999999</v>
      </c>
      <c r="H59" s="18" t="n">
        <v>860.66</v>
      </c>
      <c r="I59" s="18" t="n">
        <v>822.04</v>
      </c>
      <c r="J59" s="18" t="n">
        <v>907.22</v>
      </c>
      <c r="K59" s="37" t="n">
        <v>3445.6</v>
      </c>
      <c r="L59" s="18" t="n">
        <v>830.85</v>
      </c>
      <c r="M59" s="18" t="n">
        <v>832.03</v>
      </c>
      <c r="N59" s="18" t="n">
        <v>808.7</v>
      </c>
      <c r="O59" s="18" t="n">
        <v>1042.66</v>
      </c>
      <c r="P59" s="37" t="n">
        <v>3514.24</v>
      </c>
      <c r="Q59" s="18" t="n">
        <v>1023.17</v>
      </c>
      <c r="R59" s="18" t="n">
        <v>864.87</v>
      </c>
      <c r="S59" s="18" t="n">
        <v>1101.73</v>
      </c>
      <c r="T59" s="18" t="n">
        <v>1559.26</v>
      </c>
      <c r="U59" s="37" t="n">
        <v>4549.03</v>
      </c>
      <c r="V59" s="18" t="n">
        <v>2425.54</v>
      </c>
      <c r="W59" s="18" t="n">
        <v>2525.66</v>
      </c>
      <c r="X59" s="18" t="n">
        <v>2357.89</v>
      </c>
      <c r="Y59" s="18" t="n">
        <v>1956.29</v>
      </c>
      <c r="Z59" s="37" t="n">
        <v>9265.379999999999</v>
      </c>
      <c r="AA59" s="18" t="n">
        <v>2966.35</v>
      </c>
      <c r="AB59" s="19" t="n">
        <v>2144.91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영업이익</t>
        </is>
      </c>
      <c r="E60" s="18" t="n">
        <v>-3568.88</v>
      </c>
      <c r="F60" s="9" t="n"/>
      <c r="G60" s="18" t="n">
        <v>-1693.75</v>
      </c>
      <c r="H60" s="18" t="n">
        <v>-1603.36</v>
      </c>
      <c r="I60" s="18" t="n">
        <v>-3520.82</v>
      </c>
      <c r="J60" s="18" t="n">
        <v>-7734.16</v>
      </c>
      <c r="K60" s="37" t="n">
        <v>-14552.09</v>
      </c>
      <c r="L60" s="18" t="n">
        <v>204.86</v>
      </c>
      <c r="M60" s="18" t="n">
        <v>6052.68</v>
      </c>
      <c r="N60" s="18" t="n">
        <v>1656.47</v>
      </c>
      <c r="O60" s="18" t="n">
        <v>2950.02</v>
      </c>
      <c r="P60" s="37" t="n">
        <v>10864.03</v>
      </c>
      <c r="Q60" s="18" t="n">
        <v>2541.5</v>
      </c>
      <c r="R60" s="18" t="n">
        <v>647.63</v>
      </c>
      <c r="S60" s="18" t="n">
        <v>-1095.87</v>
      </c>
      <c r="T60" s="18" t="n">
        <v>-1021.68</v>
      </c>
      <c r="U60" s="37" t="n">
        <v>1071.58</v>
      </c>
      <c r="V60" s="18" t="n">
        <v>-1756.19</v>
      </c>
      <c r="W60" s="18" t="n">
        <v>-1475.91</v>
      </c>
      <c r="X60" s="18" t="n">
        <v>-1012.49</v>
      </c>
      <c r="Y60" s="18" t="n">
        <v>-375.95</v>
      </c>
      <c r="Z60" s="37" t="n">
        <v>-4620.54</v>
      </c>
      <c r="AA60" s="18" t="n">
        <v>-794.29</v>
      </c>
      <c r="AB60" s="19" t="n">
        <v>-805.51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금융수익</t>
        </is>
      </c>
      <c r="E61" s="18" t="n">
        <v>49.54</v>
      </c>
      <c r="F61" s="9" t="n"/>
      <c r="G61" s="18" t="n">
        <v>63.72</v>
      </c>
      <c r="H61" s="18" t="n">
        <v>1518.18</v>
      </c>
      <c r="I61" s="18" t="n">
        <v>786.16</v>
      </c>
      <c r="J61" s="18" t="n">
        <v>131.95</v>
      </c>
      <c r="K61" s="37" t="n">
        <v>2500.01</v>
      </c>
      <c r="L61" s="18" t="n">
        <v>249.96</v>
      </c>
      <c r="M61" s="18" t="n">
        <v>120.15</v>
      </c>
      <c r="N61" s="18" t="n">
        <v>124.3</v>
      </c>
      <c r="O61" s="18" t="n">
        <v>90.36</v>
      </c>
      <c r="P61" s="37" t="n">
        <v>584.77</v>
      </c>
      <c r="Q61" s="18" t="n">
        <v>173.87</v>
      </c>
      <c r="R61" s="18" t="n">
        <v>61.67</v>
      </c>
      <c r="S61" s="18" t="n">
        <v>74.11</v>
      </c>
      <c r="T61" s="18" t="n">
        <v>196.12</v>
      </c>
      <c r="U61" s="37" t="n">
        <v>505.77</v>
      </c>
      <c r="V61" s="18" t="n">
        <v>95.16</v>
      </c>
      <c r="W61" s="18" t="n">
        <v>753.74</v>
      </c>
      <c r="X61" s="18" t="n">
        <v>110.19</v>
      </c>
      <c r="Y61" s="18" t="n">
        <v>3246.21</v>
      </c>
      <c r="Z61" s="37" t="n">
        <v>4205.3</v>
      </c>
      <c r="AA61" s="18" t="n">
        <v>207</v>
      </c>
      <c r="AB61" s="19" t="n">
        <v>5529.13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금융비용</t>
        </is>
      </c>
      <c r="E62" s="18" t="n">
        <v>161.76</v>
      </c>
      <c r="F62" s="9" t="n"/>
      <c r="G62" s="18" t="n">
        <v>100.45</v>
      </c>
      <c r="H62" s="18" t="n">
        <v>469.14</v>
      </c>
      <c r="I62" s="18" t="n">
        <v>541.35</v>
      </c>
      <c r="J62" s="18" t="n">
        <v>651.15</v>
      </c>
      <c r="K62" s="37" t="n">
        <v>1762.09</v>
      </c>
      <c r="L62" s="18" t="n">
        <v>1532.26</v>
      </c>
      <c r="M62" s="18" t="n">
        <v>3910</v>
      </c>
      <c r="N62" s="18" t="n">
        <v>1236.99</v>
      </c>
      <c r="O62" s="18" t="n">
        <v>381.12</v>
      </c>
      <c r="P62" s="37" t="n">
        <v>7060.37</v>
      </c>
      <c r="Q62" s="18" t="n">
        <v>5099.82</v>
      </c>
      <c r="R62" s="18" t="n">
        <v>-47.96</v>
      </c>
      <c r="S62" s="18" t="n">
        <v>410.29</v>
      </c>
      <c r="T62" s="18" t="n">
        <v>92.45999999999999</v>
      </c>
      <c r="U62" s="37" t="n">
        <v>5554.61</v>
      </c>
      <c r="V62" s="18" t="n">
        <v>363.91</v>
      </c>
      <c r="W62" s="18" t="n">
        <v>530.97</v>
      </c>
      <c r="X62" s="18" t="n">
        <v>309.94</v>
      </c>
      <c r="Y62" s="18" t="n">
        <v>2744.96</v>
      </c>
      <c r="Z62" s="37" t="n">
        <v>3949.78</v>
      </c>
      <c r="AA62" s="18" t="n">
        <v>530.73</v>
      </c>
      <c r="AB62" s="19" t="n">
        <v>1389.13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기타영업외수익</t>
        </is>
      </c>
      <c r="E63" s="18" t="n">
        <v>50.5</v>
      </c>
      <c r="F63" s="9" t="n"/>
      <c r="G63" s="18" t="n">
        <v>4.29</v>
      </c>
      <c r="H63" s="18" t="n">
        <v>10.02</v>
      </c>
      <c r="I63" s="18" t="n">
        <v>2.46</v>
      </c>
      <c r="J63" s="18" t="n">
        <v>0.01</v>
      </c>
      <c r="K63" s="37" t="n">
        <v>16.78</v>
      </c>
      <c r="L63" s="18" t="n">
        <v>6.05</v>
      </c>
      <c r="M63" s="18" t="n">
        <v>57.68</v>
      </c>
      <c r="N63" s="18" t="n">
        <v>8.41</v>
      </c>
      <c r="O63" s="18" t="n">
        <v>0.01</v>
      </c>
      <c r="P63" s="37" t="n">
        <v>72.15000000000001</v>
      </c>
      <c r="Q63" s="18" t="n">
        <v>438</v>
      </c>
      <c r="R63" s="18" t="n">
        <v>-88.44</v>
      </c>
      <c r="S63" s="18" t="n">
        <v>1060.51</v>
      </c>
      <c r="T63" s="18" t="n">
        <v>257.86</v>
      </c>
      <c r="U63" s="37" t="n">
        <v>1667.93</v>
      </c>
      <c r="V63" s="18" t="n">
        <v>56.83</v>
      </c>
      <c r="W63" s="18" t="n">
        <v>32.62</v>
      </c>
      <c r="X63" s="18" t="n">
        <v>62.59</v>
      </c>
      <c r="Y63" s="18" t="n">
        <v>5.34</v>
      </c>
      <c r="Z63" s="37" t="n">
        <v>157.38</v>
      </c>
      <c r="AA63" s="18" t="n">
        <v>94.56999999999999</v>
      </c>
      <c r="AB63" s="19" t="n">
        <v>108.17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기타영업외비용</t>
        </is>
      </c>
      <c r="E64" s="18" t="n">
        <v>1182.2</v>
      </c>
      <c r="F64" s="9" t="n"/>
      <c r="G64" s="18" t="n">
        <v>60.67</v>
      </c>
      <c r="H64" s="18" t="n">
        <v>1.5</v>
      </c>
      <c r="I64" s="18" t="n">
        <v>0</v>
      </c>
      <c r="J64" s="18" t="n">
        <v>11.3</v>
      </c>
      <c r="K64" s="37" t="n">
        <v>73.47</v>
      </c>
      <c r="L64" s="18" t="n">
        <v>0.03</v>
      </c>
      <c r="M64" s="18" t="n">
        <v>129.04</v>
      </c>
      <c r="N64" s="18" t="n">
        <v>-24.49</v>
      </c>
      <c r="O64" s="18" t="n">
        <v>524.24</v>
      </c>
      <c r="P64" s="37" t="n">
        <v>628.8200000000001</v>
      </c>
      <c r="Q64" s="18" t="n">
        <v>0</v>
      </c>
      <c r="R64" s="18" t="n">
        <v>86.59</v>
      </c>
      <c r="S64" s="18" t="n">
        <v>-50.72</v>
      </c>
      <c r="T64" s="18" t="n">
        <v>138.98</v>
      </c>
      <c r="U64" s="37" t="n">
        <v>174.85</v>
      </c>
      <c r="V64" s="18" t="n">
        <v>0.05</v>
      </c>
      <c r="W64" s="18" t="n">
        <v>617.3200000000001</v>
      </c>
      <c r="X64" s="18" t="n">
        <v>62.54</v>
      </c>
      <c r="Y64" s="18" t="n">
        <v>1704.63</v>
      </c>
      <c r="Z64" s="37" t="n">
        <v>2384.54</v>
      </c>
      <c r="AA64" s="18" t="n">
        <v>4.67</v>
      </c>
      <c r="AB64" s="19" t="n">
        <v>156.73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법인세비용차감전계속사업이익</t>
        </is>
      </c>
      <c r="E65" s="18" t="n">
        <v>-4812.8</v>
      </c>
      <c r="F65" s="9" t="n"/>
      <c r="G65" s="18" t="n">
        <v>-1786.86</v>
      </c>
      <c r="H65" s="18" t="n">
        <v>-545.8</v>
      </c>
      <c r="I65" s="18" t="n">
        <v>-3273.54</v>
      </c>
      <c r="J65" s="18" t="n">
        <v>-8264.66</v>
      </c>
      <c r="K65" s="37" t="n">
        <v>-13870.86</v>
      </c>
      <c r="L65" s="18" t="n">
        <v>-1071.43</v>
      </c>
      <c r="M65" s="18" t="n">
        <v>2191.47</v>
      </c>
      <c r="N65" s="18" t="n">
        <v>576.67</v>
      </c>
      <c r="O65" s="18" t="n">
        <v>2135.01</v>
      </c>
      <c r="P65" s="37" t="n">
        <v>3831.72</v>
      </c>
      <c r="Q65" s="18" t="n">
        <v>-1946.44</v>
      </c>
      <c r="R65" s="18" t="n">
        <v>582.23</v>
      </c>
      <c r="S65" s="18" t="n">
        <v>-320.82</v>
      </c>
      <c r="T65" s="18" t="n">
        <v>-799.15</v>
      </c>
      <c r="U65" s="37" t="n">
        <v>-2484.18</v>
      </c>
      <c r="V65" s="18" t="n">
        <v>-1968.17</v>
      </c>
      <c r="W65" s="18" t="n">
        <v>-1837.85</v>
      </c>
      <c r="X65" s="18" t="n">
        <v>-1212.2</v>
      </c>
      <c r="Y65" s="18" t="n">
        <v>-1574.01</v>
      </c>
      <c r="Z65" s="37" t="n">
        <v>-6592.23</v>
      </c>
      <c r="AA65" s="18" t="n">
        <v>-1028.12</v>
      </c>
      <c r="AB65" s="19" t="n">
        <v>2523.54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당기순이익</t>
        </is>
      </c>
      <c r="E66" s="18" t="n">
        <v>-4812.8</v>
      </c>
      <c r="F66" s="9" t="n"/>
      <c r="G66" s="18" t="n">
        <v>-1786.86</v>
      </c>
      <c r="H66" s="18" t="n">
        <v>-545.8</v>
      </c>
      <c r="I66" s="18" t="n">
        <v>-3273.54</v>
      </c>
      <c r="J66" s="18" t="n">
        <v>-8264.66</v>
      </c>
      <c r="K66" s="37" t="n">
        <v>-13870.86</v>
      </c>
      <c r="L66" s="18" t="n">
        <v>-1071.43</v>
      </c>
      <c r="M66" s="18" t="n">
        <v>2191.47</v>
      </c>
      <c r="N66" s="18" t="n">
        <v>546.3200000000001</v>
      </c>
      <c r="O66" s="18" t="n">
        <v>2013.5</v>
      </c>
      <c r="P66" s="37" t="n">
        <v>3679.86</v>
      </c>
      <c r="Q66" s="18" t="n">
        <v>-2066.68</v>
      </c>
      <c r="R66" s="18" t="n">
        <v>-3669.72</v>
      </c>
      <c r="S66" s="18" t="n">
        <v>1183.51</v>
      </c>
      <c r="T66" s="18" t="n">
        <v>-694.41</v>
      </c>
      <c r="U66" s="37" t="n">
        <v>-5247.3</v>
      </c>
      <c r="V66" s="18" t="n">
        <v>-1946.08</v>
      </c>
      <c r="W66" s="18" t="n">
        <v>-1837.85</v>
      </c>
      <c r="X66" s="18" t="n">
        <v>-1212.2</v>
      </c>
      <c r="Y66" s="18" t="n">
        <v>-2259.9</v>
      </c>
      <c r="Z66" s="37" t="n">
        <v>-7256.03</v>
      </c>
      <c r="AA66" s="18" t="n">
        <v>-1026.45</v>
      </c>
      <c r="AB66" s="19" t="n">
        <v>2518.29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(지배주주지분)당기순이익</t>
        </is>
      </c>
      <c r="E67" s="18" t="n">
        <v>-4812.8</v>
      </c>
      <c r="F67" s="9" t="n"/>
      <c r="G67" s="18" t="n">
        <v>-1786.86</v>
      </c>
      <c r="H67" s="18" t="n">
        <v>-545.8</v>
      </c>
      <c r="I67" s="18" t="n">
        <v>-3273.54</v>
      </c>
      <c r="J67" s="18" t="n">
        <v>-8264.66</v>
      </c>
      <c r="K67" s="37" t="n">
        <v>-13870.86</v>
      </c>
      <c r="L67" s="18" t="n">
        <v>-1071.43</v>
      </c>
      <c r="M67" s="18" t="n">
        <v>2191.47</v>
      </c>
      <c r="N67" s="18" t="n">
        <v>546.3200000000001</v>
      </c>
      <c r="O67" s="18" t="n">
        <v>2013.5</v>
      </c>
      <c r="P67" s="37" t="n">
        <v>3679.86</v>
      </c>
      <c r="Q67" s="18" t="n">
        <v>-2066.68</v>
      </c>
      <c r="R67" s="18" t="n">
        <v>-3669.72</v>
      </c>
      <c r="S67" s="18" t="n">
        <v>1183.51</v>
      </c>
      <c r="T67" s="18" t="n">
        <v>-694.41</v>
      </c>
      <c r="U67" s="37" t="n">
        <v>-5247.3</v>
      </c>
      <c r="V67" s="18" t="n">
        <v>-1946.08</v>
      </c>
      <c r="W67" s="18" t="n">
        <v>-1837.85</v>
      </c>
      <c r="X67" s="18" t="n">
        <v>-1212.2</v>
      </c>
      <c r="Y67" s="18" t="n">
        <v>-2259.9</v>
      </c>
      <c r="Z67" s="37" t="n">
        <v>-7256.03</v>
      </c>
      <c r="AA67" s="18" t="n">
        <v>-1026.45</v>
      </c>
      <c r="AB67" s="19" t="n">
        <v>2518.29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금융손익</t>
        </is>
      </c>
      <c r="E68" s="18" t="n">
        <v>-112.22</v>
      </c>
      <c r="F68" s="9" t="n"/>
      <c r="G68" s="18" t="n">
        <v>-36.73</v>
      </c>
      <c r="H68" s="18" t="n">
        <v>1049.04</v>
      </c>
      <c r="I68" s="18" t="n">
        <v>244.81</v>
      </c>
      <c r="J68" s="18" t="n">
        <v>-519.2</v>
      </c>
      <c r="K68" s="37" t="n">
        <v>737.92</v>
      </c>
      <c r="L68" s="18" t="n">
        <v>-1282.3</v>
      </c>
      <c r="M68" s="18" t="n">
        <v>-3789.85</v>
      </c>
      <c r="N68" s="18" t="n">
        <v>-1112.69</v>
      </c>
      <c r="O68" s="18" t="n">
        <v>-290.76</v>
      </c>
      <c r="P68" s="37" t="n">
        <v>-6475.6</v>
      </c>
      <c r="Q68" s="18" t="n">
        <v>-4925.95</v>
      </c>
      <c r="R68" s="18" t="n">
        <v>109.63</v>
      </c>
      <c r="S68" s="18" t="n">
        <v>-336.18</v>
      </c>
      <c r="T68" s="18" t="n">
        <v>103.66</v>
      </c>
      <c r="U68" s="37" t="n">
        <v>-5048.84</v>
      </c>
      <c r="V68" s="18" t="n">
        <v>-268.75</v>
      </c>
      <c r="W68" s="18" t="n">
        <v>222.77</v>
      </c>
      <c r="X68" s="18" t="n">
        <v>-199.75</v>
      </c>
      <c r="Y68" s="18" t="n">
        <v>501.25</v>
      </c>
      <c r="Z68" s="37" t="n">
        <v>255.52</v>
      </c>
      <c r="AA68" s="18" t="n">
        <v>-323.73</v>
      </c>
      <c r="AB68" s="19" t="n">
        <v>4140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기타영업외손익</t>
        </is>
      </c>
      <c r="E69" s="18" t="n">
        <v>-1131.7</v>
      </c>
      <c r="F69" s="9" t="n"/>
      <c r="G69" s="18" t="n">
        <v>-56.38</v>
      </c>
      <c r="H69" s="18" t="n">
        <v>8.52</v>
      </c>
      <c r="I69" s="18" t="n">
        <v>2.46</v>
      </c>
      <c r="J69" s="18" t="n">
        <v>-11.29</v>
      </c>
      <c r="K69" s="37" t="n">
        <v>-56.69</v>
      </c>
      <c r="L69" s="18" t="n">
        <v>6.02</v>
      </c>
      <c r="M69" s="18" t="n">
        <v>-71.36</v>
      </c>
      <c r="N69" s="18" t="n">
        <v>32.9</v>
      </c>
      <c r="O69" s="18" t="n">
        <v>-524.23</v>
      </c>
      <c r="P69" s="37" t="n">
        <v>-556.67</v>
      </c>
      <c r="Q69" s="18" t="n">
        <v>438</v>
      </c>
      <c r="R69" s="18" t="n">
        <v>-175.03</v>
      </c>
      <c r="S69" s="18" t="n">
        <v>1111.23</v>
      </c>
      <c r="T69" s="18" t="n">
        <v>118.88</v>
      </c>
      <c r="U69" s="37" t="n">
        <v>1493.08</v>
      </c>
      <c r="V69" s="18" t="n">
        <v>56.78</v>
      </c>
      <c r="W69" s="18" t="n">
        <v>-584.7</v>
      </c>
      <c r="X69" s="18" t="n">
        <v>0.05</v>
      </c>
      <c r="Y69" s="18" t="n">
        <v>-1699.29</v>
      </c>
      <c r="Z69" s="37" t="n">
        <v>-2227.16</v>
      </c>
      <c r="AA69" s="18" t="n">
        <v>89.90000000000001</v>
      </c>
      <c r="AB69" s="19" t="n">
        <v>-48.56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계속사업이익</t>
        </is>
      </c>
      <c r="E70" s="18" t="n">
        <v>-4812.8</v>
      </c>
      <c r="F70" s="9" t="n"/>
      <c r="G70" s="18" t="n">
        <v>-1786.86</v>
      </c>
      <c r="H70" s="18" t="n">
        <v>-545.8</v>
      </c>
      <c r="I70" s="18" t="n">
        <v>-3273.54</v>
      </c>
      <c r="J70" s="18" t="n">
        <v>-8264.66</v>
      </c>
      <c r="K70" s="37" t="n">
        <v>-13870.86</v>
      </c>
      <c r="L70" s="18" t="n">
        <v>-1071.43</v>
      </c>
      <c r="M70" s="18" t="n">
        <v>2191.47</v>
      </c>
      <c r="N70" s="18" t="n">
        <v>546.3200000000001</v>
      </c>
      <c r="O70" s="18" t="n">
        <v>2013.5</v>
      </c>
      <c r="P70" s="37" t="n">
        <v>3679.86</v>
      </c>
      <c r="Q70" s="18" t="n">
        <v>-2066.68</v>
      </c>
      <c r="R70" s="18" t="n">
        <v>577.9299999999999</v>
      </c>
      <c r="S70" s="18" t="n">
        <v>-321.53</v>
      </c>
      <c r="T70" s="18" t="n">
        <v>-608.73</v>
      </c>
      <c r="U70" s="37" t="n">
        <v>-2419.01</v>
      </c>
      <c r="V70" s="18" t="n">
        <v>-1946.08</v>
      </c>
      <c r="W70" s="18" t="n">
        <v>-1837.85</v>
      </c>
      <c r="X70" s="18" t="n">
        <v>-1212.2</v>
      </c>
      <c r="Y70" s="18" t="n">
        <v>-2259.9</v>
      </c>
      <c r="Z70" s="37" t="n">
        <v>-7256.03</v>
      </c>
      <c r="AA70" s="18" t="n">
        <v>-1026.45</v>
      </c>
      <c r="AB70" s="19" t="n">
        <v>2518.29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총포괄손익</t>
        </is>
      </c>
      <c r="E71" s="18" t="n">
        <v>-4802.66</v>
      </c>
      <c r="F71" s="9" t="n"/>
      <c r="G71" s="18" t="n">
        <v>-1786.86</v>
      </c>
      <c r="H71" s="18" t="n">
        <v>-545.8</v>
      </c>
      <c r="I71" s="18" t="n">
        <v>-3273.54</v>
      </c>
      <c r="J71" s="18" t="n">
        <v>-7952.57</v>
      </c>
      <c r="K71" s="37" t="n">
        <v>-13558.77</v>
      </c>
      <c r="M71" s="18" t="n">
        <v>2191.47</v>
      </c>
      <c r="N71" s="18" t="n">
        <v>546.3200000000001</v>
      </c>
      <c r="O71" s="18" t="n">
        <v>1956.41</v>
      </c>
      <c r="P71" s="9" t="n"/>
      <c r="Q71" s="18" t="n">
        <v>-2066.68</v>
      </c>
      <c r="R71" s="18" t="n">
        <v>-3669.72</v>
      </c>
      <c r="S71" s="18" t="n">
        <v>1183.51</v>
      </c>
      <c r="U71" s="9" t="n"/>
      <c r="Z71" s="9" t="n"/>
      <c r="AA71" s="18" t="n">
        <v>-1026.45</v>
      </c>
      <c r="AB71" s="19" t="n">
        <v>2593.84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이자수익</t>
        </is>
      </c>
      <c r="F72" s="9" t="n"/>
      <c r="G72" s="18" t="n">
        <v>48.42</v>
      </c>
      <c r="H72" s="18" t="n">
        <v>22.19</v>
      </c>
      <c r="I72" s="18" t="n">
        <v>17.23</v>
      </c>
      <c r="J72" s="18" t="n">
        <v>205.49</v>
      </c>
      <c r="K72" s="37" t="n">
        <v>293.33</v>
      </c>
      <c r="L72" s="18" t="n">
        <v>85.92</v>
      </c>
      <c r="M72" s="18" t="n">
        <v>0.92</v>
      </c>
      <c r="N72" s="18" t="n">
        <v>1.22</v>
      </c>
      <c r="O72" s="18" t="n">
        <v>263.79</v>
      </c>
      <c r="P72" s="37" t="n">
        <v>351.85</v>
      </c>
      <c r="Q72" s="18" t="n">
        <v>90.31999999999999</v>
      </c>
      <c r="U72" s="9" t="n"/>
      <c r="V72" s="18" t="n">
        <v>47.59</v>
      </c>
      <c r="X72" s="18" t="n">
        <v>124.53</v>
      </c>
      <c r="Y72" s="18" t="n">
        <v>155.04</v>
      </c>
      <c r="Z72" s="9" t="n"/>
      <c r="AA72" s="18" t="n">
        <v>40.98</v>
      </c>
      <c r="AB72" s="5" t="n"/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이자비용</t>
        </is>
      </c>
      <c r="F73" s="9" t="n"/>
      <c r="G73" s="18" t="n">
        <v>89.27</v>
      </c>
      <c r="H73" s="18" t="n">
        <v>339.61</v>
      </c>
      <c r="I73" s="18" t="n">
        <v>45.94</v>
      </c>
      <c r="J73" s="18" t="n">
        <v>1051.46</v>
      </c>
      <c r="K73" s="37" t="n">
        <v>1526.28</v>
      </c>
      <c r="L73" s="18" t="n">
        <v>362.98</v>
      </c>
      <c r="M73" s="18" t="n">
        <v>351.84</v>
      </c>
      <c r="N73" s="18" t="n">
        <v>-179.5</v>
      </c>
      <c r="O73" s="18" t="n">
        <v>1629.33</v>
      </c>
      <c r="P73" s="37" t="n">
        <v>2164.65</v>
      </c>
      <c r="Q73" s="18" t="n">
        <v>561.97</v>
      </c>
      <c r="U73" s="9" t="n"/>
      <c r="V73" s="18" t="n">
        <v>253.5</v>
      </c>
      <c r="X73" s="18" t="n">
        <v>827.37</v>
      </c>
      <c r="Y73" s="18" t="n">
        <v>1311.31</v>
      </c>
      <c r="Z73" s="9" t="n"/>
      <c r="AA73" s="18" t="n">
        <v>412.19</v>
      </c>
      <c r="AB73" s="5" t="n"/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외환차익</t>
        </is>
      </c>
      <c r="F74" s="9" t="n"/>
      <c r="G74" s="18" t="n">
        <v>11.1</v>
      </c>
      <c r="H74" s="18" t="n">
        <v>33.81</v>
      </c>
      <c r="I74" s="18" t="n">
        <v>39.24</v>
      </c>
      <c r="J74" s="18" t="n">
        <v>58.42</v>
      </c>
      <c r="K74" s="37" t="n">
        <v>142.57</v>
      </c>
      <c r="L74" s="18" t="n">
        <v>157.92</v>
      </c>
      <c r="M74" s="18" t="n">
        <v>-129.67</v>
      </c>
      <c r="N74" s="18" t="n">
        <v>7.12</v>
      </c>
      <c r="O74" s="18" t="n">
        <v>197.54</v>
      </c>
      <c r="P74" s="37" t="n">
        <v>232.91</v>
      </c>
      <c r="Q74" s="18" t="n">
        <v>62.37</v>
      </c>
      <c r="U74" s="9" t="n"/>
      <c r="V74" s="18" t="n">
        <v>31.18</v>
      </c>
      <c r="X74" s="18" t="n">
        <v>50.82</v>
      </c>
      <c r="Y74" s="18" t="n">
        <v>107.39</v>
      </c>
      <c r="Z74" s="9" t="n"/>
      <c r="AA74" s="18" t="n">
        <v>38.43</v>
      </c>
      <c r="AB74" s="5" t="n"/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외환차손</t>
        </is>
      </c>
      <c r="F75" s="9" t="n"/>
      <c r="G75" s="18" t="n">
        <v>1.21</v>
      </c>
      <c r="H75" s="18" t="n">
        <v>10.96</v>
      </c>
      <c r="I75" s="18" t="n">
        <v>-6.78</v>
      </c>
      <c r="J75" s="18" t="n">
        <v>177.86</v>
      </c>
      <c r="K75" s="37" t="n">
        <v>183.25</v>
      </c>
      <c r="L75" s="18" t="n">
        <v>111.23</v>
      </c>
      <c r="M75" s="18" t="n">
        <v>-85.54000000000001</v>
      </c>
      <c r="N75" s="18" t="n">
        <v>-8.109999999999999</v>
      </c>
      <c r="O75" s="18" t="n">
        <v>210.43</v>
      </c>
      <c r="P75" s="37" t="n">
        <v>228.01</v>
      </c>
      <c r="Q75" s="18" t="n">
        <v>10.37</v>
      </c>
      <c r="U75" s="9" t="n"/>
      <c r="V75" s="18" t="n">
        <v>70.36</v>
      </c>
      <c r="X75" s="18" t="n">
        <v>183.13</v>
      </c>
      <c r="Y75" s="18" t="n">
        <v>185.9</v>
      </c>
      <c r="Z75" s="9" t="n"/>
      <c r="AA75" s="18" t="n">
        <v>73.26000000000001</v>
      </c>
      <c r="AB75" s="5" t="n"/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외화환산이익</t>
        </is>
      </c>
      <c r="F76" s="9" t="n"/>
      <c r="G76" s="18" t="n">
        <v>4.19</v>
      </c>
      <c r="H76" s="18" t="n">
        <v>4.56</v>
      </c>
      <c r="I76" s="18" t="n">
        <v>16.73</v>
      </c>
      <c r="J76" s="18" t="n">
        <v>-25.06</v>
      </c>
      <c r="K76" s="37" t="n">
        <v>0.42</v>
      </c>
      <c r="L76" s="18" t="n">
        <v>6.11</v>
      </c>
      <c r="M76" s="18" t="n">
        <v>-1.05</v>
      </c>
      <c r="N76" s="18" t="n">
        <v>-4.19</v>
      </c>
      <c r="P76" s="9" t="n"/>
      <c r="Q76" s="18" t="n">
        <v>21.18</v>
      </c>
      <c r="U76" s="9" t="n"/>
      <c r="V76" s="18" t="n">
        <v>16.39</v>
      </c>
      <c r="X76" s="18" t="n">
        <v>64.89</v>
      </c>
      <c r="Y76" s="18" t="n">
        <v>53.69</v>
      </c>
      <c r="Z76" s="9" t="n"/>
      <c r="AA76" s="18" t="n">
        <v>122.37</v>
      </c>
      <c r="AB76" s="5" t="n"/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외화환산손실</t>
        </is>
      </c>
      <c r="F77" s="9" t="n"/>
      <c r="G77" s="18" t="n">
        <v>9.960000000000001</v>
      </c>
      <c r="H77" s="18" t="n">
        <v>17.3</v>
      </c>
      <c r="I77" s="18" t="n">
        <v>32.9</v>
      </c>
      <c r="J77" s="18" t="n">
        <v>-9.41</v>
      </c>
      <c r="K77" s="37" t="n">
        <v>50.75</v>
      </c>
      <c r="L77" s="18" t="n">
        <v>15.4</v>
      </c>
      <c r="M77" s="18" t="n">
        <v>-11.73</v>
      </c>
      <c r="N77" s="18" t="n">
        <v>12.83</v>
      </c>
      <c r="O77" s="18" t="n">
        <v>24.87</v>
      </c>
      <c r="P77" s="37" t="n">
        <v>41.37</v>
      </c>
      <c r="Q77" s="18" t="n">
        <v>32.78</v>
      </c>
      <c r="U77" s="9" t="n"/>
      <c r="V77" s="18" t="n">
        <v>33.64</v>
      </c>
      <c r="X77" s="18" t="n">
        <v>90.3</v>
      </c>
      <c r="Y77" s="18" t="n">
        <v>61.78</v>
      </c>
      <c r="Z77" s="9" t="n"/>
      <c r="AA77" s="18" t="n">
        <v>45.28</v>
      </c>
      <c r="AB77" s="5" t="n"/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이자손익</t>
        </is>
      </c>
      <c r="F78" s="9" t="n"/>
      <c r="G78" s="18" t="n">
        <v>-40.85</v>
      </c>
      <c r="H78" s="18" t="n">
        <v>-317.42</v>
      </c>
      <c r="I78" s="18" t="n">
        <v>-28.71</v>
      </c>
      <c r="J78" s="18" t="n">
        <v>-845.97</v>
      </c>
      <c r="K78" s="37" t="n">
        <v>-1232.95</v>
      </c>
      <c r="L78" s="18" t="n">
        <v>-277.06</v>
      </c>
      <c r="M78" s="18" t="n">
        <v>-350.92</v>
      </c>
      <c r="N78" s="18" t="n">
        <v>180.72</v>
      </c>
      <c r="O78" s="18" t="n">
        <v>-1365.54</v>
      </c>
      <c r="P78" s="37" t="n">
        <v>-1812.8</v>
      </c>
      <c r="Q78" s="18" t="n">
        <v>-471.65</v>
      </c>
      <c r="U78" s="9" t="n"/>
      <c r="V78" s="18" t="n">
        <v>-205.91</v>
      </c>
      <c r="X78" s="18" t="n">
        <v>-702.84</v>
      </c>
      <c r="Y78" s="18" t="n">
        <v>-1156.27</v>
      </c>
      <c r="Z78" s="9" t="n"/>
      <c r="AA78" s="18" t="n">
        <v>-371.21</v>
      </c>
      <c r="AB78" s="5" t="n"/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파생상품이익</t>
        </is>
      </c>
      <c r="F79" s="9" t="n"/>
      <c r="I79" s="18" t="n">
        <v>-805.21</v>
      </c>
      <c r="J79" s="18" t="n">
        <v>1475</v>
      </c>
      <c r="K79" s="9" t="n"/>
      <c r="P79" s="9" t="n"/>
      <c r="U79" s="9" t="n"/>
      <c r="X79" s="18" t="n">
        <v>507</v>
      </c>
      <c r="Z79" s="9" t="n"/>
      <c r="AB79" s="5" t="n"/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법인세비용</t>
        </is>
      </c>
      <c r="F80" s="9" t="n"/>
      <c r="K80" s="9" t="n"/>
      <c r="N80" s="18" t="n">
        <v>30.35</v>
      </c>
      <c r="O80" s="18" t="n">
        <v>121.51</v>
      </c>
      <c r="P80" s="9" t="n"/>
      <c r="Q80" s="18" t="n">
        <v>120.24</v>
      </c>
      <c r="R80" s="18" t="n">
        <v>4.3</v>
      </c>
      <c r="S80" s="18" t="n">
        <v>0.71</v>
      </c>
      <c r="T80" s="18" t="n">
        <v>-190.42</v>
      </c>
      <c r="U80" s="37" t="n">
        <v>-65.17</v>
      </c>
      <c r="V80" s="18" t="n">
        <v>-22.09</v>
      </c>
      <c r="Y80" s="18" t="n">
        <v>685.9</v>
      </c>
      <c r="Z80" s="9" t="n"/>
      <c r="AA80" s="18" t="n">
        <v>-1.67</v>
      </c>
      <c r="AB80" s="19" t="n">
        <v>5.25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파생상품손실</t>
        </is>
      </c>
      <c r="F81" s="9" t="n"/>
      <c r="K81" s="9" t="n"/>
      <c r="N81" s="18" t="n">
        <v>-2588.74</v>
      </c>
      <c r="O81" s="18" t="n">
        <v>3006.61</v>
      </c>
      <c r="P81" s="9" t="n"/>
      <c r="U81" s="9" t="n"/>
      <c r="X81" s="18" t="n">
        <v>39.23</v>
      </c>
      <c r="Z81" s="9" t="n"/>
      <c r="AB81" s="5" t="n"/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중단사업이익</t>
        </is>
      </c>
      <c r="F82" s="9" t="n"/>
      <c r="K82" s="9" t="n"/>
      <c r="P82" s="9" t="n"/>
      <c r="R82" s="18" t="n">
        <v>-4247.65</v>
      </c>
      <c r="S82" s="18" t="n">
        <v>1505.04</v>
      </c>
      <c r="T82" s="18" t="n">
        <v>-85.69</v>
      </c>
      <c r="U82" s="9" t="n"/>
      <c r="Z82" s="9" t="n"/>
      <c r="AB82" s="5" t="n"/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배당금수익</t>
        </is>
      </c>
      <c r="F83" s="9" t="n"/>
      <c r="K83" s="9" t="n"/>
      <c r="P83" s="9" t="n"/>
      <c r="U83" s="9" t="n"/>
      <c r="X83" s="18" t="n">
        <v>3.2</v>
      </c>
      <c r="Z83" s="9" t="n"/>
      <c r="AB83" s="5" t="n"/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종속기업,공동지배기업및관계기업관련손익</t>
        </is>
      </c>
      <c r="F84" s="9" t="n"/>
      <c r="K84" s="9" t="n"/>
      <c r="P84" s="9" t="n"/>
      <c r="U84" s="9" t="n"/>
      <c r="Z84" s="9" t="n"/>
      <c r="AB84" s="19" t="n">
        <v>-762.39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지분법관련손익</t>
        </is>
      </c>
      <c r="F85" s="9" t="n"/>
      <c r="K85" s="9" t="n"/>
      <c r="P85" s="9" t="n"/>
      <c r="U85" s="9" t="n"/>
      <c r="Z85" s="9" t="n"/>
      <c r="AB85" s="19" t="n">
        <v>-762.39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영업활동으로인한현금흐름</t>
        </is>
      </c>
      <c r="E86" s="18" t="n">
        <v>2337.26</v>
      </c>
      <c r="F86" s="9" t="n"/>
      <c r="G86" s="18" t="n">
        <v>-5389.2</v>
      </c>
      <c r="H86" s="18" t="n">
        <v>-5213.64</v>
      </c>
      <c r="I86" s="18" t="n">
        <v>-1901.21</v>
      </c>
      <c r="J86" s="18" t="n">
        <v>2138.13</v>
      </c>
      <c r="K86" s="37" t="n">
        <v>-10365.92</v>
      </c>
      <c r="L86" s="18" t="n">
        <v>346.5</v>
      </c>
      <c r="M86" s="18" t="n">
        <v>720.85</v>
      </c>
      <c r="N86" s="18" t="n">
        <v>1769.88</v>
      </c>
      <c r="O86" s="18" t="n">
        <v>924.79</v>
      </c>
      <c r="P86" s="37" t="n">
        <v>3762.02</v>
      </c>
      <c r="Q86" s="18" t="n">
        <v>5058.97</v>
      </c>
      <c r="R86" s="18" t="n">
        <v>9.85</v>
      </c>
      <c r="S86" s="18" t="n">
        <v>-1599.88</v>
      </c>
      <c r="T86" s="18" t="n">
        <v>3119.97</v>
      </c>
      <c r="U86" s="37" t="n">
        <v>6588.91</v>
      </c>
      <c r="V86" s="18" t="n">
        <v>-1714.89</v>
      </c>
      <c r="W86" s="18" t="n">
        <v>-1711.72</v>
      </c>
      <c r="X86" s="18" t="n">
        <v>-1313.6</v>
      </c>
      <c r="Y86" s="18" t="n">
        <v>1072.91</v>
      </c>
      <c r="Z86" s="37" t="n">
        <v>-3667.3</v>
      </c>
      <c r="AA86" s="18" t="n">
        <v>154.59</v>
      </c>
      <c r="AB86" s="19" t="n">
        <v>-767.73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이자수취(CF)</t>
        </is>
      </c>
      <c r="E87" s="18" t="n">
        <v>3.11</v>
      </c>
      <c r="F87" s="9" t="n"/>
      <c r="G87" s="18" t="n">
        <v>6.88</v>
      </c>
      <c r="H87" s="18" t="n">
        <v>27.49</v>
      </c>
      <c r="I87" s="18" t="n">
        <v>5.02</v>
      </c>
      <c r="J87" s="18" t="n">
        <v>1.54</v>
      </c>
      <c r="K87" s="37" t="n">
        <v>40.93</v>
      </c>
      <c r="L87" s="18" t="n">
        <v>0.1</v>
      </c>
      <c r="M87" s="18" t="n">
        <v>0.11</v>
      </c>
      <c r="N87" s="18" t="n">
        <v>0.06</v>
      </c>
      <c r="O87" s="18" t="n">
        <v>0.16</v>
      </c>
      <c r="P87" s="37" t="n">
        <v>0.43</v>
      </c>
      <c r="Q87" s="18" t="n">
        <v>0.09</v>
      </c>
      <c r="R87" s="18" t="n">
        <v>13.86</v>
      </c>
      <c r="S87" s="18" t="n">
        <v>65.19</v>
      </c>
      <c r="T87" s="18" t="n">
        <v>64.34</v>
      </c>
      <c r="U87" s="37" t="n">
        <v>143.48</v>
      </c>
      <c r="V87" s="18" t="n">
        <v>39.79</v>
      </c>
      <c r="W87" s="18" t="n">
        <v>29.67</v>
      </c>
      <c r="X87" s="18" t="n">
        <v>25.52</v>
      </c>
      <c r="Y87" s="18" t="n">
        <v>31.95</v>
      </c>
      <c r="Z87" s="37" t="n">
        <v>126.93</v>
      </c>
      <c r="AA87" s="18" t="n">
        <v>15.78</v>
      </c>
      <c r="AB87" s="19" t="n">
        <v>17.47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이자지급(CF)</t>
        </is>
      </c>
      <c r="E88" s="18" t="n">
        <v>-72.56</v>
      </c>
      <c r="F88" s="9" t="n"/>
      <c r="G88" s="18" t="n">
        <v>-70.7</v>
      </c>
      <c r="H88" s="18" t="n">
        <v>-75.36</v>
      </c>
      <c r="I88" s="18" t="n">
        <v>-101.9</v>
      </c>
      <c r="J88" s="18" t="n">
        <v>-448.38</v>
      </c>
      <c r="K88" s="37" t="n">
        <v>-696.34</v>
      </c>
      <c r="L88" s="18" t="n">
        <v>-104.98</v>
      </c>
      <c r="M88" s="18" t="n">
        <v>-120.07</v>
      </c>
      <c r="P88" s="9" t="n"/>
      <c r="Q88" s="18" t="n">
        <v>-98.40000000000001</v>
      </c>
      <c r="U88" s="9" t="n"/>
      <c r="Z88" s="9" t="n"/>
      <c r="AB88" s="5" t="n"/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법인세납부(CF)</t>
        </is>
      </c>
      <c r="E89" s="18" t="n">
        <v>-0.48</v>
      </c>
      <c r="F89" s="9" t="n"/>
      <c r="G89" s="18" t="n">
        <v>-1.06</v>
      </c>
      <c r="H89" s="18" t="n">
        <v>3.1</v>
      </c>
      <c r="I89" s="18" t="n">
        <v>-0.77</v>
      </c>
      <c r="J89" s="18" t="n">
        <v>-0.24</v>
      </c>
      <c r="K89" s="37" t="n">
        <v>1.03</v>
      </c>
      <c r="L89" s="18" t="n">
        <v>-0.01</v>
      </c>
      <c r="M89" s="18" t="n">
        <v>5.05</v>
      </c>
      <c r="N89" s="18" t="n">
        <v>-0.23</v>
      </c>
      <c r="O89" s="18" t="n">
        <v>-0.03</v>
      </c>
      <c r="P89" s="37" t="n">
        <v>4.78</v>
      </c>
      <c r="Q89" s="18" t="n">
        <v>-73.27</v>
      </c>
      <c r="R89" s="18" t="n">
        <v>4.91</v>
      </c>
      <c r="S89" s="18" t="n">
        <v>-17.97</v>
      </c>
      <c r="T89" s="18" t="n">
        <v>-21.44</v>
      </c>
      <c r="U89" s="37" t="n">
        <v>-107.77</v>
      </c>
      <c r="V89" s="18" t="n">
        <v>29.49</v>
      </c>
      <c r="W89" s="18" t="n">
        <v>16.63</v>
      </c>
      <c r="X89" s="18" t="n">
        <v>-19.26</v>
      </c>
      <c r="Y89" s="18" t="n">
        <v>-3.69</v>
      </c>
      <c r="Z89" s="37" t="n">
        <v>23.17</v>
      </c>
      <c r="AA89" s="18" t="n">
        <v>-93.3</v>
      </c>
      <c r="AB89" s="19" t="n">
        <v>-8.69</v>
      </c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투자활동으로인한현금흐름</t>
        </is>
      </c>
      <c r="E90" s="18" t="n">
        <v>-4210.31</v>
      </c>
      <c r="F90" s="9" t="n"/>
      <c r="G90" s="18" t="n">
        <v>5745.3</v>
      </c>
      <c r="H90" s="18" t="n">
        <v>-7593.11</v>
      </c>
      <c r="I90" s="18" t="n">
        <v>1192.14</v>
      </c>
      <c r="J90" s="18" t="n">
        <v>-968.0599999999999</v>
      </c>
      <c r="K90" s="37" t="n">
        <v>-1623.73</v>
      </c>
      <c r="L90" s="18" t="n">
        <v>-269.94</v>
      </c>
      <c r="M90" s="18" t="n">
        <v>188.97</v>
      </c>
      <c r="N90" s="18" t="n">
        <v>-45.41</v>
      </c>
      <c r="O90" s="18" t="n">
        <v>-18.56</v>
      </c>
      <c r="P90" s="37" t="n">
        <v>-144.94</v>
      </c>
      <c r="Q90" s="18" t="n">
        <v>1088.41</v>
      </c>
      <c r="R90" s="18" t="n">
        <v>5832.28</v>
      </c>
      <c r="S90" s="18" t="n">
        <v>-17365.49</v>
      </c>
      <c r="T90" s="18" t="n">
        <v>-1618.66</v>
      </c>
      <c r="U90" s="37" t="n">
        <v>-12063.46</v>
      </c>
      <c r="V90" s="18" t="n">
        <v>-7361.92</v>
      </c>
      <c r="W90" s="18" t="n">
        <v>-1090.71</v>
      </c>
      <c r="X90" s="18" t="n">
        <v>-1014.16</v>
      </c>
      <c r="Y90" s="18" t="n">
        <v>-528.79</v>
      </c>
      <c r="Z90" s="37" t="n">
        <v>-9995.58</v>
      </c>
      <c r="AA90" s="18" t="n">
        <v>1024.76</v>
      </c>
      <c r="AB90" s="19" t="n">
        <v>-20627.95</v>
      </c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유형자산의감소</t>
        </is>
      </c>
      <c r="E91" s="18" t="n">
        <v>445.21</v>
      </c>
      <c r="F91" s="9" t="n"/>
      <c r="G91" s="18" t="n">
        <v>1.79</v>
      </c>
      <c r="H91" s="18" t="n">
        <v>0</v>
      </c>
      <c r="I91" s="18" t="n">
        <v>0</v>
      </c>
      <c r="J91" s="18" t="n">
        <v>0</v>
      </c>
      <c r="K91" s="37" t="n">
        <v>1.79</v>
      </c>
      <c r="N91" s="18" t="n">
        <v>0</v>
      </c>
      <c r="O91" s="18" t="n">
        <v>0</v>
      </c>
      <c r="P91" s="9" t="n"/>
      <c r="Q91" s="18" t="n">
        <v>1715.34</v>
      </c>
      <c r="R91" s="18" t="n">
        <v>141.5</v>
      </c>
      <c r="S91" s="18" t="n">
        <v>68.23</v>
      </c>
      <c r="T91" s="18" t="n">
        <v>764.85</v>
      </c>
      <c r="U91" s="37" t="n">
        <v>2689.92</v>
      </c>
      <c r="V91" s="18" t="n">
        <v>801.3</v>
      </c>
      <c r="X91" s="18" t="n">
        <v>36.37</v>
      </c>
      <c r="Z91" s="9" t="n"/>
      <c r="AB91" s="5" t="n"/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유형자산의증가</t>
        </is>
      </c>
      <c r="E92" s="18" t="n">
        <v>2149.52</v>
      </c>
      <c r="F92" s="9" t="n"/>
      <c r="G92" s="18" t="n">
        <v>1387.64</v>
      </c>
      <c r="H92" s="18" t="n">
        <v>1587.12</v>
      </c>
      <c r="I92" s="18" t="n">
        <v>839.04</v>
      </c>
      <c r="J92" s="18" t="n">
        <v>958.5599999999999</v>
      </c>
      <c r="K92" s="37" t="n">
        <v>4772.36</v>
      </c>
      <c r="L92" s="18" t="n">
        <v>256.3</v>
      </c>
      <c r="M92" s="18" t="n">
        <v>26.45</v>
      </c>
      <c r="N92" s="18" t="n">
        <v>45.42</v>
      </c>
      <c r="O92" s="18" t="n">
        <v>18.56</v>
      </c>
      <c r="P92" s="37" t="n">
        <v>346.73</v>
      </c>
      <c r="Q92" s="18" t="n">
        <v>26.93</v>
      </c>
      <c r="R92" s="18" t="n">
        <v>356.42</v>
      </c>
      <c r="S92" s="18" t="n">
        <v>16848.55</v>
      </c>
      <c r="T92" s="18" t="n">
        <v>3604.34</v>
      </c>
      <c r="U92" s="37" t="n">
        <v>20836.24</v>
      </c>
      <c r="V92" s="18" t="n">
        <v>2057.85</v>
      </c>
      <c r="W92" s="18" t="n">
        <v>1751.09</v>
      </c>
      <c r="X92" s="18" t="n">
        <v>58.98</v>
      </c>
      <c r="Y92" s="18" t="n">
        <v>177.06</v>
      </c>
      <c r="Z92" s="37" t="n">
        <v>4044.98</v>
      </c>
      <c r="AA92" s="18" t="n">
        <v>95.67</v>
      </c>
      <c r="AB92" s="19" t="n">
        <v>123.02</v>
      </c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CAPEX</t>
        </is>
      </c>
      <c r="E93" s="18" t="n">
        <v>2149.52</v>
      </c>
      <c r="F93" s="9" t="n"/>
      <c r="G93" s="18" t="n">
        <v>1407.84</v>
      </c>
      <c r="H93" s="18" t="n">
        <v>1587.12</v>
      </c>
      <c r="I93" s="18" t="n">
        <v>848.64</v>
      </c>
      <c r="J93" s="18" t="n">
        <v>958.5599999999999</v>
      </c>
      <c r="K93" s="37" t="n">
        <v>4802.16</v>
      </c>
      <c r="L93" s="18" t="n">
        <v>259.94</v>
      </c>
      <c r="M93" s="18" t="n">
        <v>26.45</v>
      </c>
      <c r="N93" s="18" t="n">
        <v>45.42</v>
      </c>
      <c r="O93" s="18" t="n">
        <v>18.56</v>
      </c>
      <c r="P93" s="37" t="n">
        <v>350.37</v>
      </c>
      <c r="Q93" s="18" t="n">
        <v>26.93</v>
      </c>
      <c r="R93" s="18" t="n">
        <v>356.42</v>
      </c>
      <c r="S93" s="18" t="n">
        <v>16848.55</v>
      </c>
      <c r="T93" s="18" t="n">
        <v>3664.82</v>
      </c>
      <c r="U93" s="37" t="n">
        <v>20896.72</v>
      </c>
      <c r="V93" s="18" t="n">
        <v>2148.81</v>
      </c>
      <c r="W93" s="18" t="n">
        <v>1751.09</v>
      </c>
      <c r="X93" s="18" t="n">
        <v>58.98</v>
      </c>
      <c r="Y93" s="18" t="n">
        <v>177.06</v>
      </c>
      <c r="Z93" s="37" t="n">
        <v>4135.94</v>
      </c>
      <c r="AA93" s="18" t="n">
        <v>95.67</v>
      </c>
      <c r="AB93" s="19" t="n">
        <v>227.82</v>
      </c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재무활동으로인한현금흐름</t>
        </is>
      </c>
      <c r="E94" s="18" t="n">
        <v>-468.87</v>
      </c>
      <c r="F94" s="9" t="n"/>
      <c r="G94" s="18" t="n">
        <v>-492.33</v>
      </c>
      <c r="H94" s="18" t="n">
        <v>12522.67</v>
      </c>
      <c r="I94" s="18" t="n">
        <v>393.68</v>
      </c>
      <c r="J94" s="18" t="n">
        <v>-984.11</v>
      </c>
      <c r="K94" s="37" t="n">
        <v>11439.91</v>
      </c>
      <c r="L94" s="18" t="n">
        <v>-372.99</v>
      </c>
      <c r="M94" s="18" t="n">
        <v>170.65</v>
      </c>
      <c r="N94" s="18" t="n">
        <v>-1843.32</v>
      </c>
      <c r="O94" s="18" t="n">
        <v>-1059.02</v>
      </c>
      <c r="P94" s="37" t="n">
        <v>-3104.68</v>
      </c>
      <c r="Q94" s="18" t="n">
        <v>5550.3</v>
      </c>
      <c r="R94" s="18" t="n">
        <v>-1859.83</v>
      </c>
      <c r="S94" s="18" t="n">
        <v>11910.43</v>
      </c>
      <c r="T94" s="18" t="n">
        <v>-10.27</v>
      </c>
      <c r="U94" s="37" t="n">
        <v>15590.63</v>
      </c>
      <c r="V94" s="18" t="n">
        <v>5864.19</v>
      </c>
      <c r="W94" s="18" t="n">
        <v>893.83</v>
      </c>
      <c r="X94" s="18" t="n">
        <v>-932.96</v>
      </c>
      <c r="Y94" s="18" t="n">
        <v>-107.24</v>
      </c>
      <c r="Z94" s="37" t="n">
        <v>5717.82</v>
      </c>
      <c r="AA94" s="18" t="n">
        <v>17989.06</v>
      </c>
      <c r="AB94" s="19" t="n">
        <v>-410.9</v>
      </c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단기차입금의증가</t>
        </is>
      </c>
      <c r="E95" s="18" t="n">
        <v>0</v>
      </c>
      <c r="F95" s="9" t="n"/>
      <c r="I95" s="18" t="n">
        <v>2800</v>
      </c>
      <c r="J95" s="18" t="n">
        <v>0</v>
      </c>
      <c r="K95" s="9" t="n"/>
      <c r="N95" s="18" t="n">
        <v>0</v>
      </c>
      <c r="O95" s="18" t="n">
        <v>0</v>
      </c>
      <c r="P95" s="9" t="n"/>
      <c r="U95" s="9" t="n"/>
      <c r="Y95" s="18" t="n">
        <v>0</v>
      </c>
      <c r="Z95" s="9" t="n"/>
      <c r="AB95" s="5" t="n"/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  <row r="96">
      <c r="A96" t="n">
        <v>1</v>
      </c>
      <c r="C96" t="inlineStr">
        <is>
          <t>장기차입금의증가</t>
        </is>
      </c>
      <c r="E96" s="18" t="n">
        <v>0</v>
      </c>
      <c r="F96" s="9" t="n"/>
      <c r="K96" s="9" t="n"/>
      <c r="P96" s="9" t="n"/>
      <c r="T96" s="18" t="n">
        <v>0</v>
      </c>
      <c r="U96" s="9" t="n"/>
      <c r="X96" s="18" t="n">
        <v>0</v>
      </c>
      <c r="Y96" s="18" t="n">
        <v>0</v>
      </c>
      <c r="Z96" s="9" t="n"/>
      <c r="AB96" s="5" t="n"/>
      <c r="AC96" s="10" t="n"/>
      <c r="AD96" s="10" t="n"/>
      <c r="AE96" s="11" t="n"/>
      <c r="AF96" s="10" t="n"/>
      <c r="AG96" s="10" t="n"/>
      <c r="AH96" s="10" t="n"/>
      <c r="AI96" s="10" t="n"/>
      <c r="AJ96" s="11" t="n"/>
      <c r="AK96" s="10" t="n"/>
      <c r="AL96" s="10" t="n"/>
      <c r="AM96" s="10" t="n"/>
      <c r="AN96" s="10" t="n"/>
      <c r="AO96" s="11" t="n"/>
    </row>
    <row r="97">
      <c r="A97" t="n">
        <v>1</v>
      </c>
      <c r="C97" t="inlineStr">
        <is>
          <t>장기차입금의감소</t>
        </is>
      </c>
      <c r="E97" s="18" t="n">
        <v>0</v>
      </c>
      <c r="F97" s="9" t="n"/>
      <c r="K97" s="9" t="n"/>
      <c r="P97" s="9" t="n"/>
      <c r="U97" s="9" t="n"/>
      <c r="Z97" s="9" t="n"/>
      <c r="AB97" s="5" t="n"/>
      <c r="AC97" s="10" t="n"/>
      <c r="AD97" s="10" t="n"/>
      <c r="AE97" s="11" t="n"/>
      <c r="AF97" s="10" t="n"/>
      <c r="AG97" s="10" t="n"/>
      <c r="AH97" s="10" t="n"/>
      <c r="AI97" s="10" t="n"/>
      <c r="AJ97" s="11" t="n"/>
      <c r="AK97" s="10" t="n"/>
      <c r="AL97" s="10" t="n"/>
      <c r="AM97" s="10" t="n"/>
      <c r="AN97" s="10" t="n"/>
      <c r="AO97" s="11" t="n"/>
    </row>
    <row r="98">
      <c r="A98" t="n">
        <v>1</v>
      </c>
      <c r="C98" t="inlineStr">
        <is>
          <t>유동성장기부채의감소</t>
        </is>
      </c>
      <c r="E98" s="18" t="n">
        <v>333.34</v>
      </c>
      <c r="F98" s="9" t="n"/>
      <c r="G98" s="18" t="n">
        <v>333.33</v>
      </c>
      <c r="H98" s="18" t="n">
        <v>333.34</v>
      </c>
      <c r="I98" s="18" t="n">
        <v>333.33</v>
      </c>
      <c r="J98" s="18" t="n">
        <v>111.11</v>
      </c>
      <c r="K98" s="37" t="n">
        <v>1111.11</v>
      </c>
      <c r="O98" s="18" t="n">
        <v>30.93</v>
      </c>
      <c r="P98" s="9" t="n"/>
      <c r="Q98" s="18" t="n">
        <v>23.61</v>
      </c>
      <c r="R98" s="18" t="n">
        <v>23.99</v>
      </c>
      <c r="S98" s="18" t="n">
        <v>24.54</v>
      </c>
      <c r="T98" s="18" t="n">
        <v>181.71</v>
      </c>
      <c r="U98" s="37" t="n">
        <v>253.85</v>
      </c>
      <c r="Z98" s="9" t="n"/>
      <c r="AB98" s="5" t="n"/>
      <c r="AC98" s="10" t="n"/>
      <c r="AD98" s="10" t="n"/>
      <c r="AE98" s="11" t="n"/>
      <c r="AF98" s="10" t="n"/>
      <c r="AG98" s="10" t="n"/>
      <c r="AH98" s="10" t="n"/>
      <c r="AI98" s="10" t="n"/>
      <c r="AJ98" s="11" t="n"/>
      <c r="AK98" s="10" t="n"/>
      <c r="AL98" s="10" t="n"/>
      <c r="AM98" s="10" t="n"/>
      <c r="AN98" s="10" t="n"/>
      <c r="AO98" s="11" t="n"/>
    </row>
    <row r="99">
      <c r="A99" t="n">
        <v>1</v>
      </c>
      <c r="C99" t="inlineStr">
        <is>
          <t>현금및현금성자산의증감</t>
        </is>
      </c>
      <c r="E99" s="18" t="n">
        <v>-2429.19</v>
      </c>
      <c r="F99" s="9" t="n"/>
      <c r="G99" s="18" t="n">
        <v>-134.19</v>
      </c>
      <c r="H99" s="18" t="n">
        <v>-285.52</v>
      </c>
      <c r="I99" s="18" t="n">
        <v>-315.93</v>
      </c>
      <c r="J99" s="18" t="n">
        <v>180.12</v>
      </c>
      <c r="K99" s="37" t="n">
        <v>-555.52</v>
      </c>
      <c r="L99" s="18" t="n">
        <v>-296.43</v>
      </c>
      <c r="M99" s="18" t="n">
        <v>1080.71</v>
      </c>
      <c r="N99" s="18" t="n">
        <v>-111.9</v>
      </c>
      <c r="O99" s="18" t="n">
        <v>-183.94</v>
      </c>
      <c r="P99" s="37" t="n">
        <v>488.44</v>
      </c>
      <c r="Q99" s="18" t="n">
        <v>11706.82</v>
      </c>
      <c r="R99" s="18" t="n">
        <v>3973.16</v>
      </c>
      <c r="S99" s="18" t="n">
        <v>-7054.94</v>
      </c>
      <c r="T99" s="18" t="n">
        <v>1495.51</v>
      </c>
      <c r="U99" s="37" t="n">
        <v>10120.55</v>
      </c>
      <c r="V99" s="18" t="n">
        <v>-3208.93</v>
      </c>
      <c r="W99" s="18" t="n">
        <v>-1912.44</v>
      </c>
      <c r="X99" s="18" t="n">
        <v>-3251.13</v>
      </c>
      <c r="Y99" s="18" t="n">
        <v>427.44</v>
      </c>
      <c r="Z99" s="37" t="n">
        <v>-7945.06</v>
      </c>
      <c r="AA99" s="18" t="n">
        <v>19222.66</v>
      </c>
      <c r="AB99" s="19" t="n">
        <v>-21860.84</v>
      </c>
      <c r="AC99" s="10" t="n"/>
      <c r="AD99" s="10" t="n"/>
      <c r="AE99" s="11" t="n"/>
      <c r="AF99" s="10" t="n"/>
      <c r="AG99" s="10" t="n"/>
      <c r="AH99" s="10" t="n"/>
      <c r="AI99" s="10" t="n"/>
      <c r="AJ99" s="11" t="n"/>
      <c r="AK99" s="10" t="n"/>
      <c r="AL99" s="10" t="n"/>
      <c r="AM99" s="10" t="n"/>
      <c r="AN99" s="10" t="n"/>
      <c r="AO99" s="11" t="n"/>
    </row>
    <row r="100">
      <c r="A100" t="n">
        <v>1</v>
      </c>
      <c r="C100" t="inlineStr">
        <is>
          <t>기말현금및현금성자산</t>
        </is>
      </c>
      <c r="E100" s="18" t="n">
        <v>-2429.18</v>
      </c>
      <c r="F100" s="9" t="n"/>
      <c r="G100" s="18" t="n">
        <v>1139.15</v>
      </c>
      <c r="H100" s="18" t="n">
        <v>-285.51</v>
      </c>
      <c r="I100" s="18" t="n">
        <v>-315.93</v>
      </c>
      <c r="J100" s="18" t="n">
        <v>180.12</v>
      </c>
      <c r="K100" s="37" t="n">
        <v>717.83</v>
      </c>
      <c r="L100" s="18" t="n">
        <v>421.39</v>
      </c>
      <c r="M100" s="18" t="n">
        <v>1080.71</v>
      </c>
      <c r="N100" s="18" t="n">
        <v>-111.89</v>
      </c>
      <c r="O100" s="18" t="n">
        <v>-183.94</v>
      </c>
      <c r="P100" s="37" t="n">
        <v>1206.27</v>
      </c>
      <c r="Q100" s="18" t="n">
        <v>12913.09</v>
      </c>
      <c r="R100" s="18" t="n">
        <v>3992.94</v>
      </c>
      <c r="S100" s="18" t="n">
        <v>-7114.77</v>
      </c>
      <c r="T100" s="18" t="n">
        <v>1535.55</v>
      </c>
      <c r="U100" s="37" t="n">
        <v>11326.81</v>
      </c>
      <c r="V100" s="18" t="n">
        <v>8117.89</v>
      </c>
      <c r="W100" s="18" t="n">
        <v>-1912.45</v>
      </c>
      <c r="X100" s="18" t="n">
        <v>-3251.13</v>
      </c>
      <c r="Y100" s="18" t="n">
        <v>427.44</v>
      </c>
      <c r="Z100" s="37" t="n">
        <v>3381.75</v>
      </c>
      <c r="AA100" s="18" t="n">
        <v>22604.41</v>
      </c>
      <c r="AB100" s="19" t="n">
        <v>-21860.84</v>
      </c>
      <c r="AC100" s="10" t="n"/>
      <c r="AD100" s="10" t="n"/>
      <c r="AE100" s="11" t="n"/>
      <c r="AF100" s="10" t="n"/>
      <c r="AG100" s="10" t="n"/>
      <c r="AH100" s="10" t="n"/>
      <c r="AI100" s="10" t="n"/>
      <c r="AJ100" s="11" t="n"/>
      <c r="AK100" s="10" t="n"/>
      <c r="AL100" s="10" t="n"/>
      <c r="AM100" s="10" t="n"/>
      <c r="AN100" s="10" t="n"/>
      <c r="AO100" s="11" t="n"/>
    </row>
    <row r="101">
      <c r="A101" t="n">
        <v>1</v>
      </c>
      <c r="C101" t="inlineStr">
        <is>
          <t>무형자산의증가</t>
        </is>
      </c>
      <c r="F101" s="9" t="n"/>
      <c r="G101" s="18" t="n">
        <v>20.2</v>
      </c>
      <c r="H101" s="18" t="n">
        <v>0</v>
      </c>
      <c r="I101" s="18" t="n">
        <v>9.6</v>
      </c>
      <c r="J101" s="18" t="n">
        <v>0</v>
      </c>
      <c r="K101" s="37" t="n">
        <v>29.8</v>
      </c>
      <c r="L101" s="18" t="n">
        <v>3.64</v>
      </c>
      <c r="M101" s="18" t="n">
        <v>0</v>
      </c>
      <c r="N101" s="18" t="n">
        <v>0</v>
      </c>
      <c r="O101" s="18" t="n">
        <v>0</v>
      </c>
      <c r="P101" s="37" t="n">
        <v>3.64</v>
      </c>
      <c r="U101" s="9" t="n"/>
      <c r="V101" s="18" t="n">
        <v>90.95999999999999</v>
      </c>
      <c r="W101" s="18" t="n">
        <v>0</v>
      </c>
      <c r="X101" s="18" t="n">
        <v>0</v>
      </c>
      <c r="Y101" s="18" t="n">
        <v>0</v>
      </c>
      <c r="Z101" s="37" t="n">
        <v>90.95999999999999</v>
      </c>
      <c r="AB101" s="5" t="n"/>
      <c r="AC101" s="10" t="n"/>
      <c r="AD101" s="10" t="n"/>
      <c r="AE101" s="11" t="n"/>
      <c r="AF101" s="10" t="n"/>
      <c r="AG101" s="10" t="n"/>
      <c r="AH101" s="10" t="n"/>
      <c r="AI101" s="10" t="n"/>
      <c r="AJ101" s="11" t="n"/>
      <c r="AK101" s="10" t="n"/>
      <c r="AL101" s="10" t="n"/>
      <c r="AM101" s="10" t="n"/>
      <c r="AN101" s="10" t="n"/>
      <c r="AO101" s="11" t="n"/>
    </row>
    <row r="102">
      <c r="A102" t="n">
        <v>1</v>
      </c>
      <c r="C102" t="inlineStr">
        <is>
          <t>단기차입금의감소</t>
        </is>
      </c>
      <c r="F102" s="9" t="n"/>
      <c r="J102" s="18" t="n">
        <v>800</v>
      </c>
      <c r="K102" s="9" t="n"/>
      <c r="L102" s="18" t="n">
        <v>300</v>
      </c>
      <c r="M102" s="18" t="n">
        <v>0</v>
      </c>
      <c r="N102" s="18" t="n">
        <v>1750</v>
      </c>
      <c r="O102" s="18" t="n">
        <v>950</v>
      </c>
      <c r="P102" s="37" t="n">
        <v>3000</v>
      </c>
      <c r="Q102" s="18" t="n">
        <v>2350</v>
      </c>
      <c r="R102" s="18" t="n">
        <v>1780</v>
      </c>
      <c r="S102" s="18" t="n">
        <v>8000</v>
      </c>
      <c r="U102" s="9" t="n"/>
      <c r="X102" s="18" t="n">
        <v>708.98</v>
      </c>
      <c r="Y102" s="18" t="n">
        <v>0</v>
      </c>
      <c r="Z102" s="9" t="n"/>
      <c r="AB102" s="5" t="n"/>
      <c r="AC102" s="10" t="n"/>
      <c r="AD102" s="10" t="n"/>
      <c r="AE102" s="11" t="n"/>
      <c r="AF102" s="10" t="n"/>
      <c r="AG102" s="10" t="n"/>
      <c r="AH102" s="10" t="n"/>
      <c r="AI102" s="10" t="n"/>
      <c r="AJ102" s="11" t="n"/>
      <c r="AK102" s="10" t="n"/>
      <c r="AL102" s="10" t="n"/>
      <c r="AM102" s="10" t="n"/>
      <c r="AN102" s="10" t="n"/>
      <c r="AO102" s="11" t="n"/>
    </row>
    <row r="103">
      <c r="A103" t="n">
        <v>1</v>
      </c>
      <c r="C103" t="inlineStr">
        <is>
          <t>리스부채의상환</t>
        </is>
      </c>
      <c r="F103" s="9" t="n"/>
      <c r="K103" s="9" t="n"/>
      <c r="N103" s="18" t="n">
        <v>78.09</v>
      </c>
      <c r="P103" s="9" t="n"/>
      <c r="U103" s="9" t="n"/>
      <c r="V103" s="18" t="n">
        <v>126.8</v>
      </c>
      <c r="W103" s="18" t="n">
        <v>105.14</v>
      </c>
      <c r="X103" s="18" t="n">
        <v>120.95</v>
      </c>
      <c r="Y103" s="18" t="n">
        <v>109.26</v>
      </c>
      <c r="Z103" s="37" t="n">
        <v>462.15</v>
      </c>
      <c r="AA103" s="18" t="n">
        <v>114.55</v>
      </c>
      <c r="AB103" s="19" t="n">
        <v>110.31</v>
      </c>
      <c r="AC103" s="10" t="n"/>
      <c r="AD103" s="10" t="n"/>
      <c r="AE103" s="11" t="n"/>
      <c r="AF103" s="10" t="n"/>
      <c r="AG103" s="10" t="n"/>
      <c r="AH103" s="10" t="n"/>
      <c r="AI103" s="10" t="n"/>
      <c r="AJ103" s="11" t="n"/>
      <c r="AK103" s="10" t="n"/>
      <c r="AL103" s="10" t="n"/>
      <c r="AM103" s="10" t="n"/>
      <c r="AN103" s="10" t="n"/>
      <c r="AO103" s="11" t="n"/>
    </row>
    <row r="104">
      <c r="A104" t="n">
        <v>1</v>
      </c>
      <c r="C104" t="inlineStr">
        <is>
          <t>자기주식의취득</t>
        </is>
      </c>
      <c r="F104" s="9" t="n"/>
      <c r="K104" s="9" t="n"/>
      <c r="N104" s="18" t="n">
        <v>0</v>
      </c>
      <c r="O104" s="18" t="n">
        <v>0</v>
      </c>
      <c r="P104" s="9" t="n"/>
      <c r="S104" s="18" t="n">
        <v>0.73</v>
      </c>
      <c r="T104" s="18" t="n">
        <v>0</v>
      </c>
      <c r="U104" s="9" t="n"/>
      <c r="Z104" s="9" t="n"/>
      <c r="AB104" s="5" t="n"/>
      <c r="AC104" s="10" t="n"/>
      <c r="AD104" s="10" t="n"/>
      <c r="AE104" s="11" t="n"/>
      <c r="AF104" s="10" t="n"/>
      <c r="AG104" s="10" t="n"/>
      <c r="AH104" s="10" t="n"/>
      <c r="AI104" s="10" t="n"/>
      <c r="AJ104" s="11" t="n"/>
      <c r="AK104" s="10" t="n"/>
      <c r="AL104" s="10" t="n"/>
      <c r="AM104" s="10" t="n"/>
      <c r="AN104" s="10" t="n"/>
      <c r="AO104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9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AB2" s="5" t="n"/>
    </row>
    <row r="3">
      <c r="B3" t="inlineStr">
        <is>
          <t>KS인더스트리(별)</t>
        </is>
      </c>
      <c r="C3" s="2" t="inlineStr">
        <is>
          <t>UPDATE: 26-10-11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26350.64</v>
      </c>
      <c r="F5" s="37" t="n">
        <v>26350.64</v>
      </c>
      <c r="G5" s="18" t="n">
        <v>21048.11</v>
      </c>
      <c r="H5" s="18" t="n">
        <v>28795.41</v>
      </c>
      <c r="I5" s="18" t="n">
        <v>28166.64</v>
      </c>
      <c r="J5" s="18" t="n">
        <v>26872.71</v>
      </c>
      <c r="K5" s="37" t="n">
        <v>26872.71</v>
      </c>
      <c r="L5" s="18" t="n">
        <v>29612.76</v>
      </c>
      <c r="M5" s="18" t="n">
        <v>28886.55</v>
      </c>
      <c r="N5" s="18" t="n">
        <v>27561.3</v>
      </c>
      <c r="O5" s="18" t="n">
        <v>18123.06</v>
      </c>
      <c r="P5" s="37" t="n">
        <v>18123.06</v>
      </c>
      <c r="Q5" s="18" t="n">
        <v>35868.79</v>
      </c>
      <c r="R5" s="18" t="n">
        <v>35419.29</v>
      </c>
      <c r="S5" s="18" t="n">
        <v>26472.57</v>
      </c>
      <c r="T5" s="18" t="n">
        <v>22896.7</v>
      </c>
      <c r="U5" s="37" t="n">
        <v>22896.7</v>
      </c>
      <c r="V5" s="18" t="n">
        <v>18857.18</v>
      </c>
      <c r="W5" s="18" t="n">
        <v>18489.99</v>
      </c>
      <c r="X5" s="18" t="n">
        <v>17218.14</v>
      </c>
      <c r="Y5" s="18" t="n">
        <v>14439.05</v>
      </c>
      <c r="Z5" s="37" t="n">
        <v>14439.05</v>
      </c>
      <c r="AA5" s="18" t="n">
        <v>32220.18</v>
      </c>
      <c r="AB5" s="19" t="n">
        <v>23080.42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1252.26</v>
      </c>
      <c r="F6" s="37" t="n">
        <v>1252.26</v>
      </c>
      <c r="G6" s="18" t="n">
        <v>1122.42</v>
      </c>
      <c r="H6" s="18" t="n">
        <v>834.63</v>
      </c>
      <c r="I6" s="18" t="n">
        <v>523.27</v>
      </c>
      <c r="J6" s="18" t="n">
        <v>703.39</v>
      </c>
      <c r="K6" s="37" t="n">
        <v>703.39</v>
      </c>
      <c r="L6" s="18" t="n">
        <v>406.99</v>
      </c>
      <c r="M6" s="18" t="n">
        <v>1488.37</v>
      </c>
      <c r="N6" s="18" t="n">
        <v>1375.67</v>
      </c>
      <c r="O6" s="18" t="n">
        <v>1193.21</v>
      </c>
      <c r="P6" s="37" t="n">
        <v>1193.21</v>
      </c>
      <c r="Q6" s="18" t="n">
        <v>12899.94</v>
      </c>
      <c r="R6" s="18" t="n">
        <v>16794.03</v>
      </c>
      <c r="S6" s="18" t="n">
        <v>9679.77</v>
      </c>
      <c r="T6" s="18" t="n">
        <v>10650.47</v>
      </c>
      <c r="U6" s="37" t="n">
        <v>10650.47</v>
      </c>
      <c r="V6" s="18" t="n">
        <v>7222.99</v>
      </c>
      <c r="W6" s="18" t="n">
        <v>5472.07</v>
      </c>
      <c r="X6" s="18" t="n">
        <v>2298.13</v>
      </c>
      <c r="Y6" s="18" t="n">
        <v>2456.36</v>
      </c>
      <c r="Z6" s="37" t="n">
        <v>2456.36</v>
      </c>
      <c r="AA6" s="18" t="n">
        <v>21379.59</v>
      </c>
      <c r="AB6" s="19" t="n">
        <v>479.77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매출채권및기타채권</t>
        </is>
      </c>
      <c r="E7" s="18" t="n">
        <v>2827.58</v>
      </c>
      <c r="F7" s="37" t="n">
        <v>2827.58</v>
      </c>
      <c r="G7" s="18" t="n">
        <v>3605.37</v>
      </c>
      <c r="H7" s="18" t="n">
        <v>6684.51</v>
      </c>
      <c r="I7" s="18" t="n">
        <v>8067.23</v>
      </c>
      <c r="J7" s="18" t="n">
        <v>8106.44</v>
      </c>
      <c r="K7" s="37" t="n">
        <v>8106.44</v>
      </c>
      <c r="L7" s="18" t="n">
        <v>7403.87</v>
      </c>
      <c r="M7" s="18" t="n">
        <v>6850.05</v>
      </c>
      <c r="N7" s="18" t="n">
        <v>5727.67</v>
      </c>
      <c r="O7" s="18" t="n">
        <v>4999.19</v>
      </c>
      <c r="P7" s="37" t="n">
        <v>4999.19</v>
      </c>
      <c r="Q7" s="18" t="n">
        <v>13006.1</v>
      </c>
      <c r="R7" s="18" t="n">
        <v>7705.42</v>
      </c>
      <c r="S7" s="18" t="n">
        <v>3010.83</v>
      </c>
      <c r="T7" s="18" t="n">
        <v>4339.23</v>
      </c>
      <c r="U7" s="37" t="n">
        <v>4339.23</v>
      </c>
      <c r="V7" s="18" t="n">
        <v>2022.44</v>
      </c>
      <c r="W7" s="18" t="n">
        <v>3601.15</v>
      </c>
      <c r="X7" s="18" t="n">
        <v>4645.49</v>
      </c>
      <c r="Y7" s="18" t="n">
        <v>4600.86</v>
      </c>
      <c r="Z7" s="37" t="n">
        <v>4600.86</v>
      </c>
      <c r="AA7" s="18" t="n">
        <v>3096.41</v>
      </c>
      <c r="AB7" s="19" t="n">
        <v>13756.25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재고자산</t>
        </is>
      </c>
      <c r="E8" s="18" t="n">
        <v>12149.58</v>
      </c>
      <c r="F8" s="37" t="n">
        <v>12149.58</v>
      </c>
      <c r="G8" s="18" t="n">
        <v>9706.18</v>
      </c>
      <c r="H8" s="18" t="n">
        <v>8440.08</v>
      </c>
      <c r="I8" s="18" t="n">
        <v>12617.06</v>
      </c>
      <c r="J8" s="18" t="n">
        <v>8553.1</v>
      </c>
      <c r="K8" s="37" t="n">
        <v>8553.1</v>
      </c>
      <c r="L8" s="18" t="n">
        <v>9161.58</v>
      </c>
      <c r="M8" s="18" t="n">
        <v>9465.48</v>
      </c>
      <c r="N8" s="18" t="n">
        <v>6995.26</v>
      </c>
      <c r="O8" s="18" t="n">
        <v>5571.81</v>
      </c>
      <c r="P8" s="37" t="n">
        <v>5571.81</v>
      </c>
      <c r="Q8" s="18" t="n">
        <v>5998.67</v>
      </c>
      <c r="R8" s="18" t="n">
        <v>6752.09</v>
      </c>
      <c r="S8" s="18" t="n">
        <v>6694.7</v>
      </c>
      <c r="T8" s="18" t="n">
        <v>6537.24</v>
      </c>
      <c r="U8" s="37" t="n">
        <v>6537.24</v>
      </c>
      <c r="V8" s="18" t="n">
        <v>6841.31</v>
      </c>
      <c r="W8" s="18" t="n">
        <v>6215.69</v>
      </c>
      <c r="X8" s="18" t="n">
        <v>6616.43</v>
      </c>
      <c r="Y8" s="18" t="n">
        <v>6346.35</v>
      </c>
      <c r="Z8" s="37" t="n">
        <v>6346.35</v>
      </c>
      <c r="AA8" s="18" t="n">
        <v>6672.22</v>
      </c>
      <c r="AB8" s="19" t="n">
        <v>7766.79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당기법인세자산(선급법인세)</t>
        </is>
      </c>
      <c r="E9" s="18" t="n">
        <v>1.03</v>
      </c>
      <c r="F9" s="37" t="n">
        <v>1.03</v>
      </c>
      <c r="G9" s="18" t="n">
        <v>2.09</v>
      </c>
      <c r="H9" s="18" t="n">
        <v>4.56</v>
      </c>
      <c r="I9" s="18" t="n">
        <v>5.33</v>
      </c>
      <c r="J9" s="18" t="n">
        <v>5.57</v>
      </c>
      <c r="K9" s="37" t="n">
        <v>5.57</v>
      </c>
      <c r="L9" s="18" t="n">
        <v>5.58</v>
      </c>
      <c r="M9" s="18" t="n">
        <v>0.53</v>
      </c>
      <c r="N9" s="18" t="n">
        <v>0.03</v>
      </c>
      <c r="P9" s="9" t="n"/>
      <c r="R9" s="18" t="n">
        <v>0.37</v>
      </c>
      <c r="S9" s="18" t="n">
        <v>13.99</v>
      </c>
      <c r="T9" s="18" t="n">
        <v>27.41</v>
      </c>
      <c r="U9" s="37" t="n">
        <v>27.41</v>
      </c>
      <c r="V9" s="18" t="n">
        <v>33.09</v>
      </c>
      <c r="W9" s="18" t="n">
        <v>9.98</v>
      </c>
      <c r="X9" s="18" t="n">
        <v>13.63</v>
      </c>
      <c r="Y9" s="18" t="n">
        <v>15.5</v>
      </c>
      <c r="Z9" s="37" t="n">
        <v>15.5</v>
      </c>
      <c r="AA9" s="18" t="n">
        <v>17.37</v>
      </c>
      <c r="AB9" s="19" t="n">
        <v>4.02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비유동자산</t>
        </is>
      </c>
      <c r="E10" s="18" t="n">
        <v>20543.74</v>
      </c>
      <c r="F10" s="37" t="n">
        <v>20543.74</v>
      </c>
      <c r="G10" s="18" t="n">
        <v>21961.53</v>
      </c>
      <c r="H10" s="18" t="n">
        <v>26299.28</v>
      </c>
      <c r="I10" s="18" t="n">
        <v>26657.65</v>
      </c>
      <c r="J10" s="18" t="n">
        <v>27303.21</v>
      </c>
      <c r="K10" s="37" t="n">
        <v>27303.21</v>
      </c>
      <c r="L10" s="18" t="n">
        <v>27000.56</v>
      </c>
      <c r="M10" s="18" t="n">
        <v>26177.09</v>
      </c>
      <c r="N10" s="18" t="n">
        <v>25701.34</v>
      </c>
      <c r="O10" s="18" t="n">
        <v>25433.84</v>
      </c>
      <c r="P10" s="37" t="n">
        <v>25433.84</v>
      </c>
      <c r="Q10" s="18" t="n">
        <v>16286.86</v>
      </c>
      <c r="R10" s="18" t="n">
        <v>7641.67</v>
      </c>
      <c r="S10" s="18" t="n">
        <v>29127.44</v>
      </c>
      <c r="T10" s="18" t="n">
        <v>40756.97</v>
      </c>
      <c r="U10" s="37" t="n">
        <v>40756.97</v>
      </c>
      <c r="V10" s="18" t="n">
        <v>47842.35</v>
      </c>
      <c r="W10" s="18" t="n">
        <v>46995.92</v>
      </c>
      <c r="X10" s="18" t="n">
        <v>45986.97</v>
      </c>
      <c r="Y10" s="18" t="n">
        <v>43767.83</v>
      </c>
      <c r="Z10" s="37" t="n">
        <v>43767.83</v>
      </c>
      <c r="AA10" s="18" t="n">
        <v>43473.64</v>
      </c>
      <c r="AB10" s="19" t="n">
        <v>52017.73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장기금융자산</t>
        </is>
      </c>
      <c r="E11" s="18" t="n">
        <v>28.76</v>
      </c>
      <c r="F11" s="37" t="n">
        <v>28.76</v>
      </c>
      <c r="G11" s="18" t="n">
        <v>34.76</v>
      </c>
      <c r="H11" s="18" t="n">
        <v>39.93</v>
      </c>
      <c r="J11" s="18" t="n">
        <v>158.58</v>
      </c>
      <c r="K11" s="37" t="n">
        <v>158.58</v>
      </c>
      <c r="L11" s="18" t="n">
        <v>93.13</v>
      </c>
      <c r="M11" s="18" t="n">
        <v>48.7</v>
      </c>
      <c r="O11" s="18" t="n">
        <v>237.48</v>
      </c>
      <c r="P11" s="37" t="n">
        <v>237.48</v>
      </c>
      <c r="Q11" s="18" t="n">
        <v>346.04</v>
      </c>
      <c r="S11" s="18" t="n">
        <v>4619.99</v>
      </c>
      <c r="T11" s="18" t="n">
        <v>2673.72</v>
      </c>
      <c r="U11" s="37" t="n">
        <v>2673.72</v>
      </c>
      <c r="V11" s="18" t="n">
        <v>5373.72</v>
      </c>
      <c r="W11" s="18" t="n">
        <v>5519.01</v>
      </c>
      <c r="X11" s="18" t="n">
        <v>4819.01</v>
      </c>
      <c r="Y11" s="18" t="n">
        <v>2876.81</v>
      </c>
      <c r="Z11" s="37" t="n">
        <v>2876.81</v>
      </c>
      <c r="AA11" s="18" t="n">
        <v>2876.2</v>
      </c>
      <c r="AB11" s="19" t="n">
        <v>2120.5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투자자산</t>
        </is>
      </c>
      <c r="E12" s="18" t="n">
        <v>50.9</v>
      </c>
      <c r="F12" s="37" t="n">
        <v>50.9</v>
      </c>
      <c r="G12" s="18" t="n">
        <v>56.9</v>
      </c>
      <c r="H12" s="18" t="n">
        <v>55.48</v>
      </c>
      <c r="I12" s="18" t="n">
        <v>15.55</v>
      </c>
      <c r="J12" s="18" t="n">
        <v>173.01</v>
      </c>
      <c r="K12" s="37" t="n">
        <v>173.01</v>
      </c>
      <c r="L12" s="18" t="n">
        <v>107.56</v>
      </c>
      <c r="M12" s="18" t="n">
        <v>62.47</v>
      </c>
      <c r="N12" s="18" t="n">
        <v>13.77</v>
      </c>
      <c r="O12" s="18" t="n">
        <v>250.64</v>
      </c>
      <c r="P12" s="37" t="n">
        <v>250.64</v>
      </c>
      <c r="Q12" s="18" t="n">
        <v>359.2</v>
      </c>
      <c r="R12" s="18" t="n">
        <v>112.13</v>
      </c>
      <c r="S12" s="18" t="n">
        <v>4732.12</v>
      </c>
      <c r="T12" s="18" t="n">
        <v>11593.76</v>
      </c>
      <c r="U12" s="37" t="n">
        <v>11593.76</v>
      </c>
      <c r="V12" s="18" t="n">
        <v>14293.76</v>
      </c>
      <c r="W12" s="18" t="n">
        <v>14342.8</v>
      </c>
      <c r="X12" s="18" t="n">
        <v>13642.8</v>
      </c>
      <c r="Y12" s="18" t="n">
        <v>11696.85</v>
      </c>
      <c r="Z12" s="37" t="n">
        <v>11696.85</v>
      </c>
      <c r="AA12" s="18" t="n">
        <v>11696.24</v>
      </c>
      <c r="AB12" s="19" t="n">
        <v>21214.77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종속기업및관계기업투자</t>
        </is>
      </c>
      <c r="E13" s="18" t="n">
        <v>22.14</v>
      </c>
      <c r="F13" s="37" t="n">
        <v>22.14</v>
      </c>
      <c r="G13" s="18" t="n">
        <v>22.14</v>
      </c>
      <c r="H13" s="18" t="n">
        <v>15.55</v>
      </c>
      <c r="I13" s="18" t="n">
        <v>15.55</v>
      </c>
      <c r="J13" s="18" t="n">
        <v>14.43</v>
      </c>
      <c r="K13" s="37" t="n">
        <v>14.43</v>
      </c>
      <c r="L13" s="18" t="n">
        <v>14.43</v>
      </c>
      <c r="M13" s="18" t="n">
        <v>13.77</v>
      </c>
      <c r="N13" s="18" t="n">
        <v>13.77</v>
      </c>
      <c r="O13" s="18" t="n">
        <v>13.16</v>
      </c>
      <c r="P13" s="37" t="n">
        <v>13.16</v>
      </c>
      <c r="Q13" s="18" t="n">
        <v>13.16</v>
      </c>
      <c r="R13" s="18" t="n">
        <v>112.13</v>
      </c>
      <c r="S13" s="18" t="n">
        <v>112.13</v>
      </c>
      <c r="T13" s="18" t="n">
        <v>8920.040000000001</v>
      </c>
      <c r="U13" s="37" t="n">
        <v>8920.040000000001</v>
      </c>
      <c r="V13" s="18" t="n">
        <v>8920.040000000001</v>
      </c>
      <c r="W13" s="18" t="n">
        <v>8823.790000000001</v>
      </c>
      <c r="X13" s="18" t="n">
        <v>8823.790000000001</v>
      </c>
      <c r="Y13" s="18" t="n">
        <v>8820.040000000001</v>
      </c>
      <c r="Z13" s="37" t="n">
        <v>8820.040000000001</v>
      </c>
      <c r="AA13" s="18" t="n">
        <v>8820.040000000001</v>
      </c>
      <c r="AB13" s="19" t="n">
        <v>19094.27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유형자산</t>
        </is>
      </c>
      <c r="E14" s="18" t="n">
        <v>16058.32</v>
      </c>
      <c r="F14" s="37" t="n">
        <v>16058.32</v>
      </c>
      <c r="G14" s="18" t="n">
        <v>17412.18</v>
      </c>
      <c r="H14" s="18" t="n">
        <v>18306.58</v>
      </c>
      <c r="I14" s="18" t="n">
        <v>18618.41</v>
      </c>
      <c r="J14" s="18" t="n">
        <v>18895.27</v>
      </c>
      <c r="K14" s="37" t="n">
        <v>18895.27</v>
      </c>
      <c r="L14" s="18" t="n">
        <v>18572.44</v>
      </c>
      <c r="M14" s="18" t="n">
        <v>17721.05</v>
      </c>
      <c r="N14" s="18" t="n">
        <v>17219.4</v>
      </c>
      <c r="O14" s="18" t="n">
        <v>16610.9</v>
      </c>
      <c r="P14" s="37" t="n">
        <v>16610.9</v>
      </c>
      <c r="Q14" s="18" t="n">
        <v>15239.23</v>
      </c>
      <c r="R14" s="18" t="n">
        <v>6160.38</v>
      </c>
      <c r="S14" s="18" t="n">
        <v>22787.77</v>
      </c>
      <c r="T14" s="18" t="n">
        <v>26976.29</v>
      </c>
      <c r="U14" s="37" t="n">
        <v>26976.29</v>
      </c>
      <c r="V14" s="18" t="n">
        <v>28160.77</v>
      </c>
      <c r="W14" s="18" t="n">
        <v>28308.55</v>
      </c>
      <c r="X14" s="18" t="n">
        <v>28068.18</v>
      </c>
      <c r="Y14" s="18" t="n">
        <v>27936.96</v>
      </c>
      <c r="Z14" s="37" t="n">
        <v>27936.96</v>
      </c>
      <c r="AA14" s="18" t="n">
        <v>27650.41</v>
      </c>
      <c r="AB14" s="19" t="n">
        <v>26569.1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무형자산</t>
        </is>
      </c>
      <c r="E15" s="18" t="n">
        <v>67.68000000000001</v>
      </c>
      <c r="F15" s="37" t="n">
        <v>67.68000000000001</v>
      </c>
      <c r="G15" s="18" t="n">
        <v>82.58</v>
      </c>
      <c r="H15" s="18" t="n">
        <v>76.59999999999999</v>
      </c>
      <c r="I15" s="18" t="n">
        <v>80.06</v>
      </c>
      <c r="J15" s="18" t="n">
        <v>196.89</v>
      </c>
      <c r="K15" s="37" t="n">
        <v>196.89</v>
      </c>
      <c r="L15" s="18" t="n">
        <v>186.69</v>
      </c>
      <c r="M15" s="18" t="n">
        <v>172.97</v>
      </c>
      <c r="N15" s="18" t="n">
        <v>161.69</v>
      </c>
      <c r="O15" s="18" t="n">
        <v>148.67</v>
      </c>
      <c r="P15" s="37" t="n">
        <v>148.67</v>
      </c>
      <c r="Q15" s="18" t="n">
        <v>135.66</v>
      </c>
      <c r="R15" s="18" t="n">
        <v>122.65</v>
      </c>
      <c r="S15" s="18" t="n">
        <v>109.64</v>
      </c>
      <c r="T15" s="18" t="n">
        <v>157.09</v>
      </c>
      <c r="U15" s="37" t="n">
        <v>157.09</v>
      </c>
      <c r="V15" s="18" t="n">
        <v>234.98</v>
      </c>
      <c r="W15" s="18" t="n">
        <v>219.09</v>
      </c>
      <c r="X15" s="18" t="n">
        <v>203.19</v>
      </c>
      <c r="Y15" s="18" t="n">
        <v>187.3</v>
      </c>
      <c r="Z15" s="37" t="n">
        <v>187.3</v>
      </c>
      <c r="AA15" s="18" t="n">
        <v>171.41</v>
      </c>
      <c r="AB15" s="19" t="n">
        <v>410.57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자산총계</t>
        </is>
      </c>
      <c r="E16" s="18" t="n">
        <v>46894.38</v>
      </c>
      <c r="F16" s="37" t="n">
        <v>46894.38</v>
      </c>
      <c r="G16" s="18" t="n">
        <v>43009.64</v>
      </c>
      <c r="H16" s="18" t="n">
        <v>55094.69</v>
      </c>
      <c r="I16" s="18" t="n">
        <v>54824.29</v>
      </c>
      <c r="J16" s="18" t="n">
        <v>54175.92</v>
      </c>
      <c r="K16" s="37" t="n">
        <v>54175.92</v>
      </c>
      <c r="L16" s="18" t="n">
        <v>56613.31</v>
      </c>
      <c r="M16" s="18" t="n">
        <v>55063.64</v>
      </c>
      <c r="N16" s="18" t="n">
        <v>53262.64</v>
      </c>
      <c r="O16" s="18" t="n">
        <v>43556.9</v>
      </c>
      <c r="P16" s="37" t="n">
        <v>43556.9</v>
      </c>
      <c r="Q16" s="18" t="n">
        <v>52155.65</v>
      </c>
      <c r="R16" s="18" t="n">
        <v>43060.96</v>
      </c>
      <c r="S16" s="18" t="n">
        <v>55600.02</v>
      </c>
      <c r="T16" s="18" t="n">
        <v>63653.67</v>
      </c>
      <c r="U16" s="37" t="n">
        <v>63653.67</v>
      </c>
      <c r="V16" s="18" t="n">
        <v>66699.53</v>
      </c>
      <c r="W16" s="18" t="n">
        <v>65485.9</v>
      </c>
      <c r="X16" s="18" t="n">
        <v>63205.11</v>
      </c>
      <c r="Y16" s="18" t="n">
        <v>58206.88</v>
      </c>
      <c r="Z16" s="37" t="n">
        <v>58206.88</v>
      </c>
      <c r="AA16" s="18" t="n">
        <v>75693.82000000001</v>
      </c>
      <c r="AB16" s="19" t="n">
        <v>75098.14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유동부채</t>
        </is>
      </c>
      <c r="E17" s="18" t="n">
        <v>20865.54</v>
      </c>
      <c r="F17" s="37" t="n">
        <v>20865.54</v>
      </c>
      <c r="G17" s="18" t="n">
        <v>18845.6</v>
      </c>
      <c r="H17" s="18" t="n">
        <v>32061.35</v>
      </c>
      <c r="I17" s="18" t="n">
        <v>35288.41</v>
      </c>
      <c r="J17" s="18" t="n">
        <v>42714.35</v>
      </c>
      <c r="K17" s="37" t="n">
        <v>42714.35</v>
      </c>
      <c r="L17" s="18" t="n">
        <v>46290.94</v>
      </c>
      <c r="M17" s="18" t="n">
        <v>41625.97</v>
      </c>
      <c r="N17" s="18" t="n">
        <v>39233.59</v>
      </c>
      <c r="O17" s="18" t="n">
        <v>27540.69</v>
      </c>
      <c r="P17" s="37" t="n">
        <v>27540.69</v>
      </c>
      <c r="Q17" s="18" t="n">
        <v>29806.24</v>
      </c>
      <c r="R17" s="18" t="n">
        <v>7073.1</v>
      </c>
      <c r="S17" s="18" t="n">
        <v>8657.76</v>
      </c>
      <c r="T17" s="18" t="n">
        <v>16928.97</v>
      </c>
      <c r="U17" s="37" t="n">
        <v>16928.97</v>
      </c>
      <c r="V17" s="18" t="n">
        <v>16806.95</v>
      </c>
      <c r="W17" s="18" t="n">
        <v>13210.27</v>
      </c>
      <c r="X17" s="18" t="n">
        <v>12597.99</v>
      </c>
      <c r="Y17" s="18" t="n">
        <v>11454.54</v>
      </c>
      <c r="Z17" s="37" t="n">
        <v>11454.54</v>
      </c>
      <c r="AA17" s="18" t="n">
        <v>22027.37</v>
      </c>
      <c r="AB17" s="19" t="n">
        <v>18121.01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매입채무및기타채무</t>
        </is>
      </c>
      <c r="E18" s="18" t="n">
        <v>8159.73</v>
      </c>
      <c r="F18" s="37" t="n">
        <v>8159.73</v>
      </c>
      <c r="G18" s="18" t="n">
        <v>7342.42</v>
      </c>
      <c r="H18" s="18" t="n">
        <v>9583.379999999999</v>
      </c>
      <c r="I18" s="18" t="n">
        <v>10071.16</v>
      </c>
      <c r="J18" s="18" t="n">
        <v>10939.39</v>
      </c>
      <c r="K18" s="37" t="n">
        <v>10939.39</v>
      </c>
      <c r="L18" s="18" t="n">
        <v>23479.72</v>
      </c>
      <c r="M18" s="18" t="n">
        <v>8796.299999999999</v>
      </c>
      <c r="N18" s="18" t="n">
        <v>7213.41</v>
      </c>
      <c r="O18" s="18" t="n">
        <v>5385.93</v>
      </c>
      <c r="P18" s="37" t="n">
        <v>5385.93</v>
      </c>
      <c r="Q18" s="18" t="n">
        <v>5031.62</v>
      </c>
      <c r="R18" s="18" t="n">
        <v>4145.25</v>
      </c>
      <c r="S18" s="18" t="n">
        <v>3309.31</v>
      </c>
      <c r="T18" s="18" t="n">
        <v>4965.52</v>
      </c>
      <c r="U18" s="37" t="n">
        <v>4965.52</v>
      </c>
      <c r="V18" s="18" t="n">
        <v>3707.41</v>
      </c>
      <c r="W18" s="18" t="n">
        <v>3862.23</v>
      </c>
      <c r="X18" s="18" t="n">
        <v>3824.53</v>
      </c>
      <c r="Y18" s="18" t="n">
        <v>3411.3</v>
      </c>
      <c r="Z18" s="37" t="n">
        <v>3411.3</v>
      </c>
      <c r="AA18" s="18" t="n">
        <v>3595.75</v>
      </c>
      <c r="AB18" s="19" t="n">
        <v>4440.36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단기차입금</t>
        </is>
      </c>
      <c r="E19" s="18" t="n">
        <v>4800</v>
      </c>
      <c r="F19" s="37" t="n">
        <v>4800</v>
      </c>
      <c r="G19" s="18" t="n">
        <v>4800</v>
      </c>
      <c r="H19" s="18" t="n">
        <v>6800</v>
      </c>
      <c r="I19" s="18" t="n">
        <v>7600</v>
      </c>
      <c r="J19" s="18" t="n">
        <v>6800</v>
      </c>
      <c r="K19" s="37" t="n">
        <v>6800</v>
      </c>
      <c r="L19" s="18" t="n">
        <v>6500</v>
      </c>
      <c r="M19" s="18" t="n">
        <v>6850</v>
      </c>
      <c r="N19" s="18" t="n">
        <v>5100</v>
      </c>
      <c r="O19" s="18" t="n">
        <v>5850</v>
      </c>
      <c r="P19" s="37" t="n">
        <v>5850</v>
      </c>
      <c r="Q19" s="18" t="n">
        <v>3500</v>
      </c>
      <c r="R19" s="18" t="n">
        <v>1720</v>
      </c>
      <c r="S19" s="18" t="n">
        <v>1720</v>
      </c>
      <c r="T19" s="18" t="n">
        <v>3000</v>
      </c>
      <c r="U19" s="37" t="n">
        <v>3000</v>
      </c>
      <c r="V19" s="18" t="n">
        <v>3000</v>
      </c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유동리스부채</t>
        </is>
      </c>
      <c r="E20" s="18" t="n">
        <v>511.42</v>
      </c>
      <c r="F20" s="37" t="n">
        <v>511.42</v>
      </c>
      <c r="G20" s="18" t="n">
        <v>516.3</v>
      </c>
      <c r="H20" s="18" t="n">
        <v>260.97</v>
      </c>
      <c r="I20" s="18" t="n">
        <v>263.75</v>
      </c>
      <c r="J20" s="18" t="n">
        <v>266.57</v>
      </c>
      <c r="K20" s="37" t="n">
        <v>266.57</v>
      </c>
      <c r="L20" s="18" t="n">
        <v>269.42</v>
      </c>
      <c r="M20" s="18" t="n">
        <v>272.3</v>
      </c>
      <c r="N20" s="18" t="n">
        <v>251.84</v>
      </c>
      <c r="P20" s="9" t="n"/>
      <c r="Q20" s="18" t="n">
        <v>833.96</v>
      </c>
      <c r="R20" s="18" t="n">
        <v>148.07</v>
      </c>
      <c r="S20" s="18" t="n">
        <v>252.14</v>
      </c>
      <c r="T20" s="18" t="n">
        <v>338.33</v>
      </c>
      <c r="U20" s="37" t="n">
        <v>338.33</v>
      </c>
      <c r="V20" s="18" t="n">
        <v>427.44</v>
      </c>
      <c r="W20" s="18" t="n">
        <v>352.81</v>
      </c>
      <c r="X20" s="18" t="n">
        <v>374.46</v>
      </c>
      <c r="Y20" s="18" t="n">
        <v>285.53</v>
      </c>
      <c r="Z20" s="37" t="n">
        <v>285.53</v>
      </c>
      <c r="AA20" s="18" t="n">
        <v>305.48</v>
      </c>
      <c r="AB20" s="19" t="n">
        <v>320.58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리스부채</t>
        </is>
      </c>
      <c r="E21" s="18" t="n">
        <v>1916.5</v>
      </c>
      <c r="F21" s="37" t="n">
        <v>1916.5</v>
      </c>
      <c r="G21" s="18" t="n">
        <v>1790.46</v>
      </c>
      <c r="H21" s="18" t="n">
        <v>851.99</v>
      </c>
      <c r="I21" s="18" t="n">
        <v>779.53</v>
      </c>
      <c r="J21" s="18" t="n">
        <v>714.64</v>
      </c>
      <c r="K21" s="37" t="n">
        <v>714.64</v>
      </c>
      <c r="L21" s="18" t="n">
        <v>649.0599999999999</v>
      </c>
      <c r="M21" s="18" t="n">
        <v>582.78</v>
      </c>
      <c r="N21" s="18" t="n">
        <v>540.6900000000001</v>
      </c>
      <c r="O21" s="18" t="n">
        <v>229.21</v>
      </c>
      <c r="P21" s="37" t="n">
        <v>229.21</v>
      </c>
      <c r="Q21" s="18" t="n">
        <v>1487.19</v>
      </c>
      <c r="R21" s="18" t="n">
        <v>276.75</v>
      </c>
      <c r="S21" s="18" t="n">
        <v>430.64</v>
      </c>
      <c r="T21" s="18" t="n">
        <v>586.84</v>
      </c>
      <c r="U21" s="37" t="n">
        <v>586.84</v>
      </c>
      <c r="V21" s="18" t="n">
        <v>693.54</v>
      </c>
      <c r="W21" s="18" t="n">
        <v>546.6799999999999</v>
      </c>
      <c r="X21" s="18" t="n">
        <v>542.72</v>
      </c>
      <c r="Y21" s="18" t="n">
        <v>470.53</v>
      </c>
      <c r="Z21" s="37" t="n">
        <v>470.53</v>
      </c>
      <c r="AA21" s="18" t="n">
        <v>592.54</v>
      </c>
      <c r="AB21" s="19" t="n">
        <v>641.64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단기금융부채</t>
        </is>
      </c>
      <c r="E22" s="18" t="n">
        <v>511.42</v>
      </c>
      <c r="F22" s="37" t="n">
        <v>511.42</v>
      </c>
      <c r="G22" s="18" t="n">
        <v>516.3</v>
      </c>
      <c r="H22" s="18" t="n">
        <v>3543.86</v>
      </c>
      <c r="I22" s="18" t="n">
        <v>2957.95</v>
      </c>
      <c r="J22" s="18" t="n">
        <v>266.57</v>
      </c>
      <c r="K22" s="37" t="n">
        <v>266.57</v>
      </c>
      <c r="L22" s="18" t="n">
        <v>269.42</v>
      </c>
      <c r="M22" s="18" t="n">
        <v>272.3</v>
      </c>
      <c r="N22" s="18" t="n">
        <v>251.84</v>
      </c>
      <c r="O22" s="18" t="n">
        <v>9540.93</v>
      </c>
      <c r="P22" s="37" t="n">
        <v>9540.93</v>
      </c>
      <c r="Q22" s="18" t="n">
        <v>833.96</v>
      </c>
      <c r="R22" s="18" t="n">
        <v>455.72</v>
      </c>
      <c r="S22" s="18" t="n">
        <v>2025.22</v>
      </c>
      <c r="T22" s="18" t="n">
        <v>3862.76</v>
      </c>
      <c r="U22" s="37" t="n">
        <v>3862.76</v>
      </c>
      <c r="V22" s="18" t="n">
        <v>4607.99</v>
      </c>
      <c r="W22" s="18" t="n">
        <v>3853.4</v>
      </c>
      <c r="X22" s="18" t="n">
        <v>3359.62</v>
      </c>
      <c r="Y22" s="18" t="n">
        <v>1495.36</v>
      </c>
      <c r="Z22" s="37" t="n">
        <v>1495.36</v>
      </c>
      <c r="AA22" s="18" t="n">
        <v>10913.61</v>
      </c>
      <c r="AB22" s="19" t="n">
        <v>5697.2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유동성장기부채</t>
        </is>
      </c>
      <c r="E23" s="18" t="n">
        <v>3111.11</v>
      </c>
      <c r="F23" s="37" t="n">
        <v>3111.11</v>
      </c>
      <c r="G23" s="18" t="n">
        <v>2777.78</v>
      </c>
      <c r="H23" s="18" t="n">
        <v>9079.129999999999</v>
      </c>
      <c r="I23" s="18" t="n">
        <v>9091.059999999999</v>
      </c>
      <c r="J23" s="18" t="n">
        <v>9344.25</v>
      </c>
      <c r="K23" s="37" t="n">
        <v>9344.25</v>
      </c>
      <c r="L23" s="18" t="n">
        <v>2000</v>
      </c>
      <c r="M23" s="18" t="n">
        <v>6349.16</v>
      </c>
      <c r="N23" s="18" t="n">
        <v>6704.54</v>
      </c>
      <c r="O23" s="18" t="n">
        <v>5220.13</v>
      </c>
      <c r="P23" s="37" t="n">
        <v>5220.13</v>
      </c>
      <c r="Q23" s="18" t="n">
        <v>5661.06</v>
      </c>
      <c r="R23" s="18" t="n">
        <v>245.31</v>
      </c>
      <c r="S23" s="18" t="n">
        <v>984.28</v>
      </c>
      <c r="T23" s="18" t="n">
        <v>4624.32</v>
      </c>
      <c r="U23" s="37" t="n">
        <v>4624.32</v>
      </c>
      <c r="V23" s="18" t="n">
        <v>5180.44</v>
      </c>
      <c r="W23" s="18" t="n">
        <v>5202.76</v>
      </c>
      <c r="X23" s="18" t="n">
        <v>4817.79</v>
      </c>
      <c r="Y23" s="18" t="n">
        <v>5304.72</v>
      </c>
      <c r="Z23" s="37" t="n">
        <v>5304.72</v>
      </c>
      <c r="AA23" s="18" t="n">
        <v>6280.79</v>
      </c>
      <c r="AB23" s="19" t="n">
        <v>6669.78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비유동부채</t>
        </is>
      </c>
      <c r="E24" s="18" t="n">
        <v>1457.42</v>
      </c>
      <c r="F24" s="37" t="n">
        <v>1457.42</v>
      </c>
      <c r="G24" s="18" t="n">
        <v>1376.43</v>
      </c>
      <c r="H24" s="18" t="n">
        <v>794.59</v>
      </c>
      <c r="I24" s="18" t="n">
        <v>568.71</v>
      </c>
      <c r="J24" s="18" t="n">
        <v>448.07</v>
      </c>
      <c r="K24" s="37" t="n">
        <v>448.07</v>
      </c>
      <c r="L24" s="18" t="n">
        <v>379.64</v>
      </c>
      <c r="M24" s="18" t="n">
        <v>310.48</v>
      </c>
      <c r="N24" s="18" t="n">
        <v>354.92</v>
      </c>
      <c r="O24" s="18" t="n">
        <v>386.28</v>
      </c>
      <c r="P24" s="37" t="n">
        <v>386.28</v>
      </c>
      <c r="Q24" s="18" t="n">
        <v>785.15</v>
      </c>
      <c r="R24" s="18" t="n">
        <v>234.68</v>
      </c>
      <c r="S24" s="18" t="n">
        <v>10005.28</v>
      </c>
      <c r="T24" s="18" t="n">
        <v>10221.95</v>
      </c>
      <c r="U24" s="37" t="n">
        <v>10221.95</v>
      </c>
      <c r="V24" s="18" t="n">
        <v>10258.58</v>
      </c>
      <c r="W24" s="18" t="n">
        <v>14152.26</v>
      </c>
      <c r="X24" s="18" t="n">
        <v>14126.65</v>
      </c>
      <c r="Y24" s="18" t="n">
        <v>12185</v>
      </c>
      <c r="Z24" s="37" t="n">
        <v>12185</v>
      </c>
      <c r="AA24" s="18" t="n">
        <v>12287.06</v>
      </c>
      <c r="AB24" s="19" t="n">
        <v>12321.06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확정급여부채</t>
        </is>
      </c>
      <c r="E25" s="18" t="n">
        <v>37.34</v>
      </c>
      <c r="F25" s="37" t="n">
        <v>37.34</v>
      </c>
      <c r="G25" s="18" t="n">
        <v>102.27</v>
      </c>
      <c r="H25" s="18" t="n">
        <v>203.56</v>
      </c>
      <c r="I25" s="18" t="n">
        <v>52.93</v>
      </c>
      <c r="K25" s="9" t="n"/>
      <c r="N25" s="18" t="n">
        <v>66.06999999999999</v>
      </c>
      <c r="P25" s="9" t="n"/>
      <c r="U25" s="9" t="n"/>
      <c r="Z25" s="9" t="n"/>
      <c r="AB25" s="5" t="n"/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비유동리스부채</t>
        </is>
      </c>
      <c r="E26" s="18" t="n">
        <v>1405.08</v>
      </c>
      <c r="F26" s="37" t="n">
        <v>1405.08</v>
      </c>
      <c r="G26" s="18" t="n">
        <v>1274.16</v>
      </c>
      <c r="H26" s="18" t="n">
        <v>591.02</v>
      </c>
      <c r="I26" s="18" t="n">
        <v>515.78</v>
      </c>
      <c r="J26" s="18" t="n">
        <v>448.07</v>
      </c>
      <c r="K26" s="37" t="n">
        <v>448.07</v>
      </c>
      <c r="L26" s="18" t="n">
        <v>379.64</v>
      </c>
      <c r="M26" s="18" t="n">
        <v>310.48</v>
      </c>
      <c r="N26" s="18" t="n">
        <v>288.85</v>
      </c>
      <c r="O26" s="18" t="n">
        <v>229.21</v>
      </c>
      <c r="P26" s="37" t="n">
        <v>229.21</v>
      </c>
      <c r="Q26" s="18" t="n">
        <v>653.23</v>
      </c>
      <c r="R26" s="18" t="n">
        <v>128.68</v>
      </c>
      <c r="S26" s="18" t="n">
        <v>178.5</v>
      </c>
      <c r="T26" s="18" t="n">
        <v>248.51</v>
      </c>
      <c r="U26" s="37" t="n">
        <v>248.51</v>
      </c>
      <c r="V26" s="18" t="n">
        <v>266.1</v>
      </c>
      <c r="W26" s="18" t="n">
        <v>193.87</v>
      </c>
      <c r="X26" s="18" t="n">
        <v>168.26</v>
      </c>
      <c r="Y26" s="18" t="n">
        <v>185</v>
      </c>
      <c r="Z26" s="37" t="n">
        <v>185</v>
      </c>
      <c r="AA26" s="18" t="n">
        <v>287.06</v>
      </c>
      <c r="AB26" s="19" t="n">
        <v>321.06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장기금융부채</t>
        </is>
      </c>
      <c r="E27" s="18" t="n">
        <v>1405.08</v>
      </c>
      <c r="F27" s="37" t="n">
        <v>1405.08</v>
      </c>
      <c r="G27" s="18" t="n">
        <v>1274.16</v>
      </c>
      <c r="H27" s="18" t="n">
        <v>591.02</v>
      </c>
      <c r="I27" s="18" t="n">
        <v>515.78</v>
      </c>
      <c r="J27" s="18" t="n">
        <v>448.07</v>
      </c>
      <c r="K27" s="37" t="n">
        <v>448.07</v>
      </c>
      <c r="L27" s="18" t="n">
        <v>379.64</v>
      </c>
      <c r="M27" s="18" t="n">
        <v>310.48</v>
      </c>
      <c r="N27" s="18" t="n">
        <v>288.85</v>
      </c>
      <c r="O27" s="18" t="n">
        <v>229.21</v>
      </c>
      <c r="P27" s="37" t="n">
        <v>229.21</v>
      </c>
      <c r="Q27" s="18" t="n">
        <v>653.23</v>
      </c>
      <c r="R27" s="18" t="n">
        <v>128.68</v>
      </c>
      <c r="S27" s="18" t="n">
        <v>1843.37</v>
      </c>
      <c r="T27" s="18" t="n">
        <v>2172.07</v>
      </c>
      <c r="U27" s="37" t="n">
        <v>2172.07</v>
      </c>
      <c r="V27" s="18" t="n">
        <v>2208.26</v>
      </c>
      <c r="W27" s="18" t="n">
        <v>1579.99</v>
      </c>
      <c r="X27" s="18" t="n">
        <v>1554.38</v>
      </c>
      <c r="Y27" s="18" t="n">
        <v>185</v>
      </c>
      <c r="Z27" s="37" t="n">
        <v>185</v>
      </c>
      <c r="AA27" s="18" t="n">
        <v>287.06</v>
      </c>
      <c r="AB27" s="19" t="n">
        <v>321.06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기타비유동부채</t>
        </is>
      </c>
      <c r="E28" s="18" t="n">
        <v>15</v>
      </c>
      <c r="F28" s="37" t="n">
        <v>15</v>
      </c>
      <c r="K28" s="9" t="n"/>
      <c r="P28" s="9" t="n"/>
      <c r="T28" s="18" t="n">
        <v>49.88</v>
      </c>
      <c r="U28" s="37" t="n">
        <v>49.88</v>
      </c>
      <c r="V28" s="18" t="n">
        <v>50.32</v>
      </c>
      <c r="Z28" s="9" t="n"/>
      <c r="AB28" s="5" t="n"/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부채총계</t>
        </is>
      </c>
      <c r="E29" s="18" t="n">
        <v>22322.96</v>
      </c>
      <c r="F29" s="37" t="n">
        <v>22322.96</v>
      </c>
      <c r="G29" s="18" t="n">
        <v>20222.03</v>
      </c>
      <c r="H29" s="18" t="n">
        <v>32855.93</v>
      </c>
      <c r="I29" s="18" t="n">
        <v>35857.12</v>
      </c>
      <c r="J29" s="18" t="n">
        <v>43162.43</v>
      </c>
      <c r="K29" s="37" t="n">
        <v>43162.43</v>
      </c>
      <c r="L29" s="18" t="n">
        <v>46670.59</v>
      </c>
      <c r="M29" s="18" t="n">
        <v>41936.45</v>
      </c>
      <c r="N29" s="18" t="n">
        <v>39588.51</v>
      </c>
      <c r="O29" s="18" t="n">
        <v>27926.98</v>
      </c>
      <c r="P29" s="37" t="n">
        <v>27926.98</v>
      </c>
      <c r="Q29" s="18" t="n">
        <v>30591.39</v>
      </c>
      <c r="R29" s="18" t="n">
        <v>7307.78</v>
      </c>
      <c r="S29" s="18" t="n">
        <v>18663.04</v>
      </c>
      <c r="T29" s="18" t="n">
        <v>27150.92</v>
      </c>
      <c r="U29" s="37" t="n">
        <v>27150.92</v>
      </c>
      <c r="V29" s="18" t="n">
        <v>27065.53</v>
      </c>
      <c r="W29" s="18" t="n">
        <v>27362.53</v>
      </c>
      <c r="X29" s="18" t="n">
        <v>26724.64</v>
      </c>
      <c r="Y29" s="18" t="n">
        <v>23639.54</v>
      </c>
      <c r="Z29" s="37" t="n">
        <v>23639.54</v>
      </c>
      <c r="AA29" s="18" t="n">
        <v>34314.42</v>
      </c>
      <c r="AB29" s="19" t="n">
        <v>30442.08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자본금</t>
        </is>
      </c>
      <c r="E30" s="18" t="n">
        <v>35875.4</v>
      </c>
      <c r="F30" s="37" t="n">
        <v>35875.4</v>
      </c>
      <c r="G30" s="18" t="n">
        <v>35875.4</v>
      </c>
      <c r="H30" s="18" t="n">
        <v>35875.4</v>
      </c>
      <c r="I30" s="18" t="n">
        <v>35875.4</v>
      </c>
      <c r="J30" s="18" t="n">
        <v>35875.4</v>
      </c>
      <c r="K30" s="37" t="n">
        <v>35875.4</v>
      </c>
      <c r="L30" s="18" t="n">
        <v>8968.85</v>
      </c>
      <c r="M30" s="18" t="n">
        <v>9389.719999999999</v>
      </c>
      <c r="N30" s="18" t="n">
        <v>9389.719999999999</v>
      </c>
      <c r="O30" s="18" t="n">
        <v>9389.719999999999</v>
      </c>
      <c r="P30" s="37" t="n">
        <v>9389.719999999999</v>
      </c>
      <c r="Q30" s="18" t="n">
        <v>11421.21</v>
      </c>
      <c r="R30" s="18" t="n">
        <v>15074.81</v>
      </c>
      <c r="S30" s="18" t="n">
        <v>15074.81</v>
      </c>
      <c r="T30" s="18" t="n">
        <v>15323.57</v>
      </c>
      <c r="U30" s="37" t="n">
        <v>15323.57</v>
      </c>
      <c r="V30" s="18" t="n">
        <v>16635.9</v>
      </c>
      <c r="W30" s="18" t="n">
        <v>16723.4</v>
      </c>
      <c r="X30" s="18" t="n">
        <v>16723.4</v>
      </c>
      <c r="Y30" s="18" t="n">
        <v>16723.4</v>
      </c>
      <c r="Z30" s="37" t="n">
        <v>16723.4</v>
      </c>
      <c r="AA30" s="18" t="n">
        <v>19820.97</v>
      </c>
      <c r="AB30" s="19" t="n">
        <v>19820.97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자본잉여금</t>
        </is>
      </c>
      <c r="E31" s="18" t="n">
        <v>41176.71</v>
      </c>
      <c r="F31" s="37" t="n">
        <v>41176.71</v>
      </c>
      <c r="G31" s="18" t="n">
        <v>41176.71</v>
      </c>
      <c r="H31" s="18" t="n">
        <v>41176.71</v>
      </c>
      <c r="I31" s="18" t="n">
        <v>41176.71</v>
      </c>
      <c r="J31" s="18" t="n">
        <v>41176.71</v>
      </c>
      <c r="K31" s="37" t="n">
        <v>41176.71</v>
      </c>
      <c r="L31" s="18" t="n">
        <v>41176.71</v>
      </c>
      <c r="M31" s="18" t="n">
        <v>41753.57</v>
      </c>
      <c r="N31" s="18" t="n">
        <v>41753.57</v>
      </c>
      <c r="O31" s="18" t="n">
        <v>41749.49</v>
      </c>
      <c r="P31" s="37" t="n">
        <v>41749.49</v>
      </c>
      <c r="Q31" s="18" t="n">
        <v>47718</v>
      </c>
      <c r="R31" s="18" t="n">
        <v>61845.21</v>
      </c>
      <c r="S31" s="18" t="n">
        <v>61845.21</v>
      </c>
      <c r="T31" s="18" t="n">
        <v>62577</v>
      </c>
      <c r="U31" s="37" t="n">
        <v>62577</v>
      </c>
      <c r="V31" s="18" t="n">
        <v>66255.64999999999</v>
      </c>
      <c r="W31" s="18" t="n">
        <v>66574.31</v>
      </c>
      <c r="X31" s="18" t="n">
        <v>66574.31</v>
      </c>
      <c r="Y31" s="18" t="n">
        <v>66574.31</v>
      </c>
      <c r="Z31" s="37" t="n">
        <v>66574.31</v>
      </c>
      <c r="AA31" s="18" t="n">
        <v>71480.34</v>
      </c>
      <c r="AB31" s="19" t="n">
        <v>71480.34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이익잉여금</t>
        </is>
      </c>
      <c r="E32" s="18" t="n">
        <v>-52480.69</v>
      </c>
      <c r="F32" s="37" t="n">
        <v>-52480.69</v>
      </c>
      <c r="G32" s="18" t="n">
        <v>-54264.5</v>
      </c>
      <c r="H32" s="18" t="n">
        <v>-54813.35</v>
      </c>
      <c r="I32" s="18" t="n">
        <v>-58084.94</v>
      </c>
      <c r="J32" s="18" t="n">
        <v>-66038.62</v>
      </c>
      <c r="K32" s="37" t="n">
        <v>-66038.62</v>
      </c>
      <c r="L32" s="18" t="n">
        <v>-40202.83</v>
      </c>
      <c r="M32" s="18" t="n">
        <v>-38012.03</v>
      </c>
      <c r="N32" s="18" t="n">
        <v>-37465.09</v>
      </c>
      <c r="O32" s="18" t="n">
        <v>-35509.29</v>
      </c>
      <c r="P32" s="37" t="n">
        <v>-35509.29</v>
      </c>
      <c r="Q32" s="18" t="n">
        <v>-37574.95</v>
      </c>
      <c r="R32" s="18" t="n">
        <v>-41130.31</v>
      </c>
      <c r="S32" s="18" t="n">
        <v>-39945.79</v>
      </c>
      <c r="T32" s="18" t="n">
        <v>-41363.24</v>
      </c>
      <c r="U32" s="37" t="n">
        <v>-41363.24</v>
      </c>
      <c r="V32" s="18" t="n">
        <v>-43224.98</v>
      </c>
      <c r="W32" s="18" t="n">
        <v>-45143.81</v>
      </c>
      <c r="X32" s="18" t="n">
        <v>-46788.77</v>
      </c>
      <c r="Y32" s="18" t="n">
        <v>-48693.39</v>
      </c>
      <c r="Z32" s="37" t="n">
        <v>-48693.39</v>
      </c>
      <c r="AA32" s="18" t="n">
        <v>-49884.67</v>
      </c>
      <c r="AB32" s="19" t="n">
        <v>-46607.99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자본총계</t>
        </is>
      </c>
      <c r="E33" s="18" t="n">
        <v>24571.42</v>
      </c>
      <c r="F33" s="37" t="n">
        <v>24571.42</v>
      </c>
      <c r="G33" s="18" t="n">
        <v>22787.61</v>
      </c>
      <c r="H33" s="18" t="n">
        <v>22238.76</v>
      </c>
      <c r="I33" s="18" t="n">
        <v>18967.17</v>
      </c>
      <c r="J33" s="18" t="n">
        <v>11013.49</v>
      </c>
      <c r="K33" s="37" t="n">
        <v>11013.49</v>
      </c>
      <c r="L33" s="18" t="n">
        <v>9942.73</v>
      </c>
      <c r="M33" s="18" t="n">
        <v>13127.19</v>
      </c>
      <c r="N33" s="18" t="n">
        <v>13674.13</v>
      </c>
      <c r="O33" s="18" t="n">
        <v>15629.93</v>
      </c>
      <c r="P33" s="37" t="n">
        <v>15629.93</v>
      </c>
      <c r="Q33" s="18" t="n">
        <v>21564.26</v>
      </c>
      <c r="R33" s="18" t="n">
        <v>35753.19</v>
      </c>
      <c r="S33" s="18" t="n">
        <v>36936.97</v>
      </c>
      <c r="T33" s="18" t="n">
        <v>36502.75</v>
      </c>
      <c r="U33" s="37" t="n">
        <v>36502.75</v>
      </c>
      <c r="V33" s="18" t="n">
        <v>39634</v>
      </c>
      <c r="W33" s="18" t="n">
        <v>38123.38</v>
      </c>
      <c r="X33" s="18" t="n">
        <v>36480.47</v>
      </c>
      <c r="Y33" s="18" t="n">
        <v>34567.35</v>
      </c>
      <c r="Z33" s="37" t="n">
        <v>34567.35</v>
      </c>
      <c r="AA33" s="18" t="n">
        <v>41379.4</v>
      </c>
      <c r="AB33" s="19" t="n">
        <v>44656.07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부채와자본총계</t>
        </is>
      </c>
      <c r="E34" s="18" t="n">
        <v>46894.38</v>
      </c>
      <c r="F34" s="37" t="n">
        <v>46894.38</v>
      </c>
      <c r="G34" s="18" t="n">
        <v>43009.64</v>
      </c>
      <c r="H34" s="18" t="n">
        <v>55094.69</v>
      </c>
      <c r="I34" s="18" t="n">
        <v>54824.29</v>
      </c>
      <c r="J34" s="18" t="n">
        <v>54175.92</v>
      </c>
      <c r="K34" s="37" t="n">
        <v>54175.92</v>
      </c>
      <c r="L34" s="18" t="n">
        <v>56613.31</v>
      </c>
      <c r="M34" s="18" t="n">
        <v>55063.64</v>
      </c>
      <c r="N34" s="18" t="n">
        <v>53262.64</v>
      </c>
      <c r="O34" s="18" t="n">
        <v>43556.9</v>
      </c>
      <c r="P34" s="37" t="n">
        <v>43556.9</v>
      </c>
      <c r="Q34" s="18" t="n">
        <v>52155.65</v>
      </c>
      <c r="R34" s="18" t="n">
        <v>43060.96</v>
      </c>
      <c r="S34" s="18" t="n">
        <v>55600.02</v>
      </c>
      <c r="T34" s="18" t="n">
        <v>63653.67</v>
      </c>
      <c r="U34" s="37" t="n">
        <v>63653.67</v>
      </c>
      <c r="V34" s="18" t="n">
        <v>66699.53</v>
      </c>
      <c r="W34" s="18" t="n">
        <v>65485.9</v>
      </c>
      <c r="X34" s="18" t="n">
        <v>63205.11</v>
      </c>
      <c r="Y34" s="18" t="n">
        <v>58206.88</v>
      </c>
      <c r="Z34" s="37" t="n">
        <v>58206.88</v>
      </c>
      <c r="AA34" s="18" t="n">
        <v>75693.82000000001</v>
      </c>
      <c r="AB34" s="19" t="n">
        <v>75098.14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지배주주지분</t>
        </is>
      </c>
      <c r="E35" s="18" t="n">
        <v>24571.42</v>
      </c>
      <c r="F35" s="37" t="n">
        <v>24571.42</v>
      </c>
      <c r="G35" s="18" t="n">
        <v>22787.61</v>
      </c>
      <c r="H35" s="18" t="n">
        <v>22238.76</v>
      </c>
      <c r="I35" s="18" t="n">
        <v>18967.17</v>
      </c>
      <c r="J35" s="18" t="n">
        <v>11013.49</v>
      </c>
      <c r="K35" s="37" t="n">
        <v>11013.49</v>
      </c>
      <c r="L35" s="18" t="n">
        <v>9942.73</v>
      </c>
      <c r="M35" s="18" t="n">
        <v>13127.19</v>
      </c>
      <c r="N35" s="18" t="n">
        <v>13674.13</v>
      </c>
      <c r="O35" s="18" t="n">
        <v>15629.93</v>
      </c>
      <c r="P35" s="37" t="n">
        <v>15629.93</v>
      </c>
      <c r="Q35" s="18" t="n">
        <v>21564.26</v>
      </c>
      <c r="R35" s="18" t="n">
        <v>35753.19</v>
      </c>
      <c r="S35" s="18" t="n">
        <v>36936.97</v>
      </c>
      <c r="T35" s="18" t="n">
        <v>36502.75</v>
      </c>
      <c r="U35" s="37" t="n">
        <v>36502.75</v>
      </c>
      <c r="V35" s="18" t="n">
        <v>39634</v>
      </c>
      <c r="W35" s="18" t="n">
        <v>38123.38</v>
      </c>
      <c r="X35" s="18" t="n">
        <v>36480.47</v>
      </c>
      <c r="Y35" s="18" t="n">
        <v>34567.35</v>
      </c>
      <c r="Z35" s="37" t="n">
        <v>34567.35</v>
      </c>
      <c r="AA35" s="18" t="n">
        <v>41379.4</v>
      </c>
      <c r="AB35" s="19" t="n">
        <v>44656.07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총차입금</t>
        </is>
      </c>
      <c r="E36" s="18" t="n">
        <v>7911.11</v>
      </c>
      <c r="F36" s="37" t="n">
        <v>7911.11</v>
      </c>
      <c r="G36" s="18" t="n">
        <v>7577.78</v>
      </c>
      <c r="H36" s="18" t="n">
        <v>15879.13</v>
      </c>
      <c r="I36" s="18" t="n">
        <v>16691.06</v>
      </c>
      <c r="J36" s="18" t="n">
        <v>16144.25</v>
      </c>
      <c r="K36" s="37" t="n">
        <v>16144.25</v>
      </c>
      <c r="L36" s="18" t="n">
        <v>8500</v>
      </c>
      <c r="M36" s="18" t="n">
        <v>13199.16</v>
      </c>
      <c r="N36" s="18" t="n">
        <v>11804.54</v>
      </c>
      <c r="O36" s="18" t="n">
        <v>11227.2</v>
      </c>
      <c r="P36" s="37" t="n">
        <v>11227.2</v>
      </c>
      <c r="Q36" s="18" t="n">
        <v>9292.98</v>
      </c>
      <c r="R36" s="18" t="n">
        <v>2071.31</v>
      </c>
      <c r="S36" s="18" t="n">
        <v>2704.28</v>
      </c>
      <c r="T36" s="18" t="n">
        <v>15624.32</v>
      </c>
      <c r="U36" s="37" t="n">
        <v>15624.32</v>
      </c>
      <c r="V36" s="18" t="n">
        <v>16180.44</v>
      </c>
      <c r="W36" s="18" t="n">
        <v>17202.76</v>
      </c>
      <c r="X36" s="18" t="n">
        <v>16817.79</v>
      </c>
      <c r="Y36" s="18" t="n">
        <v>17304.72</v>
      </c>
      <c r="Z36" s="37" t="n">
        <v>17304.72</v>
      </c>
      <c r="AA36" s="18" t="n">
        <v>18280.79</v>
      </c>
      <c r="AB36" s="19" t="n">
        <v>18669.78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순차입금</t>
        </is>
      </c>
      <c r="E37" s="18" t="n">
        <v>6658.85</v>
      </c>
      <c r="F37" s="37" t="n">
        <v>6658.85</v>
      </c>
      <c r="G37" s="18" t="n">
        <v>6455.36</v>
      </c>
      <c r="H37" s="18" t="n">
        <v>13044.5</v>
      </c>
      <c r="I37" s="18" t="n">
        <v>16167.79</v>
      </c>
      <c r="J37" s="18" t="n">
        <v>15440.86</v>
      </c>
      <c r="K37" s="37" t="n">
        <v>15440.86</v>
      </c>
      <c r="L37" s="18" t="n">
        <v>8093.01</v>
      </c>
      <c r="M37" s="18" t="n">
        <v>11710.79</v>
      </c>
      <c r="N37" s="18" t="n">
        <v>10428.87</v>
      </c>
      <c r="O37" s="18" t="n">
        <v>10033.99</v>
      </c>
      <c r="P37" s="37" t="n">
        <v>10033.99</v>
      </c>
      <c r="Q37" s="18" t="n">
        <v>-3606.96</v>
      </c>
      <c r="R37" s="18" t="n">
        <v>-14722.72</v>
      </c>
      <c r="S37" s="18" t="n">
        <v>-6975.49</v>
      </c>
      <c r="T37" s="18" t="n">
        <v>4973.85</v>
      </c>
      <c r="U37" s="37" t="n">
        <v>4973.85</v>
      </c>
      <c r="V37" s="18" t="n">
        <v>8957.450000000001</v>
      </c>
      <c r="W37" s="18" t="n">
        <v>11730.69</v>
      </c>
      <c r="X37" s="18" t="n">
        <v>14519.66</v>
      </c>
      <c r="Y37" s="18" t="n">
        <v>14848.36</v>
      </c>
      <c r="Z37" s="37" t="n">
        <v>14848.36</v>
      </c>
      <c r="AA37" s="18" t="n">
        <v>-3098.8</v>
      </c>
      <c r="AB37" s="19" t="n">
        <v>18190.01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이자발생자산</t>
        </is>
      </c>
      <c r="E38" s="18" t="n">
        <v>1281.02</v>
      </c>
      <c r="F38" s="37" t="n">
        <v>1281.02</v>
      </c>
      <c r="G38" s="18" t="n">
        <v>1157.18</v>
      </c>
      <c r="H38" s="18" t="n">
        <v>2874.56</v>
      </c>
      <c r="I38" s="18" t="n">
        <v>523.27</v>
      </c>
      <c r="J38" s="18" t="n">
        <v>861.97</v>
      </c>
      <c r="K38" s="37" t="n">
        <v>861.97</v>
      </c>
      <c r="L38" s="18" t="n">
        <v>500.12</v>
      </c>
      <c r="M38" s="18" t="n">
        <v>1537.07</v>
      </c>
      <c r="N38" s="18" t="n">
        <v>1375.67</v>
      </c>
      <c r="O38" s="18" t="n">
        <v>1430.69</v>
      </c>
      <c r="P38" s="37" t="n">
        <v>1430.69</v>
      </c>
      <c r="Q38" s="18" t="n">
        <v>13245.98</v>
      </c>
      <c r="R38" s="18" t="n">
        <v>16794.03</v>
      </c>
      <c r="S38" s="18" t="n">
        <v>14299.76</v>
      </c>
      <c r="T38" s="18" t="n">
        <v>13324.19</v>
      </c>
      <c r="U38" s="37" t="n">
        <v>13324.19</v>
      </c>
      <c r="V38" s="18" t="n">
        <v>12596.71</v>
      </c>
      <c r="W38" s="18" t="n">
        <v>10991.08</v>
      </c>
      <c r="X38" s="18" t="n">
        <v>7117.14</v>
      </c>
      <c r="Y38" s="18" t="n">
        <v>5333.17</v>
      </c>
      <c r="Z38" s="37" t="n">
        <v>5333.17</v>
      </c>
      <c r="AA38" s="18" t="n">
        <v>24255.79</v>
      </c>
      <c r="AB38" s="19" t="n">
        <v>2600.27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단기금융상품</t>
        </is>
      </c>
      <c r="F39" s="9" t="n"/>
      <c r="H39" s="18" t="n">
        <v>2000</v>
      </c>
      <c r="K39" s="9" t="n"/>
      <c r="P39" s="9" t="n"/>
      <c r="U39" s="9" t="n"/>
      <c r="Z39" s="9" t="n"/>
      <c r="AB39" s="5" t="n"/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단기금융자산</t>
        </is>
      </c>
      <c r="F40" s="9" t="n"/>
      <c r="H40" s="18" t="n">
        <v>2000</v>
      </c>
      <c r="K40" s="9" t="n"/>
      <c r="P40" s="9" t="n"/>
      <c r="U40" s="9" t="n"/>
      <c r="Z40" s="9" t="n"/>
      <c r="AB40" s="5" t="n"/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단기파생상품부채</t>
        </is>
      </c>
      <c r="F41" s="9" t="n"/>
      <c r="H41" s="18" t="n">
        <v>3282.89</v>
      </c>
      <c r="I41" s="18" t="n">
        <v>2694.2</v>
      </c>
      <c r="K41" s="9" t="n"/>
      <c r="O41" s="18" t="n">
        <v>9540.93</v>
      </c>
      <c r="P41" s="37" t="n">
        <v>9540.93</v>
      </c>
      <c r="R41" s="18" t="n">
        <v>307.65</v>
      </c>
      <c r="S41" s="18" t="n">
        <v>1773.08</v>
      </c>
      <c r="T41" s="18" t="n">
        <v>3524.43</v>
      </c>
      <c r="U41" s="37" t="n">
        <v>3524.43</v>
      </c>
      <c r="V41" s="18" t="n">
        <v>4180.55</v>
      </c>
      <c r="Y41" s="18" t="n">
        <v>1209.83</v>
      </c>
      <c r="Z41" s="37" t="n">
        <v>1209.83</v>
      </c>
      <c r="AA41" s="18" t="n">
        <v>10608.13</v>
      </c>
      <c r="AB41" s="19" t="n">
        <v>5376.62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기타유동자산</t>
        </is>
      </c>
      <c r="F42" s="9" t="n"/>
      <c r="K42" s="9" t="n"/>
      <c r="M42" s="18" t="n">
        <v>11082.11</v>
      </c>
      <c r="N42" s="18" t="n">
        <v>13462.67</v>
      </c>
      <c r="O42" s="18" t="n">
        <v>6358.86</v>
      </c>
      <c r="P42" s="37" t="n">
        <v>6358.86</v>
      </c>
      <c r="R42" s="18" t="n">
        <v>4008.23</v>
      </c>
      <c r="S42" s="18" t="n">
        <v>6648.48</v>
      </c>
      <c r="T42" s="18" t="n">
        <v>902.61</v>
      </c>
      <c r="U42" s="37" t="n">
        <v>902.61</v>
      </c>
      <c r="V42" s="18" t="n">
        <v>2304.02</v>
      </c>
      <c r="W42" s="18" t="n">
        <v>2727.96</v>
      </c>
      <c r="X42" s="18" t="n">
        <v>3180.57</v>
      </c>
      <c r="Y42" s="18" t="n">
        <v>845.64</v>
      </c>
      <c r="Z42" s="37" t="n">
        <v>845.64</v>
      </c>
      <c r="AA42" s="18" t="n">
        <v>875.02</v>
      </c>
      <c r="AB42" s="19" t="n">
        <v>1073.59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기타유동부채</t>
        </is>
      </c>
      <c r="F43" s="9" t="n"/>
      <c r="K43" s="9" t="n"/>
      <c r="M43" s="18" t="n">
        <v>10235.16</v>
      </c>
      <c r="N43" s="18" t="n">
        <v>10173.16</v>
      </c>
      <c r="O43" s="18" t="n">
        <v>1173.49</v>
      </c>
      <c r="P43" s="37" t="n">
        <v>1173.49</v>
      </c>
      <c r="R43" s="18" t="n">
        <v>506.82</v>
      </c>
      <c r="S43" s="18" t="n">
        <v>618.95</v>
      </c>
      <c r="T43" s="18" t="n">
        <v>476.36</v>
      </c>
      <c r="U43" s="37" t="n">
        <v>476.36</v>
      </c>
      <c r="V43" s="18" t="n">
        <v>311.11</v>
      </c>
      <c r="W43" s="18" t="n">
        <v>291.88</v>
      </c>
      <c r="X43" s="18" t="n">
        <v>596.02</v>
      </c>
      <c r="Y43" s="18" t="n">
        <v>630</v>
      </c>
      <c r="Z43" s="37" t="n">
        <v>630</v>
      </c>
      <c r="AA43" s="18" t="n">
        <v>602.71</v>
      </c>
      <c r="AB43" s="19" t="n">
        <v>656.85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기타자본</t>
        </is>
      </c>
      <c r="F44" s="9" t="n"/>
      <c r="K44" s="9" t="n"/>
      <c r="M44" s="18" t="n">
        <v>-4.08</v>
      </c>
      <c r="N44" s="18" t="n">
        <v>-4.08</v>
      </c>
      <c r="P44" s="9" t="n"/>
      <c r="R44" s="18" t="n">
        <v>-36.53</v>
      </c>
      <c r="S44" s="18" t="n">
        <v>-37.25</v>
      </c>
      <c r="T44" s="18" t="n">
        <v>-34.57</v>
      </c>
      <c r="U44" s="37" t="n">
        <v>-34.57</v>
      </c>
      <c r="V44" s="18" t="n">
        <v>-32.56</v>
      </c>
      <c r="W44" s="18" t="n">
        <v>-30.53</v>
      </c>
      <c r="X44" s="18" t="n">
        <v>-28.47</v>
      </c>
      <c r="Y44" s="18" t="n">
        <v>-36.97</v>
      </c>
      <c r="Z44" s="37" t="n">
        <v>-36.97</v>
      </c>
      <c r="AA44" s="18" t="n">
        <v>-37.25</v>
      </c>
      <c r="AB44" s="19" t="n">
        <v>-37.25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당기법인세부채(미지급법인세)</t>
        </is>
      </c>
      <c r="F45" s="9" t="n"/>
      <c r="K45" s="9" t="n"/>
      <c r="O45" s="18" t="n">
        <v>151.08</v>
      </c>
      <c r="P45" s="37" t="n">
        <v>151.08</v>
      </c>
      <c r="Q45" s="18" t="n">
        <v>198.04</v>
      </c>
      <c r="R45" s="18" t="n">
        <v>0</v>
      </c>
      <c r="U45" s="9" t="n"/>
      <c r="X45" s="18" t="n">
        <v>0.03</v>
      </c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장기차입금</t>
        </is>
      </c>
      <c r="F46" s="9" t="n"/>
      <c r="K46" s="9" t="n"/>
      <c r="O46" s="18" t="n">
        <v>157.07</v>
      </c>
      <c r="P46" s="37" t="n">
        <v>157.07</v>
      </c>
      <c r="Q46" s="18" t="n">
        <v>131.92</v>
      </c>
      <c r="R46" s="18" t="n">
        <v>106</v>
      </c>
      <c r="T46" s="18" t="n">
        <v>8000</v>
      </c>
      <c r="U46" s="37" t="n">
        <v>8000</v>
      </c>
      <c r="V46" s="18" t="n">
        <v>8000</v>
      </c>
      <c r="W46" s="18" t="n">
        <v>12000</v>
      </c>
      <c r="X46" s="18" t="n">
        <v>12000</v>
      </c>
      <c r="Y46" s="18" t="n">
        <v>12000</v>
      </c>
      <c r="Z46" s="37" t="n">
        <v>12000</v>
      </c>
      <c r="AA46" s="18" t="n">
        <v>12000</v>
      </c>
      <c r="AB46" s="19" t="n">
        <v>12000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단기투자자산(공정가치)</t>
        </is>
      </c>
      <c r="F47" s="9" t="n"/>
      <c r="K47" s="9" t="n"/>
      <c r="P47" s="9" t="n"/>
      <c r="R47" s="18" t="n">
        <v>159.16</v>
      </c>
      <c r="S47" s="18" t="n">
        <v>424.79</v>
      </c>
      <c r="T47" s="18" t="n">
        <v>439.75</v>
      </c>
      <c r="U47" s="37" t="n">
        <v>439.75</v>
      </c>
      <c r="V47" s="18" t="n">
        <v>433.33</v>
      </c>
      <c r="W47" s="18" t="n">
        <v>463.14</v>
      </c>
      <c r="X47" s="18" t="n">
        <v>463.87</v>
      </c>
      <c r="Z47" s="9" t="n"/>
      <c r="AA47" s="18" t="n">
        <v>179.58</v>
      </c>
      <c r="AB47" s="19" t="n">
        <v>0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사용권자산</t>
        </is>
      </c>
      <c r="F48" s="9" t="n"/>
      <c r="K48" s="9" t="n"/>
      <c r="P48" s="9" t="n"/>
      <c r="R48" s="18" t="n">
        <v>299.71</v>
      </c>
      <c r="S48" s="18" t="n">
        <v>461.03</v>
      </c>
      <c r="T48" s="18" t="n">
        <v>642.79</v>
      </c>
      <c r="U48" s="37" t="n">
        <v>642.79</v>
      </c>
      <c r="V48" s="18" t="n">
        <v>744.4</v>
      </c>
      <c r="W48" s="18" t="n">
        <v>584.13</v>
      </c>
      <c r="X48" s="18" t="n">
        <v>568.21</v>
      </c>
      <c r="Y48" s="18" t="n">
        <v>483.68</v>
      </c>
      <c r="Z48" s="37" t="n">
        <v>483.68</v>
      </c>
      <c r="AA48" s="18" t="n">
        <v>597.89</v>
      </c>
      <c r="AB48" s="19" t="n">
        <v>642.77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기타비유동자산</t>
        </is>
      </c>
      <c r="F49" s="9" t="n"/>
      <c r="K49" s="9" t="n"/>
      <c r="P49" s="9" t="n"/>
      <c r="R49" s="18" t="n">
        <v>447.12</v>
      </c>
      <c r="S49" s="18" t="n">
        <v>461.03</v>
      </c>
      <c r="T49" s="18" t="n">
        <v>972.05</v>
      </c>
      <c r="U49" s="37" t="n">
        <v>972.05</v>
      </c>
      <c r="V49" s="18" t="n">
        <v>857.59</v>
      </c>
      <c r="W49" s="18" t="n">
        <v>1249.69</v>
      </c>
      <c r="X49" s="18" t="n">
        <v>1176.75</v>
      </c>
      <c r="Y49" s="18" t="n">
        <v>1045.41</v>
      </c>
      <c r="Z49" s="37" t="n">
        <v>1045.41</v>
      </c>
      <c r="AA49" s="18" t="n">
        <v>1035.84</v>
      </c>
      <c r="AB49" s="19" t="n">
        <v>1067.18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장기매입채무및기타채무</t>
        </is>
      </c>
      <c r="F50" s="9" t="n"/>
      <c r="K50" s="9" t="n"/>
      <c r="P50" s="9" t="n"/>
      <c r="S50" s="18" t="n">
        <v>8080.05</v>
      </c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장기파생상품부채</t>
        </is>
      </c>
      <c r="F51" s="9" t="n"/>
      <c r="K51" s="9" t="n"/>
      <c r="P51" s="9" t="n"/>
      <c r="S51" s="18" t="n">
        <v>1664.87</v>
      </c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기타비유동금융부채</t>
        </is>
      </c>
      <c r="F52" s="9" t="n"/>
      <c r="K52" s="9" t="n"/>
      <c r="P52" s="9" t="n"/>
      <c r="T52" s="18" t="n">
        <v>1923.56</v>
      </c>
      <c r="U52" s="37" t="n">
        <v>1923.56</v>
      </c>
      <c r="V52" s="18" t="n">
        <v>1942.16</v>
      </c>
      <c r="W52" s="18" t="n">
        <v>1386.12</v>
      </c>
      <c r="X52" s="18" t="n">
        <v>1386.12</v>
      </c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기타유동금융부채</t>
        </is>
      </c>
      <c r="F53" s="9" t="n"/>
      <c r="K53" s="9" t="n"/>
      <c r="P53" s="9" t="n"/>
      <c r="U53" s="9" t="n"/>
      <c r="W53" s="18" t="n">
        <v>3500.59</v>
      </c>
      <c r="X53" s="18" t="n">
        <v>2985.16</v>
      </c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장기금융부채(face)</t>
        </is>
      </c>
      <c r="F54" s="9" t="n"/>
      <c r="K54" s="9" t="n"/>
      <c r="P54" s="9" t="n"/>
      <c r="U54" s="9" t="n"/>
      <c r="Z54" s="9" t="n"/>
      <c r="AA54" s="18" t="n">
        <v>12000</v>
      </c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매출액(수익)</t>
        </is>
      </c>
      <c r="E55" s="18" t="n">
        <v>8501.73</v>
      </c>
      <c r="F55" s="9" t="n"/>
      <c r="G55" s="18" t="n">
        <v>14734.67</v>
      </c>
      <c r="H55" s="18" t="n">
        <v>18706.69</v>
      </c>
      <c r="I55" s="18" t="n">
        <v>17176.15</v>
      </c>
      <c r="J55" s="18" t="n">
        <v>23811.88</v>
      </c>
      <c r="K55" s="37" t="n">
        <v>74429.39</v>
      </c>
      <c r="L55" s="18" t="n">
        <v>21526.67</v>
      </c>
      <c r="M55" s="18" t="n">
        <v>23408.9</v>
      </c>
      <c r="N55" s="18" t="n">
        <v>23294.52</v>
      </c>
      <c r="O55" s="18" t="n">
        <v>18121.3</v>
      </c>
      <c r="P55" s="37" t="n">
        <v>86351.39</v>
      </c>
      <c r="Q55" s="18" t="n">
        <v>15367.8</v>
      </c>
      <c r="R55" s="18" t="n">
        <v>5503.84</v>
      </c>
      <c r="S55" s="18" t="n">
        <v>6059.55</v>
      </c>
      <c r="T55" s="18" t="n">
        <v>6937.74</v>
      </c>
      <c r="U55" s="37" t="n">
        <v>33868.93</v>
      </c>
      <c r="V55" s="18" t="n">
        <v>7104.47</v>
      </c>
      <c r="W55" s="18" t="n">
        <v>8471.33</v>
      </c>
      <c r="X55" s="18" t="n">
        <v>7557.75</v>
      </c>
      <c r="Y55" s="18" t="n">
        <v>7760.26</v>
      </c>
      <c r="Z55" s="37" t="n">
        <v>30893.81</v>
      </c>
      <c r="AA55" s="18" t="n">
        <v>7980.48</v>
      </c>
      <c r="AB55" s="19" t="n">
        <v>7785.26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매출원가</t>
        </is>
      </c>
      <c r="E56" s="18" t="n">
        <v>11253.74</v>
      </c>
      <c r="F56" s="9" t="n"/>
      <c r="G56" s="18" t="n">
        <v>15572.74</v>
      </c>
      <c r="H56" s="18" t="n">
        <v>19449.38</v>
      </c>
      <c r="I56" s="18" t="n">
        <v>19874.92</v>
      </c>
      <c r="J56" s="18" t="n">
        <v>30638.83</v>
      </c>
      <c r="K56" s="37" t="n">
        <v>85535.87</v>
      </c>
      <c r="L56" s="18" t="n">
        <v>20490.95</v>
      </c>
      <c r="M56" s="18" t="n">
        <v>16524.19</v>
      </c>
      <c r="N56" s="18" t="n">
        <v>20829.35</v>
      </c>
      <c r="O56" s="18" t="n">
        <v>14128.64</v>
      </c>
      <c r="P56" s="37" t="n">
        <v>71973.13</v>
      </c>
      <c r="Q56" s="18" t="n">
        <v>11803.12</v>
      </c>
      <c r="R56" s="18" t="n">
        <v>3991.34</v>
      </c>
      <c r="S56" s="18" t="n">
        <v>6053.69</v>
      </c>
      <c r="T56" s="18" t="n">
        <v>6603.4</v>
      </c>
      <c r="U56" s="37" t="n">
        <v>28451.55</v>
      </c>
      <c r="V56" s="18" t="n">
        <v>6753.93</v>
      </c>
      <c r="W56" s="18" t="n">
        <v>7844.04</v>
      </c>
      <c r="X56" s="18" t="n">
        <v>6967.28</v>
      </c>
      <c r="Y56" s="18" t="n">
        <v>6804.78</v>
      </c>
      <c r="Z56" s="37" t="n">
        <v>28370.03</v>
      </c>
      <c r="AA56" s="18" t="n">
        <v>6263.46</v>
      </c>
      <c r="AB56" s="19" t="n">
        <v>6717.58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매출총이익</t>
        </is>
      </c>
      <c r="E57" s="18" t="n">
        <v>-2752.01</v>
      </c>
      <c r="F57" s="9" t="n"/>
      <c r="G57" s="18" t="n">
        <v>-838.0599999999999</v>
      </c>
      <c r="H57" s="18" t="n">
        <v>-742.6900000000001</v>
      </c>
      <c r="I57" s="18" t="n">
        <v>-2698.77</v>
      </c>
      <c r="J57" s="18" t="n">
        <v>-6826.94</v>
      </c>
      <c r="K57" s="37" t="n">
        <v>-11106.46</v>
      </c>
      <c r="L57" s="18" t="n">
        <v>1035.72</v>
      </c>
      <c r="M57" s="18" t="n">
        <v>6884.71</v>
      </c>
      <c r="N57" s="18" t="n">
        <v>2465.16</v>
      </c>
      <c r="O57" s="18" t="n">
        <v>3992.68</v>
      </c>
      <c r="P57" s="37" t="n">
        <v>14378.27</v>
      </c>
      <c r="Q57" s="18" t="n">
        <v>3564.68</v>
      </c>
      <c r="R57" s="18" t="n">
        <v>1512.5</v>
      </c>
      <c r="S57" s="18" t="n">
        <v>5.86</v>
      </c>
      <c r="T57" s="18" t="n">
        <v>334.34</v>
      </c>
      <c r="U57" s="37" t="n">
        <v>5417.38</v>
      </c>
      <c r="V57" s="18" t="n">
        <v>350.54</v>
      </c>
      <c r="W57" s="18" t="n">
        <v>627.29</v>
      </c>
      <c r="X57" s="18" t="n">
        <v>590.47</v>
      </c>
      <c r="Y57" s="18" t="n">
        <v>955.48</v>
      </c>
      <c r="Z57" s="37" t="n">
        <v>2523.78</v>
      </c>
      <c r="AA57" s="18" t="n">
        <v>1717.02</v>
      </c>
      <c r="AB57" s="19" t="n">
        <v>1067.68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판관비</t>
        </is>
      </c>
      <c r="E58" s="18" t="n">
        <v>812.58</v>
      </c>
      <c r="F58" s="9" t="n"/>
      <c r="G58" s="18" t="n">
        <v>852.63</v>
      </c>
      <c r="H58" s="18" t="n">
        <v>857.13</v>
      </c>
      <c r="I58" s="18" t="n">
        <v>820.92</v>
      </c>
      <c r="J58" s="18" t="n">
        <v>907.22</v>
      </c>
      <c r="K58" s="37" t="n">
        <v>3437.9</v>
      </c>
      <c r="L58" s="18" t="n">
        <v>830.1900000000001</v>
      </c>
      <c r="M58" s="18" t="n">
        <v>832.03</v>
      </c>
      <c r="N58" s="18" t="n">
        <v>808.08</v>
      </c>
      <c r="O58" s="18" t="n">
        <v>1042.66</v>
      </c>
      <c r="P58" s="37" t="n">
        <v>3512.96</v>
      </c>
      <c r="Q58" s="18" t="n">
        <v>1022.17</v>
      </c>
      <c r="R58" s="18" t="n">
        <v>863.8200000000001</v>
      </c>
      <c r="S58" s="18" t="n">
        <v>1101.13</v>
      </c>
      <c r="T58" s="18" t="n">
        <v>1455.87</v>
      </c>
      <c r="U58" s="37" t="n">
        <v>4442.99</v>
      </c>
      <c r="V58" s="18" t="n">
        <v>2011.63</v>
      </c>
      <c r="W58" s="18" t="n">
        <v>2171.1</v>
      </c>
      <c r="X58" s="18" t="n">
        <v>2075.74</v>
      </c>
      <c r="Y58" s="18" t="n">
        <v>1604.11</v>
      </c>
      <c r="Z58" s="37" t="n">
        <v>7862.58</v>
      </c>
      <c r="AA58" s="18" t="n">
        <v>2584.57</v>
      </c>
      <c r="AB58" s="19" t="n">
        <v>1790.78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영업이익</t>
        </is>
      </c>
      <c r="E59" s="18" t="n">
        <v>-3564.59</v>
      </c>
      <c r="F59" s="9" t="n"/>
      <c r="G59" s="18" t="n">
        <v>-1690.69</v>
      </c>
      <c r="H59" s="18" t="n">
        <v>-1599.82</v>
      </c>
      <c r="I59" s="18" t="n">
        <v>-3519.69</v>
      </c>
      <c r="J59" s="18" t="n">
        <v>-7734.17</v>
      </c>
      <c r="K59" s="37" t="n">
        <v>-14544.37</v>
      </c>
      <c r="L59" s="18" t="n">
        <v>205.52</v>
      </c>
      <c r="M59" s="18" t="n">
        <v>6052.68</v>
      </c>
      <c r="N59" s="18" t="n">
        <v>1657.08</v>
      </c>
      <c r="O59" s="18" t="n">
        <v>2950.02</v>
      </c>
      <c r="P59" s="37" t="n">
        <v>10865.3</v>
      </c>
      <c r="Q59" s="18" t="n">
        <v>2542.51</v>
      </c>
      <c r="R59" s="18" t="n">
        <v>648.6799999999999</v>
      </c>
      <c r="S59" s="18" t="n">
        <v>-1095.27</v>
      </c>
      <c r="T59" s="18" t="n">
        <v>-1121.52</v>
      </c>
      <c r="U59" s="37" t="n">
        <v>974.4</v>
      </c>
      <c r="V59" s="18" t="n">
        <v>-1661.09</v>
      </c>
      <c r="W59" s="18" t="n">
        <v>-1543.81</v>
      </c>
      <c r="X59" s="18" t="n">
        <v>-1485.27</v>
      </c>
      <c r="Y59" s="18" t="n">
        <v>-648.63</v>
      </c>
      <c r="Z59" s="37" t="n">
        <v>-5338.8</v>
      </c>
      <c r="AA59" s="18" t="n">
        <v>-867.55</v>
      </c>
      <c r="AB59" s="19" t="n">
        <v>-723.1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금융수익</t>
        </is>
      </c>
      <c r="E60" s="18" t="n">
        <v>49.42</v>
      </c>
      <c r="F60" s="9" t="n"/>
      <c r="G60" s="18" t="n">
        <v>63.72</v>
      </c>
      <c r="H60" s="18" t="n">
        <v>1518.18</v>
      </c>
      <c r="I60" s="18" t="n">
        <v>786.16</v>
      </c>
      <c r="J60" s="18" t="n">
        <v>131.95</v>
      </c>
      <c r="K60" s="37" t="n">
        <v>2500.01</v>
      </c>
      <c r="L60" s="18" t="n">
        <v>249.95</v>
      </c>
      <c r="M60" s="18" t="n">
        <v>120.15</v>
      </c>
      <c r="N60" s="18" t="n">
        <v>124.3</v>
      </c>
      <c r="O60" s="18" t="n">
        <v>90.36</v>
      </c>
      <c r="P60" s="37" t="n">
        <v>584.76</v>
      </c>
      <c r="Q60" s="18" t="n">
        <v>173.87</v>
      </c>
      <c r="R60" s="18" t="n">
        <v>61.66</v>
      </c>
      <c r="S60" s="18" t="n">
        <v>74.08</v>
      </c>
      <c r="T60" s="18" t="n">
        <v>162.71</v>
      </c>
      <c r="U60" s="37" t="n">
        <v>472.32</v>
      </c>
      <c r="V60" s="18" t="n">
        <v>65.02</v>
      </c>
      <c r="W60" s="18" t="n">
        <v>782.6</v>
      </c>
      <c r="X60" s="18" t="n">
        <v>101.36</v>
      </c>
      <c r="Y60" s="18" t="n">
        <v>3191.29</v>
      </c>
      <c r="Z60" s="37" t="n">
        <v>4140.27</v>
      </c>
      <c r="AA60" s="18" t="n">
        <v>185.35</v>
      </c>
      <c r="AB60" s="19" t="n">
        <v>5512.71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금융비용</t>
        </is>
      </c>
      <c r="E61" s="18" t="n">
        <v>161.76</v>
      </c>
      <c r="F61" s="9" t="n"/>
      <c r="G61" s="18" t="n">
        <v>100.45</v>
      </c>
      <c r="H61" s="18" t="n">
        <v>469.14</v>
      </c>
      <c r="I61" s="18" t="n">
        <v>540.51</v>
      </c>
      <c r="J61" s="18" t="n">
        <v>651.15</v>
      </c>
      <c r="K61" s="37" t="n">
        <v>1761.25</v>
      </c>
      <c r="L61" s="18" t="n">
        <v>1532.26</v>
      </c>
      <c r="M61" s="18" t="n">
        <v>3910</v>
      </c>
      <c r="N61" s="18" t="n">
        <v>1236.99</v>
      </c>
      <c r="O61" s="18" t="n">
        <v>381.12</v>
      </c>
      <c r="P61" s="37" t="n">
        <v>7060.37</v>
      </c>
      <c r="Q61" s="18" t="n">
        <v>5099.82</v>
      </c>
      <c r="R61" s="18" t="n">
        <v>-47.96</v>
      </c>
      <c r="S61" s="18" t="n">
        <v>410.29</v>
      </c>
      <c r="T61" s="18" t="n">
        <v>74.18000000000001</v>
      </c>
      <c r="U61" s="37" t="n">
        <v>5536.33</v>
      </c>
      <c r="V61" s="18" t="n">
        <v>318.39</v>
      </c>
      <c r="W61" s="18" t="n">
        <v>475.65</v>
      </c>
      <c r="X61" s="18" t="n">
        <v>257.49</v>
      </c>
      <c r="Y61" s="18" t="n">
        <v>2783.18</v>
      </c>
      <c r="Z61" s="37" t="n">
        <v>3834.71</v>
      </c>
      <c r="AA61" s="18" t="n">
        <v>511.88</v>
      </c>
      <c r="AB61" s="19" t="n">
        <v>1367.97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기타영업외수익</t>
        </is>
      </c>
      <c r="E62" s="18" t="n">
        <v>50.5</v>
      </c>
      <c r="F62" s="9" t="n"/>
      <c r="G62" s="18" t="n">
        <v>4.29</v>
      </c>
      <c r="H62" s="18" t="n">
        <v>10.02</v>
      </c>
      <c r="I62" s="18" t="n">
        <v>2.45</v>
      </c>
      <c r="J62" s="18" t="n">
        <v>0.01</v>
      </c>
      <c r="K62" s="37" t="n">
        <v>16.77</v>
      </c>
      <c r="L62" s="18" t="n">
        <v>6.05</v>
      </c>
      <c r="M62" s="18" t="n">
        <v>57.68</v>
      </c>
      <c r="N62" s="18" t="n">
        <v>8.41</v>
      </c>
      <c r="O62" s="18" t="n">
        <v>0.01</v>
      </c>
      <c r="P62" s="37" t="n">
        <v>72.15000000000001</v>
      </c>
      <c r="Q62" s="18" t="n">
        <v>438</v>
      </c>
      <c r="R62" s="18" t="n">
        <v>-88.45999999999999</v>
      </c>
      <c r="S62" s="18" t="n">
        <v>1060.51</v>
      </c>
      <c r="T62" s="18" t="n">
        <v>257.85</v>
      </c>
      <c r="U62" s="37" t="n">
        <v>1667.9</v>
      </c>
      <c r="V62" s="18" t="n">
        <v>52.77</v>
      </c>
      <c r="W62" s="18" t="n">
        <v>31.6</v>
      </c>
      <c r="X62" s="18" t="n">
        <v>58.42</v>
      </c>
      <c r="Y62" s="18" t="n">
        <v>5.3</v>
      </c>
      <c r="Z62" s="37" t="n">
        <v>148.09</v>
      </c>
      <c r="AA62" s="18" t="n">
        <v>7.48</v>
      </c>
      <c r="AB62" s="19" t="n">
        <v>9.98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기타영업외비용</t>
        </is>
      </c>
      <c r="E63" s="18" t="n">
        <v>1260.06</v>
      </c>
      <c r="F63" s="9" t="n"/>
      <c r="G63" s="18" t="n">
        <v>60.67</v>
      </c>
      <c r="H63" s="18" t="n">
        <v>8.09</v>
      </c>
      <c r="I63" s="18" t="n">
        <v>0</v>
      </c>
      <c r="J63" s="18" t="n">
        <v>12.41</v>
      </c>
      <c r="K63" s="37" t="n">
        <v>81.17</v>
      </c>
      <c r="L63" s="18" t="n">
        <v>0.03</v>
      </c>
      <c r="M63" s="18" t="n">
        <v>129.7</v>
      </c>
      <c r="N63" s="18" t="n">
        <v>-24.49</v>
      </c>
      <c r="O63" s="18" t="n">
        <v>524.86</v>
      </c>
      <c r="P63" s="37" t="n">
        <v>630.1</v>
      </c>
      <c r="Q63" s="18" t="n">
        <v>0</v>
      </c>
      <c r="R63" s="18" t="n">
        <v>87.02</v>
      </c>
      <c r="S63" s="18" t="n">
        <v>-51.15</v>
      </c>
      <c r="T63" s="18" t="n">
        <v>126.11</v>
      </c>
      <c r="U63" s="37" t="n">
        <v>161.98</v>
      </c>
      <c r="V63" s="18" t="n">
        <v>0.05</v>
      </c>
      <c r="W63" s="18" t="n">
        <v>713.5599999999999</v>
      </c>
      <c r="X63" s="18" t="n">
        <v>61.99</v>
      </c>
      <c r="Y63" s="18" t="n">
        <v>1707.94</v>
      </c>
      <c r="Z63" s="37" t="n">
        <v>2483.54</v>
      </c>
      <c r="AA63" s="18" t="n">
        <v>4.67</v>
      </c>
      <c r="AB63" s="19" t="n">
        <v>154.95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법인세비용차감전계속사업이익</t>
        </is>
      </c>
      <c r="E64" s="18" t="n">
        <v>-4886.49</v>
      </c>
      <c r="F64" s="9" t="n"/>
      <c r="G64" s="18" t="n">
        <v>-1783.81</v>
      </c>
      <c r="H64" s="18" t="n">
        <v>-548.85</v>
      </c>
      <c r="I64" s="18" t="n">
        <v>-3271.59</v>
      </c>
      <c r="J64" s="18" t="n">
        <v>-8265.77</v>
      </c>
      <c r="K64" s="37" t="n">
        <v>-13870.02</v>
      </c>
      <c r="L64" s="18" t="n">
        <v>-1070.76</v>
      </c>
      <c r="M64" s="18" t="n">
        <v>2190.81</v>
      </c>
      <c r="N64" s="18" t="n">
        <v>577.29</v>
      </c>
      <c r="O64" s="18" t="n">
        <v>2134.39</v>
      </c>
      <c r="P64" s="37" t="n">
        <v>3831.73</v>
      </c>
      <c r="Q64" s="18" t="n">
        <v>-1945.43</v>
      </c>
      <c r="R64" s="18" t="n">
        <v>582.8200000000001</v>
      </c>
      <c r="S64" s="18" t="n">
        <v>-319.81</v>
      </c>
      <c r="T64" s="18" t="n">
        <v>-901.25</v>
      </c>
      <c r="U64" s="37" t="n">
        <v>-2583.67</v>
      </c>
      <c r="V64" s="18" t="n">
        <v>-1861.74</v>
      </c>
      <c r="W64" s="18" t="n">
        <v>-1918.82</v>
      </c>
      <c r="X64" s="18" t="n">
        <v>-1644.96</v>
      </c>
      <c r="Y64" s="18" t="n">
        <v>-1943.15</v>
      </c>
      <c r="Z64" s="37" t="n">
        <v>-7368.67</v>
      </c>
      <c r="AA64" s="18" t="n">
        <v>-1191.27</v>
      </c>
      <c r="AB64" s="19" t="n">
        <v>3276.67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당기순이익</t>
        </is>
      </c>
      <c r="E65" s="18" t="n">
        <v>-4886.49</v>
      </c>
      <c r="F65" s="9" t="n"/>
      <c r="G65" s="18" t="n">
        <v>-1783.81</v>
      </c>
      <c r="H65" s="18" t="n">
        <v>-548.85</v>
      </c>
      <c r="I65" s="18" t="n">
        <v>-3271.59</v>
      </c>
      <c r="J65" s="18" t="n">
        <v>-8265.77</v>
      </c>
      <c r="K65" s="37" t="n">
        <v>-13870.02</v>
      </c>
      <c r="L65" s="18" t="n">
        <v>-1070.76</v>
      </c>
      <c r="M65" s="18" t="n">
        <v>2190.81</v>
      </c>
      <c r="N65" s="18" t="n">
        <v>546.9400000000001</v>
      </c>
      <c r="O65" s="18" t="n">
        <v>2012.89</v>
      </c>
      <c r="P65" s="37" t="n">
        <v>3679.88</v>
      </c>
      <c r="Q65" s="18" t="n">
        <v>-2065.67</v>
      </c>
      <c r="R65" s="18" t="n">
        <v>-3669.72</v>
      </c>
      <c r="S65" s="18" t="n">
        <v>1184.52</v>
      </c>
      <c r="T65" s="18" t="n">
        <v>-1023.5</v>
      </c>
      <c r="U65" s="37" t="n">
        <v>-5574.37</v>
      </c>
      <c r="V65" s="18" t="n">
        <v>-1861.74</v>
      </c>
      <c r="W65" s="18" t="n">
        <v>-1918.82</v>
      </c>
      <c r="X65" s="18" t="n">
        <v>-1644.96</v>
      </c>
      <c r="Y65" s="18" t="n">
        <v>-1943.15</v>
      </c>
      <c r="Z65" s="37" t="n">
        <v>-7368.67</v>
      </c>
      <c r="AA65" s="18" t="n">
        <v>-1191.27</v>
      </c>
      <c r="AB65" s="19" t="n">
        <v>3276.67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금융손익</t>
        </is>
      </c>
      <c r="E66" s="18" t="n">
        <v>-112.34</v>
      </c>
      <c r="F66" s="9" t="n"/>
      <c r="G66" s="18" t="n">
        <v>-36.73</v>
      </c>
      <c r="H66" s="18" t="n">
        <v>1049.04</v>
      </c>
      <c r="I66" s="18" t="n">
        <v>245.65</v>
      </c>
      <c r="J66" s="18" t="n">
        <v>-519.2</v>
      </c>
      <c r="K66" s="37" t="n">
        <v>738.76</v>
      </c>
      <c r="L66" s="18" t="n">
        <v>-1282.31</v>
      </c>
      <c r="M66" s="18" t="n">
        <v>-3789.85</v>
      </c>
      <c r="N66" s="18" t="n">
        <v>-1112.69</v>
      </c>
      <c r="O66" s="18" t="n">
        <v>-290.76</v>
      </c>
      <c r="P66" s="37" t="n">
        <v>-6475.61</v>
      </c>
      <c r="Q66" s="18" t="n">
        <v>-4925.95</v>
      </c>
      <c r="R66" s="18" t="n">
        <v>109.62</v>
      </c>
      <c r="S66" s="18" t="n">
        <v>-336.21</v>
      </c>
      <c r="T66" s="18" t="n">
        <v>88.53</v>
      </c>
      <c r="U66" s="37" t="n">
        <v>-5064.01</v>
      </c>
      <c r="V66" s="18" t="n">
        <v>-253.37</v>
      </c>
      <c r="W66" s="18" t="n">
        <v>306.95</v>
      </c>
      <c r="X66" s="18" t="n">
        <v>-156.13</v>
      </c>
      <c r="Y66" s="18" t="n">
        <v>408.11</v>
      </c>
      <c r="Z66" s="37" t="n">
        <v>305.56</v>
      </c>
      <c r="AA66" s="18" t="n">
        <v>-326.53</v>
      </c>
      <c r="AB66" s="19" t="n">
        <v>4144.74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기타영업외손익</t>
        </is>
      </c>
      <c r="E67" s="18" t="n">
        <v>-1209.56</v>
      </c>
      <c r="F67" s="9" t="n"/>
      <c r="G67" s="18" t="n">
        <v>-56.38</v>
      </c>
      <c r="H67" s="18" t="n">
        <v>1.93</v>
      </c>
      <c r="I67" s="18" t="n">
        <v>2.45</v>
      </c>
      <c r="J67" s="18" t="n">
        <v>-12.4</v>
      </c>
      <c r="K67" s="37" t="n">
        <v>-64.40000000000001</v>
      </c>
      <c r="L67" s="18" t="n">
        <v>6.02</v>
      </c>
      <c r="M67" s="18" t="n">
        <v>-72.02</v>
      </c>
      <c r="N67" s="18" t="n">
        <v>32.9</v>
      </c>
      <c r="O67" s="18" t="n">
        <v>-524.85</v>
      </c>
      <c r="P67" s="37" t="n">
        <v>-557.95</v>
      </c>
      <c r="Q67" s="18" t="n">
        <v>438</v>
      </c>
      <c r="R67" s="18" t="n">
        <v>-175.48</v>
      </c>
      <c r="S67" s="18" t="n">
        <v>1111.66</v>
      </c>
      <c r="T67" s="18" t="n">
        <v>131.74</v>
      </c>
      <c r="U67" s="37" t="n">
        <v>1505.92</v>
      </c>
      <c r="V67" s="18" t="n">
        <v>52.72</v>
      </c>
      <c r="W67" s="18" t="n">
        <v>-681.96</v>
      </c>
      <c r="X67" s="18" t="n">
        <v>-3.57</v>
      </c>
      <c r="Y67" s="18" t="n">
        <v>-1702.64</v>
      </c>
      <c r="Z67" s="37" t="n">
        <v>-2335.45</v>
      </c>
      <c r="AA67" s="18" t="n">
        <v>2.81</v>
      </c>
      <c r="AB67" s="19" t="n">
        <v>-144.97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(지배주주지분)당기순이익</t>
        </is>
      </c>
      <c r="E68" s="18" t="n">
        <v>-4886.49</v>
      </c>
      <c r="F68" s="9" t="n"/>
      <c r="G68" s="18" t="n">
        <v>-1783.81</v>
      </c>
      <c r="H68" s="18" t="n">
        <v>-548.85</v>
      </c>
      <c r="I68" s="18" t="n">
        <v>-3271.59</v>
      </c>
      <c r="J68" s="18" t="n">
        <v>-8265.77</v>
      </c>
      <c r="K68" s="37" t="n">
        <v>-13870.02</v>
      </c>
      <c r="L68" s="18" t="n">
        <v>-1070.76</v>
      </c>
      <c r="M68" s="18" t="n">
        <v>2190.81</v>
      </c>
      <c r="N68" s="18" t="n">
        <v>546.9400000000001</v>
      </c>
      <c r="O68" s="18" t="n">
        <v>2012.89</v>
      </c>
      <c r="P68" s="37" t="n">
        <v>3679.88</v>
      </c>
      <c r="Q68" s="18" t="n">
        <v>-2065.67</v>
      </c>
      <c r="R68" s="18" t="n">
        <v>-3669.72</v>
      </c>
      <c r="S68" s="18" t="n">
        <v>1184.52</v>
      </c>
      <c r="T68" s="18" t="n">
        <v>-1023.5</v>
      </c>
      <c r="U68" s="37" t="n">
        <v>-5574.37</v>
      </c>
      <c r="V68" s="18" t="n">
        <v>-1861.74</v>
      </c>
      <c r="W68" s="18" t="n">
        <v>-1918.82</v>
      </c>
      <c r="X68" s="18" t="n">
        <v>-1644.96</v>
      </c>
      <c r="Y68" s="18" t="n">
        <v>-1943.15</v>
      </c>
      <c r="Z68" s="37" t="n">
        <v>-7368.67</v>
      </c>
      <c r="AA68" s="18" t="n">
        <v>-1191.27</v>
      </c>
      <c r="AB68" s="19" t="n">
        <v>3276.67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계속사업이익</t>
        </is>
      </c>
      <c r="E69" s="18" t="n">
        <v>-4886.49</v>
      </c>
      <c r="F69" s="9" t="n"/>
      <c r="G69" s="18" t="n">
        <v>-1783.81</v>
      </c>
      <c r="H69" s="18" t="n">
        <v>-548.85</v>
      </c>
      <c r="I69" s="18" t="n">
        <v>-3271.59</v>
      </c>
      <c r="J69" s="18" t="n">
        <v>-8265.77</v>
      </c>
      <c r="K69" s="37" t="n">
        <v>-13870.02</v>
      </c>
      <c r="L69" s="18" t="n">
        <v>-1070.76</v>
      </c>
      <c r="M69" s="18" t="n">
        <v>2190.81</v>
      </c>
      <c r="N69" s="18" t="n">
        <v>546.9400000000001</v>
      </c>
      <c r="O69" s="18" t="n">
        <v>2012.89</v>
      </c>
      <c r="P69" s="37" t="n">
        <v>3679.88</v>
      </c>
      <c r="Q69" s="18" t="n">
        <v>-2065.67</v>
      </c>
      <c r="R69" s="18" t="n">
        <v>578.52</v>
      </c>
      <c r="S69" s="18" t="n">
        <v>-320.52</v>
      </c>
      <c r="T69" s="18" t="n">
        <v>-937.12</v>
      </c>
      <c r="U69" s="37" t="n">
        <v>-2744.79</v>
      </c>
      <c r="V69" s="18" t="n">
        <v>-1861.74</v>
      </c>
      <c r="W69" s="18" t="n">
        <v>-1918.82</v>
      </c>
      <c r="X69" s="18" t="n">
        <v>-1644.96</v>
      </c>
      <c r="Y69" s="18" t="n">
        <v>-1943.15</v>
      </c>
      <c r="Z69" s="37" t="n">
        <v>-7368.67</v>
      </c>
      <c r="AA69" s="18" t="n">
        <v>-1191.27</v>
      </c>
      <c r="AB69" s="19" t="n">
        <v>3276.67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총포괄손익</t>
        </is>
      </c>
      <c r="E70" s="18" t="n">
        <v>-4876.35</v>
      </c>
      <c r="F70" s="9" t="n"/>
      <c r="G70" s="18" t="n">
        <v>-1783.81</v>
      </c>
      <c r="H70" s="18" t="n">
        <v>-548.85</v>
      </c>
      <c r="I70" s="18" t="n">
        <v>-3271.59</v>
      </c>
      <c r="J70" s="18" t="n">
        <v>-7953.68</v>
      </c>
      <c r="K70" s="37" t="n">
        <v>-13557.93</v>
      </c>
      <c r="L70" s="18" t="n">
        <v>-1070.76</v>
      </c>
      <c r="M70" s="18" t="n">
        <v>2190.81</v>
      </c>
      <c r="N70" s="18" t="n">
        <v>546.9400000000001</v>
      </c>
      <c r="O70" s="18" t="n">
        <v>1955.8</v>
      </c>
      <c r="P70" s="37" t="n">
        <v>3622.79</v>
      </c>
      <c r="Q70" s="18" t="n">
        <v>-2065.67</v>
      </c>
      <c r="R70" s="18" t="n">
        <v>-3669.72</v>
      </c>
      <c r="S70" s="18" t="n">
        <v>1184.52</v>
      </c>
      <c r="U70" s="9" t="n"/>
      <c r="X70" s="18" t="n">
        <v>-1644.96</v>
      </c>
      <c r="Z70" s="9" t="n"/>
      <c r="AA70" s="18" t="n">
        <v>-1191.27</v>
      </c>
      <c r="AB70" s="19" t="n">
        <v>3276.67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법인세비용</t>
        </is>
      </c>
      <c r="F71" s="9" t="n"/>
      <c r="K71" s="9" t="n"/>
      <c r="N71" s="18" t="n">
        <v>30.35</v>
      </c>
      <c r="O71" s="18" t="n">
        <v>121.51</v>
      </c>
      <c r="P71" s="9" t="n"/>
      <c r="Q71" s="18" t="n">
        <v>120.24</v>
      </c>
      <c r="R71" s="18" t="n">
        <v>4.3</v>
      </c>
      <c r="S71" s="18" t="n">
        <v>0.71</v>
      </c>
      <c r="T71" s="18" t="n">
        <v>35.88</v>
      </c>
      <c r="U71" s="37" t="n">
        <v>161.13</v>
      </c>
      <c r="Z71" s="9" t="n"/>
      <c r="AB71" s="5" t="n"/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중단사업이익</t>
        </is>
      </c>
      <c r="F72" s="9" t="n"/>
      <c r="K72" s="9" t="n"/>
      <c r="P72" s="9" t="n"/>
      <c r="R72" s="18" t="n">
        <v>-4248.24</v>
      </c>
      <c r="S72" s="18" t="n">
        <v>1505.04</v>
      </c>
      <c r="T72" s="18" t="n">
        <v>-86.38</v>
      </c>
      <c r="U72" s="9" t="n"/>
      <c r="Z72" s="9" t="n"/>
      <c r="AB72" s="5" t="n"/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영업활동으로인한현금흐름</t>
        </is>
      </c>
      <c r="E73" s="18" t="n">
        <v>2340.44</v>
      </c>
      <c r="F73" s="9" t="n"/>
      <c r="G73" s="18" t="n">
        <v>-5384.84</v>
      </c>
      <c r="H73" s="18" t="n">
        <v>-5215.92</v>
      </c>
      <c r="I73" s="18" t="n">
        <v>-1896.63</v>
      </c>
      <c r="J73" s="18" t="n">
        <v>2138.13</v>
      </c>
      <c r="K73" s="37" t="n">
        <v>-10359.26</v>
      </c>
      <c r="L73" s="18" t="n">
        <v>346.54</v>
      </c>
      <c r="M73" s="18" t="n">
        <v>721.52</v>
      </c>
      <c r="N73" s="18" t="n">
        <v>1769.07</v>
      </c>
      <c r="O73" s="18" t="n">
        <v>926.27</v>
      </c>
      <c r="P73" s="37" t="n">
        <v>3763.4</v>
      </c>
      <c r="Q73" s="18" t="n">
        <v>5058.88</v>
      </c>
      <c r="R73" s="18" t="n">
        <v>10.99</v>
      </c>
      <c r="S73" s="18" t="n">
        <v>-1599.37</v>
      </c>
      <c r="T73" s="18" t="n">
        <v>3144.36</v>
      </c>
      <c r="U73" s="37" t="n">
        <v>6614.86</v>
      </c>
      <c r="V73" s="18" t="n">
        <v>-1942.63</v>
      </c>
      <c r="W73" s="18" t="n">
        <v>-1399.83</v>
      </c>
      <c r="X73" s="18" t="n">
        <v>-5922.52</v>
      </c>
      <c r="Y73" s="18" t="n">
        <v>4205.08</v>
      </c>
      <c r="Z73" s="37" t="n">
        <v>-5059.9</v>
      </c>
      <c r="AA73" s="18" t="n">
        <v>175.49</v>
      </c>
      <c r="AB73" s="19" t="n">
        <v>-956.42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이자수취(CF)</t>
        </is>
      </c>
      <c r="E74" s="18" t="n">
        <v>2.99</v>
      </c>
      <c r="F74" s="9" t="n"/>
      <c r="G74" s="18" t="n">
        <v>6.88</v>
      </c>
      <c r="H74" s="18" t="n">
        <v>27.49</v>
      </c>
      <c r="I74" s="18" t="n">
        <v>5.01</v>
      </c>
      <c r="J74" s="18" t="n">
        <v>1.55</v>
      </c>
      <c r="K74" s="37" t="n">
        <v>40.93</v>
      </c>
      <c r="L74" s="18" t="n">
        <v>0.1</v>
      </c>
      <c r="M74" s="18" t="n">
        <v>0.11</v>
      </c>
      <c r="N74" s="18" t="n">
        <v>0.06</v>
      </c>
      <c r="O74" s="18" t="n">
        <v>0.16</v>
      </c>
      <c r="P74" s="37" t="n">
        <v>0.43</v>
      </c>
      <c r="Q74" s="18" t="n">
        <v>0.09</v>
      </c>
      <c r="R74" s="18" t="n">
        <v>13.86</v>
      </c>
      <c r="S74" s="18" t="n">
        <v>65.16</v>
      </c>
      <c r="T74" s="18" t="n">
        <v>64.26000000000001</v>
      </c>
      <c r="U74" s="37" t="n">
        <v>143.37</v>
      </c>
      <c r="V74" s="18" t="n">
        <v>39.53</v>
      </c>
      <c r="W74" s="18" t="n">
        <v>29.53</v>
      </c>
      <c r="X74" s="18" t="n">
        <v>25.43</v>
      </c>
      <c r="Y74" s="18" t="n">
        <v>25.39</v>
      </c>
      <c r="Z74" s="37" t="n">
        <v>119.88</v>
      </c>
      <c r="AA74" s="18" t="n">
        <v>14.01</v>
      </c>
      <c r="AB74" s="19" t="n">
        <v>8.25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이자지급(CF)</t>
        </is>
      </c>
      <c r="E75" s="18" t="n">
        <v>-72.56</v>
      </c>
      <c r="F75" s="9" t="n"/>
      <c r="G75" s="18" t="n">
        <v>-70.7</v>
      </c>
      <c r="H75" s="18" t="n">
        <v>-75.36</v>
      </c>
      <c r="I75" s="18" t="n">
        <v>-101.9</v>
      </c>
      <c r="J75" s="18" t="n">
        <v>-448.38</v>
      </c>
      <c r="K75" s="37" t="n">
        <v>-696.34</v>
      </c>
      <c r="L75" s="18" t="n">
        <v>-104.98</v>
      </c>
      <c r="M75" s="18" t="n">
        <v>-120.07</v>
      </c>
      <c r="P75" s="9" t="n"/>
      <c r="Q75" s="18" t="n">
        <v>-98.40000000000001</v>
      </c>
      <c r="R75" s="18" t="n">
        <v>98.40000000000001</v>
      </c>
      <c r="U75" s="9" t="n"/>
      <c r="Z75" s="9" t="n"/>
      <c r="AB75" s="5" t="n"/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법인세납부(CF)</t>
        </is>
      </c>
      <c r="E76" s="18" t="n">
        <v>-0.46</v>
      </c>
      <c r="F76" s="9" t="n"/>
      <c r="G76" s="18" t="n">
        <v>-1.06</v>
      </c>
      <c r="H76" s="18" t="n">
        <v>-2.48</v>
      </c>
      <c r="I76" s="18" t="n">
        <v>-0.77</v>
      </c>
      <c r="J76" s="18" t="n">
        <v>-0.23</v>
      </c>
      <c r="K76" s="37" t="n">
        <v>-4.54</v>
      </c>
      <c r="L76" s="18" t="n">
        <v>-0.01</v>
      </c>
      <c r="M76" s="18" t="n">
        <v>5.05</v>
      </c>
      <c r="N76" s="18" t="n">
        <v>-0.23</v>
      </c>
      <c r="O76" s="18" t="n">
        <v>-0.03</v>
      </c>
      <c r="P76" s="37" t="n">
        <v>4.78</v>
      </c>
      <c r="Q76" s="18" t="n">
        <v>-73.27</v>
      </c>
      <c r="R76" s="18" t="n">
        <v>4.91</v>
      </c>
      <c r="S76" s="18" t="n">
        <v>-17.96</v>
      </c>
      <c r="T76" s="18" t="n">
        <v>-21.44</v>
      </c>
      <c r="U76" s="37" t="n">
        <v>-107.76</v>
      </c>
      <c r="V76" s="18" t="n">
        <v>-5.67</v>
      </c>
      <c r="W76" s="18" t="n">
        <v>23.11</v>
      </c>
      <c r="X76" s="18" t="n">
        <v>-3.63</v>
      </c>
      <c r="Y76" s="18" t="n">
        <v>-1.9</v>
      </c>
      <c r="Z76" s="37" t="n">
        <v>11.91</v>
      </c>
      <c r="AA76" s="18" t="n">
        <v>-1.87</v>
      </c>
      <c r="AB76" s="19" t="n">
        <v>13.35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투자활동으로인한현금흐름</t>
        </is>
      </c>
      <c r="E77" s="18" t="n">
        <v>-4210.31</v>
      </c>
      <c r="F77" s="9" t="n"/>
      <c r="G77" s="18" t="n">
        <v>5745.3</v>
      </c>
      <c r="H77" s="18" t="n">
        <v>-7593.11</v>
      </c>
      <c r="I77" s="18" t="n">
        <v>1192.14</v>
      </c>
      <c r="J77" s="18" t="n">
        <v>-968.0599999999999</v>
      </c>
      <c r="K77" s="37" t="n">
        <v>-1623.73</v>
      </c>
      <c r="L77" s="18" t="n">
        <v>-269.94</v>
      </c>
      <c r="M77" s="18" t="n">
        <v>188.97</v>
      </c>
      <c r="N77" s="18" t="n">
        <v>-45.41</v>
      </c>
      <c r="O77" s="18" t="n">
        <v>-18.56</v>
      </c>
      <c r="P77" s="37" t="n">
        <v>-144.94</v>
      </c>
      <c r="Q77" s="18" t="n">
        <v>1088.41</v>
      </c>
      <c r="R77" s="18" t="n">
        <v>5732.28</v>
      </c>
      <c r="S77" s="18" t="n">
        <v>-17365.49</v>
      </c>
      <c r="T77" s="18" t="n">
        <v>-2204.52</v>
      </c>
      <c r="U77" s="37" t="n">
        <v>-12749.32</v>
      </c>
      <c r="V77" s="18" t="n">
        <v>-7361.92</v>
      </c>
      <c r="W77" s="18" t="n">
        <v>-1250.51</v>
      </c>
      <c r="X77" s="18" t="n">
        <v>-1422.48</v>
      </c>
      <c r="Y77" s="18" t="n">
        <v>624.5700000000001</v>
      </c>
      <c r="Z77" s="37" t="n">
        <v>-9410.34</v>
      </c>
      <c r="AA77" s="18" t="n">
        <v>694.33</v>
      </c>
      <c r="AB77" s="19" t="n">
        <v>-19791.96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유형자산의감소</t>
        </is>
      </c>
      <c r="E78" s="18" t="n">
        <v>445.21</v>
      </c>
      <c r="F78" s="9" t="n"/>
      <c r="G78" s="18" t="n">
        <v>1.79</v>
      </c>
      <c r="H78" s="18" t="n">
        <v>0</v>
      </c>
      <c r="I78" s="18" t="n">
        <v>0</v>
      </c>
      <c r="J78" s="18" t="n">
        <v>0</v>
      </c>
      <c r="K78" s="37" t="n">
        <v>1.79</v>
      </c>
      <c r="N78" s="18" t="n">
        <v>0</v>
      </c>
      <c r="O78" s="18" t="n">
        <v>0</v>
      </c>
      <c r="P78" s="9" t="n"/>
      <c r="Q78" s="18" t="n">
        <v>1715.34</v>
      </c>
      <c r="R78" s="18" t="n">
        <v>141.5</v>
      </c>
      <c r="S78" s="18" t="n">
        <v>68.23</v>
      </c>
      <c r="T78" s="18" t="n">
        <v>764.85</v>
      </c>
      <c r="U78" s="37" t="n">
        <v>2689.92</v>
      </c>
      <c r="V78" s="18" t="n">
        <v>801.3</v>
      </c>
      <c r="X78" s="18" t="n">
        <v>21.6</v>
      </c>
      <c r="Y78" s="18" t="n">
        <v>11.8</v>
      </c>
      <c r="Z78" s="9" t="n"/>
      <c r="AB78" s="5" t="n"/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유형자산의증가</t>
        </is>
      </c>
      <c r="E79" s="18" t="n">
        <v>2149.52</v>
      </c>
      <c r="F79" s="9" t="n"/>
      <c r="G79" s="18" t="n">
        <v>1387.64</v>
      </c>
      <c r="H79" s="18" t="n">
        <v>1587.12</v>
      </c>
      <c r="I79" s="18" t="n">
        <v>839.04</v>
      </c>
      <c r="J79" s="18" t="n">
        <v>958.5599999999999</v>
      </c>
      <c r="K79" s="37" t="n">
        <v>4772.36</v>
      </c>
      <c r="L79" s="18" t="n">
        <v>256.3</v>
      </c>
      <c r="M79" s="18" t="n">
        <v>26.45</v>
      </c>
      <c r="N79" s="18" t="n">
        <v>45.42</v>
      </c>
      <c r="O79" s="18" t="n">
        <v>18.56</v>
      </c>
      <c r="P79" s="37" t="n">
        <v>346.73</v>
      </c>
      <c r="Q79" s="18" t="n">
        <v>26.93</v>
      </c>
      <c r="R79" s="18" t="n">
        <v>356.42</v>
      </c>
      <c r="S79" s="18" t="n">
        <v>16848.55</v>
      </c>
      <c r="T79" s="18" t="n">
        <v>3604.34</v>
      </c>
      <c r="U79" s="37" t="n">
        <v>20836.24</v>
      </c>
      <c r="V79" s="18" t="n">
        <v>2057.85</v>
      </c>
      <c r="W79" s="18" t="n">
        <v>1751.09</v>
      </c>
      <c r="X79" s="18" t="n">
        <v>58.98</v>
      </c>
      <c r="Y79" s="18" t="n">
        <v>177.06</v>
      </c>
      <c r="Z79" s="37" t="n">
        <v>4044.98</v>
      </c>
      <c r="AA79" s="18" t="n">
        <v>95.67</v>
      </c>
      <c r="AB79" s="19" t="n">
        <v>123.02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CAPEX</t>
        </is>
      </c>
      <c r="E80" s="18" t="n">
        <v>2149.52</v>
      </c>
      <c r="F80" s="9" t="n"/>
      <c r="G80" s="18" t="n">
        <v>1407.84</v>
      </c>
      <c r="H80" s="18" t="n">
        <v>1587.12</v>
      </c>
      <c r="I80" s="18" t="n">
        <v>848.64</v>
      </c>
      <c r="J80" s="18" t="n">
        <v>958.5599999999999</v>
      </c>
      <c r="K80" s="37" t="n">
        <v>4802.16</v>
      </c>
      <c r="L80" s="18" t="n">
        <v>259.94</v>
      </c>
      <c r="M80" s="18" t="n">
        <v>26.45</v>
      </c>
      <c r="N80" s="18" t="n">
        <v>45.42</v>
      </c>
      <c r="O80" s="18" t="n">
        <v>18.56</v>
      </c>
      <c r="P80" s="37" t="n">
        <v>350.37</v>
      </c>
      <c r="Q80" s="18" t="n">
        <v>26.93</v>
      </c>
      <c r="R80" s="18" t="n">
        <v>356.42</v>
      </c>
      <c r="S80" s="18" t="n">
        <v>16848.55</v>
      </c>
      <c r="T80" s="18" t="n">
        <v>3664.82</v>
      </c>
      <c r="U80" s="37" t="n">
        <v>20896.72</v>
      </c>
      <c r="V80" s="18" t="n">
        <v>2148.81</v>
      </c>
      <c r="W80" s="18" t="n">
        <v>1751.09</v>
      </c>
      <c r="X80" s="18" t="n">
        <v>58.98</v>
      </c>
      <c r="Y80" s="18" t="n">
        <v>177.06</v>
      </c>
      <c r="Z80" s="37" t="n">
        <v>4135.94</v>
      </c>
      <c r="AA80" s="18" t="n">
        <v>95.67</v>
      </c>
      <c r="AB80" s="19" t="n">
        <v>227.82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재무활동으로인한현금흐름</t>
        </is>
      </c>
      <c r="E81" s="18" t="n">
        <v>-468.87</v>
      </c>
      <c r="F81" s="9" t="n"/>
      <c r="G81" s="18" t="n">
        <v>-492.33</v>
      </c>
      <c r="H81" s="18" t="n">
        <v>12522.67</v>
      </c>
      <c r="I81" s="18" t="n">
        <v>393.68</v>
      </c>
      <c r="J81" s="18" t="n">
        <v>-984.11</v>
      </c>
      <c r="K81" s="37" t="n">
        <v>11439.91</v>
      </c>
      <c r="L81" s="18" t="n">
        <v>-372.99</v>
      </c>
      <c r="M81" s="18" t="n">
        <v>170.65</v>
      </c>
      <c r="N81" s="18" t="n">
        <v>-1843.32</v>
      </c>
      <c r="O81" s="18" t="n">
        <v>-1059.02</v>
      </c>
      <c r="P81" s="37" t="n">
        <v>-3104.68</v>
      </c>
      <c r="Q81" s="18" t="n">
        <v>5550.3</v>
      </c>
      <c r="R81" s="18" t="n">
        <v>-1859.83</v>
      </c>
      <c r="S81" s="18" t="n">
        <v>11910.43</v>
      </c>
      <c r="T81" s="18" t="n">
        <v>-13.66</v>
      </c>
      <c r="U81" s="37" t="n">
        <v>15587.24</v>
      </c>
      <c r="V81" s="18" t="n">
        <v>5873.37</v>
      </c>
      <c r="W81" s="18" t="n">
        <v>903.28</v>
      </c>
      <c r="X81" s="18" t="n">
        <v>-395.06</v>
      </c>
      <c r="Y81" s="18" t="n">
        <v>-105.46</v>
      </c>
      <c r="Z81" s="37" t="n">
        <v>6276.13</v>
      </c>
      <c r="AA81" s="18" t="n">
        <v>17999.18</v>
      </c>
      <c r="AB81" s="19" t="n">
        <v>-97.20999999999999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단기차입금의증가</t>
        </is>
      </c>
      <c r="E82" s="18" t="n">
        <v>0</v>
      </c>
      <c r="F82" s="9" t="n"/>
      <c r="I82" s="18" t="n">
        <v>2800</v>
      </c>
      <c r="J82" s="18" t="n">
        <v>0</v>
      </c>
      <c r="K82" s="9" t="n"/>
      <c r="N82" s="18" t="n">
        <v>0</v>
      </c>
      <c r="O82" s="18" t="n">
        <v>0</v>
      </c>
      <c r="P82" s="9" t="n"/>
      <c r="U82" s="9" t="n"/>
      <c r="Z82" s="9" t="n"/>
      <c r="AB82" s="5" t="n"/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장기차입금의증가</t>
        </is>
      </c>
      <c r="E83" s="18" t="n">
        <v>0</v>
      </c>
      <c r="F83" s="9" t="n"/>
      <c r="K83" s="9" t="n"/>
      <c r="P83" s="9" t="n"/>
      <c r="T83" s="18" t="n">
        <v>0</v>
      </c>
      <c r="U83" s="9" t="n"/>
      <c r="X83" s="18" t="n">
        <v>0</v>
      </c>
      <c r="Y83" s="18" t="n">
        <v>0</v>
      </c>
      <c r="Z83" s="9" t="n"/>
      <c r="AB83" s="5" t="n"/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장기차입금의감소</t>
        </is>
      </c>
      <c r="E84" s="18" t="n">
        <v>0</v>
      </c>
      <c r="F84" s="9" t="n"/>
      <c r="K84" s="9" t="n"/>
      <c r="P84" s="9" t="n"/>
      <c r="U84" s="9" t="n"/>
      <c r="Z84" s="9" t="n"/>
      <c r="AB84" s="5" t="n"/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유동성장기부채의감소</t>
        </is>
      </c>
      <c r="E85" s="18" t="n">
        <v>333.34</v>
      </c>
      <c r="F85" s="9" t="n"/>
      <c r="G85" s="18" t="n">
        <v>333.33</v>
      </c>
      <c r="H85" s="18" t="n">
        <v>333.34</v>
      </c>
      <c r="I85" s="18" t="n">
        <v>333.33</v>
      </c>
      <c r="J85" s="18" t="n">
        <v>111.11</v>
      </c>
      <c r="K85" s="37" t="n">
        <v>1111.11</v>
      </c>
      <c r="O85" s="18" t="n">
        <v>30.93</v>
      </c>
      <c r="P85" s="9" t="n"/>
      <c r="Q85" s="18" t="n">
        <v>23.61</v>
      </c>
      <c r="R85" s="18" t="n">
        <v>23.99</v>
      </c>
      <c r="S85" s="18" t="n">
        <v>24.54</v>
      </c>
      <c r="T85" s="18" t="n">
        <v>181.71</v>
      </c>
      <c r="U85" s="37" t="n">
        <v>253.85</v>
      </c>
      <c r="Z85" s="9" t="n"/>
      <c r="AB85" s="5" t="n"/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현금및현금성자산의증감</t>
        </is>
      </c>
      <c r="E86" s="18" t="n">
        <v>-2426</v>
      </c>
      <c r="F86" s="9" t="n"/>
      <c r="G86" s="18" t="n">
        <v>-129.83</v>
      </c>
      <c r="H86" s="18" t="n">
        <v>-287.79</v>
      </c>
      <c r="I86" s="18" t="n">
        <v>-311.36</v>
      </c>
      <c r="J86" s="18" t="n">
        <v>180.11</v>
      </c>
      <c r="K86" s="37" t="n">
        <v>-548.87</v>
      </c>
      <c r="L86" s="18" t="n">
        <v>-296.4</v>
      </c>
      <c r="M86" s="18" t="n">
        <v>1081.38</v>
      </c>
      <c r="N86" s="18" t="n">
        <v>-112.7</v>
      </c>
      <c r="O86" s="18" t="n">
        <v>-182.46</v>
      </c>
      <c r="P86" s="37" t="n">
        <v>489.82</v>
      </c>
      <c r="Q86" s="18" t="n">
        <v>11706.73</v>
      </c>
      <c r="R86" s="18" t="n">
        <v>3874.3</v>
      </c>
      <c r="S86" s="18" t="n">
        <v>-7054.43</v>
      </c>
      <c r="T86" s="18" t="n">
        <v>930.66</v>
      </c>
      <c r="U86" s="37" t="n">
        <v>9457.26</v>
      </c>
      <c r="V86" s="18" t="n">
        <v>-3427.47</v>
      </c>
      <c r="W86" s="18" t="n">
        <v>-1750.93</v>
      </c>
      <c r="X86" s="18" t="n">
        <v>-3173.94</v>
      </c>
      <c r="Y86" s="18" t="n">
        <v>158.23</v>
      </c>
      <c r="Z86" s="37" t="n">
        <v>-8194.110000000001</v>
      </c>
      <c r="AA86" s="18" t="n">
        <v>18923.23</v>
      </c>
      <c r="AB86" s="19" t="n">
        <v>-20899.82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기말현금및현금성자산</t>
        </is>
      </c>
      <c r="E87" s="18" t="n">
        <v>-2426</v>
      </c>
      <c r="F87" s="9" t="n"/>
      <c r="G87" s="18" t="n">
        <v>1122.42</v>
      </c>
      <c r="H87" s="18" t="n">
        <v>-287.79</v>
      </c>
      <c r="I87" s="18" t="n">
        <v>-311.36</v>
      </c>
      <c r="J87" s="18" t="n">
        <v>180.12</v>
      </c>
      <c r="K87" s="37" t="n">
        <v>703.39</v>
      </c>
      <c r="L87" s="18" t="n">
        <v>406.99</v>
      </c>
      <c r="M87" s="18" t="n">
        <v>1081.38</v>
      </c>
      <c r="N87" s="18" t="n">
        <v>-112.7</v>
      </c>
      <c r="O87" s="18" t="n">
        <v>-182.46</v>
      </c>
      <c r="P87" s="37" t="n">
        <v>1193.21</v>
      </c>
      <c r="Q87" s="18" t="n">
        <v>12899.94</v>
      </c>
      <c r="R87" s="18" t="n">
        <v>3894.09</v>
      </c>
      <c r="S87" s="18" t="n">
        <v>-7114.26</v>
      </c>
      <c r="T87" s="18" t="n">
        <v>970.7</v>
      </c>
      <c r="U87" s="37" t="n">
        <v>10650.47</v>
      </c>
      <c r="V87" s="18" t="n">
        <v>7222.99</v>
      </c>
      <c r="W87" s="18" t="n">
        <v>-1750.92</v>
      </c>
      <c r="X87" s="18" t="n">
        <v>-3173.94</v>
      </c>
      <c r="Y87" s="18" t="n">
        <v>158.23</v>
      </c>
      <c r="Z87" s="37" t="n">
        <v>2456.36</v>
      </c>
      <c r="AA87" s="18" t="n">
        <v>21379.59</v>
      </c>
      <c r="AB87" s="19" t="n">
        <v>-20899.82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무형자산의증가</t>
        </is>
      </c>
      <c r="F88" s="9" t="n"/>
      <c r="G88" s="18" t="n">
        <v>20.2</v>
      </c>
      <c r="H88" s="18" t="n">
        <v>0</v>
      </c>
      <c r="I88" s="18" t="n">
        <v>9.6</v>
      </c>
      <c r="J88" s="18" t="n">
        <v>0</v>
      </c>
      <c r="K88" s="37" t="n">
        <v>29.8</v>
      </c>
      <c r="L88" s="18" t="n">
        <v>3.64</v>
      </c>
      <c r="M88" s="18" t="n">
        <v>0</v>
      </c>
      <c r="N88" s="18" t="n">
        <v>0</v>
      </c>
      <c r="O88" s="18" t="n">
        <v>0</v>
      </c>
      <c r="P88" s="37" t="n">
        <v>3.64</v>
      </c>
      <c r="U88" s="9" t="n"/>
      <c r="V88" s="18" t="n">
        <v>90.95999999999999</v>
      </c>
      <c r="W88" s="18" t="n">
        <v>0</v>
      </c>
      <c r="X88" s="18" t="n">
        <v>0</v>
      </c>
      <c r="Y88" s="18" t="n">
        <v>0</v>
      </c>
      <c r="Z88" s="37" t="n">
        <v>90.95999999999999</v>
      </c>
      <c r="AB88" s="5" t="n"/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단기차입금의감소</t>
        </is>
      </c>
      <c r="F89" s="9" t="n"/>
      <c r="J89" s="18" t="n">
        <v>800</v>
      </c>
      <c r="K89" s="9" t="n"/>
      <c r="L89" s="18" t="n">
        <v>300</v>
      </c>
      <c r="M89" s="18" t="n">
        <v>0</v>
      </c>
      <c r="N89" s="18" t="n">
        <v>1750</v>
      </c>
      <c r="O89" s="18" t="n">
        <v>950</v>
      </c>
      <c r="P89" s="37" t="n">
        <v>3000</v>
      </c>
      <c r="Q89" s="18" t="n">
        <v>2350</v>
      </c>
      <c r="R89" s="18" t="n">
        <v>1780</v>
      </c>
      <c r="S89" s="18" t="n">
        <v>8000</v>
      </c>
      <c r="U89" s="9" t="n"/>
      <c r="X89" s="18" t="n">
        <v>0</v>
      </c>
      <c r="Y89" s="18" t="n">
        <v>0</v>
      </c>
      <c r="Z89" s="9" t="n"/>
      <c r="AB89" s="5" t="n"/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리스부채의상환</t>
        </is>
      </c>
      <c r="F90" s="9" t="n"/>
      <c r="K90" s="9" t="n"/>
      <c r="N90" s="18" t="n">
        <v>78.09</v>
      </c>
      <c r="P90" s="9" t="n"/>
      <c r="U90" s="9" t="n"/>
      <c r="V90" s="18" t="n">
        <v>117.61</v>
      </c>
      <c r="W90" s="18" t="n">
        <v>95.7</v>
      </c>
      <c r="Z90" s="9" t="n"/>
      <c r="AA90" s="18" t="n">
        <v>104.43</v>
      </c>
      <c r="AB90" s="19" t="n">
        <v>100.21</v>
      </c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자기주식의취득</t>
        </is>
      </c>
      <c r="F91" s="9" t="n"/>
      <c r="K91" s="9" t="n"/>
      <c r="N91" s="18" t="n">
        <v>0</v>
      </c>
      <c r="O91" s="18" t="n">
        <v>0</v>
      </c>
      <c r="P91" s="9" t="n"/>
      <c r="S91" s="18" t="n">
        <v>0.73</v>
      </c>
      <c r="T91" s="18" t="n">
        <v>0</v>
      </c>
      <c r="U91" s="9" t="n"/>
      <c r="Z91" s="9" t="n"/>
      <c r="AB91" s="5" t="n"/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>
        <f>IFERROR(VLOOKUP($D5,BS연결,MATCH(E$1,BS연결H,0),0)/100,"")</f>
        <v/>
      </c>
      <c r="F5" s="37" t="n"/>
      <c r="G5" s="18">
        <f>IFERROR(VLOOKUP($D5,BS연결,MATCH(G$1,BS연결H,0),0)/100,"")</f>
        <v/>
      </c>
      <c r="H5" s="18">
        <f>IFERROR(VLOOKUP($D5,BS연결,MATCH(H$1,BS연결H,0),0)/100,"")</f>
        <v/>
      </c>
      <c r="I5" s="18">
        <f>IFERROR(VLOOKUP($D5,BS연결,MATCH(I$1,BS연결H,0),0)/100,"")</f>
        <v/>
      </c>
      <c r="J5" s="18">
        <f>IFERROR(VLOOKUP($D5,BS연결,MATCH(J$1,BS연결H,0),0)/100,"")</f>
        <v/>
      </c>
      <c r="K5" s="37">
        <f>IFERROR(VLOOKUP($D5,BS연결,MATCH(K$1,BS연결H,0),0)/100,"")</f>
        <v/>
      </c>
      <c r="L5" s="18">
        <f>IFERROR(VLOOKUP($D5,BS연결,MATCH(L$1,BS연결H,0),0)/100,"")</f>
        <v/>
      </c>
      <c r="M5" s="18">
        <f>IFERROR(VLOOKUP($D5,BS연결,MATCH(M$1,BS연결H,0),0)/100,"")</f>
        <v/>
      </c>
      <c r="N5" s="18">
        <f>IFERROR(VLOOKUP($D5,BS연결,MATCH(N$1,BS연결H,0),0)/100,"")</f>
        <v/>
      </c>
      <c r="O5" s="18">
        <f>IFERROR(VLOOKUP($D5,BS연결,MATCH(O$1,BS연결H,0),0)/100,"")</f>
        <v/>
      </c>
      <c r="P5" s="37">
        <f>IFERROR(VLOOKUP($D5,BS연결,MATCH(P$1,BS연결H,0),0)/100,"")</f>
        <v/>
      </c>
      <c r="Q5" s="18">
        <f>IFERROR(VLOOKUP($D5,BS연결,MATCH(Q$1,BS연결H,0),0)/100,"")</f>
        <v/>
      </c>
      <c r="R5" s="18">
        <f>IFERROR(VLOOKUP($D5,BS연결,MATCH(R$1,BS연결H,0),0)/100,"")</f>
        <v/>
      </c>
      <c r="S5" s="18">
        <f>IFERROR(VLOOKUP($D5,BS연결,MATCH(S$1,BS연결H,0),0)/100,"")</f>
        <v/>
      </c>
      <c r="T5" s="18">
        <f>IFERROR(VLOOKUP($D5,BS연결,MATCH(T$1,BS연결H,0),0)/100,"")</f>
        <v/>
      </c>
      <c r="U5" s="37">
        <f>IFERROR(VLOOKUP($D5,BS연결,MATCH(U$1,BS연결H,0),0)/100,"")</f>
        <v/>
      </c>
      <c r="V5" s="18">
        <f>IFERROR(VLOOKUP($D5,BS연결,MATCH(V$1,BS연결H,0),0)/100,"")</f>
        <v/>
      </c>
      <c r="W5" s="18">
        <f>IFERROR(VLOOKUP($D5,BS연결,MATCH(W$1,BS연결H,0),0)/100,"")</f>
        <v/>
      </c>
      <c r="X5" s="18">
        <f>IFERROR(VLOOKUP($D5,BS연결,MATCH(X$1,BS연결H,0),0)/100,"")</f>
        <v/>
      </c>
      <c r="Y5" s="18">
        <f>IFERROR(VLOOKUP($D5,BS연결,MATCH(Y$1,BS연결H,0),0)/100,"")</f>
        <v/>
      </c>
      <c r="Z5" s="37">
        <f>IFERROR(VLOOKUP($D5,BS연결,MATCH(Z$1,BS연결H,0),0)/100,"")</f>
        <v/>
      </c>
      <c r="AA5" s="18">
        <f>IFERROR(VLOOKUP($D5,BS연결,MATCH(AA$1,BS연결H,0),0)/100,"")</f>
        <v/>
      </c>
      <c r="AB5" s="19">
        <f>IFERROR(VLOOKUP($D5,BS연결,MATCH(AB$1,BS연결H,0),0)/100,"")</f>
        <v/>
      </c>
      <c r="AC5" s="20">
        <f>IFERROR(X5*(1+변수!AC21),"")</f>
        <v/>
      </c>
      <c r="AD5" s="20">
        <f>IFERROR(Y5*(1+변수!AD21),"")</f>
        <v/>
      </c>
      <c r="AE5" s="38">
        <f>SUM(AA5:AD5)</f>
        <v/>
      </c>
      <c r="AF5" s="20">
        <f>IFERROR(AA5*(1+변수!AF21),"")</f>
        <v/>
      </c>
      <c r="AG5" s="20">
        <f>IFERROR(AB5*(1+변수!AG21),"")</f>
        <v/>
      </c>
      <c r="AH5" s="20">
        <f>IFERROR(AC5*(1+변수!AH21),"")</f>
        <v/>
      </c>
      <c r="AI5" s="20">
        <f>IFERROR(AD5*(1+변수!AI21),"")</f>
        <v/>
      </c>
      <c r="AJ5" s="38">
        <f>SUM(AF5:AI5)</f>
        <v/>
      </c>
      <c r="AK5" s="20">
        <f>IFERROR(AF5*(1+변수!AK21),"")</f>
        <v/>
      </c>
      <c r="AL5" s="20">
        <f>IFERROR(AG5*(1+변수!AL21),"")</f>
        <v/>
      </c>
      <c r="AM5" s="20">
        <f>IFERROR(AH5*(1+변수!AM21),"")</f>
        <v/>
      </c>
      <c r="AN5" s="20">
        <f>IFERROR(AI5*(1+변수!AN21),"")</f>
        <v/>
      </c>
      <c r="AO5" s="38">
        <f>SUM(AK5:AN5)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>
        <f>IFERROR(VLOOKUP($D6,BS연결,MATCH(E$1,BS연결H,0),0)/100,"")</f>
        <v/>
      </c>
      <c r="F6" s="37" t="n"/>
      <c r="G6" s="18">
        <f>IFERROR(VLOOKUP($D6,BS연결,MATCH(G$1,BS연결H,0),0)/100,"")</f>
        <v/>
      </c>
      <c r="H6" s="18">
        <f>IFERROR(VLOOKUP($D6,BS연결,MATCH(H$1,BS연결H,0),0)/100,"")</f>
        <v/>
      </c>
      <c r="I6" s="18">
        <f>IFERROR(VLOOKUP($D6,BS연결,MATCH(I$1,BS연결H,0),0)/100,"")</f>
        <v/>
      </c>
      <c r="J6" s="18">
        <f>IFERROR(VLOOKUP($D6,BS연결,MATCH(J$1,BS연결H,0),0)/100,"")</f>
        <v/>
      </c>
      <c r="K6" s="37">
        <f>IFERROR(VLOOKUP($D6,BS연결,MATCH(K$1,BS연결H,0),0)/100,"")</f>
        <v/>
      </c>
      <c r="L6" s="18">
        <f>IFERROR(VLOOKUP($D6,BS연결,MATCH(L$1,BS연결H,0),0)/100,"")</f>
        <v/>
      </c>
      <c r="M6" s="18">
        <f>IFERROR(VLOOKUP($D6,BS연결,MATCH(M$1,BS연결H,0),0)/100,"")</f>
        <v/>
      </c>
      <c r="N6" s="18">
        <f>IFERROR(VLOOKUP($D6,BS연결,MATCH(N$1,BS연결H,0),0)/100,"")</f>
        <v/>
      </c>
      <c r="O6" s="18">
        <f>IFERROR(VLOOKUP($D6,BS연결,MATCH(O$1,BS연결H,0),0)/100,"")</f>
        <v/>
      </c>
      <c r="P6" s="37">
        <f>IFERROR(VLOOKUP($D6,BS연결,MATCH(P$1,BS연결H,0),0)/100,"")</f>
        <v/>
      </c>
      <c r="Q6" s="18">
        <f>IFERROR(VLOOKUP($D6,BS연결,MATCH(Q$1,BS연결H,0),0)/100,"")</f>
        <v/>
      </c>
      <c r="R6" s="18">
        <f>IFERROR(VLOOKUP($D6,BS연결,MATCH(R$1,BS연결H,0),0)/100,"")</f>
        <v/>
      </c>
      <c r="S6" s="18">
        <f>IFERROR(VLOOKUP($D6,BS연결,MATCH(S$1,BS연결H,0),0)/100,"")</f>
        <v/>
      </c>
      <c r="T6" s="18">
        <f>IFERROR(VLOOKUP($D6,BS연결,MATCH(T$1,BS연결H,0),0)/100,"")</f>
        <v/>
      </c>
      <c r="U6" s="37">
        <f>IFERROR(VLOOKUP($D6,BS연결,MATCH(U$1,BS연결H,0),0)/100,"")</f>
        <v/>
      </c>
      <c r="V6" s="18">
        <f>IFERROR(VLOOKUP($D6,BS연결,MATCH(V$1,BS연결H,0),0)/100,"")</f>
        <v/>
      </c>
      <c r="W6" s="18">
        <f>IFERROR(VLOOKUP($D6,BS연결,MATCH(W$1,BS연결H,0),0)/100,"")</f>
        <v/>
      </c>
      <c r="X6" s="18">
        <f>IFERROR(VLOOKUP($D6,BS연결,MATCH(X$1,BS연결H,0),0)/100,"")</f>
        <v/>
      </c>
      <c r="Y6" s="18">
        <f>IFERROR(VLOOKUP($D6,BS연결,MATCH(Y$1,BS연결H,0),0)/100,"")</f>
        <v/>
      </c>
      <c r="Z6" s="37">
        <f>IFERROR(VLOOKUP($D6,BS연결,MATCH(Z$1,BS연결H,0),0)/100,"")</f>
        <v/>
      </c>
      <c r="AA6" s="18">
        <f>IFERROR(VLOOKUP($D6,BS연결,MATCH(AA$1,BS연결H,0),0)/100,"")</f>
        <v/>
      </c>
      <c r="AB6" s="19">
        <f>IFERROR(VLOOKUP($D6,BS연결,MATCH(AB$1,BS연결H,0),0)/100,"")</f>
        <v/>
      </c>
      <c r="AC6" s="20">
        <f>IFERROR(AC5-AC7,"")</f>
        <v/>
      </c>
      <c r="AD6" s="20">
        <f>IFERROR(AD5-AD7,"")</f>
        <v/>
      </c>
      <c r="AE6" s="38">
        <f>SUM(AA6:AD6)</f>
        <v/>
      </c>
      <c r="AF6" s="20">
        <f>IFERROR(AF5-AF7,"")</f>
        <v/>
      </c>
      <c r="AG6" s="20">
        <f>IFERROR(AG5-AG7,"")</f>
        <v/>
      </c>
      <c r="AH6" s="20">
        <f>IFERROR(AH5-AH7,"")</f>
        <v/>
      </c>
      <c r="AI6" s="20">
        <f>IFERROR(AI5-AI7,"")</f>
        <v/>
      </c>
      <c r="AJ6" s="38">
        <f>SUM(AF6:AI6)</f>
        <v/>
      </c>
      <c r="AK6" s="20">
        <f>IFERROR(AK5-AK7,"")</f>
        <v/>
      </c>
      <c r="AL6" s="20">
        <f>IFERROR(AL5-AL7,"")</f>
        <v/>
      </c>
      <c r="AM6" s="20">
        <f>IFERROR(AM5-AM7,"")</f>
        <v/>
      </c>
      <c r="AN6" s="20">
        <f>IFERROR(AN5-AN7,"")</f>
        <v/>
      </c>
      <c r="AO6" s="38">
        <f>SUM(AK6:AN6)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>
        <f>IFERROR(VLOOKUP($D7,BS연결,MATCH(E$1,BS연결H,0),0)/100,"")</f>
        <v/>
      </c>
      <c r="F7" s="37" t="n"/>
      <c r="G7" s="18">
        <f>IFERROR(VLOOKUP($D7,BS연결,MATCH(G$1,BS연결H,0),0)/100,"")</f>
        <v/>
      </c>
      <c r="H7" s="18">
        <f>IFERROR(VLOOKUP($D7,BS연결,MATCH(H$1,BS연결H,0),0)/100,"")</f>
        <v/>
      </c>
      <c r="I7" s="18">
        <f>IFERROR(VLOOKUP($D7,BS연결,MATCH(I$1,BS연결H,0),0)/100,"")</f>
        <v/>
      </c>
      <c r="J7" s="18">
        <f>IFERROR(VLOOKUP($D7,BS연결,MATCH(J$1,BS연결H,0),0)/100,"")</f>
        <v/>
      </c>
      <c r="K7" s="37">
        <f>IFERROR(VLOOKUP($D7,BS연결,MATCH(K$1,BS연결H,0),0)/100,"")</f>
        <v/>
      </c>
      <c r="L7" s="18">
        <f>IFERROR(VLOOKUP($D7,BS연결,MATCH(L$1,BS연결H,0),0)/100,"")</f>
        <v/>
      </c>
      <c r="M7" s="18">
        <f>IFERROR(VLOOKUP($D7,BS연결,MATCH(M$1,BS연결H,0),0)/100,"")</f>
        <v/>
      </c>
      <c r="N7" s="18">
        <f>IFERROR(VLOOKUP($D7,BS연결,MATCH(N$1,BS연결H,0),0)/100,"")</f>
        <v/>
      </c>
      <c r="O7" s="18">
        <f>IFERROR(VLOOKUP($D7,BS연결,MATCH(O$1,BS연결H,0),0)/100,"")</f>
        <v/>
      </c>
      <c r="P7" s="37">
        <f>IFERROR(VLOOKUP($D7,BS연결,MATCH(P$1,BS연결H,0),0)/100,"")</f>
        <v/>
      </c>
      <c r="Q7" s="18">
        <f>IFERROR(VLOOKUP($D7,BS연결,MATCH(Q$1,BS연결H,0),0)/100,"")</f>
        <v/>
      </c>
      <c r="R7" s="18">
        <f>IFERROR(VLOOKUP($D7,BS연결,MATCH(R$1,BS연결H,0),0)/100,"")</f>
        <v/>
      </c>
      <c r="S7" s="18">
        <f>IFERROR(VLOOKUP($D7,BS연결,MATCH(S$1,BS연결H,0),0)/100,"")</f>
        <v/>
      </c>
      <c r="T7" s="18">
        <f>IFERROR(VLOOKUP($D7,BS연결,MATCH(T$1,BS연결H,0),0)/100,"")</f>
        <v/>
      </c>
      <c r="U7" s="37">
        <f>IFERROR(VLOOKUP($D7,BS연결,MATCH(U$1,BS연결H,0),0)/100,"")</f>
        <v/>
      </c>
      <c r="V7" s="18">
        <f>IFERROR(VLOOKUP($D7,BS연결,MATCH(V$1,BS연결H,0),0)/100,"")</f>
        <v/>
      </c>
      <c r="W7" s="18">
        <f>IFERROR(VLOOKUP($D7,BS연결,MATCH(W$1,BS연결H,0),0)/100,"")</f>
        <v/>
      </c>
      <c r="X7" s="18">
        <f>IFERROR(VLOOKUP($D7,BS연결,MATCH(X$1,BS연결H,0),0)/100,"")</f>
        <v/>
      </c>
      <c r="Y7" s="18">
        <f>IFERROR(VLOOKUP($D7,BS연결,MATCH(Y$1,BS연결H,0),0)/100,"")</f>
        <v/>
      </c>
      <c r="Z7" s="37">
        <f>IFERROR(VLOOKUP($D7,BS연결,MATCH(Z$1,BS연결H,0),0)/100,"")</f>
        <v/>
      </c>
      <c r="AA7" s="18">
        <f>IFERROR(VLOOKUP($D7,BS연결,MATCH(AA$1,BS연결H,0),0)/100,"")</f>
        <v/>
      </c>
      <c r="AB7" s="19">
        <f>IFERROR(VLOOKUP($D7,BS연결,MATCH(AB$1,BS연결H,0),0)/100,"")</f>
        <v/>
      </c>
      <c r="AC7" s="20">
        <f>IFERROR(AC9+AC8,"")</f>
        <v/>
      </c>
      <c r="AD7" s="20">
        <f>IFERROR(AD9+AD8,"")</f>
        <v/>
      </c>
      <c r="AE7" s="38">
        <f>SUM(AA7:AD7)</f>
        <v/>
      </c>
      <c r="AF7" s="20">
        <f>IFERROR(AF9+AF8,"")</f>
        <v/>
      </c>
      <c r="AG7" s="20">
        <f>IFERROR(AG9+AG8,"")</f>
        <v/>
      </c>
      <c r="AH7" s="20">
        <f>IFERROR(AH9+AH8,"")</f>
        <v/>
      </c>
      <c r="AI7" s="20">
        <f>IFERROR(AI9+AI8,"")</f>
        <v/>
      </c>
      <c r="AJ7" s="38">
        <f>SUM(AF7:AI7)</f>
        <v/>
      </c>
      <c r="AK7" s="20">
        <f>IFERROR(AK9+AK8,"")</f>
        <v/>
      </c>
      <c r="AL7" s="20">
        <f>IFERROR(AL9+AL8,"")</f>
        <v/>
      </c>
      <c r="AM7" s="20">
        <f>IFERROR(AM9+AM8,"")</f>
        <v/>
      </c>
      <c r="AN7" s="20">
        <f>IFERROR(AN9+AN8,"")</f>
        <v/>
      </c>
      <c r="AO7" s="38">
        <f>SUM(AK7:AN7)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>
        <f>IFERROR(VLOOKUP($D8,BS연결,MATCH(E$1,BS연결H,0),0)/100,"")</f>
        <v/>
      </c>
      <c r="F8" s="37" t="n"/>
      <c r="G8" s="18">
        <f>IFERROR(VLOOKUP($D8,BS연결,MATCH(G$1,BS연결H,0),0)/100,"")</f>
        <v/>
      </c>
      <c r="H8" s="18">
        <f>IFERROR(VLOOKUP($D8,BS연결,MATCH(H$1,BS연결H,0),0)/100,"")</f>
        <v/>
      </c>
      <c r="I8" s="18">
        <f>IFERROR(VLOOKUP($D8,BS연결,MATCH(I$1,BS연결H,0),0)/100,"")</f>
        <v/>
      </c>
      <c r="J8" s="18">
        <f>IFERROR(VLOOKUP($D8,BS연결,MATCH(J$1,BS연결H,0),0)/100,"")</f>
        <v/>
      </c>
      <c r="K8" s="37">
        <f>IFERROR(VLOOKUP($D8,BS연결,MATCH(K$1,BS연결H,0),0)/100,"")</f>
        <v/>
      </c>
      <c r="L8" s="18">
        <f>IFERROR(VLOOKUP($D8,BS연결,MATCH(L$1,BS연결H,0),0)/100,"")</f>
        <v/>
      </c>
      <c r="M8" s="18">
        <f>IFERROR(VLOOKUP($D8,BS연결,MATCH(M$1,BS연결H,0),0)/100,"")</f>
        <v/>
      </c>
      <c r="N8" s="18">
        <f>IFERROR(VLOOKUP($D8,BS연결,MATCH(N$1,BS연결H,0),0)/100,"")</f>
        <v/>
      </c>
      <c r="O8" s="18">
        <f>IFERROR(VLOOKUP($D8,BS연결,MATCH(O$1,BS연결H,0),0)/100,"")</f>
        <v/>
      </c>
      <c r="P8" s="37">
        <f>IFERROR(VLOOKUP($D8,BS연결,MATCH(P$1,BS연결H,0),0)/100,"")</f>
        <v/>
      </c>
      <c r="Q8" s="18">
        <f>IFERROR(VLOOKUP($D8,BS연결,MATCH(Q$1,BS연결H,0),0)/100,"")</f>
        <v/>
      </c>
      <c r="R8" s="18">
        <f>IFERROR(VLOOKUP($D8,BS연결,MATCH(R$1,BS연결H,0),0)/100,"")</f>
        <v/>
      </c>
      <c r="S8" s="18">
        <f>IFERROR(VLOOKUP($D8,BS연결,MATCH(S$1,BS연결H,0),0)/100,"")</f>
        <v/>
      </c>
      <c r="T8" s="18">
        <f>IFERROR(VLOOKUP($D8,BS연결,MATCH(T$1,BS연결H,0),0)/100,"")</f>
        <v/>
      </c>
      <c r="U8" s="37">
        <f>IFERROR(VLOOKUP($D8,BS연결,MATCH(U$1,BS연결H,0),0)/100,"")</f>
        <v/>
      </c>
      <c r="V8" s="18">
        <f>IFERROR(VLOOKUP($D8,BS연결,MATCH(V$1,BS연결H,0),0)/100,"")</f>
        <v/>
      </c>
      <c r="W8" s="18">
        <f>IFERROR(VLOOKUP($D8,BS연결,MATCH(W$1,BS연결H,0),0)/100,"")</f>
        <v/>
      </c>
      <c r="X8" s="18">
        <f>IFERROR(VLOOKUP($D8,BS연결,MATCH(X$1,BS연결H,0),0)/100,"")</f>
        <v/>
      </c>
      <c r="Y8" s="18">
        <f>IFERROR(VLOOKUP($D8,BS연결,MATCH(Y$1,BS연결H,0),0)/100,"")</f>
        <v/>
      </c>
      <c r="Z8" s="37">
        <f>IFERROR(VLOOKUP($D8,BS연결,MATCH(Z$1,BS연결H,0),0)/100,"")</f>
        <v/>
      </c>
      <c r="AA8" s="18">
        <f>IFERROR(VLOOKUP($D8,BS연결,MATCH(AA$1,BS연결H,0),0)/100,"")</f>
        <v/>
      </c>
      <c r="AB8" s="19">
        <f>IFERROR(VLOOKUP($D8,BS연결,MATCH(AB$1,BS연결H,0),0)/100,"")</f>
        <v/>
      </c>
      <c r="AC8" s="20">
        <f>IFERROR(AC5*변수!AC22,"")</f>
        <v/>
      </c>
      <c r="AD8" s="20">
        <f>IFERROR(AD5*변수!AD22,"")</f>
        <v/>
      </c>
      <c r="AE8" s="38">
        <f>SUM(AA8:AD8)</f>
        <v/>
      </c>
      <c r="AF8" s="20">
        <f>IFERROR(AF5*변수!AF22,"")</f>
        <v/>
      </c>
      <c r="AG8" s="20">
        <f>IFERROR(AG5*변수!AG22,"")</f>
        <v/>
      </c>
      <c r="AH8" s="20">
        <f>IFERROR(AH5*변수!AH22,"")</f>
        <v/>
      </c>
      <c r="AI8" s="20">
        <f>IFERROR(AI5*변수!AI22,"")</f>
        <v/>
      </c>
      <c r="AJ8" s="38">
        <f>SUM(AF8:AI8)</f>
        <v/>
      </c>
      <c r="AK8" s="20">
        <f>IFERROR(AK5*변수!AK22,"")</f>
        <v/>
      </c>
      <c r="AL8" s="20">
        <f>IFERROR(AL5*변수!AL22,"")</f>
        <v/>
      </c>
      <c r="AM8" s="20">
        <f>IFERROR(AM5*변수!AM22,"")</f>
        <v/>
      </c>
      <c r="AN8" s="20">
        <f>IFERROR(AN5*변수!AN22,"")</f>
        <v/>
      </c>
      <c r="AO8" s="38">
        <f>SUM(AK8:AN8)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>
        <f>IFERROR(VLOOKUP($D9,BS연결,MATCH(E$1,BS연결H,0),0)/100,"")</f>
        <v/>
      </c>
      <c r="F9" s="37" t="n"/>
      <c r="G9" s="18">
        <f>IFERROR(VLOOKUP($D9,BS연결,MATCH(G$1,BS연결H,0),0)/100,"")</f>
        <v/>
      </c>
      <c r="H9" s="18">
        <f>IFERROR(VLOOKUP($D9,BS연결,MATCH(H$1,BS연결H,0),0)/100,"")</f>
        <v/>
      </c>
      <c r="I9" s="18">
        <f>IFERROR(VLOOKUP($D9,BS연결,MATCH(I$1,BS연결H,0),0)/100,"")</f>
        <v/>
      </c>
      <c r="J9" s="18">
        <f>IFERROR(VLOOKUP($D9,BS연결,MATCH(J$1,BS연결H,0),0)/100,"")</f>
        <v/>
      </c>
      <c r="K9" s="37">
        <f>IFERROR(VLOOKUP($D9,BS연결,MATCH(K$1,BS연결H,0),0)/100,"")</f>
        <v/>
      </c>
      <c r="L9" s="18">
        <f>IFERROR(VLOOKUP($D9,BS연결,MATCH(L$1,BS연결H,0),0)/100,"")</f>
        <v/>
      </c>
      <c r="M9" s="18">
        <f>IFERROR(VLOOKUP($D9,BS연결,MATCH(M$1,BS연결H,0),0)/100,"")</f>
        <v/>
      </c>
      <c r="N9" s="18">
        <f>IFERROR(VLOOKUP($D9,BS연결,MATCH(N$1,BS연결H,0),0)/100,"")</f>
        <v/>
      </c>
      <c r="O9" s="18">
        <f>IFERROR(VLOOKUP($D9,BS연결,MATCH(O$1,BS연결H,0),0)/100,"")</f>
        <v/>
      </c>
      <c r="P9" s="37">
        <f>IFERROR(VLOOKUP($D9,BS연결,MATCH(P$1,BS연결H,0),0)/100,"")</f>
        <v/>
      </c>
      <c r="Q9" s="18">
        <f>IFERROR(VLOOKUP($D9,BS연결,MATCH(Q$1,BS연결H,0),0)/100,"")</f>
        <v/>
      </c>
      <c r="R9" s="18">
        <f>IFERROR(VLOOKUP($D9,BS연결,MATCH(R$1,BS연결H,0),0)/100,"")</f>
        <v/>
      </c>
      <c r="S9" s="18">
        <f>IFERROR(VLOOKUP($D9,BS연결,MATCH(S$1,BS연결H,0),0)/100,"")</f>
        <v/>
      </c>
      <c r="T9" s="18">
        <f>IFERROR(VLOOKUP($D9,BS연결,MATCH(T$1,BS연결H,0),0)/100,"")</f>
        <v/>
      </c>
      <c r="U9" s="37">
        <f>IFERROR(VLOOKUP($D9,BS연결,MATCH(U$1,BS연결H,0),0)/100,"")</f>
        <v/>
      </c>
      <c r="V9" s="18">
        <f>IFERROR(VLOOKUP($D9,BS연결,MATCH(V$1,BS연결H,0),0)/100,"")</f>
        <v/>
      </c>
      <c r="W9" s="18">
        <f>IFERROR(VLOOKUP($D9,BS연결,MATCH(W$1,BS연결H,0),0)/100,"")</f>
        <v/>
      </c>
      <c r="X9" s="18">
        <f>IFERROR(VLOOKUP($D9,BS연결,MATCH(X$1,BS연결H,0),0)/100,"")</f>
        <v/>
      </c>
      <c r="Y9" s="18">
        <f>IFERROR(VLOOKUP($D9,BS연결,MATCH(Y$1,BS연결H,0),0)/100,"")</f>
        <v/>
      </c>
      <c r="Z9" s="37">
        <f>IFERROR(VLOOKUP($D9,BS연결,MATCH(Z$1,BS연결H,0),0)/100,"")</f>
        <v/>
      </c>
      <c r="AA9" s="18">
        <f>IFERROR(VLOOKUP($D9,BS연결,MATCH(AA$1,BS연결H,0),0)/100,"")</f>
        <v/>
      </c>
      <c r="AB9" s="19">
        <f>IFERROR(VLOOKUP($D9,BS연결,MATCH(AB$1,BS연결H,0),0)/100,"")</f>
        <v/>
      </c>
      <c r="AC9" s="20">
        <f>IFERROR(AC5*변수!AC23,"")</f>
        <v/>
      </c>
      <c r="AD9" s="20">
        <f>IFERROR(AD5*변수!AD23,"")</f>
        <v/>
      </c>
      <c r="AE9" s="38">
        <f>SUM(AA9:AD9)</f>
        <v/>
      </c>
      <c r="AF9" s="20">
        <f>IFERROR(AF5*변수!AF23,"")</f>
        <v/>
      </c>
      <c r="AG9" s="20">
        <f>IFERROR(AG5*변수!AG23,"")</f>
        <v/>
      </c>
      <c r="AH9" s="20">
        <f>IFERROR(AH5*변수!AH23,"")</f>
        <v/>
      </c>
      <c r="AI9" s="20">
        <f>IFERROR(AI5*변수!AI23,"")</f>
        <v/>
      </c>
      <c r="AJ9" s="38">
        <f>SUM(AF9:AI9)</f>
        <v/>
      </c>
      <c r="AK9" s="20">
        <f>IFERROR(AK5*변수!AK23,"")</f>
        <v/>
      </c>
      <c r="AL9" s="20">
        <f>IFERROR(AL5*변수!AL23,"")</f>
        <v/>
      </c>
      <c r="AM9" s="20">
        <f>IFERROR(AM5*변수!AM23,"")</f>
        <v/>
      </c>
      <c r="AN9" s="20">
        <f>IFERROR(AN5*변수!AN23,"")</f>
        <v/>
      </c>
      <c r="AO9" s="38">
        <f>SUM(AK9:AN9)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21">
        <f>IFERROR(E9/E5,"")</f>
        <v/>
      </c>
      <c r="F10" s="22" t="n"/>
      <c r="G10" s="21">
        <f>IFERROR(G9/G5,"")</f>
        <v/>
      </c>
      <c r="H10" s="21">
        <f>IFERROR(H9/H5,"")</f>
        <v/>
      </c>
      <c r="I10" s="21">
        <f>IFERROR(I9/I5,"")</f>
        <v/>
      </c>
      <c r="J10" s="21">
        <f>IFERROR(J9/J5,"")</f>
        <v/>
      </c>
      <c r="K10" s="22">
        <f>IFERROR(K9/K5,"")</f>
        <v/>
      </c>
      <c r="L10" s="21">
        <f>IFERROR(L9/L5,"")</f>
        <v/>
      </c>
      <c r="M10" s="21">
        <f>IFERROR(M9/M5,"")</f>
        <v/>
      </c>
      <c r="N10" s="21">
        <f>IFERROR(N9/N5,"")</f>
        <v/>
      </c>
      <c r="O10" s="21">
        <f>IFERROR(O9/O5,"")</f>
        <v/>
      </c>
      <c r="P10" s="22">
        <f>IFERROR(P9/P5,"")</f>
        <v/>
      </c>
      <c r="Q10" s="21">
        <f>IFERROR(Q9/Q5,"")</f>
        <v/>
      </c>
      <c r="R10" s="21">
        <f>IFERROR(R9/R5,"")</f>
        <v/>
      </c>
      <c r="S10" s="21">
        <f>IFERROR(S9/S5,"")</f>
        <v/>
      </c>
      <c r="T10" s="21">
        <f>IFERROR(T9/T5,"")</f>
        <v/>
      </c>
      <c r="U10" s="22">
        <f>IFERROR(U9/U5,"")</f>
        <v/>
      </c>
      <c r="V10" s="21">
        <f>IFERROR(V9/V5,"")</f>
        <v/>
      </c>
      <c r="W10" s="21">
        <f>IFERROR(W9/W5,"")</f>
        <v/>
      </c>
      <c r="X10" s="21">
        <f>IFERROR(X9/X5,"")</f>
        <v/>
      </c>
      <c r="Y10" s="21">
        <f>IFERROR(Y9/Y5,"")</f>
        <v/>
      </c>
      <c r="Z10" s="22">
        <f>IFERROR(Z9/Z5,"")</f>
        <v/>
      </c>
      <c r="AA10" s="21">
        <f>IFERROR(AA9/AA5,"")</f>
        <v/>
      </c>
      <c r="AB10" s="23">
        <f>IFERROR(AB9/AB5,"")</f>
        <v/>
      </c>
      <c r="AC10" s="33">
        <f>IFERROR(AC9/AC5,"")</f>
        <v/>
      </c>
      <c r="AD10" s="33">
        <f>IFERROR(AD9/AD5,"")</f>
        <v/>
      </c>
      <c r="AE10" s="25">
        <f>IFERROR(AE9/AE5,"")</f>
        <v/>
      </c>
      <c r="AF10" s="33">
        <f>IFERROR(AF9/AF5,"")</f>
        <v/>
      </c>
      <c r="AG10" s="33">
        <f>IFERROR(AG9/AG5,"")</f>
        <v/>
      </c>
      <c r="AH10" s="33">
        <f>IFERROR(AH9/AH5,"")</f>
        <v/>
      </c>
      <c r="AI10" s="33">
        <f>IFERROR(AI9/AI5,"")</f>
        <v/>
      </c>
      <c r="AJ10" s="25">
        <f>IFERROR(AJ9/AJ5,"")</f>
        <v/>
      </c>
      <c r="AK10" s="33">
        <f>IFERROR(AK9/AK5,"")</f>
        <v/>
      </c>
      <c r="AL10" s="33">
        <f>IFERROR(AL9/AL5,"")</f>
        <v/>
      </c>
      <c r="AM10" s="33">
        <f>IFERROR(AM9/AM5,"")</f>
        <v/>
      </c>
      <c r="AN10" s="33">
        <f>IFERROR(AN9/AN5,"")</f>
        <v/>
      </c>
      <c r="AO10" s="25">
        <f>IFERROR(AO9/AO5,"")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>
        <f>IFERROR(VLOOKUP($D11,BS연결,MATCH(E$1,BS연결H,0),0)/100,"")</f>
        <v/>
      </c>
      <c r="F11" s="37" t="n"/>
      <c r="G11" s="18">
        <f>IFERROR(VLOOKUP($D11,BS연결,MATCH(G$1,BS연결H,0),0)/100,"")</f>
        <v/>
      </c>
      <c r="H11" s="18">
        <f>IFERROR(VLOOKUP($D11,BS연결,MATCH(H$1,BS연결H,0),0)/100,"")</f>
        <v/>
      </c>
      <c r="I11" s="18">
        <f>IFERROR(VLOOKUP($D11,BS연결,MATCH(I$1,BS연결H,0),0)/100,"")</f>
        <v/>
      </c>
      <c r="J11" s="18">
        <f>IFERROR(VLOOKUP($D11,BS연결,MATCH(J$1,BS연결H,0),0)/100,"")</f>
        <v/>
      </c>
      <c r="K11" s="37">
        <f>IFERROR(VLOOKUP($D11,BS연결,MATCH(K$1,BS연결H,0),0)/100,"")</f>
        <v/>
      </c>
      <c r="L11" s="18">
        <f>IFERROR(VLOOKUP($D11,BS연결,MATCH(L$1,BS연결H,0),0)/100,"")</f>
        <v/>
      </c>
      <c r="M11" s="18">
        <f>IFERROR(VLOOKUP($D11,BS연결,MATCH(M$1,BS연결H,0),0)/100,"")</f>
        <v/>
      </c>
      <c r="N11" s="18">
        <f>IFERROR(VLOOKUP($D11,BS연결,MATCH(N$1,BS연결H,0),0)/100,"")</f>
        <v/>
      </c>
      <c r="O11" s="18">
        <f>IFERROR(VLOOKUP($D11,BS연결,MATCH(O$1,BS연결H,0),0)/100,"")</f>
        <v/>
      </c>
      <c r="P11" s="37">
        <f>IFERROR(VLOOKUP($D11,BS연결,MATCH(P$1,BS연결H,0),0)/100,"")</f>
        <v/>
      </c>
      <c r="Q11" s="18">
        <f>IFERROR(VLOOKUP($D11,BS연결,MATCH(Q$1,BS연결H,0),0)/100,"")</f>
        <v/>
      </c>
      <c r="R11" s="18">
        <f>IFERROR(VLOOKUP($D11,BS연결,MATCH(R$1,BS연결H,0),0)/100,"")</f>
        <v/>
      </c>
      <c r="S11" s="18">
        <f>IFERROR(VLOOKUP($D11,BS연결,MATCH(S$1,BS연결H,0),0)/100,"")</f>
        <v/>
      </c>
      <c r="T11" s="18">
        <f>IFERROR(VLOOKUP($D11,BS연결,MATCH(T$1,BS연결H,0),0)/100,"")</f>
        <v/>
      </c>
      <c r="U11" s="37">
        <f>IFERROR(VLOOKUP($D11,BS연결,MATCH(U$1,BS연결H,0),0)/100,"")</f>
        <v/>
      </c>
      <c r="V11" s="18">
        <f>IFERROR(VLOOKUP($D11,BS연결,MATCH(V$1,BS연결H,0),0)/100,"")</f>
        <v/>
      </c>
      <c r="W11" s="18">
        <f>IFERROR(VLOOKUP($D11,BS연결,MATCH(W$1,BS연결H,0),0)/100,"")</f>
        <v/>
      </c>
      <c r="X11" s="18">
        <f>IFERROR(VLOOKUP($D11,BS연결,MATCH(X$1,BS연결H,0),0)/100,"")</f>
        <v/>
      </c>
      <c r="Y11" s="18">
        <f>IFERROR(VLOOKUP($D11,BS연결,MATCH(Y$1,BS연결H,0),0)/100,"")</f>
        <v/>
      </c>
      <c r="Z11" s="37">
        <f>IFERROR(VLOOKUP($D11,BS연결,MATCH(Z$1,BS연결H,0),0)/100,"")</f>
        <v/>
      </c>
      <c r="AA11" s="18">
        <f>IFERROR(VLOOKUP($D11,BS연결,MATCH(AA$1,BS연결H,0),0)/100,"")</f>
        <v/>
      </c>
      <c r="AB11" s="19">
        <f>IFERROR(VLOOKUP($D11,BS연결,MATCH(AB$1,BS연결H,0),0)/100,"")</f>
        <v/>
      </c>
      <c r="AC11" s="20">
        <f>IFERROR(AC12+AC13+AC14+AC15,"")</f>
        <v/>
      </c>
      <c r="AD11" s="20">
        <f>IFERROR(AD12+AD13+AD14+AD15,"")</f>
        <v/>
      </c>
      <c r="AE11" s="38">
        <f>SUM(AA11:AD11)</f>
        <v/>
      </c>
      <c r="AF11" s="20">
        <f>IFERROR(AF12+AF13+AF14+AF15,"")</f>
        <v/>
      </c>
      <c r="AG11" s="20">
        <f>IFERROR(AG12+AG13+AG14+AG15,"")</f>
        <v/>
      </c>
      <c r="AH11" s="20">
        <f>IFERROR(AH12+AH13+AH14+AH15,"")</f>
        <v/>
      </c>
      <c r="AI11" s="20">
        <f>IFERROR(AI12+AI13+AI14+AI15,"")</f>
        <v/>
      </c>
      <c r="AJ11" s="38">
        <f>SUM(AF11:AI11)</f>
        <v/>
      </c>
      <c r="AK11" s="20">
        <f>IFERROR(AK12+AK13+AK14+AK15,"")</f>
        <v/>
      </c>
      <c r="AL11" s="20">
        <f>IFERROR(AL12+AL13+AL14+AL15,"")</f>
        <v/>
      </c>
      <c r="AM11" s="20">
        <f>IFERROR(AM12+AM13+AM14+AM15,"")</f>
        <v/>
      </c>
      <c r="AN11" s="20">
        <f>IFERROR(AN12+AN13+AN14+AN15,"")</f>
        <v/>
      </c>
      <c r="AO11" s="38">
        <f>SUM(AK11:AN11)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 t="n"/>
      <c r="F12" s="37" t="n"/>
      <c r="G12" s="18">
        <f>IFERROR(VLOOKUP($D12,BS연결,MATCH(G$1,BS연결H,0),0)/100,"")</f>
        <v/>
      </c>
      <c r="H12" s="18">
        <f>IFERROR(VLOOKUP($D12,BS연결,MATCH(H$1,BS연결H,0),0)/100,"")</f>
        <v/>
      </c>
      <c r="I12" s="18">
        <f>IFERROR(VLOOKUP($D12,BS연결,MATCH(I$1,BS연결H,0),0)/100,"")</f>
        <v/>
      </c>
      <c r="J12" s="18">
        <f>IFERROR(VLOOKUP($D12,BS연결,MATCH(J$1,BS연결H,0),0)/100,"")</f>
        <v/>
      </c>
      <c r="K12" s="37">
        <f>IFERROR(VLOOKUP($D12,BS연결,MATCH(K$1,BS연결H,0),0)/100,"")</f>
        <v/>
      </c>
      <c r="L12" s="18">
        <f>IFERROR(VLOOKUP($D12,BS연결,MATCH(L$1,BS연결H,0),0)/100,"")</f>
        <v/>
      </c>
      <c r="M12" s="18">
        <f>IFERROR(VLOOKUP($D12,BS연결,MATCH(M$1,BS연결H,0),0)/100,"")</f>
        <v/>
      </c>
      <c r="N12" s="18">
        <f>IFERROR(VLOOKUP($D12,BS연결,MATCH(N$1,BS연결H,0),0)/100,"")</f>
        <v/>
      </c>
      <c r="O12" s="18">
        <f>IFERROR(VLOOKUP($D12,BS연결,MATCH(O$1,BS연결H,0),0)/100,"")</f>
        <v/>
      </c>
      <c r="P12" s="37">
        <f>IFERROR(VLOOKUP($D12,BS연결,MATCH(P$1,BS연결H,0),0)/100,"")</f>
        <v/>
      </c>
      <c r="Q12" s="18">
        <f>IFERROR(VLOOKUP($D12,BS연결,MATCH(Q$1,BS연결H,0),0)/100,"")</f>
        <v/>
      </c>
      <c r="R12" s="18" t="n"/>
      <c r="S12" s="18" t="n"/>
      <c r="T12" s="18" t="n"/>
      <c r="U12" s="37">
        <f>SUM(Q12:T12)</f>
        <v/>
      </c>
      <c r="V12" s="18">
        <f>IFERROR(VLOOKUP($D12,BS연결,MATCH(V$1,BS연결H,0),0)/100,"")</f>
        <v/>
      </c>
      <c r="W12" s="18" t="n"/>
      <c r="X12" s="18">
        <f>IFERROR(VLOOKUP($D12,BS연결,MATCH(X$1,BS연결H,0),0)/100,"")</f>
        <v/>
      </c>
      <c r="Y12" s="18">
        <f>IFERROR(VLOOKUP($D12,BS연결,MATCH(Y$1,BS연결H,0),0)/100,"")</f>
        <v/>
      </c>
      <c r="Z12" s="37">
        <f>SUM(V12:Y12)</f>
        <v/>
      </c>
      <c r="AA12" s="18">
        <f>IFERROR(VLOOKUP($D12,BS연결,MATCH(AA$1,BS연결H,0),0)/100,"")</f>
        <v/>
      </c>
      <c r="AB12" s="19" t="n"/>
      <c r="AC12" s="20">
        <f>IFERROR((AB29*변수!$D$55-AB27*변수!$D$56)/4,"")</f>
        <v/>
      </c>
      <c r="AD12" s="20">
        <f>IFERROR((AC29*변수!$D$55-AC27*변수!$D$56)/4,"")</f>
        <v/>
      </c>
      <c r="AE12" s="38">
        <f>SUM(AA12:AD12)</f>
        <v/>
      </c>
      <c r="AF12" s="20">
        <f>IFERROR((AD29*변수!$D$55-AD27*변수!$D$56)/4,"")</f>
        <v/>
      </c>
      <c r="AG12" s="20">
        <f>IFERROR((AF29*변수!$D$55-AF27*변수!$D$56)/4,"")</f>
        <v/>
      </c>
      <c r="AH12" s="20">
        <f>IFERROR((AG29*변수!$D$55-AG27*변수!$D$56)/4,"")</f>
        <v/>
      </c>
      <c r="AI12" s="20">
        <f>IFERROR((AH29*변수!$D$55-AH27*변수!$D$56)/4,"")</f>
        <v/>
      </c>
      <c r="AJ12" s="38">
        <f>SUM(AF12:AI12)</f>
        <v/>
      </c>
      <c r="AK12" s="20">
        <f>IFERROR((AI29*변수!$D$55-AI27*변수!$D$56)/4,"")</f>
        <v/>
      </c>
      <c r="AL12" s="20">
        <f>IFERROR((AK29*변수!$D$55-AK27*변수!$D$56)/4,"")</f>
        <v/>
      </c>
      <c r="AM12" s="20">
        <f>IFERROR((AL29*변수!$D$55-AL27*변수!$D$56)/4,"")</f>
        <v/>
      </c>
      <c r="AN12" s="20">
        <f>IFERROR((AM29*변수!$D$55-AM27*변수!$D$56)/4,"")</f>
        <v/>
      </c>
      <c r="AO12" s="38">
        <f>SUM(AK12:AN12)</f>
        <v/>
      </c>
    </row>
    <row r="13">
      <c r="A13" s="12" t="inlineStr">
        <is>
          <t>외환손익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외환손익(실적만; 추정 환효과는 환관련손익)</t>
        </is>
      </c>
      <c r="E13" s="18" t="n"/>
      <c r="F13" s="37" t="n"/>
      <c r="G13" s="18">
        <f>IFERROR((VLOOKUP("외환차익",BS연결,MATCH(G$1,BS연결H,0),0)-VLOOKUP("외환차손",BS연결,MATCH(G$1,BS연결H,0),0)+VLOOKUP("외화환산이익",BS연결,MATCH(G$1,BS연결H,0),0)-VLOOKUP("외화환산손실",BS연결,MATCH(G$1,BS연결H,0),0))/100,"")</f>
        <v/>
      </c>
      <c r="H13" s="18">
        <f>IFERROR((VLOOKUP("외환차익",BS연결,MATCH(H$1,BS연결H,0),0)-VLOOKUP("외환차손",BS연결,MATCH(H$1,BS연결H,0),0)+VLOOKUP("외화환산이익",BS연결,MATCH(H$1,BS연결H,0),0)-VLOOKUP("외화환산손실",BS연결,MATCH(H$1,BS연결H,0),0))/100,"")</f>
        <v/>
      </c>
      <c r="I13" s="18">
        <f>IFERROR((VLOOKUP("외환차익",BS연결,MATCH(I$1,BS연결H,0),0)-VLOOKUP("외환차손",BS연결,MATCH(I$1,BS연결H,0),0)+VLOOKUP("외화환산이익",BS연결,MATCH(I$1,BS연결H,0),0)-VLOOKUP("외화환산손실",BS연결,MATCH(I$1,BS연결H,0),0))/100,"")</f>
        <v/>
      </c>
      <c r="J13" s="18">
        <f>IFERROR((VLOOKUP("외환차익",BS연결,MATCH(J$1,BS연결H,0),0)-VLOOKUP("외환차손",BS연결,MATCH(J$1,BS연결H,0),0)+VLOOKUP("외화환산이익",BS연결,MATCH(J$1,BS연결H,0),0)-VLOOKUP("외화환산손실",BS연결,MATCH(J$1,BS연결H,0),0))/100,"")</f>
        <v/>
      </c>
      <c r="K13" s="37">
        <f>SUM(G13:J13)</f>
        <v/>
      </c>
      <c r="L13" s="18">
        <f>IFERROR((VLOOKUP("외환차익",BS연결,MATCH(L$1,BS연결H,0),0)-VLOOKUP("외환차손",BS연결,MATCH(L$1,BS연결H,0),0)+VLOOKUP("외화환산이익",BS연결,MATCH(L$1,BS연결H,0),0)-VLOOKUP("외화환산손실",BS연결,MATCH(L$1,BS연결H,0),0))/100,"")</f>
        <v/>
      </c>
      <c r="M13" s="18">
        <f>IFERROR((VLOOKUP("외환차익",BS연결,MATCH(M$1,BS연결H,0),0)-VLOOKUP("외환차손",BS연결,MATCH(M$1,BS연결H,0),0)+VLOOKUP("외화환산이익",BS연결,MATCH(M$1,BS연결H,0),0)-VLOOKUP("외화환산손실",BS연결,MATCH(M$1,BS연결H,0),0))/100,"")</f>
        <v/>
      </c>
      <c r="N13" s="18">
        <f>IFERROR((VLOOKUP("외환차익",BS연결,MATCH(N$1,BS연결H,0),0)-VLOOKUP("외환차손",BS연결,MATCH(N$1,BS연결H,0),0)+VLOOKUP("외화환산이익",BS연결,MATCH(N$1,BS연결H,0),0)-VLOOKUP("외화환산손실",BS연결,MATCH(N$1,BS연결H,0),0))/100,"")</f>
        <v/>
      </c>
      <c r="O13" s="18" t="n"/>
      <c r="P13" s="37">
        <f>SUM(L13:O13)</f>
        <v/>
      </c>
      <c r="Q13" s="18">
        <f>IFERROR((VLOOKUP("외환차익",BS연결,MATCH(Q$1,BS연결H,0),0)-VLOOKUP("외환차손",BS연결,MATCH(Q$1,BS연결H,0),0)+VLOOKUP("외화환산이익",BS연결,MATCH(Q$1,BS연결H,0),0)-VLOOKUP("외화환산손실",BS연결,MATCH(Q$1,BS연결H,0),0))/100,"")</f>
        <v/>
      </c>
      <c r="R13" s="18" t="n"/>
      <c r="S13" s="18" t="n"/>
      <c r="T13" s="18" t="n"/>
      <c r="U13" s="37">
        <f>SUM(Q13:T13)</f>
        <v/>
      </c>
      <c r="V13" s="18">
        <f>IFERROR((VLOOKUP("외환차익",BS연결,MATCH(V$1,BS연결H,0),0)-VLOOKUP("외환차손",BS연결,MATCH(V$1,BS연결H,0),0)+VLOOKUP("외화환산이익",BS연결,MATCH(V$1,BS연결H,0),0)-VLOOKUP("외화환산손실",BS연결,MATCH(V$1,BS연결H,0),0))/100,"")</f>
        <v/>
      </c>
      <c r="W13" s="18" t="n"/>
      <c r="X13" s="18">
        <f>IFERROR((VLOOKUP("외환차익",BS연결,MATCH(X$1,BS연결H,0),0)-VLOOKUP("외환차손",BS연결,MATCH(X$1,BS연결H,0),0)+VLOOKUP("외화환산이익",BS연결,MATCH(X$1,BS연결H,0),0)-VLOOKUP("외화환산손실",BS연결,MATCH(X$1,BS연결H,0),0))/100,"")</f>
        <v/>
      </c>
      <c r="Y13" s="18">
        <f>IFERROR((VLOOKUP("외환차익",BS연결,MATCH(Y$1,BS연결H,0),0)-VLOOKUP("외환차손",BS연결,MATCH(Y$1,BS연결H,0),0)+VLOOKUP("외화환산이익",BS연결,MATCH(Y$1,BS연결H,0),0)-VLOOKUP("외화환산손실",BS연결,MATCH(Y$1,BS연결H,0),0))/100,"")</f>
        <v/>
      </c>
      <c r="Z13" s="37">
        <f>SUM(V13:Y13)</f>
        <v/>
      </c>
      <c r="AA13" s="18">
        <f>IFERROR((VLOOKUP("외환차익",BS연결,MATCH(AA$1,BS연결H,0),0)-VLOOKUP("외환차손",BS연결,MATCH(AA$1,BS연결H,0),0)+VLOOKUP("외화환산이익",BS연결,MATCH(AA$1,BS연결H,0),0)-VLOOKUP("외화환산손실",BS연결,MATCH(AA$1,BS연결H,0),0))/100,"")</f>
        <v/>
      </c>
      <c r="AB13" s="19" t="n"/>
      <c r="AC13" s="20">
        <f>변수!AC24</f>
        <v/>
      </c>
      <c r="AD13" s="20">
        <f>변수!AD24</f>
        <v/>
      </c>
      <c r="AE13" s="38">
        <f>SUM(AA13:AD13)</f>
        <v/>
      </c>
      <c r="AF13" s="20">
        <f>변수!AF24</f>
        <v/>
      </c>
      <c r="AG13" s="20">
        <f>변수!AG24</f>
        <v/>
      </c>
      <c r="AH13" s="20">
        <f>변수!AH24</f>
        <v/>
      </c>
      <c r="AI13" s="20">
        <f>변수!AI24</f>
        <v/>
      </c>
      <c r="AJ13" s="38">
        <f>SUM(AF13:AI13)</f>
        <v/>
      </c>
      <c r="AK13" s="20">
        <f>변수!AK24</f>
        <v/>
      </c>
      <c r="AL13" s="20">
        <f>변수!AL24</f>
        <v/>
      </c>
      <c r="AM13" s="20">
        <f>변수!AM24</f>
        <v/>
      </c>
      <c r="AN13" s="20">
        <f>변수!AN24</f>
        <v/>
      </c>
      <c r="AO13" s="38">
        <f>SUM(AK13:AN13)</f>
        <v/>
      </c>
    </row>
    <row r="14">
      <c r="A14" s="12" t="inlineStr">
        <is>
          <t>파생상품손익</t>
        </is>
      </c>
      <c r="B14" t="inlineStr">
        <is>
          <t>손익</t>
        </is>
      </c>
      <c r="C14" t="inlineStr">
        <is>
          <t>억원</t>
        </is>
      </c>
      <c r="D14" t="inlineStr">
        <is>
          <t>파생상품손익</t>
        </is>
      </c>
      <c r="E14" s="18" t="n"/>
      <c r="F14" s="37" t="n"/>
      <c r="G14" s="18" t="n"/>
      <c r="H14" s="18" t="n"/>
      <c r="I14" s="18" t="n"/>
      <c r="J14" s="18" t="n"/>
      <c r="K14" s="37">
        <f>SUM(G14:J14)</f>
        <v/>
      </c>
      <c r="L14" s="18" t="n"/>
      <c r="M14" s="18" t="n"/>
      <c r="N14" s="18" t="n"/>
      <c r="O14" s="18" t="n"/>
      <c r="P14" s="37">
        <f>SUM(L14:O14)</f>
        <v/>
      </c>
      <c r="Q14" s="18" t="n"/>
      <c r="R14" s="18" t="n"/>
      <c r="S14" s="18" t="n"/>
      <c r="T14" s="18" t="n"/>
      <c r="U14" s="37">
        <f>SUM(Q14:T14)</f>
        <v/>
      </c>
      <c r="V14" s="18" t="n"/>
      <c r="W14" s="18" t="n"/>
      <c r="X14" s="18">
        <f>IFERROR((VLOOKUP("파생상품이익",BS연결,MATCH(X$1,BS연결H,0),0)-VLOOKUP("파생상품손실",BS연결,MATCH(X$1,BS연결H,0),0))/100,"")</f>
        <v/>
      </c>
      <c r="Y14" s="18" t="n"/>
      <c r="Z14" s="37">
        <f>SUM(V14:Y14)</f>
        <v/>
      </c>
      <c r="AA14" s="18" t="n"/>
      <c r="AB14" s="19" t="n"/>
      <c r="AC14" s="20">
        <f>변수!AC25</f>
        <v/>
      </c>
      <c r="AD14" s="20">
        <f>변수!AD25</f>
        <v/>
      </c>
      <c r="AE14" s="38">
        <f>SUM(AA14:AD14)</f>
        <v/>
      </c>
      <c r="AF14" s="20">
        <f>변수!AF25</f>
        <v/>
      </c>
      <c r="AG14" s="20">
        <f>변수!AG25</f>
        <v/>
      </c>
      <c r="AH14" s="20">
        <f>변수!AH25</f>
        <v/>
      </c>
      <c r="AI14" s="20">
        <f>변수!AI25</f>
        <v/>
      </c>
      <c r="AJ14" s="38">
        <f>SUM(AF14:AI14)</f>
        <v/>
      </c>
      <c r="AK14" s="20">
        <f>변수!AK25</f>
        <v/>
      </c>
      <c r="AL14" s="20">
        <f>변수!AL25</f>
        <v/>
      </c>
      <c r="AM14" s="20">
        <f>변수!AM25</f>
        <v/>
      </c>
      <c r="AN14" s="20">
        <f>변수!AN25</f>
        <v/>
      </c>
      <c r="AO14" s="38">
        <f>SUM(AK14:AN14)</f>
        <v/>
      </c>
    </row>
    <row r="15">
      <c r="A15" s="12" t="inlineStr">
        <is>
          <t>기타금융손익</t>
        </is>
      </c>
      <c r="B15" t="inlineStr">
        <is>
          <t>손익</t>
        </is>
      </c>
      <c r="C15" t="inlineStr">
        <is>
          <t>억원</t>
        </is>
      </c>
      <c r="D15" t="inlineStr">
        <is>
          <t>기타금융손익(금융손익 잔차)</t>
        </is>
      </c>
      <c r="E15" s="18" t="n"/>
      <c r="F15" s="37" t="n"/>
      <c r="G15" s="18" t="n"/>
      <c r="H15" s="18" t="n"/>
      <c r="I15" s="18" t="n"/>
      <c r="J15" s="18" t="n"/>
      <c r="K15" s="37">
        <f>SUM(G15:J15)</f>
        <v/>
      </c>
      <c r="L15" s="18" t="n"/>
      <c r="M15" s="18" t="n"/>
      <c r="N15" s="18" t="n"/>
      <c r="O15" s="18" t="n"/>
      <c r="P15" s="37">
        <f>SUM(L15:O15)</f>
        <v/>
      </c>
      <c r="Q15" s="18" t="n"/>
      <c r="R15" s="18" t="n"/>
      <c r="S15" s="18" t="n"/>
      <c r="T15" s="18" t="n"/>
      <c r="U15" s="37">
        <f>SUM(Q15:T15)</f>
        <v/>
      </c>
      <c r="V15" s="18" t="n"/>
      <c r="W15" s="18" t="n"/>
      <c r="X15" s="18">
        <f>IFERROR(X11-X12-X13-X14,"")</f>
        <v/>
      </c>
      <c r="Y15" s="18" t="n"/>
      <c r="Z15" s="37">
        <f>SUM(V15:Y15)</f>
        <v/>
      </c>
      <c r="AA15" s="18" t="n"/>
      <c r="AB15" s="19" t="n"/>
      <c r="AC15" s="20">
        <f>변수!AC26</f>
        <v/>
      </c>
      <c r="AD15" s="20">
        <f>변수!AD26</f>
        <v/>
      </c>
      <c r="AE15" s="38">
        <f>SUM(AA15:AD15)</f>
        <v/>
      </c>
      <c r="AF15" s="20">
        <f>변수!AF26</f>
        <v/>
      </c>
      <c r="AG15" s="20">
        <f>변수!AG26</f>
        <v/>
      </c>
      <c r="AH15" s="20">
        <f>변수!AH26</f>
        <v/>
      </c>
      <c r="AI15" s="20">
        <f>변수!AI26</f>
        <v/>
      </c>
      <c r="AJ15" s="38">
        <f>SUM(AF15:AI15)</f>
        <v/>
      </c>
      <c r="AK15" s="20">
        <f>변수!AK26</f>
        <v/>
      </c>
      <c r="AL15" s="20">
        <f>변수!AL26</f>
        <v/>
      </c>
      <c r="AM15" s="20">
        <f>변수!AM26</f>
        <v/>
      </c>
      <c r="AN15" s="20">
        <f>변수!AN26</f>
        <v/>
      </c>
      <c r="AO15" s="38">
        <f>SUM(AK15:AN15)</f>
        <v/>
      </c>
    </row>
    <row r="16">
      <c r="A16" s="12" t="inlineStr">
        <is>
          <t>기타영업외손익</t>
        </is>
      </c>
      <c r="B16" t="inlineStr">
        <is>
          <t>손익</t>
        </is>
      </c>
      <c r="C16" t="inlineStr">
        <is>
          <t>억원</t>
        </is>
      </c>
      <c r="D16" t="inlineStr">
        <is>
          <t>기타영업외손익</t>
        </is>
      </c>
      <c r="E16" s="18">
        <f>IFERROR(VLOOKUP($D16,BS연결,MATCH(E$1,BS연결H,0),0)/100,"")</f>
        <v/>
      </c>
      <c r="F16" s="37" t="n"/>
      <c r="G16" s="18">
        <f>IFERROR(VLOOKUP($D16,BS연결,MATCH(G$1,BS연결H,0),0)/100,"")</f>
        <v/>
      </c>
      <c r="H16" s="18">
        <f>IFERROR(VLOOKUP($D16,BS연결,MATCH(H$1,BS연결H,0),0)/100,"")</f>
        <v/>
      </c>
      <c r="I16" s="18">
        <f>IFERROR(VLOOKUP($D16,BS연결,MATCH(I$1,BS연결H,0),0)/100,"")</f>
        <v/>
      </c>
      <c r="J16" s="18">
        <f>IFERROR(VLOOKUP($D16,BS연결,MATCH(J$1,BS연결H,0),0)/100,"")</f>
        <v/>
      </c>
      <c r="K16" s="37">
        <f>IFERROR(VLOOKUP($D16,BS연결,MATCH(K$1,BS연결H,0),0)/100,"")</f>
        <v/>
      </c>
      <c r="L16" s="18">
        <f>IFERROR(VLOOKUP($D16,BS연결,MATCH(L$1,BS연결H,0),0)/100,"")</f>
        <v/>
      </c>
      <c r="M16" s="18">
        <f>IFERROR(VLOOKUP($D16,BS연결,MATCH(M$1,BS연결H,0),0)/100,"")</f>
        <v/>
      </c>
      <c r="N16" s="18">
        <f>IFERROR(VLOOKUP($D16,BS연결,MATCH(N$1,BS연결H,0),0)/100,"")</f>
        <v/>
      </c>
      <c r="O16" s="18">
        <f>IFERROR(VLOOKUP($D16,BS연결,MATCH(O$1,BS연결H,0),0)/100,"")</f>
        <v/>
      </c>
      <c r="P16" s="37">
        <f>IFERROR(VLOOKUP($D16,BS연결,MATCH(P$1,BS연결H,0),0)/100,"")</f>
        <v/>
      </c>
      <c r="Q16" s="18">
        <f>IFERROR(VLOOKUP($D16,BS연결,MATCH(Q$1,BS연결H,0),0)/100,"")</f>
        <v/>
      </c>
      <c r="R16" s="18">
        <f>IFERROR(VLOOKUP($D16,BS연결,MATCH(R$1,BS연결H,0),0)/100,"")</f>
        <v/>
      </c>
      <c r="S16" s="18">
        <f>IFERROR(VLOOKUP($D16,BS연결,MATCH(S$1,BS연결H,0),0)/100,"")</f>
        <v/>
      </c>
      <c r="T16" s="18">
        <f>IFERROR(VLOOKUP($D16,BS연결,MATCH(T$1,BS연결H,0),0)/100,"")</f>
        <v/>
      </c>
      <c r="U16" s="37">
        <f>IFERROR(VLOOKUP($D16,BS연결,MATCH(U$1,BS연결H,0),0)/100,"")</f>
        <v/>
      </c>
      <c r="V16" s="18">
        <f>IFERROR(VLOOKUP($D16,BS연결,MATCH(V$1,BS연결H,0),0)/100,"")</f>
        <v/>
      </c>
      <c r="W16" s="18">
        <f>IFERROR(VLOOKUP($D16,BS연결,MATCH(W$1,BS연결H,0),0)/100,"")</f>
        <v/>
      </c>
      <c r="X16" s="18">
        <f>IFERROR(VLOOKUP($D16,BS연결,MATCH(X$1,BS연결H,0),0)/100,"")</f>
        <v/>
      </c>
      <c r="Y16" s="18">
        <f>IFERROR(VLOOKUP($D16,BS연결,MATCH(Y$1,BS연결H,0),0)/100,"")</f>
        <v/>
      </c>
      <c r="Z16" s="37">
        <f>IFERROR(VLOOKUP($D16,BS연결,MATCH(Z$1,BS연결H,0),0)/100,"")</f>
        <v/>
      </c>
      <c r="AA16" s="18">
        <f>IFERROR(VLOOKUP($D16,BS연결,MATCH(AA$1,BS연결H,0),0)/100,"")</f>
        <v/>
      </c>
      <c r="AB16" s="19">
        <f>IFERROR(VLOOKUP($D16,BS연결,MATCH(AB$1,BS연결H,0),0)/100,"")</f>
        <v/>
      </c>
      <c r="AC16" s="20">
        <f>변수!AC27</f>
        <v/>
      </c>
      <c r="AD16" s="20">
        <f>변수!AD27</f>
        <v/>
      </c>
      <c r="AE16" s="38">
        <f>SUM(AA16:AD16)</f>
        <v/>
      </c>
      <c r="AF16" s="20">
        <f>변수!AF27</f>
        <v/>
      </c>
      <c r="AG16" s="20">
        <f>변수!AG27</f>
        <v/>
      </c>
      <c r="AH16" s="20">
        <f>변수!AH27</f>
        <v/>
      </c>
      <c r="AI16" s="20">
        <f>변수!AI27</f>
        <v/>
      </c>
      <c r="AJ16" s="38">
        <f>SUM(AF16:AI16)</f>
        <v/>
      </c>
      <c r="AK16" s="20">
        <f>변수!AK27</f>
        <v/>
      </c>
      <c r="AL16" s="20">
        <f>변수!AL27</f>
        <v/>
      </c>
      <c r="AM16" s="20">
        <f>변수!AM27</f>
        <v/>
      </c>
      <c r="AN16" s="20">
        <f>변수!AN27</f>
        <v/>
      </c>
      <c r="AO16" s="38">
        <f>SUM(AK16:AN16)</f>
        <v/>
      </c>
    </row>
    <row r="17">
      <c r="A17" s="12" t="inlineStr">
        <is>
          <t>지분법손익</t>
        </is>
      </c>
      <c r="B17" t="inlineStr">
        <is>
          <t>손익</t>
        </is>
      </c>
      <c r="C17" t="inlineStr">
        <is>
          <t>억원</t>
        </is>
      </c>
      <c r="D17" t="inlineStr">
        <is>
          <t>종속기업,공동지배기업및관계기업관련손익</t>
        </is>
      </c>
      <c r="E17" s="18" t="n"/>
      <c r="F17" s="37" t="n"/>
      <c r="G17" s="18" t="n"/>
      <c r="H17" s="18" t="n"/>
      <c r="I17" s="18" t="n"/>
      <c r="J17" s="18" t="n"/>
      <c r="K17" s="37">
        <f>SUM(G17:J17)</f>
        <v/>
      </c>
      <c r="L17" s="18" t="n"/>
      <c r="M17" s="18" t="n"/>
      <c r="N17" s="18" t="n"/>
      <c r="O17" s="18" t="n"/>
      <c r="P17" s="37">
        <f>SUM(L17:O17)</f>
        <v/>
      </c>
      <c r="Q17" s="18" t="n"/>
      <c r="R17" s="18" t="n"/>
      <c r="S17" s="18" t="n"/>
      <c r="T17" s="18" t="n"/>
      <c r="U17" s="37">
        <f>SUM(Q17:T17)</f>
        <v/>
      </c>
      <c r="V17" s="18" t="n"/>
      <c r="W17" s="18" t="n"/>
      <c r="X17" s="18" t="n"/>
      <c r="Y17" s="18" t="n"/>
      <c r="Z17" s="37">
        <f>SUM(V17:Y17)</f>
        <v/>
      </c>
      <c r="AA17" s="18" t="n"/>
      <c r="AB17" s="19">
        <f>IFERROR(VLOOKUP($D17,BS연결,MATCH(AB$1,BS연결H,0),0)/100,"")</f>
        <v/>
      </c>
      <c r="AC17" s="20">
        <f>변수!AC28</f>
        <v/>
      </c>
      <c r="AD17" s="20">
        <f>변수!AD28</f>
        <v/>
      </c>
      <c r="AE17" s="38">
        <f>SUM(AA17:AD17)</f>
        <v/>
      </c>
      <c r="AF17" s="20">
        <f>변수!AF28</f>
        <v/>
      </c>
      <c r="AG17" s="20">
        <f>변수!AG28</f>
        <v/>
      </c>
      <c r="AH17" s="20">
        <f>변수!AH28</f>
        <v/>
      </c>
      <c r="AI17" s="20">
        <f>변수!AI28</f>
        <v/>
      </c>
      <c r="AJ17" s="38">
        <f>SUM(AF17:AI17)</f>
        <v/>
      </c>
      <c r="AK17" s="20">
        <f>변수!AK28</f>
        <v/>
      </c>
      <c r="AL17" s="20">
        <f>변수!AL28</f>
        <v/>
      </c>
      <c r="AM17" s="20">
        <f>변수!AM28</f>
        <v/>
      </c>
      <c r="AN17" s="20">
        <f>변수!AN28</f>
        <v/>
      </c>
      <c r="AO17" s="38">
        <f>SUM(AK17:AN17)</f>
        <v/>
      </c>
    </row>
    <row r="18">
      <c r="A18" s="12" t="inlineStr">
        <is>
          <t>세전이익</t>
        </is>
      </c>
      <c r="B18" t="inlineStr">
        <is>
          <t>손익</t>
        </is>
      </c>
      <c r="C18" t="inlineStr">
        <is>
          <t>억원</t>
        </is>
      </c>
      <c r="D18" t="inlineStr">
        <is>
          <t>법인세비용차감전계속사업이익</t>
        </is>
      </c>
      <c r="E18" s="18">
        <f>IFERROR(VLOOKUP($D18,BS연결,MATCH(E$1,BS연결H,0),0)/100,"")</f>
        <v/>
      </c>
      <c r="F18" s="37" t="n"/>
      <c r="G18" s="18">
        <f>IFERROR(VLOOKUP($D18,BS연결,MATCH(G$1,BS연결H,0),0)/100,"")</f>
        <v/>
      </c>
      <c r="H18" s="18">
        <f>IFERROR(VLOOKUP($D18,BS연결,MATCH(H$1,BS연결H,0),0)/100,"")</f>
        <v/>
      </c>
      <c r="I18" s="18">
        <f>IFERROR(VLOOKUP($D18,BS연결,MATCH(I$1,BS연결H,0),0)/100,"")</f>
        <v/>
      </c>
      <c r="J18" s="18">
        <f>IFERROR(VLOOKUP($D18,BS연결,MATCH(J$1,BS연결H,0),0)/100,"")</f>
        <v/>
      </c>
      <c r="K18" s="37">
        <f>SUM(G18:J18)</f>
        <v/>
      </c>
      <c r="L18" s="18">
        <f>IFERROR(VLOOKUP($D18,BS연결,MATCH(L$1,BS연결H,0),0)/100,"")</f>
        <v/>
      </c>
      <c r="M18" s="18">
        <f>IFERROR(VLOOKUP($D18,BS연결,MATCH(M$1,BS연결H,0),0)/100,"")</f>
        <v/>
      </c>
      <c r="N18" s="18">
        <f>IFERROR(VLOOKUP($D18,BS연결,MATCH(N$1,BS연결H,0),0)/100,"")</f>
        <v/>
      </c>
      <c r="O18" s="18">
        <f>IFERROR(VLOOKUP($D18,BS연결,MATCH(O$1,BS연결H,0),0)/100,"")</f>
        <v/>
      </c>
      <c r="P18" s="37">
        <f>IFERROR(VLOOKUP($D18,BS연결,MATCH(P$1,BS연결H,0),0)/100,"")</f>
        <v/>
      </c>
      <c r="Q18" s="18">
        <f>IFERROR(VLOOKUP($D18,BS연결,MATCH(Q$1,BS연결H,0),0)/100,"")</f>
        <v/>
      </c>
      <c r="R18" s="18">
        <f>IFERROR(VLOOKUP($D18,BS연결,MATCH(R$1,BS연결H,0),0)/100,"")</f>
        <v/>
      </c>
      <c r="S18" s="18">
        <f>IFERROR(VLOOKUP($D18,BS연결,MATCH(S$1,BS연결H,0),0)/100,"")</f>
        <v/>
      </c>
      <c r="T18" s="18">
        <f>IFERROR(VLOOKUP($D18,BS연결,MATCH(T$1,BS연결H,0),0)/100,"")</f>
        <v/>
      </c>
      <c r="U18" s="37">
        <f>IFERROR(VLOOKUP($D18,BS연결,MATCH(U$1,BS연결H,0),0)/100,"")</f>
        <v/>
      </c>
      <c r="V18" s="18">
        <f>IFERROR(VLOOKUP($D18,BS연결,MATCH(V$1,BS연결H,0),0)/100,"")</f>
        <v/>
      </c>
      <c r="W18" s="18">
        <f>IFERROR(VLOOKUP($D18,BS연결,MATCH(W$1,BS연결H,0),0)/100,"")</f>
        <v/>
      </c>
      <c r="X18" s="18">
        <f>IFERROR(VLOOKUP($D18,BS연결,MATCH(X$1,BS연결H,0),0)/100,"")</f>
        <v/>
      </c>
      <c r="Y18" s="18">
        <f>IFERROR(VLOOKUP($D18,BS연결,MATCH(Y$1,BS연결H,0),0)/100,"")</f>
        <v/>
      </c>
      <c r="Z18" s="37">
        <f>IFERROR(VLOOKUP($D18,BS연결,MATCH(Z$1,BS연결H,0),0)/100,"")</f>
        <v/>
      </c>
      <c r="AA18" s="18">
        <f>IFERROR(VLOOKUP($D18,BS연결,MATCH(AA$1,BS연결H,0),0)/100,"")</f>
        <v/>
      </c>
      <c r="AB18" s="19">
        <f>IFERROR(VLOOKUP($D18,BS연결,MATCH(AB$1,BS연결H,0),0)/100,"")</f>
        <v/>
      </c>
      <c r="AC18" s="20">
        <f>IFERROR(AC9+AC11+AC16+AC17,"")</f>
        <v/>
      </c>
      <c r="AD18" s="20">
        <f>IFERROR(AD9+AD11+AD16+AD17,"")</f>
        <v/>
      </c>
      <c r="AE18" s="38">
        <f>SUM(AA18:AD18)</f>
        <v/>
      </c>
      <c r="AF18" s="20">
        <f>IFERROR(AF9+AF11+AF16+AF17,"")</f>
        <v/>
      </c>
      <c r="AG18" s="20">
        <f>IFERROR(AG9+AG11+AG16+AG17,"")</f>
        <v/>
      </c>
      <c r="AH18" s="20">
        <f>IFERROR(AH9+AH11+AH16+AH17,"")</f>
        <v/>
      </c>
      <c r="AI18" s="20">
        <f>IFERROR(AI9+AI11+AI16+AI17,"")</f>
        <v/>
      </c>
      <c r="AJ18" s="38">
        <f>SUM(AF18:AI18)</f>
        <v/>
      </c>
      <c r="AK18" s="20">
        <f>IFERROR(AK9+AK11+AK16+AK17,"")</f>
        <v/>
      </c>
      <c r="AL18" s="20">
        <f>IFERROR(AL9+AL11+AL16+AL17,"")</f>
        <v/>
      </c>
      <c r="AM18" s="20">
        <f>IFERROR(AM9+AM11+AM16+AM17,"")</f>
        <v/>
      </c>
      <c r="AN18" s="20">
        <f>IFERROR(AN9+AN11+AN16+AN17,"")</f>
        <v/>
      </c>
      <c r="AO18" s="38">
        <f>SUM(AK18:AN18)</f>
        <v/>
      </c>
    </row>
    <row r="19">
      <c r="A19" s="12" t="inlineStr">
        <is>
          <t>법인세비용</t>
        </is>
      </c>
      <c r="B19" t="inlineStr">
        <is>
          <t>손익</t>
        </is>
      </c>
      <c r="C19" t="inlineStr">
        <is>
          <t>억원</t>
        </is>
      </c>
      <c r="D19" t="inlineStr">
        <is>
          <t>법인세비용</t>
        </is>
      </c>
      <c r="E19" s="18" t="n"/>
      <c r="F19" s="37" t="n"/>
      <c r="G19" s="18" t="n"/>
      <c r="H19" s="18" t="n"/>
      <c r="I19" s="18" t="n"/>
      <c r="J19" s="18" t="n"/>
      <c r="K19" s="37">
        <f>SUM(G19:J19)</f>
        <v/>
      </c>
      <c r="L19" s="18" t="n"/>
      <c r="M19" s="18" t="n"/>
      <c r="N19" s="18">
        <f>IFERROR(VLOOKUP($D19,BS연결,MATCH(N$1,BS연결H,0),0)/100,"")</f>
        <v/>
      </c>
      <c r="O19" s="18">
        <f>IFERROR(VLOOKUP($D19,BS연결,MATCH(O$1,BS연결H,0),0)/100,"")</f>
        <v/>
      </c>
      <c r="P19" s="37">
        <f>SUM(L19:O19)</f>
        <v/>
      </c>
      <c r="Q19" s="18">
        <f>IFERROR(VLOOKUP($D19,BS연결,MATCH(Q$1,BS연결H,0),0)/100,"")</f>
        <v/>
      </c>
      <c r="R19" s="18">
        <f>IFERROR(VLOOKUP($D19,BS연결,MATCH(R$1,BS연결H,0),0)/100,"")</f>
        <v/>
      </c>
      <c r="S19" s="18">
        <f>IFERROR(VLOOKUP($D19,BS연결,MATCH(S$1,BS연결H,0),0)/100,"")</f>
        <v/>
      </c>
      <c r="T19" s="18">
        <f>IFERROR(VLOOKUP($D19,BS연결,MATCH(T$1,BS연결H,0),0)/100,"")</f>
        <v/>
      </c>
      <c r="U19" s="37">
        <f>IFERROR(VLOOKUP($D19,BS연결,MATCH(U$1,BS연결H,0),0)/100,"")</f>
        <v/>
      </c>
      <c r="V19" s="18">
        <f>IFERROR(VLOOKUP($D19,BS연결,MATCH(V$1,BS연결H,0),0)/100,"")</f>
        <v/>
      </c>
      <c r="W19" s="18" t="n"/>
      <c r="X19" s="18" t="n"/>
      <c r="Y19" s="18">
        <f>IFERROR(VLOOKUP($D19,BS연결,MATCH(Y$1,BS연결H,0),0)/100,"")</f>
        <v/>
      </c>
      <c r="Z19" s="37">
        <f>SUM(V19:Y19)</f>
        <v/>
      </c>
      <c r="AA19" s="18">
        <f>IFERROR(VLOOKUP($D19,BS연결,MATCH(AA$1,BS연결H,0),0)/100,"")</f>
        <v/>
      </c>
      <c r="AB19" s="19">
        <f>IFERROR(VLOOKUP($D19,BS연결,MATCH(AB$1,BS연결H,0),0)/100,"")</f>
        <v/>
      </c>
      <c r="AC19" s="20">
        <f>IFERROR(AC18*변수!AC29,"")</f>
        <v/>
      </c>
      <c r="AD19" s="20">
        <f>IFERROR(AD18*변수!AD29,"")</f>
        <v/>
      </c>
      <c r="AE19" s="38">
        <f>SUM(AA19:AD19)</f>
        <v/>
      </c>
      <c r="AF19" s="20">
        <f>IFERROR(AF18*변수!AF29,"")</f>
        <v/>
      </c>
      <c r="AG19" s="20">
        <f>IFERROR(AG18*변수!AG29,"")</f>
        <v/>
      </c>
      <c r="AH19" s="20">
        <f>IFERROR(AH18*변수!AH29,"")</f>
        <v/>
      </c>
      <c r="AI19" s="20">
        <f>IFERROR(AI18*변수!AI29,"")</f>
        <v/>
      </c>
      <c r="AJ19" s="38">
        <f>SUM(AF19:AI19)</f>
        <v/>
      </c>
      <c r="AK19" s="20">
        <f>IFERROR(AK18*변수!AK29,"")</f>
        <v/>
      </c>
      <c r="AL19" s="20">
        <f>IFERROR(AL18*변수!AL29,"")</f>
        <v/>
      </c>
      <c r="AM19" s="20">
        <f>IFERROR(AM18*변수!AM29,"")</f>
        <v/>
      </c>
      <c r="AN19" s="20">
        <f>IFERROR(AN18*변수!AN29,"")</f>
        <v/>
      </c>
      <c r="AO19" s="38">
        <f>SUM(AK19:AN19)</f>
        <v/>
      </c>
    </row>
    <row r="20">
      <c r="A20" s="12" t="inlineStr">
        <is>
          <t>당기순이익</t>
        </is>
      </c>
      <c r="B20" t="inlineStr">
        <is>
          <t>손익</t>
        </is>
      </c>
      <c r="C20" t="inlineStr">
        <is>
          <t>억원</t>
        </is>
      </c>
      <c r="D20" t="inlineStr">
        <is>
          <t>당기순이익</t>
        </is>
      </c>
      <c r="E20" s="18">
        <f>IFERROR(VLOOKUP($D20,BS연결,MATCH(E$1,BS연결H,0),0)/100,"")</f>
        <v/>
      </c>
      <c r="F20" s="37" t="n"/>
      <c r="G20" s="18">
        <f>IFERROR(VLOOKUP($D20,BS연결,MATCH(G$1,BS연결H,0),0)/100,"")</f>
        <v/>
      </c>
      <c r="H20" s="18">
        <f>IFERROR(VLOOKUP($D20,BS연결,MATCH(H$1,BS연결H,0),0)/100,"")</f>
        <v/>
      </c>
      <c r="I20" s="18">
        <f>IFERROR(VLOOKUP($D20,BS연결,MATCH(I$1,BS연결H,0),0)/100,"")</f>
        <v/>
      </c>
      <c r="J20" s="18">
        <f>IFERROR(VLOOKUP($D20,BS연결,MATCH(J$1,BS연결H,0),0)/100,"")</f>
        <v/>
      </c>
      <c r="K20" s="37">
        <f>SUM(G20:J20)</f>
        <v/>
      </c>
      <c r="L20" s="18">
        <f>IFERROR(VLOOKUP($D20,BS연결,MATCH(L$1,BS연결H,0),0)/100,"")</f>
        <v/>
      </c>
      <c r="M20" s="18">
        <f>IFERROR(VLOOKUP($D20,BS연결,MATCH(M$1,BS연결H,0),0)/100,"")</f>
        <v/>
      </c>
      <c r="N20" s="18">
        <f>IFERROR(VLOOKUP($D20,BS연결,MATCH(N$1,BS연결H,0),0)/100,"")</f>
        <v/>
      </c>
      <c r="O20" s="18">
        <f>IFERROR(VLOOKUP($D20,BS연결,MATCH(O$1,BS연결H,0),0)/100,"")</f>
        <v/>
      </c>
      <c r="P20" s="37">
        <f>IFERROR(VLOOKUP($D20,BS연결,MATCH(P$1,BS연결H,0),0)/100,"")</f>
        <v/>
      </c>
      <c r="Q20" s="18">
        <f>IFERROR(VLOOKUP($D20,BS연결,MATCH(Q$1,BS연결H,0),0)/100,"")</f>
        <v/>
      </c>
      <c r="R20" s="18">
        <f>IFERROR(VLOOKUP($D20,BS연결,MATCH(R$1,BS연결H,0),0)/100,"")</f>
        <v/>
      </c>
      <c r="S20" s="18">
        <f>IFERROR(VLOOKUP($D20,BS연결,MATCH(S$1,BS연결H,0),0)/100,"")</f>
        <v/>
      </c>
      <c r="T20" s="18">
        <f>IFERROR(VLOOKUP($D20,BS연결,MATCH(T$1,BS연결H,0),0)/100,"")</f>
        <v/>
      </c>
      <c r="U20" s="37">
        <f>IFERROR(VLOOKUP($D20,BS연결,MATCH(U$1,BS연결H,0),0)/100,"")</f>
        <v/>
      </c>
      <c r="V20" s="18">
        <f>IFERROR(VLOOKUP($D20,BS연결,MATCH(V$1,BS연결H,0),0)/100,"")</f>
        <v/>
      </c>
      <c r="W20" s="18">
        <f>IFERROR(VLOOKUP($D20,BS연결,MATCH(W$1,BS연결H,0),0)/100,"")</f>
        <v/>
      </c>
      <c r="X20" s="18">
        <f>IFERROR(VLOOKUP($D20,BS연결,MATCH(X$1,BS연결H,0),0)/100,"")</f>
        <v/>
      </c>
      <c r="Y20" s="18">
        <f>IFERROR(VLOOKUP($D20,BS연결,MATCH(Y$1,BS연결H,0),0)/100,"")</f>
        <v/>
      </c>
      <c r="Z20" s="37">
        <f>IFERROR(VLOOKUP($D20,BS연결,MATCH(Z$1,BS연결H,0),0)/100,"")</f>
        <v/>
      </c>
      <c r="AA20" s="18">
        <f>IFERROR(VLOOKUP($D20,BS연결,MATCH(AA$1,BS연결H,0),0)/100,"")</f>
        <v/>
      </c>
      <c r="AB20" s="19">
        <f>IFERROR(VLOOKUP($D20,BS연결,MATCH(AB$1,BS연결H,0),0)/100,"")</f>
        <v/>
      </c>
      <c r="AC20" s="20">
        <f>IFERROR(AC18-AC19,"")</f>
        <v/>
      </c>
      <c r="AD20" s="20">
        <f>IFERROR(AD18-AD19,"")</f>
        <v/>
      </c>
      <c r="AE20" s="38">
        <f>SUM(AA20:AD20)</f>
        <v/>
      </c>
      <c r="AF20" s="20">
        <f>IFERROR(AF18-AF19,"")</f>
        <v/>
      </c>
      <c r="AG20" s="20">
        <f>IFERROR(AG18-AG19,"")</f>
        <v/>
      </c>
      <c r="AH20" s="20">
        <f>IFERROR(AH18-AH19,"")</f>
        <v/>
      </c>
      <c r="AI20" s="20">
        <f>IFERROR(AI18-AI19,"")</f>
        <v/>
      </c>
      <c r="AJ20" s="38">
        <f>SUM(AF20:AI20)</f>
        <v/>
      </c>
      <c r="AK20" s="20">
        <f>IFERROR(AK18-AK19,"")</f>
        <v/>
      </c>
      <c r="AL20" s="20">
        <f>IFERROR(AL18-AL19,"")</f>
        <v/>
      </c>
      <c r="AM20" s="20">
        <f>IFERROR(AM18-AM19,"")</f>
        <v/>
      </c>
      <c r="AN20" s="20">
        <f>IFERROR(AN18-AN19,"")</f>
        <v/>
      </c>
      <c r="AO20" s="38">
        <f>SUM(AK20:AN20)</f>
        <v/>
      </c>
    </row>
    <row r="21">
      <c r="A21" s="12" t="inlineStr">
        <is>
          <t>지배주주순이익</t>
        </is>
      </c>
      <c r="B21" t="inlineStr">
        <is>
          <t>손익</t>
        </is>
      </c>
      <c r="C21" t="inlineStr">
        <is>
          <t>억원</t>
        </is>
      </c>
      <c r="D21" t="inlineStr">
        <is>
          <t>(지배주주지분)당기순이익</t>
        </is>
      </c>
      <c r="E21" s="18">
        <f>IFERROR(VLOOKUP($D21,BS연결,MATCH(E$1,BS연결H,0),0)/100,"")</f>
        <v/>
      </c>
      <c r="F21" s="37" t="n"/>
      <c r="G21" s="18">
        <f>IFERROR(VLOOKUP($D21,BS연결,MATCH(G$1,BS연결H,0),0)/100,"")</f>
        <v/>
      </c>
      <c r="H21" s="18">
        <f>IFERROR(VLOOKUP($D21,BS연결,MATCH(H$1,BS연결H,0),0)/100,"")</f>
        <v/>
      </c>
      <c r="I21" s="18">
        <f>IFERROR(VLOOKUP($D21,BS연결,MATCH(I$1,BS연결H,0),0)/100,"")</f>
        <v/>
      </c>
      <c r="J21" s="18">
        <f>IFERROR(VLOOKUP($D21,BS연결,MATCH(J$1,BS연결H,0),0)/100,"")</f>
        <v/>
      </c>
      <c r="K21" s="37">
        <f>SUM(G21:J21)</f>
        <v/>
      </c>
      <c r="L21" s="18">
        <f>IFERROR(VLOOKUP($D21,BS연결,MATCH(L$1,BS연결H,0),0)/100,"")</f>
        <v/>
      </c>
      <c r="M21" s="18">
        <f>IFERROR(VLOOKUP($D21,BS연결,MATCH(M$1,BS연결H,0),0)/100,"")</f>
        <v/>
      </c>
      <c r="N21" s="18">
        <f>IFERROR(VLOOKUP($D21,BS연결,MATCH(N$1,BS연결H,0),0)/100,"")</f>
        <v/>
      </c>
      <c r="O21" s="18">
        <f>IFERROR(VLOOKUP($D21,BS연결,MATCH(O$1,BS연결H,0),0)/100,"")</f>
        <v/>
      </c>
      <c r="P21" s="37">
        <f>IFERROR(VLOOKUP($D21,BS연결,MATCH(P$1,BS연결H,0),0)/100,"")</f>
        <v/>
      </c>
      <c r="Q21" s="18">
        <f>IFERROR(VLOOKUP($D21,BS연결,MATCH(Q$1,BS연결H,0),0)/100,"")</f>
        <v/>
      </c>
      <c r="R21" s="18">
        <f>IFERROR(VLOOKUP($D21,BS연결,MATCH(R$1,BS연결H,0),0)/100,"")</f>
        <v/>
      </c>
      <c r="S21" s="18">
        <f>IFERROR(VLOOKUP($D21,BS연결,MATCH(S$1,BS연결H,0),0)/100,"")</f>
        <v/>
      </c>
      <c r="T21" s="18">
        <f>IFERROR(VLOOKUP($D21,BS연결,MATCH(T$1,BS연결H,0),0)/100,"")</f>
        <v/>
      </c>
      <c r="U21" s="37">
        <f>IFERROR(VLOOKUP($D21,BS연결,MATCH(U$1,BS연결H,0),0)/100,"")</f>
        <v/>
      </c>
      <c r="V21" s="18">
        <f>IFERROR(VLOOKUP($D21,BS연결,MATCH(V$1,BS연결H,0),0)/100,"")</f>
        <v/>
      </c>
      <c r="W21" s="18">
        <f>IFERROR(VLOOKUP($D21,BS연결,MATCH(W$1,BS연결H,0),0)/100,"")</f>
        <v/>
      </c>
      <c r="X21" s="18">
        <f>IFERROR(VLOOKUP($D21,BS연결,MATCH(X$1,BS연결H,0),0)/100,"")</f>
        <v/>
      </c>
      <c r="Y21" s="18">
        <f>IFERROR(VLOOKUP($D21,BS연결,MATCH(Y$1,BS연결H,0),0)/100,"")</f>
        <v/>
      </c>
      <c r="Z21" s="37">
        <f>IFERROR(VLOOKUP($D21,BS연결,MATCH(Z$1,BS연결H,0),0)/100,"")</f>
        <v/>
      </c>
      <c r="AA21" s="18">
        <f>IFERROR(VLOOKUP($D21,BS연결,MATCH(AA$1,BS연결H,0),0)/100,"")</f>
        <v/>
      </c>
      <c r="AB21" s="19">
        <f>IFERROR(VLOOKUP($D21,BS연결,MATCH(AB$1,BS연결H,0),0)/100,"")</f>
        <v/>
      </c>
      <c r="AC21" s="20">
        <f>IFERROR(AC20*변수!AC30,"")</f>
        <v/>
      </c>
      <c r="AD21" s="20">
        <f>IFERROR(AD20*변수!AD30,"")</f>
        <v/>
      </c>
      <c r="AE21" s="38">
        <f>SUM(AA21:AD21)</f>
        <v/>
      </c>
      <c r="AF21" s="20">
        <f>IFERROR(AF20*변수!AF30,"")</f>
        <v/>
      </c>
      <c r="AG21" s="20">
        <f>IFERROR(AG20*변수!AG30,"")</f>
        <v/>
      </c>
      <c r="AH21" s="20">
        <f>IFERROR(AH20*변수!AH30,"")</f>
        <v/>
      </c>
      <c r="AI21" s="20">
        <f>IFERROR(AI20*변수!AI30,"")</f>
        <v/>
      </c>
      <c r="AJ21" s="38">
        <f>SUM(AF21:AI21)</f>
        <v/>
      </c>
      <c r="AK21" s="20">
        <f>IFERROR(AK20*변수!AK30,"")</f>
        <v/>
      </c>
      <c r="AL21" s="20">
        <f>IFERROR(AL20*변수!AL30,"")</f>
        <v/>
      </c>
      <c r="AM21" s="20">
        <f>IFERROR(AM20*변수!AM30,"")</f>
        <v/>
      </c>
      <c r="AN21" s="20">
        <f>IFERROR(AN20*변수!AN30,"")</f>
        <v/>
      </c>
      <c r="AO21" s="38">
        <f>SUM(AK21:AN21)</f>
        <v/>
      </c>
    </row>
    <row r="22">
      <c r="A22" s="12" t="inlineStr">
        <is>
          <t>중단사업이익</t>
        </is>
      </c>
      <c r="B22" t="inlineStr">
        <is>
          <t>손익</t>
        </is>
      </c>
      <c r="C22" t="inlineStr">
        <is>
          <t>억원</t>
        </is>
      </c>
      <c r="D22" t="inlineStr">
        <is>
          <t>중단사업이익</t>
        </is>
      </c>
      <c r="E22" s="18" t="n"/>
      <c r="F22" s="37" t="n"/>
      <c r="G22" s="18" t="n"/>
      <c r="H22" s="18" t="n"/>
      <c r="I22" s="18" t="n"/>
      <c r="J22" s="18" t="n"/>
      <c r="K22" s="37">
        <f>SUM(G22:J22)</f>
        <v/>
      </c>
      <c r="L22" s="18" t="n"/>
      <c r="M22" s="18" t="n"/>
      <c r="N22" s="18" t="n"/>
      <c r="O22" s="18" t="n"/>
      <c r="P22" s="37">
        <f>SUM(L22:O22)</f>
        <v/>
      </c>
      <c r="Q22" s="18" t="n"/>
      <c r="R22" s="18">
        <f>IFERROR(VLOOKUP($D22,BS연결,MATCH(R$1,BS연결H,0),0)/100,"")</f>
        <v/>
      </c>
      <c r="S22" s="18">
        <f>IFERROR(VLOOKUP($D22,BS연결,MATCH(S$1,BS연결H,0),0)/100,"")</f>
        <v/>
      </c>
      <c r="T22" s="18">
        <f>IFERROR(VLOOKUP($D22,BS연결,MATCH(T$1,BS연결H,0),0)/100,"")</f>
        <v/>
      </c>
      <c r="U22" s="37">
        <f>SUM(Q22:T22)</f>
        <v/>
      </c>
      <c r="V22" s="18" t="n"/>
      <c r="W22" s="18" t="n"/>
      <c r="X22" s="18" t="n"/>
      <c r="Y22" s="18" t="n"/>
      <c r="Z22" s="37">
        <f>SUM(V22:Y22)</f>
        <v/>
      </c>
      <c r="AA22" s="18" t="n"/>
      <c r="AB22" s="19" t="n"/>
      <c r="AC22" s="20" t="n"/>
      <c r="AD22" s="20" t="n"/>
      <c r="AE22" s="38">
        <f>SUM(AA22:AD22)</f>
        <v/>
      </c>
      <c r="AF22" s="20" t="n"/>
      <c r="AG22" s="20" t="n"/>
      <c r="AH22" s="20" t="n"/>
      <c r="AI22" s="20" t="n"/>
      <c r="AJ22" s="38">
        <f>SUM(AF22:AI22)</f>
        <v/>
      </c>
      <c r="AK22" s="20" t="n"/>
      <c r="AL22" s="20" t="n"/>
      <c r="AM22" s="20" t="n"/>
      <c r="AN22" s="20" t="n"/>
      <c r="AO22" s="38">
        <f>SUM(AK22:AN22)</f>
        <v/>
      </c>
    </row>
    <row r="23">
      <c r="A23" s="12" t="inlineStr">
        <is>
          <t>자산총계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자산총계</t>
        </is>
      </c>
      <c r="E23" s="18">
        <f>IFERROR(VLOOKUP($D23,BS연결,MATCH(E$1,BS연결H,0),0)/100,"")</f>
        <v/>
      </c>
      <c r="F23" s="37">
        <f>IFERROR(VLOOKUP($D23,BS연결,MATCH(F$1,BS연결H,0),0)/100,"")</f>
        <v/>
      </c>
      <c r="G23" s="18">
        <f>IFERROR(VLOOKUP($D23,BS연결,MATCH(G$1,BS연결H,0),0)/100,"")</f>
        <v/>
      </c>
      <c r="H23" s="18">
        <f>IFERROR(VLOOKUP($D23,BS연결,MATCH(H$1,BS연결H,0),0)/100,"")</f>
        <v/>
      </c>
      <c r="I23" s="18">
        <f>IFERROR(VLOOKUP($D23,BS연결,MATCH(I$1,BS연결H,0),0)/100,"")</f>
        <v/>
      </c>
      <c r="J23" s="18">
        <f>IFERROR(VLOOKUP($D23,BS연결,MATCH(J$1,BS연결H,0),0)/100,"")</f>
        <v/>
      </c>
      <c r="K23" s="37">
        <f>IFERROR(VLOOKUP($D23,BS연결,MATCH(K$1,BS연결H,0),0)/100,"")</f>
        <v/>
      </c>
      <c r="L23" s="18">
        <f>IFERROR(VLOOKUP($D23,BS연결,MATCH(L$1,BS연결H,0),0)/100,"")</f>
        <v/>
      </c>
      <c r="M23" s="18">
        <f>IFERROR(VLOOKUP($D23,BS연결,MATCH(M$1,BS연결H,0),0)/100,"")</f>
        <v/>
      </c>
      <c r="N23" s="18">
        <f>IFERROR(VLOOKUP($D23,BS연결,MATCH(N$1,BS연결H,0),0)/100,"")</f>
        <v/>
      </c>
      <c r="O23" s="18">
        <f>IFERROR(VLOOKUP($D23,BS연결,MATCH(O$1,BS연결H,0),0)/100,"")</f>
        <v/>
      </c>
      <c r="P23" s="37">
        <f>IFERROR(VLOOKUP($D23,BS연결,MATCH(P$1,BS연결H,0),0)/100,"")</f>
        <v/>
      </c>
      <c r="Q23" s="18">
        <f>IFERROR(VLOOKUP($D23,BS연결,MATCH(Q$1,BS연결H,0),0)/100,"")</f>
        <v/>
      </c>
      <c r="R23" s="18">
        <f>IFERROR(VLOOKUP($D23,BS연결,MATCH(R$1,BS연결H,0),0)/100,"")</f>
        <v/>
      </c>
      <c r="S23" s="18">
        <f>IFERROR(VLOOKUP($D23,BS연결,MATCH(S$1,BS연결H,0),0)/100,"")</f>
        <v/>
      </c>
      <c r="T23" s="18">
        <f>IFERROR(VLOOKUP($D23,BS연결,MATCH(T$1,BS연결H,0),0)/100,"")</f>
        <v/>
      </c>
      <c r="U23" s="37">
        <f>IFERROR(VLOOKUP($D23,BS연결,MATCH(U$1,BS연결H,0),0)/100,"")</f>
        <v/>
      </c>
      <c r="V23" s="18">
        <f>IFERROR(VLOOKUP($D23,BS연결,MATCH(V$1,BS연결H,0),0)/100,"")</f>
        <v/>
      </c>
      <c r="W23" s="18">
        <f>IFERROR(VLOOKUP($D23,BS연결,MATCH(W$1,BS연결H,0),0)/100,"")</f>
        <v/>
      </c>
      <c r="X23" s="18">
        <f>IFERROR(VLOOKUP($D23,BS연결,MATCH(X$1,BS연결H,0),0)/100,"")</f>
        <v/>
      </c>
      <c r="Y23" s="18">
        <f>IFERROR(VLOOKUP($D23,BS연결,MATCH(Y$1,BS연결H,0),0)/100,"")</f>
        <v/>
      </c>
      <c r="Z23" s="37">
        <f>IFERROR(VLOOKUP($D23,BS연결,MATCH(Z$1,BS연결H,0),0)/100,"")</f>
        <v/>
      </c>
      <c r="AA23" s="18">
        <f>IFERROR(VLOOKUP($D23,BS연결,MATCH(AA$1,BS연결H,0),0)/100,"")</f>
        <v/>
      </c>
      <c r="AB23" s="19">
        <f>IFERROR(VLOOKUP($D23,BS연결,MATCH(AB$1,BS연결H,0),0)/100,"")</f>
        <v/>
      </c>
      <c r="AC23" s="20">
        <f>IFERROR(AC24+AC25,"")</f>
        <v/>
      </c>
      <c r="AD23" s="20">
        <f>IFERROR(AD24+AD25,"")</f>
        <v/>
      </c>
      <c r="AE23" s="38">
        <f>AD23</f>
        <v/>
      </c>
      <c r="AF23" s="20">
        <f>IFERROR(AF24+AF25,"")</f>
        <v/>
      </c>
      <c r="AG23" s="20">
        <f>IFERROR(AG24+AG25,"")</f>
        <v/>
      </c>
      <c r="AH23" s="20">
        <f>IFERROR(AH24+AH25,"")</f>
        <v/>
      </c>
      <c r="AI23" s="20">
        <f>IFERROR(AI24+AI25,"")</f>
        <v/>
      </c>
      <c r="AJ23" s="38">
        <f>AI23</f>
        <v/>
      </c>
      <c r="AK23" s="20">
        <f>IFERROR(AK24+AK25,"")</f>
        <v/>
      </c>
      <c r="AL23" s="20">
        <f>IFERROR(AL24+AL25,"")</f>
        <v/>
      </c>
      <c r="AM23" s="20">
        <f>IFERROR(AM24+AM25,"")</f>
        <v/>
      </c>
      <c r="AN23" s="20">
        <f>IFERROR(AN24+AN25,"")</f>
        <v/>
      </c>
      <c r="AO23" s="38">
        <f>AN23</f>
        <v/>
      </c>
    </row>
    <row r="24">
      <c r="A24" s="12" t="inlineStr">
        <is>
          <t>부채총계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부채총계</t>
        </is>
      </c>
      <c r="E24" s="18">
        <f>IFERROR(VLOOKUP($D24,BS연결,MATCH(E$1,BS연결H,0),0)/100,"")</f>
        <v/>
      </c>
      <c r="F24" s="37">
        <f>IFERROR(VLOOKUP($D24,BS연결,MATCH(F$1,BS연결H,0),0)/100,"")</f>
        <v/>
      </c>
      <c r="G24" s="18">
        <f>IFERROR(VLOOKUP($D24,BS연결,MATCH(G$1,BS연결H,0),0)/100,"")</f>
        <v/>
      </c>
      <c r="H24" s="18">
        <f>IFERROR(VLOOKUP($D24,BS연결,MATCH(H$1,BS연결H,0),0)/100,"")</f>
        <v/>
      </c>
      <c r="I24" s="18">
        <f>IFERROR(VLOOKUP($D24,BS연결,MATCH(I$1,BS연결H,0),0)/100,"")</f>
        <v/>
      </c>
      <c r="J24" s="18">
        <f>IFERROR(VLOOKUP($D24,BS연결,MATCH(J$1,BS연결H,0),0)/100,"")</f>
        <v/>
      </c>
      <c r="K24" s="37">
        <f>IFERROR(VLOOKUP($D24,BS연결,MATCH(K$1,BS연결H,0),0)/100,"")</f>
        <v/>
      </c>
      <c r="L24" s="18">
        <f>IFERROR(VLOOKUP($D24,BS연결,MATCH(L$1,BS연결H,0),0)/100,"")</f>
        <v/>
      </c>
      <c r="M24" s="18">
        <f>IFERROR(VLOOKUP($D24,BS연결,MATCH(M$1,BS연결H,0),0)/100,"")</f>
        <v/>
      </c>
      <c r="N24" s="18">
        <f>IFERROR(VLOOKUP($D24,BS연결,MATCH(N$1,BS연결H,0),0)/100,"")</f>
        <v/>
      </c>
      <c r="O24" s="18">
        <f>IFERROR(VLOOKUP($D24,BS연결,MATCH(O$1,BS연결H,0),0)/100,"")</f>
        <v/>
      </c>
      <c r="P24" s="37">
        <f>IFERROR(VLOOKUP($D24,BS연결,MATCH(P$1,BS연결H,0),0)/100,"")</f>
        <v/>
      </c>
      <c r="Q24" s="18">
        <f>IFERROR(VLOOKUP($D24,BS연결,MATCH(Q$1,BS연결H,0),0)/100,"")</f>
        <v/>
      </c>
      <c r="R24" s="18">
        <f>IFERROR(VLOOKUP($D24,BS연결,MATCH(R$1,BS연결H,0),0)/100,"")</f>
        <v/>
      </c>
      <c r="S24" s="18">
        <f>IFERROR(VLOOKUP($D24,BS연결,MATCH(S$1,BS연결H,0),0)/100,"")</f>
        <v/>
      </c>
      <c r="T24" s="18">
        <f>IFERROR(VLOOKUP($D24,BS연결,MATCH(T$1,BS연결H,0),0)/100,"")</f>
        <v/>
      </c>
      <c r="U24" s="37">
        <f>IFERROR(VLOOKUP($D24,BS연결,MATCH(U$1,BS연결H,0),0)/100,"")</f>
        <v/>
      </c>
      <c r="V24" s="18">
        <f>IFERROR(VLOOKUP($D24,BS연결,MATCH(V$1,BS연결H,0),0)/100,"")</f>
        <v/>
      </c>
      <c r="W24" s="18">
        <f>IFERROR(VLOOKUP($D24,BS연결,MATCH(W$1,BS연결H,0),0)/100,"")</f>
        <v/>
      </c>
      <c r="X24" s="18">
        <f>IFERROR(VLOOKUP($D24,BS연결,MATCH(X$1,BS연결H,0),0)/100,"")</f>
        <v/>
      </c>
      <c r="Y24" s="18">
        <f>IFERROR(VLOOKUP($D24,BS연결,MATCH(Y$1,BS연결H,0),0)/100,"")</f>
        <v/>
      </c>
      <c r="Z24" s="37">
        <f>IFERROR(VLOOKUP($D24,BS연결,MATCH(Z$1,BS연결H,0),0)/100,"")</f>
        <v/>
      </c>
      <c r="AA24" s="18">
        <f>IFERROR(VLOOKUP($D24,BS연결,MATCH(AA$1,BS연결H,0),0)/100,"")</f>
        <v/>
      </c>
      <c r="AB24" s="19">
        <f>IFERROR(VLOOKUP($D24,BS연결,MATCH(AB$1,BS연결H,0),0)/100,"")</f>
        <v/>
      </c>
      <c r="AC24" s="20">
        <f>IFERROR(AB24*(1+변수!AC32),"")</f>
        <v/>
      </c>
      <c r="AD24" s="20">
        <f>IFERROR(AC24*(1+변수!AD32),"")</f>
        <v/>
      </c>
      <c r="AE24" s="38">
        <f>AD24</f>
        <v/>
      </c>
      <c r="AF24" s="20">
        <f>IFERROR(AD24*(1+변수!AF32),"")</f>
        <v/>
      </c>
      <c r="AG24" s="20">
        <f>IFERROR(AF24*(1+변수!AG32),"")</f>
        <v/>
      </c>
      <c r="AH24" s="20">
        <f>IFERROR(AG24*(1+변수!AH32),"")</f>
        <v/>
      </c>
      <c r="AI24" s="20">
        <f>IFERROR(AH24*(1+변수!AI32),"")</f>
        <v/>
      </c>
      <c r="AJ24" s="38">
        <f>AI24</f>
        <v/>
      </c>
      <c r="AK24" s="20">
        <f>IFERROR(AI24*(1+변수!AK32),"")</f>
        <v/>
      </c>
      <c r="AL24" s="20">
        <f>IFERROR(AK24*(1+변수!AL32),"")</f>
        <v/>
      </c>
      <c r="AM24" s="20">
        <f>IFERROR(AL24*(1+변수!AM32),"")</f>
        <v/>
      </c>
      <c r="AN24" s="20">
        <f>IFERROR(AM24*(1+변수!AN32),"")</f>
        <v/>
      </c>
      <c r="AO24" s="38">
        <f>AN24</f>
        <v/>
      </c>
    </row>
    <row r="25">
      <c r="A25" s="12" t="inlineStr">
        <is>
          <t>자본총계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자본총계</t>
        </is>
      </c>
      <c r="E25" s="18">
        <f>IFERROR(VLOOKUP($D25,BS연결,MATCH(E$1,BS연결H,0),0)/100,"")</f>
        <v/>
      </c>
      <c r="F25" s="37">
        <f>IFERROR(VLOOKUP($D25,BS연결,MATCH(F$1,BS연결H,0),0)/100,"")</f>
        <v/>
      </c>
      <c r="G25" s="18">
        <f>IFERROR(VLOOKUP($D25,BS연결,MATCH(G$1,BS연결H,0),0)/100,"")</f>
        <v/>
      </c>
      <c r="H25" s="18">
        <f>IFERROR(VLOOKUP($D25,BS연결,MATCH(H$1,BS연결H,0),0)/100,"")</f>
        <v/>
      </c>
      <c r="I25" s="18">
        <f>IFERROR(VLOOKUP($D25,BS연결,MATCH(I$1,BS연결H,0),0)/100,"")</f>
        <v/>
      </c>
      <c r="J25" s="18">
        <f>IFERROR(VLOOKUP($D25,BS연결,MATCH(J$1,BS연결H,0),0)/100,"")</f>
        <v/>
      </c>
      <c r="K25" s="37">
        <f>IFERROR(VLOOKUP($D25,BS연결,MATCH(K$1,BS연결H,0),0)/100,"")</f>
        <v/>
      </c>
      <c r="L25" s="18">
        <f>IFERROR(VLOOKUP($D25,BS연결,MATCH(L$1,BS연결H,0),0)/100,"")</f>
        <v/>
      </c>
      <c r="M25" s="18">
        <f>IFERROR(VLOOKUP($D25,BS연결,MATCH(M$1,BS연결H,0),0)/100,"")</f>
        <v/>
      </c>
      <c r="N25" s="18">
        <f>IFERROR(VLOOKUP($D25,BS연결,MATCH(N$1,BS연결H,0),0)/100,"")</f>
        <v/>
      </c>
      <c r="O25" s="18">
        <f>IFERROR(VLOOKUP($D25,BS연결,MATCH(O$1,BS연결H,0),0)/100,"")</f>
        <v/>
      </c>
      <c r="P25" s="37">
        <f>IFERROR(VLOOKUP($D25,BS연결,MATCH(P$1,BS연결H,0),0)/100,"")</f>
        <v/>
      </c>
      <c r="Q25" s="18">
        <f>IFERROR(VLOOKUP($D25,BS연결,MATCH(Q$1,BS연결H,0),0)/100,"")</f>
        <v/>
      </c>
      <c r="R25" s="18">
        <f>IFERROR(VLOOKUP($D25,BS연결,MATCH(R$1,BS연결H,0),0)/100,"")</f>
        <v/>
      </c>
      <c r="S25" s="18">
        <f>IFERROR(VLOOKUP($D25,BS연결,MATCH(S$1,BS연결H,0),0)/100,"")</f>
        <v/>
      </c>
      <c r="T25" s="18">
        <f>IFERROR(VLOOKUP($D25,BS연결,MATCH(T$1,BS연결H,0),0)/100,"")</f>
        <v/>
      </c>
      <c r="U25" s="37">
        <f>IFERROR(VLOOKUP($D25,BS연결,MATCH(U$1,BS연결H,0),0)/100,"")</f>
        <v/>
      </c>
      <c r="V25" s="18">
        <f>IFERROR(VLOOKUP($D25,BS연결,MATCH(V$1,BS연결H,0),0)/100,"")</f>
        <v/>
      </c>
      <c r="W25" s="18">
        <f>IFERROR(VLOOKUP($D25,BS연결,MATCH(W$1,BS연결H,0),0)/100,"")</f>
        <v/>
      </c>
      <c r="X25" s="18">
        <f>IFERROR(VLOOKUP($D25,BS연결,MATCH(X$1,BS연결H,0),0)/100,"")</f>
        <v/>
      </c>
      <c r="Y25" s="18">
        <f>IFERROR(VLOOKUP($D25,BS연결,MATCH(Y$1,BS연결H,0),0)/100,"")</f>
        <v/>
      </c>
      <c r="Z25" s="37">
        <f>IFERROR(VLOOKUP($D25,BS연결,MATCH(Z$1,BS연결H,0),0)/100,"")</f>
        <v/>
      </c>
      <c r="AA25" s="18">
        <f>IFERROR(VLOOKUP($D25,BS연결,MATCH(AA$1,BS연결H,0),0)/100,"")</f>
        <v/>
      </c>
      <c r="AB25" s="19">
        <f>IFERROR(VLOOKUP($D25,BS연결,MATCH(AB$1,BS연결H,0),0)/100,"")</f>
        <v/>
      </c>
      <c r="AC25" s="20">
        <f>IFERROR(AB25+AC20-변수!AC33,"")</f>
        <v/>
      </c>
      <c r="AD25" s="20">
        <f>IFERROR(AC25+AD20-변수!AD33,"")</f>
        <v/>
      </c>
      <c r="AE25" s="38">
        <f>AD25</f>
        <v/>
      </c>
      <c r="AF25" s="20">
        <f>IFERROR(AD25+AF20-변수!AF33,"")</f>
        <v/>
      </c>
      <c r="AG25" s="20">
        <f>IFERROR(AF25+AG20-변수!AG33,"")</f>
        <v/>
      </c>
      <c r="AH25" s="20">
        <f>IFERROR(AG25+AH20-변수!AH33,"")</f>
        <v/>
      </c>
      <c r="AI25" s="20">
        <f>IFERROR(AH25+AI20-변수!AI33,"")</f>
        <v/>
      </c>
      <c r="AJ25" s="38">
        <f>AI25</f>
        <v/>
      </c>
      <c r="AK25" s="20">
        <f>IFERROR(AI25+AK20-변수!AK33,"")</f>
        <v/>
      </c>
      <c r="AL25" s="20">
        <f>IFERROR(AK25+AL20-변수!AL33,"")</f>
        <v/>
      </c>
      <c r="AM25" s="20">
        <f>IFERROR(AL25+AM20-변수!AM33,"")</f>
        <v/>
      </c>
      <c r="AN25" s="20">
        <f>IFERROR(AM25+AN20-변수!AN33,"")</f>
        <v/>
      </c>
      <c r="AO25" s="38">
        <f>AN25</f>
        <v/>
      </c>
    </row>
    <row r="26">
      <c r="A26" s="12" t="inlineStr">
        <is>
          <t>지배주주지분</t>
        </is>
      </c>
      <c r="B26" t="inlineStr">
        <is>
          <t>재무상태</t>
        </is>
      </c>
      <c r="C26" t="inlineStr">
        <is>
          <t>억원</t>
        </is>
      </c>
      <c r="D26" t="inlineStr">
        <is>
          <t>지배주주지분</t>
        </is>
      </c>
      <c r="E26" s="18">
        <f>IFERROR(VLOOKUP($D26,BS연결,MATCH(E$1,BS연결H,0),0)/100,"")</f>
        <v/>
      </c>
      <c r="F26" s="37">
        <f>IFERROR(VLOOKUP($D26,BS연결,MATCH(F$1,BS연결H,0),0)/100,"")</f>
        <v/>
      </c>
      <c r="G26" s="18">
        <f>IFERROR(VLOOKUP($D26,BS연결,MATCH(G$1,BS연결H,0),0)/100,"")</f>
        <v/>
      </c>
      <c r="H26" s="18">
        <f>IFERROR(VLOOKUP($D26,BS연결,MATCH(H$1,BS연결H,0),0)/100,"")</f>
        <v/>
      </c>
      <c r="I26" s="18">
        <f>IFERROR(VLOOKUP($D26,BS연결,MATCH(I$1,BS연결H,0),0)/100,"")</f>
        <v/>
      </c>
      <c r="J26" s="18">
        <f>IFERROR(VLOOKUP($D26,BS연결,MATCH(J$1,BS연결H,0),0)/100,"")</f>
        <v/>
      </c>
      <c r="K26" s="37">
        <f>IFERROR(VLOOKUP($D26,BS연결,MATCH(K$1,BS연결H,0),0)/100,"")</f>
        <v/>
      </c>
      <c r="L26" s="18">
        <f>IFERROR(VLOOKUP($D26,BS연결,MATCH(L$1,BS연결H,0),0)/100,"")</f>
        <v/>
      </c>
      <c r="M26" s="18">
        <f>IFERROR(VLOOKUP($D26,BS연결,MATCH(M$1,BS연결H,0),0)/100,"")</f>
        <v/>
      </c>
      <c r="N26" s="18">
        <f>IFERROR(VLOOKUP($D26,BS연결,MATCH(N$1,BS연결H,0),0)/100,"")</f>
        <v/>
      </c>
      <c r="O26" s="18">
        <f>IFERROR(VLOOKUP($D26,BS연결,MATCH(O$1,BS연결H,0),0)/100,"")</f>
        <v/>
      </c>
      <c r="P26" s="37">
        <f>IFERROR(VLOOKUP($D26,BS연결,MATCH(P$1,BS연결H,0),0)/100,"")</f>
        <v/>
      </c>
      <c r="Q26" s="18">
        <f>IFERROR(VLOOKUP($D26,BS연결,MATCH(Q$1,BS연결H,0),0)/100,"")</f>
        <v/>
      </c>
      <c r="R26" s="18">
        <f>IFERROR(VLOOKUP($D26,BS연결,MATCH(R$1,BS연결H,0),0)/100,"")</f>
        <v/>
      </c>
      <c r="S26" s="18">
        <f>IFERROR(VLOOKUP($D26,BS연결,MATCH(S$1,BS연결H,0),0)/100,"")</f>
        <v/>
      </c>
      <c r="T26" s="18">
        <f>IFERROR(VLOOKUP($D26,BS연결,MATCH(T$1,BS연결H,0),0)/100,"")</f>
        <v/>
      </c>
      <c r="U26" s="37">
        <f>IFERROR(VLOOKUP($D26,BS연결,MATCH(U$1,BS연결H,0),0)/100,"")</f>
        <v/>
      </c>
      <c r="V26" s="18">
        <f>IFERROR(VLOOKUP($D26,BS연결,MATCH(V$1,BS연결H,0),0)/100,"")</f>
        <v/>
      </c>
      <c r="W26" s="18">
        <f>IFERROR(VLOOKUP($D26,BS연결,MATCH(W$1,BS연결H,0),0)/100,"")</f>
        <v/>
      </c>
      <c r="X26" s="18">
        <f>IFERROR(VLOOKUP($D26,BS연결,MATCH(X$1,BS연결H,0),0)/100,"")</f>
        <v/>
      </c>
      <c r="Y26" s="18">
        <f>IFERROR(VLOOKUP($D26,BS연결,MATCH(Y$1,BS연결H,0),0)/100,"")</f>
        <v/>
      </c>
      <c r="Z26" s="37">
        <f>IFERROR(VLOOKUP($D26,BS연결,MATCH(Z$1,BS연결H,0),0)/100,"")</f>
        <v/>
      </c>
      <c r="AA26" s="18">
        <f>IFERROR(VLOOKUP($D26,BS연결,MATCH(AA$1,BS연결H,0),0)/100,"")</f>
        <v/>
      </c>
      <c r="AB26" s="19">
        <f>IFERROR(VLOOKUP($D26,BS연결,MATCH(AB$1,BS연결H,0),0)/100,"")</f>
        <v/>
      </c>
      <c r="AC26" s="20">
        <f>IFERROR(AB26+AC21-변수!AC34,"")</f>
        <v/>
      </c>
      <c r="AD26" s="20">
        <f>IFERROR(AC26+AD21-변수!AD34,"")</f>
        <v/>
      </c>
      <c r="AE26" s="38">
        <f>AD26</f>
        <v/>
      </c>
      <c r="AF26" s="20">
        <f>IFERROR(AD26+AF21-변수!AF34,"")</f>
        <v/>
      </c>
      <c r="AG26" s="20">
        <f>IFERROR(AF26+AG21-변수!AG34,"")</f>
        <v/>
      </c>
      <c r="AH26" s="20">
        <f>IFERROR(AG26+AH21-변수!AH34,"")</f>
        <v/>
      </c>
      <c r="AI26" s="20">
        <f>IFERROR(AH26+AI21-변수!AI34,"")</f>
        <v/>
      </c>
      <c r="AJ26" s="38">
        <f>AI26</f>
        <v/>
      </c>
      <c r="AK26" s="20">
        <f>IFERROR(AI26+AK21-변수!AK34,"")</f>
        <v/>
      </c>
      <c r="AL26" s="20">
        <f>IFERROR(AK26+AL21-변수!AL34,"")</f>
        <v/>
      </c>
      <c r="AM26" s="20">
        <f>IFERROR(AL26+AM21-변수!AM34,"")</f>
        <v/>
      </c>
      <c r="AN26" s="20">
        <f>IFERROR(AM26+AN21-변수!AN34,"")</f>
        <v/>
      </c>
      <c r="AO26" s="38">
        <f>AN26</f>
        <v/>
      </c>
    </row>
    <row r="27">
      <c r="A27" s="12" t="inlineStr">
        <is>
          <t>총차입금</t>
        </is>
      </c>
      <c r="B27" t="inlineStr">
        <is>
          <t>재무상태</t>
        </is>
      </c>
      <c r="C27" t="inlineStr">
        <is>
          <t>억원</t>
        </is>
      </c>
      <c r="D27" t="inlineStr">
        <is>
          <t>총차입금</t>
        </is>
      </c>
      <c r="E27" s="18">
        <f>IFERROR(VLOOKUP($D27,BS연결,MATCH(E$1,BS연결H,0),0)/100,"")</f>
        <v/>
      </c>
      <c r="F27" s="37">
        <f>IFERROR(VLOOKUP($D27,BS연결,MATCH(F$1,BS연결H,0),0)/100,"")</f>
        <v/>
      </c>
      <c r="G27" s="18">
        <f>IFERROR(VLOOKUP($D27,BS연결,MATCH(G$1,BS연결H,0),0)/100,"")</f>
        <v/>
      </c>
      <c r="H27" s="18">
        <f>IFERROR(VLOOKUP($D27,BS연결,MATCH(H$1,BS연결H,0),0)/100,"")</f>
        <v/>
      </c>
      <c r="I27" s="18">
        <f>IFERROR(VLOOKUP($D27,BS연결,MATCH(I$1,BS연결H,0),0)/100,"")</f>
        <v/>
      </c>
      <c r="J27" s="18">
        <f>IFERROR(VLOOKUP($D27,BS연결,MATCH(J$1,BS연결H,0),0)/100,"")</f>
        <v/>
      </c>
      <c r="K27" s="37">
        <f>IFERROR(VLOOKUP($D27,BS연결,MATCH(K$1,BS연결H,0),0)/100,"")</f>
        <v/>
      </c>
      <c r="L27" s="18">
        <f>IFERROR(VLOOKUP($D27,BS연결,MATCH(L$1,BS연결H,0),0)/100,"")</f>
        <v/>
      </c>
      <c r="M27" s="18">
        <f>IFERROR(VLOOKUP($D27,BS연결,MATCH(M$1,BS연결H,0),0)/100,"")</f>
        <v/>
      </c>
      <c r="N27" s="18">
        <f>IFERROR(VLOOKUP($D27,BS연결,MATCH(N$1,BS연결H,0),0)/100,"")</f>
        <v/>
      </c>
      <c r="O27" s="18">
        <f>IFERROR(VLOOKUP($D27,BS연결,MATCH(O$1,BS연결H,0),0)/100,"")</f>
        <v/>
      </c>
      <c r="P27" s="37">
        <f>IFERROR(VLOOKUP($D27,BS연결,MATCH(P$1,BS연결H,0),0)/100,"")</f>
        <v/>
      </c>
      <c r="Q27" s="18">
        <f>IFERROR(VLOOKUP($D27,BS연결,MATCH(Q$1,BS연결H,0),0)/100,"")</f>
        <v/>
      </c>
      <c r="R27" s="18">
        <f>IFERROR(VLOOKUP($D27,BS연결,MATCH(R$1,BS연결H,0),0)/100,"")</f>
        <v/>
      </c>
      <c r="S27" s="18">
        <f>IFERROR(VLOOKUP($D27,BS연결,MATCH(S$1,BS연결H,0),0)/100,"")</f>
        <v/>
      </c>
      <c r="T27" s="18">
        <f>IFERROR(VLOOKUP($D27,BS연결,MATCH(T$1,BS연결H,0),0)/100,"")</f>
        <v/>
      </c>
      <c r="U27" s="37">
        <f>IFERROR(VLOOKUP($D27,BS연결,MATCH(U$1,BS연결H,0),0)/100,"")</f>
        <v/>
      </c>
      <c r="V27" s="18">
        <f>IFERROR(VLOOKUP($D27,BS연결,MATCH(V$1,BS연결H,0),0)/100,"")</f>
        <v/>
      </c>
      <c r="W27" s="18">
        <f>IFERROR(VLOOKUP($D27,BS연결,MATCH(W$1,BS연결H,0),0)/100,"")</f>
        <v/>
      </c>
      <c r="X27" s="18">
        <f>IFERROR(VLOOKUP($D27,BS연결,MATCH(X$1,BS연결H,0),0)/100,"")</f>
        <v/>
      </c>
      <c r="Y27" s="18">
        <f>IFERROR(VLOOKUP($D27,BS연결,MATCH(Y$1,BS연결H,0),0)/100,"")</f>
        <v/>
      </c>
      <c r="Z27" s="37">
        <f>IFERROR(VLOOKUP($D27,BS연결,MATCH(Z$1,BS연결H,0),0)/100,"")</f>
        <v/>
      </c>
      <c r="AA27" s="18">
        <f>IFERROR(VLOOKUP($D27,BS연결,MATCH(AA$1,BS연결H,0),0)/100,"")</f>
        <v/>
      </c>
      <c r="AB27" s="19">
        <f>IFERROR(VLOOKUP($D27,BS연결,MATCH(AB$1,BS연결H,0),0)/100,"")</f>
        <v/>
      </c>
      <c r="AC27" s="20">
        <f>IFERROR(AB27*(1+변수!AC35),"")</f>
        <v/>
      </c>
      <c r="AD27" s="20">
        <f>IFERROR(AC27*(1+변수!AD35),"")</f>
        <v/>
      </c>
      <c r="AE27" s="38">
        <f>AD27</f>
        <v/>
      </c>
      <c r="AF27" s="20">
        <f>IFERROR(AD27*(1+변수!AF35),"")</f>
        <v/>
      </c>
      <c r="AG27" s="20">
        <f>IFERROR(AF27*(1+변수!AG35),"")</f>
        <v/>
      </c>
      <c r="AH27" s="20">
        <f>IFERROR(AG27*(1+변수!AH35),"")</f>
        <v/>
      </c>
      <c r="AI27" s="20">
        <f>IFERROR(AH27*(1+변수!AI35),"")</f>
        <v/>
      </c>
      <c r="AJ27" s="38">
        <f>AI27</f>
        <v/>
      </c>
      <c r="AK27" s="20">
        <f>IFERROR(AI27*(1+변수!AK35),"")</f>
        <v/>
      </c>
      <c r="AL27" s="20">
        <f>IFERROR(AK27*(1+변수!AL35),"")</f>
        <v/>
      </c>
      <c r="AM27" s="20">
        <f>IFERROR(AL27*(1+변수!AM35),"")</f>
        <v/>
      </c>
      <c r="AN27" s="20">
        <f>IFERROR(AM27*(1+변수!AN35),"")</f>
        <v/>
      </c>
      <c r="AO27" s="38">
        <f>AN27</f>
        <v/>
      </c>
    </row>
    <row r="28">
      <c r="A28" s="12" t="inlineStr">
        <is>
          <t>순차입금</t>
        </is>
      </c>
      <c r="B28" t="inlineStr">
        <is>
          <t>재무상태</t>
        </is>
      </c>
      <c r="C28" t="inlineStr">
        <is>
          <t>억원</t>
        </is>
      </c>
      <c r="D28" t="inlineStr">
        <is>
          <t>순차입금</t>
        </is>
      </c>
      <c r="E28" s="18">
        <f>IFERROR(VLOOKUP($D28,BS연결,MATCH(E$1,BS연결H,0),0)/100,"")</f>
        <v/>
      </c>
      <c r="F28" s="37">
        <f>IFERROR(VLOOKUP($D28,BS연결,MATCH(F$1,BS연결H,0),0)/100,"")</f>
        <v/>
      </c>
      <c r="G28" s="18">
        <f>IFERROR(VLOOKUP($D28,BS연결,MATCH(G$1,BS연결H,0),0)/100,"")</f>
        <v/>
      </c>
      <c r="H28" s="18">
        <f>IFERROR(VLOOKUP($D28,BS연결,MATCH(H$1,BS연결H,0),0)/100,"")</f>
        <v/>
      </c>
      <c r="I28" s="18">
        <f>IFERROR(VLOOKUP($D28,BS연결,MATCH(I$1,BS연결H,0),0)/100,"")</f>
        <v/>
      </c>
      <c r="J28" s="18">
        <f>IFERROR(VLOOKUP($D28,BS연결,MATCH(J$1,BS연결H,0),0)/100,"")</f>
        <v/>
      </c>
      <c r="K28" s="37">
        <f>IFERROR(VLOOKUP($D28,BS연결,MATCH(K$1,BS연결H,0),0)/100,"")</f>
        <v/>
      </c>
      <c r="L28" s="18">
        <f>IFERROR(VLOOKUP($D28,BS연결,MATCH(L$1,BS연결H,0),0)/100,"")</f>
        <v/>
      </c>
      <c r="M28" s="18">
        <f>IFERROR(VLOOKUP($D28,BS연결,MATCH(M$1,BS연결H,0),0)/100,"")</f>
        <v/>
      </c>
      <c r="N28" s="18">
        <f>IFERROR(VLOOKUP($D28,BS연결,MATCH(N$1,BS연결H,0),0)/100,"")</f>
        <v/>
      </c>
      <c r="O28" s="18">
        <f>IFERROR(VLOOKUP($D28,BS연결,MATCH(O$1,BS연결H,0),0)/100,"")</f>
        <v/>
      </c>
      <c r="P28" s="37">
        <f>IFERROR(VLOOKUP($D28,BS연결,MATCH(P$1,BS연결H,0),0)/100,"")</f>
        <v/>
      </c>
      <c r="Q28" s="18">
        <f>IFERROR(VLOOKUP($D28,BS연결,MATCH(Q$1,BS연결H,0),0)/100,"")</f>
        <v/>
      </c>
      <c r="R28" s="18">
        <f>IFERROR(VLOOKUP($D28,BS연결,MATCH(R$1,BS연결H,0),0)/100,"")</f>
        <v/>
      </c>
      <c r="S28" s="18">
        <f>IFERROR(VLOOKUP($D28,BS연결,MATCH(S$1,BS연결H,0),0)/100,"")</f>
        <v/>
      </c>
      <c r="T28" s="18">
        <f>IFERROR(VLOOKUP($D28,BS연결,MATCH(T$1,BS연결H,0),0)/100,"")</f>
        <v/>
      </c>
      <c r="U28" s="37">
        <f>IFERROR(VLOOKUP($D28,BS연결,MATCH(U$1,BS연결H,0),0)/100,"")</f>
        <v/>
      </c>
      <c r="V28" s="18">
        <f>IFERROR(VLOOKUP($D28,BS연결,MATCH(V$1,BS연결H,0),0)/100,"")</f>
        <v/>
      </c>
      <c r="W28" s="18">
        <f>IFERROR(VLOOKUP($D28,BS연결,MATCH(W$1,BS연결H,0),0)/100,"")</f>
        <v/>
      </c>
      <c r="X28" s="18">
        <f>IFERROR(VLOOKUP($D28,BS연결,MATCH(X$1,BS연결H,0),0)/100,"")</f>
        <v/>
      </c>
      <c r="Y28" s="18">
        <f>IFERROR(VLOOKUP($D28,BS연결,MATCH(Y$1,BS연결H,0),0)/100,"")</f>
        <v/>
      </c>
      <c r="Z28" s="37">
        <f>IFERROR(VLOOKUP($D28,BS연결,MATCH(Z$1,BS연결H,0),0)/100,"")</f>
        <v/>
      </c>
      <c r="AA28" s="18">
        <f>IFERROR(VLOOKUP($D28,BS연결,MATCH(AA$1,BS연결H,0),0)/100,"")</f>
        <v/>
      </c>
      <c r="AB28" s="19">
        <f>IFERROR(VLOOKUP($D28,BS연결,MATCH(AB$1,BS연결H,0),0)/100,"")</f>
        <v/>
      </c>
      <c r="AC28" s="20">
        <f>IFERROR(AB28*(1+변수!AC36),"")</f>
        <v/>
      </c>
      <c r="AD28" s="20">
        <f>IFERROR(AC28*(1+변수!AD36),"")</f>
        <v/>
      </c>
      <c r="AE28" s="38">
        <f>AD28</f>
        <v/>
      </c>
      <c r="AF28" s="20">
        <f>IFERROR(AD28*(1+변수!AF36),"")</f>
        <v/>
      </c>
      <c r="AG28" s="20">
        <f>IFERROR(AF28*(1+변수!AG36),"")</f>
        <v/>
      </c>
      <c r="AH28" s="20">
        <f>IFERROR(AG28*(1+변수!AH36),"")</f>
        <v/>
      </c>
      <c r="AI28" s="20">
        <f>IFERROR(AH28*(1+변수!AI36),"")</f>
        <v/>
      </c>
      <c r="AJ28" s="38">
        <f>AI28</f>
        <v/>
      </c>
      <c r="AK28" s="20">
        <f>IFERROR(AI28*(1+변수!AK36),"")</f>
        <v/>
      </c>
      <c r="AL28" s="20">
        <f>IFERROR(AK28*(1+변수!AL36),"")</f>
        <v/>
      </c>
      <c r="AM28" s="20">
        <f>IFERROR(AL28*(1+변수!AM36),"")</f>
        <v/>
      </c>
      <c r="AN28" s="20">
        <f>IFERROR(AM28*(1+변수!AN36),"")</f>
        <v/>
      </c>
      <c r="AO28" s="38">
        <f>AN28</f>
        <v/>
      </c>
    </row>
    <row r="29">
      <c r="A29" s="12" t="inlineStr">
        <is>
          <t>이자발생자산</t>
        </is>
      </c>
      <c r="B29" t="inlineStr">
        <is>
          <t>재무상태</t>
        </is>
      </c>
      <c r="C29" t="inlineStr">
        <is>
          <t>억원</t>
        </is>
      </c>
      <c r="D29" t="inlineStr">
        <is>
          <t>이자발생자산</t>
        </is>
      </c>
      <c r="E29" s="18">
        <f>IFERROR(VLOOKUP($D29,BS연결,MATCH(E$1,BS연결H,0),0)/100,"")</f>
        <v/>
      </c>
      <c r="F29" s="37">
        <f>IFERROR(VLOOKUP($D29,BS연결,MATCH(F$1,BS연결H,0),0)/100,"")</f>
        <v/>
      </c>
      <c r="G29" s="18">
        <f>IFERROR(VLOOKUP($D29,BS연결,MATCH(G$1,BS연결H,0),0)/100,"")</f>
        <v/>
      </c>
      <c r="H29" s="18">
        <f>IFERROR(VLOOKUP($D29,BS연결,MATCH(H$1,BS연결H,0),0)/100,"")</f>
        <v/>
      </c>
      <c r="I29" s="18">
        <f>IFERROR(VLOOKUP($D29,BS연결,MATCH(I$1,BS연결H,0),0)/100,"")</f>
        <v/>
      </c>
      <c r="J29" s="18">
        <f>IFERROR(VLOOKUP($D29,BS연결,MATCH(J$1,BS연결H,0),0)/100,"")</f>
        <v/>
      </c>
      <c r="K29" s="37">
        <f>IFERROR(VLOOKUP($D29,BS연결,MATCH(K$1,BS연결H,0),0)/100,"")</f>
        <v/>
      </c>
      <c r="L29" s="18">
        <f>IFERROR(VLOOKUP($D29,BS연결,MATCH(L$1,BS연결H,0),0)/100,"")</f>
        <v/>
      </c>
      <c r="M29" s="18">
        <f>IFERROR(VLOOKUP($D29,BS연결,MATCH(M$1,BS연결H,0),0)/100,"")</f>
        <v/>
      </c>
      <c r="N29" s="18">
        <f>IFERROR(VLOOKUP($D29,BS연결,MATCH(N$1,BS연결H,0),0)/100,"")</f>
        <v/>
      </c>
      <c r="O29" s="18">
        <f>IFERROR(VLOOKUP($D29,BS연결,MATCH(O$1,BS연결H,0),0)/100,"")</f>
        <v/>
      </c>
      <c r="P29" s="37">
        <f>IFERROR(VLOOKUP($D29,BS연결,MATCH(P$1,BS연결H,0),0)/100,"")</f>
        <v/>
      </c>
      <c r="Q29" s="18">
        <f>IFERROR(VLOOKUP($D29,BS연결,MATCH(Q$1,BS연결H,0),0)/100,"")</f>
        <v/>
      </c>
      <c r="R29" s="18">
        <f>IFERROR(VLOOKUP($D29,BS연결,MATCH(R$1,BS연결H,0),0)/100,"")</f>
        <v/>
      </c>
      <c r="S29" s="18">
        <f>IFERROR(VLOOKUP($D29,BS연결,MATCH(S$1,BS연결H,0),0)/100,"")</f>
        <v/>
      </c>
      <c r="T29" s="18">
        <f>IFERROR(VLOOKUP($D29,BS연결,MATCH(T$1,BS연결H,0),0)/100,"")</f>
        <v/>
      </c>
      <c r="U29" s="37">
        <f>IFERROR(VLOOKUP($D29,BS연결,MATCH(U$1,BS연결H,0),0)/100,"")</f>
        <v/>
      </c>
      <c r="V29" s="18">
        <f>IFERROR(VLOOKUP($D29,BS연결,MATCH(V$1,BS연결H,0),0)/100,"")</f>
        <v/>
      </c>
      <c r="W29" s="18">
        <f>IFERROR(VLOOKUP($D29,BS연결,MATCH(W$1,BS연결H,0),0)/100,"")</f>
        <v/>
      </c>
      <c r="X29" s="18">
        <f>IFERROR(VLOOKUP($D29,BS연결,MATCH(X$1,BS연결H,0),0)/100,"")</f>
        <v/>
      </c>
      <c r="Y29" s="18">
        <f>IFERROR(VLOOKUP($D29,BS연결,MATCH(Y$1,BS연결H,0),0)/100,"")</f>
        <v/>
      </c>
      <c r="Z29" s="37">
        <f>IFERROR(VLOOKUP($D29,BS연결,MATCH(Z$1,BS연결H,0),0)/100,"")</f>
        <v/>
      </c>
      <c r="AA29" s="18">
        <f>IFERROR(VLOOKUP($D29,BS연결,MATCH(AA$1,BS연결H,0),0)/100,"")</f>
        <v/>
      </c>
      <c r="AB29" s="19">
        <f>IFERROR(VLOOKUP($D29,BS연결,MATCH(AB$1,BS연결H,0),0)/100,"")</f>
        <v/>
      </c>
      <c r="AC29" s="20">
        <f>IFERROR(AB29*(1+변수!AC37),"")</f>
        <v/>
      </c>
      <c r="AD29" s="20">
        <f>IFERROR(AC29*(1+변수!AD37),"")</f>
        <v/>
      </c>
      <c r="AE29" s="38">
        <f>AD29</f>
        <v/>
      </c>
      <c r="AF29" s="20">
        <f>IFERROR(AD29*(1+변수!AF37),"")</f>
        <v/>
      </c>
      <c r="AG29" s="20">
        <f>IFERROR(AF29*(1+변수!AG37),"")</f>
        <v/>
      </c>
      <c r="AH29" s="20">
        <f>IFERROR(AG29*(1+변수!AH37),"")</f>
        <v/>
      </c>
      <c r="AI29" s="20">
        <f>IFERROR(AH29*(1+변수!AI37),"")</f>
        <v/>
      </c>
      <c r="AJ29" s="38">
        <f>AI29</f>
        <v/>
      </c>
      <c r="AK29" s="20">
        <f>IFERROR(AI29*(1+변수!AK37),"")</f>
        <v/>
      </c>
      <c r="AL29" s="20">
        <f>IFERROR(AK29*(1+변수!AL37),"")</f>
        <v/>
      </c>
      <c r="AM29" s="20">
        <f>IFERROR(AL29*(1+변수!AM37),"")</f>
        <v/>
      </c>
      <c r="AN29" s="20">
        <f>IFERROR(AM29*(1+변수!AN37),"")</f>
        <v/>
      </c>
      <c r="AO29" s="38">
        <f>AN29</f>
        <v/>
      </c>
    </row>
    <row r="30">
      <c r="A30" s="12" t="inlineStr">
        <is>
          <t>현금및현금성자산</t>
        </is>
      </c>
      <c r="B30" t="inlineStr">
        <is>
          <t>재무상태</t>
        </is>
      </c>
      <c r="C30" t="inlineStr">
        <is>
          <t>억원</t>
        </is>
      </c>
      <c r="D30" t="inlineStr">
        <is>
          <t>현금및현금성자산</t>
        </is>
      </c>
      <c r="E30" s="18">
        <f>IFERROR(VLOOKUP($D30,BS연결,MATCH(E$1,BS연결H,0),0)/100,"")</f>
        <v/>
      </c>
      <c r="F30" s="37">
        <f>IFERROR(VLOOKUP($D30,BS연결,MATCH(F$1,BS연결H,0),0)/100,"")</f>
        <v/>
      </c>
      <c r="G30" s="18">
        <f>IFERROR(VLOOKUP($D30,BS연결,MATCH(G$1,BS연결H,0),0)/100,"")</f>
        <v/>
      </c>
      <c r="H30" s="18">
        <f>IFERROR(VLOOKUP($D30,BS연결,MATCH(H$1,BS연결H,0),0)/100,"")</f>
        <v/>
      </c>
      <c r="I30" s="18">
        <f>IFERROR(VLOOKUP($D30,BS연결,MATCH(I$1,BS연결H,0),0)/100,"")</f>
        <v/>
      </c>
      <c r="J30" s="18">
        <f>IFERROR(VLOOKUP($D30,BS연결,MATCH(J$1,BS연결H,0),0)/100,"")</f>
        <v/>
      </c>
      <c r="K30" s="37">
        <f>IFERROR(VLOOKUP($D30,BS연결,MATCH(K$1,BS연결H,0),0)/100,"")</f>
        <v/>
      </c>
      <c r="L30" s="18">
        <f>IFERROR(VLOOKUP($D30,BS연결,MATCH(L$1,BS연결H,0),0)/100,"")</f>
        <v/>
      </c>
      <c r="M30" s="18">
        <f>IFERROR(VLOOKUP($D30,BS연결,MATCH(M$1,BS연결H,0),0)/100,"")</f>
        <v/>
      </c>
      <c r="N30" s="18">
        <f>IFERROR(VLOOKUP($D30,BS연결,MATCH(N$1,BS연결H,0),0)/100,"")</f>
        <v/>
      </c>
      <c r="O30" s="18">
        <f>IFERROR(VLOOKUP($D30,BS연결,MATCH(O$1,BS연결H,0),0)/100,"")</f>
        <v/>
      </c>
      <c r="P30" s="37">
        <f>IFERROR(VLOOKUP($D30,BS연결,MATCH(P$1,BS연결H,0),0)/100,"")</f>
        <v/>
      </c>
      <c r="Q30" s="18">
        <f>IFERROR(VLOOKUP($D30,BS연결,MATCH(Q$1,BS연결H,0),0)/100,"")</f>
        <v/>
      </c>
      <c r="R30" s="18">
        <f>IFERROR(VLOOKUP($D30,BS연결,MATCH(R$1,BS연결H,0),0)/100,"")</f>
        <v/>
      </c>
      <c r="S30" s="18">
        <f>IFERROR(VLOOKUP($D30,BS연결,MATCH(S$1,BS연결H,0),0)/100,"")</f>
        <v/>
      </c>
      <c r="T30" s="18">
        <f>IFERROR(VLOOKUP($D30,BS연결,MATCH(T$1,BS연결H,0),0)/100,"")</f>
        <v/>
      </c>
      <c r="U30" s="37">
        <f>IFERROR(VLOOKUP($D30,BS연결,MATCH(U$1,BS연결H,0),0)/100,"")</f>
        <v/>
      </c>
      <c r="V30" s="18">
        <f>IFERROR(VLOOKUP($D30,BS연결,MATCH(V$1,BS연결H,0),0)/100,"")</f>
        <v/>
      </c>
      <c r="W30" s="18">
        <f>IFERROR(VLOOKUP($D30,BS연결,MATCH(W$1,BS연결H,0),0)/100,"")</f>
        <v/>
      </c>
      <c r="X30" s="18">
        <f>IFERROR(VLOOKUP($D30,BS연결,MATCH(X$1,BS연결H,0),0)/100,"")</f>
        <v/>
      </c>
      <c r="Y30" s="18">
        <f>IFERROR(VLOOKUP($D30,BS연결,MATCH(Y$1,BS연결H,0),0)/100,"")</f>
        <v/>
      </c>
      <c r="Z30" s="37">
        <f>IFERROR(VLOOKUP($D30,BS연결,MATCH(Z$1,BS연결H,0),0)/100,"")</f>
        <v/>
      </c>
      <c r="AA30" s="18">
        <f>IFERROR(VLOOKUP($D30,BS연결,MATCH(AA$1,BS연결H,0),0)/100,"")</f>
        <v/>
      </c>
      <c r="AB30" s="19">
        <f>IFERROR(VLOOKUP($D30,BS연결,MATCH(AB$1,BS연결H,0),0)/100,"")</f>
        <v/>
      </c>
      <c r="AC30" s="20" t="n"/>
      <c r="AD30" s="20" t="n"/>
      <c r="AE30" s="38">
        <f>AD30</f>
        <v/>
      </c>
      <c r="AF30" s="20" t="n"/>
      <c r="AG30" s="20" t="n"/>
      <c r="AH30" s="20" t="n"/>
      <c r="AI30" s="20" t="n"/>
      <c r="AJ30" s="38">
        <f>AI30</f>
        <v/>
      </c>
      <c r="AK30" s="20" t="n"/>
      <c r="AL30" s="20" t="n"/>
      <c r="AM30" s="20" t="n"/>
      <c r="AN30" s="20" t="n"/>
      <c r="AO30" s="38">
        <f>AN30</f>
        <v/>
      </c>
    </row>
    <row r="31">
      <c r="A31" s="12" t="inlineStr">
        <is>
          <t>CAPEX</t>
        </is>
      </c>
      <c r="B31" t="inlineStr">
        <is>
          <t>현금흐름</t>
        </is>
      </c>
      <c r="C31" t="inlineStr">
        <is>
          <t>억원</t>
        </is>
      </c>
      <c r="D31" t="inlineStr">
        <is>
          <t>CAPEX</t>
        </is>
      </c>
      <c r="E31" s="18">
        <f>IFERROR(VLOOKUP($D31,BS연결,MATCH(E$1,BS연결H,0),0)/100,"")</f>
        <v/>
      </c>
      <c r="F31" s="37" t="n"/>
      <c r="G31" s="18">
        <f>IFERROR(VLOOKUP($D31,BS연결,MATCH(G$1,BS연결H,0),0)/100,"")</f>
        <v/>
      </c>
      <c r="H31" s="18">
        <f>IFERROR(VLOOKUP($D31,BS연결,MATCH(H$1,BS연결H,0),0)/100,"")</f>
        <v/>
      </c>
      <c r="I31" s="18">
        <f>IFERROR(VLOOKUP($D31,BS연결,MATCH(I$1,BS연결H,0),0)/100,"")</f>
        <v/>
      </c>
      <c r="J31" s="18">
        <f>IFERROR(VLOOKUP($D31,BS연결,MATCH(J$1,BS연결H,0),0)/100,"")</f>
        <v/>
      </c>
      <c r="K31" s="37">
        <f>IFERROR(VLOOKUP($D31,BS연결,MATCH(K$1,BS연결H,0),0)/100,"")</f>
        <v/>
      </c>
      <c r="L31" s="18">
        <f>IFERROR(VLOOKUP($D31,BS연결,MATCH(L$1,BS연결H,0),0)/100,"")</f>
        <v/>
      </c>
      <c r="M31" s="18">
        <f>IFERROR(VLOOKUP($D31,BS연결,MATCH(M$1,BS연결H,0),0)/100,"")</f>
        <v/>
      </c>
      <c r="N31" s="18">
        <f>IFERROR(VLOOKUP($D31,BS연결,MATCH(N$1,BS연결H,0),0)/100,"")</f>
        <v/>
      </c>
      <c r="O31" s="18">
        <f>IFERROR(VLOOKUP($D31,BS연결,MATCH(O$1,BS연결H,0),0)/100,"")</f>
        <v/>
      </c>
      <c r="P31" s="37">
        <f>IFERROR(VLOOKUP($D31,BS연결,MATCH(P$1,BS연결H,0),0)/100,"")</f>
        <v/>
      </c>
      <c r="Q31" s="18">
        <f>IFERROR(VLOOKUP($D31,BS연결,MATCH(Q$1,BS연결H,0),0)/100,"")</f>
        <v/>
      </c>
      <c r="R31" s="18">
        <f>IFERROR(VLOOKUP($D31,BS연결,MATCH(R$1,BS연결H,0),0)/100,"")</f>
        <v/>
      </c>
      <c r="S31" s="18">
        <f>IFERROR(VLOOKUP($D31,BS연결,MATCH(S$1,BS연결H,0),0)/100,"")</f>
        <v/>
      </c>
      <c r="T31" s="18">
        <f>IFERROR(VLOOKUP($D31,BS연결,MATCH(T$1,BS연결H,0),0)/100,"")</f>
        <v/>
      </c>
      <c r="U31" s="37">
        <f>IFERROR(VLOOKUP($D31,BS연결,MATCH(U$1,BS연결H,0),0)/100,"")</f>
        <v/>
      </c>
      <c r="V31" s="18">
        <f>IFERROR(VLOOKUP($D31,BS연결,MATCH(V$1,BS연결H,0),0)/100,"")</f>
        <v/>
      </c>
      <c r="W31" s="18">
        <f>IFERROR(VLOOKUP($D31,BS연결,MATCH(W$1,BS연결H,0),0)/100,"")</f>
        <v/>
      </c>
      <c r="X31" s="18">
        <f>IFERROR(VLOOKUP($D31,BS연결,MATCH(X$1,BS연결H,0),0)/100,"")</f>
        <v/>
      </c>
      <c r="Y31" s="18">
        <f>IFERROR(VLOOKUP($D31,BS연결,MATCH(Y$1,BS연결H,0),0)/100,"")</f>
        <v/>
      </c>
      <c r="Z31" s="37">
        <f>IFERROR(VLOOKUP($D31,BS연결,MATCH(Z$1,BS연결H,0),0)/100,"")</f>
        <v/>
      </c>
      <c r="AA31" s="18">
        <f>IFERROR(VLOOKUP($D31,BS연결,MATCH(AA$1,BS연결H,0),0)/100,"")</f>
        <v/>
      </c>
      <c r="AB31" s="19">
        <f>IFERROR(VLOOKUP($D31,BS연결,MATCH(AB$1,BS연결H,0),0)/100,"")</f>
        <v/>
      </c>
      <c r="AC31" s="20">
        <f>IFERROR(X31*(1+변수!AC39),"")</f>
        <v/>
      </c>
      <c r="AD31" s="20">
        <f>IFERROR(Y31*(1+변수!AD39),"")</f>
        <v/>
      </c>
      <c r="AE31" s="38">
        <f>SUM(AA31:AD31)</f>
        <v/>
      </c>
      <c r="AF31" s="20">
        <f>IFERROR(AA31*(1+변수!AF39),"")</f>
        <v/>
      </c>
      <c r="AG31" s="20">
        <f>IFERROR(AB31*(1+변수!AG39),"")</f>
        <v/>
      </c>
      <c r="AH31" s="20">
        <f>IFERROR(AC31*(1+변수!AH39),"")</f>
        <v/>
      </c>
      <c r="AI31" s="20">
        <f>IFERROR(AD31*(1+변수!AI39),"")</f>
        <v/>
      </c>
      <c r="AJ31" s="38">
        <f>SUM(AF31:AI31)</f>
        <v/>
      </c>
      <c r="AK31" s="20">
        <f>IFERROR(AF31*(1+변수!AK39),"")</f>
        <v/>
      </c>
      <c r="AL31" s="20">
        <f>IFERROR(AG31*(1+변수!AL39),"")</f>
        <v/>
      </c>
      <c r="AM31" s="20">
        <f>IFERROR(AH31*(1+변수!AM39),"")</f>
        <v/>
      </c>
      <c r="AN31" s="20">
        <f>IFERROR(AI31*(1+변수!AN39),"")</f>
        <v/>
      </c>
      <c r="AO31" s="38">
        <f>SUM(AK31:AN31)</f>
        <v/>
      </c>
    </row>
    <row r="32">
      <c r="A32" s="12" t="inlineStr">
        <is>
          <t>영업활동현금흐름</t>
        </is>
      </c>
      <c r="B32" t="inlineStr">
        <is>
          <t>현금흐름</t>
        </is>
      </c>
      <c r="C32" t="inlineStr">
        <is>
          <t>억원</t>
        </is>
      </c>
      <c r="D32" t="inlineStr">
        <is>
          <t>영업활동으로인한현금흐름</t>
        </is>
      </c>
      <c r="E32" s="18">
        <f>IFERROR(VLOOKUP($D32,BS연결,MATCH(E$1,BS연결H,0),0)/100,"")</f>
        <v/>
      </c>
      <c r="F32" s="37" t="n"/>
      <c r="G32" s="18">
        <f>IFERROR(VLOOKUP($D32,BS연결,MATCH(G$1,BS연결H,0),0)/100,"")</f>
        <v/>
      </c>
      <c r="H32" s="18">
        <f>IFERROR(VLOOKUP($D32,BS연결,MATCH(H$1,BS연결H,0),0)/100,"")</f>
        <v/>
      </c>
      <c r="I32" s="18">
        <f>IFERROR(VLOOKUP($D32,BS연결,MATCH(I$1,BS연결H,0),0)/100,"")</f>
        <v/>
      </c>
      <c r="J32" s="18">
        <f>IFERROR(VLOOKUP($D32,BS연결,MATCH(J$1,BS연결H,0),0)/100,"")</f>
        <v/>
      </c>
      <c r="K32" s="37">
        <f>IFERROR(VLOOKUP($D32,BS연결,MATCH(K$1,BS연결H,0),0)/100,"")</f>
        <v/>
      </c>
      <c r="L32" s="18">
        <f>IFERROR(VLOOKUP($D32,BS연결,MATCH(L$1,BS연결H,0),0)/100,"")</f>
        <v/>
      </c>
      <c r="M32" s="18">
        <f>IFERROR(VLOOKUP($D32,BS연결,MATCH(M$1,BS연결H,0),0)/100,"")</f>
        <v/>
      </c>
      <c r="N32" s="18">
        <f>IFERROR(VLOOKUP($D32,BS연결,MATCH(N$1,BS연결H,0),0)/100,"")</f>
        <v/>
      </c>
      <c r="O32" s="18">
        <f>IFERROR(VLOOKUP($D32,BS연결,MATCH(O$1,BS연결H,0),0)/100,"")</f>
        <v/>
      </c>
      <c r="P32" s="37">
        <f>IFERROR(VLOOKUP($D32,BS연결,MATCH(P$1,BS연결H,0),0)/100,"")</f>
        <v/>
      </c>
      <c r="Q32" s="18">
        <f>IFERROR(VLOOKUP($D32,BS연결,MATCH(Q$1,BS연결H,0),0)/100,"")</f>
        <v/>
      </c>
      <c r="R32" s="18">
        <f>IFERROR(VLOOKUP($D32,BS연결,MATCH(R$1,BS연결H,0),0)/100,"")</f>
        <v/>
      </c>
      <c r="S32" s="18">
        <f>IFERROR(VLOOKUP($D32,BS연결,MATCH(S$1,BS연결H,0),0)/100,"")</f>
        <v/>
      </c>
      <c r="T32" s="18">
        <f>IFERROR(VLOOKUP($D32,BS연결,MATCH(T$1,BS연결H,0),0)/100,"")</f>
        <v/>
      </c>
      <c r="U32" s="37">
        <f>IFERROR(VLOOKUP($D32,BS연결,MATCH(U$1,BS연결H,0),0)/100,"")</f>
        <v/>
      </c>
      <c r="V32" s="18">
        <f>IFERROR(VLOOKUP($D32,BS연결,MATCH(V$1,BS연결H,0),0)/100,"")</f>
        <v/>
      </c>
      <c r="W32" s="18">
        <f>IFERROR(VLOOKUP($D32,BS연결,MATCH(W$1,BS연결H,0),0)/100,"")</f>
        <v/>
      </c>
      <c r="X32" s="18">
        <f>IFERROR(VLOOKUP($D32,BS연결,MATCH(X$1,BS연결H,0),0)/100,"")</f>
        <v/>
      </c>
      <c r="Y32" s="18">
        <f>IFERROR(VLOOKUP($D32,BS연결,MATCH(Y$1,BS연결H,0),0)/100,"")</f>
        <v/>
      </c>
      <c r="Z32" s="37">
        <f>IFERROR(VLOOKUP($D32,BS연결,MATCH(Z$1,BS연결H,0),0)/100,"")</f>
        <v/>
      </c>
      <c r="AA32" s="18">
        <f>IFERROR(VLOOKUP($D32,BS연결,MATCH(AA$1,BS연결H,0),0)/100,"")</f>
        <v/>
      </c>
      <c r="AB32" s="19">
        <f>IFERROR(VLOOKUP($D32,BS연결,MATCH(AB$1,BS연결H,0),0)/100,"")</f>
        <v/>
      </c>
      <c r="AC32" s="20" t="n"/>
      <c r="AD32" s="20" t="n"/>
      <c r="AE32" s="38">
        <f>SUM(AA32:AD32)</f>
        <v/>
      </c>
      <c r="AF32" s="20" t="n"/>
      <c r="AG32" s="20" t="n"/>
      <c r="AH32" s="20" t="n"/>
      <c r="AI32" s="20" t="n"/>
      <c r="AJ32" s="38">
        <f>SUM(AF32:AI32)</f>
        <v/>
      </c>
      <c r="AK32" s="20" t="n"/>
      <c r="AL32" s="20" t="n"/>
      <c r="AM32" s="20" t="n"/>
      <c r="AN32" s="20" t="n"/>
      <c r="AO32" s="38">
        <f>SUM(AK32:AN32)</f>
        <v/>
      </c>
    </row>
    <row r="33">
      <c r="A33" s="12" t="inlineStr">
        <is>
          <t>주식수</t>
        </is>
      </c>
      <c r="B33" t="inlineStr">
        <is>
          <t>주당</t>
        </is>
      </c>
      <c r="C33" t="inlineStr">
        <is>
          <t>백만주</t>
        </is>
      </c>
      <c r="D33" t="inlineStr">
        <is>
          <t>유통주식수</t>
        </is>
      </c>
      <c r="E33" s="32" t="n">
        <v>4.4844245</v>
      </c>
      <c r="F33" s="28">
        <f>E33</f>
        <v/>
      </c>
      <c r="G33" s="32" t="n">
        <v>4.4844245</v>
      </c>
      <c r="H33" s="32" t="n">
        <v>4.4844245</v>
      </c>
      <c r="I33" s="32" t="n">
        <v>4.4844245</v>
      </c>
      <c r="J33" s="32" t="n">
        <v>4.4844245</v>
      </c>
      <c r="K33" s="28">
        <f>J33</f>
        <v/>
      </c>
      <c r="L33" s="32" t="n">
        <v>4.4844245</v>
      </c>
      <c r="M33" s="32" t="n">
        <v>4.694862</v>
      </c>
      <c r="N33" s="32" t="n">
        <v>4.694862</v>
      </c>
      <c r="O33" s="32" t="n">
        <v>4.694862</v>
      </c>
      <c r="P33" s="28">
        <f>O33</f>
        <v/>
      </c>
      <c r="Q33" s="32" t="n">
        <v>5.710606</v>
      </c>
      <c r="R33" s="32" t="n">
        <v>7.53323875</v>
      </c>
      <c r="S33" s="32" t="n">
        <v>7.53316</v>
      </c>
      <c r="T33" s="32" t="n">
        <v>7.657538</v>
      </c>
      <c r="U33" s="28">
        <f>T33</f>
        <v/>
      </c>
      <c r="V33" s="32" t="n">
        <v>8.31370575</v>
      </c>
      <c r="W33" s="32" t="n">
        <v>8.35745575</v>
      </c>
      <c r="X33" s="32" t="n">
        <v>8.35745575</v>
      </c>
      <c r="Y33" s="32" t="n">
        <v>8.35745575</v>
      </c>
      <c r="Z33" s="28">
        <f>Y33</f>
        <v/>
      </c>
      <c r="AA33" s="32" t="n">
        <v>9.90624225</v>
      </c>
      <c r="AB33" s="39" t="n">
        <v>9.90624225</v>
      </c>
      <c r="AC33" s="32">
        <f>IFERROR(AB33*(1+변수!AC41),"")</f>
        <v/>
      </c>
      <c r="AD33" s="32">
        <f>IFERROR(AC33*(1+변수!AD41),"")</f>
        <v/>
      </c>
      <c r="AE33" s="31">
        <f>AD33</f>
        <v/>
      </c>
      <c r="AF33" s="32">
        <f>IFERROR(AD33*(1+변수!AF41),"")</f>
        <v/>
      </c>
      <c r="AG33" s="32">
        <f>IFERROR(AF33*(1+변수!AG41),"")</f>
        <v/>
      </c>
      <c r="AH33" s="32">
        <f>IFERROR(AG33*(1+변수!AH41),"")</f>
        <v/>
      </c>
      <c r="AI33" s="32">
        <f>IFERROR(AH33*(1+변수!AI41),"")</f>
        <v/>
      </c>
      <c r="AJ33" s="31">
        <f>AI33</f>
        <v/>
      </c>
      <c r="AK33" s="32">
        <f>IFERROR(AI33*(1+변수!AK41),"")</f>
        <v/>
      </c>
      <c r="AL33" s="32">
        <f>IFERROR(AK33*(1+변수!AL41),"")</f>
        <v/>
      </c>
      <c r="AM33" s="32">
        <f>IFERROR(AL33*(1+변수!AM41),"")</f>
        <v/>
      </c>
      <c r="AN33" s="32">
        <f>IFERROR(AM33*(1+변수!AN41),"")</f>
        <v/>
      </c>
      <c r="AO33" s="31">
        <f>AN33</f>
        <v/>
      </c>
    </row>
    <row r="34">
      <c r="A34" s="12" t="inlineStr">
        <is>
          <t>EPS</t>
        </is>
      </c>
      <c r="B34" t="inlineStr">
        <is>
          <t>주당</t>
        </is>
      </c>
      <c r="C34" t="inlineStr">
        <is>
          <t>원</t>
        </is>
      </c>
      <c r="D34" t="inlineStr">
        <is>
          <t>EPS</t>
        </is>
      </c>
      <c r="E34" s="18">
        <f>IFERROR(E21*100/E33,"")</f>
        <v/>
      </c>
      <c r="F34" s="37" t="n"/>
      <c r="G34" s="18">
        <f>IFERROR(G21*100/G33,"")</f>
        <v/>
      </c>
      <c r="H34" s="18">
        <f>IFERROR(H21*100/H33,"")</f>
        <v/>
      </c>
      <c r="I34" s="18">
        <f>IFERROR(I21*100/I33,"")</f>
        <v/>
      </c>
      <c r="J34" s="18">
        <f>IFERROR(J21*100/J33,"")</f>
        <v/>
      </c>
      <c r="K34" s="37">
        <f>SUM(G34:J34)</f>
        <v/>
      </c>
      <c r="L34" s="18">
        <f>IFERROR(L21*100/L33,"")</f>
        <v/>
      </c>
      <c r="M34" s="18">
        <f>IFERROR(M21*100/M33,"")</f>
        <v/>
      </c>
      <c r="N34" s="18">
        <f>IFERROR(N21*100/N33,"")</f>
        <v/>
      </c>
      <c r="O34" s="18">
        <f>IFERROR(O21*100/O33,"")</f>
        <v/>
      </c>
      <c r="P34" s="37">
        <f>SUM(L34:O34)</f>
        <v/>
      </c>
      <c r="Q34" s="18">
        <f>IFERROR(Q21*100/Q33,"")</f>
        <v/>
      </c>
      <c r="R34" s="18">
        <f>IFERROR(R21*100/R33,"")</f>
        <v/>
      </c>
      <c r="S34" s="18">
        <f>IFERROR(S21*100/S33,"")</f>
        <v/>
      </c>
      <c r="T34" s="18">
        <f>IFERROR(T21*100/T33,"")</f>
        <v/>
      </c>
      <c r="U34" s="37">
        <f>SUM(Q34:T34)</f>
        <v/>
      </c>
      <c r="V34" s="18">
        <f>IFERROR(V21*100/V33,"")</f>
        <v/>
      </c>
      <c r="W34" s="18">
        <f>IFERROR(W21*100/W33,"")</f>
        <v/>
      </c>
      <c r="X34" s="18">
        <f>IFERROR(X21*100/X33,"")</f>
        <v/>
      </c>
      <c r="Y34" s="18">
        <f>IFERROR(Y21*100/Y33,"")</f>
        <v/>
      </c>
      <c r="Z34" s="37">
        <f>SUM(V34:Y34)</f>
        <v/>
      </c>
      <c r="AA34" s="18">
        <f>IFERROR(AA21*100/AA33,"")</f>
        <v/>
      </c>
      <c r="AB34" s="19">
        <f>IFERROR(AB21*100/AB33,"")</f>
        <v/>
      </c>
      <c r="AC34" s="20">
        <f>IFERROR(AC21*100/AC33,"")</f>
        <v/>
      </c>
      <c r="AD34" s="20">
        <f>IFERROR(AD21*100/AD33,"")</f>
        <v/>
      </c>
      <c r="AE34" s="38">
        <f>SUM(AA34:AD34)</f>
        <v/>
      </c>
      <c r="AF34" s="20">
        <f>IFERROR(AF21*100/AF33,"")</f>
        <v/>
      </c>
      <c r="AG34" s="20">
        <f>IFERROR(AG21*100/AG33,"")</f>
        <v/>
      </c>
      <c r="AH34" s="20">
        <f>IFERROR(AH21*100/AH33,"")</f>
        <v/>
      </c>
      <c r="AI34" s="20">
        <f>IFERROR(AI21*100/AI33,"")</f>
        <v/>
      </c>
      <c r="AJ34" s="38">
        <f>SUM(AF34:AI34)</f>
        <v/>
      </c>
      <c r="AK34" s="20">
        <f>IFERROR(AK21*100/AK33,"")</f>
        <v/>
      </c>
      <c r="AL34" s="20">
        <f>IFERROR(AL21*100/AL33,"")</f>
        <v/>
      </c>
      <c r="AM34" s="20">
        <f>IFERROR(AM21*100/AM33,"")</f>
        <v/>
      </c>
      <c r="AN34" s="20">
        <f>IFERROR(AN21*100/AN33,"")</f>
        <v/>
      </c>
      <c r="AO34" s="38">
        <f>SUM(AK34:AN34)</f>
        <v/>
      </c>
    </row>
    <row r="35">
      <c r="A35" s="12" t="inlineStr">
        <is>
          <t>조정EPS</t>
        </is>
      </c>
      <c r="B35" t="inlineStr">
        <is>
          <t>주당</t>
        </is>
      </c>
      <c r="C35" t="inlineStr">
        <is>
          <t>원</t>
        </is>
      </c>
      <c r="D35" t="inlineStr">
        <is>
          <t>조정 EPS(일회성 의심 분기의 초과 비영업손익 세후 차감 — 모델 추정)</t>
        </is>
      </c>
      <c r="E35" s="18">
        <f>IFERROR(E34,"")</f>
        <v/>
      </c>
      <c r="F35" s="37" t="n"/>
      <c r="G35" s="18">
        <f>IFERROR(G34,"")</f>
        <v/>
      </c>
      <c r="H35" s="18">
        <f>IFERROR(H34,"")</f>
        <v/>
      </c>
      <c r="I35" s="18">
        <f>IFERROR(I34,"")</f>
        <v/>
      </c>
      <c r="J35" s="18">
        <f>IFERROR(J34,"")</f>
        <v/>
      </c>
      <c r="K35" s="37">
        <f>SUM(G35:J35)</f>
        <v/>
      </c>
      <c r="L35" s="18">
        <f>IFERROR(L34,"")</f>
        <v/>
      </c>
      <c r="M35" s="18">
        <f>IFERROR(M34,"")</f>
        <v/>
      </c>
      <c r="N35" s="18">
        <f>IFERROR(N34,"")</f>
        <v/>
      </c>
      <c r="O35" s="18">
        <f>IFERROR(O34,"")</f>
        <v/>
      </c>
      <c r="P35" s="37">
        <f>SUM(L35:O35)</f>
        <v/>
      </c>
      <c r="Q35" s="18">
        <f>IFERROR(Q34,"")</f>
        <v/>
      </c>
      <c r="R35" s="18">
        <f>IFERROR(R34,"")</f>
        <v/>
      </c>
      <c r="S35" s="18">
        <f>IFERROR(S34,"")</f>
        <v/>
      </c>
      <c r="T35" s="18">
        <f>IFERROR(T34,"")</f>
        <v/>
      </c>
      <c r="U35" s="37">
        <f>SUM(Q35:T35)</f>
        <v/>
      </c>
      <c r="V35" s="18">
        <f>IFERROR(V34,"")</f>
        <v/>
      </c>
      <c r="W35" s="18">
        <f>IFERROR(W34,"")</f>
        <v/>
      </c>
      <c r="X35" s="18">
        <f>IFERROR(X34,"")</f>
        <v/>
      </c>
      <c r="Y35" s="18">
        <f>IFERROR(Y34,"")</f>
        <v/>
      </c>
      <c r="Z35" s="37">
        <f>SUM(V35:Y35)</f>
        <v/>
      </c>
      <c r="AA35" s="18">
        <f>IFERROR(AA34,"")</f>
        <v/>
      </c>
      <c r="AB35" s="40">
        <f>IFERROR((AB21-(35.56)*(1.0))*100/AB33,"")</f>
        <v/>
      </c>
      <c r="AC35" s="20">
        <f>IFERROR(AC34,"")</f>
        <v/>
      </c>
      <c r="AD35" s="20">
        <f>IFERROR(AD34,"")</f>
        <v/>
      </c>
      <c r="AE35" s="38">
        <f>SUM(AA35:AD35)</f>
        <v/>
      </c>
      <c r="AF35" s="20">
        <f>IFERROR(AF34,"")</f>
        <v/>
      </c>
      <c r="AG35" s="20">
        <f>IFERROR(AG34,"")</f>
        <v/>
      </c>
      <c r="AH35" s="20">
        <f>IFERROR(AH34,"")</f>
        <v/>
      </c>
      <c r="AI35" s="20">
        <f>IFERROR(AI34,"")</f>
        <v/>
      </c>
      <c r="AJ35" s="38">
        <f>SUM(AF35:AI35)</f>
        <v/>
      </c>
      <c r="AK35" s="20">
        <f>IFERROR(AK34,"")</f>
        <v/>
      </c>
      <c r="AL35" s="20">
        <f>IFERROR(AL34,"")</f>
        <v/>
      </c>
      <c r="AM35" s="20">
        <f>IFERROR(AM34,"")</f>
        <v/>
      </c>
      <c r="AN35" s="20">
        <f>IFERROR(AN34,"")</f>
        <v/>
      </c>
      <c r="AO35" s="38">
        <f>SUM(AK35:AN35)</f>
        <v/>
      </c>
    </row>
    <row r="36">
      <c r="A36" s="12" t="inlineStr">
        <is>
          <t>BPS</t>
        </is>
      </c>
      <c r="B36" t="inlineStr">
        <is>
          <t>주당</t>
        </is>
      </c>
      <c r="C36" t="inlineStr">
        <is>
          <t>원</t>
        </is>
      </c>
      <c r="D36" t="inlineStr">
        <is>
          <t>BPS</t>
        </is>
      </c>
      <c r="E36" s="18">
        <f>IFERROR(E26*100/E33,"")</f>
        <v/>
      </c>
      <c r="F36" s="37">
        <f>E36</f>
        <v/>
      </c>
      <c r="G36" s="18">
        <f>IFERROR(G26*100/G33,"")</f>
        <v/>
      </c>
      <c r="H36" s="18">
        <f>IFERROR(H26*100/H33,"")</f>
        <v/>
      </c>
      <c r="I36" s="18">
        <f>IFERROR(I26*100/I33,"")</f>
        <v/>
      </c>
      <c r="J36" s="18">
        <f>IFERROR(J26*100/J33,"")</f>
        <v/>
      </c>
      <c r="K36" s="37">
        <f>J36</f>
        <v/>
      </c>
      <c r="L36" s="18">
        <f>IFERROR(L26*100/L33,"")</f>
        <v/>
      </c>
      <c r="M36" s="18">
        <f>IFERROR(M26*100/M33,"")</f>
        <v/>
      </c>
      <c r="N36" s="18">
        <f>IFERROR(N26*100/N33,"")</f>
        <v/>
      </c>
      <c r="O36" s="18">
        <f>IFERROR(O26*100/O33,"")</f>
        <v/>
      </c>
      <c r="P36" s="37">
        <f>O36</f>
        <v/>
      </c>
      <c r="Q36" s="18">
        <f>IFERROR(Q26*100/Q33,"")</f>
        <v/>
      </c>
      <c r="R36" s="18">
        <f>IFERROR(R26*100/R33,"")</f>
        <v/>
      </c>
      <c r="S36" s="18">
        <f>IFERROR(S26*100/S33,"")</f>
        <v/>
      </c>
      <c r="T36" s="18">
        <f>IFERROR(T26*100/T33,"")</f>
        <v/>
      </c>
      <c r="U36" s="37">
        <f>T36</f>
        <v/>
      </c>
      <c r="V36" s="18">
        <f>IFERROR(V26*100/V33,"")</f>
        <v/>
      </c>
      <c r="W36" s="18">
        <f>IFERROR(W26*100/W33,"")</f>
        <v/>
      </c>
      <c r="X36" s="18">
        <f>IFERROR(X26*100/X33,"")</f>
        <v/>
      </c>
      <c r="Y36" s="18">
        <f>IFERROR(Y26*100/Y33,"")</f>
        <v/>
      </c>
      <c r="Z36" s="37">
        <f>Y36</f>
        <v/>
      </c>
      <c r="AA36" s="18">
        <f>IFERROR(AA26*100/AA33,"")</f>
        <v/>
      </c>
      <c r="AB36" s="19">
        <f>IFERROR(AB26*100/AB33,"")</f>
        <v/>
      </c>
      <c r="AC36" s="20">
        <f>IFERROR(AC26*100/AC33,"")</f>
        <v/>
      </c>
      <c r="AD36" s="20">
        <f>IFERROR(AD26*100/AD33,"")</f>
        <v/>
      </c>
      <c r="AE36" s="38">
        <f>AD36</f>
        <v/>
      </c>
      <c r="AF36" s="20">
        <f>IFERROR(AF26*100/AF33,"")</f>
        <v/>
      </c>
      <c r="AG36" s="20">
        <f>IFERROR(AG26*100/AG33,"")</f>
        <v/>
      </c>
      <c r="AH36" s="20">
        <f>IFERROR(AH26*100/AH33,"")</f>
        <v/>
      </c>
      <c r="AI36" s="20">
        <f>IFERROR(AI26*100/AI33,"")</f>
        <v/>
      </c>
      <c r="AJ36" s="38">
        <f>AI36</f>
        <v/>
      </c>
      <c r="AK36" s="20">
        <f>IFERROR(AK26*100/AK33,"")</f>
        <v/>
      </c>
      <c r="AL36" s="20">
        <f>IFERROR(AL26*100/AL33,"")</f>
        <v/>
      </c>
      <c r="AM36" s="20">
        <f>IFERROR(AM26*100/AM33,"")</f>
        <v/>
      </c>
      <c r="AN36" s="20">
        <f>IFERROR(AN26*100/AN33,"")</f>
        <v/>
      </c>
      <c r="AO36" s="38">
        <f>AN36</f>
        <v/>
      </c>
    </row>
    <row r="37">
      <c r="A37" s="12" t="inlineStr">
        <is>
          <t>DPS</t>
        </is>
      </c>
      <c r="B37" t="inlineStr">
        <is>
          <t>주당</t>
        </is>
      </c>
      <c r="C37" t="inlineStr">
        <is>
          <t>원</t>
        </is>
      </c>
      <c r="D37" t="inlineStr">
        <is>
          <t>DPS(보통주)</t>
        </is>
      </c>
      <c r="E37" s="18" t="n">
        <v>0</v>
      </c>
      <c r="F37" s="37" t="n">
        <v>0</v>
      </c>
      <c r="G37" s="18" t="n"/>
      <c r="H37" s="18" t="n"/>
      <c r="I37" s="18" t="n"/>
      <c r="J37" s="18" t="n">
        <v>0</v>
      </c>
      <c r="K37" s="37">
        <f>SUM(G37:J37)</f>
        <v/>
      </c>
      <c r="L37" s="18" t="n"/>
      <c r="M37" s="18" t="n"/>
      <c r="N37" s="18" t="n"/>
      <c r="O37" s="18" t="n">
        <v>0</v>
      </c>
      <c r="P37" s="37">
        <f>SUM(L37:O37)</f>
        <v/>
      </c>
      <c r="Q37" s="18" t="n"/>
      <c r="R37" s="18" t="n"/>
      <c r="S37" s="18" t="n"/>
      <c r="T37" s="18" t="n">
        <v>0</v>
      </c>
      <c r="U37" s="37">
        <f>SUM(Q37:T37)</f>
        <v/>
      </c>
      <c r="V37" s="18" t="n"/>
      <c r="W37" s="18" t="n"/>
      <c r="X37" s="18" t="n"/>
      <c r="Y37" s="18" t="n">
        <v>0</v>
      </c>
      <c r="Z37" s="37">
        <f>SUM(V37:Y37)</f>
        <v/>
      </c>
      <c r="AA37" s="18" t="n"/>
      <c r="AB37" s="19" t="n"/>
      <c r="AC37" s="20" t="n"/>
      <c r="AD37" s="20">
        <f>변수!AD42</f>
        <v/>
      </c>
      <c r="AE37" s="38">
        <f>SUM(AA37:AD37)</f>
        <v/>
      </c>
      <c r="AF37" s="20" t="n"/>
      <c r="AG37" s="20" t="n"/>
      <c r="AH37" s="20" t="n"/>
      <c r="AI37" s="20">
        <f>변수!AI42</f>
        <v/>
      </c>
      <c r="AJ37" s="38">
        <f>SUM(AF37:AI37)</f>
        <v/>
      </c>
      <c r="AK37" s="20" t="n"/>
      <c r="AL37" s="20" t="n"/>
      <c r="AM37" s="20" t="n"/>
      <c r="AN37" s="20">
        <f>변수!AN42</f>
        <v/>
      </c>
      <c r="AO37" s="38">
        <f>SUM(AK37:AN37)</f>
        <v/>
      </c>
    </row>
    <row r="38">
      <c r="A38" s="12" t="inlineStr">
        <is>
          <t>PER</t>
        </is>
      </c>
      <c r="B38" t="inlineStr">
        <is>
          <t>주당</t>
        </is>
      </c>
      <c r="C38" t="inlineStr">
        <is>
          <t>배</t>
        </is>
      </c>
      <c r="D38" t="inlineStr">
        <is>
          <t>PER</t>
        </is>
      </c>
      <c r="E38" s="13" t="n"/>
      <c r="F38" s="14">
        <f>E38</f>
        <v/>
      </c>
      <c r="G38" s="13" t="n"/>
      <c r="H38" s="13" t="n"/>
      <c r="I38" s="13" t="n"/>
      <c r="J38" s="13" t="n"/>
      <c r="K38" s="14">
        <f>J38</f>
        <v/>
      </c>
      <c r="L38" s="13" t="n"/>
      <c r="M38" s="13" t="n"/>
      <c r="N38" s="13" t="n"/>
      <c r="O38" s="13">
        <f>IFERROR(변수!O18/(L34+M34+N34+O34),"")</f>
        <v/>
      </c>
      <c r="P38" s="14">
        <f>O38</f>
        <v/>
      </c>
      <c r="Q38" s="13">
        <f>IFERROR(변수!Q18/(M34+N34+O34+Q34),"")</f>
        <v/>
      </c>
      <c r="R38" s="13" t="n"/>
      <c r="S38" s="13" t="n"/>
      <c r="T38" s="13" t="n"/>
      <c r="U38" s="14">
        <f>T38</f>
        <v/>
      </c>
      <c r="V38" s="13" t="n"/>
      <c r="W38" s="13" t="n"/>
      <c r="X38" s="13" t="n"/>
      <c r="Y38" s="13" t="n"/>
      <c r="Z38" s="14">
        <f>Y38</f>
        <v/>
      </c>
      <c r="AA38" s="13" t="n"/>
      <c r="AB38" s="15" t="n"/>
      <c r="AC38" s="41" t="n"/>
      <c r="AD38" s="41" t="n"/>
      <c r="AE38" s="42">
        <f>AD38</f>
        <v/>
      </c>
      <c r="AF38" s="41" t="n"/>
      <c r="AG38" s="41" t="n"/>
      <c r="AH38" s="41" t="n"/>
      <c r="AI38" s="41" t="n"/>
      <c r="AJ38" s="42">
        <f>AI38</f>
        <v/>
      </c>
      <c r="AK38" s="41" t="n"/>
      <c r="AL38" s="41" t="n"/>
      <c r="AM38" s="41" t="n"/>
      <c r="AN38" s="41" t="n"/>
      <c r="AO38" s="42">
        <f>AN38</f>
        <v/>
      </c>
    </row>
    <row r="39">
      <c r="A39" s="12" t="inlineStr">
        <is>
          <t>PBR</t>
        </is>
      </c>
      <c r="B39" t="inlineStr">
        <is>
          <t>주당</t>
        </is>
      </c>
      <c r="C39" t="inlineStr">
        <is>
          <t>배</t>
        </is>
      </c>
      <c r="D39" t="inlineStr">
        <is>
          <t>PBR</t>
        </is>
      </c>
      <c r="E39" s="13">
        <f>IFERROR(변수!E18/E36,"")</f>
        <v/>
      </c>
      <c r="F39" s="14">
        <f>E39</f>
        <v/>
      </c>
      <c r="G39" s="13">
        <f>IFERROR(변수!G18/G36,"")</f>
        <v/>
      </c>
      <c r="H39" s="13">
        <f>IFERROR(변수!H18/H36,"")</f>
        <v/>
      </c>
      <c r="I39" s="13">
        <f>IFERROR(변수!I18/I36,"")</f>
        <v/>
      </c>
      <c r="J39" s="13">
        <f>IFERROR(변수!J18/J36,"")</f>
        <v/>
      </c>
      <c r="K39" s="14">
        <f>J39</f>
        <v/>
      </c>
      <c r="L39" s="13">
        <f>IFERROR(변수!L18/L36,"")</f>
        <v/>
      </c>
      <c r="M39" s="13">
        <f>IFERROR(변수!M18/M36,"")</f>
        <v/>
      </c>
      <c r="N39" s="13">
        <f>IFERROR(변수!N18/N36,"")</f>
        <v/>
      </c>
      <c r="O39" s="13">
        <f>IFERROR(변수!O18/O36,"")</f>
        <v/>
      </c>
      <c r="P39" s="14">
        <f>O39</f>
        <v/>
      </c>
      <c r="Q39" s="13">
        <f>IFERROR(변수!Q18/Q36,"")</f>
        <v/>
      </c>
      <c r="R39" s="13">
        <f>IFERROR(변수!R18/R36,"")</f>
        <v/>
      </c>
      <c r="S39" s="13">
        <f>IFERROR(변수!S18/S36,"")</f>
        <v/>
      </c>
      <c r="T39" s="13">
        <f>IFERROR(변수!T18/T36,"")</f>
        <v/>
      </c>
      <c r="U39" s="14">
        <f>T39</f>
        <v/>
      </c>
      <c r="V39" s="13">
        <f>IFERROR(변수!V18/V36,"")</f>
        <v/>
      </c>
      <c r="W39" s="13">
        <f>IFERROR(변수!W18/W36,"")</f>
        <v/>
      </c>
      <c r="X39" s="13">
        <f>IFERROR(변수!X18/X36,"")</f>
        <v/>
      </c>
      <c r="Y39" s="13">
        <f>IFERROR(변수!Y18/Y36,"")</f>
        <v/>
      </c>
      <c r="Z39" s="14">
        <f>Y39</f>
        <v/>
      </c>
      <c r="AA39" s="13">
        <f>IFERROR(변수!AA18/AA36,"")</f>
        <v/>
      </c>
      <c r="AB39" s="15">
        <f>IFERROR(변수!AB18/AB36,"")</f>
        <v/>
      </c>
      <c r="AC39" s="41">
        <f>IFERROR(변수!$D$45/AC36,"")</f>
        <v/>
      </c>
      <c r="AD39" s="41">
        <f>IFERROR(변수!$D$45/AD36,"")</f>
        <v/>
      </c>
      <c r="AE39" s="42">
        <f>AD39</f>
        <v/>
      </c>
      <c r="AF39" s="41">
        <f>IFERROR(변수!$D$45/AF36,"")</f>
        <v/>
      </c>
      <c r="AG39" s="41">
        <f>IFERROR(변수!$D$45/AG36,"")</f>
        <v/>
      </c>
      <c r="AH39" s="41">
        <f>IFERROR(변수!$D$45/AH36,"")</f>
        <v/>
      </c>
      <c r="AI39" s="41">
        <f>IFERROR(변수!$D$45/AI36,"")</f>
        <v/>
      </c>
      <c r="AJ39" s="42">
        <f>AI39</f>
        <v/>
      </c>
      <c r="AK39" s="41">
        <f>IFERROR(변수!$D$45/AK36,"")</f>
        <v/>
      </c>
      <c r="AL39" s="41">
        <f>IFERROR(변수!$D$45/AL36,"")</f>
        <v/>
      </c>
      <c r="AM39" s="41">
        <f>IFERROR(변수!$D$45/AM36,"")</f>
        <v/>
      </c>
      <c r="AN39" s="41">
        <f>IFERROR(변수!$D$45/AN36,"")</f>
        <v/>
      </c>
      <c r="AO39" s="42">
        <f>AN39</f>
        <v/>
      </c>
    </row>
    <row r="40">
      <c r="A40" s="12" t="inlineStr">
        <is>
          <t>매출전사</t>
        </is>
      </c>
      <c r="B40" t="inlineStr">
        <is>
          <t>사업부</t>
        </is>
      </c>
      <c r="C40" t="inlineStr">
        <is>
          <t>억원</t>
        </is>
      </c>
      <c r="D40" t="inlineStr">
        <is>
          <t>매출 전사(부문 미분리)</t>
        </is>
      </c>
      <c r="E40" s="18" t="n">
        <v>85.02</v>
      </c>
      <c r="F40" s="37" t="n"/>
      <c r="G40" s="18" t="n">
        <v>147.35</v>
      </c>
      <c r="H40" s="18" t="n">
        <v>187.07</v>
      </c>
      <c r="I40" s="18" t="n">
        <v>171.76</v>
      </c>
      <c r="J40" s="18" t="n">
        <v>238.12</v>
      </c>
      <c r="K40" s="37">
        <f>SUM(G40:J40)</f>
        <v/>
      </c>
      <c r="L40" s="18" t="n">
        <v>215.27</v>
      </c>
      <c r="M40" s="18" t="n">
        <v>234.09</v>
      </c>
      <c r="N40" s="18" t="n">
        <v>232.95</v>
      </c>
      <c r="O40" s="18" t="n">
        <v>181.21</v>
      </c>
      <c r="P40" s="37">
        <f>SUM(L40:O40)</f>
        <v/>
      </c>
      <c r="Q40" s="18" t="n">
        <v>153.68</v>
      </c>
      <c r="R40" s="18" t="n">
        <v>55.04</v>
      </c>
      <c r="S40" s="18" t="n">
        <v>60.6</v>
      </c>
      <c r="T40" s="18" t="n">
        <v>80.93000000000001</v>
      </c>
      <c r="U40" s="37">
        <f>SUM(Q40:T40)</f>
        <v/>
      </c>
      <c r="V40" s="18" t="n">
        <v>90.20999999999999</v>
      </c>
      <c r="W40" s="18" t="n">
        <v>112.09</v>
      </c>
      <c r="X40" s="18" t="n">
        <v>120.4</v>
      </c>
      <c r="Y40" s="18" t="n">
        <v>71.77</v>
      </c>
      <c r="Z40" s="37">
        <f>SUM(V40:Y40)</f>
        <v/>
      </c>
      <c r="AA40" s="18" t="n">
        <v>104.01</v>
      </c>
      <c r="AB40" s="19" t="n">
        <v>94.65000000000001</v>
      </c>
      <c r="AC40" s="20">
        <f>IFERROR(AC5,"")</f>
        <v/>
      </c>
      <c r="AD40" s="20">
        <f>IFERROR(AD5,"")</f>
        <v/>
      </c>
      <c r="AE40" s="38">
        <f>SUM(AA40:AD40)</f>
        <v/>
      </c>
      <c r="AF40" s="20">
        <f>IFERROR(AF5,"")</f>
        <v/>
      </c>
      <c r="AG40" s="20">
        <f>IFERROR(AG5,"")</f>
        <v/>
      </c>
      <c r="AH40" s="20">
        <f>IFERROR(AH5,"")</f>
        <v/>
      </c>
      <c r="AI40" s="20">
        <f>IFERROR(AI5,"")</f>
        <v/>
      </c>
      <c r="AJ40" s="38">
        <f>SUM(AF40:AI40)</f>
        <v/>
      </c>
      <c r="AK40" s="20">
        <f>IFERROR(AK5,"")</f>
        <v/>
      </c>
      <c r="AL40" s="20">
        <f>IFERROR(AL5,"")</f>
        <v/>
      </c>
      <c r="AM40" s="20">
        <f>IFERROR(AM5,"")</f>
        <v/>
      </c>
      <c r="AN40" s="20">
        <f>IFERROR(AN5,"")</f>
        <v/>
      </c>
      <c r="AO40" s="38">
        <f>SUM(AK40:AN40)</f>
        <v/>
      </c>
    </row>
    <row r="41">
      <c r="A41" s="12" t="inlineStr">
        <is>
          <t>OP전사</t>
        </is>
      </c>
      <c r="B41" t="inlineStr">
        <is>
          <t>사업부</t>
        </is>
      </c>
      <c r="C41" t="inlineStr">
        <is>
          <t>억원</t>
        </is>
      </c>
      <c r="D41" t="inlineStr">
        <is>
          <t>OP 전사(부문 미분리)</t>
        </is>
      </c>
      <c r="E41" s="18" t="n">
        <v>-35.69</v>
      </c>
      <c r="F41" s="37" t="n"/>
      <c r="G41" s="18" t="n">
        <v>-16.94</v>
      </c>
      <c r="H41" s="18" t="n">
        <v>-16.03</v>
      </c>
      <c r="I41" s="18" t="n">
        <v>-35.21</v>
      </c>
      <c r="J41" s="18" t="n">
        <v>-77.34</v>
      </c>
      <c r="K41" s="37">
        <f>SUM(G41:J41)</f>
        <v/>
      </c>
      <c r="L41" s="18" t="n">
        <v>2.05</v>
      </c>
      <c r="M41" s="18" t="n">
        <v>60.53</v>
      </c>
      <c r="N41" s="18" t="n">
        <v>16.56</v>
      </c>
      <c r="O41" s="18" t="n">
        <v>29.5</v>
      </c>
      <c r="P41" s="37">
        <f>SUM(L41:O41)</f>
        <v/>
      </c>
      <c r="Q41" s="18" t="n">
        <v>25.41</v>
      </c>
      <c r="R41" s="18" t="n">
        <v>6.48</v>
      </c>
      <c r="S41" s="18" t="n">
        <v>-10.96</v>
      </c>
      <c r="T41" s="18" t="n">
        <v>-10.22</v>
      </c>
      <c r="U41" s="37">
        <f>SUM(Q41:T41)</f>
        <v/>
      </c>
      <c r="V41" s="18" t="n">
        <v>-17.56</v>
      </c>
      <c r="W41" s="18" t="n">
        <v>-14.76</v>
      </c>
      <c r="X41" s="18" t="n">
        <v>-10.12</v>
      </c>
      <c r="Y41" s="18" t="n">
        <v>-3.76</v>
      </c>
      <c r="Z41" s="37">
        <f>SUM(V41:Y41)</f>
        <v/>
      </c>
      <c r="AA41" s="18" t="n">
        <v>-7.94</v>
      </c>
      <c r="AB41" s="19" t="n">
        <v>-8.06</v>
      </c>
      <c r="AC41" s="20">
        <f>IFERROR(AC9,"")</f>
        <v/>
      </c>
      <c r="AD41" s="20">
        <f>IFERROR(AD9,"")</f>
        <v/>
      </c>
      <c r="AE41" s="38">
        <f>SUM(AA41:AD41)</f>
        <v/>
      </c>
      <c r="AF41" s="20">
        <f>IFERROR(AF9,"")</f>
        <v/>
      </c>
      <c r="AG41" s="20">
        <f>IFERROR(AG9,"")</f>
        <v/>
      </c>
      <c r="AH41" s="20">
        <f>IFERROR(AH9,"")</f>
        <v/>
      </c>
      <c r="AI41" s="20">
        <f>IFERROR(AI9,"")</f>
        <v/>
      </c>
      <c r="AJ41" s="38">
        <f>SUM(AF41:AI41)</f>
        <v/>
      </c>
      <c r="AK41" s="20">
        <f>IFERROR(AK9,"")</f>
        <v/>
      </c>
      <c r="AL41" s="20">
        <f>IFERROR(AL9,"")</f>
        <v/>
      </c>
      <c r="AM41" s="20">
        <f>IFERROR(AM9,"")</f>
        <v/>
      </c>
      <c r="AN41" s="20">
        <f>IFERROR(AN9,"")</f>
        <v/>
      </c>
      <c r="AO41" s="38">
        <f>SUM(AK41:AN41)</f>
        <v/>
      </c>
    </row>
    <row r="42">
      <c r="B42" s="2" t="inlineStr">
        <is>
          <t>비율(참고)</t>
        </is>
      </c>
      <c r="F42" s="9" t="n"/>
      <c r="K42" s="9" t="n"/>
      <c r="P42" s="9" t="n"/>
      <c r="U42" s="9" t="n"/>
      <c r="Z42" s="9" t="n"/>
      <c r="AB42" s="5" t="n"/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s="12" t="inlineStr">
        <is>
          <t>NPM</t>
        </is>
      </c>
      <c r="C43" t="inlineStr">
        <is>
          <t>%</t>
        </is>
      </c>
      <c r="D43" t="inlineStr">
        <is>
          <t>지배주주순이익 / 매출액</t>
        </is>
      </c>
      <c r="E43" s="21">
        <f>IFERROR(E21/E5,"")</f>
        <v/>
      </c>
      <c r="F43" s="22">
        <f>IFERROR(F21/F5,"")</f>
        <v/>
      </c>
      <c r="G43" s="21">
        <f>IFERROR(G21/G5,"")</f>
        <v/>
      </c>
      <c r="H43" s="21">
        <f>IFERROR(H21/H5,"")</f>
        <v/>
      </c>
      <c r="I43" s="21">
        <f>IFERROR(I21/I5,"")</f>
        <v/>
      </c>
      <c r="J43" s="21">
        <f>IFERROR(J21/J5,"")</f>
        <v/>
      </c>
      <c r="K43" s="22">
        <f>IFERROR(K21/K5,"")</f>
        <v/>
      </c>
      <c r="L43" s="21">
        <f>IFERROR(L21/L5,"")</f>
        <v/>
      </c>
      <c r="M43" s="21">
        <f>IFERROR(M21/M5,"")</f>
        <v/>
      </c>
      <c r="N43" s="21">
        <f>IFERROR(N21/N5,"")</f>
        <v/>
      </c>
      <c r="O43" s="21">
        <f>IFERROR(O21/O5,"")</f>
        <v/>
      </c>
      <c r="P43" s="22">
        <f>IFERROR(P21/P5,"")</f>
        <v/>
      </c>
      <c r="Q43" s="21">
        <f>IFERROR(Q21/Q5,"")</f>
        <v/>
      </c>
      <c r="R43" s="21">
        <f>IFERROR(R21/R5,"")</f>
        <v/>
      </c>
      <c r="S43" s="21">
        <f>IFERROR(S21/S5,"")</f>
        <v/>
      </c>
      <c r="T43" s="21">
        <f>IFERROR(T21/T5,"")</f>
        <v/>
      </c>
      <c r="U43" s="22">
        <f>IFERROR(U21/U5,"")</f>
        <v/>
      </c>
      <c r="V43" s="21">
        <f>IFERROR(V21/V5,"")</f>
        <v/>
      </c>
      <c r="W43" s="21">
        <f>IFERROR(W21/W5,"")</f>
        <v/>
      </c>
      <c r="X43" s="21">
        <f>IFERROR(X21/X5,"")</f>
        <v/>
      </c>
      <c r="Y43" s="21">
        <f>IFERROR(Y21/Y5,"")</f>
        <v/>
      </c>
      <c r="Z43" s="22">
        <f>IFERROR(Z21/Z5,"")</f>
        <v/>
      </c>
      <c r="AA43" s="21">
        <f>IFERROR(AA21/AA5,"")</f>
        <v/>
      </c>
      <c r="AB43" s="23">
        <f>IFERROR(AB21/AB5,"")</f>
        <v/>
      </c>
      <c r="AC43" s="33">
        <f>IFERROR(AC21/AC5,"")</f>
        <v/>
      </c>
      <c r="AD43" s="33">
        <f>IFERROR(AD21/AD5,"")</f>
        <v/>
      </c>
      <c r="AE43" s="25">
        <f>IFERROR(AE21/AE5,"")</f>
        <v/>
      </c>
      <c r="AF43" s="33">
        <f>IFERROR(AF21/AF5,"")</f>
        <v/>
      </c>
      <c r="AG43" s="33">
        <f>IFERROR(AG21/AG5,"")</f>
        <v/>
      </c>
      <c r="AH43" s="33">
        <f>IFERROR(AH21/AH5,"")</f>
        <v/>
      </c>
      <c r="AI43" s="33">
        <f>IFERROR(AI21/AI5,"")</f>
        <v/>
      </c>
      <c r="AJ43" s="25">
        <f>IFERROR(AJ21/AJ5,"")</f>
        <v/>
      </c>
      <c r="AK43" s="33">
        <f>IFERROR(AK21/AK5,"")</f>
        <v/>
      </c>
      <c r="AL43" s="33">
        <f>IFERROR(AL21/AL5,"")</f>
        <v/>
      </c>
      <c r="AM43" s="33">
        <f>IFERROR(AM21/AM5,"")</f>
        <v/>
      </c>
      <c r="AN43" s="33">
        <f>IFERROR(AN21/AN5,"")</f>
        <v/>
      </c>
      <c r="AO43" s="25">
        <f>IFERROR(AO21/AO5,"")</f>
        <v/>
      </c>
    </row>
    <row r="44">
      <c r="A44" s="12" t="inlineStr">
        <is>
          <t>매출원가율</t>
        </is>
      </c>
      <c r="C44" t="inlineStr">
        <is>
          <t>%</t>
        </is>
      </c>
      <c r="D44" t="inlineStr">
        <is>
          <t>매출원가 / 매출액</t>
        </is>
      </c>
      <c r="E44" s="21">
        <f>IFERROR(E6/E5,"")</f>
        <v/>
      </c>
      <c r="F44" s="22">
        <f>IFERROR(F6/F5,"")</f>
        <v/>
      </c>
      <c r="G44" s="21">
        <f>IFERROR(G6/G5,"")</f>
        <v/>
      </c>
      <c r="H44" s="21">
        <f>IFERROR(H6/H5,"")</f>
        <v/>
      </c>
      <c r="I44" s="21">
        <f>IFERROR(I6/I5,"")</f>
        <v/>
      </c>
      <c r="J44" s="21">
        <f>IFERROR(J6/J5,"")</f>
        <v/>
      </c>
      <c r="K44" s="22">
        <f>IFERROR(K6/K5,"")</f>
        <v/>
      </c>
      <c r="L44" s="21">
        <f>IFERROR(L6/L5,"")</f>
        <v/>
      </c>
      <c r="M44" s="21">
        <f>IFERROR(M6/M5,"")</f>
        <v/>
      </c>
      <c r="N44" s="21">
        <f>IFERROR(N6/N5,"")</f>
        <v/>
      </c>
      <c r="O44" s="21">
        <f>IFERROR(O6/O5,"")</f>
        <v/>
      </c>
      <c r="P44" s="22">
        <f>IFERROR(P6/P5,"")</f>
        <v/>
      </c>
      <c r="Q44" s="21">
        <f>IFERROR(Q6/Q5,"")</f>
        <v/>
      </c>
      <c r="R44" s="21">
        <f>IFERROR(R6/R5,"")</f>
        <v/>
      </c>
      <c r="S44" s="21">
        <f>IFERROR(S6/S5,"")</f>
        <v/>
      </c>
      <c r="T44" s="21">
        <f>IFERROR(T6/T5,"")</f>
        <v/>
      </c>
      <c r="U44" s="22">
        <f>IFERROR(U6/U5,"")</f>
        <v/>
      </c>
      <c r="V44" s="21">
        <f>IFERROR(V6/V5,"")</f>
        <v/>
      </c>
      <c r="W44" s="21">
        <f>IFERROR(W6/W5,"")</f>
        <v/>
      </c>
      <c r="X44" s="21">
        <f>IFERROR(X6/X5,"")</f>
        <v/>
      </c>
      <c r="Y44" s="21">
        <f>IFERROR(Y6/Y5,"")</f>
        <v/>
      </c>
      <c r="Z44" s="22">
        <f>IFERROR(Z6/Z5,"")</f>
        <v/>
      </c>
      <c r="AA44" s="21">
        <f>IFERROR(AA6/AA5,"")</f>
        <v/>
      </c>
      <c r="AB44" s="23">
        <f>IFERROR(AB6/AB5,"")</f>
        <v/>
      </c>
      <c r="AC44" s="33">
        <f>IFERROR(AC6/AC5,"")</f>
        <v/>
      </c>
      <c r="AD44" s="33">
        <f>IFERROR(AD6/AD5,"")</f>
        <v/>
      </c>
      <c r="AE44" s="25">
        <f>IFERROR(AE6/AE5,"")</f>
        <v/>
      </c>
      <c r="AF44" s="33">
        <f>IFERROR(AF6/AF5,"")</f>
        <v/>
      </c>
      <c r="AG44" s="33">
        <f>IFERROR(AG6/AG5,"")</f>
        <v/>
      </c>
      <c r="AH44" s="33">
        <f>IFERROR(AH6/AH5,"")</f>
        <v/>
      </c>
      <c r="AI44" s="33">
        <f>IFERROR(AI6/AI5,"")</f>
        <v/>
      </c>
      <c r="AJ44" s="25">
        <f>IFERROR(AJ6/AJ5,"")</f>
        <v/>
      </c>
      <c r="AK44" s="33">
        <f>IFERROR(AK6/AK5,"")</f>
        <v/>
      </c>
      <c r="AL44" s="33">
        <f>IFERROR(AL6/AL5,"")</f>
        <v/>
      </c>
      <c r="AM44" s="33">
        <f>IFERROR(AM6/AM5,"")</f>
        <v/>
      </c>
      <c r="AN44" s="33">
        <f>IFERROR(AN6/AN5,"")</f>
        <v/>
      </c>
      <c r="AO44" s="25">
        <f>IFERROR(AO6/AO5,"")</f>
        <v/>
      </c>
    </row>
    <row r="45">
      <c r="A45" s="12" t="inlineStr">
        <is>
          <t>판관비율</t>
        </is>
      </c>
      <c r="C45" t="inlineStr">
        <is>
          <t>%</t>
        </is>
      </c>
      <c r="D45" t="inlineStr">
        <is>
          <t>판관비 / 매출액</t>
        </is>
      </c>
      <c r="E45" s="21">
        <f>IFERROR(E8/E5,"")</f>
        <v/>
      </c>
      <c r="F45" s="22">
        <f>IFERROR(F8/F5,"")</f>
        <v/>
      </c>
      <c r="G45" s="21">
        <f>IFERROR(G8/G5,"")</f>
        <v/>
      </c>
      <c r="H45" s="21">
        <f>IFERROR(H8/H5,"")</f>
        <v/>
      </c>
      <c r="I45" s="21">
        <f>IFERROR(I8/I5,"")</f>
        <v/>
      </c>
      <c r="J45" s="21">
        <f>IFERROR(J8/J5,"")</f>
        <v/>
      </c>
      <c r="K45" s="22">
        <f>IFERROR(K8/K5,"")</f>
        <v/>
      </c>
      <c r="L45" s="21">
        <f>IFERROR(L8/L5,"")</f>
        <v/>
      </c>
      <c r="M45" s="21">
        <f>IFERROR(M8/M5,"")</f>
        <v/>
      </c>
      <c r="N45" s="21">
        <f>IFERROR(N8/N5,"")</f>
        <v/>
      </c>
      <c r="O45" s="21">
        <f>IFERROR(O8/O5,"")</f>
        <v/>
      </c>
      <c r="P45" s="22">
        <f>IFERROR(P8/P5,"")</f>
        <v/>
      </c>
      <c r="Q45" s="21">
        <f>IFERROR(Q8/Q5,"")</f>
        <v/>
      </c>
      <c r="R45" s="21">
        <f>IFERROR(R8/R5,"")</f>
        <v/>
      </c>
      <c r="S45" s="21">
        <f>IFERROR(S8/S5,"")</f>
        <v/>
      </c>
      <c r="T45" s="21">
        <f>IFERROR(T8/T5,"")</f>
        <v/>
      </c>
      <c r="U45" s="22">
        <f>IFERROR(U8/U5,"")</f>
        <v/>
      </c>
      <c r="V45" s="21">
        <f>IFERROR(V8/V5,"")</f>
        <v/>
      </c>
      <c r="W45" s="21">
        <f>IFERROR(W8/W5,"")</f>
        <v/>
      </c>
      <c r="X45" s="21">
        <f>IFERROR(X8/X5,"")</f>
        <v/>
      </c>
      <c r="Y45" s="21">
        <f>IFERROR(Y8/Y5,"")</f>
        <v/>
      </c>
      <c r="Z45" s="22">
        <f>IFERROR(Z8/Z5,"")</f>
        <v/>
      </c>
      <c r="AA45" s="21">
        <f>IFERROR(AA8/AA5,"")</f>
        <v/>
      </c>
      <c r="AB45" s="23">
        <f>IFERROR(AB8/AB5,"")</f>
        <v/>
      </c>
      <c r="AC45" s="33">
        <f>IFERROR(AC8/AC5,"")</f>
        <v/>
      </c>
      <c r="AD45" s="33">
        <f>IFERROR(AD8/AD5,"")</f>
        <v/>
      </c>
      <c r="AE45" s="25">
        <f>IFERROR(AE8/AE5,"")</f>
        <v/>
      </c>
      <c r="AF45" s="33">
        <f>IFERROR(AF8/AF5,"")</f>
        <v/>
      </c>
      <c r="AG45" s="33">
        <f>IFERROR(AG8/AG5,"")</f>
        <v/>
      </c>
      <c r="AH45" s="33">
        <f>IFERROR(AH8/AH5,"")</f>
        <v/>
      </c>
      <c r="AI45" s="33">
        <f>IFERROR(AI8/AI5,"")</f>
        <v/>
      </c>
      <c r="AJ45" s="25">
        <f>IFERROR(AJ8/AJ5,"")</f>
        <v/>
      </c>
      <c r="AK45" s="33">
        <f>IFERROR(AK8/AK5,"")</f>
        <v/>
      </c>
      <c r="AL45" s="33">
        <f>IFERROR(AL8/AL5,"")</f>
        <v/>
      </c>
      <c r="AM45" s="33">
        <f>IFERROR(AM8/AM5,"")</f>
        <v/>
      </c>
      <c r="AN45" s="33">
        <f>IFERROR(AN8/AN5,"")</f>
        <v/>
      </c>
      <c r="AO45" s="25">
        <f>IFERROR(AO8/AO5,"")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분기H — subQ 를 이름으로 VLOOKUP(억원)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43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2">
      <c r="C2" t="inlineStr">
        <is>
          <t>종가:</t>
        </is>
      </c>
      <c r="D2" s="18">
        <f>변수!D45</f>
        <v/>
      </c>
      <c r="W2" s="44" t="n"/>
    </row>
    <row r="3">
      <c r="C3" t="inlineStr">
        <is>
          <t>기준일:</t>
        </is>
      </c>
      <c r="D3" t="inlineStr">
        <is>
          <t>20261008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45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46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18">
        <f>IFERROR(VLOOKUP($A5,subQ,MATCH(I$1,SUBQH,0),0),"")</f>
        <v/>
      </c>
      <c r="J5" s="18">
        <f>IFERROR(VLOOKUP($A5,subQ,MATCH(J$1,SUBQH,0),0),"")</f>
        <v/>
      </c>
      <c r="K5" s="18">
        <f>IFERROR(VLOOKUP($A5,subQ,MATCH(K$1,SUBQH,0),0),"")</f>
        <v/>
      </c>
      <c r="L5" s="18">
        <f>IFERROR(VLOOKUP($A5,subQ,MATCH(L$1,SUBQH,0),0),"")</f>
        <v/>
      </c>
      <c r="M5" s="18">
        <f>IFERROR(VLOOKUP($A5,subQ,MATCH(M$1,SUBQH,0),0),"")</f>
        <v/>
      </c>
      <c r="N5" s="18">
        <f>IFERROR(VLOOKUP($A5,subQ,MATCH(N$1,SUBQH,0),0),"")</f>
        <v/>
      </c>
      <c r="O5" s="18">
        <f>IFERROR(VLOOKUP($A5,subQ,MATCH(O$1,SUBQH,0),0),"")</f>
        <v/>
      </c>
      <c r="P5" s="18">
        <f>IFERROR(VLOOKUP($A5,subQ,MATCH(P$1,SUBQH,0),0),"")</f>
        <v/>
      </c>
      <c r="Q5" s="18">
        <f>IFERROR(VLOOKUP($A5,subQ,MATCH(Q$1,SUBQH,0),0),"")</f>
        <v/>
      </c>
      <c r="R5" s="18">
        <f>IFERROR(VLOOKUP($A5,subQ,MATCH(R$1,SUBQH,0),0),"")</f>
        <v/>
      </c>
      <c r="S5" s="18">
        <f>IFERROR(VLOOKUP($A5,subQ,MATCH(S$1,SUBQH,0),0),"")</f>
        <v/>
      </c>
      <c r="T5" s="18">
        <f>IFERROR(VLOOKUP($A5,subQ,MATCH(T$1,SUBQH,0),0),"")</f>
        <v/>
      </c>
      <c r="U5" s="18">
        <f>IFERROR(VLOOKUP($A5,subQ,MATCH(U$1,SUBQH,0),0),"")</f>
        <v/>
      </c>
      <c r="V5" s="18">
        <f>IFERROR(VLOOKUP($A5,subQ,MATCH(V$1,SUBQH,0),0),"")</f>
        <v/>
      </c>
      <c r="W5" s="47">
        <f>IFERROR(VLOOKUP($A5,subQ,MATCH(W$1,SUBQH,0),0),"")</f>
        <v/>
      </c>
      <c r="X5" s="20">
        <f>IFERROR(VLOOKUP($A5,subQ,MATCH(X$1,SUBQH,0),0),"")</f>
        <v/>
      </c>
      <c r="Y5" s="20">
        <f>IFERROR(VLOOKUP($A5,subQ,MATCH(Y$1,SUBQH,0),0),"")</f>
        <v/>
      </c>
      <c r="Z5" s="20">
        <f>IFERROR(VLOOKUP($A5,subQ,MATCH(Z$1,SUBQH,0),0),"")</f>
        <v/>
      </c>
      <c r="AA5" s="20">
        <f>IFERROR(VLOOKUP($A5,subQ,MATCH(AA$1,SUBQH,0),0),"")</f>
        <v/>
      </c>
      <c r="AB5" s="20">
        <f>IFERROR(VLOOKUP($A5,subQ,MATCH(AB$1,SUBQH,0),0),"")</f>
        <v/>
      </c>
      <c r="AC5" s="20">
        <f>IFERROR(VLOOKUP($A5,subQ,MATCH(AC$1,SUBQH,0),0),"")</f>
        <v/>
      </c>
      <c r="AD5" s="20">
        <f>IFERROR(VLOOKUP($A5,subQ,MATCH(AD$1,SUBQH,0),0),"")</f>
        <v/>
      </c>
      <c r="AE5" s="20">
        <f>IFERROR(VLOOKUP($A5,subQ,MATCH(AE$1,SUBQH,0),0),"")</f>
        <v/>
      </c>
      <c r="AF5" s="20">
        <f>IFERROR(VLOOKUP($A5,subQ,MATCH(AF$1,SUBQH,0),0),"")</f>
        <v/>
      </c>
      <c r="AG5" s="20">
        <f>IFERROR(VLOOKUP($A5,subQ,MATCH(AG$1,SUBQH,0),0),"")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18">
        <f>IFERROR(VLOOKUP($A6,subQ,MATCH(I$1,SUBQH,0),0),"")</f>
        <v/>
      </c>
      <c r="J6" s="18">
        <f>IFERROR(VLOOKUP($A6,subQ,MATCH(J$1,SUBQH,0),0),"")</f>
        <v/>
      </c>
      <c r="K6" s="18">
        <f>IFERROR(VLOOKUP($A6,subQ,MATCH(K$1,SUBQH,0),0),"")</f>
        <v/>
      </c>
      <c r="L6" s="18">
        <f>IFERROR(VLOOKUP($A6,subQ,MATCH(L$1,SUBQH,0),0),"")</f>
        <v/>
      </c>
      <c r="M6" s="18">
        <f>IFERROR(VLOOKUP($A6,subQ,MATCH(M$1,SUBQH,0),0),"")</f>
        <v/>
      </c>
      <c r="N6" s="18">
        <f>IFERROR(VLOOKUP($A6,subQ,MATCH(N$1,SUBQH,0),0),"")</f>
        <v/>
      </c>
      <c r="O6" s="18">
        <f>IFERROR(VLOOKUP($A6,subQ,MATCH(O$1,SUBQH,0),0),"")</f>
        <v/>
      </c>
      <c r="P6" s="18">
        <f>IFERROR(VLOOKUP($A6,subQ,MATCH(P$1,SUBQH,0),0),"")</f>
        <v/>
      </c>
      <c r="Q6" s="18">
        <f>IFERROR(VLOOKUP($A6,subQ,MATCH(Q$1,SUBQH,0),0),"")</f>
        <v/>
      </c>
      <c r="R6" s="18">
        <f>IFERROR(VLOOKUP($A6,subQ,MATCH(R$1,SUBQH,0),0),"")</f>
        <v/>
      </c>
      <c r="S6" s="18">
        <f>IFERROR(VLOOKUP($A6,subQ,MATCH(S$1,SUBQH,0),0),"")</f>
        <v/>
      </c>
      <c r="T6" s="18">
        <f>IFERROR(VLOOKUP($A6,subQ,MATCH(T$1,SUBQH,0),0),"")</f>
        <v/>
      </c>
      <c r="U6" s="18">
        <f>IFERROR(VLOOKUP($A6,subQ,MATCH(U$1,SUBQH,0),0),"")</f>
        <v/>
      </c>
      <c r="V6" s="18">
        <f>IFERROR(VLOOKUP($A6,subQ,MATCH(V$1,SUBQH,0),0),"")</f>
        <v/>
      </c>
      <c r="W6" s="47">
        <f>IFERROR(VLOOKUP($A6,subQ,MATCH(W$1,SUBQH,0),0),"")</f>
        <v/>
      </c>
      <c r="X6" s="20">
        <f>IFERROR(VLOOKUP($A6,subQ,MATCH(X$1,SUBQH,0),0),"")</f>
        <v/>
      </c>
      <c r="Y6" s="20">
        <f>IFERROR(VLOOKUP($A6,subQ,MATCH(Y$1,SUBQH,0),0),"")</f>
        <v/>
      </c>
      <c r="Z6" s="20">
        <f>IFERROR(VLOOKUP($A6,subQ,MATCH(Z$1,SUBQH,0),0),"")</f>
        <v/>
      </c>
      <c r="AA6" s="20">
        <f>IFERROR(VLOOKUP($A6,subQ,MATCH(AA$1,SUBQH,0),0),"")</f>
        <v/>
      </c>
      <c r="AB6" s="20">
        <f>IFERROR(VLOOKUP($A6,subQ,MATCH(AB$1,SUBQH,0),0),"")</f>
        <v/>
      </c>
      <c r="AC6" s="20">
        <f>IFERROR(VLOOKUP($A6,subQ,MATCH(AC$1,SUBQH,0),0),"")</f>
        <v/>
      </c>
      <c r="AD6" s="20">
        <f>IFERROR(VLOOKUP($A6,subQ,MATCH(AD$1,SUBQH,0),0),"")</f>
        <v/>
      </c>
      <c r="AE6" s="20">
        <f>IFERROR(VLOOKUP($A6,subQ,MATCH(AE$1,SUBQH,0),0),"")</f>
        <v/>
      </c>
      <c r="AF6" s="20">
        <f>IFERROR(VLOOKUP($A6,subQ,MATCH(AF$1,SUBQH,0),0),"")</f>
        <v/>
      </c>
      <c r="AG6" s="20">
        <f>IFERROR(VLOOKUP($A6,subQ,MATCH(AG$1,SUBQH,0),0),"")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18">
        <f>IFERROR(VLOOKUP($A7,subQ,MATCH(I$1,SUBQH,0),0),"")</f>
        <v/>
      </c>
      <c r="J7" s="18">
        <f>IFERROR(VLOOKUP($A7,subQ,MATCH(J$1,SUBQH,0),0),"")</f>
        <v/>
      </c>
      <c r="K7" s="18">
        <f>IFERROR(VLOOKUP($A7,subQ,MATCH(K$1,SUBQH,0),0),"")</f>
        <v/>
      </c>
      <c r="L7" s="18">
        <f>IFERROR(VLOOKUP($A7,subQ,MATCH(L$1,SUBQH,0),0),"")</f>
        <v/>
      </c>
      <c r="M7" s="18">
        <f>IFERROR(VLOOKUP($A7,subQ,MATCH(M$1,SUBQH,0),0),"")</f>
        <v/>
      </c>
      <c r="N7" s="18">
        <f>IFERROR(VLOOKUP($A7,subQ,MATCH(N$1,SUBQH,0),0),"")</f>
        <v/>
      </c>
      <c r="O7" s="18">
        <f>IFERROR(VLOOKUP($A7,subQ,MATCH(O$1,SUBQH,0),0),"")</f>
        <v/>
      </c>
      <c r="P7" s="18">
        <f>IFERROR(VLOOKUP($A7,subQ,MATCH(P$1,SUBQH,0),0),"")</f>
        <v/>
      </c>
      <c r="Q7" s="18">
        <f>IFERROR(VLOOKUP($A7,subQ,MATCH(Q$1,SUBQH,0),0),"")</f>
        <v/>
      </c>
      <c r="R7" s="18">
        <f>IFERROR(VLOOKUP($A7,subQ,MATCH(R$1,SUBQH,0),0),"")</f>
        <v/>
      </c>
      <c r="S7" s="18">
        <f>IFERROR(VLOOKUP($A7,subQ,MATCH(S$1,SUBQH,0),0),"")</f>
        <v/>
      </c>
      <c r="T7" s="18">
        <f>IFERROR(VLOOKUP($A7,subQ,MATCH(T$1,SUBQH,0),0),"")</f>
        <v/>
      </c>
      <c r="U7" s="18">
        <f>IFERROR(VLOOKUP($A7,subQ,MATCH(U$1,SUBQH,0),0),"")</f>
        <v/>
      </c>
      <c r="V7" s="18">
        <f>IFERROR(VLOOKUP($A7,subQ,MATCH(V$1,SUBQH,0),0),"")</f>
        <v/>
      </c>
      <c r="W7" s="47">
        <f>IFERROR(VLOOKUP($A7,subQ,MATCH(W$1,SUBQH,0),0),"")</f>
        <v/>
      </c>
      <c r="X7" s="20">
        <f>IFERROR(VLOOKUP($A7,subQ,MATCH(X$1,SUBQH,0),0),"")</f>
        <v/>
      </c>
      <c r="Y7" s="20">
        <f>IFERROR(VLOOKUP($A7,subQ,MATCH(Y$1,SUBQH,0),0),"")</f>
        <v/>
      </c>
      <c r="Z7" s="20">
        <f>IFERROR(VLOOKUP($A7,subQ,MATCH(Z$1,SUBQH,0),0),"")</f>
        <v/>
      </c>
      <c r="AA7" s="20">
        <f>IFERROR(VLOOKUP($A7,subQ,MATCH(AA$1,SUBQH,0),0),"")</f>
        <v/>
      </c>
      <c r="AB7" s="20">
        <f>IFERROR(VLOOKUP($A7,subQ,MATCH(AB$1,SUBQH,0),0),"")</f>
        <v/>
      </c>
      <c r="AC7" s="20">
        <f>IFERROR(VLOOKUP($A7,subQ,MATCH(AC$1,SUBQH,0),0),"")</f>
        <v/>
      </c>
      <c r="AD7" s="20">
        <f>IFERROR(VLOOKUP($A7,subQ,MATCH(AD$1,SUBQH,0),0),"")</f>
        <v/>
      </c>
      <c r="AE7" s="20">
        <f>IFERROR(VLOOKUP($A7,subQ,MATCH(AE$1,SUBQH,0),0),"")</f>
        <v/>
      </c>
      <c r="AF7" s="20">
        <f>IFERROR(VLOOKUP($A7,subQ,MATCH(AF$1,SUBQH,0),0),"")</f>
        <v/>
      </c>
      <c r="AG7" s="20">
        <f>IFERROR(VLOOKUP($A7,subQ,MATCH(AG$1,SUBQH,0),0),"")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18">
        <f>IFERROR(VLOOKUP($A8,subQ,MATCH(I$1,SUBQH,0),0),"")</f>
        <v/>
      </c>
      <c r="J8" s="18">
        <f>IFERROR(VLOOKUP($A8,subQ,MATCH(J$1,SUBQH,0),0),"")</f>
        <v/>
      </c>
      <c r="K8" s="18">
        <f>IFERROR(VLOOKUP($A8,subQ,MATCH(K$1,SUBQH,0),0),"")</f>
        <v/>
      </c>
      <c r="L8" s="18">
        <f>IFERROR(VLOOKUP($A8,subQ,MATCH(L$1,SUBQH,0),0),"")</f>
        <v/>
      </c>
      <c r="M8" s="18">
        <f>IFERROR(VLOOKUP($A8,subQ,MATCH(M$1,SUBQH,0),0),"")</f>
        <v/>
      </c>
      <c r="N8" s="18">
        <f>IFERROR(VLOOKUP($A8,subQ,MATCH(N$1,SUBQH,0),0),"")</f>
        <v/>
      </c>
      <c r="O8" s="18">
        <f>IFERROR(VLOOKUP($A8,subQ,MATCH(O$1,SUBQH,0),0),"")</f>
        <v/>
      </c>
      <c r="P8" s="18">
        <f>IFERROR(VLOOKUP($A8,subQ,MATCH(P$1,SUBQH,0),0),"")</f>
        <v/>
      </c>
      <c r="Q8" s="18">
        <f>IFERROR(VLOOKUP($A8,subQ,MATCH(Q$1,SUBQH,0),0),"")</f>
        <v/>
      </c>
      <c r="R8" s="18">
        <f>IFERROR(VLOOKUP($A8,subQ,MATCH(R$1,SUBQH,0),0),"")</f>
        <v/>
      </c>
      <c r="S8" s="18">
        <f>IFERROR(VLOOKUP($A8,subQ,MATCH(S$1,SUBQH,0),0),"")</f>
        <v/>
      </c>
      <c r="T8" s="18">
        <f>IFERROR(VLOOKUP($A8,subQ,MATCH(T$1,SUBQH,0),0),"")</f>
        <v/>
      </c>
      <c r="U8" s="18">
        <f>IFERROR(VLOOKUP($A8,subQ,MATCH(U$1,SUBQH,0),0),"")</f>
        <v/>
      </c>
      <c r="V8" s="18">
        <f>IFERROR(VLOOKUP($A8,subQ,MATCH(V$1,SUBQH,0),0),"")</f>
        <v/>
      </c>
      <c r="W8" s="47">
        <f>IFERROR(VLOOKUP($A8,subQ,MATCH(W$1,SUBQH,0),0),"")</f>
        <v/>
      </c>
      <c r="X8" s="20">
        <f>IFERROR(VLOOKUP($A8,subQ,MATCH(X$1,SUBQH,0),0),"")</f>
        <v/>
      </c>
      <c r="Y8" s="20">
        <f>IFERROR(VLOOKUP($A8,subQ,MATCH(Y$1,SUBQH,0),0),"")</f>
        <v/>
      </c>
      <c r="Z8" s="20">
        <f>IFERROR(VLOOKUP($A8,subQ,MATCH(Z$1,SUBQH,0),0),"")</f>
        <v/>
      </c>
      <c r="AA8" s="20">
        <f>IFERROR(VLOOKUP($A8,subQ,MATCH(AA$1,SUBQH,0),0),"")</f>
        <v/>
      </c>
      <c r="AB8" s="20">
        <f>IFERROR(VLOOKUP($A8,subQ,MATCH(AB$1,SUBQH,0),0),"")</f>
        <v/>
      </c>
      <c r="AC8" s="20">
        <f>IFERROR(VLOOKUP($A8,subQ,MATCH(AC$1,SUBQH,0),0),"")</f>
        <v/>
      </c>
      <c r="AD8" s="20">
        <f>IFERROR(VLOOKUP($A8,subQ,MATCH(AD$1,SUBQH,0),0),"")</f>
        <v/>
      </c>
      <c r="AE8" s="20">
        <f>IFERROR(VLOOKUP($A8,subQ,MATCH(AE$1,SUBQH,0),0),"")</f>
        <v/>
      </c>
      <c r="AF8" s="20">
        <f>IFERROR(VLOOKUP($A8,subQ,MATCH(AF$1,SUBQH,0),0),"")</f>
        <v/>
      </c>
      <c r="AG8" s="20">
        <f>IFERROR(VLOOKUP($A8,subQ,MATCH(AG$1,SUBQH,0),0),"")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18">
        <f>IFERROR(VLOOKUP($A9,subQ,MATCH(I$1,SUBQH,0),0),"")</f>
        <v/>
      </c>
      <c r="J9" s="18">
        <f>IFERROR(VLOOKUP($A9,subQ,MATCH(J$1,SUBQH,0),0),"")</f>
        <v/>
      </c>
      <c r="K9" s="18">
        <f>IFERROR(VLOOKUP($A9,subQ,MATCH(K$1,SUBQH,0),0),"")</f>
        <v/>
      </c>
      <c r="L9" s="18">
        <f>IFERROR(VLOOKUP($A9,subQ,MATCH(L$1,SUBQH,0),0),"")</f>
        <v/>
      </c>
      <c r="M9" s="18">
        <f>IFERROR(VLOOKUP($A9,subQ,MATCH(M$1,SUBQH,0),0),"")</f>
        <v/>
      </c>
      <c r="N9" s="18">
        <f>IFERROR(VLOOKUP($A9,subQ,MATCH(N$1,SUBQH,0),0),"")</f>
        <v/>
      </c>
      <c r="O9" s="18">
        <f>IFERROR(VLOOKUP($A9,subQ,MATCH(O$1,SUBQH,0),0),"")</f>
        <v/>
      </c>
      <c r="P9" s="18">
        <f>IFERROR(VLOOKUP($A9,subQ,MATCH(P$1,SUBQH,0),0),"")</f>
        <v/>
      </c>
      <c r="Q9" s="18">
        <f>IFERROR(VLOOKUP($A9,subQ,MATCH(Q$1,SUBQH,0),0),"")</f>
        <v/>
      </c>
      <c r="R9" s="18">
        <f>IFERROR(VLOOKUP($A9,subQ,MATCH(R$1,SUBQH,0),0),"")</f>
        <v/>
      </c>
      <c r="S9" s="18">
        <f>IFERROR(VLOOKUP($A9,subQ,MATCH(S$1,SUBQH,0),0),"")</f>
        <v/>
      </c>
      <c r="T9" s="18">
        <f>IFERROR(VLOOKUP($A9,subQ,MATCH(T$1,SUBQH,0),0),"")</f>
        <v/>
      </c>
      <c r="U9" s="18">
        <f>IFERROR(VLOOKUP($A9,subQ,MATCH(U$1,SUBQH,0),0),"")</f>
        <v/>
      </c>
      <c r="V9" s="18">
        <f>IFERROR(VLOOKUP($A9,subQ,MATCH(V$1,SUBQH,0),0),"")</f>
        <v/>
      </c>
      <c r="W9" s="47">
        <f>IFERROR(VLOOKUP($A9,subQ,MATCH(W$1,SUBQH,0),0),"")</f>
        <v/>
      </c>
      <c r="X9" s="20">
        <f>IFERROR(VLOOKUP($A9,subQ,MATCH(X$1,SUBQH,0),0),"")</f>
        <v/>
      </c>
      <c r="Y9" s="20">
        <f>IFERROR(VLOOKUP($A9,subQ,MATCH(Y$1,SUBQH,0),0),"")</f>
        <v/>
      </c>
      <c r="Z9" s="20">
        <f>IFERROR(VLOOKUP($A9,subQ,MATCH(Z$1,SUBQH,0),0),"")</f>
        <v/>
      </c>
      <c r="AA9" s="20">
        <f>IFERROR(VLOOKUP($A9,subQ,MATCH(AA$1,SUBQH,0),0),"")</f>
        <v/>
      </c>
      <c r="AB9" s="20">
        <f>IFERROR(VLOOKUP($A9,subQ,MATCH(AB$1,SUBQH,0),0),"")</f>
        <v/>
      </c>
      <c r="AC9" s="20">
        <f>IFERROR(VLOOKUP($A9,subQ,MATCH(AC$1,SUBQH,0),0),"")</f>
        <v/>
      </c>
      <c r="AD9" s="20">
        <f>IFERROR(VLOOKUP($A9,subQ,MATCH(AD$1,SUBQH,0),0),"")</f>
        <v/>
      </c>
      <c r="AE9" s="20">
        <f>IFERROR(VLOOKUP($A9,subQ,MATCH(AE$1,SUBQH,0),0),"")</f>
        <v/>
      </c>
      <c r="AF9" s="20">
        <f>IFERROR(VLOOKUP($A9,subQ,MATCH(AF$1,SUBQH,0),0),"")</f>
        <v/>
      </c>
      <c r="AG9" s="20">
        <f>IFERROR(VLOOKUP($A9,subQ,MATCH(AG$1,SUBQH,0),0),"")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21">
        <f>IFERROR(VLOOKUP($A10,subQ,MATCH(I$1,SUBQH,0),0),"")</f>
        <v/>
      </c>
      <c r="J10" s="21">
        <f>IFERROR(VLOOKUP($A10,subQ,MATCH(J$1,SUBQH,0),0),"")</f>
        <v/>
      </c>
      <c r="K10" s="21">
        <f>IFERROR(VLOOKUP($A10,subQ,MATCH(K$1,SUBQH,0),0),"")</f>
        <v/>
      </c>
      <c r="L10" s="21">
        <f>IFERROR(VLOOKUP($A10,subQ,MATCH(L$1,SUBQH,0),0),"")</f>
        <v/>
      </c>
      <c r="M10" s="21">
        <f>IFERROR(VLOOKUP($A10,subQ,MATCH(M$1,SUBQH,0),0),"")</f>
        <v/>
      </c>
      <c r="N10" s="21">
        <f>IFERROR(VLOOKUP($A10,subQ,MATCH(N$1,SUBQH,0),0),"")</f>
        <v/>
      </c>
      <c r="O10" s="21">
        <f>IFERROR(VLOOKUP($A10,subQ,MATCH(O$1,SUBQH,0),0),"")</f>
        <v/>
      </c>
      <c r="P10" s="21">
        <f>IFERROR(VLOOKUP($A10,subQ,MATCH(P$1,SUBQH,0),0),"")</f>
        <v/>
      </c>
      <c r="Q10" s="21">
        <f>IFERROR(VLOOKUP($A10,subQ,MATCH(Q$1,SUBQH,0),0),"")</f>
        <v/>
      </c>
      <c r="R10" s="21">
        <f>IFERROR(VLOOKUP($A10,subQ,MATCH(R$1,SUBQH,0),0),"")</f>
        <v/>
      </c>
      <c r="S10" s="21">
        <f>IFERROR(VLOOKUP($A10,subQ,MATCH(S$1,SUBQH,0),0),"")</f>
        <v/>
      </c>
      <c r="T10" s="21">
        <f>IFERROR(VLOOKUP($A10,subQ,MATCH(T$1,SUBQH,0),0),"")</f>
        <v/>
      </c>
      <c r="U10" s="21">
        <f>IFERROR(VLOOKUP($A10,subQ,MATCH(U$1,SUBQH,0),0),"")</f>
        <v/>
      </c>
      <c r="V10" s="21">
        <f>IFERROR(VLOOKUP($A10,subQ,MATCH(V$1,SUBQH,0),0),"")</f>
        <v/>
      </c>
      <c r="W10" s="48">
        <f>IFERROR(VLOOKUP($A10,subQ,MATCH(W$1,SUBQH,0),0),"")</f>
        <v/>
      </c>
      <c r="X10" s="33">
        <f>IFERROR(VLOOKUP($A10,subQ,MATCH(X$1,SUBQH,0),0),"")</f>
        <v/>
      </c>
      <c r="Y10" s="33">
        <f>IFERROR(VLOOKUP($A10,subQ,MATCH(Y$1,SUBQH,0),0),"")</f>
        <v/>
      </c>
      <c r="Z10" s="33">
        <f>IFERROR(VLOOKUP($A10,subQ,MATCH(Z$1,SUBQH,0),0),"")</f>
        <v/>
      </c>
      <c r="AA10" s="33">
        <f>IFERROR(VLOOKUP($A10,subQ,MATCH(AA$1,SUBQH,0),0),"")</f>
        <v/>
      </c>
      <c r="AB10" s="33">
        <f>IFERROR(VLOOKUP($A10,subQ,MATCH(AB$1,SUBQH,0),0),"")</f>
        <v/>
      </c>
      <c r="AC10" s="33">
        <f>IFERROR(VLOOKUP($A10,subQ,MATCH(AC$1,SUBQH,0),0),"")</f>
        <v/>
      </c>
      <c r="AD10" s="33">
        <f>IFERROR(VLOOKUP($A10,subQ,MATCH(AD$1,SUBQH,0),0),"")</f>
        <v/>
      </c>
      <c r="AE10" s="33">
        <f>IFERROR(VLOOKUP($A10,subQ,MATCH(AE$1,SUBQH,0),0),"")</f>
        <v/>
      </c>
      <c r="AF10" s="33">
        <f>IFERROR(VLOOKUP($A10,subQ,MATCH(AF$1,SUBQH,0),0),"")</f>
        <v/>
      </c>
      <c r="AG10" s="33">
        <f>IFERROR(VLOOKUP($A10,subQ,MATCH(AG$1,SUBQH,0),0),"")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18">
        <f>IFERROR(VLOOKUP($A11,subQ,MATCH(I$1,SUBQH,0),0),"")</f>
        <v/>
      </c>
      <c r="J11" s="18">
        <f>IFERROR(VLOOKUP($A11,subQ,MATCH(J$1,SUBQH,0),0),"")</f>
        <v/>
      </c>
      <c r="K11" s="18">
        <f>IFERROR(VLOOKUP($A11,subQ,MATCH(K$1,SUBQH,0),0),"")</f>
        <v/>
      </c>
      <c r="L11" s="18">
        <f>IFERROR(VLOOKUP($A11,subQ,MATCH(L$1,SUBQH,0),0),"")</f>
        <v/>
      </c>
      <c r="M11" s="18">
        <f>IFERROR(VLOOKUP($A11,subQ,MATCH(M$1,SUBQH,0),0),"")</f>
        <v/>
      </c>
      <c r="N11" s="18">
        <f>IFERROR(VLOOKUP($A11,subQ,MATCH(N$1,SUBQH,0),0),"")</f>
        <v/>
      </c>
      <c r="O11" s="18">
        <f>IFERROR(VLOOKUP($A11,subQ,MATCH(O$1,SUBQH,0),0),"")</f>
        <v/>
      </c>
      <c r="P11" s="18">
        <f>IFERROR(VLOOKUP($A11,subQ,MATCH(P$1,SUBQH,0),0),"")</f>
        <v/>
      </c>
      <c r="Q11" s="18">
        <f>IFERROR(VLOOKUP($A11,subQ,MATCH(Q$1,SUBQH,0),0),"")</f>
        <v/>
      </c>
      <c r="R11" s="18">
        <f>IFERROR(VLOOKUP($A11,subQ,MATCH(R$1,SUBQH,0),0),"")</f>
        <v/>
      </c>
      <c r="S11" s="18">
        <f>IFERROR(VLOOKUP($A11,subQ,MATCH(S$1,SUBQH,0),0),"")</f>
        <v/>
      </c>
      <c r="T11" s="18">
        <f>IFERROR(VLOOKUP($A11,subQ,MATCH(T$1,SUBQH,0),0),"")</f>
        <v/>
      </c>
      <c r="U11" s="18">
        <f>IFERROR(VLOOKUP($A11,subQ,MATCH(U$1,SUBQH,0),0),"")</f>
        <v/>
      </c>
      <c r="V11" s="18">
        <f>IFERROR(VLOOKUP($A11,subQ,MATCH(V$1,SUBQH,0),0),"")</f>
        <v/>
      </c>
      <c r="W11" s="47">
        <f>IFERROR(VLOOKUP($A11,subQ,MATCH(W$1,SUBQH,0),0),"")</f>
        <v/>
      </c>
      <c r="X11" s="20">
        <f>IFERROR(VLOOKUP($A11,subQ,MATCH(X$1,SUBQH,0),0),"")</f>
        <v/>
      </c>
      <c r="Y11" s="20">
        <f>IFERROR(VLOOKUP($A11,subQ,MATCH(Y$1,SUBQH,0),0),"")</f>
        <v/>
      </c>
      <c r="Z11" s="20">
        <f>IFERROR(VLOOKUP($A11,subQ,MATCH(Z$1,SUBQH,0),0),"")</f>
        <v/>
      </c>
      <c r="AA11" s="20">
        <f>IFERROR(VLOOKUP($A11,subQ,MATCH(AA$1,SUBQH,0),0),"")</f>
        <v/>
      </c>
      <c r="AB11" s="20">
        <f>IFERROR(VLOOKUP($A11,subQ,MATCH(AB$1,SUBQH,0),0),"")</f>
        <v/>
      </c>
      <c r="AC11" s="20">
        <f>IFERROR(VLOOKUP($A11,subQ,MATCH(AC$1,SUBQH,0),0),"")</f>
        <v/>
      </c>
      <c r="AD11" s="20">
        <f>IFERROR(VLOOKUP($A11,subQ,MATCH(AD$1,SUBQH,0),0),"")</f>
        <v/>
      </c>
      <c r="AE11" s="20">
        <f>IFERROR(VLOOKUP($A11,subQ,MATCH(AE$1,SUBQH,0),0),"")</f>
        <v/>
      </c>
      <c r="AF11" s="20">
        <f>IFERROR(VLOOKUP($A11,subQ,MATCH(AF$1,SUBQH,0),0),"")</f>
        <v/>
      </c>
      <c r="AG11" s="20">
        <f>IFERROR(VLOOKUP($A11,subQ,MATCH(AG$1,SUBQH,0),0),"")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18">
        <f>IFERROR(VLOOKUP($A12,subQ,MATCH(I$1,SUBQH,0),0),"")</f>
        <v/>
      </c>
      <c r="J12" s="18">
        <f>IFERROR(VLOOKUP($A12,subQ,MATCH(J$1,SUBQH,0),0),"")</f>
        <v/>
      </c>
      <c r="K12" s="18">
        <f>IFERROR(VLOOKUP($A12,subQ,MATCH(K$1,SUBQH,0),0),"")</f>
        <v/>
      </c>
      <c r="L12" s="18">
        <f>IFERROR(VLOOKUP($A12,subQ,MATCH(L$1,SUBQH,0),0),"")</f>
        <v/>
      </c>
      <c r="M12" s="18">
        <f>IFERROR(VLOOKUP($A12,subQ,MATCH(M$1,SUBQH,0),0),"")</f>
        <v/>
      </c>
      <c r="N12" s="18">
        <f>IFERROR(VLOOKUP($A12,subQ,MATCH(N$1,SUBQH,0),0),"")</f>
        <v/>
      </c>
      <c r="O12" s="18">
        <f>IFERROR(VLOOKUP($A12,subQ,MATCH(O$1,SUBQH,0),0),"")</f>
        <v/>
      </c>
      <c r="P12" s="18">
        <f>IFERROR(VLOOKUP($A12,subQ,MATCH(P$1,SUBQH,0),0),"")</f>
        <v/>
      </c>
      <c r="Q12" s="18">
        <f>IFERROR(VLOOKUP($A12,subQ,MATCH(Q$1,SUBQH,0),0),"")</f>
        <v/>
      </c>
      <c r="R12" s="18">
        <f>IFERROR(VLOOKUP($A12,subQ,MATCH(R$1,SUBQH,0),0),"")</f>
        <v/>
      </c>
      <c r="S12" s="18">
        <f>IFERROR(VLOOKUP($A12,subQ,MATCH(S$1,SUBQH,0),0),"")</f>
        <v/>
      </c>
      <c r="T12" s="18">
        <f>IFERROR(VLOOKUP($A12,subQ,MATCH(T$1,SUBQH,0),0),"")</f>
        <v/>
      </c>
      <c r="U12" s="18">
        <f>IFERROR(VLOOKUP($A12,subQ,MATCH(U$1,SUBQH,0),0),"")</f>
        <v/>
      </c>
      <c r="V12" s="18">
        <f>IFERROR(VLOOKUP($A12,subQ,MATCH(V$1,SUBQH,0),0),"")</f>
        <v/>
      </c>
      <c r="W12" s="47">
        <f>IFERROR(VLOOKUP($A12,subQ,MATCH(W$1,SUBQH,0),0),"")</f>
        <v/>
      </c>
      <c r="X12" s="20">
        <f>IFERROR(VLOOKUP($A12,subQ,MATCH(X$1,SUBQH,0),0),"")</f>
        <v/>
      </c>
      <c r="Y12" s="20">
        <f>IFERROR(VLOOKUP($A12,subQ,MATCH(Y$1,SUBQH,0),0),"")</f>
        <v/>
      </c>
      <c r="Z12" s="20">
        <f>IFERROR(VLOOKUP($A12,subQ,MATCH(Z$1,SUBQH,0),0),"")</f>
        <v/>
      </c>
      <c r="AA12" s="20">
        <f>IFERROR(VLOOKUP($A12,subQ,MATCH(AA$1,SUBQH,0),0),"")</f>
        <v/>
      </c>
      <c r="AB12" s="20">
        <f>IFERROR(VLOOKUP($A12,subQ,MATCH(AB$1,SUBQH,0),0),"")</f>
        <v/>
      </c>
      <c r="AC12" s="20">
        <f>IFERROR(VLOOKUP($A12,subQ,MATCH(AC$1,SUBQH,0),0),"")</f>
        <v/>
      </c>
      <c r="AD12" s="20">
        <f>IFERROR(VLOOKUP($A12,subQ,MATCH(AD$1,SUBQH,0),0),"")</f>
        <v/>
      </c>
      <c r="AE12" s="20">
        <f>IFERROR(VLOOKUP($A12,subQ,MATCH(AE$1,SUBQH,0),0),"")</f>
        <v/>
      </c>
      <c r="AF12" s="20">
        <f>IFERROR(VLOOKUP($A12,subQ,MATCH(AF$1,SUBQH,0),0),"")</f>
        <v/>
      </c>
      <c r="AG12" s="20">
        <f>IFERROR(VLOOKUP($A12,subQ,MATCH(AG$1,SUBQH,0),0),"")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18">
        <f>IFERROR(VLOOKUP($A13,subQ,MATCH(I$1,SUBQH,0),0),"")</f>
        <v/>
      </c>
      <c r="J13" s="18">
        <f>IFERROR(VLOOKUP($A13,subQ,MATCH(J$1,SUBQH,0),0),"")</f>
        <v/>
      </c>
      <c r="K13" s="18">
        <f>IFERROR(VLOOKUP($A13,subQ,MATCH(K$1,SUBQH,0),0),"")</f>
        <v/>
      </c>
      <c r="L13" s="18">
        <f>IFERROR(VLOOKUP($A13,subQ,MATCH(L$1,SUBQH,0),0),"")</f>
        <v/>
      </c>
      <c r="M13" s="18">
        <f>IFERROR(VLOOKUP($A13,subQ,MATCH(M$1,SUBQH,0),0),"")</f>
        <v/>
      </c>
      <c r="N13" s="18">
        <f>IFERROR(VLOOKUP($A13,subQ,MATCH(N$1,SUBQH,0),0),"")</f>
        <v/>
      </c>
      <c r="O13" s="18">
        <f>IFERROR(VLOOKUP($A13,subQ,MATCH(O$1,SUBQH,0),0),"")</f>
        <v/>
      </c>
      <c r="P13" s="18">
        <f>IFERROR(VLOOKUP($A13,subQ,MATCH(P$1,SUBQH,0),0),"")</f>
        <v/>
      </c>
      <c r="Q13" s="18">
        <f>IFERROR(VLOOKUP($A13,subQ,MATCH(Q$1,SUBQH,0),0),"")</f>
        <v/>
      </c>
      <c r="R13" s="18">
        <f>IFERROR(VLOOKUP($A13,subQ,MATCH(R$1,SUBQH,0),0),"")</f>
        <v/>
      </c>
      <c r="S13" s="18">
        <f>IFERROR(VLOOKUP($A13,subQ,MATCH(S$1,SUBQH,0),0),"")</f>
        <v/>
      </c>
      <c r="T13" s="18">
        <f>IFERROR(VLOOKUP($A13,subQ,MATCH(T$1,SUBQH,0),0),"")</f>
        <v/>
      </c>
      <c r="U13" s="18">
        <f>IFERROR(VLOOKUP($A13,subQ,MATCH(U$1,SUBQH,0),0),"")</f>
        <v/>
      </c>
      <c r="V13" s="18">
        <f>IFERROR(VLOOKUP($A13,subQ,MATCH(V$1,SUBQH,0),0),"")</f>
        <v/>
      </c>
      <c r="W13" s="47">
        <f>IFERROR(VLOOKUP($A13,subQ,MATCH(W$1,SUBQH,0),0),"")</f>
        <v/>
      </c>
      <c r="X13" s="20">
        <f>IFERROR(VLOOKUP($A13,subQ,MATCH(X$1,SUBQH,0),0),"")</f>
        <v/>
      </c>
      <c r="Y13" s="20">
        <f>IFERROR(VLOOKUP($A13,subQ,MATCH(Y$1,SUBQH,0),0),"")</f>
        <v/>
      </c>
      <c r="Z13" s="20">
        <f>IFERROR(VLOOKUP($A13,subQ,MATCH(Z$1,SUBQH,0),0),"")</f>
        <v/>
      </c>
      <c r="AA13" s="20">
        <f>IFERROR(VLOOKUP($A13,subQ,MATCH(AA$1,SUBQH,0),0),"")</f>
        <v/>
      </c>
      <c r="AB13" s="20">
        <f>IFERROR(VLOOKUP($A13,subQ,MATCH(AB$1,SUBQH,0),0),"")</f>
        <v/>
      </c>
      <c r="AC13" s="20">
        <f>IFERROR(VLOOKUP($A13,subQ,MATCH(AC$1,SUBQH,0),0),"")</f>
        <v/>
      </c>
      <c r="AD13" s="20">
        <f>IFERROR(VLOOKUP($A13,subQ,MATCH(AD$1,SUBQH,0),0),"")</f>
        <v/>
      </c>
      <c r="AE13" s="20">
        <f>IFERROR(VLOOKUP($A13,subQ,MATCH(AE$1,SUBQH,0),0),"")</f>
        <v/>
      </c>
      <c r="AF13" s="20">
        <f>IFERROR(VLOOKUP($A13,subQ,MATCH(AF$1,SUBQH,0),0),"")</f>
        <v/>
      </c>
      <c r="AG13" s="20">
        <f>IFERROR(VLOOKUP($A13,subQ,MATCH(AG$1,SUBQH,0),0),"")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18">
        <f>IFERROR(VLOOKUP($A14,subQ,MATCH(I$1,SUBQH,0),0),"")</f>
        <v/>
      </c>
      <c r="J14" s="18">
        <f>IFERROR(VLOOKUP($A14,subQ,MATCH(J$1,SUBQH,0),0),"")</f>
        <v/>
      </c>
      <c r="K14" s="18">
        <f>IFERROR(VLOOKUP($A14,subQ,MATCH(K$1,SUBQH,0),0),"")</f>
        <v/>
      </c>
      <c r="L14" s="18">
        <f>IFERROR(VLOOKUP($A14,subQ,MATCH(L$1,SUBQH,0),0),"")</f>
        <v/>
      </c>
      <c r="M14" s="18">
        <f>IFERROR(VLOOKUP($A14,subQ,MATCH(M$1,SUBQH,0),0),"")</f>
        <v/>
      </c>
      <c r="N14" s="18">
        <f>IFERROR(VLOOKUP($A14,subQ,MATCH(N$1,SUBQH,0),0),"")</f>
        <v/>
      </c>
      <c r="O14" s="18">
        <f>IFERROR(VLOOKUP($A14,subQ,MATCH(O$1,SUBQH,0),0),"")</f>
        <v/>
      </c>
      <c r="P14" s="18">
        <f>IFERROR(VLOOKUP($A14,subQ,MATCH(P$1,SUBQH,0),0),"")</f>
        <v/>
      </c>
      <c r="Q14" s="18">
        <f>IFERROR(VLOOKUP($A14,subQ,MATCH(Q$1,SUBQH,0),0),"")</f>
        <v/>
      </c>
      <c r="R14" s="18">
        <f>IFERROR(VLOOKUP($A14,subQ,MATCH(R$1,SUBQH,0),0),"")</f>
        <v/>
      </c>
      <c r="S14" s="18">
        <f>IFERROR(VLOOKUP($A14,subQ,MATCH(S$1,SUBQH,0),0),"")</f>
        <v/>
      </c>
      <c r="T14" s="18">
        <f>IFERROR(VLOOKUP($A14,subQ,MATCH(T$1,SUBQH,0),0),"")</f>
        <v/>
      </c>
      <c r="U14" s="18">
        <f>IFERROR(VLOOKUP($A14,subQ,MATCH(U$1,SUBQH,0),0),"")</f>
        <v/>
      </c>
      <c r="V14" s="18">
        <f>IFERROR(VLOOKUP($A14,subQ,MATCH(V$1,SUBQH,0),0),"")</f>
        <v/>
      </c>
      <c r="W14" s="47">
        <f>IFERROR(VLOOKUP($A14,subQ,MATCH(W$1,SUBQH,0),0),"")</f>
        <v/>
      </c>
      <c r="X14" s="20">
        <f>IFERROR(VLOOKUP($A14,subQ,MATCH(X$1,SUBQH,0),0),"")</f>
        <v/>
      </c>
      <c r="Y14" s="20">
        <f>IFERROR(VLOOKUP($A14,subQ,MATCH(Y$1,SUBQH,0),0),"")</f>
        <v/>
      </c>
      <c r="Z14" s="20">
        <f>IFERROR(VLOOKUP($A14,subQ,MATCH(Z$1,SUBQH,0),0),"")</f>
        <v/>
      </c>
      <c r="AA14" s="20">
        <f>IFERROR(VLOOKUP($A14,subQ,MATCH(AA$1,SUBQH,0),0),"")</f>
        <v/>
      </c>
      <c r="AB14" s="20">
        <f>IFERROR(VLOOKUP($A14,subQ,MATCH(AB$1,SUBQH,0),0),"")</f>
        <v/>
      </c>
      <c r="AC14" s="20">
        <f>IFERROR(VLOOKUP($A14,subQ,MATCH(AC$1,SUBQH,0),0),"")</f>
        <v/>
      </c>
      <c r="AD14" s="20">
        <f>IFERROR(VLOOKUP($A14,subQ,MATCH(AD$1,SUBQH,0),0),"")</f>
        <v/>
      </c>
      <c r="AE14" s="20">
        <f>IFERROR(VLOOKUP($A14,subQ,MATCH(AE$1,SUBQH,0),0),"")</f>
        <v/>
      </c>
      <c r="AF14" s="20">
        <f>IFERROR(VLOOKUP($A14,subQ,MATCH(AF$1,SUBQH,0),0),"")</f>
        <v/>
      </c>
      <c r="AG14" s="20">
        <f>IFERROR(VLOOKUP($A14,subQ,MATCH(AG$1,SUBQH,0),0),"")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18">
        <f>IFERROR(VLOOKUP($A15,subQ,MATCH(I$1,SUBQH,0),0),"")</f>
        <v/>
      </c>
      <c r="J15" s="18">
        <f>IFERROR(VLOOKUP($A15,subQ,MATCH(J$1,SUBQH,0),0),"")</f>
        <v/>
      </c>
      <c r="K15" s="18">
        <f>IFERROR(VLOOKUP($A15,subQ,MATCH(K$1,SUBQH,0),0),"")</f>
        <v/>
      </c>
      <c r="L15" s="18">
        <f>IFERROR(VLOOKUP($A15,subQ,MATCH(L$1,SUBQH,0),0),"")</f>
        <v/>
      </c>
      <c r="M15" s="18">
        <f>IFERROR(VLOOKUP($A15,subQ,MATCH(M$1,SUBQH,0),0),"")</f>
        <v/>
      </c>
      <c r="N15" s="18">
        <f>IFERROR(VLOOKUP($A15,subQ,MATCH(N$1,SUBQH,0),0),"")</f>
        <v/>
      </c>
      <c r="O15" s="18">
        <f>IFERROR(VLOOKUP($A15,subQ,MATCH(O$1,SUBQH,0),0),"")</f>
        <v/>
      </c>
      <c r="P15" s="18">
        <f>IFERROR(VLOOKUP($A15,subQ,MATCH(P$1,SUBQH,0),0),"")</f>
        <v/>
      </c>
      <c r="Q15" s="18">
        <f>IFERROR(VLOOKUP($A15,subQ,MATCH(Q$1,SUBQH,0),0),"")</f>
        <v/>
      </c>
      <c r="R15" s="18">
        <f>IFERROR(VLOOKUP($A15,subQ,MATCH(R$1,SUBQH,0),0),"")</f>
        <v/>
      </c>
      <c r="S15" s="18">
        <f>IFERROR(VLOOKUP($A15,subQ,MATCH(S$1,SUBQH,0),0),"")</f>
        <v/>
      </c>
      <c r="T15" s="18">
        <f>IFERROR(VLOOKUP($A15,subQ,MATCH(T$1,SUBQH,0),0),"")</f>
        <v/>
      </c>
      <c r="U15" s="18">
        <f>IFERROR(VLOOKUP($A15,subQ,MATCH(U$1,SUBQH,0),0),"")</f>
        <v/>
      </c>
      <c r="V15" s="18">
        <f>IFERROR(VLOOKUP($A15,subQ,MATCH(V$1,SUBQH,0),0),"")</f>
        <v/>
      </c>
      <c r="W15" s="47">
        <f>IFERROR(VLOOKUP($A15,subQ,MATCH(W$1,SUBQH,0),0),"")</f>
        <v/>
      </c>
      <c r="X15" s="20">
        <f>IFERROR(VLOOKUP($A15,subQ,MATCH(X$1,SUBQH,0),0),"")</f>
        <v/>
      </c>
      <c r="Y15" s="20">
        <f>IFERROR(VLOOKUP($A15,subQ,MATCH(Y$1,SUBQH,0),0),"")</f>
        <v/>
      </c>
      <c r="Z15" s="20">
        <f>IFERROR(VLOOKUP($A15,subQ,MATCH(Z$1,SUBQH,0),0),"")</f>
        <v/>
      </c>
      <c r="AA15" s="20">
        <f>IFERROR(VLOOKUP($A15,subQ,MATCH(AA$1,SUBQH,0),0),"")</f>
        <v/>
      </c>
      <c r="AB15" s="20">
        <f>IFERROR(VLOOKUP($A15,subQ,MATCH(AB$1,SUBQH,0),0),"")</f>
        <v/>
      </c>
      <c r="AC15" s="20">
        <f>IFERROR(VLOOKUP($A15,subQ,MATCH(AC$1,SUBQH,0),0),"")</f>
        <v/>
      </c>
      <c r="AD15" s="20">
        <f>IFERROR(VLOOKUP($A15,subQ,MATCH(AD$1,SUBQH,0),0),"")</f>
        <v/>
      </c>
      <c r="AE15" s="20">
        <f>IFERROR(VLOOKUP($A15,subQ,MATCH(AE$1,SUBQH,0),0),"")</f>
        <v/>
      </c>
      <c r="AF15" s="20">
        <f>IFERROR(VLOOKUP($A15,subQ,MATCH(AF$1,SUBQH,0),0),"")</f>
        <v/>
      </c>
      <c r="AG15" s="20">
        <f>IFERROR(VLOOKUP($A15,subQ,MATCH(AG$1,SUBQH,0),0),"")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18">
        <f>IFERROR(VLOOKUP($A16,subQ,MATCH(I$1,SUBQH,0),0),"")</f>
        <v/>
      </c>
      <c r="J16" s="18">
        <f>IFERROR(VLOOKUP($A16,subQ,MATCH(J$1,SUBQH,0),0),"")</f>
        <v/>
      </c>
      <c r="K16" s="18">
        <f>IFERROR(VLOOKUP($A16,subQ,MATCH(K$1,SUBQH,0),0),"")</f>
        <v/>
      </c>
      <c r="L16" s="18">
        <f>IFERROR(VLOOKUP($A16,subQ,MATCH(L$1,SUBQH,0),0),"")</f>
        <v/>
      </c>
      <c r="M16" s="18">
        <f>IFERROR(VLOOKUP($A16,subQ,MATCH(M$1,SUBQH,0),0),"")</f>
        <v/>
      </c>
      <c r="N16" s="18">
        <f>IFERROR(VLOOKUP($A16,subQ,MATCH(N$1,SUBQH,0),0),"")</f>
        <v/>
      </c>
      <c r="O16" s="18">
        <f>IFERROR(VLOOKUP($A16,subQ,MATCH(O$1,SUBQH,0),0),"")</f>
        <v/>
      </c>
      <c r="P16" s="18">
        <f>IFERROR(VLOOKUP($A16,subQ,MATCH(P$1,SUBQH,0),0),"")</f>
        <v/>
      </c>
      <c r="Q16" s="18">
        <f>IFERROR(VLOOKUP($A16,subQ,MATCH(Q$1,SUBQH,0),0),"")</f>
        <v/>
      </c>
      <c r="R16" s="18">
        <f>IFERROR(VLOOKUP($A16,subQ,MATCH(R$1,SUBQH,0),0),"")</f>
        <v/>
      </c>
      <c r="S16" s="18">
        <f>IFERROR(VLOOKUP($A16,subQ,MATCH(S$1,SUBQH,0),0),"")</f>
        <v/>
      </c>
      <c r="T16" s="18">
        <f>IFERROR(VLOOKUP($A16,subQ,MATCH(T$1,SUBQH,0),0),"")</f>
        <v/>
      </c>
      <c r="U16" s="18">
        <f>IFERROR(VLOOKUP($A16,subQ,MATCH(U$1,SUBQH,0),0),"")</f>
        <v/>
      </c>
      <c r="V16" s="18">
        <f>IFERROR(VLOOKUP($A16,subQ,MATCH(V$1,SUBQH,0),0),"")</f>
        <v/>
      </c>
      <c r="W16" s="47">
        <f>IFERROR(VLOOKUP($A16,subQ,MATCH(W$1,SUBQH,0),0),"")</f>
        <v/>
      </c>
      <c r="X16" s="20">
        <f>IFERROR(VLOOKUP($A16,subQ,MATCH(X$1,SUBQH,0),0),"")</f>
        <v/>
      </c>
      <c r="Y16" s="20">
        <f>IFERROR(VLOOKUP($A16,subQ,MATCH(Y$1,SUBQH,0),0),"")</f>
        <v/>
      </c>
      <c r="Z16" s="20">
        <f>IFERROR(VLOOKUP($A16,subQ,MATCH(Z$1,SUBQH,0),0),"")</f>
        <v/>
      </c>
      <c r="AA16" s="20">
        <f>IFERROR(VLOOKUP($A16,subQ,MATCH(AA$1,SUBQH,0),0),"")</f>
        <v/>
      </c>
      <c r="AB16" s="20">
        <f>IFERROR(VLOOKUP($A16,subQ,MATCH(AB$1,SUBQH,0),0),"")</f>
        <v/>
      </c>
      <c r="AC16" s="20">
        <f>IFERROR(VLOOKUP($A16,subQ,MATCH(AC$1,SUBQH,0),0),"")</f>
        <v/>
      </c>
      <c r="AD16" s="20">
        <f>IFERROR(VLOOKUP($A16,subQ,MATCH(AD$1,SUBQH,0),0),"")</f>
        <v/>
      </c>
      <c r="AE16" s="20">
        <f>IFERROR(VLOOKUP($A16,subQ,MATCH(AE$1,SUBQH,0),0),"")</f>
        <v/>
      </c>
      <c r="AF16" s="20">
        <f>IFERROR(VLOOKUP($A16,subQ,MATCH(AF$1,SUBQH,0),0),"")</f>
        <v/>
      </c>
      <c r="AG16" s="20">
        <f>IFERROR(VLOOKUP($A16,subQ,MATCH(AG$1,SUBQH,0),0),"")</f>
        <v/>
      </c>
    </row>
    <row r="17">
      <c r="A17" s="12" t="inlineStr">
        <is>
          <t>지분법손익</t>
        </is>
      </c>
      <c r="D17" t="inlineStr">
        <is>
          <t>지분법손익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18">
        <f>IFERROR(VLOOKUP($A17,subQ,MATCH(I$1,SUBQH,0),0),"")</f>
        <v/>
      </c>
      <c r="J17" s="18">
        <f>IFERROR(VLOOKUP($A17,subQ,MATCH(J$1,SUBQH,0),0),"")</f>
        <v/>
      </c>
      <c r="K17" s="18">
        <f>IFERROR(VLOOKUP($A17,subQ,MATCH(K$1,SUBQH,0),0),"")</f>
        <v/>
      </c>
      <c r="L17" s="18">
        <f>IFERROR(VLOOKUP($A17,subQ,MATCH(L$1,SUBQH,0),0),"")</f>
        <v/>
      </c>
      <c r="M17" s="18">
        <f>IFERROR(VLOOKUP($A17,subQ,MATCH(M$1,SUBQH,0),0),"")</f>
        <v/>
      </c>
      <c r="N17" s="18">
        <f>IFERROR(VLOOKUP($A17,subQ,MATCH(N$1,SUBQH,0),0),"")</f>
        <v/>
      </c>
      <c r="O17" s="18">
        <f>IFERROR(VLOOKUP($A17,subQ,MATCH(O$1,SUBQH,0),0),"")</f>
        <v/>
      </c>
      <c r="P17" s="18">
        <f>IFERROR(VLOOKUP($A17,subQ,MATCH(P$1,SUBQH,0),0),"")</f>
        <v/>
      </c>
      <c r="Q17" s="18">
        <f>IFERROR(VLOOKUP($A17,subQ,MATCH(Q$1,SUBQH,0),0),"")</f>
        <v/>
      </c>
      <c r="R17" s="18">
        <f>IFERROR(VLOOKUP($A17,subQ,MATCH(R$1,SUBQH,0),0),"")</f>
        <v/>
      </c>
      <c r="S17" s="18">
        <f>IFERROR(VLOOKUP($A17,subQ,MATCH(S$1,SUBQH,0),0),"")</f>
        <v/>
      </c>
      <c r="T17" s="18">
        <f>IFERROR(VLOOKUP($A17,subQ,MATCH(T$1,SUBQH,0),0),"")</f>
        <v/>
      </c>
      <c r="U17" s="18">
        <f>IFERROR(VLOOKUP($A17,subQ,MATCH(U$1,SUBQH,0),0),"")</f>
        <v/>
      </c>
      <c r="V17" s="18">
        <f>IFERROR(VLOOKUP($A17,subQ,MATCH(V$1,SUBQH,0),0),"")</f>
        <v/>
      </c>
      <c r="W17" s="47">
        <f>IFERROR(VLOOKUP($A17,subQ,MATCH(W$1,SUBQH,0),0),"")</f>
        <v/>
      </c>
      <c r="X17" s="20">
        <f>IFERROR(VLOOKUP($A17,subQ,MATCH(X$1,SUBQH,0),0),"")</f>
        <v/>
      </c>
      <c r="Y17" s="20">
        <f>IFERROR(VLOOKUP($A17,subQ,MATCH(Y$1,SUBQH,0),0),"")</f>
        <v/>
      </c>
      <c r="Z17" s="20">
        <f>IFERROR(VLOOKUP($A17,subQ,MATCH(Z$1,SUBQH,0),0),"")</f>
        <v/>
      </c>
      <c r="AA17" s="20">
        <f>IFERROR(VLOOKUP($A17,subQ,MATCH(AA$1,SUBQH,0),0),"")</f>
        <v/>
      </c>
      <c r="AB17" s="20">
        <f>IFERROR(VLOOKUP($A17,subQ,MATCH(AB$1,SUBQH,0),0),"")</f>
        <v/>
      </c>
      <c r="AC17" s="20">
        <f>IFERROR(VLOOKUP($A17,subQ,MATCH(AC$1,SUBQH,0),0),"")</f>
        <v/>
      </c>
      <c r="AD17" s="20">
        <f>IFERROR(VLOOKUP($A17,subQ,MATCH(AD$1,SUBQH,0),0),"")</f>
        <v/>
      </c>
      <c r="AE17" s="20">
        <f>IFERROR(VLOOKUP($A17,subQ,MATCH(AE$1,SUBQH,0),0),"")</f>
        <v/>
      </c>
      <c r="AF17" s="20">
        <f>IFERROR(VLOOKUP($A17,subQ,MATCH(AF$1,SUBQH,0),0),"")</f>
        <v/>
      </c>
      <c r="AG17" s="20">
        <f>IFERROR(VLOOKUP($A17,subQ,MATCH(AG$1,SUBQH,0),0),"")</f>
        <v/>
      </c>
    </row>
    <row r="18">
      <c r="A18" s="12" t="inlineStr">
        <is>
          <t>세전이익</t>
        </is>
      </c>
      <c r="D18" t="inlineStr">
        <is>
          <t>법인세비용차감전이익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18">
        <f>IFERROR(VLOOKUP($A18,subQ,MATCH(I$1,SUBQH,0),0),"")</f>
        <v/>
      </c>
      <c r="J18" s="18">
        <f>IFERROR(VLOOKUP($A18,subQ,MATCH(J$1,SUBQH,0),0),"")</f>
        <v/>
      </c>
      <c r="K18" s="18">
        <f>IFERROR(VLOOKUP($A18,subQ,MATCH(K$1,SUBQH,0),0),"")</f>
        <v/>
      </c>
      <c r="L18" s="18">
        <f>IFERROR(VLOOKUP($A18,subQ,MATCH(L$1,SUBQH,0),0),"")</f>
        <v/>
      </c>
      <c r="M18" s="18">
        <f>IFERROR(VLOOKUP($A18,subQ,MATCH(M$1,SUBQH,0),0),"")</f>
        <v/>
      </c>
      <c r="N18" s="18">
        <f>IFERROR(VLOOKUP($A18,subQ,MATCH(N$1,SUBQH,0),0),"")</f>
        <v/>
      </c>
      <c r="O18" s="18">
        <f>IFERROR(VLOOKUP($A18,subQ,MATCH(O$1,SUBQH,0),0),"")</f>
        <v/>
      </c>
      <c r="P18" s="18">
        <f>IFERROR(VLOOKUP($A18,subQ,MATCH(P$1,SUBQH,0),0),"")</f>
        <v/>
      </c>
      <c r="Q18" s="18">
        <f>IFERROR(VLOOKUP($A18,subQ,MATCH(Q$1,SUBQH,0),0),"")</f>
        <v/>
      </c>
      <c r="R18" s="18">
        <f>IFERROR(VLOOKUP($A18,subQ,MATCH(R$1,SUBQH,0),0),"")</f>
        <v/>
      </c>
      <c r="S18" s="18">
        <f>IFERROR(VLOOKUP($A18,subQ,MATCH(S$1,SUBQH,0),0),"")</f>
        <v/>
      </c>
      <c r="T18" s="18">
        <f>IFERROR(VLOOKUP($A18,subQ,MATCH(T$1,SUBQH,0),0),"")</f>
        <v/>
      </c>
      <c r="U18" s="18">
        <f>IFERROR(VLOOKUP($A18,subQ,MATCH(U$1,SUBQH,0),0),"")</f>
        <v/>
      </c>
      <c r="V18" s="18">
        <f>IFERROR(VLOOKUP($A18,subQ,MATCH(V$1,SUBQH,0),0),"")</f>
        <v/>
      </c>
      <c r="W18" s="47">
        <f>IFERROR(VLOOKUP($A18,subQ,MATCH(W$1,SUBQH,0),0),"")</f>
        <v/>
      </c>
      <c r="X18" s="20">
        <f>IFERROR(VLOOKUP($A18,subQ,MATCH(X$1,SUBQH,0),0),"")</f>
        <v/>
      </c>
      <c r="Y18" s="20">
        <f>IFERROR(VLOOKUP($A18,subQ,MATCH(Y$1,SUBQH,0),0),"")</f>
        <v/>
      </c>
      <c r="Z18" s="20">
        <f>IFERROR(VLOOKUP($A18,subQ,MATCH(Z$1,SUBQH,0),0),"")</f>
        <v/>
      </c>
      <c r="AA18" s="20">
        <f>IFERROR(VLOOKUP($A18,subQ,MATCH(AA$1,SUBQH,0),0),"")</f>
        <v/>
      </c>
      <c r="AB18" s="20">
        <f>IFERROR(VLOOKUP($A18,subQ,MATCH(AB$1,SUBQH,0),0),"")</f>
        <v/>
      </c>
      <c r="AC18" s="20">
        <f>IFERROR(VLOOKUP($A18,subQ,MATCH(AC$1,SUBQH,0),0),"")</f>
        <v/>
      </c>
      <c r="AD18" s="20">
        <f>IFERROR(VLOOKUP($A18,subQ,MATCH(AD$1,SUBQH,0),0),"")</f>
        <v/>
      </c>
      <c r="AE18" s="20">
        <f>IFERROR(VLOOKUP($A18,subQ,MATCH(AE$1,SUBQH,0),0),"")</f>
        <v/>
      </c>
      <c r="AF18" s="20">
        <f>IFERROR(VLOOKUP($A18,subQ,MATCH(AF$1,SUBQH,0),0),"")</f>
        <v/>
      </c>
      <c r="AG18" s="20">
        <f>IFERROR(VLOOKUP($A18,subQ,MATCH(AG$1,SUBQH,0),0),"")</f>
        <v/>
      </c>
    </row>
    <row r="19">
      <c r="A19" s="12" t="inlineStr">
        <is>
          <t>법인세비용</t>
        </is>
      </c>
      <c r="D19" t="inlineStr">
        <is>
          <t>법인세비용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18">
        <f>IFERROR(VLOOKUP($A19,subQ,MATCH(I$1,SUBQH,0),0),"")</f>
        <v/>
      </c>
      <c r="J19" s="18">
        <f>IFERROR(VLOOKUP($A19,subQ,MATCH(J$1,SUBQH,0),0),"")</f>
        <v/>
      </c>
      <c r="K19" s="18">
        <f>IFERROR(VLOOKUP($A19,subQ,MATCH(K$1,SUBQH,0),0),"")</f>
        <v/>
      </c>
      <c r="L19" s="18">
        <f>IFERROR(VLOOKUP($A19,subQ,MATCH(L$1,SUBQH,0),0),"")</f>
        <v/>
      </c>
      <c r="M19" s="18">
        <f>IFERROR(VLOOKUP($A19,subQ,MATCH(M$1,SUBQH,0),0),"")</f>
        <v/>
      </c>
      <c r="N19" s="18">
        <f>IFERROR(VLOOKUP($A19,subQ,MATCH(N$1,SUBQH,0),0),"")</f>
        <v/>
      </c>
      <c r="O19" s="18">
        <f>IFERROR(VLOOKUP($A19,subQ,MATCH(O$1,SUBQH,0),0),"")</f>
        <v/>
      </c>
      <c r="P19" s="18">
        <f>IFERROR(VLOOKUP($A19,subQ,MATCH(P$1,SUBQH,0),0),"")</f>
        <v/>
      </c>
      <c r="Q19" s="18">
        <f>IFERROR(VLOOKUP($A19,subQ,MATCH(Q$1,SUBQH,0),0),"")</f>
        <v/>
      </c>
      <c r="R19" s="18">
        <f>IFERROR(VLOOKUP($A19,subQ,MATCH(R$1,SUBQH,0),0),"")</f>
        <v/>
      </c>
      <c r="S19" s="18">
        <f>IFERROR(VLOOKUP($A19,subQ,MATCH(S$1,SUBQH,0),0),"")</f>
        <v/>
      </c>
      <c r="T19" s="18">
        <f>IFERROR(VLOOKUP($A19,subQ,MATCH(T$1,SUBQH,0),0),"")</f>
        <v/>
      </c>
      <c r="U19" s="18">
        <f>IFERROR(VLOOKUP($A19,subQ,MATCH(U$1,SUBQH,0),0),"")</f>
        <v/>
      </c>
      <c r="V19" s="18">
        <f>IFERROR(VLOOKUP($A19,subQ,MATCH(V$1,SUBQH,0),0),"")</f>
        <v/>
      </c>
      <c r="W19" s="47">
        <f>IFERROR(VLOOKUP($A19,subQ,MATCH(W$1,SUBQH,0),0),"")</f>
        <v/>
      </c>
      <c r="X19" s="20">
        <f>IFERROR(VLOOKUP($A19,subQ,MATCH(X$1,SUBQH,0),0),"")</f>
        <v/>
      </c>
      <c r="Y19" s="20">
        <f>IFERROR(VLOOKUP($A19,subQ,MATCH(Y$1,SUBQH,0),0),"")</f>
        <v/>
      </c>
      <c r="Z19" s="20">
        <f>IFERROR(VLOOKUP($A19,subQ,MATCH(Z$1,SUBQH,0),0),"")</f>
        <v/>
      </c>
      <c r="AA19" s="20">
        <f>IFERROR(VLOOKUP($A19,subQ,MATCH(AA$1,SUBQH,0),0),"")</f>
        <v/>
      </c>
      <c r="AB19" s="20">
        <f>IFERROR(VLOOKUP($A19,subQ,MATCH(AB$1,SUBQH,0),0),"")</f>
        <v/>
      </c>
      <c r="AC19" s="20">
        <f>IFERROR(VLOOKUP($A19,subQ,MATCH(AC$1,SUBQH,0),0),"")</f>
        <v/>
      </c>
      <c r="AD19" s="20">
        <f>IFERROR(VLOOKUP($A19,subQ,MATCH(AD$1,SUBQH,0),0),"")</f>
        <v/>
      </c>
      <c r="AE19" s="20">
        <f>IFERROR(VLOOKUP($A19,subQ,MATCH(AE$1,SUBQH,0),0),"")</f>
        <v/>
      </c>
      <c r="AF19" s="20">
        <f>IFERROR(VLOOKUP($A19,subQ,MATCH(AF$1,SUBQH,0),0),"")</f>
        <v/>
      </c>
      <c r="AG19" s="20">
        <f>IFERROR(VLOOKUP($A19,subQ,MATCH(AG$1,SUBQH,0),0),"")</f>
        <v/>
      </c>
    </row>
    <row r="20">
      <c r="A20" s="12" t="inlineStr">
        <is>
          <t>당기순이익</t>
        </is>
      </c>
      <c r="D20" t="inlineStr">
        <is>
          <t>당기순이익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18">
        <f>IFERROR(VLOOKUP($A20,subQ,MATCH(I$1,SUBQH,0),0),"")</f>
        <v/>
      </c>
      <c r="J20" s="18">
        <f>IFERROR(VLOOKUP($A20,subQ,MATCH(J$1,SUBQH,0),0),"")</f>
        <v/>
      </c>
      <c r="K20" s="18">
        <f>IFERROR(VLOOKUP($A20,subQ,MATCH(K$1,SUBQH,0),0),"")</f>
        <v/>
      </c>
      <c r="L20" s="18">
        <f>IFERROR(VLOOKUP($A20,subQ,MATCH(L$1,SUBQH,0),0),"")</f>
        <v/>
      </c>
      <c r="M20" s="18">
        <f>IFERROR(VLOOKUP($A20,subQ,MATCH(M$1,SUBQH,0),0),"")</f>
        <v/>
      </c>
      <c r="N20" s="18">
        <f>IFERROR(VLOOKUP($A20,subQ,MATCH(N$1,SUBQH,0),0),"")</f>
        <v/>
      </c>
      <c r="O20" s="18">
        <f>IFERROR(VLOOKUP($A20,subQ,MATCH(O$1,SUBQH,0),0),"")</f>
        <v/>
      </c>
      <c r="P20" s="18">
        <f>IFERROR(VLOOKUP($A20,subQ,MATCH(P$1,SUBQH,0),0),"")</f>
        <v/>
      </c>
      <c r="Q20" s="18">
        <f>IFERROR(VLOOKUP($A20,subQ,MATCH(Q$1,SUBQH,0),0),"")</f>
        <v/>
      </c>
      <c r="R20" s="18">
        <f>IFERROR(VLOOKUP($A20,subQ,MATCH(R$1,SUBQH,0),0),"")</f>
        <v/>
      </c>
      <c r="S20" s="18">
        <f>IFERROR(VLOOKUP($A20,subQ,MATCH(S$1,SUBQH,0),0),"")</f>
        <v/>
      </c>
      <c r="T20" s="18">
        <f>IFERROR(VLOOKUP($A20,subQ,MATCH(T$1,SUBQH,0),0),"")</f>
        <v/>
      </c>
      <c r="U20" s="18">
        <f>IFERROR(VLOOKUP($A20,subQ,MATCH(U$1,SUBQH,0),0),"")</f>
        <v/>
      </c>
      <c r="V20" s="18">
        <f>IFERROR(VLOOKUP($A20,subQ,MATCH(V$1,SUBQH,0),0),"")</f>
        <v/>
      </c>
      <c r="W20" s="47">
        <f>IFERROR(VLOOKUP($A20,subQ,MATCH(W$1,SUBQH,0),0),"")</f>
        <v/>
      </c>
      <c r="X20" s="20">
        <f>IFERROR(VLOOKUP($A20,subQ,MATCH(X$1,SUBQH,0),0),"")</f>
        <v/>
      </c>
      <c r="Y20" s="20">
        <f>IFERROR(VLOOKUP($A20,subQ,MATCH(Y$1,SUBQH,0),0),"")</f>
        <v/>
      </c>
      <c r="Z20" s="20">
        <f>IFERROR(VLOOKUP($A20,subQ,MATCH(Z$1,SUBQH,0),0),"")</f>
        <v/>
      </c>
      <c r="AA20" s="20">
        <f>IFERROR(VLOOKUP($A20,subQ,MATCH(AA$1,SUBQH,0),0),"")</f>
        <v/>
      </c>
      <c r="AB20" s="20">
        <f>IFERROR(VLOOKUP($A20,subQ,MATCH(AB$1,SUBQH,0),0),"")</f>
        <v/>
      </c>
      <c r="AC20" s="20">
        <f>IFERROR(VLOOKUP($A20,subQ,MATCH(AC$1,SUBQH,0),0),"")</f>
        <v/>
      </c>
      <c r="AD20" s="20">
        <f>IFERROR(VLOOKUP($A20,subQ,MATCH(AD$1,SUBQH,0),0),"")</f>
        <v/>
      </c>
      <c r="AE20" s="20">
        <f>IFERROR(VLOOKUP($A20,subQ,MATCH(AE$1,SUBQH,0),0),"")</f>
        <v/>
      </c>
      <c r="AF20" s="20">
        <f>IFERROR(VLOOKUP($A20,subQ,MATCH(AF$1,SUBQH,0),0),"")</f>
        <v/>
      </c>
      <c r="AG20" s="20">
        <f>IFERROR(VLOOKUP($A20,subQ,MATCH(AG$1,SUBQH,0),0),"")</f>
        <v/>
      </c>
    </row>
    <row r="21">
      <c r="A21" s="12" t="inlineStr">
        <is>
          <t>지배주주순이익</t>
        </is>
      </c>
      <c r="D21" t="inlineStr">
        <is>
          <t>지배주주순이익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18">
        <f>IFERROR(VLOOKUP($A21,subQ,MATCH(I$1,SUBQH,0),0),"")</f>
        <v/>
      </c>
      <c r="J21" s="18">
        <f>IFERROR(VLOOKUP($A21,subQ,MATCH(J$1,SUBQH,0),0),"")</f>
        <v/>
      </c>
      <c r="K21" s="18">
        <f>IFERROR(VLOOKUP($A21,subQ,MATCH(K$1,SUBQH,0),0),"")</f>
        <v/>
      </c>
      <c r="L21" s="18">
        <f>IFERROR(VLOOKUP($A21,subQ,MATCH(L$1,SUBQH,0),0),"")</f>
        <v/>
      </c>
      <c r="M21" s="18">
        <f>IFERROR(VLOOKUP($A21,subQ,MATCH(M$1,SUBQH,0),0),"")</f>
        <v/>
      </c>
      <c r="N21" s="18">
        <f>IFERROR(VLOOKUP($A21,subQ,MATCH(N$1,SUBQH,0),0),"")</f>
        <v/>
      </c>
      <c r="O21" s="18">
        <f>IFERROR(VLOOKUP($A21,subQ,MATCH(O$1,SUBQH,0),0),"")</f>
        <v/>
      </c>
      <c r="P21" s="18">
        <f>IFERROR(VLOOKUP($A21,subQ,MATCH(P$1,SUBQH,0),0),"")</f>
        <v/>
      </c>
      <c r="Q21" s="18">
        <f>IFERROR(VLOOKUP($A21,subQ,MATCH(Q$1,SUBQH,0),0),"")</f>
        <v/>
      </c>
      <c r="R21" s="18">
        <f>IFERROR(VLOOKUP($A21,subQ,MATCH(R$1,SUBQH,0),0),"")</f>
        <v/>
      </c>
      <c r="S21" s="18">
        <f>IFERROR(VLOOKUP($A21,subQ,MATCH(S$1,SUBQH,0),0),"")</f>
        <v/>
      </c>
      <c r="T21" s="18">
        <f>IFERROR(VLOOKUP($A21,subQ,MATCH(T$1,SUBQH,0),0),"")</f>
        <v/>
      </c>
      <c r="U21" s="18">
        <f>IFERROR(VLOOKUP($A21,subQ,MATCH(U$1,SUBQH,0),0),"")</f>
        <v/>
      </c>
      <c r="V21" s="18">
        <f>IFERROR(VLOOKUP($A21,subQ,MATCH(V$1,SUBQH,0),0),"")</f>
        <v/>
      </c>
      <c r="W21" s="47">
        <f>IFERROR(VLOOKUP($A21,subQ,MATCH(W$1,SUBQH,0),0),"")</f>
        <v/>
      </c>
      <c r="X21" s="20">
        <f>IFERROR(VLOOKUP($A21,subQ,MATCH(X$1,SUBQH,0),0),"")</f>
        <v/>
      </c>
      <c r="Y21" s="20">
        <f>IFERROR(VLOOKUP($A21,subQ,MATCH(Y$1,SUBQH,0),0),"")</f>
        <v/>
      </c>
      <c r="Z21" s="20">
        <f>IFERROR(VLOOKUP($A21,subQ,MATCH(Z$1,SUBQH,0),0),"")</f>
        <v/>
      </c>
      <c r="AA21" s="20">
        <f>IFERROR(VLOOKUP($A21,subQ,MATCH(AA$1,SUBQH,0),0),"")</f>
        <v/>
      </c>
      <c r="AB21" s="20">
        <f>IFERROR(VLOOKUP($A21,subQ,MATCH(AB$1,SUBQH,0),0),"")</f>
        <v/>
      </c>
      <c r="AC21" s="20">
        <f>IFERROR(VLOOKUP($A21,subQ,MATCH(AC$1,SUBQH,0),0),"")</f>
        <v/>
      </c>
      <c r="AD21" s="20">
        <f>IFERROR(VLOOKUP($A21,subQ,MATCH(AD$1,SUBQH,0),0),"")</f>
        <v/>
      </c>
      <c r="AE21" s="20">
        <f>IFERROR(VLOOKUP($A21,subQ,MATCH(AE$1,SUBQH,0),0),"")</f>
        <v/>
      </c>
      <c r="AF21" s="20">
        <f>IFERROR(VLOOKUP($A21,subQ,MATCH(AF$1,SUBQH,0),0),"")</f>
        <v/>
      </c>
      <c r="AG21" s="20">
        <f>IFERROR(VLOOKUP($A21,subQ,MATCH(AG$1,SUBQH,0),0),"")</f>
        <v/>
      </c>
    </row>
    <row r="22">
      <c r="A22" s="12" t="inlineStr">
        <is>
          <t>중단사업이익</t>
        </is>
      </c>
      <c r="D22" t="inlineStr">
        <is>
          <t>중단사업이익(실적만)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18">
        <f>IFERROR(VLOOKUP($A22,subQ,MATCH(I$1,SUBQH,0),0),"")</f>
        <v/>
      </c>
      <c r="J22" s="18">
        <f>IFERROR(VLOOKUP($A22,subQ,MATCH(J$1,SUBQH,0),0),"")</f>
        <v/>
      </c>
      <c r="K22" s="18">
        <f>IFERROR(VLOOKUP($A22,subQ,MATCH(K$1,SUBQH,0),0),"")</f>
        <v/>
      </c>
      <c r="L22" s="18">
        <f>IFERROR(VLOOKUP($A22,subQ,MATCH(L$1,SUBQH,0),0),"")</f>
        <v/>
      </c>
      <c r="M22" s="18">
        <f>IFERROR(VLOOKUP($A22,subQ,MATCH(M$1,SUBQH,0),0),"")</f>
        <v/>
      </c>
      <c r="N22" s="18">
        <f>IFERROR(VLOOKUP($A22,subQ,MATCH(N$1,SUBQH,0),0),"")</f>
        <v/>
      </c>
      <c r="O22" s="18">
        <f>IFERROR(VLOOKUP($A22,subQ,MATCH(O$1,SUBQH,0),0),"")</f>
        <v/>
      </c>
      <c r="P22" s="18">
        <f>IFERROR(VLOOKUP($A22,subQ,MATCH(P$1,SUBQH,0),0),"")</f>
        <v/>
      </c>
      <c r="Q22" s="18">
        <f>IFERROR(VLOOKUP($A22,subQ,MATCH(Q$1,SUBQH,0),0),"")</f>
        <v/>
      </c>
      <c r="R22" s="18">
        <f>IFERROR(VLOOKUP($A22,subQ,MATCH(R$1,SUBQH,0),0),"")</f>
        <v/>
      </c>
      <c r="S22" s="18">
        <f>IFERROR(VLOOKUP($A22,subQ,MATCH(S$1,SUBQH,0),0),"")</f>
        <v/>
      </c>
      <c r="T22" s="18">
        <f>IFERROR(VLOOKUP($A22,subQ,MATCH(T$1,SUBQH,0),0),"")</f>
        <v/>
      </c>
      <c r="U22" s="18">
        <f>IFERROR(VLOOKUP($A22,subQ,MATCH(U$1,SUBQH,0),0),"")</f>
        <v/>
      </c>
      <c r="V22" s="18">
        <f>IFERROR(VLOOKUP($A22,subQ,MATCH(V$1,SUBQH,0),0),"")</f>
        <v/>
      </c>
      <c r="W22" s="47">
        <f>IFERROR(VLOOKUP($A22,subQ,MATCH(W$1,SUBQH,0),0),"")</f>
        <v/>
      </c>
      <c r="X22" s="20">
        <f>IFERROR(VLOOKUP($A22,subQ,MATCH(X$1,SUBQH,0),0),"")</f>
        <v/>
      </c>
      <c r="Y22" s="20">
        <f>IFERROR(VLOOKUP($A22,subQ,MATCH(Y$1,SUBQH,0),0),"")</f>
        <v/>
      </c>
      <c r="Z22" s="20">
        <f>IFERROR(VLOOKUP($A22,subQ,MATCH(Z$1,SUBQH,0),0),"")</f>
        <v/>
      </c>
      <c r="AA22" s="20">
        <f>IFERROR(VLOOKUP($A22,subQ,MATCH(AA$1,SUBQH,0),0),"")</f>
        <v/>
      </c>
      <c r="AB22" s="20">
        <f>IFERROR(VLOOKUP($A22,subQ,MATCH(AB$1,SUBQH,0),0),"")</f>
        <v/>
      </c>
      <c r="AC22" s="20">
        <f>IFERROR(VLOOKUP($A22,subQ,MATCH(AC$1,SUBQH,0),0),"")</f>
        <v/>
      </c>
      <c r="AD22" s="20">
        <f>IFERROR(VLOOKUP($A22,subQ,MATCH(AD$1,SUBQH,0),0),"")</f>
        <v/>
      </c>
      <c r="AE22" s="20">
        <f>IFERROR(VLOOKUP($A22,subQ,MATCH(AE$1,SUBQH,0),0),"")</f>
        <v/>
      </c>
      <c r="AF22" s="20">
        <f>IFERROR(VLOOKUP($A22,subQ,MATCH(AF$1,SUBQH,0),0),"")</f>
        <v/>
      </c>
      <c r="AG22" s="20">
        <f>IFERROR(VLOOKUP($A22,subQ,MATCH(AG$1,SUBQH,0),0),"")</f>
        <v/>
      </c>
    </row>
    <row r="23">
      <c r="A23" s="12" t="inlineStr">
        <is>
          <t>자산총계</t>
        </is>
      </c>
      <c r="D23" t="inlineStr">
        <is>
          <t>자산총계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18">
        <f>IFERROR(VLOOKUP($A23,subQ,MATCH(I$1,SUBQH,0),0),"")</f>
        <v/>
      </c>
      <c r="J23" s="18">
        <f>IFERROR(VLOOKUP($A23,subQ,MATCH(J$1,SUBQH,0),0),"")</f>
        <v/>
      </c>
      <c r="K23" s="18">
        <f>IFERROR(VLOOKUP($A23,subQ,MATCH(K$1,SUBQH,0),0),"")</f>
        <v/>
      </c>
      <c r="L23" s="18">
        <f>IFERROR(VLOOKUP($A23,subQ,MATCH(L$1,SUBQH,0),0),"")</f>
        <v/>
      </c>
      <c r="M23" s="18">
        <f>IFERROR(VLOOKUP($A23,subQ,MATCH(M$1,SUBQH,0),0),"")</f>
        <v/>
      </c>
      <c r="N23" s="18">
        <f>IFERROR(VLOOKUP($A23,subQ,MATCH(N$1,SUBQH,0),0),"")</f>
        <v/>
      </c>
      <c r="O23" s="18">
        <f>IFERROR(VLOOKUP($A23,subQ,MATCH(O$1,SUBQH,0),0),"")</f>
        <v/>
      </c>
      <c r="P23" s="18">
        <f>IFERROR(VLOOKUP($A23,subQ,MATCH(P$1,SUBQH,0),0),"")</f>
        <v/>
      </c>
      <c r="Q23" s="18">
        <f>IFERROR(VLOOKUP($A23,subQ,MATCH(Q$1,SUBQH,0),0),"")</f>
        <v/>
      </c>
      <c r="R23" s="18">
        <f>IFERROR(VLOOKUP($A23,subQ,MATCH(R$1,SUBQH,0),0),"")</f>
        <v/>
      </c>
      <c r="S23" s="18">
        <f>IFERROR(VLOOKUP($A23,subQ,MATCH(S$1,SUBQH,0),0),"")</f>
        <v/>
      </c>
      <c r="T23" s="18">
        <f>IFERROR(VLOOKUP($A23,subQ,MATCH(T$1,SUBQH,0),0),"")</f>
        <v/>
      </c>
      <c r="U23" s="18">
        <f>IFERROR(VLOOKUP($A23,subQ,MATCH(U$1,SUBQH,0),0),"")</f>
        <v/>
      </c>
      <c r="V23" s="18">
        <f>IFERROR(VLOOKUP($A23,subQ,MATCH(V$1,SUBQH,0),0),"")</f>
        <v/>
      </c>
      <c r="W23" s="47">
        <f>IFERROR(VLOOKUP($A23,subQ,MATCH(W$1,SUBQH,0),0),"")</f>
        <v/>
      </c>
      <c r="X23" s="20">
        <f>IFERROR(VLOOKUP($A23,subQ,MATCH(X$1,SUBQH,0),0),"")</f>
        <v/>
      </c>
      <c r="Y23" s="20">
        <f>IFERROR(VLOOKUP($A23,subQ,MATCH(Y$1,SUBQH,0),0),"")</f>
        <v/>
      </c>
      <c r="Z23" s="20">
        <f>IFERROR(VLOOKUP($A23,subQ,MATCH(Z$1,SUBQH,0),0),"")</f>
        <v/>
      </c>
      <c r="AA23" s="20">
        <f>IFERROR(VLOOKUP($A23,subQ,MATCH(AA$1,SUBQH,0),0),"")</f>
        <v/>
      </c>
      <c r="AB23" s="20">
        <f>IFERROR(VLOOKUP($A23,subQ,MATCH(AB$1,SUBQH,0),0),"")</f>
        <v/>
      </c>
      <c r="AC23" s="20">
        <f>IFERROR(VLOOKUP($A23,subQ,MATCH(AC$1,SUBQH,0),0),"")</f>
        <v/>
      </c>
      <c r="AD23" s="20">
        <f>IFERROR(VLOOKUP($A23,subQ,MATCH(AD$1,SUBQH,0),0),"")</f>
        <v/>
      </c>
      <c r="AE23" s="20">
        <f>IFERROR(VLOOKUP($A23,subQ,MATCH(AE$1,SUBQH,0),0),"")</f>
        <v/>
      </c>
      <c r="AF23" s="20">
        <f>IFERROR(VLOOKUP($A23,subQ,MATCH(AF$1,SUBQH,0),0),"")</f>
        <v/>
      </c>
      <c r="AG23" s="20">
        <f>IFERROR(VLOOKUP($A23,subQ,MATCH(AG$1,SUBQH,0),0),"")</f>
        <v/>
      </c>
    </row>
    <row r="24">
      <c r="A24" s="12" t="inlineStr">
        <is>
          <t>부채총계</t>
        </is>
      </c>
      <c r="D24" t="inlineStr">
        <is>
          <t>부채총계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18">
        <f>IFERROR(VLOOKUP($A24,subQ,MATCH(I$1,SUBQH,0),0),"")</f>
        <v/>
      </c>
      <c r="J24" s="18">
        <f>IFERROR(VLOOKUP($A24,subQ,MATCH(J$1,SUBQH,0),0),"")</f>
        <v/>
      </c>
      <c r="K24" s="18">
        <f>IFERROR(VLOOKUP($A24,subQ,MATCH(K$1,SUBQH,0),0),"")</f>
        <v/>
      </c>
      <c r="L24" s="18">
        <f>IFERROR(VLOOKUP($A24,subQ,MATCH(L$1,SUBQH,0),0),"")</f>
        <v/>
      </c>
      <c r="M24" s="18">
        <f>IFERROR(VLOOKUP($A24,subQ,MATCH(M$1,SUBQH,0),0),"")</f>
        <v/>
      </c>
      <c r="N24" s="18">
        <f>IFERROR(VLOOKUP($A24,subQ,MATCH(N$1,SUBQH,0),0),"")</f>
        <v/>
      </c>
      <c r="O24" s="18">
        <f>IFERROR(VLOOKUP($A24,subQ,MATCH(O$1,SUBQH,0),0),"")</f>
        <v/>
      </c>
      <c r="P24" s="18">
        <f>IFERROR(VLOOKUP($A24,subQ,MATCH(P$1,SUBQH,0),0),"")</f>
        <v/>
      </c>
      <c r="Q24" s="18">
        <f>IFERROR(VLOOKUP($A24,subQ,MATCH(Q$1,SUBQH,0),0),"")</f>
        <v/>
      </c>
      <c r="R24" s="18">
        <f>IFERROR(VLOOKUP($A24,subQ,MATCH(R$1,SUBQH,0),0),"")</f>
        <v/>
      </c>
      <c r="S24" s="18">
        <f>IFERROR(VLOOKUP($A24,subQ,MATCH(S$1,SUBQH,0),0),"")</f>
        <v/>
      </c>
      <c r="T24" s="18">
        <f>IFERROR(VLOOKUP($A24,subQ,MATCH(T$1,SUBQH,0),0),"")</f>
        <v/>
      </c>
      <c r="U24" s="18">
        <f>IFERROR(VLOOKUP($A24,subQ,MATCH(U$1,SUBQH,0),0),"")</f>
        <v/>
      </c>
      <c r="V24" s="18">
        <f>IFERROR(VLOOKUP($A24,subQ,MATCH(V$1,SUBQH,0),0),"")</f>
        <v/>
      </c>
      <c r="W24" s="47">
        <f>IFERROR(VLOOKUP($A24,subQ,MATCH(W$1,SUBQH,0),0),"")</f>
        <v/>
      </c>
      <c r="X24" s="20">
        <f>IFERROR(VLOOKUP($A24,subQ,MATCH(X$1,SUBQH,0),0),"")</f>
        <v/>
      </c>
      <c r="Y24" s="20">
        <f>IFERROR(VLOOKUP($A24,subQ,MATCH(Y$1,SUBQH,0),0),"")</f>
        <v/>
      </c>
      <c r="Z24" s="20">
        <f>IFERROR(VLOOKUP($A24,subQ,MATCH(Z$1,SUBQH,0),0),"")</f>
        <v/>
      </c>
      <c r="AA24" s="20">
        <f>IFERROR(VLOOKUP($A24,subQ,MATCH(AA$1,SUBQH,0),0),"")</f>
        <v/>
      </c>
      <c r="AB24" s="20">
        <f>IFERROR(VLOOKUP($A24,subQ,MATCH(AB$1,SUBQH,0),0),"")</f>
        <v/>
      </c>
      <c r="AC24" s="20">
        <f>IFERROR(VLOOKUP($A24,subQ,MATCH(AC$1,SUBQH,0),0),"")</f>
        <v/>
      </c>
      <c r="AD24" s="20">
        <f>IFERROR(VLOOKUP($A24,subQ,MATCH(AD$1,SUBQH,0),0),"")</f>
        <v/>
      </c>
      <c r="AE24" s="20">
        <f>IFERROR(VLOOKUP($A24,subQ,MATCH(AE$1,SUBQH,0),0),"")</f>
        <v/>
      </c>
      <c r="AF24" s="20">
        <f>IFERROR(VLOOKUP($A24,subQ,MATCH(AF$1,SUBQH,0),0),"")</f>
        <v/>
      </c>
      <c r="AG24" s="20">
        <f>IFERROR(VLOOKUP($A24,subQ,MATCH(AG$1,SUBQH,0),0),"")</f>
        <v/>
      </c>
    </row>
    <row r="25">
      <c r="A25" s="12" t="inlineStr">
        <is>
          <t>자본총계</t>
        </is>
      </c>
      <c r="D25" t="inlineStr">
        <is>
          <t>자본총계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18">
        <f>IFERROR(VLOOKUP($A25,subQ,MATCH(I$1,SUBQH,0),0),"")</f>
        <v/>
      </c>
      <c r="J25" s="18">
        <f>IFERROR(VLOOKUP($A25,subQ,MATCH(J$1,SUBQH,0),0),"")</f>
        <v/>
      </c>
      <c r="K25" s="18">
        <f>IFERROR(VLOOKUP($A25,subQ,MATCH(K$1,SUBQH,0),0),"")</f>
        <v/>
      </c>
      <c r="L25" s="18">
        <f>IFERROR(VLOOKUP($A25,subQ,MATCH(L$1,SUBQH,0),0),"")</f>
        <v/>
      </c>
      <c r="M25" s="18">
        <f>IFERROR(VLOOKUP($A25,subQ,MATCH(M$1,SUBQH,0),0),"")</f>
        <v/>
      </c>
      <c r="N25" s="18">
        <f>IFERROR(VLOOKUP($A25,subQ,MATCH(N$1,SUBQH,0),0),"")</f>
        <v/>
      </c>
      <c r="O25" s="18">
        <f>IFERROR(VLOOKUP($A25,subQ,MATCH(O$1,SUBQH,0),0),"")</f>
        <v/>
      </c>
      <c r="P25" s="18">
        <f>IFERROR(VLOOKUP($A25,subQ,MATCH(P$1,SUBQH,0),0),"")</f>
        <v/>
      </c>
      <c r="Q25" s="18">
        <f>IFERROR(VLOOKUP($A25,subQ,MATCH(Q$1,SUBQH,0),0),"")</f>
        <v/>
      </c>
      <c r="R25" s="18">
        <f>IFERROR(VLOOKUP($A25,subQ,MATCH(R$1,SUBQH,0),0),"")</f>
        <v/>
      </c>
      <c r="S25" s="18">
        <f>IFERROR(VLOOKUP($A25,subQ,MATCH(S$1,SUBQH,0),0),"")</f>
        <v/>
      </c>
      <c r="T25" s="18">
        <f>IFERROR(VLOOKUP($A25,subQ,MATCH(T$1,SUBQH,0),0),"")</f>
        <v/>
      </c>
      <c r="U25" s="18">
        <f>IFERROR(VLOOKUP($A25,subQ,MATCH(U$1,SUBQH,0),0),"")</f>
        <v/>
      </c>
      <c r="V25" s="18">
        <f>IFERROR(VLOOKUP($A25,subQ,MATCH(V$1,SUBQH,0),0),"")</f>
        <v/>
      </c>
      <c r="W25" s="47">
        <f>IFERROR(VLOOKUP($A25,subQ,MATCH(W$1,SUBQH,0),0),"")</f>
        <v/>
      </c>
      <c r="X25" s="20">
        <f>IFERROR(VLOOKUP($A25,subQ,MATCH(X$1,SUBQH,0),0),"")</f>
        <v/>
      </c>
      <c r="Y25" s="20">
        <f>IFERROR(VLOOKUP($A25,subQ,MATCH(Y$1,SUBQH,0),0),"")</f>
        <v/>
      </c>
      <c r="Z25" s="20">
        <f>IFERROR(VLOOKUP($A25,subQ,MATCH(Z$1,SUBQH,0),0),"")</f>
        <v/>
      </c>
      <c r="AA25" s="20">
        <f>IFERROR(VLOOKUP($A25,subQ,MATCH(AA$1,SUBQH,0),0),"")</f>
        <v/>
      </c>
      <c r="AB25" s="20">
        <f>IFERROR(VLOOKUP($A25,subQ,MATCH(AB$1,SUBQH,0),0),"")</f>
        <v/>
      </c>
      <c r="AC25" s="20">
        <f>IFERROR(VLOOKUP($A25,subQ,MATCH(AC$1,SUBQH,0),0),"")</f>
        <v/>
      </c>
      <c r="AD25" s="20">
        <f>IFERROR(VLOOKUP($A25,subQ,MATCH(AD$1,SUBQH,0),0),"")</f>
        <v/>
      </c>
      <c r="AE25" s="20">
        <f>IFERROR(VLOOKUP($A25,subQ,MATCH(AE$1,SUBQH,0),0),"")</f>
        <v/>
      </c>
      <c r="AF25" s="20">
        <f>IFERROR(VLOOKUP($A25,subQ,MATCH(AF$1,SUBQH,0),0),"")</f>
        <v/>
      </c>
      <c r="AG25" s="20">
        <f>IFERROR(VLOOKUP($A25,subQ,MATCH(AG$1,SUBQH,0),0),"")</f>
        <v/>
      </c>
    </row>
    <row r="26">
      <c r="A26" s="12" t="inlineStr">
        <is>
          <t>지배주주지분</t>
        </is>
      </c>
      <c r="D26" t="inlineStr">
        <is>
          <t>지배주주지분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18">
        <f>IFERROR(VLOOKUP($A26,subQ,MATCH(I$1,SUBQH,0),0),"")</f>
        <v/>
      </c>
      <c r="J26" s="18">
        <f>IFERROR(VLOOKUP($A26,subQ,MATCH(J$1,SUBQH,0),0),"")</f>
        <v/>
      </c>
      <c r="K26" s="18">
        <f>IFERROR(VLOOKUP($A26,subQ,MATCH(K$1,SUBQH,0),0),"")</f>
        <v/>
      </c>
      <c r="L26" s="18">
        <f>IFERROR(VLOOKUP($A26,subQ,MATCH(L$1,SUBQH,0),0),"")</f>
        <v/>
      </c>
      <c r="M26" s="18">
        <f>IFERROR(VLOOKUP($A26,subQ,MATCH(M$1,SUBQH,0),0),"")</f>
        <v/>
      </c>
      <c r="N26" s="18">
        <f>IFERROR(VLOOKUP($A26,subQ,MATCH(N$1,SUBQH,0),0),"")</f>
        <v/>
      </c>
      <c r="O26" s="18">
        <f>IFERROR(VLOOKUP($A26,subQ,MATCH(O$1,SUBQH,0),0),"")</f>
        <v/>
      </c>
      <c r="P26" s="18">
        <f>IFERROR(VLOOKUP($A26,subQ,MATCH(P$1,SUBQH,0),0),"")</f>
        <v/>
      </c>
      <c r="Q26" s="18">
        <f>IFERROR(VLOOKUP($A26,subQ,MATCH(Q$1,SUBQH,0),0),"")</f>
        <v/>
      </c>
      <c r="R26" s="18">
        <f>IFERROR(VLOOKUP($A26,subQ,MATCH(R$1,SUBQH,0),0),"")</f>
        <v/>
      </c>
      <c r="S26" s="18">
        <f>IFERROR(VLOOKUP($A26,subQ,MATCH(S$1,SUBQH,0),0),"")</f>
        <v/>
      </c>
      <c r="T26" s="18">
        <f>IFERROR(VLOOKUP($A26,subQ,MATCH(T$1,SUBQH,0),0),"")</f>
        <v/>
      </c>
      <c r="U26" s="18">
        <f>IFERROR(VLOOKUP($A26,subQ,MATCH(U$1,SUBQH,0),0),"")</f>
        <v/>
      </c>
      <c r="V26" s="18">
        <f>IFERROR(VLOOKUP($A26,subQ,MATCH(V$1,SUBQH,0),0),"")</f>
        <v/>
      </c>
      <c r="W26" s="47">
        <f>IFERROR(VLOOKUP($A26,subQ,MATCH(W$1,SUBQH,0),0),"")</f>
        <v/>
      </c>
      <c r="X26" s="20">
        <f>IFERROR(VLOOKUP($A26,subQ,MATCH(X$1,SUBQH,0),0),"")</f>
        <v/>
      </c>
      <c r="Y26" s="20">
        <f>IFERROR(VLOOKUP($A26,subQ,MATCH(Y$1,SUBQH,0),0),"")</f>
        <v/>
      </c>
      <c r="Z26" s="20">
        <f>IFERROR(VLOOKUP($A26,subQ,MATCH(Z$1,SUBQH,0),0),"")</f>
        <v/>
      </c>
      <c r="AA26" s="20">
        <f>IFERROR(VLOOKUP($A26,subQ,MATCH(AA$1,SUBQH,0),0),"")</f>
        <v/>
      </c>
      <c r="AB26" s="20">
        <f>IFERROR(VLOOKUP($A26,subQ,MATCH(AB$1,SUBQH,0),0),"")</f>
        <v/>
      </c>
      <c r="AC26" s="20">
        <f>IFERROR(VLOOKUP($A26,subQ,MATCH(AC$1,SUBQH,0),0),"")</f>
        <v/>
      </c>
      <c r="AD26" s="20">
        <f>IFERROR(VLOOKUP($A26,subQ,MATCH(AD$1,SUBQH,0),0),"")</f>
        <v/>
      </c>
      <c r="AE26" s="20">
        <f>IFERROR(VLOOKUP($A26,subQ,MATCH(AE$1,SUBQH,0),0),"")</f>
        <v/>
      </c>
      <c r="AF26" s="20">
        <f>IFERROR(VLOOKUP($A26,subQ,MATCH(AF$1,SUBQH,0),0),"")</f>
        <v/>
      </c>
      <c r="AG26" s="20">
        <f>IFERROR(VLOOKUP($A26,subQ,MATCH(AG$1,SUBQH,0),0),"")</f>
        <v/>
      </c>
    </row>
    <row r="27">
      <c r="A27" s="12" t="inlineStr">
        <is>
          <t>총차입금</t>
        </is>
      </c>
      <c r="D27" t="inlineStr">
        <is>
          <t>총차입금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18">
        <f>IFERROR(VLOOKUP($A27,subQ,MATCH(I$1,SUBQH,0),0),"")</f>
        <v/>
      </c>
      <c r="J27" s="18">
        <f>IFERROR(VLOOKUP($A27,subQ,MATCH(J$1,SUBQH,0),0),"")</f>
        <v/>
      </c>
      <c r="K27" s="18">
        <f>IFERROR(VLOOKUP($A27,subQ,MATCH(K$1,SUBQH,0),0),"")</f>
        <v/>
      </c>
      <c r="L27" s="18">
        <f>IFERROR(VLOOKUP($A27,subQ,MATCH(L$1,SUBQH,0),0),"")</f>
        <v/>
      </c>
      <c r="M27" s="18">
        <f>IFERROR(VLOOKUP($A27,subQ,MATCH(M$1,SUBQH,0),0),"")</f>
        <v/>
      </c>
      <c r="N27" s="18">
        <f>IFERROR(VLOOKUP($A27,subQ,MATCH(N$1,SUBQH,0),0),"")</f>
        <v/>
      </c>
      <c r="O27" s="18">
        <f>IFERROR(VLOOKUP($A27,subQ,MATCH(O$1,SUBQH,0),0),"")</f>
        <v/>
      </c>
      <c r="P27" s="18">
        <f>IFERROR(VLOOKUP($A27,subQ,MATCH(P$1,SUBQH,0),0),"")</f>
        <v/>
      </c>
      <c r="Q27" s="18">
        <f>IFERROR(VLOOKUP($A27,subQ,MATCH(Q$1,SUBQH,0),0),"")</f>
        <v/>
      </c>
      <c r="R27" s="18">
        <f>IFERROR(VLOOKUP($A27,subQ,MATCH(R$1,SUBQH,0),0),"")</f>
        <v/>
      </c>
      <c r="S27" s="18">
        <f>IFERROR(VLOOKUP($A27,subQ,MATCH(S$1,SUBQH,0),0),"")</f>
        <v/>
      </c>
      <c r="T27" s="18">
        <f>IFERROR(VLOOKUP($A27,subQ,MATCH(T$1,SUBQH,0),0),"")</f>
        <v/>
      </c>
      <c r="U27" s="18">
        <f>IFERROR(VLOOKUP($A27,subQ,MATCH(U$1,SUBQH,0),0),"")</f>
        <v/>
      </c>
      <c r="V27" s="18">
        <f>IFERROR(VLOOKUP($A27,subQ,MATCH(V$1,SUBQH,0),0),"")</f>
        <v/>
      </c>
      <c r="W27" s="47">
        <f>IFERROR(VLOOKUP($A27,subQ,MATCH(W$1,SUBQH,0),0),"")</f>
        <v/>
      </c>
      <c r="X27" s="20">
        <f>IFERROR(VLOOKUP($A27,subQ,MATCH(X$1,SUBQH,0),0),"")</f>
        <v/>
      </c>
      <c r="Y27" s="20">
        <f>IFERROR(VLOOKUP($A27,subQ,MATCH(Y$1,SUBQH,0),0),"")</f>
        <v/>
      </c>
      <c r="Z27" s="20">
        <f>IFERROR(VLOOKUP($A27,subQ,MATCH(Z$1,SUBQH,0),0),"")</f>
        <v/>
      </c>
      <c r="AA27" s="20">
        <f>IFERROR(VLOOKUP($A27,subQ,MATCH(AA$1,SUBQH,0),0),"")</f>
        <v/>
      </c>
      <c r="AB27" s="20">
        <f>IFERROR(VLOOKUP($A27,subQ,MATCH(AB$1,SUBQH,0),0),"")</f>
        <v/>
      </c>
      <c r="AC27" s="20">
        <f>IFERROR(VLOOKUP($A27,subQ,MATCH(AC$1,SUBQH,0),0),"")</f>
        <v/>
      </c>
      <c r="AD27" s="20">
        <f>IFERROR(VLOOKUP($A27,subQ,MATCH(AD$1,SUBQH,0),0),"")</f>
        <v/>
      </c>
      <c r="AE27" s="20">
        <f>IFERROR(VLOOKUP($A27,subQ,MATCH(AE$1,SUBQH,0),0),"")</f>
        <v/>
      </c>
      <c r="AF27" s="20">
        <f>IFERROR(VLOOKUP($A27,subQ,MATCH(AF$1,SUBQH,0),0),"")</f>
        <v/>
      </c>
      <c r="AG27" s="20">
        <f>IFERROR(VLOOKUP($A27,subQ,MATCH(AG$1,SUBQH,0),0),"")</f>
        <v/>
      </c>
    </row>
    <row r="28">
      <c r="A28" s="12" t="inlineStr">
        <is>
          <t>순차입금</t>
        </is>
      </c>
      <c r="D28" t="inlineStr">
        <is>
          <t>순차입금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18">
        <f>IFERROR(VLOOKUP($A28,subQ,MATCH(I$1,SUBQH,0),0),"")</f>
        <v/>
      </c>
      <c r="J28" s="18">
        <f>IFERROR(VLOOKUP($A28,subQ,MATCH(J$1,SUBQH,0),0),"")</f>
        <v/>
      </c>
      <c r="K28" s="18">
        <f>IFERROR(VLOOKUP($A28,subQ,MATCH(K$1,SUBQH,0),0),"")</f>
        <v/>
      </c>
      <c r="L28" s="18">
        <f>IFERROR(VLOOKUP($A28,subQ,MATCH(L$1,SUBQH,0),0),"")</f>
        <v/>
      </c>
      <c r="M28" s="18">
        <f>IFERROR(VLOOKUP($A28,subQ,MATCH(M$1,SUBQH,0),0),"")</f>
        <v/>
      </c>
      <c r="N28" s="18">
        <f>IFERROR(VLOOKUP($A28,subQ,MATCH(N$1,SUBQH,0),0),"")</f>
        <v/>
      </c>
      <c r="O28" s="18">
        <f>IFERROR(VLOOKUP($A28,subQ,MATCH(O$1,SUBQH,0),0),"")</f>
        <v/>
      </c>
      <c r="P28" s="18">
        <f>IFERROR(VLOOKUP($A28,subQ,MATCH(P$1,SUBQH,0),0),"")</f>
        <v/>
      </c>
      <c r="Q28" s="18">
        <f>IFERROR(VLOOKUP($A28,subQ,MATCH(Q$1,SUBQH,0),0),"")</f>
        <v/>
      </c>
      <c r="R28" s="18">
        <f>IFERROR(VLOOKUP($A28,subQ,MATCH(R$1,SUBQH,0),0),"")</f>
        <v/>
      </c>
      <c r="S28" s="18">
        <f>IFERROR(VLOOKUP($A28,subQ,MATCH(S$1,SUBQH,0),0),"")</f>
        <v/>
      </c>
      <c r="T28" s="18">
        <f>IFERROR(VLOOKUP($A28,subQ,MATCH(T$1,SUBQH,0),0),"")</f>
        <v/>
      </c>
      <c r="U28" s="18">
        <f>IFERROR(VLOOKUP($A28,subQ,MATCH(U$1,SUBQH,0),0),"")</f>
        <v/>
      </c>
      <c r="V28" s="18">
        <f>IFERROR(VLOOKUP($A28,subQ,MATCH(V$1,SUBQH,0),0),"")</f>
        <v/>
      </c>
      <c r="W28" s="47">
        <f>IFERROR(VLOOKUP($A28,subQ,MATCH(W$1,SUBQH,0),0),"")</f>
        <v/>
      </c>
      <c r="X28" s="20">
        <f>IFERROR(VLOOKUP($A28,subQ,MATCH(X$1,SUBQH,0),0),"")</f>
        <v/>
      </c>
      <c r="Y28" s="20">
        <f>IFERROR(VLOOKUP($A28,subQ,MATCH(Y$1,SUBQH,0),0),"")</f>
        <v/>
      </c>
      <c r="Z28" s="20">
        <f>IFERROR(VLOOKUP($A28,subQ,MATCH(Z$1,SUBQH,0),0),"")</f>
        <v/>
      </c>
      <c r="AA28" s="20">
        <f>IFERROR(VLOOKUP($A28,subQ,MATCH(AA$1,SUBQH,0),0),"")</f>
        <v/>
      </c>
      <c r="AB28" s="20">
        <f>IFERROR(VLOOKUP($A28,subQ,MATCH(AB$1,SUBQH,0),0),"")</f>
        <v/>
      </c>
      <c r="AC28" s="20">
        <f>IFERROR(VLOOKUP($A28,subQ,MATCH(AC$1,SUBQH,0),0),"")</f>
        <v/>
      </c>
      <c r="AD28" s="20">
        <f>IFERROR(VLOOKUP($A28,subQ,MATCH(AD$1,SUBQH,0),0),"")</f>
        <v/>
      </c>
      <c r="AE28" s="20">
        <f>IFERROR(VLOOKUP($A28,subQ,MATCH(AE$1,SUBQH,0),0),"")</f>
        <v/>
      </c>
      <c r="AF28" s="20">
        <f>IFERROR(VLOOKUP($A28,subQ,MATCH(AF$1,SUBQH,0),0),"")</f>
        <v/>
      </c>
      <c r="AG28" s="20">
        <f>IFERROR(VLOOKUP($A28,subQ,MATCH(AG$1,SUBQH,0),0),"")</f>
        <v/>
      </c>
    </row>
    <row r="29">
      <c r="A29" s="12" t="inlineStr">
        <is>
          <t>이자발생자산</t>
        </is>
      </c>
      <c r="D29" t="inlineStr">
        <is>
          <t>이자발생자산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18">
        <f>IFERROR(VLOOKUP($A29,subQ,MATCH(I$1,SUBQH,0),0),"")</f>
        <v/>
      </c>
      <c r="J29" s="18">
        <f>IFERROR(VLOOKUP($A29,subQ,MATCH(J$1,SUBQH,0),0),"")</f>
        <v/>
      </c>
      <c r="K29" s="18">
        <f>IFERROR(VLOOKUP($A29,subQ,MATCH(K$1,SUBQH,0),0),"")</f>
        <v/>
      </c>
      <c r="L29" s="18">
        <f>IFERROR(VLOOKUP($A29,subQ,MATCH(L$1,SUBQH,0),0),"")</f>
        <v/>
      </c>
      <c r="M29" s="18">
        <f>IFERROR(VLOOKUP($A29,subQ,MATCH(M$1,SUBQH,0),0),"")</f>
        <v/>
      </c>
      <c r="N29" s="18">
        <f>IFERROR(VLOOKUP($A29,subQ,MATCH(N$1,SUBQH,0),0),"")</f>
        <v/>
      </c>
      <c r="O29" s="18">
        <f>IFERROR(VLOOKUP($A29,subQ,MATCH(O$1,SUBQH,0),0),"")</f>
        <v/>
      </c>
      <c r="P29" s="18">
        <f>IFERROR(VLOOKUP($A29,subQ,MATCH(P$1,SUBQH,0),0),"")</f>
        <v/>
      </c>
      <c r="Q29" s="18">
        <f>IFERROR(VLOOKUP($A29,subQ,MATCH(Q$1,SUBQH,0),0),"")</f>
        <v/>
      </c>
      <c r="R29" s="18">
        <f>IFERROR(VLOOKUP($A29,subQ,MATCH(R$1,SUBQH,0),0),"")</f>
        <v/>
      </c>
      <c r="S29" s="18">
        <f>IFERROR(VLOOKUP($A29,subQ,MATCH(S$1,SUBQH,0),0),"")</f>
        <v/>
      </c>
      <c r="T29" s="18">
        <f>IFERROR(VLOOKUP($A29,subQ,MATCH(T$1,SUBQH,0),0),"")</f>
        <v/>
      </c>
      <c r="U29" s="18">
        <f>IFERROR(VLOOKUP($A29,subQ,MATCH(U$1,SUBQH,0),0),"")</f>
        <v/>
      </c>
      <c r="V29" s="18">
        <f>IFERROR(VLOOKUP($A29,subQ,MATCH(V$1,SUBQH,0),0),"")</f>
        <v/>
      </c>
      <c r="W29" s="47">
        <f>IFERROR(VLOOKUP($A29,subQ,MATCH(W$1,SUBQH,0),0),"")</f>
        <v/>
      </c>
      <c r="X29" s="20">
        <f>IFERROR(VLOOKUP($A29,subQ,MATCH(X$1,SUBQH,0),0),"")</f>
        <v/>
      </c>
      <c r="Y29" s="20">
        <f>IFERROR(VLOOKUP($A29,subQ,MATCH(Y$1,SUBQH,0),0),"")</f>
        <v/>
      </c>
      <c r="Z29" s="20">
        <f>IFERROR(VLOOKUP($A29,subQ,MATCH(Z$1,SUBQH,0),0),"")</f>
        <v/>
      </c>
      <c r="AA29" s="20">
        <f>IFERROR(VLOOKUP($A29,subQ,MATCH(AA$1,SUBQH,0),0),"")</f>
        <v/>
      </c>
      <c r="AB29" s="20">
        <f>IFERROR(VLOOKUP($A29,subQ,MATCH(AB$1,SUBQH,0),0),"")</f>
        <v/>
      </c>
      <c r="AC29" s="20">
        <f>IFERROR(VLOOKUP($A29,subQ,MATCH(AC$1,SUBQH,0),0),"")</f>
        <v/>
      </c>
      <c r="AD29" s="20">
        <f>IFERROR(VLOOKUP($A29,subQ,MATCH(AD$1,SUBQH,0),0),"")</f>
        <v/>
      </c>
      <c r="AE29" s="20">
        <f>IFERROR(VLOOKUP($A29,subQ,MATCH(AE$1,SUBQH,0),0),"")</f>
        <v/>
      </c>
      <c r="AF29" s="20">
        <f>IFERROR(VLOOKUP($A29,subQ,MATCH(AF$1,SUBQH,0),0),"")</f>
        <v/>
      </c>
      <c r="AG29" s="20">
        <f>IFERROR(VLOOKUP($A29,subQ,MATCH(AG$1,SUBQH,0),0),"")</f>
        <v/>
      </c>
    </row>
    <row r="30">
      <c r="A30" s="12" t="inlineStr">
        <is>
          <t>현금및현금성자산</t>
        </is>
      </c>
      <c r="D30" t="inlineStr">
        <is>
          <t>현금및현금성자산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18">
        <f>IFERROR(VLOOKUP($A30,subQ,MATCH(I$1,SUBQH,0),0),"")</f>
        <v/>
      </c>
      <c r="J30" s="18">
        <f>IFERROR(VLOOKUP($A30,subQ,MATCH(J$1,SUBQH,0),0),"")</f>
        <v/>
      </c>
      <c r="K30" s="18">
        <f>IFERROR(VLOOKUP($A30,subQ,MATCH(K$1,SUBQH,0),0),"")</f>
        <v/>
      </c>
      <c r="L30" s="18">
        <f>IFERROR(VLOOKUP($A30,subQ,MATCH(L$1,SUBQH,0),0),"")</f>
        <v/>
      </c>
      <c r="M30" s="18">
        <f>IFERROR(VLOOKUP($A30,subQ,MATCH(M$1,SUBQH,0),0),"")</f>
        <v/>
      </c>
      <c r="N30" s="18">
        <f>IFERROR(VLOOKUP($A30,subQ,MATCH(N$1,SUBQH,0),0),"")</f>
        <v/>
      </c>
      <c r="O30" s="18">
        <f>IFERROR(VLOOKUP($A30,subQ,MATCH(O$1,SUBQH,0),0),"")</f>
        <v/>
      </c>
      <c r="P30" s="18">
        <f>IFERROR(VLOOKUP($A30,subQ,MATCH(P$1,SUBQH,0),0),"")</f>
        <v/>
      </c>
      <c r="Q30" s="18">
        <f>IFERROR(VLOOKUP($A30,subQ,MATCH(Q$1,SUBQH,0),0),"")</f>
        <v/>
      </c>
      <c r="R30" s="18">
        <f>IFERROR(VLOOKUP($A30,subQ,MATCH(R$1,SUBQH,0),0),"")</f>
        <v/>
      </c>
      <c r="S30" s="18">
        <f>IFERROR(VLOOKUP($A30,subQ,MATCH(S$1,SUBQH,0),0),"")</f>
        <v/>
      </c>
      <c r="T30" s="18">
        <f>IFERROR(VLOOKUP($A30,subQ,MATCH(T$1,SUBQH,0),0),"")</f>
        <v/>
      </c>
      <c r="U30" s="18">
        <f>IFERROR(VLOOKUP($A30,subQ,MATCH(U$1,SUBQH,0),0),"")</f>
        <v/>
      </c>
      <c r="V30" s="18">
        <f>IFERROR(VLOOKUP($A30,subQ,MATCH(V$1,SUBQH,0),0),"")</f>
        <v/>
      </c>
      <c r="W30" s="47">
        <f>IFERROR(VLOOKUP($A30,subQ,MATCH(W$1,SUBQH,0),0),"")</f>
        <v/>
      </c>
      <c r="X30" s="20">
        <f>IFERROR(VLOOKUP($A30,subQ,MATCH(X$1,SUBQH,0),0),"")</f>
        <v/>
      </c>
      <c r="Y30" s="20">
        <f>IFERROR(VLOOKUP($A30,subQ,MATCH(Y$1,SUBQH,0),0),"")</f>
        <v/>
      </c>
      <c r="Z30" s="20">
        <f>IFERROR(VLOOKUP($A30,subQ,MATCH(Z$1,SUBQH,0),0),"")</f>
        <v/>
      </c>
      <c r="AA30" s="20">
        <f>IFERROR(VLOOKUP($A30,subQ,MATCH(AA$1,SUBQH,0),0),"")</f>
        <v/>
      </c>
      <c r="AB30" s="20">
        <f>IFERROR(VLOOKUP($A30,subQ,MATCH(AB$1,SUBQH,0),0),"")</f>
        <v/>
      </c>
      <c r="AC30" s="20">
        <f>IFERROR(VLOOKUP($A30,subQ,MATCH(AC$1,SUBQH,0),0),"")</f>
        <v/>
      </c>
      <c r="AD30" s="20">
        <f>IFERROR(VLOOKUP($A30,subQ,MATCH(AD$1,SUBQH,0),0),"")</f>
        <v/>
      </c>
      <c r="AE30" s="20">
        <f>IFERROR(VLOOKUP($A30,subQ,MATCH(AE$1,SUBQH,0),0),"")</f>
        <v/>
      </c>
      <c r="AF30" s="20">
        <f>IFERROR(VLOOKUP($A30,subQ,MATCH(AF$1,SUBQH,0),0),"")</f>
        <v/>
      </c>
      <c r="AG30" s="20">
        <f>IFERROR(VLOOKUP($A30,subQ,MATCH(AG$1,SUBQH,0),0),"")</f>
        <v/>
      </c>
    </row>
    <row r="31">
      <c r="A31" s="12" t="inlineStr">
        <is>
          <t>CAPEX</t>
        </is>
      </c>
      <c r="D31" t="inlineStr">
        <is>
          <t>CAPEX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18">
        <f>IFERROR(VLOOKUP($A31,subQ,MATCH(I$1,SUBQH,0),0),"")</f>
        <v/>
      </c>
      <c r="J31" s="18">
        <f>IFERROR(VLOOKUP($A31,subQ,MATCH(J$1,SUBQH,0),0),"")</f>
        <v/>
      </c>
      <c r="K31" s="18">
        <f>IFERROR(VLOOKUP($A31,subQ,MATCH(K$1,SUBQH,0),0),"")</f>
        <v/>
      </c>
      <c r="L31" s="18">
        <f>IFERROR(VLOOKUP($A31,subQ,MATCH(L$1,SUBQH,0),0),"")</f>
        <v/>
      </c>
      <c r="M31" s="18">
        <f>IFERROR(VLOOKUP($A31,subQ,MATCH(M$1,SUBQH,0),0),"")</f>
        <v/>
      </c>
      <c r="N31" s="18">
        <f>IFERROR(VLOOKUP($A31,subQ,MATCH(N$1,SUBQH,0),0),"")</f>
        <v/>
      </c>
      <c r="O31" s="18">
        <f>IFERROR(VLOOKUP($A31,subQ,MATCH(O$1,SUBQH,0),0),"")</f>
        <v/>
      </c>
      <c r="P31" s="18">
        <f>IFERROR(VLOOKUP($A31,subQ,MATCH(P$1,SUBQH,0),0),"")</f>
        <v/>
      </c>
      <c r="Q31" s="18">
        <f>IFERROR(VLOOKUP($A31,subQ,MATCH(Q$1,SUBQH,0),0),"")</f>
        <v/>
      </c>
      <c r="R31" s="18">
        <f>IFERROR(VLOOKUP($A31,subQ,MATCH(R$1,SUBQH,0),0),"")</f>
        <v/>
      </c>
      <c r="S31" s="18">
        <f>IFERROR(VLOOKUP($A31,subQ,MATCH(S$1,SUBQH,0),0),"")</f>
        <v/>
      </c>
      <c r="T31" s="18">
        <f>IFERROR(VLOOKUP($A31,subQ,MATCH(T$1,SUBQH,0),0),"")</f>
        <v/>
      </c>
      <c r="U31" s="18">
        <f>IFERROR(VLOOKUP($A31,subQ,MATCH(U$1,SUBQH,0),0),"")</f>
        <v/>
      </c>
      <c r="V31" s="18">
        <f>IFERROR(VLOOKUP($A31,subQ,MATCH(V$1,SUBQH,0),0),"")</f>
        <v/>
      </c>
      <c r="W31" s="47">
        <f>IFERROR(VLOOKUP($A31,subQ,MATCH(W$1,SUBQH,0),0),"")</f>
        <v/>
      </c>
      <c r="X31" s="20">
        <f>IFERROR(VLOOKUP($A31,subQ,MATCH(X$1,SUBQH,0),0),"")</f>
        <v/>
      </c>
      <c r="Y31" s="20">
        <f>IFERROR(VLOOKUP($A31,subQ,MATCH(Y$1,SUBQH,0),0),"")</f>
        <v/>
      </c>
      <c r="Z31" s="20">
        <f>IFERROR(VLOOKUP($A31,subQ,MATCH(Z$1,SUBQH,0),0),"")</f>
        <v/>
      </c>
      <c r="AA31" s="20">
        <f>IFERROR(VLOOKUP($A31,subQ,MATCH(AA$1,SUBQH,0),0),"")</f>
        <v/>
      </c>
      <c r="AB31" s="20">
        <f>IFERROR(VLOOKUP($A31,subQ,MATCH(AB$1,SUBQH,0),0),"")</f>
        <v/>
      </c>
      <c r="AC31" s="20">
        <f>IFERROR(VLOOKUP($A31,subQ,MATCH(AC$1,SUBQH,0),0),"")</f>
        <v/>
      </c>
      <c r="AD31" s="20">
        <f>IFERROR(VLOOKUP($A31,subQ,MATCH(AD$1,SUBQH,0),0),"")</f>
        <v/>
      </c>
      <c r="AE31" s="20">
        <f>IFERROR(VLOOKUP($A31,subQ,MATCH(AE$1,SUBQH,0),0),"")</f>
        <v/>
      </c>
      <c r="AF31" s="20">
        <f>IFERROR(VLOOKUP($A31,subQ,MATCH(AF$1,SUBQH,0),0),"")</f>
        <v/>
      </c>
      <c r="AG31" s="20">
        <f>IFERROR(VLOOKUP($A31,subQ,MATCH(AG$1,SUBQH,0),0),"")</f>
        <v/>
      </c>
    </row>
    <row r="32">
      <c r="A32" s="12" t="inlineStr">
        <is>
          <t>영업활동현금흐름</t>
        </is>
      </c>
      <c r="D32" t="inlineStr">
        <is>
          <t>영업활동현금흐름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18">
        <f>IFERROR(VLOOKUP($A32,subQ,MATCH(I$1,SUBQH,0),0),"")</f>
        <v/>
      </c>
      <c r="J32" s="18">
        <f>IFERROR(VLOOKUP($A32,subQ,MATCH(J$1,SUBQH,0),0),"")</f>
        <v/>
      </c>
      <c r="K32" s="18">
        <f>IFERROR(VLOOKUP($A32,subQ,MATCH(K$1,SUBQH,0),0),"")</f>
        <v/>
      </c>
      <c r="L32" s="18">
        <f>IFERROR(VLOOKUP($A32,subQ,MATCH(L$1,SUBQH,0),0),"")</f>
        <v/>
      </c>
      <c r="M32" s="18">
        <f>IFERROR(VLOOKUP($A32,subQ,MATCH(M$1,SUBQH,0),0),"")</f>
        <v/>
      </c>
      <c r="N32" s="18">
        <f>IFERROR(VLOOKUP($A32,subQ,MATCH(N$1,SUBQH,0),0),"")</f>
        <v/>
      </c>
      <c r="O32" s="18">
        <f>IFERROR(VLOOKUP($A32,subQ,MATCH(O$1,SUBQH,0),0),"")</f>
        <v/>
      </c>
      <c r="P32" s="18">
        <f>IFERROR(VLOOKUP($A32,subQ,MATCH(P$1,SUBQH,0),0),"")</f>
        <v/>
      </c>
      <c r="Q32" s="18">
        <f>IFERROR(VLOOKUP($A32,subQ,MATCH(Q$1,SUBQH,0),0),"")</f>
        <v/>
      </c>
      <c r="R32" s="18">
        <f>IFERROR(VLOOKUP($A32,subQ,MATCH(R$1,SUBQH,0),0),"")</f>
        <v/>
      </c>
      <c r="S32" s="18">
        <f>IFERROR(VLOOKUP($A32,subQ,MATCH(S$1,SUBQH,0),0),"")</f>
        <v/>
      </c>
      <c r="T32" s="18">
        <f>IFERROR(VLOOKUP($A32,subQ,MATCH(T$1,SUBQH,0),0),"")</f>
        <v/>
      </c>
      <c r="U32" s="18">
        <f>IFERROR(VLOOKUP($A32,subQ,MATCH(U$1,SUBQH,0),0),"")</f>
        <v/>
      </c>
      <c r="V32" s="18">
        <f>IFERROR(VLOOKUP($A32,subQ,MATCH(V$1,SUBQH,0),0),"")</f>
        <v/>
      </c>
      <c r="W32" s="47">
        <f>IFERROR(VLOOKUP($A32,subQ,MATCH(W$1,SUBQH,0),0),"")</f>
        <v/>
      </c>
      <c r="X32" s="20">
        <f>IFERROR(VLOOKUP($A32,subQ,MATCH(X$1,SUBQH,0),0),"")</f>
        <v/>
      </c>
      <c r="Y32" s="20">
        <f>IFERROR(VLOOKUP($A32,subQ,MATCH(Y$1,SUBQH,0),0),"")</f>
        <v/>
      </c>
      <c r="Z32" s="20">
        <f>IFERROR(VLOOKUP($A32,subQ,MATCH(Z$1,SUBQH,0),0),"")</f>
        <v/>
      </c>
      <c r="AA32" s="20">
        <f>IFERROR(VLOOKUP($A32,subQ,MATCH(AA$1,SUBQH,0),0),"")</f>
        <v/>
      </c>
      <c r="AB32" s="20">
        <f>IFERROR(VLOOKUP($A32,subQ,MATCH(AB$1,SUBQH,0),0),"")</f>
        <v/>
      </c>
      <c r="AC32" s="20">
        <f>IFERROR(VLOOKUP($A32,subQ,MATCH(AC$1,SUBQH,0),0),"")</f>
        <v/>
      </c>
      <c r="AD32" s="20">
        <f>IFERROR(VLOOKUP($A32,subQ,MATCH(AD$1,SUBQH,0),0),"")</f>
        <v/>
      </c>
      <c r="AE32" s="20">
        <f>IFERROR(VLOOKUP($A32,subQ,MATCH(AE$1,SUBQH,0),0),"")</f>
        <v/>
      </c>
      <c r="AF32" s="20">
        <f>IFERROR(VLOOKUP($A32,subQ,MATCH(AF$1,SUBQH,0),0),"")</f>
        <v/>
      </c>
      <c r="AG32" s="20">
        <f>IFERROR(VLOOKUP($A32,subQ,MATCH(AG$1,SUBQH,0),0),"")</f>
        <v/>
      </c>
    </row>
    <row r="33">
      <c r="A33" s="12" t="inlineStr">
        <is>
          <t>주식수</t>
        </is>
      </c>
      <c r="D33" t="inlineStr">
        <is>
          <t>유통주식수</t>
        </is>
      </c>
      <c r="E33" s="27">
        <f>IFERROR(VLOOKUP($A33,subQ,MATCH(E$1,SUBQH,0),0),"")</f>
        <v/>
      </c>
      <c r="F33" s="27">
        <f>IFERROR(VLOOKUP($A33,subQ,MATCH(F$1,SUBQH,0),0),"")</f>
        <v/>
      </c>
      <c r="G33" s="27">
        <f>IFERROR(VLOOKUP($A33,subQ,MATCH(G$1,SUBQH,0),0),"")</f>
        <v/>
      </c>
      <c r="H33" s="27">
        <f>IFERROR(VLOOKUP($A33,subQ,MATCH(H$1,SUBQH,0),0),"")</f>
        <v/>
      </c>
      <c r="I33" s="27">
        <f>IFERROR(VLOOKUP($A33,subQ,MATCH(I$1,SUBQH,0),0),"")</f>
        <v/>
      </c>
      <c r="J33" s="27">
        <f>IFERROR(VLOOKUP($A33,subQ,MATCH(J$1,SUBQH,0),0),"")</f>
        <v/>
      </c>
      <c r="K33" s="27">
        <f>IFERROR(VLOOKUP($A33,subQ,MATCH(K$1,SUBQH,0),0),"")</f>
        <v/>
      </c>
      <c r="L33" s="27">
        <f>IFERROR(VLOOKUP($A33,subQ,MATCH(L$1,SUBQH,0),0),"")</f>
        <v/>
      </c>
      <c r="M33" s="27">
        <f>IFERROR(VLOOKUP($A33,subQ,MATCH(M$1,SUBQH,0),0),"")</f>
        <v/>
      </c>
      <c r="N33" s="27">
        <f>IFERROR(VLOOKUP($A33,subQ,MATCH(N$1,SUBQH,0),0),"")</f>
        <v/>
      </c>
      <c r="O33" s="27">
        <f>IFERROR(VLOOKUP($A33,subQ,MATCH(O$1,SUBQH,0),0),"")</f>
        <v/>
      </c>
      <c r="P33" s="27">
        <f>IFERROR(VLOOKUP($A33,subQ,MATCH(P$1,SUBQH,0),0),"")</f>
        <v/>
      </c>
      <c r="Q33" s="27">
        <f>IFERROR(VLOOKUP($A33,subQ,MATCH(Q$1,SUBQH,0),0),"")</f>
        <v/>
      </c>
      <c r="R33" s="27">
        <f>IFERROR(VLOOKUP($A33,subQ,MATCH(R$1,SUBQH,0),0),"")</f>
        <v/>
      </c>
      <c r="S33" s="27">
        <f>IFERROR(VLOOKUP($A33,subQ,MATCH(S$1,SUBQH,0),0),"")</f>
        <v/>
      </c>
      <c r="T33" s="27">
        <f>IFERROR(VLOOKUP($A33,subQ,MATCH(T$1,SUBQH,0),0),"")</f>
        <v/>
      </c>
      <c r="U33" s="27">
        <f>IFERROR(VLOOKUP($A33,subQ,MATCH(U$1,SUBQH,0),0),"")</f>
        <v/>
      </c>
      <c r="V33" s="27">
        <f>IFERROR(VLOOKUP($A33,subQ,MATCH(V$1,SUBQH,0),0),"")</f>
        <v/>
      </c>
      <c r="W33" s="49">
        <f>IFERROR(VLOOKUP($A33,subQ,MATCH(W$1,SUBQH,0),0),"")</f>
        <v/>
      </c>
      <c r="X33" s="32">
        <f>IFERROR(VLOOKUP($A33,subQ,MATCH(X$1,SUBQH,0),0),"")</f>
        <v/>
      </c>
      <c r="Y33" s="32">
        <f>IFERROR(VLOOKUP($A33,subQ,MATCH(Y$1,SUBQH,0),0),"")</f>
        <v/>
      </c>
      <c r="Z33" s="32">
        <f>IFERROR(VLOOKUP($A33,subQ,MATCH(Z$1,SUBQH,0),0),"")</f>
        <v/>
      </c>
      <c r="AA33" s="32">
        <f>IFERROR(VLOOKUP($A33,subQ,MATCH(AA$1,SUBQH,0),0),"")</f>
        <v/>
      </c>
      <c r="AB33" s="32">
        <f>IFERROR(VLOOKUP($A33,subQ,MATCH(AB$1,SUBQH,0),0),"")</f>
        <v/>
      </c>
      <c r="AC33" s="32">
        <f>IFERROR(VLOOKUP($A33,subQ,MATCH(AC$1,SUBQH,0),0),"")</f>
        <v/>
      </c>
      <c r="AD33" s="32">
        <f>IFERROR(VLOOKUP($A33,subQ,MATCH(AD$1,SUBQH,0),0),"")</f>
        <v/>
      </c>
      <c r="AE33" s="32">
        <f>IFERROR(VLOOKUP($A33,subQ,MATCH(AE$1,SUBQH,0),0),"")</f>
        <v/>
      </c>
      <c r="AF33" s="32">
        <f>IFERROR(VLOOKUP($A33,subQ,MATCH(AF$1,SUBQH,0),0),"")</f>
        <v/>
      </c>
      <c r="AG33" s="32">
        <f>IFERROR(VLOOKUP($A33,subQ,MATCH(AG$1,SUBQH,0),0),"")</f>
        <v/>
      </c>
    </row>
    <row r="34">
      <c r="A34" s="12" t="inlineStr">
        <is>
          <t>EPS</t>
        </is>
      </c>
      <c r="D34" t="inlineStr">
        <is>
          <t>EPS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18">
        <f>IFERROR(VLOOKUP($A34,subQ,MATCH(I$1,SUBQH,0),0),"")</f>
        <v/>
      </c>
      <c r="J34" s="18">
        <f>IFERROR(VLOOKUP($A34,subQ,MATCH(J$1,SUBQH,0),0),"")</f>
        <v/>
      </c>
      <c r="K34" s="18">
        <f>IFERROR(VLOOKUP($A34,subQ,MATCH(K$1,SUBQH,0),0),"")</f>
        <v/>
      </c>
      <c r="L34" s="18">
        <f>IFERROR(VLOOKUP($A34,subQ,MATCH(L$1,SUBQH,0),0),"")</f>
        <v/>
      </c>
      <c r="M34" s="18">
        <f>IFERROR(VLOOKUP($A34,subQ,MATCH(M$1,SUBQH,0),0),"")</f>
        <v/>
      </c>
      <c r="N34" s="18">
        <f>IFERROR(VLOOKUP($A34,subQ,MATCH(N$1,SUBQH,0),0),"")</f>
        <v/>
      </c>
      <c r="O34" s="18">
        <f>IFERROR(VLOOKUP($A34,subQ,MATCH(O$1,SUBQH,0),0),"")</f>
        <v/>
      </c>
      <c r="P34" s="18">
        <f>IFERROR(VLOOKUP($A34,subQ,MATCH(P$1,SUBQH,0),0),"")</f>
        <v/>
      </c>
      <c r="Q34" s="18">
        <f>IFERROR(VLOOKUP($A34,subQ,MATCH(Q$1,SUBQH,0),0),"")</f>
        <v/>
      </c>
      <c r="R34" s="18">
        <f>IFERROR(VLOOKUP($A34,subQ,MATCH(R$1,SUBQH,0),0),"")</f>
        <v/>
      </c>
      <c r="S34" s="18">
        <f>IFERROR(VLOOKUP($A34,subQ,MATCH(S$1,SUBQH,0),0),"")</f>
        <v/>
      </c>
      <c r="T34" s="18">
        <f>IFERROR(VLOOKUP($A34,subQ,MATCH(T$1,SUBQH,0),0),"")</f>
        <v/>
      </c>
      <c r="U34" s="18">
        <f>IFERROR(VLOOKUP($A34,subQ,MATCH(U$1,SUBQH,0),0),"")</f>
        <v/>
      </c>
      <c r="V34" s="18">
        <f>IFERROR(VLOOKUP($A34,subQ,MATCH(V$1,SUBQH,0),0),"")</f>
        <v/>
      </c>
      <c r="W34" s="47">
        <f>IFERROR(VLOOKUP($A34,subQ,MATCH(W$1,SUBQH,0),0),"")</f>
        <v/>
      </c>
      <c r="X34" s="20">
        <f>IFERROR(VLOOKUP($A34,subQ,MATCH(X$1,SUBQH,0),0),"")</f>
        <v/>
      </c>
      <c r="Y34" s="20">
        <f>IFERROR(VLOOKUP($A34,subQ,MATCH(Y$1,SUBQH,0),0),"")</f>
        <v/>
      </c>
      <c r="Z34" s="20">
        <f>IFERROR(VLOOKUP($A34,subQ,MATCH(Z$1,SUBQH,0),0),"")</f>
        <v/>
      </c>
      <c r="AA34" s="20">
        <f>IFERROR(VLOOKUP($A34,subQ,MATCH(AA$1,SUBQH,0),0),"")</f>
        <v/>
      </c>
      <c r="AB34" s="20">
        <f>IFERROR(VLOOKUP($A34,subQ,MATCH(AB$1,SUBQH,0),0),"")</f>
        <v/>
      </c>
      <c r="AC34" s="20">
        <f>IFERROR(VLOOKUP($A34,subQ,MATCH(AC$1,SUBQH,0),0),"")</f>
        <v/>
      </c>
      <c r="AD34" s="20">
        <f>IFERROR(VLOOKUP($A34,subQ,MATCH(AD$1,SUBQH,0),0),"")</f>
        <v/>
      </c>
      <c r="AE34" s="20">
        <f>IFERROR(VLOOKUP($A34,subQ,MATCH(AE$1,SUBQH,0),0),"")</f>
        <v/>
      </c>
      <c r="AF34" s="20">
        <f>IFERROR(VLOOKUP($A34,subQ,MATCH(AF$1,SUBQH,0),0),"")</f>
        <v/>
      </c>
      <c r="AG34" s="20">
        <f>IFERROR(VLOOKUP($A34,subQ,MATCH(AG$1,SUBQH,0),0),"")</f>
        <v/>
      </c>
    </row>
    <row r="35">
      <c r="A35" s="12" t="inlineStr">
        <is>
          <t>조정EPS</t>
        </is>
      </c>
      <c r="D35" t="inlineStr">
        <is>
          <t>조정 EPS(일회성 의심 분기의 초과 비영업손익 세후 차감 — 모델 추정)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18">
        <f>IFERROR(VLOOKUP($A35,subQ,MATCH(I$1,SUBQH,0),0),"")</f>
        <v/>
      </c>
      <c r="J35" s="18">
        <f>IFERROR(VLOOKUP($A35,subQ,MATCH(J$1,SUBQH,0),0),"")</f>
        <v/>
      </c>
      <c r="K35" s="18">
        <f>IFERROR(VLOOKUP($A35,subQ,MATCH(K$1,SUBQH,0),0),"")</f>
        <v/>
      </c>
      <c r="L35" s="18">
        <f>IFERROR(VLOOKUP($A35,subQ,MATCH(L$1,SUBQH,0),0),"")</f>
        <v/>
      </c>
      <c r="M35" s="18">
        <f>IFERROR(VLOOKUP($A35,subQ,MATCH(M$1,SUBQH,0),0),"")</f>
        <v/>
      </c>
      <c r="N35" s="18">
        <f>IFERROR(VLOOKUP($A35,subQ,MATCH(N$1,SUBQH,0),0),"")</f>
        <v/>
      </c>
      <c r="O35" s="18">
        <f>IFERROR(VLOOKUP($A35,subQ,MATCH(O$1,SUBQH,0),0),"")</f>
        <v/>
      </c>
      <c r="P35" s="18">
        <f>IFERROR(VLOOKUP($A35,subQ,MATCH(P$1,SUBQH,0),0),"")</f>
        <v/>
      </c>
      <c r="Q35" s="18">
        <f>IFERROR(VLOOKUP($A35,subQ,MATCH(Q$1,SUBQH,0),0),"")</f>
        <v/>
      </c>
      <c r="R35" s="18">
        <f>IFERROR(VLOOKUP($A35,subQ,MATCH(R$1,SUBQH,0),0),"")</f>
        <v/>
      </c>
      <c r="S35" s="18">
        <f>IFERROR(VLOOKUP($A35,subQ,MATCH(S$1,SUBQH,0),0),"")</f>
        <v/>
      </c>
      <c r="T35" s="18">
        <f>IFERROR(VLOOKUP($A35,subQ,MATCH(T$1,SUBQH,0),0),"")</f>
        <v/>
      </c>
      <c r="U35" s="18">
        <f>IFERROR(VLOOKUP($A35,subQ,MATCH(U$1,SUBQH,0),0),"")</f>
        <v/>
      </c>
      <c r="V35" s="18">
        <f>IFERROR(VLOOKUP($A35,subQ,MATCH(V$1,SUBQH,0),0),"")</f>
        <v/>
      </c>
      <c r="W35" s="47">
        <f>IFERROR(VLOOKUP($A35,subQ,MATCH(W$1,SUBQH,0),0),"")</f>
        <v/>
      </c>
      <c r="X35" s="20">
        <f>IFERROR(VLOOKUP($A35,subQ,MATCH(X$1,SUBQH,0),0),"")</f>
        <v/>
      </c>
      <c r="Y35" s="20">
        <f>IFERROR(VLOOKUP($A35,subQ,MATCH(Y$1,SUBQH,0),0),"")</f>
        <v/>
      </c>
      <c r="Z35" s="20">
        <f>IFERROR(VLOOKUP($A35,subQ,MATCH(Z$1,SUBQH,0),0),"")</f>
        <v/>
      </c>
      <c r="AA35" s="20">
        <f>IFERROR(VLOOKUP($A35,subQ,MATCH(AA$1,SUBQH,0),0),"")</f>
        <v/>
      </c>
      <c r="AB35" s="20">
        <f>IFERROR(VLOOKUP($A35,subQ,MATCH(AB$1,SUBQH,0),0),"")</f>
        <v/>
      </c>
      <c r="AC35" s="20">
        <f>IFERROR(VLOOKUP($A35,subQ,MATCH(AC$1,SUBQH,0),0),"")</f>
        <v/>
      </c>
      <c r="AD35" s="20">
        <f>IFERROR(VLOOKUP($A35,subQ,MATCH(AD$1,SUBQH,0),0),"")</f>
        <v/>
      </c>
      <c r="AE35" s="20">
        <f>IFERROR(VLOOKUP($A35,subQ,MATCH(AE$1,SUBQH,0),0),"")</f>
        <v/>
      </c>
      <c r="AF35" s="20">
        <f>IFERROR(VLOOKUP($A35,subQ,MATCH(AF$1,SUBQH,0),0),"")</f>
        <v/>
      </c>
      <c r="AG35" s="20">
        <f>IFERROR(VLOOKUP($A35,subQ,MATCH(AG$1,SUBQH,0),0),"")</f>
        <v/>
      </c>
    </row>
    <row r="36">
      <c r="A36" s="12" t="inlineStr">
        <is>
          <t>BPS</t>
        </is>
      </c>
      <c r="D36" t="inlineStr">
        <is>
          <t>BPS</t>
        </is>
      </c>
      <c r="E36" s="18">
        <f>IFERROR(VLOOKUP($A36,subQ,MATCH(E$1,SUBQH,0),0),"")</f>
        <v/>
      </c>
      <c r="F36" s="18">
        <f>IFERROR(VLOOKUP($A36,subQ,MATCH(F$1,SUBQH,0),0),"")</f>
        <v/>
      </c>
      <c r="G36" s="18">
        <f>IFERROR(VLOOKUP($A36,subQ,MATCH(G$1,SUBQH,0),0),"")</f>
        <v/>
      </c>
      <c r="H36" s="18">
        <f>IFERROR(VLOOKUP($A36,subQ,MATCH(H$1,SUBQH,0),0),"")</f>
        <v/>
      </c>
      <c r="I36" s="18">
        <f>IFERROR(VLOOKUP($A36,subQ,MATCH(I$1,SUBQH,0),0),"")</f>
        <v/>
      </c>
      <c r="J36" s="18">
        <f>IFERROR(VLOOKUP($A36,subQ,MATCH(J$1,SUBQH,0),0),"")</f>
        <v/>
      </c>
      <c r="K36" s="18">
        <f>IFERROR(VLOOKUP($A36,subQ,MATCH(K$1,SUBQH,0),0),"")</f>
        <v/>
      </c>
      <c r="L36" s="18">
        <f>IFERROR(VLOOKUP($A36,subQ,MATCH(L$1,SUBQH,0),0),"")</f>
        <v/>
      </c>
      <c r="M36" s="18">
        <f>IFERROR(VLOOKUP($A36,subQ,MATCH(M$1,SUBQH,0),0),"")</f>
        <v/>
      </c>
      <c r="N36" s="18">
        <f>IFERROR(VLOOKUP($A36,subQ,MATCH(N$1,SUBQH,0),0),"")</f>
        <v/>
      </c>
      <c r="O36" s="18">
        <f>IFERROR(VLOOKUP($A36,subQ,MATCH(O$1,SUBQH,0),0),"")</f>
        <v/>
      </c>
      <c r="P36" s="18">
        <f>IFERROR(VLOOKUP($A36,subQ,MATCH(P$1,SUBQH,0),0),"")</f>
        <v/>
      </c>
      <c r="Q36" s="18">
        <f>IFERROR(VLOOKUP($A36,subQ,MATCH(Q$1,SUBQH,0),0),"")</f>
        <v/>
      </c>
      <c r="R36" s="18">
        <f>IFERROR(VLOOKUP($A36,subQ,MATCH(R$1,SUBQH,0),0),"")</f>
        <v/>
      </c>
      <c r="S36" s="18">
        <f>IFERROR(VLOOKUP($A36,subQ,MATCH(S$1,SUBQH,0),0),"")</f>
        <v/>
      </c>
      <c r="T36" s="18">
        <f>IFERROR(VLOOKUP($A36,subQ,MATCH(T$1,SUBQH,0),0),"")</f>
        <v/>
      </c>
      <c r="U36" s="18">
        <f>IFERROR(VLOOKUP($A36,subQ,MATCH(U$1,SUBQH,0),0),"")</f>
        <v/>
      </c>
      <c r="V36" s="18">
        <f>IFERROR(VLOOKUP($A36,subQ,MATCH(V$1,SUBQH,0),0),"")</f>
        <v/>
      </c>
      <c r="W36" s="47">
        <f>IFERROR(VLOOKUP($A36,subQ,MATCH(W$1,SUBQH,0),0),"")</f>
        <v/>
      </c>
      <c r="X36" s="20">
        <f>IFERROR(VLOOKUP($A36,subQ,MATCH(X$1,SUBQH,0),0),"")</f>
        <v/>
      </c>
      <c r="Y36" s="20">
        <f>IFERROR(VLOOKUP($A36,subQ,MATCH(Y$1,SUBQH,0),0),"")</f>
        <v/>
      </c>
      <c r="Z36" s="20">
        <f>IFERROR(VLOOKUP($A36,subQ,MATCH(Z$1,SUBQH,0),0),"")</f>
        <v/>
      </c>
      <c r="AA36" s="20">
        <f>IFERROR(VLOOKUP($A36,subQ,MATCH(AA$1,SUBQH,0),0),"")</f>
        <v/>
      </c>
      <c r="AB36" s="20">
        <f>IFERROR(VLOOKUP($A36,subQ,MATCH(AB$1,SUBQH,0),0),"")</f>
        <v/>
      </c>
      <c r="AC36" s="20">
        <f>IFERROR(VLOOKUP($A36,subQ,MATCH(AC$1,SUBQH,0),0),"")</f>
        <v/>
      </c>
      <c r="AD36" s="20">
        <f>IFERROR(VLOOKUP($A36,subQ,MATCH(AD$1,SUBQH,0),0),"")</f>
        <v/>
      </c>
      <c r="AE36" s="20">
        <f>IFERROR(VLOOKUP($A36,subQ,MATCH(AE$1,SUBQH,0),0),"")</f>
        <v/>
      </c>
      <c r="AF36" s="20">
        <f>IFERROR(VLOOKUP($A36,subQ,MATCH(AF$1,SUBQH,0),0),"")</f>
        <v/>
      </c>
      <c r="AG36" s="20">
        <f>IFERROR(VLOOKUP($A36,subQ,MATCH(AG$1,SUBQH,0),0),"")</f>
        <v/>
      </c>
    </row>
    <row r="37">
      <c r="A37" s="12" t="inlineStr">
        <is>
          <t>DPS</t>
        </is>
      </c>
      <c r="D37" t="inlineStr">
        <is>
          <t>DPS(보통주)</t>
        </is>
      </c>
      <c r="E37" s="18">
        <f>IFERROR(VLOOKUP($A37,subQ,MATCH(E$1,SUBQH,0),0),"")</f>
        <v/>
      </c>
      <c r="F37" s="18">
        <f>IFERROR(VLOOKUP($A37,subQ,MATCH(F$1,SUBQH,0),0),"")</f>
        <v/>
      </c>
      <c r="G37" s="18">
        <f>IFERROR(VLOOKUP($A37,subQ,MATCH(G$1,SUBQH,0),0),"")</f>
        <v/>
      </c>
      <c r="H37" s="18">
        <f>IFERROR(VLOOKUP($A37,subQ,MATCH(H$1,SUBQH,0),0),"")</f>
        <v/>
      </c>
      <c r="I37" s="18">
        <f>IFERROR(VLOOKUP($A37,subQ,MATCH(I$1,SUBQH,0),0),"")</f>
        <v/>
      </c>
      <c r="J37" s="18">
        <f>IFERROR(VLOOKUP($A37,subQ,MATCH(J$1,SUBQH,0),0),"")</f>
        <v/>
      </c>
      <c r="K37" s="18">
        <f>IFERROR(VLOOKUP($A37,subQ,MATCH(K$1,SUBQH,0),0),"")</f>
        <v/>
      </c>
      <c r="L37" s="18">
        <f>IFERROR(VLOOKUP($A37,subQ,MATCH(L$1,SUBQH,0),0),"")</f>
        <v/>
      </c>
      <c r="M37" s="18">
        <f>IFERROR(VLOOKUP($A37,subQ,MATCH(M$1,SUBQH,0),0),"")</f>
        <v/>
      </c>
      <c r="N37" s="18">
        <f>IFERROR(VLOOKUP($A37,subQ,MATCH(N$1,SUBQH,0),0),"")</f>
        <v/>
      </c>
      <c r="O37" s="18">
        <f>IFERROR(VLOOKUP($A37,subQ,MATCH(O$1,SUBQH,0),0),"")</f>
        <v/>
      </c>
      <c r="P37" s="18">
        <f>IFERROR(VLOOKUP($A37,subQ,MATCH(P$1,SUBQH,0),0),"")</f>
        <v/>
      </c>
      <c r="Q37" s="18">
        <f>IFERROR(VLOOKUP($A37,subQ,MATCH(Q$1,SUBQH,0),0),"")</f>
        <v/>
      </c>
      <c r="R37" s="18">
        <f>IFERROR(VLOOKUP($A37,subQ,MATCH(R$1,SUBQH,0),0),"")</f>
        <v/>
      </c>
      <c r="S37" s="18">
        <f>IFERROR(VLOOKUP($A37,subQ,MATCH(S$1,SUBQH,0),0),"")</f>
        <v/>
      </c>
      <c r="T37" s="18">
        <f>IFERROR(VLOOKUP($A37,subQ,MATCH(T$1,SUBQH,0),0),"")</f>
        <v/>
      </c>
      <c r="U37" s="18">
        <f>IFERROR(VLOOKUP($A37,subQ,MATCH(U$1,SUBQH,0),0),"")</f>
        <v/>
      </c>
      <c r="V37" s="18">
        <f>IFERROR(VLOOKUP($A37,subQ,MATCH(V$1,SUBQH,0),0),"")</f>
        <v/>
      </c>
      <c r="W37" s="47">
        <f>IFERROR(VLOOKUP($A37,subQ,MATCH(W$1,SUBQH,0),0),"")</f>
        <v/>
      </c>
      <c r="X37" s="20">
        <f>IFERROR(VLOOKUP($A37,subQ,MATCH(X$1,SUBQH,0),0),"")</f>
        <v/>
      </c>
      <c r="Y37" s="20">
        <f>IFERROR(VLOOKUP($A37,subQ,MATCH(Y$1,SUBQH,0),0),"")</f>
        <v/>
      </c>
      <c r="Z37" s="20">
        <f>IFERROR(VLOOKUP($A37,subQ,MATCH(Z$1,SUBQH,0),0),"")</f>
        <v/>
      </c>
      <c r="AA37" s="20">
        <f>IFERROR(VLOOKUP($A37,subQ,MATCH(AA$1,SUBQH,0),0),"")</f>
        <v/>
      </c>
      <c r="AB37" s="20">
        <f>IFERROR(VLOOKUP($A37,subQ,MATCH(AB$1,SUBQH,0),0),"")</f>
        <v/>
      </c>
      <c r="AC37" s="20">
        <f>IFERROR(VLOOKUP($A37,subQ,MATCH(AC$1,SUBQH,0),0),"")</f>
        <v/>
      </c>
      <c r="AD37" s="20">
        <f>IFERROR(VLOOKUP($A37,subQ,MATCH(AD$1,SUBQH,0),0),"")</f>
        <v/>
      </c>
      <c r="AE37" s="20">
        <f>IFERROR(VLOOKUP($A37,subQ,MATCH(AE$1,SUBQH,0),0),"")</f>
        <v/>
      </c>
      <c r="AF37" s="20">
        <f>IFERROR(VLOOKUP($A37,subQ,MATCH(AF$1,SUBQH,0),0),"")</f>
        <v/>
      </c>
      <c r="AG37" s="20">
        <f>IFERROR(VLOOKUP($A37,subQ,MATCH(AG$1,SUBQH,0),0),"")</f>
        <v/>
      </c>
    </row>
    <row r="38">
      <c r="A38" s="12" t="inlineStr">
        <is>
          <t>PER</t>
        </is>
      </c>
      <c r="D38" t="inlineStr">
        <is>
          <t>PER</t>
        </is>
      </c>
      <c r="E38" s="13">
        <f>IFERROR(VLOOKUP($A38,subQ,MATCH(E$1,SUBQH,0),0),"")</f>
        <v/>
      </c>
      <c r="F38" s="13">
        <f>IFERROR(VLOOKUP($A38,subQ,MATCH(F$1,SUBQH,0),0),"")</f>
        <v/>
      </c>
      <c r="G38" s="13">
        <f>IFERROR(VLOOKUP($A38,subQ,MATCH(G$1,SUBQH,0),0),"")</f>
        <v/>
      </c>
      <c r="H38" s="13">
        <f>IFERROR(VLOOKUP($A38,subQ,MATCH(H$1,SUBQH,0),0),"")</f>
        <v/>
      </c>
      <c r="I38" s="13">
        <f>IFERROR(VLOOKUP($A38,subQ,MATCH(I$1,SUBQH,0),0),"")</f>
        <v/>
      </c>
      <c r="J38" s="13">
        <f>IFERROR(VLOOKUP($A38,subQ,MATCH(J$1,SUBQH,0),0),"")</f>
        <v/>
      </c>
      <c r="K38" s="13">
        <f>IFERROR(VLOOKUP($A38,subQ,MATCH(K$1,SUBQH,0),0),"")</f>
        <v/>
      </c>
      <c r="L38" s="13">
        <f>IFERROR(VLOOKUP($A38,subQ,MATCH(L$1,SUBQH,0),0),"")</f>
        <v/>
      </c>
      <c r="M38" s="13">
        <f>IFERROR(VLOOKUP($A38,subQ,MATCH(M$1,SUBQH,0),0),"")</f>
        <v/>
      </c>
      <c r="N38" s="13">
        <f>IFERROR(VLOOKUP($A38,subQ,MATCH(N$1,SUBQH,0),0),"")</f>
        <v/>
      </c>
      <c r="O38" s="13">
        <f>IFERROR(VLOOKUP($A38,subQ,MATCH(O$1,SUBQH,0),0),"")</f>
        <v/>
      </c>
      <c r="P38" s="13">
        <f>IFERROR(VLOOKUP($A38,subQ,MATCH(P$1,SUBQH,0),0),"")</f>
        <v/>
      </c>
      <c r="Q38" s="13">
        <f>IFERROR(VLOOKUP($A38,subQ,MATCH(Q$1,SUBQH,0),0),"")</f>
        <v/>
      </c>
      <c r="R38" s="13">
        <f>IFERROR(VLOOKUP($A38,subQ,MATCH(R$1,SUBQH,0),0),"")</f>
        <v/>
      </c>
      <c r="S38" s="13">
        <f>IFERROR(VLOOKUP($A38,subQ,MATCH(S$1,SUBQH,0),0),"")</f>
        <v/>
      </c>
      <c r="T38" s="13">
        <f>IFERROR(VLOOKUP($A38,subQ,MATCH(T$1,SUBQH,0),0),"")</f>
        <v/>
      </c>
      <c r="U38" s="13">
        <f>IFERROR(VLOOKUP($A38,subQ,MATCH(U$1,SUBQH,0),0),"")</f>
        <v/>
      </c>
      <c r="V38" s="13">
        <f>IFERROR(VLOOKUP($A38,subQ,MATCH(V$1,SUBQH,0),0),"")</f>
        <v/>
      </c>
      <c r="W38" s="50">
        <f>IFERROR(VLOOKUP($A38,subQ,MATCH(W$1,SUBQH,0),0),"")</f>
        <v/>
      </c>
      <c r="X38" s="41">
        <f>IFERROR(VLOOKUP($A38,subQ,MATCH(X$1,SUBQH,0),0),"")</f>
        <v/>
      </c>
      <c r="Y38" s="41">
        <f>IFERROR(VLOOKUP($A38,subQ,MATCH(Y$1,SUBQH,0),0),"")</f>
        <v/>
      </c>
      <c r="Z38" s="41">
        <f>IFERROR(VLOOKUP($A38,subQ,MATCH(Z$1,SUBQH,0),0),"")</f>
        <v/>
      </c>
      <c r="AA38" s="41">
        <f>IFERROR(VLOOKUP($A38,subQ,MATCH(AA$1,SUBQH,0),0),"")</f>
        <v/>
      </c>
      <c r="AB38" s="41">
        <f>IFERROR(VLOOKUP($A38,subQ,MATCH(AB$1,SUBQH,0),0),"")</f>
        <v/>
      </c>
      <c r="AC38" s="41">
        <f>IFERROR(VLOOKUP($A38,subQ,MATCH(AC$1,SUBQH,0),0),"")</f>
        <v/>
      </c>
      <c r="AD38" s="41">
        <f>IFERROR(VLOOKUP($A38,subQ,MATCH(AD$1,SUBQH,0),0),"")</f>
        <v/>
      </c>
      <c r="AE38" s="41">
        <f>IFERROR(VLOOKUP($A38,subQ,MATCH(AE$1,SUBQH,0),0),"")</f>
        <v/>
      </c>
      <c r="AF38" s="41">
        <f>IFERROR(VLOOKUP($A38,subQ,MATCH(AF$1,SUBQH,0),0),"")</f>
        <v/>
      </c>
      <c r="AG38" s="41">
        <f>IFERROR(VLOOKUP($A38,subQ,MATCH(AG$1,SUBQH,0),0),"")</f>
        <v/>
      </c>
    </row>
    <row r="39">
      <c r="A39" s="12" t="inlineStr">
        <is>
          <t>PBR</t>
        </is>
      </c>
      <c r="D39" t="inlineStr">
        <is>
          <t>PBR</t>
        </is>
      </c>
      <c r="E39" s="13">
        <f>IFERROR(VLOOKUP($A39,subQ,MATCH(E$1,SUBQH,0),0),"")</f>
        <v/>
      </c>
      <c r="F39" s="13">
        <f>IFERROR(VLOOKUP($A39,subQ,MATCH(F$1,SUBQH,0),0),"")</f>
        <v/>
      </c>
      <c r="G39" s="13">
        <f>IFERROR(VLOOKUP($A39,subQ,MATCH(G$1,SUBQH,0),0),"")</f>
        <v/>
      </c>
      <c r="H39" s="13">
        <f>IFERROR(VLOOKUP($A39,subQ,MATCH(H$1,SUBQH,0),0),"")</f>
        <v/>
      </c>
      <c r="I39" s="13">
        <f>IFERROR(VLOOKUP($A39,subQ,MATCH(I$1,SUBQH,0),0),"")</f>
        <v/>
      </c>
      <c r="J39" s="13">
        <f>IFERROR(VLOOKUP($A39,subQ,MATCH(J$1,SUBQH,0),0),"")</f>
        <v/>
      </c>
      <c r="K39" s="13">
        <f>IFERROR(VLOOKUP($A39,subQ,MATCH(K$1,SUBQH,0),0),"")</f>
        <v/>
      </c>
      <c r="L39" s="13">
        <f>IFERROR(VLOOKUP($A39,subQ,MATCH(L$1,SUBQH,0),0),"")</f>
        <v/>
      </c>
      <c r="M39" s="13">
        <f>IFERROR(VLOOKUP($A39,subQ,MATCH(M$1,SUBQH,0),0),"")</f>
        <v/>
      </c>
      <c r="N39" s="13">
        <f>IFERROR(VLOOKUP($A39,subQ,MATCH(N$1,SUBQH,0),0),"")</f>
        <v/>
      </c>
      <c r="O39" s="13">
        <f>IFERROR(VLOOKUP($A39,subQ,MATCH(O$1,SUBQH,0),0),"")</f>
        <v/>
      </c>
      <c r="P39" s="13">
        <f>IFERROR(VLOOKUP($A39,subQ,MATCH(P$1,SUBQH,0),0),"")</f>
        <v/>
      </c>
      <c r="Q39" s="13">
        <f>IFERROR(VLOOKUP($A39,subQ,MATCH(Q$1,SUBQH,0),0),"")</f>
        <v/>
      </c>
      <c r="R39" s="13">
        <f>IFERROR(VLOOKUP($A39,subQ,MATCH(R$1,SUBQH,0),0),"")</f>
        <v/>
      </c>
      <c r="S39" s="13">
        <f>IFERROR(VLOOKUP($A39,subQ,MATCH(S$1,SUBQH,0),0),"")</f>
        <v/>
      </c>
      <c r="T39" s="13">
        <f>IFERROR(VLOOKUP($A39,subQ,MATCH(T$1,SUBQH,0),0),"")</f>
        <v/>
      </c>
      <c r="U39" s="13">
        <f>IFERROR(VLOOKUP($A39,subQ,MATCH(U$1,SUBQH,0),0),"")</f>
        <v/>
      </c>
      <c r="V39" s="13">
        <f>IFERROR(VLOOKUP($A39,subQ,MATCH(V$1,SUBQH,0),0),"")</f>
        <v/>
      </c>
      <c r="W39" s="50">
        <f>IFERROR(VLOOKUP($A39,subQ,MATCH(W$1,SUBQH,0),0),"")</f>
        <v/>
      </c>
      <c r="X39" s="41">
        <f>IFERROR(VLOOKUP($A39,subQ,MATCH(X$1,SUBQH,0),0),"")</f>
        <v/>
      </c>
      <c r="Y39" s="41">
        <f>IFERROR(VLOOKUP($A39,subQ,MATCH(Y$1,SUBQH,0),0),"")</f>
        <v/>
      </c>
      <c r="Z39" s="41">
        <f>IFERROR(VLOOKUP($A39,subQ,MATCH(Z$1,SUBQH,0),0),"")</f>
        <v/>
      </c>
      <c r="AA39" s="41">
        <f>IFERROR(VLOOKUP($A39,subQ,MATCH(AA$1,SUBQH,0),0),"")</f>
        <v/>
      </c>
      <c r="AB39" s="41">
        <f>IFERROR(VLOOKUP($A39,subQ,MATCH(AB$1,SUBQH,0),0),"")</f>
        <v/>
      </c>
      <c r="AC39" s="41">
        <f>IFERROR(VLOOKUP($A39,subQ,MATCH(AC$1,SUBQH,0),0),"")</f>
        <v/>
      </c>
      <c r="AD39" s="41">
        <f>IFERROR(VLOOKUP($A39,subQ,MATCH(AD$1,SUBQH,0),0),"")</f>
        <v/>
      </c>
      <c r="AE39" s="41">
        <f>IFERROR(VLOOKUP($A39,subQ,MATCH(AE$1,SUBQH,0),0),"")</f>
        <v/>
      </c>
      <c r="AF39" s="41">
        <f>IFERROR(VLOOKUP($A39,subQ,MATCH(AF$1,SUBQH,0),0),"")</f>
        <v/>
      </c>
      <c r="AG39" s="41">
        <f>IFERROR(VLOOKUP($A39,subQ,MATCH(AG$1,SUBQH,0),0),"")</f>
        <v/>
      </c>
    </row>
    <row r="40">
      <c r="A40" s="12" t="inlineStr">
        <is>
          <t>매출전사</t>
        </is>
      </c>
      <c r="D40" t="inlineStr">
        <is>
          <t>매출 전사(부문 미분리)</t>
        </is>
      </c>
      <c r="E40" s="18">
        <f>IFERROR(VLOOKUP($A40,subQ,MATCH(E$1,SUBQH,0),0),"")</f>
        <v/>
      </c>
      <c r="F40" s="18">
        <f>IFERROR(VLOOKUP($A40,subQ,MATCH(F$1,SUBQH,0),0),"")</f>
        <v/>
      </c>
      <c r="G40" s="18">
        <f>IFERROR(VLOOKUP($A40,subQ,MATCH(G$1,SUBQH,0),0),"")</f>
        <v/>
      </c>
      <c r="H40" s="18">
        <f>IFERROR(VLOOKUP($A40,subQ,MATCH(H$1,SUBQH,0),0),"")</f>
        <v/>
      </c>
      <c r="I40" s="18">
        <f>IFERROR(VLOOKUP($A40,subQ,MATCH(I$1,SUBQH,0),0),"")</f>
        <v/>
      </c>
      <c r="J40" s="18">
        <f>IFERROR(VLOOKUP($A40,subQ,MATCH(J$1,SUBQH,0),0),"")</f>
        <v/>
      </c>
      <c r="K40" s="18">
        <f>IFERROR(VLOOKUP($A40,subQ,MATCH(K$1,SUBQH,0),0),"")</f>
        <v/>
      </c>
      <c r="L40" s="18">
        <f>IFERROR(VLOOKUP($A40,subQ,MATCH(L$1,SUBQH,0),0),"")</f>
        <v/>
      </c>
      <c r="M40" s="18">
        <f>IFERROR(VLOOKUP($A40,subQ,MATCH(M$1,SUBQH,0),0),"")</f>
        <v/>
      </c>
      <c r="N40" s="18">
        <f>IFERROR(VLOOKUP($A40,subQ,MATCH(N$1,SUBQH,0),0),"")</f>
        <v/>
      </c>
      <c r="O40" s="18">
        <f>IFERROR(VLOOKUP($A40,subQ,MATCH(O$1,SUBQH,0),0),"")</f>
        <v/>
      </c>
      <c r="P40" s="18">
        <f>IFERROR(VLOOKUP($A40,subQ,MATCH(P$1,SUBQH,0),0),"")</f>
        <v/>
      </c>
      <c r="Q40" s="18">
        <f>IFERROR(VLOOKUP($A40,subQ,MATCH(Q$1,SUBQH,0),0),"")</f>
        <v/>
      </c>
      <c r="R40" s="18">
        <f>IFERROR(VLOOKUP($A40,subQ,MATCH(R$1,SUBQH,0),0),"")</f>
        <v/>
      </c>
      <c r="S40" s="18">
        <f>IFERROR(VLOOKUP($A40,subQ,MATCH(S$1,SUBQH,0),0),"")</f>
        <v/>
      </c>
      <c r="T40" s="18">
        <f>IFERROR(VLOOKUP($A40,subQ,MATCH(T$1,SUBQH,0),0),"")</f>
        <v/>
      </c>
      <c r="U40" s="18">
        <f>IFERROR(VLOOKUP($A40,subQ,MATCH(U$1,SUBQH,0),0),"")</f>
        <v/>
      </c>
      <c r="V40" s="18">
        <f>IFERROR(VLOOKUP($A40,subQ,MATCH(V$1,SUBQH,0),0),"")</f>
        <v/>
      </c>
      <c r="W40" s="47">
        <f>IFERROR(VLOOKUP($A40,subQ,MATCH(W$1,SUBQH,0),0),"")</f>
        <v/>
      </c>
      <c r="X40" s="20">
        <f>IFERROR(VLOOKUP($A40,subQ,MATCH(X$1,SUBQH,0),0),"")</f>
        <v/>
      </c>
      <c r="Y40" s="20">
        <f>IFERROR(VLOOKUP($A40,subQ,MATCH(Y$1,SUBQH,0),0),"")</f>
        <v/>
      </c>
      <c r="Z40" s="20">
        <f>IFERROR(VLOOKUP($A40,subQ,MATCH(Z$1,SUBQH,0),0),"")</f>
        <v/>
      </c>
      <c r="AA40" s="20">
        <f>IFERROR(VLOOKUP($A40,subQ,MATCH(AA$1,SUBQH,0),0),"")</f>
        <v/>
      </c>
      <c r="AB40" s="20">
        <f>IFERROR(VLOOKUP($A40,subQ,MATCH(AB$1,SUBQH,0),0),"")</f>
        <v/>
      </c>
      <c r="AC40" s="20">
        <f>IFERROR(VLOOKUP($A40,subQ,MATCH(AC$1,SUBQH,0),0),"")</f>
        <v/>
      </c>
      <c r="AD40" s="20">
        <f>IFERROR(VLOOKUP($A40,subQ,MATCH(AD$1,SUBQH,0),0),"")</f>
        <v/>
      </c>
      <c r="AE40" s="20">
        <f>IFERROR(VLOOKUP($A40,subQ,MATCH(AE$1,SUBQH,0),0),"")</f>
        <v/>
      </c>
      <c r="AF40" s="20">
        <f>IFERROR(VLOOKUP($A40,subQ,MATCH(AF$1,SUBQH,0),0),"")</f>
        <v/>
      </c>
      <c r="AG40" s="20">
        <f>IFERROR(VLOOKUP($A40,subQ,MATCH(AG$1,SUBQH,0),0),"")</f>
        <v/>
      </c>
    </row>
    <row r="41">
      <c r="A41" s="12" t="inlineStr">
        <is>
          <t>OP전사</t>
        </is>
      </c>
      <c r="D41" t="inlineStr">
        <is>
          <t>OP 전사(부문 미분리)</t>
        </is>
      </c>
      <c r="E41" s="18">
        <f>IFERROR(VLOOKUP($A41,subQ,MATCH(E$1,SUBQH,0),0),"")</f>
        <v/>
      </c>
      <c r="F41" s="18">
        <f>IFERROR(VLOOKUP($A41,subQ,MATCH(F$1,SUBQH,0),0),"")</f>
        <v/>
      </c>
      <c r="G41" s="18">
        <f>IFERROR(VLOOKUP($A41,subQ,MATCH(G$1,SUBQH,0),0),"")</f>
        <v/>
      </c>
      <c r="H41" s="18">
        <f>IFERROR(VLOOKUP($A41,subQ,MATCH(H$1,SUBQH,0),0),"")</f>
        <v/>
      </c>
      <c r="I41" s="18">
        <f>IFERROR(VLOOKUP($A41,subQ,MATCH(I$1,SUBQH,0),0),"")</f>
        <v/>
      </c>
      <c r="J41" s="18">
        <f>IFERROR(VLOOKUP($A41,subQ,MATCH(J$1,SUBQH,0),0),"")</f>
        <v/>
      </c>
      <c r="K41" s="18">
        <f>IFERROR(VLOOKUP($A41,subQ,MATCH(K$1,SUBQH,0),0),"")</f>
        <v/>
      </c>
      <c r="L41" s="18">
        <f>IFERROR(VLOOKUP($A41,subQ,MATCH(L$1,SUBQH,0),0),"")</f>
        <v/>
      </c>
      <c r="M41" s="18">
        <f>IFERROR(VLOOKUP($A41,subQ,MATCH(M$1,SUBQH,0),0),"")</f>
        <v/>
      </c>
      <c r="N41" s="18">
        <f>IFERROR(VLOOKUP($A41,subQ,MATCH(N$1,SUBQH,0),0),"")</f>
        <v/>
      </c>
      <c r="O41" s="18">
        <f>IFERROR(VLOOKUP($A41,subQ,MATCH(O$1,SUBQH,0),0),"")</f>
        <v/>
      </c>
      <c r="P41" s="18">
        <f>IFERROR(VLOOKUP($A41,subQ,MATCH(P$1,SUBQH,0),0),"")</f>
        <v/>
      </c>
      <c r="Q41" s="18">
        <f>IFERROR(VLOOKUP($A41,subQ,MATCH(Q$1,SUBQH,0),0),"")</f>
        <v/>
      </c>
      <c r="R41" s="18">
        <f>IFERROR(VLOOKUP($A41,subQ,MATCH(R$1,SUBQH,0),0),"")</f>
        <v/>
      </c>
      <c r="S41" s="18">
        <f>IFERROR(VLOOKUP($A41,subQ,MATCH(S$1,SUBQH,0),0),"")</f>
        <v/>
      </c>
      <c r="T41" s="18">
        <f>IFERROR(VLOOKUP($A41,subQ,MATCH(T$1,SUBQH,0),0),"")</f>
        <v/>
      </c>
      <c r="U41" s="18">
        <f>IFERROR(VLOOKUP($A41,subQ,MATCH(U$1,SUBQH,0),0),"")</f>
        <v/>
      </c>
      <c r="V41" s="18">
        <f>IFERROR(VLOOKUP($A41,subQ,MATCH(V$1,SUBQH,0),0),"")</f>
        <v/>
      </c>
      <c r="W41" s="47">
        <f>IFERROR(VLOOKUP($A41,subQ,MATCH(W$1,SUBQH,0),0),"")</f>
        <v/>
      </c>
      <c r="X41" s="20">
        <f>IFERROR(VLOOKUP($A41,subQ,MATCH(X$1,SUBQH,0),0),"")</f>
        <v/>
      </c>
      <c r="Y41" s="20">
        <f>IFERROR(VLOOKUP($A41,subQ,MATCH(Y$1,SUBQH,0),0),"")</f>
        <v/>
      </c>
      <c r="Z41" s="20">
        <f>IFERROR(VLOOKUP($A41,subQ,MATCH(Z$1,SUBQH,0),0),"")</f>
        <v/>
      </c>
      <c r="AA41" s="20">
        <f>IFERROR(VLOOKUP($A41,subQ,MATCH(AA$1,SUBQH,0),0),"")</f>
        <v/>
      </c>
      <c r="AB41" s="20">
        <f>IFERROR(VLOOKUP($A41,subQ,MATCH(AB$1,SUBQH,0),0),"")</f>
        <v/>
      </c>
      <c r="AC41" s="20">
        <f>IFERROR(VLOOKUP($A41,subQ,MATCH(AC$1,SUBQH,0),0),"")</f>
        <v/>
      </c>
      <c r="AD41" s="20">
        <f>IFERROR(VLOOKUP($A41,subQ,MATCH(AD$1,SUBQH,0),0),"")</f>
        <v/>
      </c>
      <c r="AE41" s="20">
        <f>IFERROR(VLOOKUP($A41,subQ,MATCH(AE$1,SUBQH,0),0),"")</f>
        <v/>
      </c>
      <c r="AF41" s="20">
        <f>IFERROR(VLOOKUP($A41,subQ,MATCH(AF$1,SUBQH,0),0),"")</f>
        <v/>
      </c>
      <c r="AG41" s="20">
        <f>IFERROR(VLOOKUP($A41,subQ,MATCH(AG$1,SUBQH,0),0),"")</f>
        <v/>
      </c>
    </row>
    <row r="42">
      <c r="A42" s="12" t="inlineStr">
        <is>
          <t>NPM</t>
        </is>
      </c>
      <c r="D42" t="inlineStr">
        <is>
          <t>NPM</t>
        </is>
      </c>
      <c r="E42" s="21">
        <f>IFERROR(VLOOKUP($A42,subQ,MATCH(E$1,SUBQH,0),0),"")</f>
        <v/>
      </c>
      <c r="F42" s="21">
        <f>IFERROR(VLOOKUP($A42,subQ,MATCH(F$1,SUBQH,0),0),"")</f>
        <v/>
      </c>
      <c r="G42" s="21">
        <f>IFERROR(VLOOKUP($A42,subQ,MATCH(G$1,SUBQH,0),0),"")</f>
        <v/>
      </c>
      <c r="H42" s="21">
        <f>IFERROR(VLOOKUP($A42,subQ,MATCH(H$1,SUBQH,0),0),"")</f>
        <v/>
      </c>
      <c r="I42" s="21">
        <f>IFERROR(VLOOKUP($A42,subQ,MATCH(I$1,SUBQH,0),0),"")</f>
        <v/>
      </c>
      <c r="J42" s="21">
        <f>IFERROR(VLOOKUP($A42,subQ,MATCH(J$1,SUBQH,0),0),"")</f>
        <v/>
      </c>
      <c r="K42" s="21">
        <f>IFERROR(VLOOKUP($A42,subQ,MATCH(K$1,SUBQH,0),0),"")</f>
        <v/>
      </c>
      <c r="L42" s="21">
        <f>IFERROR(VLOOKUP($A42,subQ,MATCH(L$1,SUBQH,0),0),"")</f>
        <v/>
      </c>
      <c r="M42" s="21">
        <f>IFERROR(VLOOKUP($A42,subQ,MATCH(M$1,SUBQH,0),0),"")</f>
        <v/>
      </c>
      <c r="N42" s="21">
        <f>IFERROR(VLOOKUP($A42,subQ,MATCH(N$1,SUBQH,0),0),"")</f>
        <v/>
      </c>
      <c r="O42" s="21">
        <f>IFERROR(VLOOKUP($A42,subQ,MATCH(O$1,SUBQH,0),0),"")</f>
        <v/>
      </c>
      <c r="P42" s="21">
        <f>IFERROR(VLOOKUP($A42,subQ,MATCH(P$1,SUBQH,0),0),"")</f>
        <v/>
      </c>
      <c r="Q42" s="21">
        <f>IFERROR(VLOOKUP($A42,subQ,MATCH(Q$1,SUBQH,0),0),"")</f>
        <v/>
      </c>
      <c r="R42" s="21">
        <f>IFERROR(VLOOKUP($A42,subQ,MATCH(R$1,SUBQH,0),0),"")</f>
        <v/>
      </c>
      <c r="S42" s="21">
        <f>IFERROR(VLOOKUP($A42,subQ,MATCH(S$1,SUBQH,0),0),"")</f>
        <v/>
      </c>
      <c r="T42" s="21">
        <f>IFERROR(VLOOKUP($A42,subQ,MATCH(T$1,SUBQH,0),0),"")</f>
        <v/>
      </c>
      <c r="U42" s="21">
        <f>IFERROR(VLOOKUP($A42,subQ,MATCH(U$1,SUBQH,0),0),"")</f>
        <v/>
      </c>
      <c r="V42" s="21">
        <f>IFERROR(VLOOKUP($A42,subQ,MATCH(V$1,SUBQH,0),0),"")</f>
        <v/>
      </c>
      <c r="W42" s="48">
        <f>IFERROR(VLOOKUP($A42,subQ,MATCH(W$1,SUBQH,0),0),"")</f>
        <v/>
      </c>
      <c r="X42" s="33">
        <f>IFERROR(VLOOKUP($A42,subQ,MATCH(X$1,SUBQH,0),0),"")</f>
        <v/>
      </c>
      <c r="Y42" s="33">
        <f>IFERROR(VLOOKUP($A42,subQ,MATCH(Y$1,SUBQH,0),0),"")</f>
        <v/>
      </c>
      <c r="Z42" s="33">
        <f>IFERROR(VLOOKUP($A42,subQ,MATCH(Z$1,SUBQH,0),0),"")</f>
        <v/>
      </c>
      <c r="AA42" s="33">
        <f>IFERROR(VLOOKUP($A42,subQ,MATCH(AA$1,SUBQH,0),0),"")</f>
        <v/>
      </c>
      <c r="AB42" s="33">
        <f>IFERROR(VLOOKUP($A42,subQ,MATCH(AB$1,SUBQH,0),0),"")</f>
        <v/>
      </c>
      <c r="AC42" s="33">
        <f>IFERROR(VLOOKUP($A42,subQ,MATCH(AC$1,SUBQH,0),0),"")</f>
        <v/>
      </c>
      <c r="AD42" s="33">
        <f>IFERROR(VLOOKUP($A42,subQ,MATCH(AD$1,SUBQH,0),0),"")</f>
        <v/>
      </c>
      <c r="AE42" s="33">
        <f>IFERROR(VLOOKUP($A42,subQ,MATCH(AE$1,SUBQH,0),0),"")</f>
        <v/>
      </c>
      <c r="AF42" s="33">
        <f>IFERROR(VLOOKUP($A42,subQ,MATCH(AF$1,SUBQH,0),0),"")</f>
        <v/>
      </c>
      <c r="AG42" s="33">
        <f>IFERROR(VLOOKUP($A42,subQ,MATCH(AG$1,SUBQH,0),0),"")</f>
        <v/>
      </c>
    </row>
    <row r="43">
      <c r="A43" s="12" t="inlineStr">
        <is>
          <t>매출액 YoY</t>
        </is>
      </c>
      <c r="D43" t="inlineStr">
        <is>
          <t>매출액 YoY</t>
        </is>
      </c>
      <c r="I43" s="21">
        <f>IFERROR(I5/E5-1,"")</f>
        <v/>
      </c>
      <c r="J43" s="21">
        <f>IFERROR(J5/F5-1,"")</f>
        <v/>
      </c>
      <c r="K43" s="21">
        <f>IFERROR(K5/G5-1,"")</f>
        <v/>
      </c>
      <c r="L43" s="21">
        <f>IFERROR(L5/H5-1,"")</f>
        <v/>
      </c>
      <c r="M43" s="21">
        <f>IFERROR(M5/I5-1,"")</f>
        <v/>
      </c>
      <c r="N43" s="21">
        <f>IFERROR(N5/J5-1,"")</f>
        <v/>
      </c>
      <c r="O43" s="21">
        <f>IFERROR(O5/K5-1,"")</f>
        <v/>
      </c>
      <c r="P43" s="21">
        <f>IFERROR(P5/L5-1,"")</f>
        <v/>
      </c>
      <c r="Q43" s="21">
        <f>IFERROR(Q5/M5-1,"")</f>
        <v/>
      </c>
      <c r="R43" s="21">
        <f>IFERROR(R5/N5-1,"")</f>
        <v/>
      </c>
      <c r="S43" s="21">
        <f>IFERROR(S5/O5-1,"")</f>
        <v/>
      </c>
      <c r="T43" s="21">
        <f>IFERROR(T5/P5-1,"")</f>
        <v/>
      </c>
      <c r="U43" s="21">
        <f>IFERROR(U5/Q5-1,"")</f>
        <v/>
      </c>
      <c r="V43" s="21">
        <f>IFERROR(V5/R5-1,"")</f>
        <v/>
      </c>
      <c r="W43" s="48">
        <f>IFERROR(W5/S5-1,"")</f>
        <v/>
      </c>
      <c r="X43" s="33">
        <f>IFERROR(X5/T5-1,"")</f>
        <v/>
      </c>
      <c r="Y43" s="33">
        <f>IFERROR(Y5/U5-1,"")</f>
        <v/>
      </c>
      <c r="Z43" s="33">
        <f>IFERROR(Z5/V5-1,"")</f>
        <v/>
      </c>
      <c r="AA43" s="33">
        <f>IFERROR(AA5/W5-1,"")</f>
        <v/>
      </c>
      <c r="AB43" s="33">
        <f>IFERROR(AB5/X5-1,"")</f>
        <v/>
      </c>
      <c r="AC43" s="33">
        <f>IFERROR(AC5/Y5-1,"")</f>
        <v/>
      </c>
      <c r="AD43" s="33">
        <f>IFERROR(AD5/Z5-1,"")</f>
        <v/>
      </c>
      <c r="AE43" s="33">
        <f>IFERROR(AE5/AA5-1,"")</f>
        <v/>
      </c>
      <c r="AF43" s="33">
        <f>IFERROR(AF5/AB5-1,"")</f>
        <v/>
      </c>
      <c r="AG43" s="33">
        <f>IFERROR(AG5/AC5-1,"")</f>
        <v/>
      </c>
    </row>
    <row r="44">
      <c r="A44" s="12" t="inlineStr">
        <is>
          <t>영업이익 YoY</t>
        </is>
      </c>
      <c r="D44" t="inlineStr">
        <is>
          <t>영업이익 YoY</t>
        </is>
      </c>
      <c r="I44" s="21">
        <f>IFERROR(I9/E9-1,"")</f>
        <v/>
      </c>
      <c r="J44" s="21">
        <f>IFERROR(J9/F9-1,"")</f>
        <v/>
      </c>
      <c r="K44" s="21">
        <f>IFERROR(K9/G9-1,"")</f>
        <v/>
      </c>
      <c r="L44" s="21">
        <f>IFERROR(L9/H9-1,"")</f>
        <v/>
      </c>
      <c r="M44" s="21">
        <f>IFERROR(M9/I9-1,"")</f>
        <v/>
      </c>
      <c r="N44" s="21">
        <f>IFERROR(N9/J9-1,"")</f>
        <v/>
      </c>
      <c r="O44" s="21">
        <f>IFERROR(O9/K9-1,"")</f>
        <v/>
      </c>
      <c r="P44" s="21">
        <f>IFERROR(P9/L9-1,"")</f>
        <v/>
      </c>
      <c r="Q44" s="21">
        <f>IFERROR(Q9/M9-1,"")</f>
        <v/>
      </c>
      <c r="R44" s="21">
        <f>IFERROR(R9/N9-1,"")</f>
        <v/>
      </c>
      <c r="S44" s="21">
        <f>IFERROR(S9/O9-1,"")</f>
        <v/>
      </c>
      <c r="T44" s="21">
        <f>IFERROR(T9/P9-1,"")</f>
        <v/>
      </c>
      <c r="U44" s="21">
        <f>IFERROR(U9/Q9-1,"")</f>
        <v/>
      </c>
      <c r="V44" s="21">
        <f>IFERROR(V9/R9-1,"")</f>
        <v/>
      </c>
      <c r="W44" s="48">
        <f>IFERROR(W9/S9-1,"")</f>
        <v/>
      </c>
      <c r="X44" s="33">
        <f>IFERROR(X9/T9-1,"")</f>
        <v/>
      </c>
      <c r="Y44" s="33">
        <f>IFERROR(Y9/U9-1,"")</f>
        <v/>
      </c>
      <c r="Z44" s="33">
        <f>IFERROR(Z9/V9-1,"")</f>
        <v/>
      </c>
      <c r="AA44" s="33">
        <f>IFERROR(AA9/W9-1,"")</f>
        <v/>
      </c>
      <c r="AB44" s="33">
        <f>IFERROR(AB9/X9-1,"")</f>
        <v/>
      </c>
      <c r="AC44" s="33">
        <f>IFERROR(AC9/Y9-1,"")</f>
        <v/>
      </c>
      <c r="AD44" s="33">
        <f>IFERROR(AD9/Z9-1,"")</f>
        <v/>
      </c>
      <c r="AE44" s="33">
        <f>IFERROR(AE9/AA9-1,"")</f>
        <v/>
      </c>
      <c r="AF44" s="33">
        <f>IFERROR(AF9/AB9-1,"")</f>
        <v/>
      </c>
      <c r="AG44" s="33">
        <f>IFERROR(AG9/AC9-1,"")</f>
        <v/>
      </c>
    </row>
    <row r="45">
      <c r="A45" s="12" t="inlineStr">
        <is>
          <t>지배주주순이익 YoY</t>
        </is>
      </c>
      <c r="D45" t="inlineStr">
        <is>
          <t>지배주주순이익 YoY</t>
        </is>
      </c>
      <c r="I45" s="21">
        <f>IFERROR(I21/E21-1,"")</f>
        <v/>
      </c>
      <c r="J45" s="21">
        <f>IFERROR(J21/F21-1,"")</f>
        <v/>
      </c>
      <c r="K45" s="21">
        <f>IFERROR(K21/G21-1,"")</f>
        <v/>
      </c>
      <c r="L45" s="21">
        <f>IFERROR(L21/H21-1,"")</f>
        <v/>
      </c>
      <c r="M45" s="21">
        <f>IFERROR(M21/I21-1,"")</f>
        <v/>
      </c>
      <c r="N45" s="21">
        <f>IFERROR(N21/J21-1,"")</f>
        <v/>
      </c>
      <c r="O45" s="21">
        <f>IFERROR(O21/K21-1,"")</f>
        <v/>
      </c>
      <c r="P45" s="21">
        <f>IFERROR(P21/L21-1,"")</f>
        <v/>
      </c>
      <c r="Q45" s="21">
        <f>IFERROR(Q21/M21-1,"")</f>
        <v/>
      </c>
      <c r="R45" s="21">
        <f>IFERROR(R21/N21-1,"")</f>
        <v/>
      </c>
      <c r="S45" s="21">
        <f>IFERROR(S21/O21-1,"")</f>
        <v/>
      </c>
      <c r="T45" s="21">
        <f>IFERROR(T21/P21-1,"")</f>
        <v/>
      </c>
      <c r="U45" s="21">
        <f>IFERROR(U21/Q21-1,"")</f>
        <v/>
      </c>
      <c r="V45" s="21">
        <f>IFERROR(V21/R21-1,"")</f>
        <v/>
      </c>
      <c r="W45" s="48">
        <f>IFERROR(W21/S21-1,"")</f>
        <v/>
      </c>
      <c r="X45" s="33">
        <f>IFERROR(X21/T21-1,"")</f>
        <v/>
      </c>
      <c r="Y45" s="33">
        <f>IFERROR(Y21/U21-1,"")</f>
        <v/>
      </c>
      <c r="Z45" s="33">
        <f>IFERROR(Z21/V21-1,"")</f>
        <v/>
      </c>
      <c r="AA45" s="33">
        <f>IFERROR(AA21/W21-1,"")</f>
        <v/>
      </c>
      <c r="AB45" s="33">
        <f>IFERROR(AB21/X21-1,"")</f>
        <v/>
      </c>
      <c r="AC45" s="33">
        <f>IFERROR(AC21/Y21-1,"")</f>
        <v/>
      </c>
      <c r="AD45" s="33">
        <f>IFERROR(AD21/Z21-1,"")</f>
        <v/>
      </c>
      <c r="AE45" s="33">
        <f>IFERROR(AE21/AA21-1,"")</f>
        <v/>
      </c>
      <c r="AF45" s="33">
        <f>IFERROR(AF21/AB21-1,"")</f>
        <v/>
      </c>
      <c r="AG45" s="33">
        <f>IFERROR(AG21/AC21-1,"")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C1" s="2" t="inlineStr">
        <is>
          <t>이름: 연간예상H — subQ 를 이름으로 VLOOKUP(억원)</t>
        </is>
      </c>
      <c r="E1" s="3" t="n">
        <v>2021</v>
      </c>
      <c r="F1" s="3" t="n">
        <v>2022</v>
      </c>
      <c r="G1" s="3" t="n">
        <v>2023</v>
      </c>
      <c r="H1" s="3" t="n">
        <v>2024</v>
      </c>
      <c r="I1" s="43" t="n">
        <v>2025</v>
      </c>
      <c r="J1" s="3" t="n">
        <v>2026</v>
      </c>
      <c r="K1" s="3" t="n">
        <v>2027</v>
      </c>
      <c r="L1" s="3" t="n">
        <v>2028</v>
      </c>
    </row>
    <row r="2">
      <c r="C2" t="inlineStr">
        <is>
          <t>종가:</t>
        </is>
      </c>
      <c r="D2" s="18">
        <f>변수!D45</f>
        <v/>
      </c>
      <c r="I2" s="44" t="n"/>
    </row>
    <row r="3">
      <c r="C3" t="inlineStr">
        <is>
          <t>기준일:</t>
        </is>
      </c>
      <c r="D3" t="inlineStr">
        <is>
          <t>20261008</t>
        </is>
      </c>
      <c r="E3" s="2" t="n">
        <v>1</v>
      </c>
      <c r="F3" s="2" t="n">
        <v>2</v>
      </c>
      <c r="G3" s="2" t="n">
        <v>3</v>
      </c>
      <c r="H3" s="2" t="n">
        <v>4</v>
      </c>
      <c r="I3" s="45" t="n">
        <v>5</v>
      </c>
      <c r="J3" s="2" t="n">
        <v>6</v>
      </c>
      <c r="K3" s="2" t="n">
        <v>7</v>
      </c>
      <c r="L3" s="2" t="n">
        <v>8</v>
      </c>
    </row>
    <row r="4">
      <c r="E4" s="7" t="inlineStr">
        <is>
          <t>2021.12A</t>
        </is>
      </c>
      <c r="F4" s="7" t="inlineStr">
        <is>
          <t>2022.12A</t>
        </is>
      </c>
      <c r="G4" s="7" t="inlineStr">
        <is>
          <t>2023.12A</t>
        </is>
      </c>
      <c r="H4" s="7" t="inlineStr">
        <is>
          <t>2024.12A</t>
        </is>
      </c>
      <c r="I4" s="46" t="inlineStr">
        <is>
          <t>2025.12A</t>
        </is>
      </c>
      <c r="J4" s="7" t="inlineStr">
        <is>
          <t>2026.12A</t>
        </is>
      </c>
      <c r="K4" s="7" t="inlineStr">
        <is>
          <t>2027.12A</t>
        </is>
      </c>
      <c r="L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47">
        <f>IFERROR(VLOOKUP($A5,subQ,MATCH(I$1,SUBQH,0),0),"")</f>
        <v/>
      </c>
      <c r="J5" s="20">
        <f>IFERROR(VLOOKUP($A5,subQ,MATCH(J$1,SUBQH,0),0),"")</f>
        <v/>
      </c>
      <c r="K5" s="20">
        <f>IFERROR(VLOOKUP($A5,subQ,MATCH(K$1,SUBQH,0),0),"")</f>
        <v/>
      </c>
      <c r="L5" s="20">
        <f>IFERROR(VLOOKUP($A5,subQ,MATCH(L$1,SUBQH,0),0),"")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47">
        <f>IFERROR(VLOOKUP($A6,subQ,MATCH(I$1,SUBQH,0),0),"")</f>
        <v/>
      </c>
      <c r="J6" s="20">
        <f>IFERROR(VLOOKUP($A6,subQ,MATCH(J$1,SUBQH,0),0),"")</f>
        <v/>
      </c>
      <c r="K6" s="20">
        <f>IFERROR(VLOOKUP($A6,subQ,MATCH(K$1,SUBQH,0),0),"")</f>
        <v/>
      </c>
      <c r="L6" s="20">
        <f>IFERROR(VLOOKUP($A6,subQ,MATCH(L$1,SUBQH,0),0),"")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47">
        <f>IFERROR(VLOOKUP($A7,subQ,MATCH(I$1,SUBQH,0),0),"")</f>
        <v/>
      </c>
      <c r="J7" s="20">
        <f>IFERROR(VLOOKUP($A7,subQ,MATCH(J$1,SUBQH,0),0),"")</f>
        <v/>
      </c>
      <c r="K7" s="20">
        <f>IFERROR(VLOOKUP($A7,subQ,MATCH(K$1,SUBQH,0),0),"")</f>
        <v/>
      </c>
      <c r="L7" s="20">
        <f>IFERROR(VLOOKUP($A7,subQ,MATCH(L$1,SUBQH,0),0),"")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47">
        <f>IFERROR(VLOOKUP($A8,subQ,MATCH(I$1,SUBQH,0),0),"")</f>
        <v/>
      </c>
      <c r="J8" s="20">
        <f>IFERROR(VLOOKUP($A8,subQ,MATCH(J$1,SUBQH,0),0),"")</f>
        <v/>
      </c>
      <c r="K8" s="20">
        <f>IFERROR(VLOOKUP($A8,subQ,MATCH(K$1,SUBQH,0),0),"")</f>
        <v/>
      </c>
      <c r="L8" s="20">
        <f>IFERROR(VLOOKUP($A8,subQ,MATCH(L$1,SUBQH,0),0),"")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47">
        <f>IFERROR(VLOOKUP($A9,subQ,MATCH(I$1,SUBQH,0),0),"")</f>
        <v/>
      </c>
      <c r="J9" s="20">
        <f>IFERROR(VLOOKUP($A9,subQ,MATCH(J$1,SUBQH,0),0),"")</f>
        <v/>
      </c>
      <c r="K9" s="20">
        <f>IFERROR(VLOOKUP($A9,subQ,MATCH(K$1,SUBQH,0),0),"")</f>
        <v/>
      </c>
      <c r="L9" s="20">
        <f>IFERROR(VLOOKUP($A9,subQ,MATCH(L$1,SUBQH,0),0),"")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48">
        <f>IFERROR(VLOOKUP($A10,subQ,MATCH(I$1,SUBQH,0),0),"")</f>
        <v/>
      </c>
      <c r="J10" s="33">
        <f>IFERROR(VLOOKUP($A10,subQ,MATCH(J$1,SUBQH,0),0),"")</f>
        <v/>
      </c>
      <c r="K10" s="33">
        <f>IFERROR(VLOOKUP($A10,subQ,MATCH(K$1,SUBQH,0),0),"")</f>
        <v/>
      </c>
      <c r="L10" s="33">
        <f>IFERROR(VLOOKUP($A10,subQ,MATCH(L$1,SUBQH,0),0),"")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47">
        <f>IFERROR(VLOOKUP($A11,subQ,MATCH(I$1,SUBQH,0),0),"")</f>
        <v/>
      </c>
      <c r="J11" s="20">
        <f>IFERROR(VLOOKUP($A11,subQ,MATCH(J$1,SUBQH,0),0),"")</f>
        <v/>
      </c>
      <c r="K11" s="20">
        <f>IFERROR(VLOOKUP($A11,subQ,MATCH(K$1,SUBQH,0),0),"")</f>
        <v/>
      </c>
      <c r="L11" s="20">
        <f>IFERROR(VLOOKUP($A11,subQ,MATCH(L$1,SUBQH,0),0),"")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47">
        <f>IFERROR(VLOOKUP($A12,subQ,MATCH(I$1,SUBQH,0),0),"")</f>
        <v/>
      </c>
      <c r="J12" s="20">
        <f>IFERROR(VLOOKUP($A12,subQ,MATCH(J$1,SUBQH,0),0),"")</f>
        <v/>
      </c>
      <c r="K12" s="20">
        <f>IFERROR(VLOOKUP($A12,subQ,MATCH(K$1,SUBQH,0),0),"")</f>
        <v/>
      </c>
      <c r="L12" s="20">
        <f>IFERROR(VLOOKUP($A12,subQ,MATCH(L$1,SUBQH,0),0),"")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47">
        <f>IFERROR(VLOOKUP($A13,subQ,MATCH(I$1,SUBQH,0),0),"")</f>
        <v/>
      </c>
      <c r="J13" s="20">
        <f>IFERROR(VLOOKUP($A13,subQ,MATCH(J$1,SUBQH,0),0),"")</f>
        <v/>
      </c>
      <c r="K13" s="20">
        <f>IFERROR(VLOOKUP($A13,subQ,MATCH(K$1,SUBQH,0),0),"")</f>
        <v/>
      </c>
      <c r="L13" s="20">
        <f>IFERROR(VLOOKUP($A13,subQ,MATCH(L$1,SUBQH,0),0),"")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47">
        <f>IFERROR(VLOOKUP($A14,subQ,MATCH(I$1,SUBQH,0),0),"")</f>
        <v/>
      </c>
      <c r="J14" s="20">
        <f>IFERROR(VLOOKUP($A14,subQ,MATCH(J$1,SUBQH,0),0),"")</f>
        <v/>
      </c>
      <c r="K14" s="20">
        <f>IFERROR(VLOOKUP($A14,subQ,MATCH(K$1,SUBQH,0),0),"")</f>
        <v/>
      </c>
      <c r="L14" s="20">
        <f>IFERROR(VLOOKUP($A14,subQ,MATCH(L$1,SUBQH,0),0),"")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47">
        <f>IFERROR(VLOOKUP($A15,subQ,MATCH(I$1,SUBQH,0),0),"")</f>
        <v/>
      </c>
      <c r="J15" s="20">
        <f>IFERROR(VLOOKUP($A15,subQ,MATCH(J$1,SUBQH,0),0),"")</f>
        <v/>
      </c>
      <c r="K15" s="20">
        <f>IFERROR(VLOOKUP($A15,subQ,MATCH(K$1,SUBQH,0),0),"")</f>
        <v/>
      </c>
      <c r="L15" s="20">
        <f>IFERROR(VLOOKUP($A15,subQ,MATCH(L$1,SUBQH,0),0),"")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47">
        <f>IFERROR(VLOOKUP($A16,subQ,MATCH(I$1,SUBQH,0),0),"")</f>
        <v/>
      </c>
      <c r="J16" s="20">
        <f>IFERROR(VLOOKUP($A16,subQ,MATCH(J$1,SUBQH,0),0),"")</f>
        <v/>
      </c>
      <c r="K16" s="20">
        <f>IFERROR(VLOOKUP($A16,subQ,MATCH(K$1,SUBQH,0),0),"")</f>
        <v/>
      </c>
      <c r="L16" s="20">
        <f>IFERROR(VLOOKUP($A16,subQ,MATCH(L$1,SUBQH,0),0),"")</f>
        <v/>
      </c>
    </row>
    <row r="17">
      <c r="A17" s="12" t="inlineStr">
        <is>
          <t>지분법손익</t>
        </is>
      </c>
      <c r="D17" t="inlineStr">
        <is>
          <t>지분법손익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47">
        <f>IFERROR(VLOOKUP($A17,subQ,MATCH(I$1,SUBQH,0),0),"")</f>
        <v/>
      </c>
      <c r="J17" s="20">
        <f>IFERROR(VLOOKUP($A17,subQ,MATCH(J$1,SUBQH,0),0),"")</f>
        <v/>
      </c>
      <c r="K17" s="20">
        <f>IFERROR(VLOOKUP($A17,subQ,MATCH(K$1,SUBQH,0),0),"")</f>
        <v/>
      </c>
      <c r="L17" s="20">
        <f>IFERROR(VLOOKUP($A17,subQ,MATCH(L$1,SUBQH,0),0),"")</f>
        <v/>
      </c>
    </row>
    <row r="18">
      <c r="A18" s="12" t="inlineStr">
        <is>
          <t>세전이익</t>
        </is>
      </c>
      <c r="D18" t="inlineStr">
        <is>
          <t>법인세비용차감전이익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47">
        <f>IFERROR(VLOOKUP($A18,subQ,MATCH(I$1,SUBQH,0),0),"")</f>
        <v/>
      </c>
      <c r="J18" s="20">
        <f>IFERROR(VLOOKUP($A18,subQ,MATCH(J$1,SUBQH,0),0),"")</f>
        <v/>
      </c>
      <c r="K18" s="20">
        <f>IFERROR(VLOOKUP($A18,subQ,MATCH(K$1,SUBQH,0),0),"")</f>
        <v/>
      </c>
      <c r="L18" s="20">
        <f>IFERROR(VLOOKUP($A18,subQ,MATCH(L$1,SUBQH,0),0),"")</f>
        <v/>
      </c>
    </row>
    <row r="19">
      <c r="A19" s="12" t="inlineStr">
        <is>
          <t>법인세비용</t>
        </is>
      </c>
      <c r="D19" t="inlineStr">
        <is>
          <t>법인세비용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47">
        <f>IFERROR(VLOOKUP($A19,subQ,MATCH(I$1,SUBQH,0),0),"")</f>
        <v/>
      </c>
      <c r="J19" s="20">
        <f>IFERROR(VLOOKUP($A19,subQ,MATCH(J$1,SUBQH,0),0),"")</f>
        <v/>
      </c>
      <c r="K19" s="20">
        <f>IFERROR(VLOOKUP($A19,subQ,MATCH(K$1,SUBQH,0),0),"")</f>
        <v/>
      </c>
      <c r="L19" s="20">
        <f>IFERROR(VLOOKUP($A19,subQ,MATCH(L$1,SUBQH,0),0),"")</f>
        <v/>
      </c>
    </row>
    <row r="20">
      <c r="A20" s="12" t="inlineStr">
        <is>
          <t>당기순이익</t>
        </is>
      </c>
      <c r="D20" t="inlineStr">
        <is>
          <t>당기순이익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47">
        <f>IFERROR(VLOOKUP($A20,subQ,MATCH(I$1,SUBQH,0),0),"")</f>
        <v/>
      </c>
      <c r="J20" s="20">
        <f>IFERROR(VLOOKUP($A20,subQ,MATCH(J$1,SUBQH,0),0),"")</f>
        <v/>
      </c>
      <c r="K20" s="20">
        <f>IFERROR(VLOOKUP($A20,subQ,MATCH(K$1,SUBQH,0),0),"")</f>
        <v/>
      </c>
      <c r="L20" s="20">
        <f>IFERROR(VLOOKUP($A20,subQ,MATCH(L$1,SUBQH,0),0),"")</f>
        <v/>
      </c>
    </row>
    <row r="21">
      <c r="A21" s="12" t="inlineStr">
        <is>
          <t>지배주주순이익</t>
        </is>
      </c>
      <c r="D21" t="inlineStr">
        <is>
          <t>지배주주순이익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47">
        <f>IFERROR(VLOOKUP($A21,subQ,MATCH(I$1,SUBQH,0),0),"")</f>
        <v/>
      </c>
      <c r="J21" s="20">
        <f>IFERROR(VLOOKUP($A21,subQ,MATCH(J$1,SUBQH,0),0),"")</f>
        <v/>
      </c>
      <c r="K21" s="20">
        <f>IFERROR(VLOOKUP($A21,subQ,MATCH(K$1,SUBQH,0),0),"")</f>
        <v/>
      </c>
      <c r="L21" s="20">
        <f>IFERROR(VLOOKUP($A21,subQ,MATCH(L$1,SUBQH,0),0),"")</f>
        <v/>
      </c>
    </row>
    <row r="22">
      <c r="A22" s="12" t="inlineStr">
        <is>
          <t>중단사업이익</t>
        </is>
      </c>
      <c r="D22" t="inlineStr">
        <is>
          <t>중단사업이익(실적만)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47">
        <f>IFERROR(VLOOKUP($A22,subQ,MATCH(I$1,SUBQH,0),0),"")</f>
        <v/>
      </c>
      <c r="J22" s="20">
        <f>IFERROR(VLOOKUP($A22,subQ,MATCH(J$1,SUBQH,0),0),"")</f>
        <v/>
      </c>
      <c r="K22" s="20">
        <f>IFERROR(VLOOKUP($A22,subQ,MATCH(K$1,SUBQH,0),0),"")</f>
        <v/>
      </c>
      <c r="L22" s="20">
        <f>IFERROR(VLOOKUP($A22,subQ,MATCH(L$1,SUBQH,0),0),"")</f>
        <v/>
      </c>
    </row>
    <row r="23">
      <c r="A23" s="12" t="inlineStr">
        <is>
          <t>자산총계</t>
        </is>
      </c>
      <c r="D23" t="inlineStr">
        <is>
          <t>자산총계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47">
        <f>IFERROR(VLOOKUP($A23,subQ,MATCH(I$1,SUBQH,0),0),"")</f>
        <v/>
      </c>
      <c r="J23" s="20">
        <f>IFERROR(VLOOKUP($A23,subQ,MATCH(J$1,SUBQH,0),0),"")</f>
        <v/>
      </c>
      <c r="K23" s="20">
        <f>IFERROR(VLOOKUP($A23,subQ,MATCH(K$1,SUBQH,0),0),"")</f>
        <v/>
      </c>
      <c r="L23" s="20">
        <f>IFERROR(VLOOKUP($A23,subQ,MATCH(L$1,SUBQH,0),0),"")</f>
        <v/>
      </c>
    </row>
    <row r="24">
      <c r="A24" s="12" t="inlineStr">
        <is>
          <t>부채총계</t>
        </is>
      </c>
      <c r="D24" t="inlineStr">
        <is>
          <t>부채총계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47">
        <f>IFERROR(VLOOKUP($A24,subQ,MATCH(I$1,SUBQH,0),0),"")</f>
        <v/>
      </c>
      <c r="J24" s="20">
        <f>IFERROR(VLOOKUP($A24,subQ,MATCH(J$1,SUBQH,0),0),"")</f>
        <v/>
      </c>
      <c r="K24" s="20">
        <f>IFERROR(VLOOKUP($A24,subQ,MATCH(K$1,SUBQH,0),0),"")</f>
        <v/>
      </c>
      <c r="L24" s="20">
        <f>IFERROR(VLOOKUP($A24,subQ,MATCH(L$1,SUBQH,0),0),"")</f>
        <v/>
      </c>
    </row>
    <row r="25">
      <c r="A25" s="12" t="inlineStr">
        <is>
          <t>자본총계</t>
        </is>
      </c>
      <c r="D25" t="inlineStr">
        <is>
          <t>자본총계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47">
        <f>IFERROR(VLOOKUP($A25,subQ,MATCH(I$1,SUBQH,0),0),"")</f>
        <v/>
      </c>
      <c r="J25" s="20">
        <f>IFERROR(VLOOKUP($A25,subQ,MATCH(J$1,SUBQH,0),0),"")</f>
        <v/>
      </c>
      <c r="K25" s="20">
        <f>IFERROR(VLOOKUP($A25,subQ,MATCH(K$1,SUBQH,0),0),"")</f>
        <v/>
      </c>
      <c r="L25" s="20">
        <f>IFERROR(VLOOKUP($A25,subQ,MATCH(L$1,SUBQH,0),0),"")</f>
        <v/>
      </c>
    </row>
    <row r="26">
      <c r="A26" s="12" t="inlineStr">
        <is>
          <t>지배주주지분</t>
        </is>
      </c>
      <c r="D26" t="inlineStr">
        <is>
          <t>지배주주지분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47">
        <f>IFERROR(VLOOKUP($A26,subQ,MATCH(I$1,SUBQH,0),0),"")</f>
        <v/>
      </c>
      <c r="J26" s="20">
        <f>IFERROR(VLOOKUP($A26,subQ,MATCH(J$1,SUBQH,0),0),"")</f>
        <v/>
      </c>
      <c r="K26" s="20">
        <f>IFERROR(VLOOKUP($A26,subQ,MATCH(K$1,SUBQH,0),0),"")</f>
        <v/>
      </c>
      <c r="L26" s="20">
        <f>IFERROR(VLOOKUP($A26,subQ,MATCH(L$1,SUBQH,0),0),"")</f>
        <v/>
      </c>
    </row>
    <row r="27">
      <c r="A27" s="12" t="inlineStr">
        <is>
          <t>총차입금</t>
        </is>
      </c>
      <c r="D27" t="inlineStr">
        <is>
          <t>총차입금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47">
        <f>IFERROR(VLOOKUP($A27,subQ,MATCH(I$1,SUBQH,0),0),"")</f>
        <v/>
      </c>
      <c r="J27" s="20">
        <f>IFERROR(VLOOKUP($A27,subQ,MATCH(J$1,SUBQH,0),0),"")</f>
        <v/>
      </c>
      <c r="K27" s="20">
        <f>IFERROR(VLOOKUP($A27,subQ,MATCH(K$1,SUBQH,0),0),"")</f>
        <v/>
      </c>
      <c r="L27" s="20">
        <f>IFERROR(VLOOKUP($A27,subQ,MATCH(L$1,SUBQH,0),0),"")</f>
        <v/>
      </c>
    </row>
    <row r="28">
      <c r="A28" s="12" t="inlineStr">
        <is>
          <t>순차입금</t>
        </is>
      </c>
      <c r="D28" t="inlineStr">
        <is>
          <t>순차입금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47">
        <f>IFERROR(VLOOKUP($A28,subQ,MATCH(I$1,SUBQH,0),0),"")</f>
        <v/>
      </c>
      <c r="J28" s="20">
        <f>IFERROR(VLOOKUP($A28,subQ,MATCH(J$1,SUBQH,0),0),"")</f>
        <v/>
      </c>
      <c r="K28" s="20">
        <f>IFERROR(VLOOKUP($A28,subQ,MATCH(K$1,SUBQH,0),0),"")</f>
        <v/>
      </c>
      <c r="L28" s="20">
        <f>IFERROR(VLOOKUP($A28,subQ,MATCH(L$1,SUBQH,0),0),"")</f>
        <v/>
      </c>
    </row>
    <row r="29">
      <c r="A29" s="12" t="inlineStr">
        <is>
          <t>이자발생자산</t>
        </is>
      </c>
      <c r="D29" t="inlineStr">
        <is>
          <t>이자발생자산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47">
        <f>IFERROR(VLOOKUP($A29,subQ,MATCH(I$1,SUBQH,0),0),"")</f>
        <v/>
      </c>
      <c r="J29" s="20">
        <f>IFERROR(VLOOKUP($A29,subQ,MATCH(J$1,SUBQH,0),0),"")</f>
        <v/>
      </c>
      <c r="K29" s="20">
        <f>IFERROR(VLOOKUP($A29,subQ,MATCH(K$1,SUBQH,0),0),"")</f>
        <v/>
      </c>
      <c r="L29" s="20">
        <f>IFERROR(VLOOKUP($A29,subQ,MATCH(L$1,SUBQH,0),0),"")</f>
        <v/>
      </c>
    </row>
    <row r="30">
      <c r="A30" s="12" t="inlineStr">
        <is>
          <t>현금및현금성자산</t>
        </is>
      </c>
      <c r="D30" t="inlineStr">
        <is>
          <t>현금및현금성자산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47">
        <f>IFERROR(VLOOKUP($A30,subQ,MATCH(I$1,SUBQH,0),0),"")</f>
        <v/>
      </c>
      <c r="J30" s="20">
        <f>IFERROR(VLOOKUP($A30,subQ,MATCH(J$1,SUBQH,0),0),"")</f>
        <v/>
      </c>
      <c r="K30" s="20">
        <f>IFERROR(VLOOKUP($A30,subQ,MATCH(K$1,SUBQH,0),0),"")</f>
        <v/>
      </c>
      <c r="L30" s="20">
        <f>IFERROR(VLOOKUP($A30,subQ,MATCH(L$1,SUBQH,0),0),"")</f>
        <v/>
      </c>
    </row>
    <row r="31">
      <c r="A31" s="12" t="inlineStr">
        <is>
          <t>CAPEX</t>
        </is>
      </c>
      <c r="D31" t="inlineStr">
        <is>
          <t>CAPEX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47">
        <f>IFERROR(VLOOKUP($A31,subQ,MATCH(I$1,SUBQH,0),0),"")</f>
        <v/>
      </c>
      <c r="J31" s="20">
        <f>IFERROR(VLOOKUP($A31,subQ,MATCH(J$1,SUBQH,0),0),"")</f>
        <v/>
      </c>
      <c r="K31" s="20">
        <f>IFERROR(VLOOKUP($A31,subQ,MATCH(K$1,SUBQH,0),0),"")</f>
        <v/>
      </c>
      <c r="L31" s="20">
        <f>IFERROR(VLOOKUP($A31,subQ,MATCH(L$1,SUBQH,0),0),"")</f>
        <v/>
      </c>
    </row>
    <row r="32">
      <c r="A32" s="12" t="inlineStr">
        <is>
          <t>영업활동현금흐름</t>
        </is>
      </c>
      <c r="D32" t="inlineStr">
        <is>
          <t>영업활동현금흐름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47">
        <f>IFERROR(VLOOKUP($A32,subQ,MATCH(I$1,SUBQH,0),0),"")</f>
        <v/>
      </c>
      <c r="J32" s="20">
        <f>IFERROR(VLOOKUP($A32,subQ,MATCH(J$1,SUBQH,0),0),"")</f>
        <v/>
      </c>
      <c r="K32" s="20">
        <f>IFERROR(VLOOKUP($A32,subQ,MATCH(K$1,SUBQH,0),0),"")</f>
        <v/>
      </c>
      <c r="L32" s="20">
        <f>IFERROR(VLOOKUP($A32,subQ,MATCH(L$1,SUBQH,0),0),"")</f>
        <v/>
      </c>
    </row>
    <row r="33">
      <c r="A33" s="12" t="inlineStr">
        <is>
          <t>주식수</t>
        </is>
      </c>
      <c r="D33" t="inlineStr">
        <is>
          <t>유통주식수</t>
        </is>
      </c>
      <c r="E33" s="27">
        <f>IFERROR(VLOOKUP($A33,subQ,MATCH(E$1,SUBQH,0),0),"")</f>
        <v/>
      </c>
      <c r="F33" s="27">
        <f>IFERROR(VLOOKUP($A33,subQ,MATCH(F$1,SUBQH,0),0),"")</f>
        <v/>
      </c>
      <c r="G33" s="27">
        <f>IFERROR(VLOOKUP($A33,subQ,MATCH(G$1,SUBQH,0),0),"")</f>
        <v/>
      </c>
      <c r="H33" s="27">
        <f>IFERROR(VLOOKUP($A33,subQ,MATCH(H$1,SUBQH,0),0),"")</f>
        <v/>
      </c>
      <c r="I33" s="49">
        <f>IFERROR(VLOOKUP($A33,subQ,MATCH(I$1,SUBQH,0),0),"")</f>
        <v/>
      </c>
      <c r="J33" s="32">
        <f>IFERROR(VLOOKUP($A33,subQ,MATCH(J$1,SUBQH,0),0),"")</f>
        <v/>
      </c>
      <c r="K33" s="32">
        <f>IFERROR(VLOOKUP($A33,subQ,MATCH(K$1,SUBQH,0),0),"")</f>
        <v/>
      </c>
      <c r="L33" s="32">
        <f>IFERROR(VLOOKUP($A33,subQ,MATCH(L$1,SUBQH,0),0),"")</f>
        <v/>
      </c>
    </row>
    <row r="34">
      <c r="A34" s="12" t="inlineStr">
        <is>
          <t>EPS</t>
        </is>
      </c>
      <c r="D34" t="inlineStr">
        <is>
          <t>EPS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47">
        <f>IFERROR(VLOOKUP($A34,subQ,MATCH(I$1,SUBQH,0),0),"")</f>
        <v/>
      </c>
      <c r="J34" s="20">
        <f>IFERROR(VLOOKUP($A34,subQ,MATCH(J$1,SUBQH,0),0),"")</f>
        <v/>
      </c>
      <c r="K34" s="20">
        <f>IFERROR(VLOOKUP($A34,subQ,MATCH(K$1,SUBQH,0),0),"")</f>
        <v/>
      </c>
      <c r="L34" s="20">
        <f>IFERROR(VLOOKUP($A34,subQ,MATCH(L$1,SUBQH,0),0),"")</f>
        <v/>
      </c>
    </row>
    <row r="35">
      <c r="A35" s="12" t="inlineStr">
        <is>
          <t>조정EPS</t>
        </is>
      </c>
      <c r="D35" t="inlineStr">
        <is>
          <t>조정 EPS(일회성 의심 분기의 초과 비영업손익 세후 차감 — 모델 추정)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47">
        <f>IFERROR(VLOOKUP($A35,subQ,MATCH(I$1,SUBQH,0),0),"")</f>
        <v/>
      </c>
      <c r="J35" s="20">
        <f>IFERROR(VLOOKUP($A35,subQ,MATCH(J$1,SUBQH,0),0),"")</f>
        <v/>
      </c>
      <c r="K35" s="20">
        <f>IFERROR(VLOOKUP($A35,subQ,MATCH(K$1,SUBQH,0),0),"")</f>
        <v/>
      </c>
      <c r="L35" s="20">
        <f>IFERROR(VLOOKUP($A35,subQ,MATCH(L$1,SUBQH,0),0),"")</f>
        <v/>
      </c>
    </row>
    <row r="36">
      <c r="A36" s="12" t="inlineStr">
        <is>
          <t>BPS</t>
        </is>
      </c>
      <c r="D36" t="inlineStr">
        <is>
          <t>BPS</t>
        </is>
      </c>
      <c r="E36" s="18">
        <f>IFERROR(VLOOKUP($A36,subQ,MATCH(E$1,SUBQH,0),0),"")</f>
        <v/>
      </c>
      <c r="F36" s="18">
        <f>IFERROR(VLOOKUP($A36,subQ,MATCH(F$1,SUBQH,0),0),"")</f>
        <v/>
      </c>
      <c r="G36" s="18">
        <f>IFERROR(VLOOKUP($A36,subQ,MATCH(G$1,SUBQH,0),0),"")</f>
        <v/>
      </c>
      <c r="H36" s="18">
        <f>IFERROR(VLOOKUP($A36,subQ,MATCH(H$1,SUBQH,0),0),"")</f>
        <v/>
      </c>
      <c r="I36" s="47">
        <f>IFERROR(VLOOKUP($A36,subQ,MATCH(I$1,SUBQH,0),0),"")</f>
        <v/>
      </c>
      <c r="J36" s="20">
        <f>IFERROR(VLOOKUP($A36,subQ,MATCH(J$1,SUBQH,0),0),"")</f>
        <v/>
      </c>
      <c r="K36" s="20">
        <f>IFERROR(VLOOKUP($A36,subQ,MATCH(K$1,SUBQH,0),0),"")</f>
        <v/>
      </c>
      <c r="L36" s="20">
        <f>IFERROR(VLOOKUP($A36,subQ,MATCH(L$1,SUBQH,0),0),"")</f>
        <v/>
      </c>
    </row>
    <row r="37">
      <c r="A37" s="12" t="inlineStr">
        <is>
          <t>DPS</t>
        </is>
      </c>
      <c r="D37" t="inlineStr">
        <is>
          <t>DPS(보통주)</t>
        </is>
      </c>
      <c r="E37" s="18">
        <f>IFERROR(VLOOKUP($A37,subQ,MATCH(E$1,SUBQH,0),0),"")</f>
        <v/>
      </c>
      <c r="F37" s="18">
        <f>IFERROR(VLOOKUP($A37,subQ,MATCH(F$1,SUBQH,0),0),"")</f>
        <v/>
      </c>
      <c r="G37" s="18">
        <f>IFERROR(VLOOKUP($A37,subQ,MATCH(G$1,SUBQH,0),0),"")</f>
        <v/>
      </c>
      <c r="H37" s="18">
        <f>IFERROR(VLOOKUP($A37,subQ,MATCH(H$1,SUBQH,0),0),"")</f>
        <v/>
      </c>
      <c r="I37" s="47">
        <f>IFERROR(VLOOKUP($A37,subQ,MATCH(I$1,SUBQH,0),0),"")</f>
        <v/>
      </c>
      <c r="J37" s="20">
        <f>IFERROR(VLOOKUP($A37,subQ,MATCH(J$1,SUBQH,0),0),"")</f>
        <v/>
      </c>
      <c r="K37" s="20">
        <f>IFERROR(VLOOKUP($A37,subQ,MATCH(K$1,SUBQH,0),0),"")</f>
        <v/>
      </c>
      <c r="L37" s="20">
        <f>IFERROR(VLOOKUP($A37,subQ,MATCH(L$1,SUBQH,0),0),"")</f>
        <v/>
      </c>
    </row>
    <row r="38">
      <c r="A38" s="12" t="inlineStr">
        <is>
          <t>PER</t>
        </is>
      </c>
      <c r="D38" t="inlineStr">
        <is>
          <t>PER</t>
        </is>
      </c>
      <c r="E38" s="13">
        <f>IFERROR(VLOOKUP($A38,subQ,MATCH(E$1,SUBQH,0),0),"")</f>
        <v/>
      </c>
      <c r="F38" s="13">
        <f>IFERROR(VLOOKUP($A38,subQ,MATCH(F$1,SUBQH,0),0),"")</f>
        <v/>
      </c>
      <c r="G38" s="13">
        <f>IFERROR(VLOOKUP($A38,subQ,MATCH(G$1,SUBQH,0),0),"")</f>
        <v/>
      </c>
      <c r="H38" s="13">
        <f>IFERROR(VLOOKUP($A38,subQ,MATCH(H$1,SUBQH,0),0),"")</f>
        <v/>
      </c>
      <c r="I38" s="50">
        <f>IFERROR(VLOOKUP($A38,subQ,MATCH(I$1,SUBQH,0),0),"")</f>
        <v/>
      </c>
      <c r="J38" s="41">
        <f>IFERROR(VLOOKUP($A38,subQ,MATCH(J$1,SUBQH,0),0),"")</f>
        <v/>
      </c>
      <c r="K38" s="41">
        <f>IFERROR(VLOOKUP($A38,subQ,MATCH(K$1,SUBQH,0),0),"")</f>
        <v/>
      </c>
      <c r="L38" s="41">
        <f>IFERROR(VLOOKUP($A38,subQ,MATCH(L$1,SUBQH,0),0),"")</f>
        <v/>
      </c>
    </row>
    <row r="39">
      <c r="A39" s="12" t="inlineStr">
        <is>
          <t>PBR</t>
        </is>
      </c>
      <c r="D39" t="inlineStr">
        <is>
          <t>PBR</t>
        </is>
      </c>
      <c r="E39" s="13">
        <f>IFERROR(VLOOKUP($A39,subQ,MATCH(E$1,SUBQH,0),0),"")</f>
        <v/>
      </c>
      <c r="F39" s="13">
        <f>IFERROR(VLOOKUP($A39,subQ,MATCH(F$1,SUBQH,0),0),"")</f>
        <v/>
      </c>
      <c r="G39" s="13">
        <f>IFERROR(VLOOKUP($A39,subQ,MATCH(G$1,SUBQH,0),0),"")</f>
        <v/>
      </c>
      <c r="H39" s="13">
        <f>IFERROR(VLOOKUP($A39,subQ,MATCH(H$1,SUBQH,0),0),"")</f>
        <v/>
      </c>
      <c r="I39" s="50">
        <f>IFERROR(VLOOKUP($A39,subQ,MATCH(I$1,SUBQH,0),0),"")</f>
        <v/>
      </c>
      <c r="J39" s="41">
        <f>IFERROR(VLOOKUP($A39,subQ,MATCH(J$1,SUBQH,0),0),"")</f>
        <v/>
      </c>
      <c r="K39" s="41">
        <f>IFERROR(VLOOKUP($A39,subQ,MATCH(K$1,SUBQH,0),0),"")</f>
        <v/>
      </c>
      <c r="L39" s="41">
        <f>IFERROR(VLOOKUP($A39,subQ,MATCH(L$1,SUBQH,0),0),"")</f>
        <v/>
      </c>
    </row>
    <row r="40">
      <c r="A40" s="12" t="inlineStr">
        <is>
          <t>매출전사</t>
        </is>
      </c>
      <c r="D40" t="inlineStr">
        <is>
          <t>매출 전사(부문 미분리)</t>
        </is>
      </c>
      <c r="E40" s="18">
        <f>IFERROR(VLOOKUP($A40,subQ,MATCH(E$1,SUBQH,0),0),"")</f>
        <v/>
      </c>
      <c r="F40" s="18">
        <f>IFERROR(VLOOKUP($A40,subQ,MATCH(F$1,SUBQH,0),0),"")</f>
        <v/>
      </c>
      <c r="G40" s="18">
        <f>IFERROR(VLOOKUP($A40,subQ,MATCH(G$1,SUBQH,0),0),"")</f>
        <v/>
      </c>
      <c r="H40" s="18">
        <f>IFERROR(VLOOKUP($A40,subQ,MATCH(H$1,SUBQH,0),0),"")</f>
        <v/>
      </c>
      <c r="I40" s="47">
        <f>IFERROR(VLOOKUP($A40,subQ,MATCH(I$1,SUBQH,0),0),"")</f>
        <v/>
      </c>
      <c r="J40" s="20">
        <f>IFERROR(VLOOKUP($A40,subQ,MATCH(J$1,SUBQH,0),0),"")</f>
        <v/>
      </c>
      <c r="K40" s="20">
        <f>IFERROR(VLOOKUP($A40,subQ,MATCH(K$1,SUBQH,0),0),"")</f>
        <v/>
      </c>
      <c r="L40" s="20">
        <f>IFERROR(VLOOKUP($A40,subQ,MATCH(L$1,SUBQH,0),0),"")</f>
        <v/>
      </c>
    </row>
    <row r="41">
      <c r="A41" s="12" t="inlineStr">
        <is>
          <t>OP전사</t>
        </is>
      </c>
      <c r="D41" t="inlineStr">
        <is>
          <t>OP 전사(부문 미분리)</t>
        </is>
      </c>
      <c r="E41" s="18">
        <f>IFERROR(VLOOKUP($A41,subQ,MATCH(E$1,SUBQH,0),0),"")</f>
        <v/>
      </c>
      <c r="F41" s="18">
        <f>IFERROR(VLOOKUP($A41,subQ,MATCH(F$1,SUBQH,0),0),"")</f>
        <v/>
      </c>
      <c r="G41" s="18">
        <f>IFERROR(VLOOKUP($A41,subQ,MATCH(G$1,SUBQH,0),0),"")</f>
        <v/>
      </c>
      <c r="H41" s="18">
        <f>IFERROR(VLOOKUP($A41,subQ,MATCH(H$1,SUBQH,0),0),"")</f>
        <v/>
      </c>
      <c r="I41" s="47">
        <f>IFERROR(VLOOKUP($A41,subQ,MATCH(I$1,SUBQH,0),0),"")</f>
        <v/>
      </c>
      <c r="J41" s="20">
        <f>IFERROR(VLOOKUP($A41,subQ,MATCH(J$1,SUBQH,0),0),"")</f>
        <v/>
      </c>
      <c r="K41" s="20">
        <f>IFERROR(VLOOKUP($A41,subQ,MATCH(K$1,SUBQH,0),0),"")</f>
        <v/>
      </c>
      <c r="L41" s="20">
        <f>IFERROR(VLOOKUP($A41,subQ,MATCH(L$1,SUBQH,0),0),"")</f>
        <v/>
      </c>
    </row>
    <row r="42">
      <c r="A42" s="12" t="inlineStr">
        <is>
          <t>NPM</t>
        </is>
      </c>
      <c r="D42" t="inlineStr">
        <is>
          <t>NPM</t>
        </is>
      </c>
      <c r="E42" s="21">
        <f>IFERROR(VLOOKUP($A42,subQ,MATCH(E$1,SUBQH,0),0),"")</f>
        <v/>
      </c>
      <c r="F42" s="21">
        <f>IFERROR(VLOOKUP($A42,subQ,MATCH(F$1,SUBQH,0),0),"")</f>
        <v/>
      </c>
      <c r="G42" s="21">
        <f>IFERROR(VLOOKUP($A42,subQ,MATCH(G$1,SUBQH,0),0),"")</f>
        <v/>
      </c>
      <c r="H42" s="21">
        <f>IFERROR(VLOOKUP($A42,subQ,MATCH(H$1,SUBQH,0),0),"")</f>
        <v/>
      </c>
      <c r="I42" s="48">
        <f>IFERROR(VLOOKUP($A42,subQ,MATCH(I$1,SUBQH,0),0),"")</f>
        <v/>
      </c>
      <c r="J42" s="33">
        <f>IFERROR(VLOOKUP($A42,subQ,MATCH(J$1,SUBQH,0),0),"")</f>
        <v/>
      </c>
      <c r="K42" s="33">
        <f>IFERROR(VLOOKUP($A42,subQ,MATCH(K$1,SUBQH,0),0),"")</f>
        <v/>
      </c>
      <c r="L42" s="33">
        <f>IFERROR(VLOOKUP($A42,subQ,MATCH(L$1,SUBQH,0),0),"")</f>
        <v/>
      </c>
    </row>
    <row r="43">
      <c r="A43" s="12" t="inlineStr">
        <is>
          <t>매출액 YoY</t>
        </is>
      </c>
      <c r="D43" t="inlineStr">
        <is>
          <t>매출액 YoY</t>
        </is>
      </c>
      <c r="F43" s="21">
        <f>IFERROR(F5/E5-1,"")</f>
        <v/>
      </c>
      <c r="G43" s="21">
        <f>IFERROR(G5/F5-1,"")</f>
        <v/>
      </c>
      <c r="H43" s="21">
        <f>IFERROR(H5/G5-1,"")</f>
        <v/>
      </c>
      <c r="I43" s="48">
        <f>IFERROR(I5/H5-1,"")</f>
        <v/>
      </c>
      <c r="J43" s="33">
        <f>IFERROR(J5/I5-1,"")</f>
        <v/>
      </c>
      <c r="K43" s="33">
        <f>IFERROR(K5/J5-1,"")</f>
        <v/>
      </c>
      <c r="L43" s="33">
        <f>IFERROR(L5/K5-1,"")</f>
        <v/>
      </c>
    </row>
    <row r="44">
      <c r="A44" s="12" t="inlineStr">
        <is>
          <t>영업이익 YoY</t>
        </is>
      </c>
      <c r="D44" t="inlineStr">
        <is>
          <t>영업이익 YoY</t>
        </is>
      </c>
      <c r="F44" s="21">
        <f>IFERROR(F9/E9-1,"")</f>
        <v/>
      </c>
      <c r="G44" s="21">
        <f>IFERROR(G9/F9-1,"")</f>
        <v/>
      </c>
      <c r="H44" s="21">
        <f>IFERROR(H9/G9-1,"")</f>
        <v/>
      </c>
      <c r="I44" s="48">
        <f>IFERROR(I9/H9-1,"")</f>
        <v/>
      </c>
      <c r="J44" s="33">
        <f>IFERROR(J9/I9-1,"")</f>
        <v/>
      </c>
      <c r="K44" s="33">
        <f>IFERROR(K9/J9-1,"")</f>
        <v/>
      </c>
      <c r="L44" s="33">
        <f>IFERROR(L9/K9-1,"")</f>
        <v/>
      </c>
    </row>
    <row r="45">
      <c r="A45" s="12" t="inlineStr">
        <is>
          <t>지배주주순이익 YoY</t>
        </is>
      </c>
      <c r="D45" t="inlineStr">
        <is>
          <t>지배주주순이익 YoY</t>
        </is>
      </c>
      <c r="F45" s="21">
        <f>IFERROR(F21/E21-1,"")</f>
        <v/>
      </c>
      <c r="G45" s="21">
        <f>IFERROR(G21/F21-1,"")</f>
        <v/>
      </c>
      <c r="H45" s="21">
        <f>IFERROR(H21/G21-1,"")</f>
        <v/>
      </c>
      <c r="I45" s="48">
        <f>IFERROR(I21/H21-1,"")</f>
        <v/>
      </c>
      <c r="J45" s="33">
        <f>IFERROR(J21/I21-1,"")</f>
        <v/>
      </c>
      <c r="K45" s="33">
        <f>IFERROR(K21/J21-1,"")</f>
        <v/>
      </c>
      <c r="L45" s="33">
        <f>IFERROR(L21/K21-1,"")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변수!D45</f>
        <v/>
      </c>
    </row>
    <row r="2">
      <c r="B2" s="1" t="inlineStr">
        <is>
          <t>기준일</t>
        </is>
      </c>
      <c r="C2">
        <f>변수!D46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51" t="n">
        <v>2025</v>
      </c>
      <c r="E5" s="51" t="n">
        <v>2026</v>
      </c>
      <c r="F5" s="51" t="n">
        <v>2027</v>
      </c>
      <c r="G5" s="51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21">
        <f>IFERROR(E7/D8,"")</f>
        <v/>
      </c>
      <c r="F11" s="21">
        <f>IFERROR(F7/E8,"")</f>
        <v/>
      </c>
      <c r="G11" s="21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IFERROR(E7*변수!D51+F7*(1-변수!D51),"")</f>
        <v/>
      </c>
    </row>
    <row r="15">
      <c r="C15" t="inlineStr">
        <is>
          <t>적정가치 @PER_lo</t>
        </is>
      </c>
      <c r="D15" s="27">
        <f>변수!D48</f>
        <v/>
      </c>
      <c r="E15" s="18">
        <f>IFERROR(ROUND($D$14*D15,-2),"")</f>
        <v/>
      </c>
      <c r="F15" s="21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7">
        <f>변수!D49</f>
        <v/>
      </c>
      <c r="E16" s="18">
        <f>IFERROR(ROUND($D$14*D16,-2),"")</f>
        <v/>
      </c>
      <c r="F16" s="21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7">
        <f>변수!D50</f>
        <v/>
      </c>
      <c r="E17" s="18">
        <f>IFERROR(ROUND($D$14*D17,-2),"")</f>
        <v/>
      </c>
      <c r="F17" s="21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7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21">
        <f>IFERROR($D$14/$D$21,"")</f>
        <v/>
      </c>
    </row>
    <row r="23">
      <c r="C23" t="inlineStr">
        <is>
          <t>COE</t>
        </is>
      </c>
      <c r="D23" s="21">
        <f>변수!D47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21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-1083.5</v>
      </c>
    </row>
    <row r="30">
      <c r="C30" s="2" t="inlineStr">
        <is>
          <t>bps_latest</t>
        </is>
      </c>
      <c r="D30" t="n">
        <v>4499.7</v>
      </c>
    </row>
    <row r="31">
      <c r="C31" s="2" t="inlineStr">
        <is>
          <t>per_now</t>
        </is>
      </c>
    </row>
    <row r="32">
      <c r="C32" s="2" t="inlineStr">
        <is>
          <t>pbr_now</t>
        </is>
      </c>
      <c r="D32" t="n">
        <v>0.32</v>
      </c>
    </row>
    <row r="33">
      <c r="C33" s="2" t="inlineStr">
        <is>
          <t>roe_fwd</t>
        </is>
      </c>
      <c r="D33" t="n">
        <v>-0.2408</v>
      </c>
    </row>
    <row r="34">
      <c r="C34" s="2" t="inlineStr">
        <is>
          <t>fair_pbr</t>
        </is>
      </c>
    </row>
    <row r="35">
      <c r="C35" s="2" t="inlineStr">
        <is>
          <t>fair_value_pbr</t>
        </is>
      </c>
    </row>
    <row r="36">
      <c r="C36" s="2" t="inlineStr">
        <is>
          <t>ev_ebitda</t>
        </is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외화QH — 환율 QoQ · 외화 순노출 × Δ기말환율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3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7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13">
        <f>IFERROR(VLOOKUP($D5,환율,MATCH(J$1,변수H,0),0),"")</f>
        <v/>
      </c>
      <c r="K5" s="13">
        <f>IFERROR(VLOOKUP($D5,환율,MATCH(K$1,변수H,0),0),"")</f>
        <v/>
      </c>
      <c r="L5" s="13">
        <f>IFERROR(VLOOKUP($D5,환율,MATCH(L$1,변수H,0),0),"")</f>
        <v/>
      </c>
      <c r="M5" s="13">
        <f>IFERROR(VLOOKUP($D5,환율,MATCH(M$1,변수H,0),0),"")</f>
        <v/>
      </c>
      <c r="N5" s="13">
        <f>IFERROR(VLOOKUP($D5,환율,MATCH(N$1,변수H,0),0),"")</f>
        <v/>
      </c>
      <c r="O5" s="13">
        <f>IFERROR(VLOOKUP($D5,환율,MATCH(O$1,변수H,0),0),"")</f>
        <v/>
      </c>
      <c r="P5" s="13">
        <f>IFERROR(VLOOKUP($D5,환율,MATCH(P$1,변수H,0),0),"")</f>
        <v/>
      </c>
      <c r="Q5" s="13">
        <f>IFERROR(VLOOKUP($D5,환율,MATCH(Q$1,변수H,0),0),"")</f>
        <v/>
      </c>
      <c r="R5" s="13">
        <f>IFERROR(VLOOKUP($D5,환율,MATCH(R$1,변수H,0),0),"")</f>
        <v/>
      </c>
      <c r="S5" s="13">
        <f>IFERROR(VLOOKUP($D5,환율,MATCH(S$1,변수H,0),0),"")</f>
        <v/>
      </c>
      <c r="T5" s="13">
        <f>IFERROR(VLOOKUP($D5,환율,MATCH(T$1,변수H,0),0),"")</f>
        <v/>
      </c>
      <c r="U5" s="13">
        <f>IFERROR(VLOOKUP($D5,환율,MATCH(U$1,변수H,0),0),"")</f>
        <v/>
      </c>
      <c r="V5" s="13">
        <f>IFERROR(VLOOKUP($D5,환율,MATCH(V$1,변수H,0),0),"")</f>
        <v/>
      </c>
      <c r="W5" s="13">
        <f>IFERROR(VLOOKUP($D5,환율,MATCH(W$1,변수H,0),0),"")</f>
        <v/>
      </c>
      <c r="X5" s="41">
        <f>IFERROR(VLOOKUP($D5,환율,MATCH(X$1,변수H,0),0),"")</f>
        <v/>
      </c>
      <c r="Y5" s="41">
        <f>IFERROR(VLOOKUP($D5,환율,MATCH(Y$1,변수H,0),0),"")</f>
        <v/>
      </c>
      <c r="Z5" s="41">
        <f>IFERROR(VLOOKUP($D5,환율,MATCH(Z$1,변수H,0),0),"")</f>
        <v/>
      </c>
      <c r="AA5" s="41">
        <f>IFERROR(VLOOKUP($D5,환율,MATCH(AA$1,변수H,0),0),"")</f>
        <v/>
      </c>
      <c r="AB5" s="41">
        <f>IFERROR(VLOOKUP($D5,환율,MATCH(AB$1,변수H,0),0),"")</f>
        <v/>
      </c>
      <c r="AC5" s="41">
        <f>IFERROR(VLOOKUP($D5,환율,MATCH(AC$1,변수H,0),0),"")</f>
        <v/>
      </c>
      <c r="AD5" s="41">
        <f>IFERROR(VLOOKUP($D5,환율,MATCH(AD$1,변수H,0),0),"")</f>
        <v/>
      </c>
      <c r="AE5" s="41">
        <f>IFERROR(VLOOKUP($D5,환율,MATCH(AE$1,변수H,0),0),"")</f>
        <v/>
      </c>
      <c r="AF5" s="41">
        <f>IFERROR(VLOOKUP($D5,환율,MATCH(AF$1,변수H,0),0),"")</f>
        <v/>
      </c>
      <c r="AG5" s="41">
        <f>IFERROR(VLOOKUP($D5,환율,MATCH(AG$1,변수H,0),0),"")</f>
        <v/>
      </c>
    </row>
    <row r="6">
      <c r="A6" s="12" t="inlineStr">
        <is>
          <t>원/달러(평균) QoQ</t>
        </is>
      </c>
      <c r="F6" s="21">
        <f>IFERROR(F5/E5-1,"")</f>
        <v/>
      </c>
      <c r="G6" s="21">
        <f>IFERROR(G5/F5-1,"")</f>
        <v/>
      </c>
      <c r="H6" s="21">
        <f>IFERROR(H5/G5-1,"")</f>
        <v/>
      </c>
      <c r="I6" s="21">
        <f>IFERROR(I5/H5-1,"")</f>
        <v/>
      </c>
      <c r="J6" s="21">
        <f>IFERROR(J5/I5-1,"")</f>
        <v/>
      </c>
      <c r="K6" s="21">
        <f>IFERROR(K5/J5-1,"")</f>
        <v/>
      </c>
      <c r="L6" s="21">
        <f>IFERROR(L5/K5-1,"")</f>
        <v/>
      </c>
      <c r="M6" s="21">
        <f>IFERROR(M5/L5-1,"")</f>
        <v/>
      </c>
      <c r="N6" s="21">
        <f>IFERROR(N5/M5-1,"")</f>
        <v/>
      </c>
      <c r="O6" s="21">
        <f>IFERROR(O5/N5-1,"")</f>
        <v/>
      </c>
      <c r="P6" s="21">
        <f>IFERROR(P5/O5-1,"")</f>
        <v/>
      </c>
      <c r="Q6" s="21">
        <f>IFERROR(Q5/P5-1,"")</f>
        <v/>
      </c>
      <c r="R6" s="21">
        <f>IFERROR(R5/Q5-1,"")</f>
        <v/>
      </c>
      <c r="S6" s="21">
        <f>IFERROR(S5/R5-1,"")</f>
        <v/>
      </c>
      <c r="T6" s="21">
        <f>IFERROR(T5/S5-1,"")</f>
        <v/>
      </c>
      <c r="U6" s="21">
        <f>IFERROR(U5/T5-1,"")</f>
        <v/>
      </c>
      <c r="V6" s="21">
        <f>IFERROR(V5/U5-1,"")</f>
        <v/>
      </c>
      <c r="W6" s="21">
        <f>IFERROR(W5/V5-1,"")</f>
        <v/>
      </c>
      <c r="X6" s="33">
        <f>IFERROR(X5/W5-1,"")</f>
        <v/>
      </c>
      <c r="Y6" s="33">
        <f>IFERROR(Y5/X5-1,"")</f>
        <v/>
      </c>
      <c r="Z6" s="33">
        <f>IFERROR(Z5/Y5-1,"")</f>
        <v/>
      </c>
      <c r="AA6" s="33">
        <f>IFERROR(AA5/Z5-1,"")</f>
        <v/>
      </c>
      <c r="AB6" s="33">
        <f>IFERROR(AB5/AA5-1,"")</f>
        <v/>
      </c>
      <c r="AC6" s="33">
        <f>IFERROR(AC5/AB5-1,"")</f>
        <v/>
      </c>
      <c r="AD6" s="33">
        <f>IFERROR(AD5/AC5-1,"")</f>
        <v/>
      </c>
      <c r="AE6" s="33">
        <f>IFERROR(AE5/AD5-1,"")</f>
        <v/>
      </c>
      <c r="AF6" s="33">
        <f>IFERROR(AF5/AE5-1,"")</f>
        <v/>
      </c>
      <c r="AG6" s="33">
        <f>IFERROR(AG5/AF5-1,"")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13">
        <f>IFERROR(VLOOKUP($D7,환율,MATCH(J$1,변수H,0),0),"")</f>
        <v/>
      </c>
      <c r="K7" s="13">
        <f>IFERROR(VLOOKUP($D7,환율,MATCH(K$1,변수H,0),0),"")</f>
        <v/>
      </c>
      <c r="L7" s="13">
        <f>IFERROR(VLOOKUP($D7,환율,MATCH(L$1,변수H,0),0),"")</f>
        <v/>
      </c>
      <c r="M7" s="13">
        <f>IFERROR(VLOOKUP($D7,환율,MATCH(M$1,변수H,0),0),"")</f>
        <v/>
      </c>
      <c r="N7" s="13">
        <f>IFERROR(VLOOKUP($D7,환율,MATCH(N$1,변수H,0),0),"")</f>
        <v/>
      </c>
      <c r="O7" s="13">
        <f>IFERROR(VLOOKUP($D7,환율,MATCH(O$1,변수H,0),0),"")</f>
        <v/>
      </c>
      <c r="P7" s="13">
        <f>IFERROR(VLOOKUP($D7,환율,MATCH(P$1,변수H,0),0),"")</f>
        <v/>
      </c>
      <c r="Q7" s="13">
        <f>IFERROR(VLOOKUP($D7,환율,MATCH(Q$1,변수H,0),0),"")</f>
        <v/>
      </c>
      <c r="R7" s="13">
        <f>IFERROR(VLOOKUP($D7,환율,MATCH(R$1,변수H,0),0),"")</f>
        <v/>
      </c>
      <c r="S7" s="13">
        <f>IFERROR(VLOOKUP($D7,환율,MATCH(S$1,변수H,0),0),"")</f>
        <v/>
      </c>
      <c r="T7" s="13">
        <f>IFERROR(VLOOKUP($D7,환율,MATCH(T$1,변수H,0),0),"")</f>
        <v/>
      </c>
      <c r="U7" s="13">
        <f>IFERROR(VLOOKUP($D7,환율,MATCH(U$1,변수H,0),0),"")</f>
        <v/>
      </c>
      <c r="V7" s="13">
        <f>IFERROR(VLOOKUP($D7,환율,MATCH(V$1,변수H,0),0),"")</f>
        <v/>
      </c>
      <c r="W7" s="13">
        <f>IFERROR(VLOOKUP($D7,환율,MATCH(W$1,변수H,0),0),"")</f>
        <v/>
      </c>
      <c r="X7" s="41">
        <f>IFERROR(VLOOKUP($D7,환율,MATCH(X$1,변수H,0),0),"")</f>
        <v/>
      </c>
      <c r="Y7" s="41">
        <f>IFERROR(VLOOKUP($D7,환율,MATCH(Y$1,변수H,0),0),"")</f>
        <v/>
      </c>
      <c r="Z7" s="41">
        <f>IFERROR(VLOOKUP($D7,환율,MATCH(Z$1,변수H,0),0),"")</f>
        <v/>
      </c>
      <c r="AA7" s="41">
        <f>IFERROR(VLOOKUP($D7,환율,MATCH(AA$1,변수H,0),0),"")</f>
        <v/>
      </c>
      <c r="AB7" s="41">
        <f>IFERROR(VLOOKUP($D7,환율,MATCH(AB$1,변수H,0),0),"")</f>
        <v/>
      </c>
      <c r="AC7" s="41">
        <f>IFERROR(VLOOKUP($D7,환율,MATCH(AC$1,변수H,0),0),"")</f>
        <v/>
      </c>
      <c r="AD7" s="41">
        <f>IFERROR(VLOOKUP($D7,환율,MATCH(AD$1,변수H,0),0),"")</f>
        <v/>
      </c>
      <c r="AE7" s="41">
        <f>IFERROR(VLOOKUP($D7,환율,MATCH(AE$1,변수H,0),0),"")</f>
        <v/>
      </c>
      <c r="AF7" s="41">
        <f>IFERROR(VLOOKUP($D7,환율,MATCH(AF$1,변수H,0),0),"")</f>
        <v/>
      </c>
      <c r="AG7" s="41">
        <f>IFERROR(VLOOKUP($D7,환율,MATCH(AG$1,변수H,0),0),"")</f>
        <v/>
      </c>
    </row>
    <row r="8">
      <c r="A8" s="12" t="inlineStr">
        <is>
          <t>원/달러(기말) QoQ</t>
        </is>
      </c>
      <c r="F8" s="21">
        <f>IFERROR(F7/E7-1,"")</f>
        <v/>
      </c>
      <c r="G8" s="21">
        <f>IFERROR(G7/F7-1,"")</f>
        <v/>
      </c>
      <c r="H8" s="21">
        <f>IFERROR(H7/G7-1,"")</f>
        <v/>
      </c>
      <c r="I8" s="21">
        <f>IFERROR(I7/H7-1,"")</f>
        <v/>
      </c>
      <c r="J8" s="21">
        <f>IFERROR(J7/I7-1,"")</f>
        <v/>
      </c>
      <c r="K8" s="21">
        <f>IFERROR(K7/J7-1,"")</f>
        <v/>
      </c>
      <c r="L8" s="21">
        <f>IFERROR(L7/K7-1,"")</f>
        <v/>
      </c>
      <c r="M8" s="21">
        <f>IFERROR(M7/L7-1,"")</f>
        <v/>
      </c>
      <c r="N8" s="21">
        <f>IFERROR(N7/M7-1,"")</f>
        <v/>
      </c>
      <c r="O8" s="21">
        <f>IFERROR(O7/N7-1,"")</f>
        <v/>
      </c>
      <c r="P8" s="21">
        <f>IFERROR(P7/O7-1,"")</f>
        <v/>
      </c>
      <c r="Q8" s="21">
        <f>IFERROR(Q7/P7-1,"")</f>
        <v/>
      </c>
      <c r="R8" s="21">
        <f>IFERROR(R7/Q7-1,"")</f>
        <v/>
      </c>
      <c r="S8" s="21">
        <f>IFERROR(S7/R7-1,"")</f>
        <v/>
      </c>
      <c r="T8" s="21">
        <f>IFERROR(T7/S7-1,"")</f>
        <v/>
      </c>
      <c r="U8" s="21">
        <f>IFERROR(U7/T7-1,"")</f>
        <v/>
      </c>
      <c r="V8" s="21">
        <f>IFERROR(V7/U7-1,"")</f>
        <v/>
      </c>
      <c r="W8" s="21">
        <f>IFERROR(W7/V7-1,"")</f>
        <v/>
      </c>
      <c r="X8" s="33">
        <f>IFERROR(X7/W7-1,"")</f>
        <v/>
      </c>
      <c r="Y8" s="33">
        <f>IFERROR(Y7/X7-1,"")</f>
        <v/>
      </c>
      <c r="Z8" s="33">
        <f>IFERROR(Z7/Y7-1,"")</f>
        <v/>
      </c>
      <c r="AA8" s="33">
        <f>IFERROR(AA7/Z7-1,"")</f>
        <v/>
      </c>
      <c r="AB8" s="33">
        <f>IFERROR(AB7/AA7-1,"")</f>
        <v/>
      </c>
      <c r="AC8" s="33">
        <f>IFERROR(AC7/AB7-1,"")</f>
        <v/>
      </c>
      <c r="AD8" s="33">
        <f>IFERROR(AD7/AC7-1,"")</f>
        <v/>
      </c>
      <c r="AE8" s="33">
        <f>IFERROR(AE7/AD7-1,"")</f>
        <v/>
      </c>
      <c r="AF8" s="33">
        <f>IFERROR(AF7/AE7-1,"")</f>
        <v/>
      </c>
      <c r="AG8" s="33">
        <f>IFERROR(AG7/AF7-1,"")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13">
        <f>IFERROR(VLOOKUP($D9,환율,MATCH(J$1,변수H,0),0),"")</f>
        <v/>
      </c>
      <c r="K9" s="13">
        <f>IFERROR(VLOOKUP($D9,환율,MATCH(K$1,변수H,0),0),"")</f>
        <v/>
      </c>
      <c r="L9" s="13">
        <f>IFERROR(VLOOKUP($D9,환율,MATCH(L$1,변수H,0),0),"")</f>
        <v/>
      </c>
      <c r="M9" s="13">
        <f>IFERROR(VLOOKUP($D9,환율,MATCH(M$1,변수H,0),0),"")</f>
        <v/>
      </c>
      <c r="N9" s="13">
        <f>IFERROR(VLOOKUP($D9,환율,MATCH(N$1,변수H,0),0),"")</f>
        <v/>
      </c>
      <c r="O9" s="13">
        <f>IFERROR(VLOOKUP($D9,환율,MATCH(O$1,변수H,0),0),"")</f>
        <v/>
      </c>
      <c r="P9" s="13">
        <f>IFERROR(VLOOKUP($D9,환율,MATCH(P$1,변수H,0),0),"")</f>
        <v/>
      </c>
      <c r="Q9" s="13">
        <f>IFERROR(VLOOKUP($D9,환율,MATCH(Q$1,변수H,0),0),"")</f>
        <v/>
      </c>
      <c r="R9" s="13">
        <f>IFERROR(VLOOKUP($D9,환율,MATCH(R$1,변수H,0),0),"")</f>
        <v/>
      </c>
      <c r="S9" s="13">
        <f>IFERROR(VLOOKUP($D9,환율,MATCH(S$1,변수H,0),0),"")</f>
        <v/>
      </c>
      <c r="T9" s="13">
        <f>IFERROR(VLOOKUP($D9,환율,MATCH(T$1,변수H,0),0),"")</f>
        <v/>
      </c>
      <c r="U9" s="13">
        <f>IFERROR(VLOOKUP($D9,환율,MATCH(U$1,변수H,0),0),"")</f>
        <v/>
      </c>
      <c r="V9" s="13">
        <f>IFERROR(VLOOKUP($D9,환율,MATCH(V$1,변수H,0),0),"")</f>
        <v/>
      </c>
      <c r="W9" s="13">
        <f>IFERROR(VLOOKUP($D9,환율,MATCH(W$1,변수H,0),0),"")</f>
        <v/>
      </c>
      <c r="X9" s="41">
        <f>IFERROR(VLOOKUP($D9,환율,MATCH(X$1,변수H,0),0),"")</f>
        <v/>
      </c>
      <c r="Y9" s="41">
        <f>IFERROR(VLOOKUP($D9,환율,MATCH(Y$1,변수H,0),0),"")</f>
        <v/>
      </c>
      <c r="Z9" s="41">
        <f>IFERROR(VLOOKUP($D9,환율,MATCH(Z$1,변수H,0),0),"")</f>
        <v/>
      </c>
      <c r="AA9" s="41">
        <f>IFERROR(VLOOKUP($D9,환율,MATCH(AA$1,변수H,0),0),"")</f>
        <v/>
      </c>
      <c r="AB9" s="41">
        <f>IFERROR(VLOOKUP($D9,환율,MATCH(AB$1,변수H,0),0),"")</f>
        <v/>
      </c>
      <c r="AC9" s="41">
        <f>IFERROR(VLOOKUP($D9,환율,MATCH(AC$1,변수H,0),0),"")</f>
        <v/>
      </c>
      <c r="AD9" s="41">
        <f>IFERROR(VLOOKUP($D9,환율,MATCH(AD$1,변수H,0),0),"")</f>
        <v/>
      </c>
      <c r="AE9" s="41">
        <f>IFERROR(VLOOKUP($D9,환율,MATCH(AE$1,변수H,0),0),"")</f>
        <v/>
      </c>
      <c r="AF9" s="41">
        <f>IFERROR(VLOOKUP($D9,환율,MATCH(AF$1,변수H,0),0),"")</f>
        <v/>
      </c>
      <c r="AG9" s="41">
        <f>IFERROR(VLOOKUP($D9,환율,MATCH(AG$1,변수H,0),0),"")</f>
        <v/>
      </c>
    </row>
    <row r="10">
      <c r="A10" s="12" t="inlineStr">
        <is>
          <t>W/Euro(평균) QoQ</t>
        </is>
      </c>
      <c r="F10" s="21">
        <f>IFERROR(F9/E9-1,"")</f>
        <v/>
      </c>
      <c r="G10" s="21">
        <f>IFERROR(G9/F9-1,"")</f>
        <v/>
      </c>
      <c r="H10" s="21">
        <f>IFERROR(H9/G9-1,"")</f>
        <v/>
      </c>
      <c r="I10" s="21">
        <f>IFERROR(I9/H9-1,"")</f>
        <v/>
      </c>
      <c r="J10" s="21">
        <f>IFERROR(J9/I9-1,"")</f>
        <v/>
      </c>
      <c r="K10" s="21">
        <f>IFERROR(K9/J9-1,"")</f>
        <v/>
      </c>
      <c r="L10" s="21">
        <f>IFERROR(L9/K9-1,"")</f>
        <v/>
      </c>
      <c r="M10" s="21">
        <f>IFERROR(M9/L9-1,"")</f>
        <v/>
      </c>
      <c r="N10" s="21">
        <f>IFERROR(N9/M9-1,"")</f>
        <v/>
      </c>
      <c r="O10" s="21">
        <f>IFERROR(O9/N9-1,"")</f>
        <v/>
      </c>
      <c r="P10" s="21">
        <f>IFERROR(P9/O9-1,"")</f>
        <v/>
      </c>
      <c r="Q10" s="21">
        <f>IFERROR(Q9/P9-1,"")</f>
        <v/>
      </c>
      <c r="R10" s="21">
        <f>IFERROR(R9/Q9-1,"")</f>
        <v/>
      </c>
      <c r="S10" s="21">
        <f>IFERROR(S9/R9-1,"")</f>
        <v/>
      </c>
      <c r="T10" s="21">
        <f>IFERROR(T9/S9-1,"")</f>
        <v/>
      </c>
      <c r="U10" s="21">
        <f>IFERROR(U9/T9-1,"")</f>
        <v/>
      </c>
      <c r="V10" s="21">
        <f>IFERROR(V9/U9-1,"")</f>
        <v/>
      </c>
      <c r="W10" s="21">
        <f>IFERROR(W9/V9-1,"")</f>
        <v/>
      </c>
      <c r="X10" s="33">
        <f>IFERROR(X9/W9-1,"")</f>
        <v/>
      </c>
      <c r="Y10" s="33">
        <f>IFERROR(Y9/X9-1,"")</f>
        <v/>
      </c>
      <c r="Z10" s="33">
        <f>IFERROR(Z9/Y9-1,"")</f>
        <v/>
      </c>
      <c r="AA10" s="33">
        <f>IFERROR(AA9/Z9-1,"")</f>
        <v/>
      </c>
      <c r="AB10" s="33">
        <f>IFERROR(AB9/AA9-1,"")</f>
        <v/>
      </c>
      <c r="AC10" s="33">
        <f>IFERROR(AC9/AB9-1,"")</f>
        <v/>
      </c>
      <c r="AD10" s="33">
        <f>IFERROR(AD9/AC9-1,"")</f>
        <v/>
      </c>
      <c r="AE10" s="33">
        <f>IFERROR(AE9/AD9-1,"")</f>
        <v/>
      </c>
      <c r="AF10" s="33">
        <f>IFERROR(AF9/AE9-1,"")</f>
        <v/>
      </c>
      <c r="AG10" s="33">
        <f>IFERROR(AG9/AF9-1,"")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13">
        <f>IFERROR(VLOOKUP($D11,환율,MATCH(J$1,변수H,0),0),"")</f>
        <v/>
      </c>
      <c r="K11" s="13">
        <f>IFERROR(VLOOKUP($D11,환율,MATCH(K$1,변수H,0),0),"")</f>
        <v/>
      </c>
      <c r="L11" s="13">
        <f>IFERROR(VLOOKUP($D11,환율,MATCH(L$1,변수H,0),0),"")</f>
        <v/>
      </c>
      <c r="M11" s="13">
        <f>IFERROR(VLOOKUP($D11,환율,MATCH(M$1,변수H,0),0),"")</f>
        <v/>
      </c>
      <c r="N11" s="13">
        <f>IFERROR(VLOOKUP($D11,환율,MATCH(N$1,변수H,0),0),"")</f>
        <v/>
      </c>
      <c r="O11" s="13">
        <f>IFERROR(VLOOKUP($D11,환율,MATCH(O$1,변수H,0),0),"")</f>
        <v/>
      </c>
      <c r="P11" s="13">
        <f>IFERROR(VLOOKUP($D11,환율,MATCH(P$1,변수H,0),0),"")</f>
        <v/>
      </c>
      <c r="Q11" s="13">
        <f>IFERROR(VLOOKUP($D11,환율,MATCH(Q$1,변수H,0),0),"")</f>
        <v/>
      </c>
      <c r="R11" s="13">
        <f>IFERROR(VLOOKUP($D11,환율,MATCH(R$1,변수H,0),0),"")</f>
        <v/>
      </c>
      <c r="S11" s="13">
        <f>IFERROR(VLOOKUP($D11,환율,MATCH(S$1,변수H,0),0),"")</f>
        <v/>
      </c>
      <c r="T11" s="13">
        <f>IFERROR(VLOOKUP($D11,환율,MATCH(T$1,변수H,0),0),"")</f>
        <v/>
      </c>
      <c r="U11" s="13">
        <f>IFERROR(VLOOKUP($D11,환율,MATCH(U$1,변수H,0),0),"")</f>
        <v/>
      </c>
      <c r="V11" s="13">
        <f>IFERROR(VLOOKUP($D11,환율,MATCH(V$1,변수H,0),0),"")</f>
        <v/>
      </c>
      <c r="W11" s="13">
        <f>IFERROR(VLOOKUP($D11,환율,MATCH(W$1,변수H,0),0),"")</f>
        <v/>
      </c>
      <c r="X11" s="41">
        <f>IFERROR(VLOOKUP($D11,환율,MATCH(X$1,변수H,0),0),"")</f>
        <v/>
      </c>
      <c r="Y11" s="41">
        <f>IFERROR(VLOOKUP($D11,환율,MATCH(Y$1,변수H,0),0),"")</f>
        <v/>
      </c>
      <c r="Z11" s="41">
        <f>IFERROR(VLOOKUP($D11,환율,MATCH(Z$1,변수H,0),0),"")</f>
        <v/>
      </c>
      <c r="AA11" s="41">
        <f>IFERROR(VLOOKUP($D11,환율,MATCH(AA$1,변수H,0),0),"")</f>
        <v/>
      </c>
      <c r="AB11" s="41">
        <f>IFERROR(VLOOKUP($D11,환율,MATCH(AB$1,변수H,0),0),"")</f>
        <v/>
      </c>
      <c r="AC11" s="41">
        <f>IFERROR(VLOOKUP($D11,환율,MATCH(AC$1,변수H,0),0),"")</f>
        <v/>
      </c>
      <c r="AD11" s="41">
        <f>IFERROR(VLOOKUP($D11,환율,MATCH(AD$1,변수H,0),0),"")</f>
        <v/>
      </c>
      <c r="AE11" s="41">
        <f>IFERROR(VLOOKUP($D11,환율,MATCH(AE$1,변수H,0),0),"")</f>
        <v/>
      </c>
      <c r="AF11" s="41">
        <f>IFERROR(VLOOKUP($D11,환율,MATCH(AF$1,변수H,0),0),"")</f>
        <v/>
      </c>
      <c r="AG11" s="41">
        <f>IFERROR(VLOOKUP($D11,환율,MATCH(AG$1,변수H,0),0),"")</f>
        <v/>
      </c>
    </row>
    <row r="12">
      <c r="A12" s="12" t="inlineStr">
        <is>
          <t>W/Euro(기말) QoQ</t>
        </is>
      </c>
      <c r="F12" s="21">
        <f>IFERROR(F11/E11-1,"")</f>
        <v/>
      </c>
      <c r="G12" s="21">
        <f>IFERROR(G11/F11-1,"")</f>
        <v/>
      </c>
      <c r="H12" s="21">
        <f>IFERROR(H11/G11-1,"")</f>
        <v/>
      </c>
      <c r="I12" s="21">
        <f>IFERROR(I11/H11-1,"")</f>
        <v/>
      </c>
      <c r="J12" s="21">
        <f>IFERROR(J11/I11-1,"")</f>
        <v/>
      </c>
      <c r="K12" s="21">
        <f>IFERROR(K11/J11-1,"")</f>
        <v/>
      </c>
      <c r="L12" s="21">
        <f>IFERROR(L11/K11-1,"")</f>
        <v/>
      </c>
      <c r="M12" s="21">
        <f>IFERROR(M11/L11-1,"")</f>
        <v/>
      </c>
      <c r="N12" s="21">
        <f>IFERROR(N11/M11-1,"")</f>
        <v/>
      </c>
      <c r="O12" s="21">
        <f>IFERROR(O11/N11-1,"")</f>
        <v/>
      </c>
      <c r="P12" s="21">
        <f>IFERROR(P11/O11-1,"")</f>
        <v/>
      </c>
      <c r="Q12" s="21">
        <f>IFERROR(Q11/P11-1,"")</f>
        <v/>
      </c>
      <c r="R12" s="21">
        <f>IFERROR(R11/Q11-1,"")</f>
        <v/>
      </c>
      <c r="S12" s="21">
        <f>IFERROR(S11/R11-1,"")</f>
        <v/>
      </c>
      <c r="T12" s="21">
        <f>IFERROR(T11/S11-1,"")</f>
        <v/>
      </c>
      <c r="U12" s="21">
        <f>IFERROR(U11/T11-1,"")</f>
        <v/>
      </c>
      <c r="V12" s="21">
        <f>IFERROR(V11/U11-1,"")</f>
        <v/>
      </c>
      <c r="W12" s="21">
        <f>IFERROR(W11/V11-1,"")</f>
        <v/>
      </c>
      <c r="X12" s="33">
        <f>IFERROR(X11/W11-1,"")</f>
        <v/>
      </c>
      <c r="Y12" s="33">
        <f>IFERROR(Y11/X11-1,"")</f>
        <v/>
      </c>
      <c r="Z12" s="33">
        <f>IFERROR(Z11/Y11-1,"")</f>
        <v/>
      </c>
      <c r="AA12" s="33">
        <f>IFERROR(AA11/Z11-1,"")</f>
        <v/>
      </c>
      <c r="AB12" s="33">
        <f>IFERROR(AB11/AA11-1,"")</f>
        <v/>
      </c>
      <c r="AC12" s="33">
        <f>IFERROR(AC11/AB11-1,"")</f>
        <v/>
      </c>
      <c r="AD12" s="33">
        <f>IFERROR(AD11/AC11-1,"")</f>
        <v/>
      </c>
      <c r="AE12" s="33">
        <f>IFERROR(AE11/AD11-1,"")</f>
        <v/>
      </c>
      <c r="AF12" s="33">
        <f>IFERROR(AF11/AE11-1,"")</f>
        <v/>
      </c>
      <c r="AG12" s="33">
        <f>IFERROR(AG11/AF11-1,"")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13">
        <f>IFERROR(VLOOKUP($D13,환율,MATCH(J$1,변수H,0),0),"")</f>
        <v/>
      </c>
      <c r="K13" s="13">
        <f>IFERROR(VLOOKUP($D13,환율,MATCH(K$1,변수H,0),0),"")</f>
        <v/>
      </c>
      <c r="L13" s="13">
        <f>IFERROR(VLOOKUP($D13,환율,MATCH(L$1,변수H,0),0),"")</f>
        <v/>
      </c>
      <c r="M13" s="13">
        <f>IFERROR(VLOOKUP($D13,환율,MATCH(M$1,변수H,0),0),"")</f>
        <v/>
      </c>
      <c r="N13" s="13">
        <f>IFERROR(VLOOKUP($D13,환율,MATCH(N$1,변수H,0),0),"")</f>
        <v/>
      </c>
      <c r="O13" s="13">
        <f>IFERROR(VLOOKUP($D13,환율,MATCH(O$1,변수H,0),0),"")</f>
        <v/>
      </c>
      <c r="P13" s="13">
        <f>IFERROR(VLOOKUP($D13,환율,MATCH(P$1,변수H,0),0),"")</f>
        <v/>
      </c>
      <c r="Q13" s="13">
        <f>IFERROR(VLOOKUP($D13,환율,MATCH(Q$1,변수H,0),0),"")</f>
        <v/>
      </c>
      <c r="R13" s="13">
        <f>IFERROR(VLOOKUP($D13,환율,MATCH(R$1,변수H,0),0),"")</f>
        <v/>
      </c>
      <c r="S13" s="13">
        <f>IFERROR(VLOOKUP($D13,환율,MATCH(S$1,변수H,0),0),"")</f>
        <v/>
      </c>
      <c r="T13" s="13">
        <f>IFERROR(VLOOKUP($D13,환율,MATCH(T$1,변수H,0),0),"")</f>
        <v/>
      </c>
      <c r="U13" s="13">
        <f>IFERROR(VLOOKUP($D13,환율,MATCH(U$1,변수H,0),0),"")</f>
        <v/>
      </c>
      <c r="V13" s="13">
        <f>IFERROR(VLOOKUP($D13,환율,MATCH(V$1,변수H,0),0),"")</f>
        <v/>
      </c>
      <c r="W13" s="13">
        <f>IFERROR(VLOOKUP($D13,환율,MATCH(W$1,변수H,0),0),"")</f>
        <v/>
      </c>
      <c r="X13" s="41">
        <f>IFERROR(VLOOKUP($D13,환율,MATCH(X$1,변수H,0),0),"")</f>
        <v/>
      </c>
      <c r="Y13" s="41">
        <f>IFERROR(VLOOKUP($D13,환율,MATCH(Y$1,변수H,0),0),"")</f>
        <v/>
      </c>
      <c r="Z13" s="41">
        <f>IFERROR(VLOOKUP($D13,환율,MATCH(Z$1,변수H,0),0),"")</f>
        <v/>
      </c>
      <c r="AA13" s="41">
        <f>IFERROR(VLOOKUP($D13,환율,MATCH(AA$1,변수H,0),0),"")</f>
        <v/>
      </c>
      <c r="AB13" s="41">
        <f>IFERROR(VLOOKUP($D13,환율,MATCH(AB$1,변수H,0),0),"")</f>
        <v/>
      </c>
      <c r="AC13" s="41">
        <f>IFERROR(VLOOKUP($D13,환율,MATCH(AC$1,변수H,0),0),"")</f>
        <v/>
      </c>
      <c r="AD13" s="41">
        <f>IFERROR(VLOOKUP($D13,환율,MATCH(AD$1,변수H,0),0),"")</f>
        <v/>
      </c>
      <c r="AE13" s="41">
        <f>IFERROR(VLOOKUP($D13,환율,MATCH(AE$1,변수H,0),0),"")</f>
        <v/>
      </c>
      <c r="AF13" s="41">
        <f>IFERROR(VLOOKUP($D13,환율,MATCH(AF$1,변수H,0),0),"")</f>
        <v/>
      </c>
      <c r="AG13" s="41">
        <f>IFERROR(VLOOKUP($D13,환율,MATCH(AG$1,변수H,0),0),"")</f>
        <v/>
      </c>
    </row>
    <row r="14">
      <c r="A14" s="12" t="inlineStr">
        <is>
          <t>원/100Y(기말) QoQ</t>
        </is>
      </c>
      <c r="F14" s="21">
        <f>IFERROR(F13/E13-1,"")</f>
        <v/>
      </c>
      <c r="G14" s="21">
        <f>IFERROR(G13/F13-1,"")</f>
        <v/>
      </c>
      <c r="H14" s="21">
        <f>IFERROR(H13/G13-1,"")</f>
        <v/>
      </c>
      <c r="I14" s="21">
        <f>IFERROR(I13/H13-1,"")</f>
        <v/>
      </c>
      <c r="J14" s="21">
        <f>IFERROR(J13/I13-1,"")</f>
        <v/>
      </c>
      <c r="K14" s="21">
        <f>IFERROR(K13/J13-1,"")</f>
        <v/>
      </c>
      <c r="L14" s="21">
        <f>IFERROR(L13/K13-1,"")</f>
        <v/>
      </c>
      <c r="M14" s="21">
        <f>IFERROR(M13/L13-1,"")</f>
        <v/>
      </c>
      <c r="N14" s="21">
        <f>IFERROR(N13/M13-1,"")</f>
        <v/>
      </c>
      <c r="O14" s="21">
        <f>IFERROR(O13/N13-1,"")</f>
        <v/>
      </c>
      <c r="P14" s="21">
        <f>IFERROR(P13/O13-1,"")</f>
        <v/>
      </c>
      <c r="Q14" s="21">
        <f>IFERROR(Q13/P13-1,"")</f>
        <v/>
      </c>
      <c r="R14" s="21">
        <f>IFERROR(R13/Q13-1,"")</f>
        <v/>
      </c>
      <c r="S14" s="21">
        <f>IFERROR(S13/R13-1,"")</f>
        <v/>
      </c>
      <c r="T14" s="21">
        <f>IFERROR(T13/S13-1,"")</f>
        <v/>
      </c>
      <c r="U14" s="21">
        <f>IFERROR(U13/T13-1,"")</f>
        <v/>
      </c>
      <c r="V14" s="21">
        <f>IFERROR(V13/U13-1,"")</f>
        <v/>
      </c>
      <c r="W14" s="21">
        <f>IFERROR(W13/V13-1,"")</f>
        <v/>
      </c>
      <c r="X14" s="33">
        <f>IFERROR(X13/W13-1,"")</f>
        <v/>
      </c>
      <c r="Y14" s="33">
        <f>IFERROR(Y13/X13-1,"")</f>
        <v/>
      </c>
      <c r="Z14" s="33">
        <f>IFERROR(Z13/Y13-1,"")</f>
        <v/>
      </c>
      <c r="AA14" s="33">
        <f>IFERROR(AA13/Z13-1,"")</f>
        <v/>
      </c>
      <c r="AB14" s="33">
        <f>IFERROR(AB13/AA13-1,"")</f>
        <v/>
      </c>
      <c r="AC14" s="33">
        <f>IFERROR(AC13/AB13-1,"")</f>
        <v/>
      </c>
      <c r="AD14" s="33">
        <f>IFERROR(AD13/AC13-1,"")</f>
        <v/>
      </c>
      <c r="AE14" s="33">
        <f>IFERROR(AE13/AD13-1,"")</f>
        <v/>
      </c>
      <c r="AF14" s="33">
        <f>IFERROR(AF13/AE13-1,"")</f>
        <v/>
      </c>
      <c r="AG14" s="33">
        <f>IFERROR(AG13/AF13-1,"")</f>
        <v/>
      </c>
    </row>
    <row r="15"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7">
        <f>변수!D58</f>
        <v/>
      </c>
      <c r="E16" s="2" t="inlineStr">
        <is>
          <t>외화 순노출 × Δ기말환율 (외화 시트 방식)</t>
        </is>
      </c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18">
        <f>IFERROR($D$16*(I7-H7)/100,"")</f>
        <v/>
      </c>
      <c r="J17" s="18">
        <f>IFERROR($D$16*(J7-I7)/100,"")</f>
        <v/>
      </c>
      <c r="K17" s="18">
        <f>IFERROR($D$16*(K7-J7)/100,"")</f>
        <v/>
      </c>
      <c r="L17" s="18">
        <f>IFERROR($D$16*(L7-K7)/100,"")</f>
        <v/>
      </c>
      <c r="M17" s="18">
        <f>IFERROR($D$16*(M7-L7)/100,"")</f>
        <v/>
      </c>
      <c r="N17" s="18">
        <f>IFERROR($D$16*(N7-M7)/100,"")</f>
        <v/>
      </c>
      <c r="O17" s="18">
        <f>IFERROR($D$16*(O7-N7)/100,"")</f>
        <v/>
      </c>
      <c r="P17" s="18">
        <f>IFERROR($D$16*(P7-O7)/100,"")</f>
        <v/>
      </c>
      <c r="Q17" s="18">
        <f>IFERROR($D$16*(Q7-P7)/100,"")</f>
        <v/>
      </c>
      <c r="R17" s="18">
        <f>IFERROR($D$16*(R7-Q7)/100,"")</f>
        <v/>
      </c>
      <c r="S17" s="18">
        <f>IFERROR($D$16*(S7-R7)/100,"")</f>
        <v/>
      </c>
      <c r="T17" s="18">
        <f>IFERROR($D$16*(T7-S7)/100,"")</f>
        <v/>
      </c>
      <c r="U17" s="18">
        <f>IFERROR($D$16*(U7-T7)/100,"")</f>
        <v/>
      </c>
      <c r="V17" s="18">
        <f>IFERROR($D$16*(V7-U7)/100,"")</f>
        <v/>
      </c>
      <c r="W17" s="18">
        <f>IFERROR($D$16*(W7-V7)/100,"")</f>
        <v/>
      </c>
      <c r="X17" s="20">
        <f>IFERROR($D$16*(X7-W7)/100,"")</f>
        <v/>
      </c>
      <c r="Y17" s="20">
        <f>IFERROR($D$16*(Y7-X7)/100,"")</f>
        <v/>
      </c>
      <c r="Z17" s="20">
        <f>IFERROR($D$16*(Z7-Y7)/100,"")</f>
        <v/>
      </c>
      <c r="AA17" s="20">
        <f>IFERROR($D$16*(AA7-Z7)/100,"")</f>
        <v/>
      </c>
      <c r="AB17" s="20">
        <f>IFERROR($D$16*(AB7-AA7)/100,"")</f>
        <v/>
      </c>
      <c r="AC17" s="20">
        <f>IFERROR($D$16*(AC7-AB7)/100,"")</f>
        <v/>
      </c>
      <c r="AD17" s="20">
        <f>IFERROR($D$16*(AD7-AC7)/100,"")</f>
        <v/>
      </c>
      <c r="AE17" s="20">
        <f>IFERROR($D$16*(AE7-AD7)/100,"")</f>
        <v/>
      </c>
      <c r="AF17" s="20">
        <f>IFERROR($D$16*(AF7-AE7)/100,"")</f>
        <v/>
      </c>
      <c r="AG17" s="20">
        <f>IFERROR($D$16*(AG7-AF7)/100,"")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C19" s="2" t="inlineStr">
        <is>
          <t>외화 순노출 미공시(face) → 0 + 표기</t>
        </is>
      </c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2026-10-11T00:00:00Z</dcterms:created>
  <dcterms:modified xsi:type="dcterms:W3CDTF">2026-10-11T00:00:00Z</dcterms:modified>
</cp:coreProperties>
</file>