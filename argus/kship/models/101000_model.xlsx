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1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F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G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H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I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K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L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M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N41" authorId="0" shapeId="0">
      <text>
        <t>모델값 역산(implied): v / 전분기 − 1
유통주식수 유지 — prices.json shares_outstanding(aik 상장 9,910,487 = fin 2026Q2 보통주 발행 39,641,948 × 1/4 — 분기말 후 병합) − 자기주식 16,979 × 1/4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D12" authorId="0" shapeId="0">
      <text>
        <t>추정: 이자발생자산 -1억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F12" authorId="0" shapeId="0">
      <text>
        <t>추정: 이자발생자산 -24억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G12" authorId="0" shapeId="0">
      <text>
        <t>추정: 이자발생자산 -52억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H12" authorId="0" shapeId="0">
      <text>
        <t>추정: 이자발생자산 -79억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I12" authorId="0" shapeId="0">
      <text>
        <t>추정: 이자발생자산 -109억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K12" authorId="0" shapeId="0">
      <text>
        <t>추정: 이자발생자산 -134억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L12" authorId="0" shapeId="0">
      <text>
        <t>추정: 이자발생자산 -163억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M12" authorId="0" shapeId="0">
      <text>
        <t>추정: 이자발생자산 -190억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AN12" authorId="0" shapeId="0">
      <text>
        <t>추정: 이자발생자산 -222억 × 0.86%(CF 이자수취 ÷ 평균 이자발생자산(2025Q3~2026Q2; 주석 이자수익 연율 2.8% 클립 — 주석 마지막 분기 2026Q1 ≠ 마지막 실적 2026Q2(stale) · 주석/CF 3.24배 · CF 창 2025Q3~2026Q2(= la)))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G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H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I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J33" authorId="0" shapeId="0">
      <text>
        <t>추정(실적 구간 갭필): fin.shares.common_outstanding 71,750,792주 × 1/16(환산 — 2023Q1 1/4 병합 · 2026Q2 분기말 후 1/4(aik 상장주식수); IAS 33.64 비교표시·수정주가 이력과 정합)</t>
      </text>
    </comment>
    <comment ref="L33" authorId="0" shapeId="0">
      <text>
        <t>추정(실적 구간 갭필): fin.shares.common_outstanding 17,937,698주 × 1/4(환산 — 2026Q2 분기말 후 1/4(aik 상장주식수); IAS 33.64 비교표시·수정주가 이력과 정합)</t>
      </text>
    </comment>
    <comment ref="M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N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O33" authorId="0" shapeId="0">
      <text>
        <t>추정(실적 구간 갭필): fin.shares.common_outstanding 18,779,448주 × 1/4(환산 — 2026Q2 분기말 후 1/4(aik 상장주식수); IAS 33.64 비교표시·수정주가 이력과 정합)</t>
      </text>
    </comment>
    <comment ref="Q33" authorId="0" shapeId="0">
      <text>
        <t>추정(실적 구간 갭필): fin.shares.common_outstanding 22,842,424주 × 1/4(환산 — 2026Q2 분기말 후 1/4(aik 상장주식수); IAS 33.64 비교표시·수정주가 이력과 정합)</t>
      </text>
    </comment>
    <comment ref="R33" authorId="0" shapeId="0">
      <text>
        <t>추정(실적 구간 갭필): fin.shares.common_outstanding 30,132,955주 × 1/4(환산 — 2026Q2 분기말 후 1/4(aik 상장주식수); IAS 33.64 비교표시·수정주가 이력과 정합)</t>
      </text>
    </comment>
    <comment ref="S33" authorId="0" shapeId="0">
      <text>
        <t>추정(실적 구간 갭필): fin.shares.common_outstanding 30,132,640주 × 1/4(환산 — 2026Q2 분기말 후 1/4(aik 상장주식수); IAS 33.64 비교표시·수정주가 이력과 정합)</t>
      </text>
    </comment>
    <comment ref="T33" authorId="0" shapeId="0">
      <text>
        <t>추정(실적 구간 갭필): fin.shares.common_outstanding 30,630,152주 × 1/4(환산 — 2026Q2 분기말 후 1/4(aik 상장주식수); IAS 33.64 비교표시·수정주가 이력과 정합)</t>
      </text>
    </comment>
    <comment ref="V33" authorId="0" shapeId="0">
      <text>
        <t>추정(실적 구간 갭필): fin.shares.common_outstanding 33,254,823주 × 1/4(환산 — 2026Q2 분기말 후 1/4(aik 상장주식수); IAS 33.64 비교표시·수정주가 이력과 정합)</t>
      </text>
    </comment>
    <comment ref="W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X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Y33" authorId="0" shapeId="0">
      <text>
        <t>추정(실적 구간 갭필): fin.shares.common_outstanding 33,429,823주 × 1/4(환산 — 2026Q2 분기말 후 1/4(aik 상장주식수); IAS 33.64 비교표시·수정주가 이력과 정합)</t>
      </text>
    </comment>
    <comment ref="AA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B33" authorId="0" shapeId="0">
      <text>
        <t>추정(실적 구간 갭필): fin.shares.common_outstanding 39,624,969주 × 1/4(환산 — 2026Q2 분기말 후 1/4(aik 상장주식수); IAS 33.64 비교표시·수정주가 이력과 정합)</t>
      </text>
    </comment>
    <comment ref="AC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D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F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G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H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I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K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L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M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N33" authorId="0" shapeId="0">
      <text>
        <t>추정: 유통주식수 유지 — prices.json shares_outstanding(aik 상장 9,910,487 = fin 2026Q2 보통주 발행 39,641,948 × 1/4 — 분기말 후 병합) − 자기주식 16,979 × 1/4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B35" authorId="0" shapeId="0">
      <text>
        <t>조정EPS 산식(모델 추정, 일회성 여부·세효과 주석 미확인): 지배NI − 초과 비영업손익 36억 × (1 − 세율 0.2% [분기 유효세율(법인세 0억 ÷ 세전 25억)]) × 지배 비중 1.0000 [그 분기 지배NI/NI] = -10억 ÷ 유통주식수 · 초과 = 비영업손익 33억 − 12분기 기준선 -2억 · 보고 EPS 254원(EPS 행 불변) · 상수 35.56·1.0 는 모델 one_offs_detected 값(세전·법인세 셀을 바꿔도 재계산되지 않음)</t>
      </text>
    </comment>
    <comment ref="AC35" authorId="0" shapeId="0">
      <text>
        <t>추정: = EPS(추정 구간은 일회성 미가정)
[identity]</t>
      </text>
    </comment>
    <comment ref="AD35" authorId="0" shapeId="0">
      <text>
        <t>추정: = EPS(추정 구간은 일회성 미가정)
[identity]</t>
      </text>
    </comment>
    <comment ref="AF35" authorId="0" shapeId="0">
      <text>
        <t>추정: = EPS(추정 구간은 일회성 미가정)
[identity]</t>
      </text>
    </comment>
    <comment ref="AG35" authorId="0" shapeId="0">
      <text>
        <t>추정: = EPS(추정 구간은 일회성 미가정)
[identity]</t>
      </text>
    </comment>
    <comment ref="AH35" authorId="0" shapeId="0">
      <text>
        <t>추정: = EPS(추정 구간은 일회성 미가정)
[identity]</t>
      </text>
    </comment>
    <comment ref="AI35" authorId="0" shapeId="0">
      <text>
        <t>추정: = EPS(추정 구간은 일회성 미가정)
[identity]</t>
      </text>
    </comment>
    <comment ref="AK35" authorId="0" shapeId="0">
      <text>
        <t>추정: = EPS(추정 구간은 일회성 미가정)
[identity]</t>
      </text>
    </comment>
    <comment ref="AL35" authorId="0" shapeId="0">
      <text>
        <t>추정: = EPS(추정 구간은 일회성 미가정)
[identity]</t>
      </text>
    </comment>
    <comment ref="AM35" authorId="0" shapeId="0">
      <text>
        <t>추정: = EPS(추정 구간은 일회성 미가정)
[identity]</t>
      </text>
    </comment>
    <comment ref="AN35" authorId="0" shapeId="0">
      <text>
        <t>추정: = EPS(추정 구간은 일회성 미가정)
[identity]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0.85% / 부채 15.95% — 이자손익 = (전분기 이자발생자산 × 자산이자율 − 전분기 총차입금 × 부채이자율)/4, 최소자승 역산(모델 assumptions [0.0086, 0.1595] 는 4자리 반올림이라 그대로 쓰면 ±1억 어긋남) · 출처: {"asset": "CF 이자수취 ÷ 평균 이자발생자산(2025Q3~2026Q2; 주석 이자수익 연율 2.8% 클립 — 주석 마지막 분기 2026Q1 ≠ 마지막 실적 2026Q2(stale) · 주석/CF 3.24배 · CF 창 2025Q3~2026Q2(= la))",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2026Q2 보고 254→조정 -105원)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격자 상관 0.45 가 단일 검정 5% 임계 r 0.71 미달(n=8, n_eff=8) (suppliers_mentions·시차 3·수준·창 8)): 전년동기 × (1+g) 추세 / 분기말 후 병합: aik 상장주식수 9,910,487 = fin 2026Q2 보통주 발행 39,641,948 × 1/4 → 최신 유통주식수 9,906,242(자기주식 16,979 × 1/4 차감) — 실적 분기 주식수·EPS·BPS·DPS 를 1/4 로 환산(IAS 33.64 비교표시·수정주가 이력과 정합), 추정 분기·PER/PBR now·EV 는 최신 주식수. 효력일·단수주 처리는 정기보고서 캐시 밖(주요사항보고서 미수집) / 주식수 사건 환산: 2023Q1 1/4 병합(eps_reported 교차검증 confirmed) → 사건 전 실적 19분기의 주식수·EPS·BPS·DPS 를 비율 환산(IAS 33.64; 셀 kind estimate, basis 에 원주식수·비율) / 이자발생자산 이자율: 주석 연율 2.8% 이상(주석 마지막 분기 2026Q1 ≠ 마지막 실적 2026Q2(stale) · 주석/CF 3.24배 · CF 창 2025Q3~2026Q2(= la)) → CF 연율 0.9% 로 클립(assumptions.interest_rate_check) / 총차입금 이자율: 주석 연율 16.0% 이상(주석 마지막 분기 2026Q1 ≠ 마지막 실적 2026Q2(stale) · 주석/CF 2.75배 · CF 창 2022Q4~2024Q1(la −9분기) 가 주석 창(~2026Q1)보다 오래됨 → CF 로 교체 안 함) — 더 오래된 CF 연율 5.8% 로 바꾸지 않고 주석 유지(assumptions.interest_rate_check)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-104.7원(보고 254.2원; 초과 비영업손익 36억 × (1 − 세율 0.2%) × 지배 비중 1.00 = 36억 차감 — 추정, 조정EPS 행) / 금융손익 실적→추정 단절: 최근 4분기 실적 -2/+5/-3/+41(중위 +2억) → 추정 2026Q3 -7억(차 -9억, -590%)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1427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1509.8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0.006926205</v>
      </c>
      <c r="AD33" s="30" t="n">
        <v>0.002789916</v>
      </c>
      <c r="AE33" s="31" t="n"/>
      <c r="AF33" s="30" t="n">
        <v>0.012269244</v>
      </c>
      <c r="AG33" s="30" t="n">
        <v>0.003367536</v>
      </c>
      <c r="AH33" s="30" t="n">
        <v>0.006747604</v>
      </c>
      <c r="AI33" s="30" t="n">
        <v>0.001298913</v>
      </c>
      <c r="AJ33" s="31" t="n"/>
      <c r="AK33" s="30" t="n">
        <v>0.009029466</v>
      </c>
      <c r="AL33" s="30" t="n">
        <v>-0.002196851</v>
      </c>
      <c r="AM33" s="30" t="n">
        <v>0.009029348</v>
      </c>
      <c r="AN33" s="30" t="n">
        <v>0.001938567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0.006926205</v>
      </c>
      <c r="AD34" s="30" t="n">
        <v>0.002789916</v>
      </c>
      <c r="AE34" s="31" t="n"/>
      <c r="AF34" s="30" t="n">
        <v>0.012269244</v>
      </c>
      <c r="AG34" s="30" t="n">
        <v>0.003367536</v>
      </c>
      <c r="AH34" s="30" t="n">
        <v>0.006747604</v>
      </c>
      <c r="AI34" s="30" t="n">
        <v>0.001298913</v>
      </c>
      <c r="AJ34" s="31" t="n"/>
      <c r="AK34" s="30" t="n">
        <v>0.009029466</v>
      </c>
      <c r="AL34" s="30" t="n">
        <v>-0.002196851</v>
      </c>
      <c r="AM34" s="30" t="n">
        <v>0.009029348</v>
      </c>
      <c r="AN34" s="30" t="n">
        <v>0.001938567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0.164439479</v>
      </c>
      <c r="AD36" s="24" t="n">
        <v>0.11357646</v>
      </c>
      <c r="AE36" s="25" t="n"/>
      <c r="AF36" s="24" t="n">
        <v>0.118819125</v>
      </c>
      <c r="AG36" s="24" t="n">
        <v>0.10212324</v>
      </c>
      <c r="AH36" s="24" t="n">
        <v>0.107109203</v>
      </c>
      <c r="AI36" s="24" t="n">
        <v>0.077296513</v>
      </c>
      <c r="AJ36" s="25" t="n"/>
      <c r="AK36" s="24" t="n">
        <v>0.083981975</v>
      </c>
      <c r="AL36" s="24" t="n">
        <v>0.074398013</v>
      </c>
      <c r="AM36" s="24" t="n">
        <v>0.079045226</v>
      </c>
      <c r="AN36" s="24" t="n">
        <v>0.058375635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-1.026828614</v>
      </c>
      <c r="AD37" s="24" t="n">
        <v>30.766233766</v>
      </c>
      <c r="AE37" s="25" t="n"/>
      <c r="AF37" s="24" t="n">
        <v>1.129190515</v>
      </c>
      <c r="AG37" s="24" t="n">
        <v>0.5097926270000001</v>
      </c>
      <c r="AH37" s="24" t="n">
        <v>0.390309042</v>
      </c>
      <c r="AI37" s="24" t="n">
        <v>0.224204171</v>
      </c>
      <c r="AJ37" s="25" t="n"/>
      <c r="AK37" s="24" t="n">
        <v>0.214525891</v>
      </c>
      <c r="AL37" s="24" t="n">
        <v>0.169558263</v>
      </c>
      <c r="AM37" s="24" t="n">
        <v>0.165491846</v>
      </c>
      <c r="AN37" s="24" t="n">
        <v>0.113152194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-2.5e-08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subQ!E37</f>
        <v/>
      </c>
      <c r="F42" s="28">
        <f>subQ!F37</f>
        <v/>
      </c>
      <c r="G42" s="27">
        <f>subQ!G37</f>
        <v/>
      </c>
      <c r="H42" s="27">
        <f>subQ!H37</f>
        <v/>
      </c>
      <c r="I42" s="27">
        <f>subQ!I37</f>
        <v/>
      </c>
      <c r="J42" s="27">
        <f>subQ!J37</f>
        <v/>
      </c>
      <c r="K42" s="28">
        <f>subQ!K37</f>
        <v/>
      </c>
      <c r="L42" s="27">
        <f>subQ!L37</f>
        <v/>
      </c>
      <c r="M42" s="27">
        <f>subQ!M37</f>
        <v/>
      </c>
      <c r="N42" s="27">
        <f>subQ!N37</f>
        <v/>
      </c>
      <c r="O42" s="27">
        <f>subQ!O37</f>
        <v/>
      </c>
      <c r="P42" s="28">
        <f>subQ!P37</f>
        <v/>
      </c>
      <c r="Q42" s="27">
        <f>subQ!Q37</f>
        <v/>
      </c>
      <c r="R42" s="27">
        <f>subQ!R37</f>
        <v/>
      </c>
      <c r="S42" s="27">
        <f>subQ!S37</f>
        <v/>
      </c>
      <c r="T42" s="27">
        <f>subQ!T37</f>
        <v/>
      </c>
      <c r="U42" s="28">
        <f>subQ!U37</f>
        <v/>
      </c>
      <c r="V42" s="27">
        <f>subQ!V37</f>
        <v/>
      </c>
      <c r="W42" s="27">
        <f>subQ!W37</f>
        <v/>
      </c>
      <c r="X42" s="27">
        <f>subQ!X37</f>
        <v/>
      </c>
      <c r="Y42" s="27">
        <f>subQ!Y37</f>
        <v/>
      </c>
      <c r="Z42" s="28">
        <f>subQ!Z37</f>
        <v/>
      </c>
      <c r="AA42" s="27">
        <f>subQ!AA37</f>
        <v/>
      </c>
      <c r="AB42" s="29">
        <f>subQ!AB37</f>
        <v/>
      </c>
      <c r="AC42" s="32" t="n"/>
      <c r="AD42" s="30" t="n">
        <v>0</v>
      </c>
      <c r="AE42" s="31">
        <f>subQ!AE37</f>
        <v/>
      </c>
      <c r="AF42" s="32" t="n"/>
      <c r="AG42" s="32" t="n"/>
      <c r="AH42" s="32" t="n"/>
      <c r="AI42" s="30" t="n">
        <v>0</v>
      </c>
      <c r="AJ42" s="31">
        <f>subQ!AJ37</f>
        <v/>
      </c>
      <c r="AK42" s="32" t="n"/>
      <c r="AL42" s="32" t="n"/>
      <c r="AM42" s="32" t="n"/>
      <c r="AN42" s="30" t="n">
        <v>0</v>
      </c>
      <c r="AO42" s="31">
        <f>subQ!AO37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1427</v>
      </c>
      <c r="E45" s="2" t="inlineStr">
        <is>
          <t>원 — 네이버 정규장 종가(aik 확정종가 대조 · aik 1,518원)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양(+)EPS 분기 2개 &lt; 4)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0.2495927601809955</v>
      </c>
      <c r="E53" s="2" t="inlineStr">
        <is>
          <t>연결 — 판관비 = 매출액 × 판관비율(역산, 재현 오차 ≤ 0.05억 · 모델 assumptions 0.2496)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0.008530302041496976</v>
      </c>
      <c r="E55" s="2" t="inlineStr">
        <is>
          <t>연결 — 이자손익 = (전분기 이자발생자산 × 자산이자율 − 전분기 총차입금 × 부채이자율)/4(역산, 재현 오차 ≤ 0.05억 · 모델 assumptions 0.0086)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0.1595193996304005</v>
      </c>
      <c r="E56" s="2" t="inlineStr">
        <is>
          <t>연결 — 같은 수식의 부채 쪽(총차입금 행이 없으면 0)(역산, 재현 오차 ≤ 0.05억 · 모델 assumptions 0.1595)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4819.01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13642.8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7117.14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32" t="n">
        <v>4.4844245</v>
      </c>
      <c r="F33" s="28">
        <f>E33</f>
        <v/>
      </c>
      <c r="G33" s="32" t="n">
        <v>4.4844245</v>
      </c>
      <c r="H33" s="32" t="n">
        <v>4.4844245</v>
      </c>
      <c r="I33" s="32" t="n">
        <v>4.4844245</v>
      </c>
      <c r="J33" s="32" t="n">
        <v>4.4844245</v>
      </c>
      <c r="K33" s="28">
        <f>J33</f>
        <v/>
      </c>
      <c r="L33" s="32" t="n">
        <v>4.4844245</v>
      </c>
      <c r="M33" s="32" t="n">
        <v>4.694862</v>
      </c>
      <c r="N33" s="32" t="n">
        <v>4.694862</v>
      </c>
      <c r="O33" s="32" t="n">
        <v>4.694862</v>
      </c>
      <c r="P33" s="28">
        <f>O33</f>
        <v/>
      </c>
      <c r="Q33" s="32" t="n">
        <v>5.710606</v>
      </c>
      <c r="R33" s="32" t="n">
        <v>7.53323875</v>
      </c>
      <c r="S33" s="32" t="n">
        <v>7.53316</v>
      </c>
      <c r="T33" s="32" t="n">
        <v>7.657538</v>
      </c>
      <c r="U33" s="28">
        <f>T33</f>
        <v/>
      </c>
      <c r="V33" s="32" t="n">
        <v>8.31370575</v>
      </c>
      <c r="W33" s="32" t="n">
        <v>8.35745575</v>
      </c>
      <c r="X33" s="32" t="n">
        <v>8.35745575</v>
      </c>
      <c r="Y33" s="32" t="n">
        <v>8.35745575</v>
      </c>
      <c r="Z33" s="28">
        <f>Y33</f>
        <v/>
      </c>
      <c r="AA33" s="32" t="n">
        <v>9.90624225</v>
      </c>
      <c r="AB33" s="39" t="n">
        <v>9.90624225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>
        <f>IFERROR(E34,"")</f>
        <v/>
      </c>
      <c r="F35" s="37" t="n"/>
      <c r="G35" s="18">
        <f>IFERROR(G34,"")</f>
        <v/>
      </c>
      <c r="H35" s="18">
        <f>IFERROR(H34,"")</f>
        <v/>
      </c>
      <c r="I35" s="18">
        <f>IFERROR(I34,"")</f>
        <v/>
      </c>
      <c r="J35" s="18">
        <f>IFERROR(J34,"")</f>
        <v/>
      </c>
      <c r="K35" s="37">
        <f>SUM(G35:J35)</f>
        <v/>
      </c>
      <c r="L35" s="18">
        <f>IFERROR(L34,"")</f>
        <v/>
      </c>
      <c r="M35" s="18">
        <f>IFERROR(M34,"")</f>
        <v/>
      </c>
      <c r="N35" s="18">
        <f>IFERROR(N34,"")</f>
        <v/>
      </c>
      <c r="O35" s="18">
        <f>IFERROR(O34,"")</f>
        <v/>
      </c>
      <c r="P35" s="37">
        <f>SUM(L35:O35)</f>
        <v/>
      </c>
      <c r="Q35" s="18">
        <f>IFERROR(Q34,"")</f>
        <v/>
      </c>
      <c r="R35" s="18">
        <f>IFERROR(R34,"")</f>
        <v/>
      </c>
      <c r="S35" s="18">
        <f>IFERROR(S34,"")</f>
        <v/>
      </c>
      <c r="T35" s="18">
        <f>IFERROR(T34,"")</f>
        <v/>
      </c>
      <c r="U35" s="37">
        <f>SUM(Q35:T35)</f>
        <v/>
      </c>
      <c r="V35" s="18">
        <f>IFERROR(V34,"")</f>
        <v/>
      </c>
      <c r="W35" s="18">
        <f>IFERROR(W34,"")</f>
        <v/>
      </c>
      <c r="X35" s="18">
        <f>IFERROR(X34,"")</f>
        <v/>
      </c>
      <c r="Y35" s="18">
        <f>IFERROR(Y34,"")</f>
        <v/>
      </c>
      <c r="Z35" s="37">
        <f>SUM(V35:Y35)</f>
        <v/>
      </c>
      <c r="AA35" s="18">
        <f>IFERROR(AA34,"")</f>
        <v/>
      </c>
      <c r="AB35" s="40">
        <f>IFERROR((AB21-(35.56)*(1.0))*100/AB33,"")</f>
        <v/>
      </c>
      <c r="AC35" s="20">
        <f>IFERROR(AC34,"")</f>
        <v/>
      </c>
      <c r="AD35" s="20">
        <f>IFERROR(AD34,"")</f>
        <v/>
      </c>
      <c r="AE35" s="38">
        <f>SUM(AA35:AD35)</f>
        <v/>
      </c>
      <c r="AF35" s="20">
        <f>IFERROR(AF34,"")</f>
        <v/>
      </c>
      <c r="AG35" s="20">
        <f>IFERROR(AG34,"")</f>
        <v/>
      </c>
      <c r="AH35" s="20">
        <f>IFERROR(AH34,"")</f>
        <v/>
      </c>
      <c r="AI35" s="20">
        <f>IFERROR(AI34,"")</f>
        <v/>
      </c>
      <c r="AJ35" s="38">
        <f>SUM(AF35:AI35)</f>
        <v/>
      </c>
      <c r="AK35" s="20">
        <f>IFERROR(AK34,"")</f>
        <v/>
      </c>
      <c r="AL35" s="20">
        <f>IFERROR(AL34,"")</f>
        <v/>
      </c>
      <c r="AM35" s="20">
        <f>IFERROR(AM34,"")</f>
        <v/>
      </c>
      <c r="AN35" s="20">
        <f>IFERROR(AN34,"")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변수!AD42</f>
        <v/>
      </c>
      <c r="AE37" s="38">
        <f>SUM(AA37:AD37)</f>
        <v/>
      </c>
      <c r="AF37" s="20" t="n"/>
      <c r="AG37" s="20" t="n"/>
      <c r="AH37" s="20" t="n"/>
      <c r="AI37" s="20">
        <f>변수!AI42</f>
        <v/>
      </c>
      <c r="AJ37" s="38">
        <f>SUM(AF37:AI37)</f>
        <v/>
      </c>
      <c r="AK37" s="20" t="n"/>
      <c r="AL37" s="20" t="n"/>
      <c r="AM37" s="20" t="n"/>
      <c r="AN37" s="20">
        <f>변수!AN42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1" t="n"/>
      <c r="AD38" s="41" t="n"/>
      <c r="AE38" s="42">
        <f>AD38</f>
        <v/>
      </c>
      <c r="AF38" s="41" t="n"/>
      <c r="AG38" s="41" t="n"/>
      <c r="AH38" s="41" t="n"/>
      <c r="AI38" s="41" t="n"/>
      <c r="AJ38" s="42">
        <f>AI38</f>
        <v/>
      </c>
      <c r="AK38" s="41" t="n"/>
      <c r="AL38" s="41" t="n"/>
      <c r="AM38" s="41" t="n"/>
      <c r="AN38" s="41" t="n"/>
      <c r="AO38" s="42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1">
        <f>IFERROR(변수!$D$45/AC36,"")</f>
        <v/>
      </c>
      <c r="AD39" s="41">
        <f>IFERROR(변수!$D$45/AD36,"")</f>
        <v/>
      </c>
      <c r="AE39" s="42">
        <f>AD39</f>
        <v/>
      </c>
      <c r="AF39" s="41">
        <f>IFERROR(변수!$D$45/AF36,"")</f>
        <v/>
      </c>
      <c r="AG39" s="41">
        <f>IFERROR(변수!$D$45/AG36,"")</f>
        <v/>
      </c>
      <c r="AH39" s="41">
        <f>IFERROR(변수!$D$45/AH36,"")</f>
        <v/>
      </c>
      <c r="AI39" s="41">
        <f>IFERROR(변수!$D$45/AI36,"")</f>
        <v/>
      </c>
      <c r="AJ39" s="42">
        <f>AI39</f>
        <v/>
      </c>
      <c r="AK39" s="41">
        <f>IFERROR(변수!$D$45/AK36,"")</f>
        <v/>
      </c>
      <c r="AL39" s="41">
        <f>IFERROR(변수!$D$45/AL36,"")</f>
        <v/>
      </c>
      <c r="AM39" s="41">
        <f>IFERROR(변수!$D$45/AM36,"")</f>
        <v/>
      </c>
      <c r="AN39" s="41">
        <f>IFERROR(변수!$D$45/AN36,"")</f>
        <v/>
      </c>
      <c r="AO39" s="42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4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5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6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7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7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7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7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7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8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7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7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7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7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7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7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7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7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7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7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7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7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7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7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7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7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7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7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7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7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7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7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9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7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7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7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7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0">
        <f>IFERROR(VLOOKUP($A38,subQ,MATCH(W$1,SUBQH,0),0),"")</f>
        <v/>
      </c>
      <c r="X38" s="41">
        <f>IFERROR(VLOOKUP($A38,subQ,MATCH(X$1,SUBQH,0),0),"")</f>
        <v/>
      </c>
      <c r="Y38" s="41">
        <f>IFERROR(VLOOKUP($A38,subQ,MATCH(Y$1,SUBQH,0),0),"")</f>
        <v/>
      </c>
      <c r="Z38" s="41">
        <f>IFERROR(VLOOKUP($A38,subQ,MATCH(Z$1,SUBQH,0),0),"")</f>
        <v/>
      </c>
      <c r="AA38" s="41">
        <f>IFERROR(VLOOKUP($A38,subQ,MATCH(AA$1,SUBQH,0),0),"")</f>
        <v/>
      </c>
      <c r="AB38" s="41">
        <f>IFERROR(VLOOKUP($A38,subQ,MATCH(AB$1,SUBQH,0),0),"")</f>
        <v/>
      </c>
      <c r="AC38" s="41">
        <f>IFERROR(VLOOKUP($A38,subQ,MATCH(AC$1,SUBQH,0),0),"")</f>
        <v/>
      </c>
      <c r="AD38" s="41">
        <f>IFERROR(VLOOKUP($A38,subQ,MATCH(AD$1,SUBQH,0),0),"")</f>
        <v/>
      </c>
      <c r="AE38" s="41">
        <f>IFERROR(VLOOKUP($A38,subQ,MATCH(AE$1,SUBQH,0),0),"")</f>
        <v/>
      </c>
      <c r="AF38" s="41">
        <f>IFERROR(VLOOKUP($A38,subQ,MATCH(AF$1,SUBQH,0),0),"")</f>
        <v/>
      </c>
      <c r="AG38" s="41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50">
        <f>IFERROR(VLOOKUP($A39,subQ,MATCH(W$1,SUBQH,0),0),"")</f>
        <v/>
      </c>
      <c r="X39" s="41">
        <f>IFERROR(VLOOKUP($A39,subQ,MATCH(X$1,SUBQH,0),0),"")</f>
        <v/>
      </c>
      <c r="Y39" s="41">
        <f>IFERROR(VLOOKUP($A39,subQ,MATCH(Y$1,SUBQH,0),0),"")</f>
        <v/>
      </c>
      <c r="Z39" s="41">
        <f>IFERROR(VLOOKUP($A39,subQ,MATCH(Z$1,SUBQH,0),0),"")</f>
        <v/>
      </c>
      <c r="AA39" s="41">
        <f>IFERROR(VLOOKUP($A39,subQ,MATCH(AA$1,SUBQH,0),0),"")</f>
        <v/>
      </c>
      <c r="AB39" s="41">
        <f>IFERROR(VLOOKUP($A39,subQ,MATCH(AB$1,SUBQH,0),0),"")</f>
        <v/>
      </c>
      <c r="AC39" s="41">
        <f>IFERROR(VLOOKUP($A39,subQ,MATCH(AC$1,SUBQH,0),0),"")</f>
        <v/>
      </c>
      <c r="AD39" s="41">
        <f>IFERROR(VLOOKUP($A39,subQ,MATCH(AD$1,SUBQH,0),0),"")</f>
        <v/>
      </c>
      <c r="AE39" s="41">
        <f>IFERROR(VLOOKUP($A39,subQ,MATCH(AE$1,SUBQH,0),0),"")</f>
        <v/>
      </c>
      <c r="AF39" s="41">
        <f>IFERROR(VLOOKUP($A39,subQ,MATCH(AF$1,SUBQH,0),0),"")</f>
        <v/>
      </c>
      <c r="AG39" s="41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7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7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8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8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8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8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4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5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6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7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7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7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7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7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8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7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7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7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7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7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7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7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7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7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7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7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7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7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7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7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7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7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7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7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7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7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7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9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7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7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7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7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0">
        <f>IFERROR(VLOOKUP($A38,subQ,MATCH(I$1,SUBQH,0),0),"")</f>
        <v/>
      </c>
      <c r="J38" s="41">
        <f>IFERROR(VLOOKUP($A38,subQ,MATCH(J$1,SUBQH,0),0),"")</f>
        <v/>
      </c>
      <c r="K38" s="41">
        <f>IFERROR(VLOOKUP($A38,subQ,MATCH(K$1,SUBQH,0),0),"")</f>
        <v/>
      </c>
      <c r="L38" s="41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50">
        <f>IFERROR(VLOOKUP($A39,subQ,MATCH(I$1,SUBQH,0),0),"")</f>
        <v/>
      </c>
      <c r="J39" s="41">
        <f>IFERROR(VLOOKUP($A39,subQ,MATCH(J$1,SUBQH,0),0),"")</f>
        <v/>
      </c>
      <c r="K39" s="41">
        <f>IFERROR(VLOOKUP($A39,subQ,MATCH(K$1,SUBQH,0),0),"")</f>
        <v/>
      </c>
      <c r="L39" s="41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7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7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8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8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8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8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1" t="n">
        <v>2025</v>
      </c>
      <c r="E5" s="51" t="n">
        <v>2026</v>
      </c>
      <c r="F5" s="51" t="n">
        <v>2027</v>
      </c>
      <c r="G5" s="51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-1083.5</v>
      </c>
    </row>
    <row r="30">
      <c r="C30" s="2" t="inlineStr">
        <is>
          <t>bps_latest</t>
        </is>
      </c>
      <c r="D30" t="n">
        <v>4499.7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-0.2408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1">
        <f>IFERROR(VLOOKUP($D5,환율,MATCH(X$1,변수H,0),0),"")</f>
        <v/>
      </c>
      <c r="Y5" s="41">
        <f>IFERROR(VLOOKUP($D5,환율,MATCH(Y$1,변수H,0),0),"")</f>
        <v/>
      </c>
      <c r="Z5" s="41">
        <f>IFERROR(VLOOKUP($D5,환율,MATCH(Z$1,변수H,0),0),"")</f>
        <v/>
      </c>
      <c r="AA5" s="41">
        <f>IFERROR(VLOOKUP($D5,환율,MATCH(AA$1,변수H,0),0),"")</f>
        <v/>
      </c>
      <c r="AB5" s="41">
        <f>IFERROR(VLOOKUP($D5,환율,MATCH(AB$1,변수H,0),0),"")</f>
        <v/>
      </c>
      <c r="AC5" s="41">
        <f>IFERROR(VLOOKUP($D5,환율,MATCH(AC$1,변수H,0),0),"")</f>
        <v/>
      </c>
      <c r="AD5" s="41">
        <f>IFERROR(VLOOKUP($D5,환율,MATCH(AD$1,변수H,0),0),"")</f>
        <v/>
      </c>
      <c r="AE5" s="41">
        <f>IFERROR(VLOOKUP($D5,환율,MATCH(AE$1,변수H,0),0),"")</f>
        <v/>
      </c>
      <c r="AF5" s="41">
        <f>IFERROR(VLOOKUP($D5,환율,MATCH(AF$1,변수H,0),0),"")</f>
        <v/>
      </c>
      <c r="AG5" s="41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1">
        <f>IFERROR(VLOOKUP($D7,환율,MATCH(X$1,변수H,0),0),"")</f>
        <v/>
      </c>
      <c r="Y7" s="41">
        <f>IFERROR(VLOOKUP($D7,환율,MATCH(Y$1,변수H,0),0),"")</f>
        <v/>
      </c>
      <c r="Z7" s="41">
        <f>IFERROR(VLOOKUP($D7,환율,MATCH(Z$1,변수H,0),0),"")</f>
        <v/>
      </c>
      <c r="AA7" s="41">
        <f>IFERROR(VLOOKUP($D7,환율,MATCH(AA$1,변수H,0),0),"")</f>
        <v/>
      </c>
      <c r="AB7" s="41">
        <f>IFERROR(VLOOKUP($D7,환율,MATCH(AB$1,변수H,0),0),"")</f>
        <v/>
      </c>
      <c r="AC7" s="41">
        <f>IFERROR(VLOOKUP($D7,환율,MATCH(AC$1,변수H,0),0),"")</f>
        <v/>
      </c>
      <c r="AD7" s="41">
        <f>IFERROR(VLOOKUP($D7,환율,MATCH(AD$1,변수H,0),0),"")</f>
        <v/>
      </c>
      <c r="AE7" s="41">
        <f>IFERROR(VLOOKUP($D7,환율,MATCH(AE$1,변수H,0),0),"")</f>
        <v/>
      </c>
      <c r="AF7" s="41">
        <f>IFERROR(VLOOKUP($D7,환율,MATCH(AF$1,변수H,0),0),"")</f>
        <v/>
      </c>
      <c r="AG7" s="41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1">
        <f>IFERROR(VLOOKUP($D9,환율,MATCH(X$1,변수H,0),0),"")</f>
        <v/>
      </c>
      <c r="Y9" s="41">
        <f>IFERROR(VLOOKUP($D9,환율,MATCH(Y$1,변수H,0),0),"")</f>
        <v/>
      </c>
      <c r="Z9" s="41">
        <f>IFERROR(VLOOKUP($D9,환율,MATCH(Z$1,변수H,0),0),"")</f>
        <v/>
      </c>
      <c r="AA9" s="41">
        <f>IFERROR(VLOOKUP($D9,환율,MATCH(AA$1,변수H,0),0),"")</f>
        <v/>
      </c>
      <c r="AB9" s="41">
        <f>IFERROR(VLOOKUP($D9,환율,MATCH(AB$1,변수H,0),0),"")</f>
        <v/>
      </c>
      <c r="AC9" s="41">
        <f>IFERROR(VLOOKUP($D9,환율,MATCH(AC$1,변수H,0),0),"")</f>
        <v/>
      </c>
      <c r="AD9" s="41">
        <f>IFERROR(VLOOKUP($D9,환율,MATCH(AD$1,변수H,0),0),"")</f>
        <v/>
      </c>
      <c r="AE9" s="41">
        <f>IFERROR(VLOOKUP($D9,환율,MATCH(AE$1,변수H,0),0),"")</f>
        <v/>
      </c>
      <c r="AF9" s="41">
        <f>IFERROR(VLOOKUP($D9,환율,MATCH(AF$1,변수H,0),0),"")</f>
        <v/>
      </c>
      <c r="AG9" s="41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1">
        <f>IFERROR(VLOOKUP($D11,환율,MATCH(X$1,변수H,0),0),"")</f>
        <v/>
      </c>
      <c r="Y11" s="41">
        <f>IFERROR(VLOOKUP($D11,환율,MATCH(Y$1,변수H,0),0),"")</f>
        <v/>
      </c>
      <c r="Z11" s="41">
        <f>IFERROR(VLOOKUP($D11,환율,MATCH(Z$1,변수H,0),0),"")</f>
        <v/>
      </c>
      <c r="AA11" s="41">
        <f>IFERROR(VLOOKUP($D11,환율,MATCH(AA$1,변수H,0),0),"")</f>
        <v/>
      </c>
      <c r="AB11" s="41">
        <f>IFERROR(VLOOKUP($D11,환율,MATCH(AB$1,변수H,0),0),"")</f>
        <v/>
      </c>
      <c r="AC11" s="41">
        <f>IFERROR(VLOOKUP($D11,환율,MATCH(AC$1,변수H,0),0),"")</f>
        <v/>
      </c>
      <c r="AD11" s="41">
        <f>IFERROR(VLOOKUP($D11,환율,MATCH(AD$1,변수H,0),0),"")</f>
        <v/>
      </c>
      <c r="AE11" s="41">
        <f>IFERROR(VLOOKUP($D11,환율,MATCH(AE$1,변수H,0),0),"")</f>
        <v/>
      </c>
      <c r="AF11" s="41">
        <f>IFERROR(VLOOKUP($D11,환율,MATCH(AF$1,변수H,0),0),"")</f>
        <v/>
      </c>
      <c r="AG11" s="41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1">
        <f>IFERROR(VLOOKUP($D13,환율,MATCH(X$1,변수H,0),0),"")</f>
        <v/>
      </c>
      <c r="Y13" s="41">
        <f>IFERROR(VLOOKUP($D13,환율,MATCH(Y$1,변수H,0),0),"")</f>
        <v/>
      </c>
      <c r="Z13" s="41">
        <f>IFERROR(VLOOKUP($D13,환율,MATCH(Z$1,변수H,0),0),"")</f>
        <v/>
      </c>
      <c r="AA13" s="41">
        <f>IFERROR(VLOOKUP($D13,환율,MATCH(AA$1,변수H,0),0),"")</f>
        <v/>
      </c>
      <c r="AB13" s="41">
        <f>IFERROR(VLOOKUP($D13,환율,MATCH(AB$1,변수H,0),0),"")</f>
        <v/>
      </c>
      <c r="AC13" s="41">
        <f>IFERROR(VLOOKUP($D13,환율,MATCH(AC$1,변수H,0),0),"")</f>
        <v/>
      </c>
      <c r="AD13" s="41">
        <f>IFERROR(VLOOKUP($D13,환율,MATCH(AD$1,변수H,0),0),"")</f>
        <v/>
      </c>
      <c r="AE13" s="41">
        <f>IFERROR(VLOOKUP($D13,환율,MATCH(AE$1,변수H,0),0),"")</f>
        <v/>
      </c>
      <c r="AF13" s="41">
        <f>IFERROR(VLOOKUP($D13,환율,MATCH(AF$1,변수H,0),0),"")</f>
        <v/>
      </c>
      <c r="AG13" s="41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