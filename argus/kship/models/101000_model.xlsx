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BS별도!$C$5:$AO$91</definedName>
    <definedName name="SUBQH">subQ!$A$1:$AO$1</definedName>
    <definedName name="subQ">subQ!$A$5:$AO$45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(1+13.7%) — g=최근 4분기 합 YoY 13.7% 클립(−30~+50%), 연차별 절반 감쇠(가정)</t>
      </text>
    </comment>
    <comment ref="AD21" authorId="0" shapeId="0">
      <text>
        <t>모델값 역산(implied): v / 전년동기 − 1
전년동기 × (1+13.7%) — g=최근 4분기 합 YoY 13.7% 클립(−30~+50%), 연차별 절반 감쇠(가정)</t>
      </text>
    </comment>
    <comment ref="AF21" authorId="0" shapeId="0">
      <text>
        <t>모델값 역산(implied): v / 전년동기 − 1
전년동기 × (1+13.7%) — g=최근 4분기 합 YoY 13.7% 클립(−30~+50%), 연차별 절반 감쇠(가정)</t>
      </text>
    </comment>
    <comment ref="AG21" authorId="0" shapeId="0">
      <text>
        <t>모델값 역산(implied): v / 전년동기 − 1
전년동기 × (1+13.7%) — g=최근 4분기 합 YoY 13.7% 클립(−30~+50%), 연차별 절반 감쇠(가정)</t>
      </text>
    </comment>
    <comment ref="AH21" authorId="0" shapeId="0">
      <text>
        <t>모델값 역산(implied): v / 전년동기 − 1
전년동기 × (1+6.8%) — g=최근 4분기 합 YoY 13.7% 클립(−30~+50%), 연차별 절반 감쇠(가정)</t>
      </text>
    </comment>
    <comment ref="AI21" authorId="0" shapeId="0">
      <text>
        <t>모델값 역산(implied): v / 전년동기 − 1
전년동기 × (1+6.8%) — g=최근 4분기 합 YoY 13.7% 클립(−30~+50%), 연차별 절반 감쇠(가정)</t>
      </text>
    </comment>
    <comment ref="AK21" authorId="0" shapeId="0">
      <text>
        <t>모델값 역산(implied): v / 전년동기 − 1
전년동기 × (1+6.8%) — g=최근 4분기 합 YoY 13.7% 클립(−30~+50%), 연차별 절반 감쇠(가정)</t>
      </text>
    </comment>
    <comment ref="AL21" authorId="0" shapeId="0">
      <text>
        <t>모델값 역산(implied): v / 전년동기 − 1
전년동기 × (1+6.8%) — g=최근 4분기 합 YoY 13.7% 클립(−30~+50%), 연차별 절반 감쇠(가정)</t>
      </text>
    </comment>
    <comment ref="AM21" authorId="0" shapeId="0">
      <text>
        <t>모델값 역산(implied): v / 전년동기 − 1
전년동기 × (1+3.4%) — g=최근 4분기 합 YoY 13.7% 클립(−30~+50%), 연차별 절반 감쇠(가정)</t>
      </text>
    </comment>
    <comment ref="AN21" authorId="0" shapeId="0">
      <text>
        <t>모델값 역산(implied): v / 전년동기 − 1
전년동기 × (1+3.4%) — g=최근 4분기 합 YoY 13.7% 클립(−30~+50%), 연차별 절반 감쇠(가정)</t>
      </text>
    </comment>
    <comment ref="AC22" authorId="0" shapeId="0">
      <text>
        <t>3절 스칼라 '판관비율' 참조 — 숫자로 덮어쓰면 이 분기만 바뀐다
매출액 × 판관비율 24.96%(최근 4분기 중위)</t>
      </text>
    </comment>
    <comment ref="AD22" authorId="0" shapeId="0">
      <text>
        <t>3절 스칼라 '판관비율' 참조 — 숫자로 덮어쓰면 이 분기만 바뀐다
매출액 × 판관비율 24.96%(최근 4분기 중위)</t>
      </text>
    </comment>
    <comment ref="AF22" authorId="0" shapeId="0">
      <text>
        <t>3절 스칼라 '판관비율' 참조 — 숫자로 덮어쓰면 이 분기만 바뀐다
매출액 × 판관비율 24.96%(최근 4분기 중위)</t>
      </text>
    </comment>
    <comment ref="AG22" authorId="0" shapeId="0">
      <text>
        <t>3절 스칼라 '판관비율' 참조 — 숫자로 덮어쓰면 이 분기만 바뀐다
매출액 × 판관비율 24.96%(최근 4분기 중위)</t>
      </text>
    </comment>
    <comment ref="AH22" authorId="0" shapeId="0">
      <text>
        <t>3절 스칼라 '판관비율' 참조 — 숫자로 덮어쓰면 이 분기만 바뀐다
매출액 × 판관비율 24.96%(최근 4분기 중위)</t>
      </text>
    </comment>
    <comment ref="AI22" authorId="0" shapeId="0">
      <text>
        <t>3절 스칼라 '판관비율' 참조 — 숫자로 덮어쓰면 이 분기만 바뀐다
매출액 × 판관비율 24.96%(최근 4분기 중위)</t>
      </text>
    </comment>
    <comment ref="AK22" authorId="0" shapeId="0">
      <text>
        <t>3절 스칼라 '판관비율' 참조 — 숫자로 덮어쓰면 이 분기만 바뀐다
매출액 × 판관비율 24.96%(최근 4분기 중위)</t>
      </text>
    </comment>
    <comment ref="AL22" authorId="0" shapeId="0">
      <text>
        <t>3절 스칼라 '판관비율' 참조 — 숫자로 덮어쓰면 이 분기만 바뀐다
매출액 × 판관비율 24.96%(최근 4분기 중위)</t>
      </text>
    </comment>
    <comment ref="AM22" authorId="0" shapeId="0">
      <text>
        <t>3절 스칼라 '판관비율' 참조 — 숫자로 덮어쓰면 이 분기만 바뀐다
매출액 × 판관비율 24.96%(최근 4분기 중위)</t>
      </text>
    </comment>
    <comment ref="AN22" authorId="0" shapeId="0">
      <text>
        <t>3절 스칼라 '판관비율' 참조 — 숫자로 덮어쓰면 이 분기만 바뀐다
매출액 × 판관비율 24.96%(최근 4분기 중위)</t>
      </text>
    </comment>
    <comment ref="AC23" authorId="0" shapeId="0">
      <text>
        <t>모델값 역산(implied): v / 매출액
매출액 × OPM(최근 8분기 OPM 중위 -10.6% 유지(클립 −20~40%))</t>
      </text>
    </comment>
    <comment ref="AD23" authorId="0" shapeId="0">
      <text>
        <t>모델값 역산(implied): v / 매출액
매출액 × OPM(최근 8분기 OPM 중위 -10.6% 유지(클립 −20~40%))</t>
      </text>
    </comment>
    <comment ref="AF23" authorId="0" shapeId="0">
      <text>
        <t>모델값 역산(implied): v / 매출액
매출액 × OPM(최근 8분기 OPM 중위 -10.6% 유지(클립 −20~40%))</t>
      </text>
    </comment>
    <comment ref="AG23" authorId="0" shapeId="0">
      <text>
        <t>모델값 역산(implied): v / 매출액
매출액 × OPM(최근 8분기 OPM 중위 -10.6% 유지(클립 −20~40%))</t>
      </text>
    </comment>
    <comment ref="AH23" authorId="0" shapeId="0">
      <text>
        <t>모델값 역산(implied): v / 매출액
매출액 × OPM(최근 8분기 OPM 중위 -10.6% 유지(클립 −20~40%))</t>
      </text>
    </comment>
    <comment ref="AI23" authorId="0" shapeId="0">
      <text>
        <t>모델값 역산(implied): v / 매출액
매출액 × OPM(최근 8분기 OPM 중위 -10.6% 유지(클립 −20~40%))</t>
      </text>
    </comment>
    <comment ref="AK23" authorId="0" shapeId="0">
      <text>
        <t>모델값 역산(implied): v / 매출액
매출액 × OPM(최근 8분기 OPM 중위 -10.6% 유지(클립 −20~40%))</t>
      </text>
    </comment>
    <comment ref="AL23" authorId="0" shapeId="0">
      <text>
        <t>모델값 역산(implied): v / 매출액
매출액 × OPM(최근 8분기 OPM 중위 -10.6% 유지(클립 −20~40%))</t>
      </text>
    </comment>
    <comment ref="AM23" authorId="0" shapeId="0">
      <text>
        <t>모델값 역산(implied): v / 매출액
매출액 × OPM(최근 8분기 OPM 중위 -10.6% 유지(클립 −20~40%))</t>
      </text>
    </comment>
    <comment ref="AN23" authorId="0" shapeId="0">
      <text>
        <t>모델값 역산(implied): v / 매출액
매출액 × OPM(최근 8분기 OPM 중위 -10.6%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0.2%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v / 전년동기 − 1
= EPS(추정 구간은 일회성 미가정)</t>
      </text>
    </comment>
    <comment ref="AF42" authorId="0" shapeId="0">
      <text>
        <t>모델값 역산(implied): v / 전년동기 − 1
= EPS(추정 구간은 일회성 미가정)</t>
      </text>
    </comment>
    <comment ref="AG42" authorId="0" shapeId="0">
      <text>
        <t>모델값 역산(implied): v / 전년동기 − 1
= EPS(추정 구간은 일회성 미가정)</t>
      </text>
    </comment>
    <comment ref="AH42" authorId="0" shapeId="0">
      <text>
        <t>모델값 역산(implied): v / 전년동기 − 1
= EPS(추정 구간은 일회성 미가정)</t>
      </text>
    </comment>
    <comment ref="AI42" authorId="0" shapeId="0">
      <text>
        <t>모델값 역산(implied): v / 전년동기 − 1
= EPS(추정 구간은 일회성 미가정)</t>
      </text>
    </comment>
    <comment ref="AK42" authorId="0" shapeId="0">
      <text>
        <t>모델값 역산(implied): v / 전년동기 − 1
= EPS(추정 구간은 일회성 미가정)</t>
      </text>
    </comment>
    <comment ref="AL42" authorId="0" shapeId="0">
      <text>
        <t>모델값 역산(implied): v / 전년동기 − 1
= EPS(추정 구간은 일회성 미가정)</t>
      </text>
    </comment>
    <comment ref="AM42" authorId="0" shapeId="0">
      <text>
        <t>모델값 역산(implied): v / 전년동기 − 1
= EPS(추정 구간은 일회성 미가정)</t>
      </text>
    </comment>
    <comment ref="AN42" authorId="0" shapeId="0">
      <text>
        <t>모델값 역산(implied): v / 전년동기 − 1
= EPS(추정 구간은 일회성 미가정)</t>
      </text>
    </comment>
    <comment ref="AD43" authorId="0" shapeId="0">
      <text>
        <t>모델값 역산(implied): 모델 v 그대로
직전 결산 DPS 0원 유지</t>
      </text>
    </comment>
    <comment ref="AI43" authorId="0" shapeId="0">
      <text>
        <t>모델값 역산(implied): 모델 v 그대로
직전 결산 DPS 0원 유지</t>
      </text>
    </comment>
    <comment ref="AN43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(1+13.7%) — g=최근 4분기 합 YoY 13.7% 클립(−30~+50%), 연차별 절반 감쇠(가정)
[yoy]</t>
      </text>
    </comment>
    <comment ref="AD5" authorId="0" shapeId="0">
      <text>
        <t>추정: 전년동기 × (1+13.7%) — g=최근 4분기 합 YoY 13.7% 클립(−30~+50%), 연차별 절반 감쇠(가정)
[yoy]</t>
      </text>
    </comment>
    <comment ref="AF5" authorId="0" shapeId="0">
      <text>
        <t>추정: 전년동기 × (1+13.7%) — g=최근 4분기 합 YoY 13.7% 클립(−30~+50%), 연차별 절반 감쇠(가정)
[yoy]</t>
      </text>
    </comment>
    <comment ref="AG5" authorId="0" shapeId="0">
      <text>
        <t>추정: 전년동기 × (1+13.7%) — g=최근 4분기 합 YoY 13.7% 클립(−30~+50%), 연차별 절반 감쇠(가정)
[yoy]</t>
      </text>
    </comment>
    <comment ref="AH5" authorId="0" shapeId="0">
      <text>
        <t>추정: 전년동기 × (1+6.8%) — g=최근 4분기 합 YoY 13.7% 클립(−30~+50%), 연차별 절반 감쇠(가정)
[yoy]</t>
      </text>
    </comment>
    <comment ref="AI5" authorId="0" shapeId="0">
      <text>
        <t>추정: 전년동기 × (1+6.8%) — g=최근 4분기 합 YoY 13.7% 클립(−30~+50%), 연차별 절반 감쇠(가정)
[yoy]</t>
      </text>
    </comment>
    <comment ref="AK5" authorId="0" shapeId="0">
      <text>
        <t>추정: 전년동기 × (1+6.8%) — g=최근 4분기 합 YoY 13.7% 클립(−30~+50%), 연차별 절반 감쇠(가정)
[yoy]</t>
      </text>
    </comment>
    <comment ref="AL5" authorId="0" shapeId="0">
      <text>
        <t>추정: 전년동기 × (1+6.8%) — g=최근 4분기 합 YoY 13.7% 클립(−30~+50%), 연차별 절반 감쇠(가정)
[yoy]</t>
      </text>
    </comment>
    <comment ref="AM5" authorId="0" shapeId="0">
      <text>
        <t>추정: 전년동기 × (1+3.4%) — g=최근 4분기 합 YoY 13.7% 클립(−30~+50%), 연차별 절반 감쇠(가정)
[yoy]</t>
      </text>
    </comment>
    <comment ref="AN5" authorId="0" shapeId="0">
      <text>
        <t>추정: 전년동기 × (1+3.4%) — g=최근 4분기 합 YoY 13.7%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24.96%(최근 4분기 중위)
[ratio]</t>
      </text>
    </comment>
    <comment ref="AD8" authorId="0" shapeId="0">
      <text>
        <t>추정: 매출액 × 판관비율 24.96%(최근 4분기 중위)
[ratio]</t>
      </text>
    </comment>
    <comment ref="AF8" authorId="0" shapeId="0">
      <text>
        <t>추정: 매출액 × 판관비율 24.96%(최근 4분기 중위)
[ratio]</t>
      </text>
    </comment>
    <comment ref="AG8" authorId="0" shapeId="0">
      <text>
        <t>추정: 매출액 × 판관비율 24.96%(최근 4분기 중위)
[ratio]</t>
      </text>
    </comment>
    <comment ref="AH8" authorId="0" shapeId="0">
      <text>
        <t>추정: 매출액 × 판관비율 24.96%(최근 4분기 중위)
[ratio]</t>
      </text>
    </comment>
    <comment ref="AI8" authorId="0" shapeId="0">
      <text>
        <t>추정: 매출액 × 판관비율 24.96%(최근 4분기 중위)
[ratio]</t>
      </text>
    </comment>
    <comment ref="AK8" authorId="0" shapeId="0">
      <text>
        <t>추정: 매출액 × 판관비율 24.96%(최근 4분기 중위)
[ratio]</t>
      </text>
    </comment>
    <comment ref="AL8" authorId="0" shapeId="0">
      <text>
        <t>추정: 매출액 × 판관비율 24.96%(최근 4분기 중위)
[ratio]</t>
      </text>
    </comment>
    <comment ref="AM8" authorId="0" shapeId="0">
      <text>
        <t>추정: 매출액 × 판관비율 24.96%(최근 4분기 중위)
[ratio]</t>
      </text>
    </comment>
    <comment ref="AN8" authorId="0" shapeId="0">
      <text>
        <t>추정: 매출액 × 판관비율 24.96%(최근 4분기 중위)
[ratio]</t>
      </text>
    </comment>
    <comment ref="AC9" authorId="0" shapeId="0">
      <text>
        <t>추정: 매출액 × OPM(최근 8분기 OPM 중위 -10.6% 유지(클립 −20~40%))
[ratio]</t>
      </text>
    </comment>
    <comment ref="AD9" authorId="0" shapeId="0">
      <text>
        <t>추정: 매출액 × OPM(최근 8분기 OPM 중위 -10.6% 유지(클립 −20~40%))
[ratio]</t>
      </text>
    </comment>
    <comment ref="AF9" authorId="0" shapeId="0">
      <text>
        <t>추정: 매출액 × OPM(최근 8분기 OPM 중위 -10.6% 유지(클립 −20~40%))
[ratio]</t>
      </text>
    </comment>
    <comment ref="AG9" authorId="0" shapeId="0">
      <text>
        <t>추정: 매출액 × OPM(최근 8분기 OPM 중위 -10.6% 유지(클립 −20~40%))
[ratio]</t>
      </text>
    </comment>
    <comment ref="AH9" authorId="0" shapeId="0">
      <text>
        <t>추정: 매출액 × OPM(최근 8분기 OPM 중위 -10.6% 유지(클립 −20~40%))
[ratio]</t>
      </text>
    </comment>
    <comment ref="AI9" authorId="0" shapeId="0">
      <text>
        <t>추정: 매출액 × OPM(최근 8분기 OPM 중위 -10.6% 유지(클립 −20~40%))
[ratio]</t>
      </text>
    </comment>
    <comment ref="AK9" authorId="0" shapeId="0">
      <text>
        <t>추정: 매출액 × OPM(최근 8분기 OPM 중위 -10.6% 유지(클립 −20~40%))
[ratio]</t>
      </text>
    </comment>
    <comment ref="AL9" authorId="0" shapeId="0">
      <text>
        <t>추정: 매출액 × OPM(최근 8분기 OPM 중위 -10.6% 유지(클립 −20~40%))
[ratio]</t>
      </text>
    </comment>
    <comment ref="AM9" authorId="0" shapeId="0">
      <text>
        <t>추정: 매출액 × OPM(최근 8분기 OPM 중위 -10.6% 유지(클립 −20~40%))
[ratio]</t>
      </text>
    </comment>
    <comment ref="AN9" authorId="0" shapeId="0">
      <text>
        <t>추정: 매출액 × OPM(최근 8분기 OPM 중위 -10.6% 유지(클립 −20~40%))
[ratio]</t>
      </text>
    </comment>
    <comment ref="AC10" authorId="0" shapeId="0">
      <text>
        <t>추정: 최근 8분기 OPM 중위 -10.6% 유지(클립 −20~40%)
[divide]</t>
      </text>
    </comment>
    <comment ref="AD10" authorId="0" shapeId="0">
      <text>
        <t>추정: 최근 8분기 OPM 중위 -10.6% 유지(클립 −20~40%)
[divide]</t>
      </text>
    </comment>
    <comment ref="AF10" authorId="0" shapeId="0">
      <text>
        <t>추정: 최근 8분기 OPM 중위 -10.6% 유지(클립 −20~40%)
[divide]</t>
      </text>
    </comment>
    <comment ref="AG10" authorId="0" shapeId="0">
      <text>
        <t>추정: 최근 8분기 OPM 중위 -10.6% 유지(클립 −20~40%)
[divide]</t>
      </text>
    </comment>
    <comment ref="AH10" authorId="0" shapeId="0">
      <text>
        <t>추정: 최근 8분기 OPM 중위 -10.6% 유지(클립 −20~40%)
[divide]</t>
      </text>
    </comment>
    <comment ref="AI10" authorId="0" shapeId="0">
      <text>
        <t>추정: 최근 8분기 OPM 중위 -10.6% 유지(클립 −20~40%)
[divide]</t>
      </text>
    </comment>
    <comment ref="AK10" authorId="0" shapeId="0">
      <text>
        <t>추정: 최근 8분기 OPM 중위 -10.6% 유지(클립 −20~40%)
[divide]</t>
      </text>
    </comment>
    <comment ref="AL10" authorId="0" shapeId="0">
      <text>
        <t>추정: 최근 8분기 OPM 중위 -10.6% 유지(클립 −20~40%)
[divide]</t>
      </text>
    </comment>
    <comment ref="AM10" authorId="0" shapeId="0">
      <text>
        <t>추정: 최근 8분기 OPM 중위 -10.6% 유지(클립 −20~40%)
[divide]</t>
      </text>
    </comment>
    <comment ref="AN10" authorId="0" shapeId="0">
      <text>
        <t>추정: 최근 8분기 OPM 중위 -10.6%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29억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-1억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-24억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-52억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-79억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-110억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-135억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-164억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-193억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-225억 × 2.78%(주석 이자수익 ÷ 평균 이자발생자산(2025Q1~2026Q1)) − 총차입금 187억 × 15.95%(주석 이자비용 ÷ 평균 총차입금(2025Q1~2026Q1)) (연율) ÷ 4; 환율 효과는 환관련손익 행 별도
[identity]</t>
      </text>
    </comment>
    <comment ref="AC12" authorId="0" shapeId="0">
      <text>
        <t>추정: 이자발생자산 29억 × 2.78%(주석 이자수익 ÷ 평균 이자발생자산(2025Q1~2026Q1)) − 총차입금 187억 × 15.95%(주석 이자비용 ÷ 평균 총차입금(2025Q1~2026Q1)) (연율) ÷ 4
[interest]</t>
      </text>
    </comment>
    <comment ref="AD12" authorId="0" shapeId="0">
      <text>
        <t>추정: 이자발생자산 -1억 × 2.78%(주석 이자수익 ÷ 평균 이자발생자산(2025Q1~2026Q1)) − 총차입금 187억 × 15.95%(주석 이자비용 ÷ 평균 총차입금(2025Q1~2026Q1)) (연율) ÷ 4
[interest]</t>
      </text>
    </comment>
    <comment ref="AF12" authorId="0" shapeId="0">
      <text>
        <t>추정: 이자발생자산 -24억 × 2.78%(주석 이자수익 ÷ 평균 이자발생자산(2025Q1~2026Q1)) − 총차입금 187억 × 15.95%(주석 이자비용 ÷ 평균 총차입금(2025Q1~2026Q1)) (연율) ÷ 4
[interest]</t>
      </text>
    </comment>
    <comment ref="AG12" authorId="0" shapeId="0">
      <text>
        <t>추정: 이자발생자산 -52억 × 2.78%(주석 이자수익 ÷ 평균 이자발생자산(2025Q1~2026Q1)) − 총차입금 187억 × 15.95%(주석 이자비용 ÷ 평균 총차입금(2025Q1~2026Q1)) (연율) ÷ 4
[interest]</t>
      </text>
    </comment>
    <comment ref="AH12" authorId="0" shapeId="0">
      <text>
        <t>추정: 이자발생자산 -79억 × 2.78%(주석 이자수익 ÷ 평균 이자발생자산(2025Q1~2026Q1)) − 총차입금 187억 × 15.95%(주석 이자비용 ÷ 평균 총차입금(2025Q1~2026Q1)) (연율) ÷ 4
[interest]</t>
      </text>
    </comment>
    <comment ref="AI12" authorId="0" shapeId="0">
      <text>
        <t>추정: 이자발생자산 -110억 × 2.78%(주석 이자수익 ÷ 평균 이자발생자산(2025Q1~2026Q1)) − 총차입금 187억 × 15.95%(주석 이자비용 ÷ 평균 총차입금(2025Q1~2026Q1)) (연율) ÷ 4
[interest]</t>
      </text>
    </comment>
    <comment ref="AK12" authorId="0" shapeId="0">
      <text>
        <t>추정: 이자발생자산 -135억 × 2.78%(주석 이자수익 ÷ 평균 이자발생자산(2025Q1~2026Q1)) − 총차입금 187억 × 15.95%(주석 이자비용 ÷ 평균 총차입금(2025Q1~2026Q1)) (연율) ÷ 4
[interest]</t>
      </text>
    </comment>
    <comment ref="AL12" authorId="0" shapeId="0">
      <text>
        <t>추정: 이자발생자산 -164억 × 2.78%(주석 이자수익 ÷ 평균 이자발생자산(2025Q1~2026Q1)) − 총차입금 187억 × 15.95%(주석 이자비용 ÷ 평균 총차입금(2025Q1~2026Q1)) (연율) ÷ 4
[interest]</t>
      </text>
    </comment>
    <comment ref="AM12" authorId="0" shapeId="0">
      <text>
        <t>추정: 이자발생자산 -193억 × 2.78%(주석 이자수익 ÷ 평균 이자발생자산(2025Q1~2026Q1)) − 총차입금 187억 × 15.95%(주석 이자비용 ÷ 평균 총차입금(2025Q1~2026Q1)) (연율) ÷ 4
[interest]</t>
      </text>
    </comment>
    <comment ref="AN12" authorId="0" shapeId="0">
      <text>
        <t>추정: 이자발생자산 -225억 × 2.78%(주석 이자수익 ÷ 평균 이자발생자산(2025Q1~2026Q1)) − 총차입금 187억 × 15.95%(주석 이자비용 ÷ 평균 총차입금(2025Q1~2026Q1))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0.2% 도 5~27% 밖 → 법정세율 근사 22% 가정)
[ratio]</t>
      </text>
    </comment>
    <comment ref="AD19" authorId="0" shapeId="0">
      <text>
        <t>추정: max(세전, 0) × 세율 22.0%(최근 12분기 세전 합 ≤ 0; 세전 &gt; 0 분기 중위 0.2% 도 5~27% 밖 → 법정세율 근사 22% 가정)
[ratio]</t>
      </text>
    </comment>
    <comment ref="AF19" authorId="0" shapeId="0">
      <text>
        <t>추정: max(세전, 0) × 세율 22.0%(최근 12분기 세전 합 ≤ 0; 세전 &gt; 0 분기 중위 0.2% 도 5~27% 밖 → 법정세율 근사 22% 가정)
[ratio]</t>
      </text>
    </comment>
    <comment ref="AG19" authorId="0" shapeId="0">
      <text>
        <t>추정: max(세전, 0) × 세율 22.0%(최근 12분기 세전 합 ≤ 0; 세전 &gt; 0 분기 중위 0.2% 도 5~27% 밖 → 법정세율 근사 22% 가정)
[ratio]</t>
      </text>
    </comment>
    <comment ref="AH19" authorId="0" shapeId="0">
      <text>
        <t>추정: max(세전, 0) × 세율 22.0%(최근 12분기 세전 합 ≤ 0; 세전 &gt; 0 분기 중위 0.2% 도 5~27% 밖 → 법정세율 근사 22% 가정)
[ratio]</t>
      </text>
    </comment>
    <comment ref="AI19" authorId="0" shapeId="0">
      <text>
        <t>추정: max(세전, 0) × 세율 22.0%(최근 12분기 세전 합 ≤ 0; 세전 &gt; 0 분기 중위 0.2% 도 5~27% 밖 → 법정세율 근사 22% 가정)
[ratio]</t>
      </text>
    </comment>
    <comment ref="AK19" authorId="0" shapeId="0">
      <text>
        <t>추정: max(세전, 0) × 세율 22.0%(최근 12분기 세전 합 ≤ 0; 세전 &gt; 0 분기 중위 0.2% 도 5~27% 밖 → 법정세율 근사 22% 가정)
[ratio]</t>
      </text>
    </comment>
    <comment ref="AL19" authorId="0" shapeId="0">
      <text>
        <t>추정: max(세전, 0) × 세율 22.0%(최근 12분기 세전 합 ≤ 0; 세전 &gt; 0 분기 중위 0.2% 도 5~27% 밖 → 법정세율 근사 22% 가정)
[ratio]</t>
      </text>
    </comment>
    <comment ref="AM19" authorId="0" shapeId="0">
      <text>
        <t>추정: max(세전, 0) × 세율 22.0%(최근 12분기 세전 합 ≤ 0; 세전 &gt; 0 분기 중위 0.2% 도 5~27% 밖 → 법정세율 근사 22% 가정)
[ratio]</t>
      </text>
    </comment>
    <comment ref="AN19" authorId="0" shapeId="0">
      <text>
        <t>추정: max(세전, 0) × 세율 22.0%(최근 12분기 세전 합 ≤ 0; 세전 &gt; 0 분기 중위 0.2%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E35" authorId="0" shapeId="0">
      <text>
        <t>실측(계정 매핑 없음(파생·부문·시세 행) — 모델값 직접) — = EPS(일회성 의심 없음)</t>
      </text>
    </comment>
    <comment ref="G35" authorId="0" shapeId="0">
      <text>
        <t>실측(계정 매핑 없음(파생·부문·시세 행) — 모델값 직접) — = EPS(일회성 의심 없음)</t>
      </text>
    </comment>
    <comment ref="H35" authorId="0" shapeId="0">
      <text>
        <t>실측(계정 매핑 없음(파생·부문·시세 행) — 모델값 직접) — = EPS(일회성 의심 없음)</t>
      </text>
    </comment>
    <comment ref="I35" authorId="0" shapeId="0">
      <text>
        <t>실측(계정 매핑 없음(파생·부문·시세 행) — 모델값 직접) — = EPS(일회성 의심 없음)</t>
      </text>
    </comment>
    <comment ref="J35" authorId="0" shapeId="0">
      <text>
        <t>실측(계정 매핑 없음(파생·부문·시세 행) — 모델값 직접) — = EPS(일회성 의심 없음)</t>
      </text>
    </comment>
    <comment ref="L35" authorId="0" shapeId="0">
      <text>
        <t>실측(계정 매핑 없음(파생·부문·시세 행) — 모델값 직접) — = EPS(일회성 의심 없음)</t>
      </text>
    </comment>
    <comment ref="M35" authorId="0" shapeId="0">
      <text>
        <t>실측(계정 매핑 없음(파생·부문·시세 행) — 모델값 직접) — = EPS(일회성 의심 없음)</t>
      </text>
    </comment>
    <comment ref="N35" authorId="0" shapeId="0">
      <text>
        <t>실측(계정 매핑 없음(파생·부문·시세 행) — 모델값 직접) — = EPS(일회성 의심 없음)</t>
      </text>
    </comment>
    <comment ref="O35" authorId="0" shapeId="0">
      <text>
        <t>실측(계정 매핑 없음(파생·부문·시세 행) — 모델값 직접) — = EPS(일회성 의심 없음)</t>
      </text>
    </comment>
    <comment ref="Q35" authorId="0" shapeId="0">
      <text>
        <t>실측(계정 매핑 없음(파생·부문·시세 행) — 모델값 직접) — = EPS(일회성 의심 없음)</t>
      </text>
    </comment>
    <comment ref="R35" authorId="0" shapeId="0">
      <text>
        <t>실측(계정 매핑 없음(파생·부문·시세 행) — 모델값 직접) — = EPS(일회성 의심 없음)</t>
      </text>
    </comment>
    <comment ref="S35" authorId="0" shapeId="0">
      <text>
        <t>실측(계정 매핑 없음(파생·부문·시세 행) — 모델값 직접) — = EPS(일회성 의심 없음)</t>
      </text>
    </comment>
    <comment ref="T35" authorId="0" shapeId="0">
      <text>
        <t>실측(계정 매핑 없음(파생·부문·시세 행) — 모델값 직접) — = EPS(일회성 의심 없음)</t>
      </text>
    </comment>
    <comment ref="V35" authorId="0" shapeId="0">
      <text>
        <t>실측(계정 매핑 없음(파생·부문·시세 행) — 모델값 직접) — = EPS(일회성 의심 없음)</t>
      </text>
    </comment>
    <comment ref="W35" authorId="0" shapeId="0">
      <text>
        <t>실측(계정 매핑 없음(파생·부문·시세 행) — 모델값 직접) — = EPS(일회성 의심 없음)</t>
      </text>
    </comment>
    <comment ref="X35" authorId="0" shapeId="0">
      <text>
        <t>실측(계정 매핑 없음(파생·부문·시세 행) — 모델값 직접) — = EPS(일회성 의심 없음)</t>
      </text>
    </comment>
    <comment ref="Y35" authorId="0" shapeId="0">
      <text>
        <t>실측(계정 매핑 없음(파생·부문·시세 행) — 모델값 직접) — = EPS(일회성 의심 없음)</t>
      </text>
    </comment>
    <comment ref="AA35" authorId="0" shapeId="0">
      <text>
        <t>실측(계정 매핑 없음(파생·부문·시세 행) — 모델값 직접) — = EPS(일회성 의심 없음)</t>
      </text>
    </comment>
    <comment ref="AB35" authorId="0" shapeId="0">
      <text>
        <t>추정(실적 구간 갭필): 지배NI 25억 − (비영업손익 33억 − 12분기 기준선 -2억) × (1 − 0.2%, 분기 유효세율(법인세 0억 ÷ 세전 25억)) × 지배 비중 1.00(그 분기 지배NI/NI) = -10억 ÷ 유통주식수 — 일회성 여부·세효과는 주석 미확인(모델 추정); 보고 EPS 63.6원</t>
      </text>
    </comment>
    <comment ref="AC35" authorId="0" shapeId="0">
      <text>
        <t>추정: = EPS(추정 구간은 일회성 미가정)
[yoy]</t>
      </text>
    </comment>
    <comment ref="AD35" authorId="0" shapeId="0">
      <text>
        <t>추정: = EPS(추정 구간은 일회성 미가정)
[yoy]</t>
      </text>
    </comment>
    <comment ref="AF35" authorId="0" shapeId="0">
      <text>
        <t>추정: = EPS(추정 구간은 일회성 미가정)
[yoy]</t>
      </text>
    </comment>
    <comment ref="AG35" authorId="0" shapeId="0">
      <text>
        <t>추정: = EPS(추정 구간은 일회성 미가정)
[yoy]</t>
      </text>
    </comment>
    <comment ref="AH35" authorId="0" shapeId="0">
      <text>
        <t>추정: = EPS(추정 구간은 일회성 미가정)
[yoy]</t>
      </text>
    </comment>
    <comment ref="AI35" authorId="0" shapeId="0">
      <text>
        <t>추정: = EPS(추정 구간은 일회성 미가정)
[yoy]</t>
      </text>
    </comment>
    <comment ref="AK35" authorId="0" shapeId="0">
      <text>
        <t>추정: = EPS(추정 구간은 일회성 미가정)
[yoy]</t>
      </text>
    </comment>
    <comment ref="AL35" authorId="0" shapeId="0">
      <text>
        <t>추정: = EPS(추정 구간은 일회성 미가정)
[yoy]</t>
      </text>
    </comment>
    <comment ref="AM35" authorId="0" shapeId="0">
      <text>
        <t>추정: = EPS(추정 구간은 일회성 미가정)
[yoy]</t>
      </text>
    </comment>
    <comment ref="AN35" authorId="0" shapeId="0">
      <text>
        <t>추정: = EPS(추정 구간은 일회성 미가정)
[yoy]</t>
      </text>
    </comment>
    <comment ref="AC36" authorId="0" shapeId="0">
      <text>
        <t>추정: 지배주주지분 ÷ 유통주식수
[per_share]</t>
      </text>
    </comment>
    <comment ref="AD36" authorId="0" shapeId="0">
      <text>
        <t>추정: 지배주주지분 ÷ 유통주식수
[per_share]</t>
      </text>
    </comment>
    <comment ref="AF36" authorId="0" shapeId="0">
      <text>
        <t>추정: 지배주주지분 ÷ 유통주식수
[per_share]</t>
      </text>
    </comment>
    <comment ref="AG36" authorId="0" shapeId="0">
      <text>
        <t>추정: 지배주주지분 ÷ 유통주식수
[per_share]</t>
      </text>
    </comment>
    <comment ref="AH36" authorId="0" shapeId="0">
      <text>
        <t>추정: 지배주주지분 ÷ 유통주식수
[per_share]</t>
      </text>
    </comment>
    <comment ref="AI36" authorId="0" shapeId="0">
      <text>
        <t>추정: 지배주주지분 ÷ 유통주식수
[per_share]</t>
      </text>
    </comment>
    <comment ref="AK36" authorId="0" shapeId="0">
      <text>
        <t>추정: 지배주주지분 ÷ 유통주식수
[per_share]</t>
      </text>
    </comment>
    <comment ref="AL36" authorId="0" shapeId="0">
      <text>
        <t>추정: 지배주주지분 ÷ 유통주식수
[per_share]</t>
      </text>
    </comment>
    <comment ref="AM36" authorId="0" shapeId="0">
      <text>
        <t>추정: 지배주주지분 ÷ 유통주식수
[per_share]</t>
      </text>
    </comment>
    <comment ref="AN36" authorId="0" shapeId="0">
      <text>
        <t>추정: 지배주주지분 ÷ 유통주식수
[per_share]</t>
      </text>
    </comment>
    <comment ref="E37" authorId="0" shapeId="0">
      <text>
        <t>실측(계정 매핑 없음(파생·부문·시세 행) — 모델값 직접) — fin.dividend.dps_common(연간, Q4 에 표기)</t>
      </text>
    </comment>
    <comment ref="F37" authorId="0" shapeId="0">
      <text>
        <t>연간(actual) — 분기 미완 연도, 모델 a 값 직접</t>
      </text>
    </comment>
    <comment ref="J37" authorId="0" shapeId="0">
      <text>
        <t>실측(계정 매핑 없음(파생·부문·시세 행) — 모델값 직접) — fin.dividend.dps_common(연간, Q4 에 표기)</t>
      </text>
    </comment>
    <comment ref="O37" authorId="0" shapeId="0">
      <text>
        <t>실측(계정 매핑 없음(파생·부문·시세 행) — 모델값 직접) — fin.dividend.dps_common(연간, Q4 에 표기)</t>
      </text>
    </comment>
    <comment ref="T37" authorId="0" shapeId="0">
      <text>
        <t>실측(계정 매핑 없음(파생·부문·시세 행) — 모델값 직접) — fin.dividend.dps_common(연간, Q4 에 표기)</t>
      </text>
    </comment>
    <comment ref="Y37" authorId="0" shapeId="0">
      <text>
        <t>실측(계정 매핑 없음(파생·부문·시세 행) — 모델값 직접) — fin.dividend.dps_common(연간, Q4 에 표기)</t>
      </text>
    </comment>
    <comment ref="AD37" authorId="0" shapeId="0">
      <text>
        <t>추정: 직전 결산 DPS 0원 유지
[abs]</t>
      </text>
    </comment>
    <comment ref="AI37" authorId="0" shapeId="0">
      <text>
        <t>추정: 직전 결산 DPS 0원 유지
[abs]</t>
      </text>
    </comment>
    <comment ref="AN37" authorId="0" shapeId="0">
      <text>
        <t>추정: 직전 결산 DPS 0원 유지
[abs]</t>
      </text>
    </comment>
    <comment ref="AC39" authorId="0" shapeId="0">
      <text>
        <t>추정: 현재 종가 ÷ BPS(추정 포함)
[valuation]</t>
      </text>
    </comment>
    <comment ref="AD39" authorId="0" shapeId="0">
      <text>
        <t>추정: 현재 종가 ÷ BPS(추정 포함)
[valuation]</t>
      </text>
    </comment>
    <comment ref="AF39" authorId="0" shapeId="0">
      <text>
        <t>추정: 현재 종가 ÷ BPS(추정 포함)
[valuation]</t>
      </text>
    </comment>
    <comment ref="AG39" authorId="0" shapeId="0">
      <text>
        <t>추정: 현재 종가 ÷ BPS(추정 포함)
[valuation]</t>
      </text>
    </comment>
    <comment ref="AH39" authorId="0" shapeId="0">
      <text>
        <t>추정: 현재 종가 ÷ BPS(추정 포함)
[valuation]</t>
      </text>
    </comment>
    <comment ref="AI39" authorId="0" shapeId="0">
      <text>
        <t>추정: 현재 종가 ÷ BPS(추정 포함)
[valuation]</t>
      </text>
    </comment>
    <comment ref="AK39" authorId="0" shapeId="0">
      <text>
        <t>추정: 현재 종가 ÷ BPS(추정 포함)
[valuation]</t>
      </text>
    </comment>
    <comment ref="AL39" authorId="0" shapeId="0">
      <text>
        <t>추정: 현재 종가 ÷ BPS(추정 포함)
[valuation]</t>
      </text>
    </comment>
    <comment ref="AM39" authorId="0" shapeId="0">
      <text>
        <t>추정: 현재 종가 ÷ BPS(추정 포함)
[valuation]</t>
      </text>
    </comment>
    <comment ref="AN39" authorId="0" shapeId="0">
      <text>
        <t>추정: 현재 종가 ÷ BPS(추정 포함)
[valuation]</t>
      </text>
    </comment>
    <comment ref="E40" authorId="0" shapeId="0">
      <text>
        <t>실측(계정 매핑 없음(파생·부문·시세 행) — 모델값 직접) — = 매출액(부문 미분리)</t>
      </text>
    </comment>
    <comment ref="G40" authorId="0" shapeId="0">
      <text>
        <t>실측(계정 매핑 없음(파생·부문·시세 행) — 모델값 직접) — = 매출액(부문 미분리)</t>
      </text>
    </comment>
    <comment ref="H40" authorId="0" shapeId="0">
      <text>
        <t>실측(계정 매핑 없음(파생·부문·시세 행) — 모델값 직접) — = 매출액(부문 미분리)</t>
      </text>
    </comment>
    <comment ref="I40" authorId="0" shapeId="0">
      <text>
        <t>실측(계정 매핑 없음(파생·부문·시세 행) — 모델값 직접) — = 매출액(부문 미분리)</t>
      </text>
    </comment>
    <comment ref="J40" authorId="0" shapeId="0">
      <text>
        <t>실측(계정 매핑 없음(파생·부문·시세 행) — 모델값 직접) — = 매출액(부문 미분리)</t>
      </text>
    </comment>
    <comment ref="L40" authorId="0" shapeId="0">
      <text>
        <t>실측(계정 매핑 없음(파생·부문·시세 행) — 모델값 직접) — = 매출액(부문 미분리)</t>
      </text>
    </comment>
    <comment ref="M40" authorId="0" shapeId="0">
      <text>
        <t>실측(계정 매핑 없음(파생·부문·시세 행) — 모델값 직접) — = 매출액(부문 미분리)</t>
      </text>
    </comment>
    <comment ref="N40" authorId="0" shapeId="0">
      <text>
        <t>실측(계정 매핑 없음(파생·부문·시세 행) — 모델값 직접) — = 매출액(부문 미분리)</t>
      </text>
    </comment>
    <comment ref="O40" authorId="0" shapeId="0">
      <text>
        <t>실측(계정 매핑 없음(파생·부문·시세 행) — 모델값 직접) — = 매출액(부문 미분리)</t>
      </text>
    </comment>
    <comment ref="Q40" authorId="0" shapeId="0">
      <text>
        <t>실측(계정 매핑 없음(파생·부문·시세 행) — 모델값 직접) — = 매출액(부문 미분리)</t>
      </text>
    </comment>
    <comment ref="R40" authorId="0" shapeId="0">
      <text>
        <t>실측(계정 매핑 없음(파생·부문·시세 행) — 모델값 직접) — = 매출액(부문 미분리)</t>
      </text>
    </comment>
    <comment ref="S40" authorId="0" shapeId="0">
      <text>
        <t>실측(계정 매핑 없음(파생·부문·시세 행) — 모델값 직접) — = 매출액(부문 미분리)</t>
      </text>
    </comment>
    <comment ref="T40" authorId="0" shapeId="0">
      <text>
        <t>실측(계정 매핑 없음(파생·부문·시세 행) — 모델값 직접) — = 매출액(부문 미분리)</t>
      </text>
    </comment>
    <comment ref="V40" authorId="0" shapeId="0">
      <text>
        <t>실측(계정 매핑 없음(파생·부문·시세 행) — 모델값 직접) — = 매출액(부문 미분리)</t>
      </text>
    </comment>
    <comment ref="W40" authorId="0" shapeId="0">
      <text>
        <t>실측(계정 매핑 없음(파생·부문·시세 행) — 모델값 직접) — = 매출액(부문 미분리)</t>
      </text>
    </comment>
    <comment ref="X40" authorId="0" shapeId="0">
      <text>
        <t>실측(계정 매핑 없음(파생·부문·시세 행) — 모델값 직접) — = 매출액(부문 미분리)</t>
      </text>
    </comment>
    <comment ref="Y40" authorId="0" shapeId="0">
      <text>
        <t>실측(계정 매핑 없음(파생·부문·시세 행) — 모델값 직접) — = 매출액(부문 미분리)</t>
      </text>
    </comment>
    <comment ref="AA40" authorId="0" shapeId="0">
      <text>
        <t>실측(계정 매핑 없음(파생·부문·시세 행) — 모델값 직접) — = 매출액(부문 미분리)</t>
      </text>
    </comment>
    <comment ref="AB40" authorId="0" shapeId="0">
      <text>
        <t>실측(계정 매핑 없음(파생·부문·시세 행) — 모델값 직접) — = 매출액(부문 미분리)</t>
      </text>
    </comment>
    <comment ref="AC40" authorId="0" shapeId="0">
      <text>
        <t>추정: = 매출액 추정(부문 미분리)
[identity]</t>
      </text>
    </comment>
    <comment ref="AD40" authorId="0" shapeId="0">
      <text>
        <t>추정: = 매출액 추정(부문 미분리)
[identity]</t>
      </text>
    </comment>
    <comment ref="AF40" authorId="0" shapeId="0">
      <text>
        <t>추정: = 매출액 추정(부문 미분리)
[identity]</t>
      </text>
    </comment>
    <comment ref="AG40" authorId="0" shapeId="0">
      <text>
        <t>추정: = 매출액 추정(부문 미분리)
[identity]</t>
      </text>
    </comment>
    <comment ref="AH40" authorId="0" shapeId="0">
      <text>
        <t>추정: = 매출액 추정(부문 미분리)
[identity]</t>
      </text>
    </comment>
    <comment ref="AI40" authorId="0" shapeId="0">
      <text>
        <t>추정: = 매출액 추정(부문 미분리)
[identity]</t>
      </text>
    </comment>
    <comment ref="AK40" authorId="0" shapeId="0">
      <text>
        <t>추정: = 매출액 추정(부문 미분리)
[identity]</t>
      </text>
    </comment>
    <comment ref="AL40" authorId="0" shapeId="0">
      <text>
        <t>추정: = 매출액 추정(부문 미분리)
[identity]</t>
      </text>
    </comment>
    <comment ref="AM40" authorId="0" shapeId="0">
      <text>
        <t>추정: = 매출액 추정(부문 미분리)
[identity]</t>
      </text>
    </comment>
    <comment ref="AN40" authorId="0" shapeId="0">
      <text>
        <t>추정: = 매출액 추정(부문 미분리)
[identity]</t>
      </text>
    </comment>
    <comment ref="E41" authorId="0" shapeId="0">
      <text>
        <t>실측(계정 매핑 없음(파생·부문·시세 행) — 모델값 직접) — = 영업이익(부문 미분리)</t>
      </text>
    </comment>
    <comment ref="G41" authorId="0" shapeId="0">
      <text>
        <t>실측(계정 매핑 없음(파생·부문·시세 행) — 모델값 직접) — = 영업이익(부문 미분리)</t>
      </text>
    </comment>
    <comment ref="H41" authorId="0" shapeId="0">
      <text>
        <t>실측(계정 매핑 없음(파생·부문·시세 행) — 모델값 직접) — = 영업이익(부문 미분리)</t>
      </text>
    </comment>
    <comment ref="I41" authorId="0" shapeId="0">
      <text>
        <t>실측(계정 매핑 없음(파생·부문·시세 행) — 모델값 직접) — = 영업이익(부문 미분리)</t>
      </text>
    </comment>
    <comment ref="J41" authorId="0" shapeId="0">
      <text>
        <t>실측(계정 매핑 없음(파생·부문·시세 행) — 모델값 직접) — = 영업이익(부문 미분리)</t>
      </text>
    </comment>
    <comment ref="L41" authorId="0" shapeId="0">
      <text>
        <t>실측(계정 매핑 없음(파생·부문·시세 행) — 모델값 직접) — = 영업이익(부문 미분리)</t>
      </text>
    </comment>
    <comment ref="M41" authorId="0" shapeId="0">
      <text>
        <t>실측(계정 매핑 없음(파생·부문·시세 행) — 모델값 직접) — = 영업이익(부문 미분리)</t>
      </text>
    </comment>
    <comment ref="N41" authorId="0" shapeId="0">
      <text>
        <t>실측(계정 매핑 없음(파생·부문·시세 행) — 모델값 직접) — = 영업이익(부문 미분리)</t>
      </text>
    </comment>
    <comment ref="O41" authorId="0" shapeId="0">
      <text>
        <t>실측(계정 매핑 없음(파생·부문·시세 행) — 모델값 직접) — = 영업이익(부문 미분리)</t>
      </text>
    </comment>
    <comment ref="Q41" authorId="0" shapeId="0">
      <text>
        <t>실측(계정 매핑 없음(파생·부문·시세 행) — 모델값 직접) — = 영업이익(부문 미분리)</t>
      </text>
    </comment>
    <comment ref="R41" authorId="0" shapeId="0">
      <text>
        <t>실측(계정 매핑 없음(파생·부문·시세 행) — 모델값 직접) — = 영업이익(부문 미분리)</t>
      </text>
    </comment>
    <comment ref="S41" authorId="0" shapeId="0">
      <text>
        <t>실측(계정 매핑 없음(파생·부문·시세 행) — 모델값 직접) — = 영업이익(부문 미분리)</t>
      </text>
    </comment>
    <comment ref="T41" authorId="0" shapeId="0">
      <text>
        <t>실측(계정 매핑 없음(파생·부문·시세 행) — 모델값 직접) — = 영업이익(부문 미분리)</t>
      </text>
    </comment>
    <comment ref="V41" authorId="0" shapeId="0">
      <text>
        <t>실측(계정 매핑 없음(파생·부문·시세 행) — 모델값 직접) — = 영업이익(부문 미분리)</t>
      </text>
    </comment>
    <comment ref="W41" authorId="0" shapeId="0">
      <text>
        <t>실측(계정 매핑 없음(파생·부문·시세 행) — 모델값 직접) — = 영업이익(부문 미분리)</t>
      </text>
    </comment>
    <comment ref="X41" authorId="0" shapeId="0">
      <text>
        <t>실측(계정 매핑 없음(파생·부문·시세 행) — 모델값 직접) — = 영업이익(부문 미분리)</t>
      </text>
    </comment>
    <comment ref="Y41" authorId="0" shapeId="0">
      <text>
        <t>실측(계정 매핑 없음(파생·부문·시세 행) — 모델값 직접) — = 영업이익(부문 미분리)</t>
      </text>
    </comment>
    <comment ref="AA41" authorId="0" shapeId="0">
      <text>
        <t>실측(계정 매핑 없음(파생·부문·시세 행) — 모델값 직접) — = 영업이익(부문 미분리)</t>
      </text>
    </comment>
    <comment ref="AB41" authorId="0" shapeId="0">
      <text>
        <t>실측(계정 매핑 없음(파생·부문·시세 행) — 모델값 직접) — = 영업이익(부문 미분리)</t>
      </text>
    </comment>
    <comment ref="AC41" authorId="0" shapeId="0">
      <text>
        <t>추정: = 매출액 × OPM(부문 미분리)
[identity]</t>
      </text>
    </comment>
    <comment ref="AD41" authorId="0" shapeId="0">
      <text>
        <t>추정: = 매출액 × OPM(부문 미분리)
[identity]</t>
      </text>
    </comment>
    <comment ref="AF41" authorId="0" shapeId="0">
      <text>
        <t>추정: = 매출액 × OPM(부문 미분리)
[identity]</t>
      </text>
    </comment>
    <comment ref="AG41" authorId="0" shapeId="0">
      <text>
        <t>추정: = 매출액 × OPM(부문 미분리)
[identity]</t>
      </text>
    </comment>
    <comment ref="AH41" authorId="0" shapeId="0">
      <text>
        <t>추정: = 매출액 × OPM(부문 미분리)
[identity]</t>
      </text>
    </comment>
    <comment ref="AI41" authorId="0" shapeId="0">
      <text>
        <t>추정: = 매출액 × OPM(부문 미분리)
[identity]</t>
      </text>
    </comment>
    <comment ref="AK41" authorId="0" shapeId="0">
      <text>
        <t>추정: = 매출액 × OPM(부문 미분리)
[identity]</t>
      </text>
    </comment>
    <comment ref="AL41" authorId="0" shapeId="0">
      <text>
        <t>추정: = 매출액 × OPM(부문 미분리)
[identity]</t>
      </text>
    </comment>
    <comment ref="AM41" authorId="0" shapeId="0">
      <text>
        <t>추정: = 매출액 × OPM(부문 미분리)
[identity]</t>
      </text>
    </comment>
    <comment ref="AN41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KS인더스트리(101000)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24.96%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2.78% / 부채 15.95% — 이자손익 = (전분기 이자발생자산 × 자산이자율 − 전분기 총차입금 × 부채이자율)/4, 최소자승 역산(모델 assumptions [0.0278, 0.1595] 는 4자리 반올림이라 그대로 쓰면 ±1억 어긋남) · 출처: {"asset": "주석 이자수익 ÷ 평균 이자발생자산(2025Q1~2026Q1)", "debt": "주석 이자비용 ÷ 평균 총차입금(2025Q1~2026Q1)"}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assets/models/101000.json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0.45 가 단일 검정 5% 임계 r 0.71 미달(n=8) (suppliers_mentions·시차 3·수준·창 8)): 전년동기 × (1+g) 추세 / 감가상각비가 face·CF 에 없음(주석 미파싱) → EBITDA·EV/EBITDA 미산출 / 일회성 의심 2026Q2: 비영업손익 33억(영업이익 -8억의 4배, 12분기 중위 4억·기준선 -2억) → 지배NI 25억·보고 EPS·FY2026 합계·TTM PER 에 그대로 포함 — 처분이익 등 일회성 여부는 주석 확인 전까지 미확정(12M fwd EPS 에는 미포함) · 조정EPS -26.2원(보고 63.6원; 초과 비영업손익 36억 × (1 − 세율 0.2%) × 지배 비중 1.00 = 36억 차감 — 추정, 조정EPS 행) / 금융손익 실적→추정 단절: 최근 4분기 실적 -2/+5/-3/+41(중위 +2억) → 추정 2026Q3 -7억(차 -9억, -581%)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38.4, "op_wape_pct": 77.8,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42.42, "rev_act": 120.4, "op_pred": -1.17, "op_act": -10.12}, {"q": "2025Q4", "rev_pred": 56.65, "rev_act": 71.77, "op_pred": -1.56, "op_act": -3.76}, {"q": "2026Q1", "rev_pred": 63.15, "rev_act": 104.01, "op_pred": -1.74, "op_act": -7.94}, {"q": "2026Q2", "rev_pred": 78.46, "rev_act": 94.65, "op_pred": -2.16, "op_act": -8.06}]}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11673</v>
      </c>
      <c r="F15" s="9" t="n"/>
      <c r="G15" s="18" t="n">
        <v>12310</v>
      </c>
      <c r="H15" s="18" t="n">
        <v>9393</v>
      </c>
      <c r="I15" s="18" t="n">
        <v>7374</v>
      </c>
      <c r="J15" s="18" t="n">
        <v>6613</v>
      </c>
      <c r="K15" s="9" t="n"/>
      <c r="L15" s="18" t="n">
        <v>3981</v>
      </c>
      <c r="M15" s="18" t="n">
        <v>5174</v>
      </c>
      <c r="N15" s="18" t="n">
        <v>5513</v>
      </c>
      <c r="O15" s="18" t="n">
        <v>5855</v>
      </c>
      <c r="P15" s="9" t="n"/>
      <c r="Q15" s="18" t="n">
        <v>7689</v>
      </c>
      <c r="R15" s="18" t="n">
        <v>7223</v>
      </c>
      <c r="S15" s="18" t="n">
        <v>5554</v>
      </c>
      <c r="T15" s="18" t="n">
        <v>5924</v>
      </c>
      <c r="U15" s="9" t="n"/>
      <c r="V15" s="18" t="n">
        <v>5568</v>
      </c>
      <c r="W15" s="18" t="n">
        <v>6033</v>
      </c>
      <c r="X15" s="18" t="n">
        <v>2681</v>
      </c>
      <c r="Y15" s="18" t="n">
        <v>1811</v>
      </c>
      <c r="Z15" s="9" t="n"/>
      <c r="AA15" s="18" t="n">
        <v>2758</v>
      </c>
      <c r="AB15" s="19" t="n">
        <v>1102</v>
      </c>
      <c r="AC15" s="20" t="n">
        <v>1443</v>
      </c>
      <c r="AD15" s="20" t="n">
        <v>1427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14576</v>
      </c>
      <c r="F16" s="9" t="n"/>
      <c r="G16" s="18" t="n">
        <v>13903</v>
      </c>
      <c r="H16" s="18" t="n">
        <v>12494</v>
      </c>
      <c r="I16" s="18" t="n">
        <v>11574</v>
      </c>
      <c r="J16" s="18" t="n">
        <v>8219</v>
      </c>
      <c r="K16" s="9" t="n"/>
      <c r="L16" s="18" t="n">
        <v>7349</v>
      </c>
      <c r="M16" s="18" t="n">
        <v>7689</v>
      </c>
      <c r="N16" s="18" t="n">
        <v>6225</v>
      </c>
      <c r="O16" s="18" t="n">
        <v>6074</v>
      </c>
      <c r="P16" s="9" t="n"/>
      <c r="Q16" s="18" t="n">
        <v>11561</v>
      </c>
      <c r="R16" s="18" t="n">
        <v>8482</v>
      </c>
      <c r="S16" s="18" t="n">
        <v>8263</v>
      </c>
      <c r="T16" s="18" t="n">
        <v>6936</v>
      </c>
      <c r="U16" s="9" t="n"/>
      <c r="V16" s="18" t="n">
        <v>7251</v>
      </c>
      <c r="W16" s="18" t="n">
        <v>8920</v>
      </c>
      <c r="X16" s="18" t="n">
        <v>6731</v>
      </c>
      <c r="Y16" s="18" t="n">
        <v>4224</v>
      </c>
      <c r="Z16" s="9" t="n"/>
      <c r="AA16" s="18" t="n">
        <v>3803</v>
      </c>
      <c r="AB16" s="19" t="n">
        <v>2897</v>
      </c>
      <c r="AC16" s="20" t="n">
        <v>2305</v>
      </c>
      <c r="AD16" s="20" t="n">
        <v>1646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10718</v>
      </c>
      <c r="F17" s="9" t="n"/>
      <c r="G17" s="18" t="n">
        <v>11500</v>
      </c>
      <c r="H17" s="18" t="n">
        <v>8622</v>
      </c>
      <c r="I17" s="18" t="n">
        <v>7311</v>
      </c>
      <c r="J17" s="18" t="n">
        <v>6416</v>
      </c>
      <c r="K17" s="9" t="n"/>
      <c r="L17" s="18" t="n">
        <v>3562</v>
      </c>
      <c r="M17" s="18" t="n">
        <v>3784</v>
      </c>
      <c r="N17" s="18" t="n">
        <v>4320</v>
      </c>
      <c r="O17" s="18" t="n">
        <v>5458</v>
      </c>
      <c r="P17" s="9" t="n"/>
      <c r="Q17" s="18" t="n">
        <v>5442</v>
      </c>
      <c r="R17" s="18" t="n">
        <v>5188</v>
      </c>
      <c r="S17" s="18" t="n">
        <v>5308</v>
      </c>
      <c r="T17" s="18" t="n">
        <v>5097</v>
      </c>
      <c r="U17" s="9" t="n"/>
      <c r="V17" s="18" t="n">
        <v>4255</v>
      </c>
      <c r="W17" s="18" t="n">
        <v>5335</v>
      </c>
      <c r="X17" s="18" t="n">
        <v>2060</v>
      </c>
      <c r="Y17" s="18" t="n">
        <v>1767</v>
      </c>
      <c r="Z17" s="9" t="n"/>
      <c r="AA17" s="18" t="n">
        <v>1699</v>
      </c>
      <c r="AB17" s="19" t="n">
        <v>985</v>
      </c>
      <c r="AC17" s="20" t="n">
        <v>680</v>
      </c>
      <c r="AD17" s="20" t="n">
        <v>1331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11833.3</v>
      </c>
      <c r="F18" s="9" t="n"/>
      <c r="G18" s="18" t="n">
        <v>12350.5</v>
      </c>
      <c r="H18" s="18" t="n">
        <v>10507.7</v>
      </c>
      <c r="I18" s="18" t="n">
        <v>8807</v>
      </c>
      <c r="J18" s="18" t="n">
        <v>6948.8</v>
      </c>
      <c r="K18" s="9" t="n"/>
      <c r="L18" s="18" t="n">
        <v>5418.8</v>
      </c>
      <c r="M18" s="18" t="n">
        <v>5658.6</v>
      </c>
      <c r="N18" s="18" t="n">
        <v>5396.4</v>
      </c>
      <c r="O18" s="18" t="n">
        <v>5787.6</v>
      </c>
      <c r="P18" s="9" t="n"/>
      <c r="Q18" s="18" t="n">
        <v>6886.9</v>
      </c>
      <c r="R18" s="18" t="n">
        <v>6790.7</v>
      </c>
      <c r="S18" s="18" t="n">
        <v>6735.7</v>
      </c>
      <c r="T18" s="18" t="n">
        <v>6019</v>
      </c>
      <c r="U18" s="9" t="n"/>
      <c r="V18" s="18" t="n">
        <v>6062.9</v>
      </c>
      <c r="W18" s="18" t="n">
        <v>6244.6</v>
      </c>
      <c r="X18" s="18" t="n">
        <v>5001.5</v>
      </c>
      <c r="Y18" s="18" t="n">
        <v>2377.5</v>
      </c>
      <c r="Z18" s="9" t="n"/>
      <c r="AA18" s="18" t="n">
        <v>2765.9</v>
      </c>
      <c r="AB18" s="19" t="n">
        <v>2023.5</v>
      </c>
      <c r="AC18" s="20" t="n">
        <v>1132.7</v>
      </c>
      <c r="AD18" s="20" t="n">
        <v>1509.8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0.136682641</v>
      </c>
      <c r="AD21" s="24" t="n">
        <v>0.136685054</v>
      </c>
      <c r="AE21" s="25" t="n"/>
      <c r="AF21" s="24" t="n">
        <v>0.136692487</v>
      </c>
      <c r="AG21" s="24" t="n">
        <v>0.13673823</v>
      </c>
      <c r="AH21" s="24" t="n">
        <v>0.06839105700000001</v>
      </c>
      <c r="AI21" s="24" t="n">
        <v>0.068399117</v>
      </c>
      <c r="AJ21" s="25" t="n"/>
      <c r="AK21" s="24" t="n">
        <v>0.068341369</v>
      </c>
      <c r="AL21" s="24" t="n">
        <v>0.068314899</v>
      </c>
      <c r="AM21" s="24" t="n">
        <v>0.034195049</v>
      </c>
      <c r="AN21" s="24" t="n">
        <v>0.034189995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$D$54</f>
        <v/>
      </c>
      <c r="AD22" s="26">
        <f>$D$54</f>
        <v/>
      </c>
      <c r="AE22" s="25">
        <f>IFERROR(subQ!AE8/subQ!AE5,"")</f>
        <v/>
      </c>
      <c r="AF22" s="26">
        <f>$D$54</f>
        <v/>
      </c>
      <c r="AG22" s="26">
        <f>$D$54</f>
        <v/>
      </c>
      <c r="AH22" s="26">
        <f>$D$54</f>
        <v/>
      </c>
      <c r="AI22" s="26">
        <f>$D$54</f>
        <v/>
      </c>
      <c r="AJ22" s="25">
        <f>IFERROR(subQ!AJ8/subQ!AJ5,"")</f>
        <v/>
      </c>
      <c r="AK22" s="26">
        <f>$D$54</f>
        <v/>
      </c>
      <c r="AL22" s="26">
        <f>$D$54</f>
        <v/>
      </c>
      <c r="AM22" s="26">
        <f>$D$54</f>
        <v/>
      </c>
      <c r="AN22" s="26">
        <f>$D$54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-0.105655414</v>
      </c>
      <c r="AD23" s="24" t="n">
        <v>-0.105663153</v>
      </c>
      <c r="AE23" s="25">
        <f>IFERROR(subQ!AE9/subQ!AE5,"")</f>
        <v/>
      </c>
      <c r="AF23" s="24" t="n">
        <v>-0.105641546</v>
      </c>
      <c r="AG23" s="24" t="n">
        <v>-0.105678966</v>
      </c>
      <c r="AH23" s="24" t="n">
        <v>-0.1056627</v>
      </c>
      <c r="AI23" s="24" t="n">
        <v>-0.105667737</v>
      </c>
      <c r="AJ23" s="25">
        <f>IFERROR(subQ!AJ9/subQ!AJ5,"")</f>
        <v/>
      </c>
      <c r="AK23" s="24" t="n">
        <v>-0.105692344</v>
      </c>
      <c r="AL23" s="24" t="n">
        <v>-0.105707326</v>
      </c>
      <c r="AM23" s="24" t="n">
        <v>-0.105673853</v>
      </c>
      <c r="AN23" s="24" t="n">
        <v>-0.105724429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-7.62</v>
      </c>
      <c r="AD28" s="30" t="n">
        <v>-7.62</v>
      </c>
      <c r="AE28" s="31">
        <f>subQ!AE17</f>
        <v/>
      </c>
      <c r="AF28" s="30" t="n">
        <v>-7.62</v>
      </c>
      <c r="AG28" s="30" t="n">
        <v>-7.62</v>
      </c>
      <c r="AH28" s="30" t="n">
        <v>-7.62</v>
      </c>
      <c r="AI28" s="30" t="n">
        <v>-7.62</v>
      </c>
      <c r="AJ28" s="31">
        <f>subQ!AJ17</f>
        <v/>
      </c>
      <c r="AK28" s="30" t="n">
        <v>-7.62</v>
      </c>
      <c r="AL28" s="30" t="n">
        <v>-7.62</v>
      </c>
      <c r="AM28" s="30" t="n">
        <v>-7.62</v>
      </c>
      <c r="AN28" s="30" t="n">
        <v>-7.62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$D$55</f>
        <v/>
      </c>
      <c r="AD30" s="26">
        <f>$D$55</f>
        <v/>
      </c>
      <c r="AE30" s="25">
        <f>IFERROR(subQ!AE21/subQ!AE20,"")</f>
        <v/>
      </c>
      <c r="AF30" s="26">
        <f>$D$55</f>
        <v/>
      </c>
      <c r="AG30" s="26">
        <f>$D$55</f>
        <v/>
      </c>
      <c r="AH30" s="26">
        <f>$D$55</f>
        <v/>
      </c>
      <c r="AI30" s="26">
        <f>$D$55</f>
        <v/>
      </c>
      <c r="AJ30" s="25">
        <f>IFERROR(subQ!AJ21/subQ!AJ20,"")</f>
        <v/>
      </c>
      <c r="AK30" s="26">
        <f>$D$55</f>
        <v/>
      </c>
      <c r="AL30" s="26">
        <f>$D$55</f>
        <v/>
      </c>
      <c r="AM30" s="26">
        <f>$D$55</f>
        <v/>
      </c>
      <c r="AN30" s="26">
        <f>$D$55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-1.3497e-05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0.004671692</v>
      </c>
      <c r="AD33" s="30" t="n">
        <v>0.009824975999999999</v>
      </c>
      <c r="AE33" s="31" t="n"/>
      <c r="AF33" s="30" t="n">
        <v>0.005343898</v>
      </c>
      <c r="AG33" s="30" t="n">
        <v>0.00289408</v>
      </c>
      <c r="AH33" s="30" t="n">
        <v>0.006898501</v>
      </c>
      <c r="AI33" s="30" t="n">
        <v>0.001268665</v>
      </c>
      <c r="AJ33" s="31" t="n"/>
      <c r="AK33" s="30" t="n">
        <v>0.00748775</v>
      </c>
      <c r="AL33" s="30" t="n">
        <v>-0.006274586</v>
      </c>
      <c r="AM33" s="30" t="n">
        <v>0.006903262</v>
      </c>
      <c r="AN33" s="30" t="n">
        <v>0.002181848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0.004671692</v>
      </c>
      <c r="AD34" s="30" t="n">
        <v>0.009824975999999999</v>
      </c>
      <c r="AE34" s="31" t="n"/>
      <c r="AF34" s="30" t="n">
        <v>0.005343898</v>
      </c>
      <c r="AG34" s="30" t="n">
        <v>0.00289408</v>
      </c>
      <c r="AH34" s="30" t="n">
        <v>0.006898501</v>
      </c>
      <c r="AI34" s="30" t="n">
        <v>0.001268665</v>
      </c>
      <c r="AJ34" s="31" t="n"/>
      <c r="AK34" s="30" t="n">
        <v>0.00748775</v>
      </c>
      <c r="AL34" s="30" t="n">
        <v>-0.006274586</v>
      </c>
      <c r="AM34" s="30" t="n">
        <v>0.006903262</v>
      </c>
      <c r="AN34" s="30" t="n">
        <v>0.002181848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1.1784e-05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0.163714041</v>
      </c>
      <c r="AD36" s="24" t="n">
        <v>0.113599309</v>
      </c>
      <c r="AE36" s="25" t="n"/>
      <c r="AF36" s="24" t="n">
        <v>0.119407484</v>
      </c>
      <c r="AG36" s="24" t="n">
        <v>0.103092784</v>
      </c>
      <c r="AH36" s="24" t="n">
        <v>0.108348445</v>
      </c>
      <c r="AI36" s="24" t="n">
        <v>0.07881571900000001</v>
      </c>
      <c r="AJ36" s="25" t="n"/>
      <c r="AK36" s="24" t="n">
        <v>0.08559846</v>
      </c>
      <c r="AL36" s="24" t="n">
        <v>0.076189453</v>
      </c>
      <c r="AM36" s="24" t="n">
        <v>0.080855738</v>
      </c>
      <c r="AN36" s="24" t="n">
        <v>0.060395399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-1.021950684</v>
      </c>
      <c r="AD37" s="24" t="n">
        <v>37.619047619</v>
      </c>
      <c r="AE37" s="25" t="n"/>
      <c r="AF37" s="24" t="n">
        <v>1.139745171</v>
      </c>
      <c r="AG37" s="24" t="n">
        <v>0.514790626</v>
      </c>
      <c r="AH37" s="24" t="n">
        <v>0.393989348</v>
      </c>
      <c r="AI37" s="24" t="n">
        <v>0.227781315</v>
      </c>
      <c r="AJ37" s="25" t="n"/>
      <c r="AK37" s="24" t="n">
        <v>0.217529821</v>
      </c>
      <c r="AL37" s="24" t="n">
        <v>0.172579566</v>
      </c>
      <c r="AM37" s="24" t="n">
        <v>0.168041933</v>
      </c>
      <c r="AN37" s="24" t="n">
        <v>0.116230506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1.305866395</v>
      </c>
      <c r="AD39" s="24" t="n">
        <v>-0.231898791</v>
      </c>
      <c r="AE39" s="25" t="n"/>
      <c r="AF39" s="24" t="n">
        <v>0.421553256</v>
      </c>
      <c r="AG39" s="24" t="n">
        <v>-0.403037486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drv:조정EPS</t>
        </is>
      </c>
      <c r="B42" s="2" t="inlineStr">
        <is>
          <t>yoy</t>
        </is>
      </c>
      <c r="C42" t="inlineStr">
        <is>
          <t>조정EPS YoY</t>
        </is>
      </c>
      <c r="E42" s="21" t="n"/>
      <c r="F42" s="22" t="n"/>
      <c r="G42" s="21" t="n"/>
      <c r="H42" s="21" t="n"/>
      <c r="I42" s="21" t="n"/>
      <c r="J42" s="21">
        <f>IFERROR(subQ!J35/subQ!E35-1,"")</f>
        <v/>
      </c>
      <c r="K42" s="22" t="n"/>
      <c r="L42" s="21">
        <f>IFERROR(subQ!L35/subQ!G35-1,"")</f>
        <v/>
      </c>
      <c r="M42" s="21">
        <f>IFERROR(subQ!M35/subQ!H35-1,"")</f>
        <v/>
      </c>
      <c r="N42" s="21">
        <f>IFERROR(subQ!N35/subQ!I35-1,"")</f>
        <v/>
      </c>
      <c r="O42" s="21">
        <f>IFERROR(subQ!O35/subQ!J35-1,"")</f>
        <v/>
      </c>
      <c r="P42" s="22" t="n"/>
      <c r="Q42" s="21">
        <f>IFERROR(subQ!Q35/subQ!L35-1,"")</f>
        <v/>
      </c>
      <c r="R42" s="21">
        <f>IFERROR(subQ!R35/subQ!M35-1,"")</f>
        <v/>
      </c>
      <c r="S42" s="21">
        <f>IFERROR(subQ!S35/subQ!N35-1,"")</f>
        <v/>
      </c>
      <c r="T42" s="21">
        <f>IFERROR(subQ!T35/subQ!O35-1,"")</f>
        <v/>
      </c>
      <c r="U42" s="22" t="n"/>
      <c r="V42" s="21">
        <f>IFERROR(subQ!V35/subQ!Q35-1,"")</f>
        <v/>
      </c>
      <c r="W42" s="21">
        <f>IFERROR(subQ!W35/subQ!R35-1,"")</f>
        <v/>
      </c>
      <c r="X42" s="21">
        <f>IFERROR(subQ!X35/subQ!S35-1,"")</f>
        <v/>
      </c>
      <c r="Y42" s="21">
        <f>IFERROR(subQ!Y35/subQ!T35-1,"")</f>
        <v/>
      </c>
      <c r="Z42" s="22" t="n"/>
      <c r="AA42" s="21">
        <f>IFERROR(subQ!AA35/subQ!V35-1,"")</f>
        <v/>
      </c>
      <c r="AB42" s="23">
        <f>IFERROR(subQ!AB35/subQ!W35-1,"")</f>
        <v/>
      </c>
      <c r="AC42" s="24" t="n">
        <v>1.038567493</v>
      </c>
      <c r="AD42" s="24" t="n">
        <v>-0.115384615</v>
      </c>
      <c r="AE42" s="25" t="n"/>
      <c r="AF42" s="24" t="n">
        <v>1.702702703</v>
      </c>
      <c r="AG42" s="24" t="n">
        <v>1.580152672</v>
      </c>
      <c r="AH42" s="24" t="n">
        <v>0.059459459</v>
      </c>
      <c r="AI42" s="24" t="n">
        <v>0.056856187</v>
      </c>
      <c r="AJ42" s="25" t="n"/>
      <c r="AK42" s="24" t="n">
        <v>0.058571429</v>
      </c>
      <c r="AL42" s="24" t="n">
        <v>0.059171598</v>
      </c>
      <c r="AM42" s="24" t="n">
        <v>0.042091837</v>
      </c>
      <c r="AN42" s="24" t="n">
        <v>0.044303797</v>
      </c>
      <c r="AO42" s="25" t="n"/>
    </row>
    <row r="43">
      <c r="A43" s="12" t="inlineStr">
        <is>
          <t>drv:DPS</t>
        </is>
      </c>
      <c r="B43" s="2" t="inlineStr">
        <is>
          <t>abs</t>
        </is>
      </c>
      <c r="C43" t="inlineStr">
        <is>
          <t>DPS (가정, 원)</t>
        </is>
      </c>
      <c r="E43" s="27">
        <f>subQ!E37</f>
        <v/>
      </c>
      <c r="F43" s="28">
        <f>subQ!F37</f>
        <v/>
      </c>
      <c r="G43" s="27">
        <f>subQ!G37</f>
        <v/>
      </c>
      <c r="H43" s="27">
        <f>subQ!H37</f>
        <v/>
      </c>
      <c r="I43" s="27">
        <f>subQ!I37</f>
        <v/>
      </c>
      <c r="J43" s="27">
        <f>subQ!J37</f>
        <v/>
      </c>
      <c r="K43" s="28">
        <f>subQ!K37</f>
        <v/>
      </c>
      <c r="L43" s="27">
        <f>subQ!L37</f>
        <v/>
      </c>
      <c r="M43" s="27">
        <f>subQ!M37</f>
        <v/>
      </c>
      <c r="N43" s="27">
        <f>subQ!N37</f>
        <v/>
      </c>
      <c r="O43" s="27">
        <f>subQ!O37</f>
        <v/>
      </c>
      <c r="P43" s="28">
        <f>subQ!P37</f>
        <v/>
      </c>
      <c r="Q43" s="27">
        <f>subQ!Q37</f>
        <v/>
      </c>
      <c r="R43" s="27">
        <f>subQ!R37</f>
        <v/>
      </c>
      <c r="S43" s="27">
        <f>subQ!S37</f>
        <v/>
      </c>
      <c r="T43" s="27">
        <f>subQ!T37</f>
        <v/>
      </c>
      <c r="U43" s="28">
        <f>subQ!U37</f>
        <v/>
      </c>
      <c r="V43" s="27">
        <f>subQ!V37</f>
        <v/>
      </c>
      <c r="W43" s="27">
        <f>subQ!W37</f>
        <v/>
      </c>
      <c r="X43" s="27">
        <f>subQ!X37</f>
        <v/>
      </c>
      <c r="Y43" s="27">
        <f>subQ!Y37</f>
        <v/>
      </c>
      <c r="Z43" s="28">
        <f>subQ!Z37</f>
        <v/>
      </c>
      <c r="AA43" s="27">
        <f>subQ!AA37</f>
        <v/>
      </c>
      <c r="AB43" s="29">
        <f>subQ!AB37</f>
        <v/>
      </c>
      <c r="AC43" s="32" t="n"/>
      <c r="AD43" s="30" t="n">
        <v>0</v>
      </c>
      <c r="AE43" s="31">
        <f>subQ!AE37</f>
        <v/>
      </c>
      <c r="AF43" s="32" t="n"/>
      <c r="AG43" s="32" t="n"/>
      <c r="AH43" s="32" t="n"/>
      <c r="AI43" s="30" t="n">
        <v>0</v>
      </c>
      <c r="AJ43" s="31">
        <f>subQ!AJ37</f>
        <v/>
      </c>
      <c r="AK43" s="32" t="n"/>
      <c r="AL43" s="32" t="n"/>
      <c r="AM43" s="32" t="n"/>
      <c r="AN43" s="30" t="n">
        <v>0</v>
      </c>
      <c r="AO43" s="31">
        <f>subQ!AO37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1427</v>
      </c>
      <c r="E46" s="2" t="inlineStr">
        <is>
          <t>원 — 네이버 정규장 종가(aik 확정종가 대조 · aik 1,518원)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20261008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 — TP 적정 PBR = ROE/COE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30" t="n">
        <v>10</v>
      </c>
      <c r="E49" s="2" t="inlineStr">
        <is>
          <t>PER 밴드 하단(배) — sector_default(레퍼런스 TP_PE PB 예시 10/15/20배; 과거 양(+)EPS 분기 2개 &lt; 4)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30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30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</v>
      </c>
      <c r="E53" s="2" t="inlineStr">
        <is>
          <t>참고(연결 안 됨: MAX(세전,0)×단일 세율로 재현 불가(지주 자회사 합산 등) → 분기별 역산) — 모델 assumptions 값 · 최근 12분기 세전 합 ≤ 0; 세전 &gt; 0 분기 중위 0.2% 도 5~27% 밖 → 법정세율 근사 22% 가정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0.2495927601809954</v>
      </c>
      <c r="E54" s="2" t="inlineStr">
        <is>
          <t>연결 — 판관비 = 매출액 × 판관비율(역산, 재현 오차 ≤ 0.05억 · 모델 assumptions 0.2496)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0.02776052640237282</v>
      </c>
      <c r="E56" s="2" t="inlineStr">
        <is>
          <t>연결 — 이자손익 = (전분기 이자발생자산 × 자산이자율 − 전분기 총차입금 × 부채이자율)/4(역산, 재현 오차 ≤ 0.05억 · 모델 assumptions 0.0278)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0.1595244288940148</v>
      </c>
      <c r="E57" s="2" t="inlineStr">
        <is>
          <t>연결 — 같은 수식의 부채 쪽(총차입금 행이 없으면 0)(역산, 재현 오차 ≤ 0.05억 · 모델 assumptions 0.1595)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sc:배당성향</t>
        </is>
      </c>
      <c r="C58" t="inlineStr">
        <is>
          <t>배당성향</t>
        </is>
      </c>
      <c r="D58" s="24" t="n"/>
      <c r="E58" s="2" t="inlineStr">
        <is>
          <t>배당성향(참고 — 모델은 직전 DPS 유지·Q2 지급 가정)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30" t="n"/>
      <c r="E59" s="2" t="inlineStr">
        <is>
          <t>외화 순노출 × Δ기말환율 (외화 시트 방식) — 외화 순노출 미공시(face) → 0 + 표기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sc:헤지비율</t>
        </is>
      </c>
      <c r="C60" t="inlineStr">
        <is>
          <t>헤지비율</t>
        </is>
      </c>
      <c r="D60" s="24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KS인더스트리(연)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26377.33</v>
      </c>
      <c r="F5" s="37" t="n">
        <v>26377.33</v>
      </c>
      <c r="G5" s="18" t="n">
        <v>21070.51</v>
      </c>
      <c r="H5" s="18" t="n">
        <v>28814.52</v>
      </c>
      <c r="I5" s="18" t="n">
        <v>28181.07</v>
      </c>
      <c r="J5" s="18" t="n">
        <v>26887.14</v>
      </c>
      <c r="K5" s="37" t="n">
        <v>26887.14</v>
      </c>
      <c r="L5" s="18" t="n">
        <v>29627.19</v>
      </c>
      <c r="M5" s="18" t="n">
        <v>28900.32</v>
      </c>
      <c r="N5" s="18" t="n">
        <v>27575.94</v>
      </c>
      <c r="O5" s="18" t="n">
        <v>18136.22</v>
      </c>
      <c r="P5" s="37" t="n">
        <v>18136.22</v>
      </c>
      <c r="Q5" s="18" t="n">
        <v>35882.04</v>
      </c>
      <c r="R5" s="18" t="n">
        <v>35531.42</v>
      </c>
      <c r="S5" s="18" t="n">
        <v>26584.13</v>
      </c>
      <c r="T5" s="18" t="n">
        <v>25980.5</v>
      </c>
      <c r="U5" s="37" t="n">
        <v>25980.5</v>
      </c>
      <c r="V5" s="18" t="n">
        <v>22528.81</v>
      </c>
      <c r="W5" s="18" t="n">
        <v>22120.28</v>
      </c>
      <c r="X5" s="18" t="n">
        <v>21400.44</v>
      </c>
      <c r="Y5" s="18" t="n">
        <v>18664.24</v>
      </c>
      <c r="Z5" s="37" t="n">
        <v>18664.24</v>
      </c>
      <c r="AA5" s="18" t="n">
        <v>36218.6</v>
      </c>
      <c r="AB5" s="19" t="n">
        <v>26441.94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1273.35</v>
      </c>
      <c r="F6" s="37" t="n">
        <v>1273.35</v>
      </c>
      <c r="G6" s="18" t="n">
        <v>1139.15</v>
      </c>
      <c r="H6" s="18" t="n">
        <v>853.64</v>
      </c>
      <c r="I6" s="18" t="n">
        <v>537.71</v>
      </c>
      <c r="J6" s="18" t="n">
        <v>717.83</v>
      </c>
      <c r="K6" s="37" t="n">
        <v>717.83</v>
      </c>
      <c r="L6" s="18" t="n">
        <v>421.39</v>
      </c>
      <c r="M6" s="18" t="n">
        <v>1502.1</v>
      </c>
      <c r="N6" s="18" t="n">
        <v>1390.21</v>
      </c>
      <c r="O6" s="18" t="n">
        <v>1206.27</v>
      </c>
      <c r="P6" s="37" t="n">
        <v>1206.27</v>
      </c>
      <c r="Q6" s="18" t="n">
        <v>12913.09</v>
      </c>
      <c r="R6" s="18" t="n">
        <v>16906.03</v>
      </c>
      <c r="S6" s="18" t="n">
        <v>9791.26</v>
      </c>
      <c r="T6" s="18" t="n">
        <v>11326.81</v>
      </c>
      <c r="U6" s="37" t="n">
        <v>11326.81</v>
      </c>
      <c r="V6" s="18" t="n">
        <v>8117.89</v>
      </c>
      <c r="W6" s="18" t="n">
        <v>6205.44</v>
      </c>
      <c r="X6" s="18" t="n">
        <v>2954.31</v>
      </c>
      <c r="Y6" s="18" t="n">
        <v>3381.75</v>
      </c>
      <c r="Z6" s="37" t="n">
        <v>3381.75</v>
      </c>
      <c r="AA6" s="18" t="n">
        <v>22604.41</v>
      </c>
      <c r="AB6" s="19" t="n">
        <v>743.5700000000001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2827.61</v>
      </c>
      <c r="F7" s="37" t="n">
        <v>2827.61</v>
      </c>
      <c r="G7" s="18" t="n">
        <v>3605.47</v>
      </c>
      <c r="H7" s="18" t="n">
        <v>6684.61</v>
      </c>
      <c r="I7" s="18" t="n">
        <v>8067.23</v>
      </c>
      <c r="J7" s="18" t="n">
        <v>8106.44</v>
      </c>
      <c r="K7" s="37" t="n">
        <v>8106.44</v>
      </c>
      <c r="L7" s="18" t="n">
        <v>7403.9</v>
      </c>
      <c r="M7" s="18" t="n">
        <v>6850.1</v>
      </c>
      <c r="N7" s="18" t="n">
        <v>5727.77</v>
      </c>
      <c r="O7" s="18" t="n">
        <v>4999.29</v>
      </c>
      <c r="P7" s="37" t="n">
        <v>4999.29</v>
      </c>
      <c r="Q7" s="18" t="n">
        <v>13006.2</v>
      </c>
      <c r="R7" s="18" t="n">
        <v>7705.54</v>
      </c>
      <c r="S7" s="18" t="n">
        <v>3010.89</v>
      </c>
      <c r="T7" s="18" t="n">
        <v>6297.56</v>
      </c>
      <c r="U7" s="37" t="n">
        <v>6297.56</v>
      </c>
      <c r="V7" s="18" t="n">
        <v>4518.12</v>
      </c>
      <c r="W7" s="18" t="n">
        <v>5299.15</v>
      </c>
      <c r="X7" s="18" t="n">
        <v>7010.62</v>
      </c>
      <c r="Y7" s="18" t="n">
        <v>7047.48</v>
      </c>
      <c r="Z7" s="37" t="n">
        <v>7047.48</v>
      </c>
      <c r="AA7" s="18" t="n">
        <v>4938.42</v>
      </c>
      <c r="AB7" s="19" t="n">
        <v>15957.42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6827.28</v>
      </c>
      <c r="U8" s="37" t="n">
        <v>6827.28</v>
      </c>
      <c r="V8" s="18" t="n">
        <v>7310.22</v>
      </c>
      <c r="W8" s="18" t="n">
        <v>6978.76</v>
      </c>
      <c r="X8" s="18" t="n">
        <v>7386.13</v>
      </c>
      <c r="Y8" s="18" t="n">
        <v>6888.22</v>
      </c>
      <c r="Z8" s="37" t="n">
        <v>6888.22</v>
      </c>
      <c r="AA8" s="18" t="n">
        <v>7277.42</v>
      </c>
      <c r="AB8" s="19" t="n">
        <v>8321.639999999999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6.6</v>
      </c>
      <c r="F9" s="37" t="n">
        <v>6.6</v>
      </c>
      <c r="G9" s="18" t="n">
        <v>7.66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0.38</v>
      </c>
      <c r="S9" s="18" t="n">
        <v>14</v>
      </c>
      <c r="T9" s="18" t="n">
        <v>34.02</v>
      </c>
      <c r="U9" s="37" t="n">
        <v>34.02</v>
      </c>
      <c r="V9" s="18" t="n">
        <v>33.1</v>
      </c>
      <c r="W9" s="18" t="n">
        <v>9.99</v>
      </c>
      <c r="X9" s="18" t="n">
        <v>29.28</v>
      </c>
      <c r="Y9" s="18" t="n">
        <v>15.52</v>
      </c>
      <c r="Z9" s="37" t="n">
        <v>15.52</v>
      </c>
      <c r="AA9" s="18" t="n">
        <v>17.39</v>
      </c>
      <c r="AB9" s="19" t="n">
        <v>4.03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20521.6</v>
      </c>
      <c r="F10" s="37" t="n">
        <v>20521.6</v>
      </c>
      <c r="G10" s="18" t="n">
        <v>21939.39</v>
      </c>
      <c r="H10" s="18" t="n">
        <v>26283.73</v>
      </c>
      <c r="I10" s="18" t="n">
        <v>26642.11</v>
      </c>
      <c r="J10" s="18" t="n">
        <v>27288.78</v>
      </c>
      <c r="K10" s="37" t="n">
        <v>27288.78</v>
      </c>
      <c r="L10" s="18" t="n">
        <v>26986.12</v>
      </c>
      <c r="M10" s="18" t="n">
        <v>26163.31</v>
      </c>
      <c r="N10" s="18" t="n">
        <v>25687.56</v>
      </c>
      <c r="O10" s="18" t="n">
        <v>25420.68</v>
      </c>
      <c r="P10" s="37" t="n">
        <v>25420.68</v>
      </c>
      <c r="Q10" s="18" t="n">
        <v>16273.7</v>
      </c>
      <c r="R10" s="18" t="n">
        <v>7529.54</v>
      </c>
      <c r="S10" s="18" t="n">
        <v>29015.89</v>
      </c>
      <c r="T10" s="18" t="n">
        <v>39838.3</v>
      </c>
      <c r="U10" s="37" t="n">
        <v>39838.3</v>
      </c>
      <c r="V10" s="18" t="n">
        <v>46034.51</v>
      </c>
      <c r="W10" s="18" t="n">
        <v>45974.1</v>
      </c>
      <c r="X10" s="18" t="n">
        <v>44854.93</v>
      </c>
      <c r="Y10" s="18" t="n">
        <v>42529.37</v>
      </c>
      <c r="Z10" s="37" t="n">
        <v>42529.37</v>
      </c>
      <c r="AA10" s="18" t="n">
        <v>42145.44</v>
      </c>
      <c r="AB10" s="19" t="n">
        <v>49991.61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4818.4</v>
      </c>
      <c r="Y11" s="18" t="n">
        <v>2889.71</v>
      </c>
      <c r="Z11" s="37" t="n">
        <v>2889.71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28.76</v>
      </c>
      <c r="F12" s="37" t="n">
        <v>28.76</v>
      </c>
      <c r="G12" s="18" t="n">
        <v>34.76</v>
      </c>
      <c r="H12" s="18" t="n">
        <v>39.93</v>
      </c>
      <c r="J12" s="18" t="n">
        <v>158.58</v>
      </c>
      <c r="K12" s="37" t="n">
        <v>158.58</v>
      </c>
      <c r="L12" s="18" t="n">
        <v>93.13</v>
      </c>
      <c r="M12" s="18" t="n">
        <v>48.7</v>
      </c>
      <c r="O12" s="18" t="n">
        <v>237.48</v>
      </c>
      <c r="P12" s="37" t="n">
        <v>237.48</v>
      </c>
      <c r="Q12" s="18" t="n">
        <v>346.04</v>
      </c>
      <c r="S12" s="18" t="n">
        <v>4620.56</v>
      </c>
      <c r="T12" s="18" t="n">
        <v>2673.72</v>
      </c>
      <c r="U12" s="37" t="n">
        <v>2673.72</v>
      </c>
      <c r="V12" s="18" t="n">
        <v>5373.72</v>
      </c>
      <c r="W12" s="18" t="n">
        <v>5519.01</v>
      </c>
      <c r="X12" s="18" t="n">
        <v>4818.4</v>
      </c>
      <c r="Y12" s="18" t="n">
        <v>2889.71</v>
      </c>
      <c r="Z12" s="37" t="n">
        <v>2889.71</v>
      </c>
      <c r="AA12" s="18" t="n">
        <v>2876.2</v>
      </c>
      <c r="AB12" s="19" t="n">
        <v>11806.07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16058.32</v>
      </c>
      <c r="F13" s="37" t="n">
        <v>16058.32</v>
      </c>
      <c r="G13" s="18" t="n">
        <v>17412.18</v>
      </c>
      <c r="H13" s="18" t="n">
        <v>18306.58</v>
      </c>
      <c r="I13" s="18" t="n">
        <v>18618.41</v>
      </c>
      <c r="J13" s="18" t="n">
        <v>18895.27</v>
      </c>
      <c r="K13" s="37" t="n">
        <v>18895.27</v>
      </c>
      <c r="L13" s="18" t="n">
        <v>18572.44</v>
      </c>
      <c r="M13" s="18" t="n">
        <v>17721.05</v>
      </c>
      <c r="N13" s="18" t="n">
        <v>17219.4</v>
      </c>
      <c r="O13" s="18" t="n">
        <v>16610.9</v>
      </c>
      <c r="P13" s="37" t="n">
        <v>16610.9</v>
      </c>
      <c r="Q13" s="18" t="n">
        <v>15239.23</v>
      </c>
      <c r="R13" s="18" t="n">
        <v>6160.38</v>
      </c>
      <c r="S13" s="18" t="n">
        <v>22787.77</v>
      </c>
      <c r="T13" s="18" t="n">
        <v>27023.09</v>
      </c>
      <c r="U13" s="37" t="n">
        <v>27023.09</v>
      </c>
      <c r="V13" s="18" t="n">
        <v>28205.55</v>
      </c>
      <c r="W13" s="18" t="n">
        <v>28350.4</v>
      </c>
      <c r="X13" s="18" t="n">
        <v>28107.07</v>
      </c>
      <c r="Y13" s="18" t="n">
        <v>27972.89</v>
      </c>
      <c r="Z13" s="37" t="n">
        <v>27972.89</v>
      </c>
      <c r="AA13" s="18" t="n">
        <v>27683.45</v>
      </c>
      <c r="AB13" s="19" t="n">
        <v>26599.21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67.68000000000001</v>
      </c>
      <c r="F14" s="37" t="n">
        <v>67.68000000000001</v>
      </c>
      <c r="G14" s="18" t="n">
        <v>82.58</v>
      </c>
      <c r="H14" s="18" t="n">
        <v>76.59999999999999</v>
      </c>
      <c r="I14" s="18" t="n">
        <v>80.06</v>
      </c>
      <c r="J14" s="18" t="n">
        <v>196.89</v>
      </c>
      <c r="K14" s="37" t="n">
        <v>196.89</v>
      </c>
      <c r="L14" s="18" t="n">
        <v>186.69</v>
      </c>
      <c r="M14" s="18" t="n">
        <v>172.97</v>
      </c>
      <c r="N14" s="18" t="n">
        <v>161.69</v>
      </c>
      <c r="O14" s="18" t="n">
        <v>148.67</v>
      </c>
      <c r="P14" s="37" t="n">
        <v>148.67</v>
      </c>
      <c r="Q14" s="18" t="n">
        <v>135.66</v>
      </c>
      <c r="R14" s="18" t="n">
        <v>122.65</v>
      </c>
      <c r="S14" s="18" t="n">
        <v>109.64</v>
      </c>
      <c r="T14" s="18" t="n">
        <v>7969.09</v>
      </c>
      <c r="U14" s="37" t="n">
        <v>7969.09</v>
      </c>
      <c r="V14" s="18" t="n">
        <v>7950.59</v>
      </c>
      <c r="W14" s="18" t="n">
        <v>7838.34</v>
      </c>
      <c r="X14" s="18" t="n">
        <v>7726.08</v>
      </c>
      <c r="Y14" s="18" t="n">
        <v>7613.82</v>
      </c>
      <c r="Z14" s="37" t="n">
        <v>7613.82</v>
      </c>
      <c r="AA14" s="18" t="n">
        <v>7501.56</v>
      </c>
      <c r="AB14" s="19" t="n">
        <v>7644.36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자산총계</t>
        </is>
      </c>
      <c r="E15" s="18" t="n">
        <v>46898.93</v>
      </c>
      <c r="F15" s="37" t="n">
        <v>46898.93</v>
      </c>
      <c r="G15" s="18" t="n">
        <v>43009.9</v>
      </c>
      <c r="H15" s="18" t="n">
        <v>55098.25</v>
      </c>
      <c r="I15" s="18" t="n">
        <v>54823.18</v>
      </c>
      <c r="J15" s="18" t="n">
        <v>54175.92</v>
      </c>
      <c r="K15" s="37" t="n">
        <v>54175.92</v>
      </c>
      <c r="L15" s="18" t="n">
        <v>56613.31</v>
      </c>
      <c r="M15" s="18" t="n">
        <v>55063.64</v>
      </c>
      <c r="N15" s="18" t="n">
        <v>53263.51</v>
      </c>
      <c r="O15" s="18" t="n">
        <v>43556.9</v>
      </c>
      <c r="P15" s="37" t="n">
        <v>43556.9</v>
      </c>
      <c r="Q15" s="18" t="n">
        <v>52155.74</v>
      </c>
      <c r="R15" s="18" t="n">
        <v>43060.96</v>
      </c>
      <c r="S15" s="18" t="n">
        <v>55600.02</v>
      </c>
      <c r="T15" s="18" t="n">
        <v>65818.8</v>
      </c>
      <c r="U15" s="37" t="n">
        <v>65818.8</v>
      </c>
      <c r="V15" s="18" t="n">
        <v>68563.32000000001</v>
      </c>
      <c r="W15" s="18" t="n">
        <v>68094.39</v>
      </c>
      <c r="X15" s="18" t="n">
        <v>66255.38</v>
      </c>
      <c r="Y15" s="18" t="n">
        <v>61193.61</v>
      </c>
      <c r="Z15" s="37" t="n">
        <v>61193.61</v>
      </c>
      <c r="AA15" s="18" t="n">
        <v>78364.03999999999</v>
      </c>
      <c r="AB15" s="19" t="n">
        <v>76433.55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유동부채</t>
        </is>
      </c>
      <c r="E16" s="18" t="n">
        <v>20865.72</v>
      </c>
      <c r="F16" s="37" t="n">
        <v>20865.72</v>
      </c>
      <c r="G16" s="18" t="n">
        <v>18845.78</v>
      </c>
      <c r="H16" s="18" t="n">
        <v>32061.53</v>
      </c>
      <c r="I16" s="18" t="n">
        <v>35288.41</v>
      </c>
      <c r="J16" s="18" t="n">
        <v>42714.35</v>
      </c>
      <c r="K16" s="37" t="n">
        <v>42714.35</v>
      </c>
      <c r="L16" s="18" t="n">
        <v>46291.61</v>
      </c>
      <c r="M16" s="18" t="n">
        <v>41625.97</v>
      </c>
      <c r="N16" s="18" t="n">
        <v>39235.08</v>
      </c>
      <c r="O16" s="18" t="n">
        <v>27540.69</v>
      </c>
      <c r="P16" s="37" t="n">
        <v>27540.69</v>
      </c>
      <c r="Q16" s="18" t="n">
        <v>29807.34</v>
      </c>
      <c r="R16" s="18" t="n">
        <v>7073.1</v>
      </c>
      <c r="S16" s="18" t="n">
        <v>8657.76</v>
      </c>
      <c r="T16" s="18" t="n">
        <v>18613.96</v>
      </c>
      <c r="U16" s="37" t="n">
        <v>18613.96</v>
      </c>
      <c r="V16" s="18" t="n">
        <v>18255.73</v>
      </c>
      <c r="W16" s="18" t="n">
        <v>15322.09</v>
      </c>
      <c r="X16" s="18" t="n">
        <v>14709.23</v>
      </c>
      <c r="Y16" s="18" t="n">
        <v>13371.43</v>
      </c>
      <c r="Z16" s="37" t="n">
        <v>13371.43</v>
      </c>
      <c r="AA16" s="18" t="n">
        <v>23470.07</v>
      </c>
      <c r="AB16" s="19" t="n">
        <v>18890.11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매입채무및기타채무</t>
        </is>
      </c>
      <c r="E17" s="18" t="n">
        <v>8159.73</v>
      </c>
      <c r="F17" s="37" t="n">
        <v>8159.73</v>
      </c>
      <c r="G17" s="18" t="n">
        <v>7342.42</v>
      </c>
      <c r="H17" s="18" t="n">
        <v>9583.379999999999</v>
      </c>
      <c r="I17" s="18" t="n">
        <v>10071.16</v>
      </c>
      <c r="J17" s="18" t="n">
        <v>10939.39</v>
      </c>
      <c r="K17" s="37" t="n">
        <v>10939.39</v>
      </c>
      <c r="L17" s="18" t="n">
        <v>23480.38</v>
      </c>
      <c r="M17" s="18" t="n">
        <v>8796.299999999999</v>
      </c>
      <c r="N17" s="18" t="n">
        <v>7214.51</v>
      </c>
      <c r="O17" s="18" t="n">
        <v>5385.93</v>
      </c>
      <c r="P17" s="37" t="n">
        <v>5385.93</v>
      </c>
      <c r="Q17" s="18" t="n">
        <v>5032.72</v>
      </c>
      <c r="R17" s="18" t="n">
        <v>4145.25</v>
      </c>
      <c r="S17" s="18" t="n">
        <v>3309.31</v>
      </c>
      <c r="T17" s="18" t="n">
        <v>5771.63</v>
      </c>
      <c r="U17" s="37" t="n">
        <v>5771.63</v>
      </c>
      <c r="V17" s="18" t="n">
        <v>4271.11</v>
      </c>
      <c r="W17" s="18" t="n">
        <v>5085.52</v>
      </c>
      <c r="X17" s="18" t="n">
        <v>5446.89</v>
      </c>
      <c r="Y17" s="18" t="n">
        <v>4737.07</v>
      </c>
      <c r="Z17" s="37" t="n">
        <v>4737.07</v>
      </c>
      <c r="AA17" s="18" t="n">
        <v>4518.27</v>
      </c>
      <c r="AB17" s="19" t="n">
        <v>5015.07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단기차입금</t>
        </is>
      </c>
      <c r="E18" s="18" t="n">
        <v>4800</v>
      </c>
      <c r="F18" s="37" t="n">
        <v>4800</v>
      </c>
      <c r="G18" s="18" t="n">
        <v>4800</v>
      </c>
      <c r="H18" s="18" t="n">
        <v>6800</v>
      </c>
      <c r="I18" s="18" t="n">
        <v>7600</v>
      </c>
      <c r="J18" s="18" t="n">
        <v>6800</v>
      </c>
      <c r="K18" s="37" t="n">
        <v>6800</v>
      </c>
      <c r="L18" s="18" t="n">
        <v>6500</v>
      </c>
      <c r="M18" s="18" t="n">
        <v>6850</v>
      </c>
      <c r="N18" s="18" t="n">
        <v>5100</v>
      </c>
      <c r="O18" s="18" t="n">
        <v>5850</v>
      </c>
      <c r="P18" s="37" t="n">
        <v>5850</v>
      </c>
      <c r="Q18" s="18" t="n">
        <v>3500</v>
      </c>
      <c r="R18" s="18" t="n">
        <v>1720</v>
      </c>
      <c r="S18" s="18" t="n">
        <v>1720</v>
      </c>
      <c r="T18" s="18" t="n">
        <v>3823.6</v>
      </c>
      <c r="U18" s="37" t="n">
        <v>3823.6</v>
      </c>
      <c r="V18" s="18" t="n">
        <v>3823.6</v>
      </c>
      <c r="W18" s="18" t="n">
        <v>823.6</v>
      </c>
      <c r="X18" s="18" t="n">
        <v>303.59</v>
      </c>
      <c r="Y18" s="18" t="n">
        <v>303.59</v>
      </c>
      <c r="Z18" s="37" t="n">
        <v>303.59</v>
      </c>
      <c r="AA18" s="18" t="n">
        <v>303.59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유동리스부채</t>
        </is>
      </c>
      <c r="E19" s="18" t="n">
        <v>511.42</v>
      </c>
      <c r="F19" s="37" t="n">
        <v>511.42</v>
      </c>
      <c r="G19" s="18" t="n">
        <v>516.3</v>
      </c>
      <c r="H19" s="18" t="n">
        <v>260.97</v>
      </c>
      <c r="I19" s="18" t="n">
        <v>263.75</v>
      </c>
      <c r="J19" s="18" t="n">
        <v>266.57</v>
      </c>
      <c r="K19" s="37" t="n">
        <v>266.57</v>
      </c>
      <c r="L19" s="18" t="n">
        <v>269.42</v>
      </c>
      <c r="M19" s="18" t="n">
        <v>272.3</v>
      </c>
      <c r="N19" s="18" t="n">
        <v>251.84</v>
      </c>
      <c r="P19" s="9" t="n"/>
      <c r="Q19" s="18" t="n">
        <v>833.96</v>
      </c>
      <c r="R19" s="18" t="n">
        <v>148.07</v>
      </c>
      <c r="S19" s="18" t="n">
        <v>252.14</v>
      </c>
      <c r="T19" s="18" t="n">
        <v>379.77</v>
      </c>
      <c r="U19" s="37" t="n">
        <v>379.77</v>
      </c>
      <c r="V19" s="18" t="n">
        <v>471.07</v>
      </c>
      <c r="W19" s="18" t="n">
        <v>391.47</v>
      </c>
      <c r="X19" s="18" t="n">
        <v>408.03</v>
      </c>
      <c r="Y19" s="18" t="n">
        <v>313.88</v>
      </c>
      <c r="Z19" s="37" t="n">
        <v>313.88</v>
      </c>
      <c r="AA19" s="18" t="n">
        <v>349.37</v>
      </c>
      <c r="AB19" s="19" t="n">
        <v>359.39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리스부채</t>
        </is>
      </c>
      <c r="E20" s="18" t="n">
        <v>1916.5</v>
      </c>
      <c r="F20" s="37" t="n">
        <v>1916.5</v>
      </c>
      <c r="G20" s="18" t="n">
        <v>1790.46</v>
      </c>
      <c r="H20" s="18" t="n">
        <v>851.99</v>
      </c>
      <c r="I20" s="18" t="n">
        <v>779.53</v>
      </c>
      <c r="J20" s="18" t="n">
        <v>714.64</v>
      </c>
      <c r="K20" s="37" t="n">
        <v>714.64</v>
      </c>
      <c r="L20" s="18" t="n">
        <v>649.0599999999999</v>
      </c>
      <c r="M20" s="18" t="n">
        <v>582.78</v>
      </c>
      <c r="N20" s="18" t="n">
        <v>540.6900000000001</v>
      </c>
      <c r="O20" s="18" t="n">
        <v>229.21</v>
      </c>
      <c r="P20" s="37" t="n">
        <v>229.21</v>
      </c>
      <c r="Q20" s="18" t="n">
        <v>1487.19</v>
      </c>
      <c r="R20" s="18" t="n">
        <v>276.75</v>
      </c>
      <c r="S20" s="18" t="n">
        <v>430.64</v>
      </c>
      <c r="T20" s="18" t="n">
        <v>673.3</v>
      </c>
      <c r="U20" s="37" t="n">
        <v>673.3</v>
      </c>
      <c r="V20" s="18" t="n">
        <v>786.98</v>
      </c>
      <c r="W20" s="18" t="n">
        <v>630.6799999999999</v>
      </c>
      <c r="X20" s="18" t="n">
        <v>617.01</v>
      </c>
      <c r="Y20" s="18" t="n">
        <v>534.86</v>
      </c>
      <c r="Z20" s="37" t="n">
        <v>534.86</v>
      </c>
      <c r="AA20" s="18" t="n">
        <v>667.52</v>
      </c>
      <c r="AB20" s="19" t="n">
        <v>706.52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단기금융부채</t>
        </is>
      </c>
      <c r="E21" s="18" t="n">
        <v>511.42</v>
      </c>
      <c r="F21" s="37" t="n">
        <v>511.42</v>
      </c>
      <c r="G21" s="18" t="n">
        <v>516.3</v>
      </c>
      <c r="H21" s="18" t="n">
        <v>3543.86</v>
      </c>
      <c r="I21" s="18" t="n">
        <v>2957.95</v>
      </c>
      <c r="J21" s="18" t="n">
        <v>266.57</v>
      </c>
      <c r="K21" s="37" t="n">
        <v>266.57</v>
      </c>
      <c r="L21" s="18" t="n">
        <v>269.42</v>
      </c>
      <c r="M21" s="18" t="n">
        <v>272.3</v>
      </c>
      <c r="N21" s="18" t="n">
        <v>251.84</v>
      </c>
      <c r="O21" s="18" t="n">
        <v>9540.93</v>
      </c>
      <c r="P21" s="37" t="n">
        <v>9540.93</v>
      </c>
      <c r="Q21" s="18" t="n">
        <v>833.96</v>
      </c>
      <c r="R21" s="18" t="n">
        <v>148.07</v>
      </c>
      <c r="S21" s="18" t="n">
        <v>2025.22</v>
      </c>
      <c r="T21" s="18" t="n">
        <v>3904.2</v>
      </c>
      <c r="U21" s="37" t="n">
        <v>3904.2</v>
      </c>
      <c r="V21" s="18" t="n">
        <v>4651.62</v>
      </c>
      <c r="W21" s="18" t="n">
        <v>3892.06</v>
      </c>
      <c r="X21" s="18" t="n">
        <v>3393.19</v>
      </c>
      <c r="Y21" s="18" t="n">
        <v>1523.71</v>
      </c>
      <c r="Z21" s="37" t="n">
        <v>1523.71</v>
      </c>
      <c r="AA21" s="18" t="n">
        <v>10957.5</v>
      </c>
      <c r="AB21" s="19" t="n">
        <v>5736.01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유동성장기부채</t>
        </is>
      </c>
      <c r="E22" s="18" t="n">
        <v>3111.11</v>
      </c>
      <c r="F22" s="37" t="n">
        <v>3111.11</v>
      </c>
      <c r="G22" s="18" t="n">
        <v>2777.78</v>
      </c>
      <c r="H22" s="18" t="n">
        <v>9079.129999999999</v>
      </c>
      <c r="I22" s="18" t="n">
        <v>9091.059999999999</v>
      </c>
      <c r="J22" s="18" t="n">
        <v>9344.25</v>
      </c>
      <c r="K22" s="37" t="n">
        <v>9344.25</v>
      </c>
      <c r="L22" s="18" t="n">
        <v>2000</v>
      </c>
      <c r="M22" s="18" t="n">
        <v>6349.16</v>
      </c>
      <c r="N22" s="18" t="n">
        <v>6704.54</v>
      </c>
      <c r="O22" s="18" t="n">
        <v>5220.13</v>
      </c>
      <c r="P22" s="37" t="n">
        <v>5220.13</v>
      </c>
      <c r="Q22" s="18" t="n">
        <v>5661.06</v>
      </c>
      <c r="R22" s="18" t="n">
        <v>245.31</v>
      </c>
      <c r="S22" s="18" t="n">
        <v>984.28</v>
      </c>
      <c r="T22" s="18" t="n">
        <v>4624.32</v>
      </c>
      <c r="U22" s="37" t="n">
        <v>4624.32</v>
      </c>
      <c r="V22" s="18" t="n">
        <v>5180.44</v>
      </c>
      <c r="W22" s="18" t="n">
        <v>5202.76</v>
      </c>
      <c r="X22" s="18" t="n">
        <v>4817.79</v>
      </c>
      <c r="Y22" s="18" t="n">
        <v>5304.72</v>
      </c>
      <c r="Z22" s="37" t="n">
        <v>5304.72</v>
      </c>
      <c r="AA22" s="18" t="n">
        <v>6280.79</v>
      </c>
      <c r="AB22" s="19" t="n">
        <v>6669.78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비유동부채</t>
        </is>
      </c>
      <c r="E23" s="18" t="n">
        <v>1461.79</v>
      </c>
      <c r="F23" s="37" t="n">
        <v>1461.79</v>
      </c>
      <c r="G23" s="18" t="n">
        <v>1379.56</v>
      </c>
      <c r="H23" s="18" t="n">
        <v>797.96</v>
      </c>
      <c r="I23" s="18" t="n">
        <v>568.71</v>
      </c>
      <c r="J23" s="18" t="n">
        <v>448.07</v>
      </c>
      <c r="K23" s="37" t="n">
        <v>448.07</v>
      </c>
      <c r="L23" s="18" t="n">
        <v>379.64</v>
      </c>
      <c r="M23" s="18" t="n">
        <v>310.48</v>
      </c>
      <c r="N23" s="18" t="n">
        <v>354.92</v>
      </c>
      <c r="O23" s="18" t="n">
        <v>386.28</v>
      </c>
      <c r="P23" s="37" t="n">
        <v>386.28</v>
      </c>
      <c r="Q23" s="18" t="n">
        <v>785.15</v>
      </c>
      <c r="R23" s="18" t="n">
        <v>234.68</v>
      </c>
      <c r="S23" s="18" t="n">
        <v>10005.28</v>
      </c>
      <c r="T23" s="18" t="n">
        <v>10373.46</v>
      </c>
      <c r="U23" s="37" t="n">
        <v>10373.46</v>
      </c>
      <c r="V23" s="18" t="n">
        <v>10429.28</v>
      </c>
      <c r="W23" s="18" t="n">
        <v>14323.65</v>
      </c>
      <c r="X23" s="18" t="n">
        <v>14307.64</v>
      </c>
      <c r="Y23" s="18" t="n">
        <v>12817.78</v>
      </c>
      <c r="Z23" s="37" t="n">
        <v>12817.78</v>
      </c>
      <c r="AA23" s="18" t="n">
        <v>12912.7</v>
      </c>
      <c r="AB23" s="19" t="n">
        <v>12968.32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확정급여부채</t>
        </is>
      </c>
      <c r="E24" s="18" t="n">
        <v>41.71</v>
      </c>
      <c r="F24" s="37" t="n">
        <v>41.71</v>
      </c>
      <c r="G24" s="18" t="n">
        <v>105.4</v>
      </c>
      <c r="H24" s="18" t="n">
        <v>206.94</v>
      </c>
      <c r="I24" s="18" t="n">
        <v>52.93</v>
      </c>
      <c r="K24" s="9" t="n"/>
      <c r="N24" s="18" t="n">
        <v>66.06999999999999</v>
      </c>
      <c r="P24" s="9" t="n"/>
      <c r="T24" s="18" t="n">
        <v>97.63</v>
      </c>
      <c r="U24" s="37" t="n">
        <v>97.63</v>
      </c>
      <c r="V24" s="18" t="n">
        <v>111.84</v>
      </c>
      <c r="W24" s="18" t="n">
        <v>126.05</v>
      </c>
      <c r="X24" s="18" t="n">
        <v>140.27</v>
      </c>
      <c r="Y24" s="18" t="n">
        <v>161.45</v>
      </c>
      <c r="Z24" s="37" t="n">
        <v>161.45</v>
      </c>
      <c r="AA24" s="18" t="n">
        <v>180.39</v>
      </c>
      <c r="AB24" s="19" t="n">
        <v>199.33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비유동리스부채</t>
        </is>
      </c>
      <c r="E25" s="18" t="n">
        <v>1405.08</v>
      </c>
      <c r="F25" s="37" t="n">
        <v>1405.08</v>
      </c>
      <c r="G25" s="18" t="n">
        <v>1274.16</v>
      </c>
      <c r="H25" s="18" t="n">
        <v>591.02</v>
      </c>
      <c r="I25" s="18" t="n">
        <v>515.78</v>
      </c>
      <c r="J25" s="18" t="n">
        <v>448.07</v>
      </c>
      <c r="K25" s="37" t="n">
        <v>448.07</v>
      </c>
      <c r="L25" s="18" t="n">
        <v>379.64</v>
      </c>
      <c r="M25" s="18" t="n">
        <v>310.48</v>
      </c>
      <c r="N25" s="18" t="n">
        <v>288.85</v>
      </c>
      <c r="O25" s="18" t="n">
        <v>229.21</v>
      </c>
      <c r="P25" s="37" t="n">
        <v>229.21</v>
      </c>
      <c r="Q25" s="18" t="n">
        <v>653.23</v>
      </c>
      <c r="R25" s="18" t="n">
        <v>128.68</v>
      </c>
      <c r="S25" s="18" t="n">
        <v>178.5</v>
      </c>
      <c r="T25" s="18" t="n">
        <v>293.53</v>
      </c>
      <c r="U25" s="37" t="n">
        <v>293.53</v>
      </c>
      <c r="V25" s="18" t="n">
        <v>315.91</v>
      </c>
      <c r="W25" s="18" t="n">
        <v>239.21</v>
      </c>
      <c r="X25" s="18" t="n">
        <v>208.98</v>
      </c>
      <c r="Y25" s="18" t="n">
        <v>220.98</v>
      </c>
      <c r="Z25" s="37" t="n">
        <v>220.98</v>
      </c>
      <c r="AA25" s="18" t="n">
        <v>318.15</v>
      </c>
      <c r="AB25" s="19" t="n">
        <v>347.13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1843.37</v>
      </c>
      <c r="T26" s="18" t="n">
        <v>2217.09</v>
      </c>
      <c r="U26" s="37" t="n">
        <v>2217.09</v>
      </c>
      <c r="V26" s="18" t="n">
        <v>2258.07</v>
      </c>
      <c r="W26" s="18" t="n">
        <v>1625.33</v>
      </c>
      <c r="X26" s="18" t="n">
        <v>-1177.14</v>
      </c>
      <c r="Y26" s="18" t="n">
        <v>220.98</v>
      </c>
      <c r="Z26" s="37" t="n">
        <v>220.98</v>
      </c>
      <c r="AA26" s="18" t="n">
        <v>318.15</v>
      </c>
      <c r="AB26" s="19" t="n">
        <v>347.13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15</v>
      </c>
      <c r="F27" s="37" t="n">
        <v>15</v>
      </c>
      <c r="K27" s="9" t="n"/>
      <c r="P27" s="9" t="n"/>
      <c r="T27" s="18" t="n">
        <v>58.74</v>
      </c>
      <c r="U27" s="37" t="n">
        <v>58.74</v>
      </c>
      <c r="V27" s="18" t="n">
        <v>59.38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22327.51</v>
      </c>
      <c r="F28" s="37" t="n">
        <v>22327.51</v>
      </c>
      <c r="G28" s="18" t="n">
        <v>20225.34</v>
      </c>
      <c r="H28" s="18" t="n">
        <v>32859.49</v>
      </c>
      <c r="I28" s="18" t="n">
        <v>35857.12</v>
      </c>
      <c r="J28" s="18" t="n">
        <v>43162.43</v>
      </c>
      <c r="K28" s="37" t="n">
        <v>43162.43</v>
      </c>
      <c r="L28" s="18" t="n">
        <v>46671.25</v>
      </c>
      <c r="M28" s="18" t="n">
        <v>41936.45</v>
      </c>
      <c r="N28" s="18" t="n">
        <v>39590</v>
      </c>
      <c r="O28" s="18" t="n">
        <v>27926.98</v>
      </c>
      <c r="P28" s="37" t="n">
        <v>27926.98</v>
      </c>
      <c r="Q28" s="18" t="n">
        <v>30592.49</v>
      </c>
      <c r="R28" s="18" t="n">
        <v>7307.78</v>
      </c>
      <c r="S28" s="18" t="n">
        <v>18663.04</v>
      </c>
      <c r="T28" s="18" t="n">
        <v>28987.42</v>
      </c>
      <c r="U28" s="37" t="n">
        <v>28987.42</v>
      </c>
      <c r="V28" s="18" t="n">
        <v>28685.02</v>
      </c>
      <c r="W28" s="18" t="n">
        <v>29645.74</v>
      </c>
      <c r="X28" s="18" t="n">
        <v>29016.87</v>
      </c>
      <c r="Y28" s="18" t="n">
        <v>26189.21</v>
      </c>
      <c r="Z28" s="37" t="n">
        <v>26189.21</v>
      </c>
      <c r="AA28" s="18" t="n">
        <v>36382.77</v>
      </c>
      <c r="AB28" s="19" t="n">
        <v>31858.43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24571.42</v>
      </c>
      <c r="F29" s="37" t="n">
        <v>24571.42</v>
      </c>
      <c r="G29" s="18" t="n">
        <v>22784.56</v>
      </c>
      <c r="H29" s="18" t="n">
        <v>22238.76</v>
      </c>
      <c r="I29" s="18" t="n">
        <v>18966.06</v>
      </c>
      <c r="J29" s="18" t="n">
        <v>11013.49</v>
      </c>
      <c r="K29" s="37" t="n">
        <v>11013.49</v>
      </c>
      <c r="L29" s="18" t="n">
        <v>9942.07</v>
      </c>
      <c r="M29" s="18" t="n">
        <v>13127.19</v>
      </c>
      <c r="N29" s="18" t="n">
        <v>13673.51</v>
      </c>
      <c r="O29" s="18" t="n">
        <v>15629.93</v>
      </c>
      <c r="P29" s="37" t="n">
        <v>15629.93</v>
      </c>
      <c r="Q29" s="18" t="n">
        <v>21563.25</v>
      </c>
      <c r="R29" s="18" t="n">
        <v>35753.19</v>
      </c>
      <c r="S29" s="18" t="n">
        <v>36936.97</v>
      </c>
      <c r="T29" s="18" t="n">
        <v>36831.38</v>
      </c>
      <c r="U29" s="37" t="n">
        <v>36831.38</v>
      </c>
      <c r="V29" s="18" t="n">
        <v>39878.3</v>
      </c>
      <c r="W29" s="18" t="n">
        <v>38448.65</v>
      </c>
      <c r="X29" s="18" t="n">
        <v>37238.51</v>
      </c>
      <c r="Y29" s="18" t="n">
        <v>35004.4</v>
      </c>
      <c r="Z29" s="37" t="n">
        <v>35004.4</v>
      </c>
      <c r="AA29" s="18" t="n">
        <v>41981.27</v>
      </c>
      <c r="AB29" s="19" t="n">
        <v>44575.12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-54267.55</v>
      </c>
      <c r="H32" s="18" t="n">
        <v>-54813.35</v>
      </c>
      <c r="I32" s="18" t="n">
        <v>-58086.05</v>
      </c>
      <c r="J32" s="18" t="n">
        <v>-66038.62</v>
      </c>
      <c r="K32" s="37" t="n">
        <v>-66038.62</v>
      </c>
      <c r="L32" s="18" t="n">
        <v>-40203.5</v>
      </c>
      <c r="M32" s="18" t="n">
        <v>-38012.03</v>
      </c>
      <c r="N32" s="18" t="n">
        <v>-37465.7</v>
      </c>
      <c r="O32" s="18" t="n">
        <v>-35509.29</v>
      </c>
      <c r="P32" s="37" t="n">
        <v>-35509.29</v>
      </c>
      <c r="Q32" s="18" t="n">
        <v>-37575.96</v>
      </c>
      <c r="R32" s="18" t="n">
        <v>-41130.31</v>
      </c>
      <c r="S32" s="18" t="n">
        <v>-39945.79</v>
      </c>
      <c r="T32" s="18" t="n">
        <v>-41034.61</v>
      </c>
      <c r="U32" s="37" t="n">
        <v>-41034.61</v>
      </c>
      <c r="V32" s="18" t="n">
        <v>-42980.69</v>
      </c>
      <c r="W32" s="18" t="n">
        <v>-44818.53</v>
      </c>
      <c r="X32" s="18" t="n">
        <v>-46030.73</v>
      </c>
      <c r="Y32" s="18" t="n">
        <v>-48256.34</v>
      </c>
      <c r="Z32" s="37" t="n">
        <v>-48256.34</v>
      </c>
      <c r="AA32" s="18" t="n">
        <v>-49282.79</v>
      </c>
      <c r="AB32" s="19" t="n">
        <v>-46764.5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22784.56</v>
      </c>
      <c r="H33" s="18" t="n">
        <v>22238.76</v>
      </c>
      <c r="I33" s="18" t="n">
        <v>18966.06</v>
      </c>
      <c r="J33" s="18" t="n">
        <v>11013.49</v>
      </c>
      <c r="K33" s="37" t="n">
        <v>11013.49</v>
      </c>
      <c r="L33" s="18" t="n">
        <v>9942.07</v>
      </c>
      <c r="M33" s="18" t="n">
        <v>13127.19</v>
      </c>
      <c r="N33" s="18" t="n">
        <v>13673.51</v>
      </c>
      <c r="O33" s="18" t="n">
        <v>15629.93</v>
      </c>
      <c r="P33" s="37" t="n">
        <v>15629.93</v>
      </c>
      <c r="Q33" s="18" t="n">
        <v>21563.25</v>
      </c>
      <c r="R33" s="18" t="n">
        <v>35753.19</v>
      </c>
      <c r="S33" s="18" t="n">
        <v>36936.97</v>
      </c>
      <c r="T33" s="18" t="n">
        <v>36831.38</v>
      </c>
      <c r="U33" s="37" t="n">
        <v>36831.38</v>
      </c>
      <c r="V33" s="18" t="n">
        <v>39878.3</v>
      </c>
      <c r="W33" s="18" t="n">
        <v>38448.65</v>
      </c>
      <c r="X33" s="18" t="n">
        <v>37238.51</v>
      </c>
      <c r="Y33" s="18" t="n">
        <v>35004.4</v>
      </c>
      <c r="Z33" s="37" t="n">
        <v>35004.4</v>
      </c>
      <c r="AA33" s="18" t="n">
        <v>41981.27</v>
      </c>
      <c r="AB33" s="19" t="n">
        <v>44575.12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46898.93</v>
      </c>
      <c r="F34" s="37" t="n">
        <v>46898.93</v>
      </c>
      <c r="G34" s="18" t="n">
        <v>43009.9</v>
      </c>
      <c r="H34" s="18" t="n">
        <v>55098.25</v>
      </c>
      <c r="I34" s="18" t="n">
        <v>54823.18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53263.51</v>
      </c>
      <c r="O34" s="18" t="n">
        <v>43556.9</v>
      </c>
      <c r="P34" s="37" t="n">
        <v>43556.9</v>
      </c>
      <c r="Q34" s="18" t="n">
        <v>52155.74</v>
      </c>
      <c r="R34" s="18" t="n">
        <v>43060.96</v>
      </c>
      <c r="S34" s="18" t="n">
        <v>55600.02</v>
      </c>
      <c r="T34" s="18" t="n">
        <v>65818.8</v>
      </c>
      <c r="U34" s="37" t="n">
        <v>65818.8</v>
      </c>
      <c r="V34" s="18" t="n">
        <v>68563.32000000001</v>
      </c>
      <c r="W34" s="18" t="n">
        <v>68094.39</v>
      </c>
      <c r="X34" s="18" t="n">
        <v>66255.38</v>
      </c>
      <c r="Y34" s="18" t="n">
        <v>61193.61</v>
      </c>
      <c r="Z34" s="37" t="n">
        <v>61193.61</v>
      </c>
      <c r="AA34" s="18" t="n">
        <v>78364.03999999999</v>
      </c>
      <c r="AB34" s="19" t="n">
        <v>76433.55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9022.219999999999</v>
      </c>
      <c r="F35" s="37" t="n">
        <v>9022.219999999999</v>
      </c>
      <c r="G35" s="18" t="n">
        <v>8355.559999999999</v>
      </c>
      <c r="H35" s="18" t="n">
        <v>16323.57</v>
      </c>
      <c r="I35" s="18" t="n">
        <v>16802.17</v>
      </c>
      <c r="J35" s="18" t="n">
        <v>18144.25</v>
      </c>
      <c r="K35" s="37" t="n">
        <v>18144.25</v>
      </c>
      <c r="L35" s="18" t="n">
        <v>10500</v>
      </c>
      <c r="M35" s="18" t="n">
        <v>15199.16</v>
      </c>
      <c r="N35" s="18" t="n">
        <v>12089.32</v>
      </c>
      <c r="O35" s="18" t="n">
        <v>11227.2</v>
      </c>
      <c r="P35" s="37" t="n">
        <v>11227.2</v>
      </c>
      <c r="Q35" s="18" t="n">
        <v>9292.98</v>
      </c>
      <c r="R35" s="18" t="n">
        <v>2071.31</v>
      </c>
      <c r="S35" s="18" t="n">
        <v>2885.99</v>
      </c>
      <c r="T35" s="18" t="n">
        <v>16447.92</v>
      </c>
      <c r="U35" s="37" t="n">
        <v>16447.92</v>
      </c>
      <c r="V35" s="18" t="n">
        <v>17004.04</v>
      </c>
      <c r="W35" s="18" t="n">
        <v>18026.36</v>
      </c>
      <c r="X35" s="18" t="n">
        <v>17121.38</v>
      </c>
      <c r="Y35" s="18" t="n">
        <v>17608.31</v>
      </c>
      <c r="Z35" s="37" t="n">
        <v>17608.31</v>
      </c>
      <c r="AA35" s="18" t="n">
        <v>18584.38</v>
      </c>
      <c r="AB35" s="19" t="n">
        <v>18669.78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7748.87</v>
      </c>
      <c r="F36" s="37" t="n">
        <v>7748.87</v>
      </c>
      <c r="G36" s="18" t="n">
        <v>7216.41</v>
      </c>
      <c r="H36" s="18" t="n">
        <v>13469.93</v>
      </c>
      <c r="I36" s="18" t="n">
        <v>16264.46</v>
      </c>
      <c r="J36" s="18" t="n">
        <v>17426.42</v>
      </c>
      <c r="K36" s="37" t="n">
        <v>17426.42</v>
      </c>
      <c r="L36" s="18" t="n">
        <v>10078.61</v>
      </c>
      <c r="M36" s="18" t="n">
        <v>13697.06</v>
      </c>
      <c r="N36" s="18" t="n">
        <v>10699.11</v>
      </c>
      <c r="O36" s="18" t="n">
        <v>10020.93</v>
      </c>
      <c r="P36" s="37" t="n">
        <v>10020.93</v>
      </c>
      <c r="Q36" s="18" t="n">
        <v>-3620.11</v>
      </c>
      <c r="R36" s="18" t="n">
        <v>-14834.72</v>
      </c>
      <c r="S36" s="18" t="n">
        <v>-6905.27</v>
      </c>
      <c r="T36" s="18" t="n">
        <v>5121.11</v>
      </c>
      <c r="U36" s="37" t="n">
        <v>5121.11</v>
      </c>
      <c r="V36" s="18" t="n">
        <v>8886.15</v>
      </c>
      <c r="W36" s="18" t="n">
        <v>11820.92</v>
      </c>
      <c r="X36" s="18" t="n">
        <v>14167.07</v>
      </c>
      <c r="Y36" s="18" t="n">
        <v>14226.56</v>
      </c>
      <c r="Z36" s="37" t="n">
        <v>14226.56</v>
      </c>
      <c r="AA36" s="18" t="n">
        <v>-4020.03</v>
      </c>
      <c r="AB36" s="19" t="n">
        <v>17920.21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1302.11</v>
      </c>
      <c r="F37" s="37" t="n">
        <v>1302.11</v>
      </c>
      <c r="G37" s="18" t="n">
        <v>1173.91</v>
      </c>
      <c r="H37" s="18" t="n">
        <v>2893.57</v>
      </c>
      <c r="I37" s="18" t="n">
        <v>537.71</v>
      </c>
      <c r="J37" s="18" t="n">
        <v>876.41</v>
      </c>
      <c r="K37" s="37" t="n">
        <v>876.41</v>
      </c>
      <c r="L37" s="18" t="n">
        <v>514.52</v>
      </c>
      <c r="M37" s="18" t="n">
        <v>1550.8</v>
      </c>
      <c r="N37" s="18" t="n">
        <v>1390.21</v>
      </c>
      <c r="O37" s="18" t="n">
        <v>1443.75</v>
      </c>
      <c r="P37" s="37" t="n">
        <v>1443.75</v>
      </c>
      <c r="Q37" s="18" t="n">
        <v>13259.13</v>
      </c>
      <c r="R37" s="18" t="n">
        <v>16906.03</v>
      </c>
      <c r="S37" s="18" t="n">
        <v>14411.25</v>
      </c>
      <c r="T37" s="18" t="n">
        <v>14000.53</v>
      </c>
      <c r="U37" s="37" t="n">
        <v>14000.53</v>
      </c>
      <c r="V37" s="18" t="n">
        <v>13491.61</v>
      </c>
      <c r="W37" s="18" t="n">
        <v>11724.45</v>
      </c>
      <c r="X37" s="18" t="n">
        <v>7772.71</v>
      </c>
      <c r="Y37" s="18" t="n">
        <v>6271.46</v>
      </c>
      <c r="Z37" s="37" t="n">
        <v>6271.46</v>
      </c>
      <c r="AA37" s="18" t="n">
        <v>25480.61</v>
      </c>
      <c r="AB37" s="19" t="n">
        <v>2870.07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1111.11</v>
      </c>
      <c r="F38" s="37" t="n">
        <v>1111.11</v>
      </c>
      <c r="G38" s="18" t="n">
        <v>777.78</v>
      </c>
      <c r="H38" s="18" t="n">
        <v>444.44</v>
      </c>
      <c r="I38" s="18" t="n">
        <v>111.11</v>
      </c>
      <c r="J38" s="18" t="n">
        <v>2000</v>
      </c>
      <c r="K38" s="37" t="n">
        <v>2000</v>
      </c>
      <c r="L38" s="18" t="n">
        <v>2000</v>
      </c>
      <c r="M38" s="18" t="n">
        <v>2000</v>
      </c>
      <c r="N38" s="18" t="n">
        <v>284.78</v>
      </c>
      <c r="O38" s="18" t="n">
        <v>157.07</v>
      </c>
      <c r="P38" s="37" t="n">
        <v>157.07</v>
      </c>
      <c r="Q38" s="18" t="n">
        <v>131.92</v>
      </c>
      <c r="R38" s="18" t="n">
        <v>106</v>
      </c>
      <c r="S38" s="18" t="n">
        <v>181.71</v>
      </c>
      <c r="T38" s="18" t="n">
        <v>8000</v>
      </c>
      <c r="U38" s="37" t="n">
        <v>8000</v>
      </c>
      <c r="V38" s="18" t="n">
        <v>8000</v>
      </c>
      <c r="W38" s="18" t="n">
        <v>12000</v>
      </c>
      <c r="X38" s="18" t="n">
        <v>12000</v>
      </c>
      <c r="Y38" s="18" t="n">
        <v>12000</v>
      </c>
      <c r="Z38" s="37" t="n">
        <v>12000</v>
      </c>
      <c r="AA38" s="18" t="n">
        <v>12000</v>
      </c>
      <c r="AB38" s="19" t="n">
        <v>12000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19" t="n">
        <v>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19" t="n">
        <v>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S41" s="18" t="n">
        <v>1773.08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Q42" s="18" t="n">
        <v>3964.07</v>
      </c>
      <c r="R42" s="18" t="n">
        <v>4008.23</v>
      </c>
      <c r="S42" s="18" t="n">
        <v>6648.48</v>
      </c>
      <c r="T42" s="18" t="n">
        <v>1055.08</v>
      </c>
      <c r="U42" s="37" t="n">
        <v>1055.08</v>
      </c>
      <c r="V42" s="18" t="n">
        <v>2116.15</v>
      </c>
      <c r="W42" s="18" t="n">
        <v>3163.79</v>
      </c>
      <c r="X42" s="18" t="n">
        <v>3556.22</v>
      </c>
      <c r="Y42" s="18" t="n">
        <v>1156.93</v>
      </c>
      <c r="Z42" s="37" t="n">
        <v>1156.93</v>
      </c>
      <c r="AA42" s="18" t="n">
        <v>1201.39</v>
      </c>
      <c r="AB42" s="19" t="n">
        <v>1409.27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10173.55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490.2</v>
      </c>
      <c r="U43" s="37" t="n">
        <v>490.2</v>
      </c>
      <c r="V43" s="18" t="n">
        <v>322.48</v>
      </c>
      <c r="W43" s="18" t="n">
        <v>318.14</v>
      </c>
      <c r="X43" s="18" t="n">
        <v>747.74</v>
      </c>
      <c r="Y43" s="18" t="n">
        <v>657.12</v>
      </c>
      <c r="Z43" s="37" t="n">
        <v>657.12</v>
      </c>
      <c r="AA43" s="18" t="n">
        <v>615.25</v>
      </c>
      <c r="AB43" s="19" t="n">
        <v>676.76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U45" s="9" t="n"/>
      <c r="V45" s="18" t="n">
        <v>6.48</v>
      </c>
      <c r="X45" s="18" t="n">
        <v>0.03</v>
      </c>
      <c r="Y45" s="18" t="n">
        <v>232.06</v>
      </c>
      <c r="Z45" s="37" t="n">
        <v>232.06</v>
      </c>
      <c r="AA45" s="18" t="n">
        <v>160.16</v>
      </c>
      <c r="AB45" s="19" t="n">
        <v>135.66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K46" s="9" t="n"/>
      <c r="P46" s="9" t="n"/>
      <c r="R46" s="18" t="n">
        <v>159.16</v>
      </c>
      <c r="S46" s="18" t="n">
        <v>424.79</v>
      </c>
      <c r="T46" s="18" t="n">
        <v>439.75</v>
      </c>
      <c r="U46" s="37" t="n">
        <v>439.75</v>
      </c>
      <c r="V46" s="18" t="n">
        <v>433.33</v>
      </c>
      <c r="W46" s="18" t="n">
        <v>463.14</v>
      </c>
      <c r="X46" s="18" t="n">
        <v>463.87</v>
      </c>
      <c r="Z46" s="9" t="n"/>
      <c r="AA46" s="18" t="n">
        <v>179.58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R47" s="18" t="n">
        <v>299.71</v>
      </c>
      <c r="S47" s="18" t="n">
        <v>461.03</v>
      </c>
      <c r="T47" s="18" t="n">
        <v>738.71</v>
      </c>
      <c r="U47" s="37" t="n">
        <v>738.71</v>
      </c>
      <c r="V47" s="18" t="n">
        <v>848.95</v>
      </c>
      <c r="W47" s="18" t="n">
        <v>676.41</v>
      </c>
      <c r="X47" s="18" t="n">
        <v>648.24</v>
      </c>
      <c r="Y47" s="18" t="n">
        <v>551.45</v>
      </c>
      <c r="Z47" s="37" t="n">
        <v>551.45</v>
      </c>
      <c r="AA47" s="18" t="n">
        <v>675.1900000000001</v>
      </c>
      <c r="AB47" s="19" t="n">
        <v>708.8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기타비유동자산</t>
        </is>
      </c>
      <c r="F48" s="9" t="n"/>
      <c r="K48" s="9" t="n"/>
      <c r="P48" s="9" t="n"/>
      <c r="R48" s="18" t="n">
        <v>447.12</v>
      </c>
      <c r="S48" s="18" t="n">
        <v>461.03</v>
      </c>
      <c r="T48" s="18" t="n">
        <v>1067.97</v>
      </c>
      <c r="U48" s="37" t="n">
        <v>1067.97</v>
      </c>
      <c r="V48" s="18" t="n">
        <v>962.14</v>
      </c>
      <c r="W48" s="18" t="n">
        <v>1341.97</v>
      </c>
      <c r="X48" s="18" t="n">
        <v>1256.78</v>
      </c>
      <c r="Y48" s="18" t="n">
        <v>1100.28</v>
      </c>
      <c r="Z48" s="37" t="n">
        <v>1100.28</v>
      </c>
      <c r="AA48" s="18" t="n">
        <v>1113.14</v>
      </c>
      <c r="AB48" s="19" t="n">
        <v>3941.97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종속기업및관계기업투자</t>
        </is>
      </c>
      <c r="F49" s="9" t="n"/>
      <c r="K49" s="9" t="n"/>
      <c r="P49" s="9" t="n"/>
      <c r="S49" s="18" t="n">
        <v>0.57</v>
      </c>
      <c r="U49" s="9" t="n"/>
      <c r="Z49" s="9" t="n"/>
      <c r="AB49" s="19" t="n">
        <v>9685.57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기타유동금융부채</t>
        </is>
      </c>
      <c r="F52" s="9" t="n"/>
      <c r="K52" s="9" t="n"/>
      <c r="P52" s="9" t="n"/>
      <c r="T52" s="18" t="n">
        <v>3524.43</v>
      </c>
      <c r="U52" s="37" t="n">
        <v>3524.43</v>
      </c>
      <c r="V52" s="18" t="n">
        <v>4180.55</v>
      </c>
      <c r="W52" s="18" t="n">
        <v>3500.59</v>
      </c>
      <c r="X52" s="18" t="n">
        <v>2985.16</v>
      </c>
      <c r="Y52" s="18" t="n">
        <v>1209.83</v>
      </c>
      <c r="Z52" s="37" t="n">
        <v>1209.83</v>
      </c>
      <c r="AA52" s="18" t="n">
        <v>10608.13</v>
      </c>
      <c r="AB52" s="19" t="n">
        <v>5376.62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T53" s="18" t="n">
        <v>1923.56</v>
      </c>
      <c r="U53" s="37" t="n">
        <v>1923.56</v>
      </c>
      <c r="V53" s="18" t="n">
        <v>1942.16</v>
      </c>
      <c r="W53" s="18" t="n">
        <v>1386.12</v>
      </c>
      <c r="X53" s="18" t="n">
        <v>-1386.12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이연법인세부채</t>
        </is>
      </c>
      <c r="F54" s="9" t="n"/>
      <c r="K54" s="9" t="n"/>
      <c r="P54" s="9" t="n"/>
      <c r="U54" s="9" t="n"/>
      <c r="Y54" s="18" t="n">
        <v>435.35</v>
      </c>
      <c r="Z54" s="37" t="n">
        <v>435.35</v>
      </c>
      <c r="AA54" s="18" t="n">
        <v>414.15</v>
      </c>
      <c r="AB54" s="19" t="n">
        <v>421.86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Z55" s="9" t="n"/>
      <c r="AB55" s="19" t="n">
        <v>75.56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8501.73</v>
      </c>
      <c r="F56" s="9" t="n"/>
      <c r="G56" s="18" t="n">
        <v>14734.67</v>
      </c>
      <c r="H56" s="18" t="n">
        <v>18706.69</v>
      </c>
      <c r="I56" s="18" t="n">
        <v>17176.15</v>
      </c>
      <c r="J56" s="18" t="n">
        <v>23811.88</v>
      </c>
      <c r="K56" s="37" t="n">
        <v>74429.39</v>
      </c>
      <c r="L56" s="18" t="n">
        <v>21526.67</v>
      </c>
      <c r="M56" s="18" t="n">
        <v>23408.9</v>
      </c>
      <c r="N56" s="18" t="n">
        <v>23294.52</v>
      </c>
      <c r="O56" s="18" t="n">
        <v>18121.3</v>
      </c>
      <c r="P56" s="37" t="n">
        <v>86351.39</v>
      </c>
      <c r="Q56" s="18" t="n">
        <v>15367.8</v>
      </c>
      <c r="R56" s="18" t="n">
        <v>5503.84</v>
      </c>
      <c r="S56" s="18" t="n">
        <v>6059.55</v>
      </c>
      <c r="T56" s="18" t="n">
        <v>8093.04</v>
      </c>
      <c r="U56" s="37" t="n">
        <v>35024.23</v>
      </c>
      <c r="V56" s="18" t="n">
        <v>9021.129999999999</v>
      </c>
      <c r="W56" s="18" t="n">
        <v>11208.93</v>
      </c>
      <c r="X56" s="18" t="n">
        <v>12040.3</v>
      </c>
      <c r="Y56" s="18" t="n">
        <v>7177.01</v>
      </c>
      <c r="Z56" s="37" t="n">
        <v>39447.37</v>
      </c>
      <c r="AA56" s="18" t="n">
        <v>10401.23</v>
      </c>
      <c r="AB56" s="19" t="n">
        <v>9464.799999999999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11253.74</v>
      </c>
      <c r="F57" s="9" t="n"/>
      <c r="G57" s="18" t="n">
        <v>15572.74</v>
      </c>
      <c r="H57" s="18" t="n">
        <v>19449.38</v>
      </c>
      <c r="I57" s="18" t="n">
        <v>19874.92</v>
      </c>
      <c r="J57" s="18" t="n">
        <v>30638.83</v>
      </c>
      <c r="K57" s="37" t="n">
        <v>85535.87</v>
      </c>
      <c r="L57" s="18" t="n">
        <v>20490.95</v>
      </c>
      <c r="M57" s="18" t="n">
        <v>16524.19</v>
      </c>
      <c r="N57" s="18" t="n">
        <v>20829.35</v>
      </c>
      <c r="O57" s="18" t="n">
        <v>14128.64</v>
      </c>
      <c r="P57" s="37" t="n">
        <v>71973.13</v>
      </c>
      <c r="Q57" s="18" t="n">
        <v>11803.12</v>
      </c>
      <c r="R57" s="18" t="n">
        <v>3991.34</v>
      </c>
      <c r="S57" s="18" t="n">
        <v>6053.69</v>
      </c>
      <c r="T57" s="18" t="n">
        <v>7555.47</v>
      </c>
      <c r="U57" s="37" t="n">
        <v>29403.62</v>
      </c>
      <c r="V57" s="18" t="n">
        <v>8351.780000000001</v>
      </c>
      <c r="W57" s="18" t="n">
        <v>10159.19</v>
      </c>
      <c r="X57" s="18" t="n">
        <v>10694.91</v>
      </c>
      <c r="Y57" s="18" t="n">
        <v>5596.68</v>
      </c>
      <c r="Z57" s="37" t="n">
        <v>34802.56</v>
      </c>
      <c r="AA57" s="18" t="n">
        <v>8229.17</v>
      </c>
      <c r="AB57" s="19" t="n">
        <v>8125.4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-2752.01</v>
      </c>
      <c r="F58" s="9" t="n"/>
      <c r="G58" s="18" t="n">
        <v>-838.0599999999999</v>
      </c>
      <c r="H58" s="18" t="n">
        <v>-742.6900000000001</v>
      </c>
      <c r="I58" s="18" t="n">
        <v>-2698.77</v>
      </c>
      <c r="J58" s="18" t="n">
        <v>-6826.94</v>
      </c>
      <c r="K58" s="37" t="n">
        <v>-11106.46</v>
      </c>
      <c r="L58" s="18" t="n">
        <v>1035.72</v>
      </c>
      <c r="M58" s="18" t="n">
        <v>6884.71</v>
      </c>
      <c r="N58" s="18" t="n">
        <v>2465.16</v>
      </c>
      <c r="O58" s="18" t="n">
        <v>3992.68</v>
      </c>
      <c r="P58" s="37" t="n">
        <v>14378.27</v>
      </c>
      <c r="Q58" s="18" t="n">
        <v>3564.68</v>
      </c>
      <c r="R58" s="18" t="n">
        <v>1512.5</v>
      </c>
      <c r="S58" s="18" t="n">
        <v>5.86</v>
      </c>
      <c r="T58" s="18" t="n">
        <v>537.5599999999999</v>
      </c>
      <c r="U58" s="37" t="n">
        <v>5620.6</v>
      </c>
      <c r="V58" s="18" t="n">
        <v>669.35</v>
      </c>
      <c r="W58" s="18" t="n">
        <v>1049.74</v>
      </c>
      <c r="X58" s="18" t="n">
        <v>1345.4</v>
      </c>
      <c r="Y58" s="18" t="n">
        <v>1580.33</v>
      </c>
      <c r="Z58" s="37" t="n">
        <v>4644.82</v>
      </c>
      <c r="AA58" s="18" t="n">
        <v>2172.06</v>
      </c>
      <c r="AB58" s="19" t="n">
        <v>1339.4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816.87</v>
      </c>
      <c r="F59" s="9" t="n"/>
      <c r="G59" s="18" t="n">
        <v>855.6799999999999</v>
      </c>
      <c r="H59" s="18" t="n">
        <v>860.66</v>
      </c>
      <c r="I59" s="18" t="n">
        <v>822.04</v>
      </c>
      <c r="J59" s="18" t="n">
        <v>907.22</v>
      </c>
      <c r="K59" s="37" t="n">
        <v>3445.6</v>
      </c>
      <c r="L59" s="18" t="n">
        <v>830.85</v>
      </c>
      <c r="M59" s="18" t="n">
        <v>832.03</v>
      </c>
      <c r="N59" s="18" t="n">
        <v>808.7</v>
      </c>
      <c r="O59" s="18" t="n">
        <v>1042.66</v>
      </c>
      <c r="P59" s="37" t="n">
        <v>3514.24</v>
      </c>
      <c r="Q59" s="18" t="n">
        <v>1023.17</v>
      </c>
      <c r="R59" s="18" t="n">
        <v>864.87</v>
      </c>
      <c r="S59" s="18" t="n">
        <v>1101.73</v>
      </c>
      <c r="T59" s="18" t="n">
        <v>1559.26</v>
      </c>
      <c r="U59" s="37" t="n">
        <v>4549.03</v>
      </c>
      <c r="V59" s="18" t="n">
        <v>2425.54</v>
      </c>
      <c r="W59" s="18" t="n">
        <v>2525.66</v>
      </c>
      <c r="X59" s="18" t="n">
        <v>2357.89</v>
      </c>
      <c r="Y59" s="18" t="n">
        <v>1956.29</v>
      </c>
      <c r="Z59" s="37" t="n">
        <v>9265.379999999999</v>
      </c>
      <c r="AA59" s="18" t="n">
        <v>2966.35</v>
      </c>
      <c r="AB59" s="19" t="n">
        <v>2144.91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-3568.88</v>
      </c>
      <c r="F60" s="9" t="n"/>
      <c r="G60" s="18" t="n">
        <v>-1693.75</v>
      </c>
      <c r="H60" s="18" t="n">
        <v>-1603.36</v>
      </c>
      <c r="I60" s="18" t="n">
        <v>-3520.82</v>
      </c>
      <c r="J60" s="18" t="n">
        <v>-7734.16</v>
      </c>
      <c r="K60" s="37" t="n">
        <v>-14552.09</v>
      </c>
      <c r="L60" s="18" t="n">
        <v>204.86</v>
      </c>
      <c r="M60" s="18" t="n">
        <v>6052.68</v>
      </c>
      <c r="N60" s="18" t="n">
        <v>1656.47</v>
      </c>
      <c r="O60" s="18" t="n">
        <v>2950.02</v>
      </c>
      <c r="P60" s="37" t="n">
        <v>10864.03</v>
      </c>
      <c r="Q60" s="18" t="n">
        <v>2541.5</v>
      </c>
      <c r="R60" s="18" t="n">
        <v>647.63</v>
      </c>
      <c r="S60" s="18" t="n">
        <v>-1095.87</v>
      </c>
      <c r="T60" s="18" t="n">
        <v>-1021.68</v>
      </c>
      <c r="U60" s="37" t="n">
        <v>1071.58</v>
      </c>
      <c r="V60" s="18" t="n">
        <v>-1756.19</v>
      </c>
      <c r="W60" s="18" t="n">
        <v>-1475.91</v>
      </c>
      <c r="X60" s="18" t="n">
        <v>-1012.49</v>
      </c>
      <c r="Y60" s="18" t="n">
        <v>-375.95</v>
      </c>
      <c r="Z60" s="37" t="n">
        <v>-4620.54</v>
      </c>
      <c r="AA60" s="18" t="n">
        <v>-794.29</v>
      </c>
      <c r="AB60" s="19" t="n">
        <v>-805.51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49.54</v>
      </c>
      <c r="F61" s="9" t="n"/>
      <c r="G61" s="18" t="n">
        <v>63.72</v>
      </c>
      <c r="H61" s="18" t="n">
        <v>1518.18</v>
      </c>
      <c r="I61" s="18" t="n">
        <v>786.16</v>
      </c>
      <c r="J61" s="18" t="n">
        <v>131.95</v>
      </c>
      <c r="K61" s="37" t="n">
        <v>2500.01</v>
      </c>
      <c r="L61" s="18" t="n">
        <v>249.96</v>
      </c>
      <c r="M61" s="18" t="n">
        <v>120.15</v>
      </c>
      <c r="N61" s="18" t="n">
        <v>124.3</v>
      </c>
      <c r="O61" s="18" t="n">
        <v>90.36</v>
      </c>
      <c r="P61" s="37" t="n">
        <v>584.77</v>
      </c>
      <c r="Q61" s="18" t="n">
        <v>173.87</v>
      </c>
      <c r="R61" s="18" t="n">
        <v>61.67</v>
      </c>
      <c r="S61" s="18" t="n">
        <v>74.11</v>
      </c>
      <c r="T61" s="18" t="n">
        <v>196.12</v>
      </c>
      <c r="U61" s="37" t="n">
        <v>505.77</v>
      </c>
      <c r="V61" s="18" t="n">
        <v>95.16</v>
      </c>
      <c r="W61" s="18" t="n">
        <v>753.74</v>
      </c>
      <c r="X61" s="18" t="n">
        <v>110.19</v>
      </c>
      <c r="Y61" s="18" t="n">
        <v>3246.21</v>
      </c>
      <c r="Z61" s="37" t="n">
        <v>4205.3</v>
      </c>
      <c r="AA61" s="18" t="n">
        <v>207</v>
      </c>
      <c r="AB61" s="19" t="n">
        <v>5529.13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161.76</v>
      </c>
      <c r="F62" s="9" t="n"/>
      <c r="G62" s="18" t="n">
        <v>100.45</v>
      </c>
      <c r="H62" s="18" t="n">
        <v>469.14</v>
      </c>
      <c r="I62" s="18" t="n">
        <v>541.35</v>
      </c>
      <c r="J62" s="18" t="n">
        <v>651.15</v>
      </c>
      <c r="K62" s="37" t="n">
        <v>1762.09</v>
      </c>
      <c r="L62" s="18" t="n">
        <v>1532.26</v>
      </c>
      <c r="M62" s="18" t="n">
        <v>3910</v>
      </c>
      <c r="N62" s="18" t="n">
        <v>1236.99</v>
      </c>
      <c r="O62" s="18" t="n">
        <v>381.12</v>
      </c>
      <c r="P62" s="37" t="n">
        <v>7060.37</v>
      </c>
      <c r="Q62" s="18" t="n">
        <v>5099.82</v>
      </c>
      <c r="R62" s="18" t="n">
        <v>-47.96</v>
      </c>
      <c r="S62" s="18" t="n">
        <v>410.29</v>
      </c>
      <c r="T62" s="18" t="n">
        <v>92.45999999999999</v>
      </c>
      <c r="U62" s="37" t="n">
        <v>5554.61</v>
      </c>
      <c r="V62" s="18" t="n">
        <v>363.91</v>
      </c>
      <c r="W62" s="18" t="n">
        <v>530.97</v>
      </c>
      <c r="X62" s="18" t="n">
        <v>309.94</v>
      </c>
      <c r="Y62" s="18" t="n">
        <v>2744.96</v>
      </c>
      <c r="Z62" s="37" t="n">
        <v>3949.78</v>
      </c>
      <c r="AA62" s="18" t="n">
        <v>530.73</v>
      </c>
      <c r="AB62" s="19" t="n">
        <v>1389.13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50.5</v>
      </c>
      <c r="F63" s="9" t="n"/>
      <c r="G63" s="18" t="n">
        <v>4.29</v>
      </c>
      <c r="H63" s="18" t="n">
        <v>10.02</v>
      </c>
      <c r="I63" s="18" t="n">
        <v>2.46</v>
      </c>
      <c r="J63" s="18" t="n">
        <v>0.01</v>
      </c>
      <c r="K63" s="37" t="n">
        <v>16.78</v>
      </c>
      <c r="L63" s="18" t="n">
        <v>6.05</v>
      </c>
      <c r="M63" s="18" t="n">
        <v>57.68</v>
      </c>
      <c r="N63" s="18" t="n">
        <v>8.41</v>
      </c>
      <c r="O63" s="18" t="n">
        <v>0.01</v>
      </c>
      <c r="P63" s="37" t="n">
        <v>72.15000000000001</v>
      </c>
      <c r="Q63" s="18" t="n">
        <v>438</v>
      </c>
      <c r="R63" s="18" t="n">
        <v>-88.44</v>
      </c>
      <c r="S63" s="18" t="n">
        <v>1060.51</v>
      </c>
      <c r="T63" s="18" t="n">
        <v>257.86</v>
      </c>
      <c r="U63" s="37" t="n">
        <v>1667.93</v>
      </c>
      <c r="V63" s="18" t="n">
        <v>56.83</v>
      </c>
      <c r="W63" s="18" t="n">
        <v>32.62</v>
      </c>
      <c r="X63" s="18" t="n">
        <v>62.59</v>
      </c>
      <c r="Y63" s="18" t="n">
        <v>5.34</v>
      </c>
      <c r="Z63" s="37" t="n">
        <v>157.38</v>
      </c>
      <c r="AA63" s="18" t="n">
        <v>94.56999999999999</v>
      </c>
      <c r="AB63" s="19" t="n">
        <v>108.17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1182.2</v>
      </c>
      <c r="F64" s="9" t="n"/>
      <c r="G64" s="18" t="n">
        <v>60.67</v>
      </c>
      <c r="H64" s="18" t="n">
        <v>1.5</v>
      </c>
      <c r="I64" s="18" t="n">
        <v>0</v>
      </c>
      <c r="J64" s="18" t="n">
        <v>11.3</v>
      </c>
      <c r="K64" s="37" t="n">
        <v>73.47</v>
      </c>
      <c r="L64" s="18" t="n">
        <v>0.03</v>
      </c>
      <c r="M64" s="18" t="n">
        <v>129.04</v>
      </c>
      <c r="N64" s="18" t="n">
        <v>-24.49</v>
      </c>
      <c r="O64" s="18" t="n">
        <v>524.24</v>
      </c>
      <c r="P64" s="37" t="n">
        <v>628.8200000000001</v>
      </c>
      <c r="Q64" s="18" t="n">
        <v>0</v>
      </c>
      <c r="R64" s="18" t="n">
        <v>86.59</v>
      </c>
      <c r="S64" s="18" t="n">
        <v>-50.72</v>
      </c>
      <c r="T64" s="18" t="n">
        <v>138.98</v>
      </c>
      <c r="U64" s="37" t="n">
        <v>174.85</v>
      </c>
      <c r="V64" s="18" t="n">
        <v>0.05</v>
      </c>
      <c r="W64" s="18" t="n">
        <v>617.3200000000001</v>
      </c>
      <c r="X64" s="18" t="n">
        <v>62.54</v>
      </c>
      <c r="Y64" s="18" t="n">
        <v>1704.63</v>
      </c>
      <c r="Z64" s="37" t="n">
        <v>2384.54</v>
      </c>
      <c r="AA64" s="18" t="n">
        <v>4.67</v>
      </c>
      <c r="AB64" s="19" t="n">
        <v>156.73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-4812.8</v>
      </c>
      <c r="F65" s="9" t="n"/>
      <c r="G65" s="18" t="n">
        <v>-1786.86</v>
      </c>
      <c r="H65" s="18" t="n">
        <v>-545.8</v>
      </c>
      <c r="I65" s="18" t="n">
        <v>-3273.54</v>
      </c>
      <c r="J65" s="18" t="n">
        <v>-8264.66</v>
      </c>
      <c r="K65" s="37" t="n">
        <v>-13870.86</v>
      </c>
      <c r="L65" s="18" t="n">
        <v>-1071.43</v>
      </c>
      <c r="M65" s="18" t="n">
        <v>2191.47</v>
      </c>
      <c r="N65" s="18" t="n">
        <v>576.67</v>
      </c>
      <c r="O65" s="18" t="n">
        <v>2135.01</v>
      </c>
      <c r="P65" s="37" t="n">
        <v>3831.72</v>
      </c>
      <c r="Q65" s="18" t="n">
        <v>-1946.44</v>
      </c>
      <c r="R65" s="18" t="n">
        <v>582.23</v>
      </c>
      <c r="S65" s="18" t="n">
        <v>-320.82</v>
      </c>
      <c r="T65" s="18" t="n">
        <v>-799.15</v>
      </c>
      <c r="U65" s="37" t="n">
        <v>-2484.18</v>
      </c>
      <c r="V65" s="18" t="n">
        <v>-1968.17</v>
      </c>
      <c r="W65" s="18" t="n">
        <v>-1837.85</v>
      </c>
      <c r="X65" s="18" t="n">
        <v>-1212.2</v>
      </c>
      <c r="Y65" s="18" t="n">
        <v>-1574.01</v>
      </c>
      <c r="Z65" s="37" t="n">
        <v>-6592.23</v>
      </c>
      <c r="AA65" s="18" t="n">
        <v>-1028.12</v>
      </c>
      <c r="AB65" s="19" t="n">
        <v>2523.54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-4812.8</v>
      </c>
      <c r="F66" s="9" t="n"/>
      <c r="G66" s="18" t="n">
        <v>-1786.86</v>
      </c>
      <c r="H66" s="18" t="n">
        <v>-545.8</v>
      </c>
      <c r="I66" s="18" t="n">
        <v>-3273.54</v>
      </c>
      <c r="J66" s="18" t="n">
        <v>-8264.66</v>
      </c>
      <c r="K66" s="37" t="n">
        <v>-13870.86</v>
      </c>
      <c r="L66" s="18" t="n">
        <v>-1071.43</v>
      </c>
      <c r="M66" s="18" t="n">
        <v>2191.47</v>
      </c>
      <c r="N66" s="18" t="n">
        <v>546.3200000000001</v>
      </c>
      <c r="O66" s="18" t="n">
        <v>2013.5</v>
      </c>
      <c r="P66" s="37" t="n">
        <v>3679.86</v>
      </c>
      <c r="Q66" s="18" t="n">
        <v>-2066.68</v>
      </c>
      <c r="R66" s="18" t="n">
        <v>-3669.72</v>
      </c>
      <c r="S66" s="18" t="n">
        <v>1183.51</v>
      </c>
      <c r="T66" s="18" t="n">
        <v>-694.41</v>
      </c>
      <c r="U66" s="37" t="n">
        <v>-5247.3</v>
      </c>
      <c r="V66" s="18" t="n">
        <v>-1946.08</v>
      </c>
      <c r="W66" s="18" t="n">
        <v>-1837.85</v>
      </c>
      <c r="X66" s="18" t="n">
        <v>-1212.2</v>
      </c>
      <c r="Y66" s="18" t="n">
        <v>-2259.9</v>
      </c>
      <c r="Z66" s="37" t="n">
        <v>-7256.03</v>
      </c>
      <c r="AA66" s="18" t="n">
        <v>-1026.45</v>
      </c>
      <c r="AB66" s="19" t="n">
        <v>2518.29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-4812.8</v>
      </c>
      <c r="F67" s="9" t="n"/>
      <c r="G67" s="18" t="n">
        <v>-1786.86</v>
      </c>
      <c r="H67" s="18" t="n">
        <v>-545.8</v>
      </c>
      <c r="I67" s="18" t="n">
        <v>-3273.54</v>
      </c>
      <c r="J67" s="18" t="n">
        <v>-8264.66</v>
      </c>
      <c r="K67" s="37" t="n">
        <v>-13870.86</v>
      </c>
      <c r="L67" s="18" t="n">
        <v>-1071.43</v>
      </c>
      <c r="M67" s="18" t="n">
        <v>2191.47</v>
      </c>
      <c r="N67" s="18" t="n">
        <v>546.3200000000001</v>
      </c>
      <c r="O67" s="18" t="n">
        <v>2013.5</v>
      </c>
      <c r="P67" s="37" t="n">
        <v>3679.86</v>
      </c>
      <c r="Q67" s="18" t="n">
        <v>-2066.68</v>
      </c>
      <c r="R67" s="18" t="n">
        <v>-3669.72</v>
      </c>
      <c r="S67" s="18" t="n">
        <v>1183.51</v>
      </c>
      <c r="T67" s="18" t="n">
        <v>-694.41</v>
      </c>
      <c r="U67" s="37" t="n">
        <v>-5247.3</v>
      </c>
      <c r="V67" s="18" t="n">
        <v>-1946.08</v>
      </c>
      <c r="W67" s="18" t="n">
        <v>-1837.85</v>
      </c>
      <c r="X67" s="18" t="n">
        <v>-1212.2</v>
      </c>
      <c r="Y67" s="18" t="n">
        <v>-2259.9</v>
      </c>
      <c r="Z67" s="37" t="n">
        <v>-7256.03</v>
      </c>
      <c r="AA67" s="18" t="n">
        <v>-1026.45</v>
      </c>
      <c r="AB67" s="19" t="n">
        <v>2518.29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금융손익</t>
        </is>
      </c>
      <c r="E68" s="18" t="n">
        <v>-112.22</v>
      </c>
      <c r="F68" s="9" t="n"/>
      <c r="G68" s="18" t="n">
        <v>-36.73</v>
      </c>
      <c r="H68" s="18" t="n">
        <v>1049.04</v>
      </c>
      <c r="I68" s="18" t="n">
        <v>244.81</v>
      </c>
      <c r="J68" s="18" t="n">
        <v>-519.2</v>
      </c>
      <c r="K68" s="37" t="n">
        <v>737.92</v>
      </c>
      <c r="L68" s="18" t="n">
        <v>-1282.3</v>
      </c>
      <c r="M68" s="18" t="n">
        <v>-3789.85</v>
      </c>
      <c r="N68" s="18" t="n">
        <v>-1112.69</v>
      </c>
      <c r="O68" s="18" t="n">
        <v>-290.76</v>
      </c>
      <c r="P68" s="37" t="n">
        <v>-6475.6</v>
      </c>
      <c r="Q68" s="18" t="n">
        <v>-4925.95</v>
      </c>
      <c r="R68" s="18" t="n">
        <v>109.63</v>
      </c>
      <c r="S68" s="18" t="n">
        <v>-336.18</v>
      </c>
      <c r="T68" s="18" t="n">
        <v>103.66</v>
      </c>
      <c r="U68" s="37" t="n">
        <v>-5048.84</v>
      </c>
      <c r="V68" s="18" t="n">
        <v>-268.75</v>
      </c>
      <c r="W68" s="18" t="n">
        <v>222.77</v>
      </c>
      <c r="X68" s="18" t="n">
        <v>-199.75</v>
      </c>
      <c r="Y68" s="18" t="n">
        <v>501.25</v>
      </c>
      <c r="Z68" s="37" t="n">
        <v>255.52</v>
      </c>
      <c r="AA68" s="18" t="n">
        <v>-323.73</v>
      </c>
      <c r="AB68" s="19" t="n">
        <v>4140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기타영업외손익</t>
        </is>
      </c>
      <c r="E69" s="18" t="n">
        <v>-1131.7</v>
      </c>
      <c r="F69" s="9" t="n"/>
      <c r="G69" s="18" t="n">
        <v>-56.38</v>
      </c>
      <c r="H69" s="18" t="n">
        <v>8.52</v>
      </c>
      <c r="I69" s="18" t="n">
        <v>2.46</v>
      </c>
      <c r="J69" s="18" t="n">
        <v>-11.29</v>
      </c>
      <c r="K69" s="37" t="n">
        <v>-56.69</v>
      </c>
      <c r="L69" s="18" t="n">
        <v>6.02</v>
      </c>
      <c r="M69" s="18" t="n">
        <v>-71.36</v>
      </c>
      <c r="N69" s="18" t="n">
        <v>32.9</v>
      </c>
      <c r="O69" s="18" t="n">
        <v>-524.23</v>
      </c>
      <c r="P69" s="37" t="n">
        <v>-556.67</v>
      </c>
      <c r="Q69" s="18" t="n">
        <v>438</v>
      </c>
      <c r="R69" s="18" t="n">
        <v>-175.03</v>
      </c>
      <c r="S69" s="18" t="n">
        <v>1111.23</v>
      </c>
      <c r="T69" s="18" t="n">
        <v>118.88</v>
      </c>
      <c r="U69" s="37" t="n">
        <v>1493.08</v>
      </c>
      <c r="V69" s="18" t="n">
        <v>56.78</v>
      </c>
      <c r="W69" s="18" t="n">
        <v>-584.7</v>
      </c>
      <c r="X69" s="18" t="n">
        <v>0.05</v>
      </c>
      <c r="Y69" s="18" t="n">
        <v>-1699.29</v>
      </c>
      <c r="Z69" s="37" t="n">
        <v>-2227.16</v>
      </c>
      <c r="AA69" s="18" t="n">
        <v>89.90000000000001</v>
      </c>
      <c r="AB69" s="19" t="n">
        <v>-48.56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-4812.8</v>
      </c>
      <c r="F70" s="9" t="n"/>
      <c r="G70" s="18" t="n">
        <v>-1786.86</v>
      </c>
      <c r="H70" s="18" t="n">
        <v>-545.8</v>
      </c>
      <c r="I70" s="18" t="n">
        <v>-3273.54</v>
      </c>
      <c r="J70" s="18" t="n">
        <v>-8264.66</v>
      </c>
      <c r="K70" s="37" t="n">
        <v>-13870.86</v>
      </c>
      <c r="L70" s="18" t="n">
        <v>-1071.43</v>
      </c>
      <c r="M70" s="18" t="n">
        <v>2191.47</v>
      </c>
      <c r="N70" s="18" t="n">
        <v>546.3200000000001</v>
      </c>
      <c r="O70" s="18" t="n">
        <v>2013.5</v>
      </c>
      <c r="P70" s="37" t="n">
        <v>3679.86</v>
      </c>
      <c r="Q70" s="18" t="n">
        <v>-2066.68</v>
      </c>
      <c r="R70" s="18" t="n">
        <v>577.9299999999999</v>
      </c>
      <c r="S70" s="18" t="n">
        <v>-321.53</v>
      </c>
      <c r="T70" s="18" t="n">
        <v>-608.73</v>
      </c>
      <c r="U70" s="37" t="n">
        <v>-2419.01</v>
      </c>
      <c r="V70" s="18" t="n">
        <v>-1946.08</v>
      </c>
      <c r="W70" s="18" t="n">
        <v>-1837.85</v>
      </c>
      <c r="X70" s="18" t="n">
        <v>-1212.2</v>
      </c>
      <c r="Y70" s="18" t="n">
        <v>-2259.9</v>
      </c>
      <c r="Z70" s="37" t="n">
        <v>-7256.03</v>
      </c>
      <c r="AA70" s="18" t="n">
        <v>-1026.45</v>
      </c>
      <c r="AB70" s="19" t="n">
        <v>2518.29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-4802.66</v>
      </c>
      <c r="F71" s="9" t="n"/>
      <c r="G71" s="18" t="n">
        <v>-1786.86</v>
      </c>
      <c r="H71" s="18" t="n">
        <v>-545.8</v>
      </c>
      <c r="I71" s="18" t="n">
        <v>-3273.54</v>
      </c>
      <c r="J71" s="18" t="n">
        <v>-7952.57</v>
      </c>
      <c r="K71" s="37" t="n">
        <v>-13558.77</v>
      </c>
      <c r="M71" s="18" t="n">
        <v>2191.47</v>
      </c>
      <c r="N71" s="18" t="n">
        <v>546.3200000000001</v>
      </c>
      <c r="O71" s="18" t="n">
        <v>1956.41</v>
      </c>
      <c r="P71" s="9" t="n"/>
      <c r="Q71" s="18" t="n">
        <v>-2066.68</v>
      </c>
      <c r="R71" s="18" t="n">
        <v>-3669.72</v>
      </c>
      <c r="S71" s="18" t="n">
        <v>1183.51</v>
      </c>
      <c r="U71" s="9" t="n"/>
      <c r="Z71" s="9" t="n"/>
      <c r="AA71" s="18" t="n">
        <v>-1026.45</v>
      </c>
      <c r="AB71" s="19" t="n">
        <v>2593.84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F72" s="9" t="n"/>
      <c r="G72" s="18" t="n">
        <v>48.42</v>
      </c>
      <c r="H72" s="18" t="n">
        <v>22.19</v>
      </c>
      <c r="I72" s="18" t="n">
        <v>17.23</v>
      </c>
      <c r="J72" s="18" t="n">
        <v>205.49</v>
      </c>
      <c r="K72" s="37" t="n">
        <v>293.33</v>
      </c>
      <c r="L72" s="18" t="n">
        <v>85.92</v>
      </c>
      <c r="M72" s="18" t="n">
        <v>0.92</v>
      </c>
      <c r="N72" s="18" t="n">
        <v>1.22</v>
      </c>
      <c r="O72" s="18" t="n">
        <v>263.79</v>
      </c>
      <c r="P72" s="37" t="n">
        <v>351.85</v>
      </c>
      <c r="Q72" s="18" t="n">
        <v>90.31999999999999</v>
      </c>
      <c r="U72" s="9" t="n"/>
      <c r="V72" s="18" t="n">
        <v>47.59</v>
      </c>
      <c r="X72" s="18" t="n">
        <v>124.53</v>
      </c>
      <c r="Y72" s="18" t="n">
        <v>155.04</v>
      </c>
      <c r="Z72" s="9" t="n"/>
      <c r="AA72" s="18" t="n">
        <v>40.98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이자비용</t>
        </is>
      </c>
      <c r="F73" s="9" t="n"/>
      <c r="G73" s="18" t="n">
        <v>89.27</v>
      </c>
      <c r="H73" s="18" t="n">
        <v>339.61</v>
      </c>
      <c r="I73" s="18" t="n">
        <v>45.94</v>
      </c>
      <c r="J73" s="18" t="n">
        <v>1051.46</v>
      </c>
      <c r="K73" s="37" t="n">
        <v>1526.28</v>
      </c>
      <c r="L73" s="18" t="n">
        <v>362.98</v>
      </c>
      <c r="M73" s="18" t="n">
        <v>351.84</v>
      </c>
      <c r="N73" s="18" t="n">
        <v>-179.5</v>
      </c>
      <c r="O73" s="18" t="n">
        <v>1629.33</v>
      </c>
      <c r="P73" s="37" t="n">
        <v>2164.65</v>
      </c>
      <c r="Q73" s="18" t="n">
        <v>561.97</v>
      </c>
      <c r="U73" s="9" t="n"/>
      <c r="V73" s="18" t="n">
        <v>253.5</v>
      </c>
      <c r="X73" s="18" t="n">
        <v>827.37</v>
      </c>
      <c r="Y73" s="18" t="n">
        <v>1311.31</v>
      </c>
      <c r="Z73" s="9" t="n"/>
      <c r="AA73" s="18" t="n">
        <v>412.19</v>
      </c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외환차익</t>
        </is>
      </c>
      <c r="F74" s="9" t="n"/>
      <c r="G74" s="18" t="n">
        <v>11.1</v>
      </c>
      <c r="H74" s="18" t="n">
        <v>33.81</v>
      </c>
      <c r="I74" s="18" t="n">
        <v>39.24</v>
      </c>
      <c r="J74" s="18" t="n">
        <v>58.42</v>
      </c>
      <c r="K74" s="37" t="n">
        <v>142.57</v>
      </c>
      <c r="L74" s="18" t="n">
        <v>157.92</v>
      </c>
      <c r="M74" s="18" t="n">
        <v>-129.67</v>
      </c>
      <c r="N74" s="18" t="n">
        <v>7.12</v>
      </c>
      <c r="O74" s="18" t="n">
        <v>197.54</v>
      </c>
      <c r="P74" s="37" t="n">
        <v>232.91</v>
      </c>
      <c r="Q74" s="18" t="n">
        <v>62.37</v>
      </c>
      <c r="U74" s="9" t="n"/>
      <c r="V74" s="18" t="n">
        <v>31.18</v>
      </c>
      <c r="X74" s="18" t="n">
        <v>50.82</v>
      </c>
      <c r="Y74" s="18" t="n">
        <v>107.39</v>
      </c>
      <c r="Z74" s="9" t="n"/>
      <c r="AA74" s="18" t="n">
        <v>38.43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외환차손</t>
        </is>
      </c>
      <c r="F75" s="9" t="n"/>
      <c r="G75" s="18" t="n">
        <v>1.21</v>
      </c>
      <c r="H75" s="18" t="n">
        <v>10.96</v>
      </c>
      <c r="I75" s="18" t="n">
        <v>-6.78</v>
      </c>
      <c r="J75" s="18" t="n">
        <v>177.86</v>
      </c>
      <c r="K75" s="37" t="n">
        <v>183.25</v>
      </c>
      <c r="L75" s="18" t="n">
        <v>111.23</v>
      </c>
      <c r="M75" s="18" t="n">
        <v>-85.54000000000001</v>
      </c>
      <c r="N75" s="18" t="n">
        <v>-8.109999999999999</v>
      </c>
      <c r="O75" s="18" t="n">
        <v>210.43</v>
      </c>
      <c r="P75" s="37" t="n">
        <v>228.01</v>
      </c>
      <c r="Q75" s="18" t="n">
        <v>10.37</v>
      </c>
      <c r="U75" s="9" t="n"/>
      <c r="V75" s="18" t="n">
        <v>70.36</v>
      </c>
      <c r="X75" s="18" t="n">
        <v>183.13</v>
      </c>
      <c r="Y75" s="18" t="n">
        <v>185.9</v>
      </c>
      <c r="Z75" s="9" t="n"/>
      <c r="AA75" s="18" t="n">
        <v>73.26000000000001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외화환산이익</t>
        </is>
      </c>
      <c r="F76" s="9" t="n"/>
      <c r="G76" s="18" t="n">
        <v>4.19</v>
      </c>
      <c r="H76" s="18" t="n">
        <v>4.56</v>
      </c>
      <c r="I76" s="18" t="n">
        <v>16.73</v>
      </c>
      <c r="J76" s="18" t="n">
        <v>-25.06</v>
      </c>
      <c r="K76" s="37" t="n">
        <v>0.42</v>
      </c>
      <c r="L76" s="18" t="n">
        <v>6.11</v>
      </c>
      <c r="M76" s="18" t="n">
        <v>-1.05</v>
      </c>
      <c r="N76" s="18" t="n">
        <v>-4.19</v>
      </c>
      <c r="P76" s="9" t="n"/>
      <c r="Q76" s="18" t="n">
        <v>21.18</v>
      </c>
      <c r="U76" s="9" t="n"/>
      <c r="V76" s="18" t="n">
        <v>16.39</v>
      </c>
      <c r="X76" s="18" t="n">
        <v>64.89</v>
      </c>
      <c r="Y76" s="18" t="n">
        <v>53.69</v>
      </c>
      <c r="Z76" s="9" t="n"/>
      <c r="AA76" s="18" t="n">
        <v>122.37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외화환산손실</t>
        </is>
      </c>
      <c r="F77" s="9" t="n"/>
      <c r="G77" s="18" t="n">
        <v>9.960000000000001</v>
      </c>
      <c r="H77" s="18" t="n">
        <v>17.3</v>
      </c>
      <c r="I77" s="18" t="n">
        <v>32.9</v>
      </c>
      <c r="J77" s="18" t="n">
        <v>-9.41</v>
      </c>
      <c r="K77" s="37" t="n">
        <v>50.75</v>
      </c>
      <c r="L77" s="18" t="n">
        <v>15.4</v>
      </c>
      <c r="M77" s="18" t="n">
        <v>-11.73</v>
      </c>
      <c r="N77" s="18" t="n">
        <v>12.83</v>
      </c>
      <c r="O77" s="18" t="n">
        <v>24.87</v>
      </c>
      <c r="P77" s="37" t="n">
        <v>41.37</v>
      </c>
      <c r="Q77" s="18" t="n">
        <v>32.78</v>
      </c>
      <c r="U77" s="9" t="n"/>
      <c r="V77" s="18" t="n">
        <v>33.64</v>
      </c>
      <c r="X77" s="18" t="n">
        <v>90.3</v>
      </c>
      <c r="Y77" s="18" t="n">
        <v>61.78</v>
      </c>
      <c r="Z77" s="9" t="n"/>
      <c r="AA77" s="18" t="n">
        <v>45.28</v>
      </c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이자손익</t>
        </is>
      </c>
      <c r="F78" s="9" t="n"/>
      <c r="G78" s="18" t="n">
        <v>-40.85</v>
      </c>
      <c r="H78" s="18" t="n">
        <v>-317.42</v>
      </c>
      <c r="I78" s="18" t="n">
        <v>-28.71</v>
      </c>
      <c r="J78" s="18" t="n">
        <v>-845.97</v>
      </c>
      <c r="K78" s="37" t="n">
        <v>-1232.95</v>
      </c>
      <c r="L78" s="18" t="n">
        <v>-277.06</v>
      </c>
      <c r="M78" s="18" t="n">
        <v>-350.92</v>
      </c>
      <c r="N78" s="18" t="n">
        <v>180.72</v>
      </c>
      <c r="O78" s="18" t="n">
        <v>-1365.54</v>
      </c>
      <c r="P78" s="37" t="n">
        <v>-1812.8</v>
      </c>
      <c r="Q78" s="18" t="n">
        <v>-471.65</v>
      </c>
      <c r="U78" s="9" t="n"/>
      <c r="V78" s="18" t="n">
        <v>-205.91</v>
      </c>
      <c r="X78" s="18" t="n">
        <v>-702.84</v>
      </c>
      <c r="Y78" s="18" t="n">
        <v>-1156.27</v>
      </c>
      <c r="Z78" s="9" t="n"/>
      <c r="AA78" s="18" t="n">
        <v>-371.21</v>
      </c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파생상품이익</t>
        </is>
      </c>
      <c r="F79" s="9" t="n"/>
      <c r="I79" s="18" t="n">
        <v>-805.21</v>
      </c>
      <c r="J79" s="18" t="n">
        <v>1475</v>
      </c>
      <c r="K79" s="9" t="n"/>
      <c r="P79" s="9" t="n"/>
      <c r="U79" s="9" t="n"/>
      <c r="X79" s="18" t="n">
        <v>507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F80" s="9" t="n"/>
      <c r="K80" s="9" t="n"/>
      <c r="N80" s="18" t="n">
        <v>30.35</v>
      </c>
      <c r="O80" s="18" t="n">
        <v>121.51</v>
      </c>
      <c r="P80" s="9" t="n"/>
      <c r="Q80" s="18" t="n">
        <v>120.24</v>
      </c>
      <c r="R80" s="18" t="n">
        <v>4.3</v>
      </c>
      <c r="S80" s="18" t="n">
        <v>0.71</v>
      </c>
      <c r="T80" s="18" t="n">
        <v>-190.42</v>
      </c>
      <c r="U80" s="37" t="n">
        <v>-65.17</v>
      </c>
      <c r="V80" s="18" t="n">
        <v>-22.09</v>
      </c>
      <c r="Y80" s="18" t="n">
        <v>685.9</v>
      </c>
      <c r="Z80" s="9" t="n"/>
      <c r="AA80" s="18" t="n">
        <v>-1.67</v>
      </c>
      <c r="AB80" s="19" t="n">
        <v>5.25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K81" s="9" t="n"/>
      <c r="N81" s="18" t="n">
        <v>-2588.74</v>
      </c>
      <c r="O81" s="18" t="n">
        <v>3006.61</v>
      </c>
      <c r="P81" s="9" t="n"/>
      <c r="U81" s="9" t="n"/>
      <c r="X81" s="18" t="n">
        <v>39.23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중단사업이익</t>
        </is>
      </c>
      <c r="F82" s="9" t="n"/>
      <c r="K82" s="9" t="n"/>
      <c r="P82" s="9" t="n"/>
      <c r="R82" s="18" t="n">
        <v>-4247.65</v>
      </c>
      <c r="S82" s="18" t="n">
        <v>1505.04</v>
      </c>
      <c r="T82" s="18" t="n">
        <v>-85.69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K83" s="9" t="n"/>
      <c r="P83" s="9" t="n"/>
      <c r="U83" s="9" t="n"/>
      <c r="X83" s="18" t="n">
        <v>3.2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K84" s="9" t="n"/>
      <c r="P84" s="9" t="n"/>
      <c r="U84" s="9" t="n"/>
      <c r="Z84" s="9" t="n"/>
      <c r="AB84" s="19" t="n">
        <v>-762.39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K85" s="9" t="n"/>
      <c r="P85" s="9" t="n"/>
      <c r="U85" s="9" t="n"/>
      <c r="Z85" s="9" t="n"/>
      <c r="AB85" s="19" t="n">
        <v>-762.39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2337.26</v>
      </c>
      <c r="F86" s="9" t="n"/>
      <c r="G86" s="18" t="n">
        <v>-5389.2</v>
      </c>
      <c r="H86" s="18" t="n">
        <v>-5213.64</v>
      </c>
      <c r="I86" s="18" t="n">
        <v>-1901.21</v>
      </c>
      <c r="J86" s="18" t="n">
        <v>2138.13</v>
      </c>
      <c r="K86" s="37" t="n">
        <v>-10365.92</v>
      </c>
      <c r="L86" s="18" t="n">
        <v>346.5</v>
      </c>
      <c r="M86" s="18" t="n">
        <v>720.85</v>
      </c>
      <c r="N86" s="18" t="n">
        <v>1769.88</v>
      </c>
      <c r="O86" s="18" t="n">
        <v>924.79</v>
      </c>
      <c r="P86" s="37" t="n">
        <v>3762.02</v>
      </c>
      <c r="Q86" s="18" t="n">
        <v>5058.97</v>
      </c>
      <c r="R86" s="18" t="n">
        <v>9.85</v>
      </c>
      <c r="S86" s="18" t="n">
        <v>-1599.88</v>
      </c>
      <c r="T86" s="18" t="n">
        <v>3119.97</v>
      </c>
      <c r="U86" s="37" t="n">
        <v>6588.91</v>
      </c>
      <c r="V86" s="18" t="n">
        <v>-1714.89</v>
      </c>
      <c r="W86" s="18" t="n">
        <v>-1711.72</v>
      </c>
      <c r="X86" s="18" t="n">
        <v>-1313.6</v>
      </c>
      <c r="Y86" s="18" t="n">
        <v>1072.91</v>
      </c>
      <c r="Z86" s="37" t="n">
        <v>-3667.3</v>
      </c>
      <c r="AA86" s="18" t="n">
        <v>154.59</v>
      </c>
      <c r="AB86" s="19" t="n">
        <v>-767.73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3.11</v>
      </c>
      <c r="F87" s="9" t="n"/>
      <c r="G87" s="18" t="n">
        <v>6.88</v>
      </c>
      <c r="H87" s="18" t="n">
        <v>27.49</v>
      </c>
      <c r="I87" s="18" t="n">
        <v>5.02</v>
      </c>
      <c r="J87" s="18" t="n">
        <v>1.54</v>
      </c>
      <c r="K87" s="37" t="n">
        <v>40.93</v>
      </c>
      <c r="L87" s="18" t="n">
        <v>0.1</v>
      </c>
      <c r="M87" s="18" t="n">
        <v>0.11</v>
      </c>
      <c r="N87" s="18" t="n">
        <v>0.06</v>
      </c>
      <c r="O87" s="18" t="n">
        <v>0.16</v>
      </c>
      <c r="P87" s="37" t="n">
        <v>0.43</v>
      </c>
      <c r="Q87" s="18" t="n">
        <v>0.09</v>
      </c>
      <c r="R87" s="18" t="n">
        <v>13.86</v>
      </c>
      <c r="S87" s="18" t="n">
        <v>65.19</v>
      </c>
      <c r="T87" s="18" t="n">
        <v>64.34</v>
      </c>
      <c r="U87" s="37" t="n">
        <v>143.48</v>
      </c>
      <c r="V87" s="18" t="n">
        <v>39.79</v>
      </c>
      <c r="W87" s="18" t="n">
        <v>29.67</v>
      </c>
      <c r="X87" s="18" t="n">
        <v>25.52</v>
      </c>
      <c r="Y87" s="18" t="n">
        <v>31.95</v>
      </c>
      <c r="Z87" s="37" t="n">
        <v>126.93</v>
      </c>
      <c r="AA87" s="18" t="n">
        <v>15.78</v>
      </c>
      <c r="AB87" s="19" t="n">
        <v>17.47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이자지급(CF)</t>
        </is>
      </c>
      <c r="E88" s="18" t="n">
        <v>-72.56</v>
      </c>
      <c r="F88" s="9" t="n"/>
      <c r="G88" s="18" t="n">
        <v>-70.7</v>
      </c>
      <c r="H88" s="18" t="n">
        <v>-75.36</v>
      </c>
      <c r="I88" s="18" t="n">
        <v>-101.9</v>
      </c>
      <c r="J88" s="18" t="n">
        <v>-448.38</v>
      </c>
      <c r="K88" s="37" t="n">
        <v>-696.34</v>
      </c>
      <c r="L88" s="18" t="n">
        <v>-104.98</v>
      </c>
      <c r="M88" s="18" t="n">
        <v>-120.07</v>
      </c>
      <c r="P88" s="9" t="n"/>
      <c r="Q88" s="18" t="n">
        <v>-98.40000000000001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-0.48</v>
      </c>
      <c r="F89" s="9" t="n"/>
      <c r="G89" s="18" t="n">
        <v>-1.06</v>
      </c>
      <c r="H89" s="18" t="n">
        <v>3.1</v>
      </c>
      <c r="I89" s="18" t="n">
        <v>-0.77</v>
      </c>
      <c r="J89" s="18" t="n">
        <v>-0.24</v>
      </c>
      <c r="K89" s="37" t="n">
        <v>1.03</v>
      </c>
      <c r="L89" s="18" t="n">
        <v>-0.01</v>
      </c>
      <c r="M89" s="18" t="n">
        <v>5.05</v>
      </c>
      <c r="N89" s="18" t="n">
        <v>-0.23</v>
      </c>
      <c r="O89" s="18" t="n">
        <v>-0.03</v>
      </c>
      <c r="P89" s="37" t="n">
        <v>4.78</v>
      </c>
      <c r="Q89" s="18" t="n">
        <v>-73.27</v>
      </c>
      <c r="R89" s="18" t="n">
        <v>4.91</v>
      </c>
      <c r="S89" s="18" t="n">
        <v>-17.97</v>
      </c>
      <c r="T89" s="18" t="n">
        <v>-21.44</v>
      </c>
      <c r="U89" s="37" t="n">
        <v>-107.77</v>
      </c>
      <c r="V89" s="18" t="n">
        <v>29.49</v>
      </c>
      <c r="W89" s="18" t="n">
        <v>16.63</v>
      </c>
      <c r="X89" s="18" t="n">
        <v>-19.26</v>
      </c>
      <c r="Y89" s="18" t="n">
        <v>-3.69</v>
      </c>
      <c r="Z89" s="37" t="n">
        <v>23.17</v>
      </c>
      <c r="AA89" s="18" t="n">
        <v>-93.3</v>
      </c>
      <c r="AB89" s="19" t="n">
        <v>-8.69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-4210.31</v>
      </c>
      <c r="F90" s="9" t="n"/>
      <c r="G90" s="18" t="n">
        <v>5745.3</v>
      </c>
      <c r="H90" s="18" t="n">
        <v>-7593.11</v>
      </c>
      <c r="I90" s="18" t="n">
        <v>1192.14</v>
      </c>
      <c r="J90" s="18" t="n">
        <v>-968.0599999999999</v>
      </c>
      <c r="K90" s="37" t="n">
        <v>-1623.73</v>
      </c>
      <c r="L90" s="18" t="n">
        <v>-269.94</v>
      </c>
      <c r="M90" s="18" t="n">
        <v>188.97</v>
      </c>
      <c r="N90" s="18" t="n">
        <v>-45.41</v>
      </c>
      <c r="O90" s="18" t="n">
        <v>-18.56</v>
      </c>
      <c r="P90" s="37" t="n">
        <v>-144.94</v>
      </c>
      <c r="Q90" s="18" t="n">
        <v>1088.41</v>
      </c>
      <c r="R90" s="18" t="n">
        <v>5832.28</v>
      </c>
      <c r="S90" s="18" t="n">
        <v>-17365.49</v>
      </c>
      <c r="T90" s="18" t="n">
        <v>-1618.66</v>
      </c>
      <c r="U90" s="37" t="n">
        <v>-12063.46</v>
      </c>
      <c r="V90" s="18" t="n">
        <v>-7361.92</v>
      </c>
      <c r="W90" s="18" t="n">
        <v>-1090.71</v>
      </c>
      <c r="X90" s="18" t="n">
        <v>-1014.16</v>
      </c>
      <c r="Y90" s="18" t="n">
        <v>-528.79</v>
      </c>
      <c r="Z90" s="37" t="n">
        <v>-9995.58</v>
      </c>
      <c r="AA90" s="18" t="n">
        <v>1024.76</v>
      </c>
      <c r="AB90" s="19" t="n">
        <v>-20627.95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E91" s="18" t="n">
        <v>445.21</v>
      </c>
      <c r="F91" s="9" t="n"/>
      <c r="G91" s="18" t="n">
        <v>1.79</v>
      </c>
      <c r="H91" s="18" t="n">
        <v>0</v>
      </c>
      <c r="I91" s="18" t="n">
        <v>0</v>
      </c>
      <c r="J91" s="18" t="n">
        <v>0</v>
      </c>
      <c r="K91" s="37" t="n">
        <v>1.79</v>
      </c>
      <c r="N91" s="18" t="n">
        <v>0</v>
      </c>
      <c r="O91" s="18" t="n">
        <v>0</v>
      </c>
      <c r="P91" s="9" t="n"/>
      <c r="Q91" s="18" t="n">
        <v>1715.34</v>
      </c>
      <c r="R91" s="18" t="n">
        <v>141.5</v>
      </c>
      <c r="S91" s="18" t="n">
        <v>68.23</v>
      </c>
      <c r="T91" s="18" t="n">
        <v>764.85</v>
      </c>
      <c r="U91" s="37" t="n">
        <v>2689.92</v>
      </c>
      <c r="V91" s="18" t="n">
        <v>801.3</v>
      </c>
      <c r="X91" s="18" t="n">
        <v>36.37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2149.52</v>
      </c>
      <c r="F92" s="9" t="n"/>
      <c r="G92" s="18" t="n">
        <v>1387.64</v>
      </c>
      <c r="H92" s="18" t="n">
        <v>1587.12</v>
      </c>
      <c r="I92" s="18" t="n">
        <v>839.04</v>
      </c>
      <c r="J92" s="18" t="n">
        <v>958.5599999999999</v>
      </c>
      <c r="K92" s="37" t="n">
        <v>4772.36</v>
      </c>
      <c r="L92" s="18" t="n">
        <v>256.3</v>
      </c>
      <c r="M92" s="18" t="n">
        <v>26.45</v>
      </c>
      <c r="N92" s="18" t="n">
        <v>45.42</v>
      </c>
      <c r="O92" s="18" t="n">
        <v>18.56</v>
      </c>
      <c r="P92" s="37" t="n">
        <v>346.73</v>
      </c>
      <c r="Q92" s="18" t="n">
        <v>26.93</v>
      </c>
      <c r="R92" s="18" t="n">
        <v>356.42</v>
      </c>
      <c r="S92" s="18" t="n">
        <v>16848.55</v>
      </c>
      <c r="T92" s="18" t="n">
        <v>3604.34</v>
      </c>
      <c r="U92" s="37" t="n">
        <v>20836.24</v>
      </c>
      <c r="V92" s="18" t="n">
        <v>2057.85</v>
      </c>
      <c r="W92" s="18" t="n">
        <v>1751.09</v>
      </c>
      <c r="X92" s="18" t="n">
        <v>58.98</v>
      </c>
      <c r="Y92" s="18" t="n">
        <v>177.06</v>
      </c>
      <c r="Z92" s="37" t="n">
        <v>4044.98</v>
      </c>
      <c r="AA92" s="18" t="n">
        <v>95.67</v>
      </c>
      <c r="AB92" s="19" t="n">
        <v>123.02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2149.52</v>
      </c>
      <c r="F93" s="9" t="n"/>
      <c r="G93" s="18" t="n">
        <v>1407.84</v>
      </c>
      <c r="H93" s="18" t="n">
        <v>1587.12</v>
      </c>
      <c r="I93" s="18" t="n">
        <v>848.64</v>
      </c>
      <c r="J93" s="18" t="n">
        <v>958.5599999999999</v>
      </c>
      <c r="K93" s="37" t="n">
        <v>4802.16</v>
      </c>
      <c r="L93" s="18" t="n">
        <v>259.94</v>
      </c>
      <c r="M93" s="18" t="n">
        <v>26.45</v>
      </c>
      <c r="N93" s="18" t="n">
        <v>45.42</v>
      </c>
      <c r="O93" s="18" t="n">
        <v>18.56</v>
      </c>
      <c r="P93" s="37" t="n">
        <v>350.37</v>
      </c>
      <c r="Q93" s="18" t="n">
        <v>26.93</v>
      </c>
      <c r="R93" s="18" t="n">
        <v>356.42</v>
      </c>
      <c r="S93" s="18" t="n">
        <v>16848.55</v>
      </c>
      <c r="T93" s="18" t="n">
        <v>3664.82</v>
      </c>
      <c r="U93" s="37" t="n">
        <v>20896.72</v>
      </c>
      <c r="V93" s="18" t="n">
        <v>2148.81</v>
      </c>
      <c r="W93" s="18" t="n">
        <v>1751.09</v>
      </c>
      <c r="X93" s="18" t="n">
        <v>58.98</v>
      </c>
      <c r="Y93" s="18" t="n">
        <v>177.06</v>
      </c>
      <c r="Z93" s="37" t="n">
        <v>4135.94</v>
      </c>
      <c r="AA93" s="18" t="n">
        <v>95.67</v>
      </c>
      <c r="AB93" s="19" t="n">
        <v>227.82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재무활동으로인한현금흐름</t>
        </is>
      </c>
      <c r="E94" s="18" t="n">
        <v>-468.87</v>
      </c>
      <c r="F94" s="9" t="n"/>
      <c r="G94" s="18" t="n">
        <v>-492.33</v>
      </c>
      <c r="H94" s="18" t="n">
        <v>12522.67</v>
      </c>
      <c r="I94" s="18" t="n">
        <v>393.68</v>
      </c>
      <c r="J94" s="18" t="n">
        <v>-984.11</v>
      </c>
      <c r="K94" s="37" t="n">
        <v>11439.91</v>
      </c>
      <c r="L94" s="18" t="n">
        <v>-372.99</v>
      </c>
      <c r="M94" s="18" t="n">
        <v>170.65</v>
      </c>
      <c r="N94" s="18" t="n">
        <v>-1843.32</v>
      </c>
      <c r="O94" s="18" t="n">
        <v>-1059.02</v>
      </c>
      <c r="P94" s="37" t="n">
        <v>-3104.68</v>
      </c>
      <c r="Q94" s="18" t="n">
        <v>5550.3</v>
      </c>
      <c r="R94" s="18" t="n">
        <v>-1859.83</v>
      </c>
      <c r="S94" s="18" t="n">
        <v>11910.43</v>
      </c>
      <c r="T94" s="18" t="n">
        <v>-10.27</v>
      </c>
      <c r="U94" s="37" t="n">
        <v>15590.63</v>
      </c>
      <c r="V94" s="18" t="n">
        <v>5864.19</v>
      </c>
      <c r="W94" s="18" t="n">
        <v>893.83</v>
      </c>
      <c r="X94" s="18" t="n">
        <v>-932.96</v>
      </c>
      <c r="Y94" s="18" t="n">
        <v>-107.24</v>
      </c>
      <c r="Z94" s="37" t="n">
        <v>5717.82</v>
      </c>
      <c r="AA94" s="18" t="n">
        <v>17989.06</v>
      </c>
      <c r="AB94" s="19" t="n">
        <v>-410.9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단기차입금의증가</t>
        </is>
      </c>
      <c r="E95" s="18" t="n">
        <v>0</v>
      </c>
      <c r="F95" s="9" t="n"/>
      <c r="I95" s="18" t="n">
        <v>2800</v>
      </c>
      <c r="J95" s="18" t="n">
        <v>0</v>
      </c>
      <c r="K95" s="9" t="n"/>
      <c r="N95" s="18" t="n">
        <v>0</v>
      </c>
      <c r="O95" s="18" t="n">
        <v>0</v>
      </c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E96" s="18" t="n">
        <v>0</v>
      </c>
      <c r="F96" s="9" t="n"/>
      <c r="K96" s="9" t="n"/>
      <c r="P96" s="9" t="n"/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K97" s="9" t="n"/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유동성장기부채의감소</t>
        </is>
      </c>
      <c r="E98" s="18" t="n">
        <v>333.34</v>
      </c>
      <c r="F98" s="9" t="n"/>
      <c r="G98" s="18" t="n">
        <v>333.33</v>
      </c>
      <c r="H98" s="18" t="n">
        <v>333.34</v>
      </c>
      <c r="I98" s="18" t="n">
        <v>333.33</v>
      </c>
      <c r="J98" s="18" t="n">
        <v>111.11</v>
      </c>
      <c r="K98" s="37" t="n">
        <v>1111.11</v>
      </c>
      <c r="O98" s="18" t="n">
        <v>30.93</v>
      </c>
      <c r="P98" s="9" t="n"/>
      <c r="Q98" s="18" t="n">
        <v>23.61</v>
      </c>
      <c r="R98" s="18" t="n">
        <v>23.99</v>
      </c>
      <c r="S98" s="18" t="n">
        <v>24.54</v>
      </c>
      <c r="T98" s="18" t="n">
        <v>181.71</v>
      </c>
      <c r="U98" s="37" t="n">
        <v>253.85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-2429.19</v>
      </c>
      <c r="F99" s="9" t="n"/>
      <c r="G99" s="18" t="n">
        <v>-134.19</v>
      </c>
      <c r="H99" s="18" t="n">
        <v>-285.52</v>
      </c>
      <c r="I99" s="18" t="n">
        <v>-315.93</v>
      </c>
      <c r="J99" s="18" t="n">
        <v>180.12</v>
      </c>
      <c r="K99" s="37" t="n">
        <v>-555.52</v>
      </c>
      <c r="L99" s="18" t="n">
        <v>-296.43</v>
      </c>
      <c r="M99" s="18" t="n">
        <v>1080.71</v>
      </c>
      <c r="N99" s="18" t="n">
        <v>-111.9</v>
      </c>
      <c r="O99" s="18" t="n">
        <v>-183.94</v>
      </c>
      <c r="P99" s="37" t="n">
        <v>488.44</v>
      </c>
      <c r="Q99" s="18" t="n">
        <v>11706.82</v>
      </c>
      <c r="R99" s="18" t="n">
        <v>3973.16</v>
      </c>
      <c r="S99" s="18" t="n">
        <v>-7054.94</v>
      </c>
      <c r="T99" s="18" t="n">
        <v>1495.51</v>
      </c>
      <c r="U99" s="37" t="n">
        <v>10120.55</v>
      </c>
      <c r="V99" s="18" t="n">
        <v>-3208.93</v>
      </c>
      <c r="W99" s="18" t="n">
        <v>-1912.44</v>
      </c>
      <c r="X99" s="18" t="n">
        <v>-3251.13</v>
      </c>
      <c r="Y99" s="18" t="n">
        <v>427.44</v>
      </c>
      <c r="Z99" s="37" t="n">
        <v>-7945.06</v>
      </c>
      <c r="AA99" s="18" t="n">
        <v>19222.66</v>
      </c>
      <c r="AB99" s="19" t="n">
        <v>-21860.84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-2429.18</v>
      </c>
      <c r="F100" s="9" t="n"/>
      <c r="G100" s="18" t="n">
        <v>1139.15</v>
      </c>
      <c r="H100" s="18" t="n">
        <v>-285.51</v>
      </c>
      <c r="I100" s="18" t="n">
        <v>-315.93</v>
      </c>
      <c r="J100" s="18" t="n">
        <v>180.12</v>
      </c>
      <c r="K100" s="37" t="n">
        <v>717.83</v>
      </c>
      <c r="L100" s="18" t="n">
        <v>421.39</v>
      </c>
      <c r="M100" s="18" t="n">
        <v>1080.71</v>
      </c>
      <c r="N100" s="18" t="n">
        <v>-111.89</v>
      </c>
      <c r="O100" s="18" t="n">
        <v>-183.94</v>
      </c>
      <c r="P100" s="37" t="n">
        <v>1206.27</v>
      </c>
      <c r="Q100" s="18" t="n">
        <v>12913.09</v>
      </c>
      <c r="R100" s="18" t="n">
        <v>3992.94</v>
      </c>
      <c r="S100" s="18" t="n">
        <v>-7114.77</v>
      </c>
      <c r="T100" s="18" t="n">
        <v>1535.55</v>
      </c>
      <c r="U100" s="37" t="n">
        <v>11326.81</v>
      </c>
      <c r="V100" s="18" t="n">
        <v>8117.89</v>
      </c>
      <c r="W100" s="18" t="n">
        <v>-1912.45</v>
      </c>
      <c r="X100" s="18" t="n">
        <v>-3251.13</v>
      </c>
      <c r="Y100" s="18" t="n">
        <v>427.44</v>
      </c>
      <c r="Z100" s="37" t="n">
        <v>3381.75</v>
      </c>
      <c r="AA100" s="18" t="n">
        <v>22604.41</v>
      </c>
      <c r="AB100" s="19" t="n">
        <v>-21860.84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무형자산의증가</t>
        </is>
      </c>
      <c r="F101" s="9" t="n"/>
      <c r="G101" s="18" t="n">
        <v>20.2</v>
      </c>
      <c r="H101" s="18" t="n">
        <v>0</v>
      </c>
      <c r="I101" s="18" t="n">
        <v>9.6</v>
      </c>
      <c r="J101" s="18" t="n">
        <v>0</v>
      </c>
      <c r="K101" s="37" t="n">
        <v>29.8</v>
      </c>
      <c r="L101" s="18" t="n">
        <v>3.64</v>
      </c>
      <c r="M101" s="18" t="n">
        <v>0</v>
      </c>
      <c r="N101" s="18" t="n">
        <v>0</v>
      </c>
      <c r="O101" s="18" t="n">
        <v>0</v>
      </c>
      <c r="P101" s="37" t="n">
        <v>3.64</v>
      </c>
      <c r="U101" s="9" t="n"/>
      <c r="V101" s="18" t="n">
        <v>90.95999999999999</v>
      </c>
      <c r="W101" s="18" t="n">
        <v>0</v>
      </c>
      <c r="X101" s="18" t="n">
        <v>0</v>
      </c>
      <c r="Y101" s="18" t="n">
        <v>0</v>
      </c>
      <c r="Z101" s="37" t="n">
        <v>90.95999999999999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단기차입금의감소</t>
        </is>
      </c>
      <c r="F102" s="9" t="n"/>
      <c r="J102" s="18" t="n">
        <v>800</v>
      </c>
      <c r="K102" s="9" t="n"/>
      <c r="L102" s="18" t="n">
        <v>300</v>
      </c>
      <c r="M102" s="18" t="n">
        <v>0</v>
      </c>
      <c r="N102" s="18" t="n">
        <v>1750</v>
      </c>
      <c r="O102" s="18" t="n">
        <v>950</v>
      </c>
      <c r="P102" s="37" t="n">
        <v>3000</v>
      </c>
      <c r="Q102" s="18" t="n">
        <v>2350</v>
      </c>
      <c r="R102" s="18" t="n">
        <v>1780</v>
      </c>
      <c r="S102" s="18" t="n">
        <v>8000</v>
      </c>
      <c r="U102" s="9" t="n"/>
      <c r="X102" s="18" t="n">
        <v>708.98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N103" s="18" t="n">
        <v>78.09</v>
      </c>
      <c r="P103" s="9" t="n"/>
      <c r="U103" s="9" t="n"/>
      <c r="V103" s="18" t="n">
        <v>126.8</v>
      </c>
      <c r="W103" s="18" t="n">
        <v>105.14</v>
      </c>
      <c r="X103" s="18" t="n">
        <v>120.95</v>
      </c>
      <c r="Y103" s="18" t="n">
        <v>109.26</v>
      </c>
      <c r="Z103" s="37" t="n">
        <v>462.15</v>
      </c>
      <c r="AA103" s="18" t="n">
        <v>114.55</v>
      </c>
      <c r="AB103" s="19" t="n">
        <v>110.31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자기주식의취득</t>
        </is>
      </c>
      <c r="F104" s="9" t="n"/>
      <c r="K104" s="9" t="n"/>
      <c r="N104" s="18" t="n">
        <v>0</v>
      </c>
      <c r="O104" s="18" t="n">
        <v>0</v>
      </c>
      <c r="P104" s="9" t="n"/>
      <c r="S104" s="18" t="n">
        <v>0.73</v>
      </c>
      <c r="T104" s="18" t="n">
        <v>0</v>
      </c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KS인더스트리(별)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26350.64</v>
      </c>
      <c r="F5" s="37" t="n">
        <v>26350.64</v>
      </c>
      <c r="G5" s="18" t="n">
        <v>21048.11</v>
      </c>
      <c r="H5" s="18" t="n">
        <v>28795.41</v>
      </c>
      <c r="I5" s="18" t="n">
        <v>28166.64</v>
      </c>
      <c r="J5" s="18" t="n">
        <v>26872.71</v>
      </c>
      <c r="K5" s="37" t="n">
        <v>26872.71</v>
      </c>
      <c r="L5" s="18" t="n">
        <v>29612.76</v>
      </c>
      <c r="M5" s="18" t="n">
        <v>28886.55</v>
      </c>
      <c r="N5" s="18" t="n">
        <v>27561.3</v>
      </c>
      <c r="O5" s="18" t="n">
        <v>18123.06</v>
      </c>
      <c r="P5" s="37" t="n">
        <v>18123.06</v>
      </c>
      <c r="Q5" s="18" t="n">
        <v>35868.79</v>
      </c>
      <c r="R5" s="18" t="n">
        <v>35419.29</v>
      </c>
      <c r="S5" s="18" t="n">
        <v>26472.57</v>
      </c>
      <c r="T5" s="18" t="n">
        <v>22896.7</v>
      </c>
      <c r="U5" s="37" t="n">
        <v>22896.7</v>
      </c>
      <c r="V5" s="18" t="n">
        <v>18857.18</v>
      </c>
      <c r="W5" s="18" t="n">
        <v>18489.99</v>
      </c>
      <c r="X5" s="18" t="n">
        <v>17218.14</v>
      </c>
      <c r="Y5" s="18" t="n">
        <v>14439.05</v>
      </c>
      <c r="Z5" s="37" t="n">
        <v>14439.05</v>
      </c>
      <c r="AA5" s="18" t="n">
        <v>32220.18</v>
      </c>
      <c r="AB5" s="19" t="n">
        <v>23080.42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1252.26</v>
      </c>
      <c r="F6" s="37" t="n">
        <v>1252.26</v>
      </c>
      <c r="G6" s="18" t="n">
        <v>1122.42</v>
      </c>
      <c r="H6" s="18" t="n">
        <v>834.63</v>
      </c>
      <c r="I6" s="18" t="n">
        <v>523.27</v>
      </c>
      <c r="J6" s="18" t="n">
        <v>703.39</v>
      </c>
      <c r="K6" s="37" t="n">
        <v>703.39</v>
      </c>
      <c r="L6" s="18" t="n">
        <v>406.99</v>
      </c>
      <c r="M6" s="18" t="n">
        <v>1488.37</v>
      </c>
      <c r="N6" s="18" t="n">
        <v>1375.67</v>
      </c>
      <c r="O6" s="18" t="n">
        <v>1193.21</v>
      </c>
      <c r="P6" s="37" t="n">
        <v>1193.21</v>
      </c>
      <c r="Q6" s="18" t="n">
        <v>12899.94</v>
      </c>
      <c r="R6" s="18" t="n">
        <v>16794.03</v>
      </c>
      <c r="S6" s="18" t="n">
        <v>9679.77</v>
      </c>
      <c r="T6" s="18" t="n">
        <v>10650.47</v>
      </c>
      <c r="U6" s="37" t="n">
        <v>10650.47</v>
      </c>
      <c r="V6" s="18" t="n">
        <v>7222.99</v>
      </c>
      <c r="W6" s="18" t="n">
        <v>5472.07</v>
      </c>
      <c r="X6" s="18" t="n">
        <v>2298.13</v>
      </c>
      <c r="Y6" s="18" t="n">
        <v>2456.36</v>
      </c>
      <c r="Z6" s="37" t="n">
        <v>2456.36</v>
      </c>
      <c r="AA6" s="18" t="n">
        <v>21379.59</v>
      </c>
      <c r="AB6" s="19" t="n">
        <v>479.77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2827.58</v>
      </c>
      <c r="F7" s="37" t="n">
        <v>2827.58</v>
      </c>
      <c r="G7" s="18" t="n">
        <v>3605.37</v>
      </c>
      <c r="H7" s="18" t="n">
        <v>6684.51</v>
      </c>
      <c r="I7" s="18" t="n">
        <v>8067.23</v>
      </c>
      <c r="J7" s="18" t="n">
        <v>8106.44</v>
      </c>
      <c r="K7" s="37" t="n">
        <v>8106.44</v>
      </c>
      <c r="L7" s="18" t="n">
        <v>7403.87</v>
      </c>
      <c r="M7" s="18" t="n">
        <v>6850.05</v>
      </c>
      <c r="N7" s="18" t="n">
        <v>5727.67</v>
      </c>
      <c r="O7" s="18" t="n">
        <v>4999.19</v>
      </c>
      <c r="P7" s="37" t="n">
        <v>4999.19</v>
      </c>
      <c r="Q7" s="18" t="n">
        <v>13006.1</v>
      </c>
      <c r="R7" s="18" t="n">
        <v>7705.42</v>
      </c>
      <c r="S7" s="18" t="n">
        <v>3010.83</v>
      </c>
      <c r="T7" s="18" t="n">
        <v>4339.23</v>
      </c>
      <c r="U7" s="37" t="n">
        <v>4339.23</v>
      </c>
      <c r="V7" s="18" t="n">
        <v>2022.44</v>
      </c>
      <c r="W7" s="18" t="n">
        <v>3601.15</v>
      </c>
      <c r="X7" s="18" t="n">
        <v>4645.49</v>
      </c>
      <c r="Y7" s="18" t="n">
        <v>4600.86</v>
      </c>
      <c r="Z7" s="37" t="n">
        <v>4600.86</v>
      </c>
      <c r="AA7" s="18" t="n">
        <v>3096.41</v>
      </c>
      <c r="AB7" s="19" t="n">
        <v>13756.25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12149.58</v>
      </c>
      <c r="F8" s="37" t="n">
        <v>12149.58</v>
      </c>
      <c r="G8" s="18" t="n">
        <v>9706.18</v>
      </c>
      <c r="H8" s="18" t="n">
        <v>8440.08</v>
      </c>
      <c r="I8" s="18" t="n">
        <v>12617.06</v>
      </c>
      <c r="J8" s="18" t="n">
        <v>8553.1</v>
      </c>
      <c r="K8" s="37" t="n">
        <v>8553.1</v>
      </c>
      <c r="L8" s="18" t="n">
        <v>9161.58</v>
      </c>
      <c r="M8" s="18" t="n">
        <v>9465.48</v>
      </c>
      <c r="N8" s="18" t="n">
        <v>6995.26</v>
      </c>
      <c r="O8" s="18" t="n">
        <v>5571.81</v>
      </c>
      <c r="P8" s="37" t="n">
        <v>5571.81</v>
      </c>
      <c r="Q8" s="18" t="n">
        <v>5998.67</v>
      </c>
      <c r="R8" s="18" t="n">
        <v>6752.09</v>
      </c>
      <c r="S8" s="18" t="n">
        <v>6694.7</v>
      </c>
      <c r="T8" s="18" t="n">
        <v>6537.24</v>
      </c>
      <c r="U8" s="37" t="n">
        <v>6537.24</v>
      </c>
      <c r="V8" s="18" t="n">
        <v>6841.31</v>
      </c>
      <c r="W8" s="18" t="n">
        <v>6215.69</v>
      </c>
      <c r="X8" s="18" t="n">
        <v>6616.43</v>
      </c>
      <c r="Y8" s="18" t="n">
        <v>6346.35</v>
      </c>
      <c r="Z8" s="37" t="n">
        <v>6346.35</v>
      </c>
      <c r="AA8" s="18" t="n">
        <v>6672.22</v>
      </c>
      <c r="AB8" s="19" t="n">
        <v>7766.79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1.03</v>
      </c>
      <c r="F9" s="37" t="n">
        <v>1.03</v>
      </c>
      <c r="G9" s="18" t="n">
        <v>2.09</v>
      </c>
      <c r="H9" s="18" t="n">
        <v>4.56</v>
      </c>
      <c r="I9" s="18" t="n">
        <v>5.33</v>
      </c>
      <c r="J9" s="18" t="n">
        <v>5.57</v>
      </c>
      <c r="K9" s="37" t="n">
        <v>5.57</v>
      </c>
      <c r="L9" s="18" t="n">
        <v>5.58</v>
      </c>
      <c r="M9" s="18" t="n">
        <v>0.53</v>
      </c>
      <c r="N9" s="18" t="n">
        <v>0.03</v>
      </c>
      <c r="P9" s="9" t="n"/>
      <c r="R9" s="18" t="n">
        <v>0.37</v>
      </c>
      <c r="S9" s="18" t="n">
        <v>13.99</v>
      </c>
      <c r="T9" s="18" t="n">
        <v>27.41</v>
      </c>
      <c r="U9" s="37" t="n">
        <v>27.41</v>
      </c>
      <c r="V9" s="18" t="n">
        <v>33.09</v>
      </c>
      <c r="W9" s="18" t="n">
        <v>9.98</v>
      </c>
      <c r="X9" s="18" t="n">
        <v>13.63</v>
      </c>
      <c r="Y9" s="18" t="n">
        <v>15.5</v>
      </c>
      <c r="Z9" s="37" t="n">
        <v>15.5</v>
      </c>
      <c r="AA9" s="18" t="n">
        <v>17.37</v>
      </c>
      <c r="AB9" s="19" t="n">
        <v>4.02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20543.74</v>
      </c>
      <c r="F10" s="37" t="n">
        <v>20543.74</v>
      </c>
      <c r="G10" s="18" t="n">
        <v>21961.53</v>
      </c>
      <c r="H10" s="18" t="n">
        <v>26299.28</v>
      </c>
      <c r="I10" s="18" t="n">
        <v>26657.65</v>
      </c>
      <c r="J10" s="18" t="n">
        <v>27303.21</v>
      </c>
      <c r="K10" s="37" t="n">
        <v>27303.21</v>
      </c>
      <c r="L10" s="18" t="n">
        <v>27000.56</v>
      </c>
      <c r="M10" s="18" t="n">
        <v>26177.09</v>
      </c>
      <c r="N10" s="18" t="n">
        <v>25701.34</v>
      </c>
      <c r="O10" s="18" t="n">
        <v>25433.84</v>
      </c>
      <c r="P10" s="37" t="n">
        <v>25433.84</v>
      </c>
      <c r="Q10" s="18" t="n">
        <v>16286.86</v>
      </c>
      <c r="R10" s="18" t="n">
        <v>7641.67</v>
      </c>
      <c r="S10" s="18" t="n">
        <v>29127.44</v>
      </c>
      <c r="T10" s="18" t="n">
        <v>40756.97</v>
      </c>
      <c r="U10" s="37" t="n">
        <v>40756.97</v>
      </c>
      <c r="V10" s="18" t="n">
        <v>47842.35</v>
      </c>
      <c r="W10" s="18" t="n">
        <v>46995.92</v>
      </c>
      <c r="X10" s="18" t="n">
        <v>45986.97</v>
      </c>
      <c r="Y10" s="18" t="n">
        <v>43767.83</v>
      </c>
      <c r="Z10" s="37" t="n">
        <v>43767.83</v>
      </c>
      <c r="AA10" s="18" t="n">
        <v>43473.64</v>
      </c>
      <c r="AB10" s="19" t="n">
        <v>52017.73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28.76</v>
      </c>
      <c r="F11" s="37" t="n">
        <v>28.76</v>
      </c>
      <c r="G11" s="18" t="n">
        <v>34.76</v>
      </c>
      <c r="H11" s="18" t="n">
        <v>39.93</v>
      </c>
      <c r="J11" s="18" t="n">
        <v>158.58</v>
      </c>
      <c r="K11" s="37" t="n">
        <v>158.58</v>
      </c>
      <c r="L11" s="18" t="n">
        <v>93.13</v>
      </c>
      <c r="M11" s="18" t="n">
        <v>48.7</v>
      </c>
      <c r="O11" s="18" t="n">
        <v>237.48</v>
      </c>
      <c r="P11" s="37" t="n">
        <v>237.48</v>
      </c>
      <c r="Q11" s="18" t="n">
        <v>346.04</v>
      </c>
      <c r="S11" s="18" t="n">
        <v>4619.99</v>
      </c>
      <c r="T11" s="18" t="n">
        <v>2673.72</v>
      </c>
      <c r="U11" s="37" t="n">
        <v>2673.72</v>
      </c>
      <c r="V11" s="18" t="n">
        <v>5373.72</v>
      </c>
      <c r="W11" s="18" t="n">
        <v>5519.01</v>
      </c>
      <c r="X11" s="18" t="n">
        <v>4818.4</v>
      </c>
      <c r="Y11" s="18" t="n">
        <v>2876.81</v>
      </c>
      <c r="Z11" s="37" t="n">
        <v>2876.81</v>
      </c>
      <c r="AA11" s="18" t="n">
        <v>2876.2</v>
      </c>
      <c r="AB11" s="19" t="n">
        <v>2120.5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50.9</v>
      </c>
      <c r="F12" s="37" t="n">
        <v>50.9</v>
      </c>
      <c r="G12" s="18" t="n">
        <v>56.9</v>
      </c>
      <c r="H12" s="18" t="n">
        <v>55.48</v>
      </c>
      <c r="I12" s="18" t="n">
        <v>15.55</v>
      </c>
      <c r="J12" s="18" t="n">
        <v>173.01</v>
      </c>
      <c r="K12" s="37" t="n">
        <v>173.01</v>
      </c>
      <c r="L12" s="18" t="n">
        <v>107.56</v>
      </c>
      <c r="M12" s="18" t="n">
        <v>62.47</v>
      </c>
      <c r="N12" s="18" t="n">
        <v>13.77</v>
      </c>
      <c r="O12" s="18" t="n">
        <v>250.64</v>
      </c>
      <c r="P12" s="37" t="n">
        <v>250.64</v>
      </c>
      <c r="Q12" s="18" t="n">
        <v>359.2</v>
      </c>
      <c r="R12" s="18" t="n">
        <v>112.13</v>
      </c>
      <c r="S12" s="18" t="n">
        <v>4732.12</v>
      </c>
      <c r="T12" s="18" t="n">
        <v>11593.76</v>
      </c>
      <c r="U12" s="37" t="n">
        <v>11593.76</v>
      </c>
      <c r="V12" s="18" t="n">
        <v>14293.76</v>
      </c>
      <c r="W12" s="18" t="n">
        <v>14342.8</v>
      </c>
      <c r="X12" s="18" t="n">
        <v>13642.19</v>
      </c>
      <c r="Y12" s="18" t="n">
        <v>11696.85</v>
      </c>
      <c r="Z12" s="37" t="n">
        <v>11696.85</v>
      </c>
      <c r="AA12" s="18" t="n">
        <v>11696.24</v>
      </c>
      <c r="AB12" s="19" t="n">
        <v>21214.77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22.14</v>
      </c>
      <c r="F13" s="37" t="n">
        <v>22.14</v>
      </c>
      <c r="G13" s="18" t="n">
        <v>22.14</v>
      </c>
      <c r="H13" s="18" t="n">
        <v>15.55</v>
      </c>
      <c r="I13" s="18" t="n">
        <v>15.55</v>
      </c>
      <c r="J13" s="18" t="n">
        <v>14.43</v>
      </c>
      <c r="K13" s="37" t="n">
        <v>14.43</v>
      </c>
      <c r="L13" s="18" t="n">
        <v>14.43</v>
      </c>
      <c r="M13" s="18" t="n">
        <v>13.77</v>
      </c>
      <c r="N13" s="18" t="n">
        <v>13.77</v>
      </c>
      <c r="O13" s="18" t="n">
        <v>13.16</v>
      </c>
      <c r="P13" s="37" t="n">
        <v>13.16</v>
      </c>
      <c r="Q13" s="18" t="n">
        <v>13.16</v>
      </c>
      <c r="R13" s="18" t="n">
        <v>112.13</v>
      </c>
      <c r="S13" s="18" t="n">
        <v>112.13</v>
      </c>
      <c r="T13" s="18" t="n">
        <v>8920.040000000001</v>
      </c>
      <c r="U13" s="37" t="n">
        <v>8920.040000000001</v>
      </c>
      <c r="V13" s="18" t="n">
        <v>8920.040000000001</v>
      </c>
      <c r="W13" s="18" t="n">
        <v>8823.790000000001</v>
      </c>
      <c r="X13" s="18" t="n">
        <v>8823.790000000001</v>
      </c>
      <c r="Y13" s="18" t="n">
        <v>8820.040000000001</v>
      </c>
      <c r="Z13" s="37" t="n">
        <v>8820.040000000001</v>
      </c>
      <c r="AA13" s="18" t="n">
        <v>8820.040000000001</v>
      </c>
      <c r="AB13" s="19" t="n">
        <v>19094.27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유형자산</t>
        </is>
      </c>
      <c r="E14" s="18" t="n">
        <v>16058.32</v>
      </c>
      <c r="F14" s="37" t="n">
        <v>16058.32</v>
      </c>
      <c r="G14" s="18" t="n">
        <v>17412.18</v>
      </c>
      <c r="H14" s="18" t="n">
        <v>18306.58</v>
      </c>
      <c r="I14" s="18" t="n">
        <v>18618.41</v>
      </c>
      <c r="J14" s="18" t="n">
        <v>18895.27</v>
      </c>
      <c r="K14" s="37" t="n">
        <v>18895.27</v>
      </c>
      <c r="L14" s="18" t="n">
        <v>18572.44</v>
      </c>
      <c r="M14" s="18" t="n">
        <v>17721.05</v>
      </c>
      <c r="N14" s="18" t="n">
        <v>17219.4</v>
      </c>
      <c r="O14" s="18" t="n">
        <v>16610.9</v>
      </c>
      <c r="P14" s="37" t="n">
        <v>16610.9</v>
      </c>
      <c r="Q14" s="18" t="n">
        <v>15239.23</v>
      </c>
      <c r="R14" s="18" t="n">
        <v>6160.38</v>
      </c>
      <c r="S14" s="18" t="n">
        <v>22787.77</v>
      </c>
      <c r="T14" s="18" t="n">
        <v>26976.29</v>
      </c>
      <c r="U14" s="37" t="n">
        <v>26976.29</v>
      </c>
      <c r="V14" s="18" t="n">
        <v>28160.77</v>
      </c>
      <c r="W14" s="18" t="n">
        <v>28308.55</v>
      </c>
      <c r="X14" s="18" t="n">
        <v>28068.18</v>
      </c>
      <c r="Y14" s="18" t="n">
        <v>27936.96</v>
      </c>
      <c r="Z14" s="37" t="n">
        <v>27936.96</v>
      </c>
      <c r="AA14" s="18" t="n">
        <v>27650.41</v>
      </c>
      <c r="AB14" s="19" t="n">
        <v>26569.1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67.68000000000001</v>
      </c>
      <c r="F15" s="37" t="n">
        <v>67.68000000000001</v>
      </c>
      <c r="G15" s="18" t="n">
        <v>82.58</v>
      </c>
      <c r="H15" s="18" t="n">
        <v>76.59999999999999</v>
      </c>
      <c r="I15" s="18" t="n">
        <v>80.06</v>
      </c>
      <c r="J15" s="18" t="n">
        <v>196.89</v>
      </c>
      <c r="K15" s="37" t="n">
        <v>196.89</v>
      </c>
      <c r="L15" s="18" t="n">
        <v>186.69</v>
      </c>
      <c r="M15" s="18" t="n">
        <v>172.97</v>
      </c>
      <c r="N15" s="18" t="n">
        <v>161.69</v>
      </c>
      <c r="O15" s="18" t="n">
        <v>148.67</v>
      </c>
      <c r="P15" s="37" t="n">
        <v>148.67</v>
      </c>
      <c r="Q15" s="18" t="n">
        <v>135.66</v>
      </c>
      <c r="R15" s="18" t="n">
        <v>122.65</v>
      </c>
      <c r="S15" s="18" t="n">
        <v>109.64</v>
      </c>
      <c r="T15" s="18" t="n">
        <v>157.09</v>
      </c>
      <c r="U15" s="37" t="n">
        <v>157.09</v>
      </c>
      <c r="V15" s="18" t="n">
        <v>234.98</v>
      </c>
      <c r="W15" s="18" t="n">
        <v>219.09</v>
      </c>
      <c r="X15" s="18" t="n">
        <v>203.19</v>
      </c>
      <c r="Y15" s="18" t="n">
        <v>187.3</v>
      </c>
      <c r="Z15" s="37" t="n">
        <v>187.3</v>
      </c>
      <c r="AA15" s="18" t="n">
        <v>171.41</v>
      </c>
      <c r="AB15" s="19" t="n">
        <v>410.57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자산총계</t>
        </is>
      </c>
      <c r="E16" s="18" t="n">
        <v>46894.38</v>
      </c>
      <c r="F16" s="37" t="n">
        <v>46894.38</v>
      </c>
      <c r="G16" s="18" t="n">
        <v>43009.64</v>
      </c>
      <c r="H16" s="18" t="n">
        <v>55094.69</v>
      </c>
      <c r="I16" s="18" t="n">
        <v>54824.29</v>
      </c>
      <c r="J16" s="18" t="n">
        <v>54175.92</v>
      </c>
      <c r="K16" s="37" t="n">
        <v>54175.92</v>
      </c>
      <c r="L16" s="18" t="n">
        <v>56613.31</v>
      </c>
      <c r="M16" s="18" t="n">
        <v>55063.64</v>
      </c>
      <c r="N16" s="18" t="n">
        <v>53262.64</v>
      </c>
      <c r="O16" s="18" t="n">
        <v>43556.9</v>
      </c>
      <c r="P16" s="37" t="n">
        <v>43556.9</v>
      </c>
      <c r="Q16" s="18" t="n">
        <v>52155.65</v>
      </c>
      <c r="R16" s="18" t="n">
        <v>43060.96</v>
      </c>
      <c r="S16" s="18" t="n">
        <v>55600.02</v>
      </c>
      <c r="T16" s="18" t="n">
        <v>63653.67</v>
      </c>
      <c r="U16" s="37" t="n">
        <v>63653.67</v>
      </c>
      <c r="V16" s="18" t="n">
        <v>66699.53</v>
      </c>
      <c r="W16" s="18" t="n">
        <v>65485.9</v>
      </c>
      <c r="X16" s="18" t="n">
        <v>63205.11</v>
      </c>
      <c r="Y16" s="18" t="n">
        <v>58206.88</v>
      </c>
      <c r="Z16" s="37" t="n">
        <v>58206.88</v>
      </c>
      <c r="AA16" s="18" t="n">
        <v>75693.82000000001</v>
      </c>
      <c r="AB16" s="19" t="n">
        <v>75098.14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유동부채</t>
        </is>
      </c>
      <c r="E17" s="18" t="n">
        <v>20865.54</v>
      </c>
      <c r="F17" s="37" t="n">
        <v>20865.54</v>
      </c>
      <c r="G17" s="18" t="n">
        <v>18845.6</v>
      </c>
      <c r="H17" s="18" t="n">
        <v>32061.35</v>
      </c>
      <c r="I17" s="18" t="n">
        <v>35288.41</v>
      </c>
      <c r="J17" s="18" t="n">
        <v>42714.35</v>
      </c>
      <c r="K17" s="37" t="n">
        <v>42714.35</v>
      </c>
      <c r="L17" s="18" t="n">
        <v>46290.94</v>
      </c>
      <c r="M17" s="18" t="n">
        <v>41625.97</v>
      </c>
      <c r="N17" s="18" t="n">
        <v>39233.59</v>
      </c>
      <c r="O17" s="18" t="n">
        <v>27540.69</v>
      </c>
      <c r="P17" s="37" t="n">
        <v>27540.69</v>
      </c>
      <c r="Q17" s="18" t="n">
        <v>29806.24</v>
      </c>
      <c r="R17" s="18" t="n">
        <v>7073.1</v>
      </c>
      <c r="S17" s="18" t="n">
        <v>8657.76</v>
      </c>
      <c r="T17" s="18" t="n">
        <v>16928.97</v>
      </c>
      <c r="U17" s="37" t="n">
        <v>16928.97</v>
      </c>
      <c r="V17" s="18" t="n">
        <v>16806.95</v>
      </c>
      <c r="W17" s="18" t="n">
        <v>13210.27</v>
      </c>
      <c r="X17" s="18" t="n">
        <v>12597.99</v>
      </c>
      <c r="Y17" s="18" t="n">
        <v>11454.54</v>
      </c>
      <c r="Z17" s="37" t="n">
        <v>11454.54</v>
      </c>
      <c r="AA17" s="18" t="n">
        <v>22027.37</v>
      </c>
      <c r="AB17" s="19" t="n">
        <v>18121.01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매입채무및기타채무</t>
        </is>
      </c>
      <c r="E18" s="18" t="n">
        <v>8159.73</v>
      </c>
      <c r="F18" s="37" t="n">
        <v>8159.73</v>
      </c>
      <c r="G18" s="18" t="n">
        <v>7342.42</v>
      </c>
      <c r="H18" s="18" t="n">
        <v>9583.379999999999</v>
      </c>
      <c r="I18" s="18" t="n">
        <v>10071.16</v>
      </c>
      <c r="J18" s="18" t="n">
        <v>10939.39</v>
      </c>
      <c r="K18" s="37" t="n">
        <v>10939.39</v>
      </c>
      <c r="L18" s="18" t="n">
        <v>23479.72</v>
      </c>
      <c r="M18" s="18" t="n">
        <v>8796.299999999999</v>
      </c>
      <c r="N18" s="18" t="n">
        <v>7213.41</v>
      </c>
      <c r="O18" s="18" t="n">
        <v>5385.93</v>
      </c>
      <c r="P18" s="37" t="n">
        <v>5385.93</v>
      </c>
      <c r="Q18" s="18" t="n">
        <v>5031.62</v>
      </c>
      <c r="R18" s="18" t="n">
        <v>4145.25</v>
      </c>
      <c r="S18" s="18" t="n">
        <v>3309.31</v>
      </c>
      <c r="T18" s="18" t="n">
        <v>4965.52</v>
      </c>
      <c r="U18" s="37" t="n">
        <v>4965.52</v>
      </c>
      <c r="V18" s="18" t="n">
        <v>3707.41</v>
      </c>
      <c r="W18" s="18" t="n">
        <v>3862.23</v>
      </c>
      <c r="X18" s="18" t="n">
        <v>3824.53</v>
      </c>
      <c r="Y18" s="18" t="n">
        <v>3411.3</v>
      </c>
      <c r="Z18" s="37" t="n">
        <v>3411.3</v>
      </c>
      <c r="AA18" s="18" t="n">
        <v>3595.75</v>
      </c>
      <c r="AB18" s="19" t="n">
        <v>4440.36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단기차입금</t>
        </is>
      </c>
      <c r="E19" s="18" t="n">
        <v>4800</v>
      </c>
      <c r="F19" s="37" t="n">
        <v>4800</v>
      </c>
      <c r="G19" s="18" t="n">
        <v>4800</v>
      </c>
      <c r="H19" s="18" t="n">
        <v>6800</v>
      </c>
      <c r="I19" s="18" t="n">
        <v>7600</v>
      </c>
      <c r="J19" s="18" t="n">
        <v>6800</v>
      </c>
      <c r="K19" s="37" t="n">
        <v>6800</v>
      </c>
      <c r="L19" s="18" t="n">
        <v>6500</v>
      </c>
      <c r="M19" s="18" t="n">
        <v>6850</v>
      </c>
      <c r="N19" s="18" t="n">
        <v>5100</v>
      </c>
      <c r="O19" s="18" t="n">
        <v>5850</v>
      </c>
      <c r="P19" s="37" t="n">
        <v>5850</v>
      </c>
      <c r="Q19" s="18" t="n">
        <v>3500</v>
      </c>
      <c r="R19" s="18" t="n">
        <v>1720</v>
      </c>
      <c r="S19" s="18" t="n">
        <v>1720</v>
      </c>
      <c r="T19" s="18" t="n">
        <v>3000</v>
      </c>
      <c r="U19" s="37" t="n">
        <v>3000</v>
      </c>
      <c r="V19" s="18" t="n">
        <v>3000</v>
      </c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511.42</v>
      </c>
      <c r="F20" s="37" t="n">
        <v>511.42</v>
      </c>
      <c r="G20" s="18" t="n">
        <v>516.3</v>
      </c>
      <c r="H20" s="18" t="n">
        <v>260.97</v>
      </c>
      <c r="I20" s="18" t="n">
        <v>263.75</v>
      </c>
      <c r="J20" s="18" t="n">
        <v>266.57</v>
      </c>
      <c r="K20" s="37" t="n">
        <v>266.57</v>
      </c>
      <c r="L20" s="18" t="n">
        <v>269.42</v>
      </c>
      <c r="M20" s="18" t="n">
        <v>272.3</v>
      </c>
      <c r="N20" s="18" t="n">
        <v>251.84</v>
      </c>
      <c r="P20" s="9" t="n"/>
      <c r="Q20" s="18" t="n">
        <v>833.96</v>
      </c>
      <c r="R20" s="18" t="n">
        <v>148.07</v>
      </c>
      <c r="S20" s="18" t="n">
        <v>252.14</v>
      </c>
      <c r="T20" s="18" t="n">
        <v>338.33</v>
      </c>
      <c r="U20" s="37" t="n">
        <v>338.33</v>
      </c>
      <c r="V20" s="18" t="n">
        <v>427.44</v>
      </c>
      <c r="W20" s="18" t="n">
        <v>352.81</v>
      </c>
      <c r="X20" s="18" t="n">
        <v>374.46</v>
      </c>
      <c r="Y20" s="18" t="n">
        <v>285.53</v>
      </c>
      <c r="Z20" s="37" t="n">
        <v>285.53</v>
      </c>
      <c r="AA20" s="18" t="n">
        <v>305.48</v>
      </c>
      <c r="AB20" s="19" t="n">
        <v>320.58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1916.5</v>
      </c>
      <c r="F21" s="37" t="n">
        <v>1916.5</v>
      </c>
      <c r="G21" s="18" t="n">
        <v>1790.46</v>
      </c>
      <c r="H21" s="18" t="n">
        <v>851.99</v>
      </c>
      <c r="I21" s="18" t="n">
        <v>779.53</v>
      </c>
      <c r="J21" s="18" t="n">
        <v>714.64</v>
      </c>
      <c r="K21" s="37" t="n">
        <v>714.64</v>
      </c>
      <c r="L21" s="18" t="n">
        <v>649.0599999999999</v>
      </c>
      <c r="M21" s="18" t="n">
        <v>582.78</v>
      </c>
      <c r="N21" s="18" t="n">
        <v>540.6900000000001</v>
      </c>
      <c r="O21" s="18" t="n">
        <v>229.21</v>
      </c>
      <c r="P21" s="37" t="n">
        <v>229.21</v>
      </c>
      <c r="Q21" s="18" t="n">
        <v>1487.19</v>
      </c>
      <c r="R21" s="18" t="n">
        <v>276.75</v>
      </c>
      <c r="S21" s="18" t="n">
        <v>430.64</v>
      </c>
      <c r="T21" s="18" t="n">
        <v>586.84</v>
      </c>
      <c r="U21" s="37" t="n">
        <v>586.84</v>
      </c>
      <c r="V21" s="18" t="n">
        <v>693.54</v>
      </c>
      <c r="W21" s="18" t="n">
        <v>546.6799999999999</v>
      </c>
      <c r="X21" s="18" t="n">
        <v>542.72</v>
      </c>
      <c r="Y21" s="18" t="n">
        <v>470.53</v>
      </c>
      <c r="Z21" s="37" t="n">
        <v>470.53</v>
      </c>
      <c r="AA21" s="18" t="n">
        <v>592.54</v>
      </c>
      <c r="AB21" s="19" t="n">
        <v>641.64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511.42</v>
      </c>
      <c r="F22" s="37" t="n">
        <v>511.42</v>
      </c>
      <c r="G22" s="18" t="n">
        <v>516.3</v>
      </c>
      <c r="H22" s="18" t="n">
        <v>3543.86</v>
      </c>
      <c r="I22" s="18" t="n">
        <v>2957.95</v>
      </c>
      <c r="J22" s="18" t="n">
        <v>266.57</v>
      </c>
      <c r="K22" s="37" t="n">
        <v>266.57</v>
      </c>
      <c r="L22" s="18" t="n">
        <v>269.42</v>
      </c>
      <c r="M22" s="18" t="n">
        <v>272.3</v>
      </c>
      <c r="N22" s="18" t="n">
        <v>251.84</v>
      </c>
      <c r="O22" s="18" t="n">
        <v>9540.93</v>
      </c>
      <c r="P22" s="37" t="n">
        <v>9540.93</v>
      </c>
      <c r="Q22" s="18" t="n">
        <v>833.96</v>
      </c>
      <c r="R22" s="18" t="n">
        <v>455.72</v>
      </c>
      <c r="S22" s="18" t="n">
        <v>2025.22</v>
      </c>
      <c r="T22" s="18" t="n">
        <v>3862.76</v>
      </c>
      <c r="U22" s="37" t="n">
        <v>3862.76</v>
      </c>
      <c r="V22" s="18" t="n">
        <v>4607.99</v>
      </c>
      <c r="W22" s="18" t="n">
        <v>3853.4</v>
      </c>
      <c r="X22" s="18" t="n">
        <v>3359.62</v>
      </c>
      <c r="Y22" s="18" t="n">
        <v>1495.36</v>
      </c>
      <c r="Z22" s="37" t="n">
        <v>1495.36</v>
      </c>
      <c r="AA22" s="18" t="n">
        <v>10913.61</v>
      </c>
      <c r="AB22" s="19" t="n">
        <v>5697.2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유동성장기부채</t>
        </is>
      </c>
      <c r="E23" s="18" t="n">
        <v>3111.11</v>
      </c>
      <c r="F23" s="37" t="n">
        <v>3111.11</v>
      </c>
      <c r="G23" s="18" t="n">
        <v>2777.78</v>
      </c>
      <c r="H23" s="18" t="n">
        <v>9079.129999999999</v>
      </c>
      <c r="I23" s="18" t="n">
        <v>9091.059999999999</v>
      </c>
      <c r="J23" s="18" t="n">
        <v>9344.25</v>
      </c>
      <c r="K23" s="37" t="n">
        <v>9344.25</v>
      </c>
      <c r="L23" s="18" t="n">
        <v>2000</v>
      </c>
      <c r="M23" s="18" t="n">
        <v>6349.16</v>
      </c>
      <c r="N23" s="18" t="n">
        <v>6704.54</v>
      </c>
      <c r="O23" s="18" t="n">
        <v>5220.13</v>
      </c>
      <c r="P23" s="37" t="n">
        <v>5220.13</v>
      </c>
      <c r="Q23" s="18" t="n">
        <v>5661.06</v>
      </c>
      <c r="R23" s="18" t="n">
        <v>245.31</v>
      </c>
      <c r="S23" s="18" t="n">
        <v>984.28</v>
      </c>
      <c r="T23" s="18" t="n">
        <v>4624.32</v>
      </c>
      <c r="U23" s="37" t="n">
        <v>4624.32</v>
      </c>
      <c r="V23" s="18" t="n">
        <v>5180.44</v>
      </c>
      <c r="W23" s="18" t="n">
        <v>5202.76</v>
      </c>
      <c r="X23" s="18" t="n">
        <v>4817.79</v>
      </c>
      <c r="Y23" s="18" t="n">
        <v>5304.72</v>
      </c>
      <c r="Z23" s="37" t="n">
        <v>5304.72</v>
      </c>
      <c r="AA23" s="18" t="n">
        <v>6280.79</v>
      </c>
      <c r="AB23" s="19" t="n">
        <v>6669.78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1457.42</v>
      </c>
      <c r="F24" s="37" t="n">
        <v>1457.42</v>
      </c>
      <c r="G24" s="18" t="n">
        <v>1376.43</v>
      </c>
      <c r="H24" s="18" t="n">
        <v>794.59</v>
      </c>
      <c r="I24" s="18" t="n">
        <v>568.71</v>
      </c>
      <c r="J24" s="18" t="n">
        <v>448.07</v>
      </c>
      <c r="K24" s="37" t="n">
        <v>448.07</v>
      </c>
      <c r="L24" s="18" t="n">
        <v>379.64</v>
      </c>
      <c r="M24" s="18" t="n">
        <v>310.48</v>
      </c>
      <c r="N24" s="18" t="n">
        <v>354.92</v>
      </c>
      <c r="O24" s="18" t="n">
        <v>386.28</v>
      </c>
      <c r="P24" s="37" t="n">
        <v>386.28</v>
      </c>
      <c r="Q24" s="18" t="n">
        <v>785.15</v>
      </c>
      <c r="R24" s="18" t="n">
        <v>234.68</v>
      </c>
      <c r="S24" s="18" t="n">
        <v>10005.28</v>
      </c>
      <c r="T24" s="18" t="n">
        <v>10221.95</v>
      </c>
      <c r="U24" s="37" t="n">
        <v>10221.95</v>
      </c>
      <c r="V24" s="18" t="n">
        <v>10258.58</v>
      </c>
      <c r="W24" s="18" t="n">
        <v>14152.26</v>
      </c>
      <c r="X24" s="18" t="n">
        <v>14126.65</v>
      </c>
      <c r="Y24" s="18" t="n">
        <v>12185</v>
      </c>
      <c r="Z24" s="37" t="n">
        <v>12185</v>
      </c>
      <c r="AA24" s="18" t="n">
        <v>12287.06</v>
      </c>
      <c r="AB24" s="19" t="n">
        <v>12321.06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37.34</v>
      </c>
      <c r="F25" s="37" t="n">
        <v>37.34</v>
      </c>
      <c r="G25" s="18" t="n">
        <v>102.27</v>
      </c>
      <c r="H25" s="18" t="n">
        <v>203.56</v>
      </c>
      <c r="I25" s="18" t="n">
        <v>52.93</v>
      </c>
      <c r="K25" s="9" t="n"/>
      <c r="N25" s="18" t="n">
        <v>66.06999999999999</v>
      </c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비유동리스부채</t>
        </is>
      </c>
      <c r="E26" s="18" t="n">
        <v>1405.08</v>
      </c>
      <c r="F26" s="37" t="n">
        <v>1405.08</v>
      </c>
      <c r="G26" s="18" t="n">
        <v>1274.16</v>
      </c>
      <c r="H26" s="18" t="n">
        <v>591.02</v>
      </c>
      <c r="I26" s="18" t="n">
        <v>515.78</v>
      </c>
      <c r="J26" s="18" t="n">
        <v>448.07</v>
      </c>
      <c r="K26" s="37" t="n">
        <v>448.07</v>
      </c>
      <c r="L26" s="18" t="n">
        <v>379.64</v>
      </c>
      <c r="M26" s="18" t="n">
        <v>310.48</v>
      </c>
      <c r="N26" s="18" t="n">
        <v>288.85</v>
      </c>
      <c r="O26" s="18" t="n">
        <v>229.21</v>
      </c>
      <c r="P26" s="37" t="n">
        <v>229.21</v>
      </c>
      <c r="Q26" s="18" t="n">
        <v>653.23</v>
      </c>
      <c r="R26" s="18" t="n">
        <v>128.68</v>
      </c>
      <c r="S26" s="18" t="n">
        <v>178.5</v>
      </c>
      <c r="T26" s="18" t="n">
        <v>248.51</v>
      </c>
      <c r="U26" s="37" t="n">
        <v>248.51</v>
      </c>
      <c r="V26" s="18" t="n">
        <v>266.1</v>
      </c>
      <c r="W26" s="18" t="n">
        <v>193.87</v>
      </c>
      <c r="X26" s="18" t="n">
        <v>168.26</v>
      </c>
      <c r="Y26" s="18" t="n">
        <v>185</v>
      </c>
      <c r="Z26" s="37" t="n">
        <v>185</v>
      </c>
      <c r="AA26" s="18" t="n">
        <v>287.06</v>
      </c>
      <c r="AB26" s="19" t="n">
        <v>321.06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</t>
        </is>
      </c>
      <c r="E27" s="18" t="n">
        <v>1405.08</v>
      </c>
      <c r="F27" s="37" t="n">
        <v>1405.08</v>
      </c>
      <c r="G27" s="18" t="n">
        <v>1274.16</v>
      </c>
      <c r="H27" s="18" t="n">
        <v>591.02</v>
      </c>
      <c r="I27" s="18" t="n">
        <v>515.78</v>
      </c>
      <c r="J27" s="18" t="n">
        <v>448.07</v>
      </c>
      <c r="K27" s="37" t="n">
        <v>448.07</v>
      </c>
      <c r="L27" s="18" t="n">
        <v>379.64</v>
      </c>
      <c r="M27" s="18" t="n">
        <v>310.48</v>
      </c>
      <c r="N27" s="18" t="n">
        <v>288.85</v>
      </c>
      <c r="O27" s="18" t="n">
        <v>229.21</v>
      </c>
      <c r="P27" s="37" t="n">
        <v>229.21</v>
      </c>
      <c r="Q27" s="18" t="n">
        <v>653.23</v>
      </c>
      <c r="R27" s="18" t="n">
        <v>128.68</v>
      </c>
      <c r="S27" s="18" t="n">
        <v>1843.37</v>
      </c>
      <c r="T27" s="18" t="n">
        <v>2172.07</v>
      </c>
      <c r="U27" s="37" t="n">
        <v>2172.07</v>
      </c>
      <c r="V27" s="18" t="n">
        <v>2208.26</v>
      </c>
      <c r="W27" s="18" t="n">
        <v>1579.99</v>
      </c>
      <c r="X27" s="18" t="n">
        <v>1554.38</v>
      </c>
      <c r="Y27" s="18" t="n">
        <v>185</v>
      </c>
      <c r="Z27" s="37" t="n">
        <v>185</v>
      </c>
      <c r="AA27" s="18" t="n">
        <v>287.06</v>
      </c>
      <c r="AB27" s="19" t="n">
        <v>321.06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15</v>
      </c>
      <c r="F28" s="37" t="n">
        <v>15</v>
      </c>
      <c r="K28" s="9" t="n"/>
      <c r="P28" s="9" t="n"/>
      <c r="T28" s="18" t="n">
        <v>49.88</v>
      </c>
      <c r="U28" s="37" t="n">
        <v>49.88</v>
      </c>
      <c r="V28" s="18" t="n">
        <v>50.32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22322.96</v>
      </c>
      <c r="F29" s="37" t="n">
        <v>22322.96</v>
      </c>
      <c r="G29" s="18" t="n">
        <v>20222.03</v>
      </c>
      <c r="H29" s="18" t="n">
        <v>32855.93</v>
      </c>
      <c r="I29" s="18" t="n">
        <v>35857.12</v>
      </c>
      <c r="J29" s="18" t="n">
        <v>43162.43</v>
      </c>
      <c r="K29" s="37" t="n">
        <v>43162.43</v>
      </c>
      <c r="L29" s="18" t="n">
        <v>46670.59</v>
      </c>
      <c r="M29" s="18" t="n">
        <v>41936.45</v>
      </c>
      <c r="N29" s="18" t="n">
        <v>39588.51</v>
      </c>
      <c r="O29" s="18" t="n">
        <v>27926.98</v>
      </c>
      <c r="P29" s="37" t="n">
        <v>27926.98</v>
      </c>
      <c r="Q29" s="18" t="n">
        <v>30591.39</v>
      </c>
      <c r="R29" s="18" t="n">
        <v>7307.78</v>
      </c>
      <c r="S29" s="18" t="n">
        <v>18663.04</v>
      </c>
      <c r="T29" s="18" t="n">
        <v>27150.92</v>
      </c>
      <c r="U29" s="37" t="n">
        <v>27150.92</v>
      </c>
      <c r="V29" s="18" t="n">
        <v>27065.53</v>
      </c>
      <c r="W29" s="18" t="n">
        <v>27362.53</v>
      </c>
      <c r="X29" s="18" t="n">
        <v>26724.64</v>
      </c>
      <c r="Y29" s="18" t="n">
        <v>23639.54</v>
      </c>
      <c r="Z29" s="37" t="n">
        <v>23639.54</v>
      </c>
      <c r="AA29" s="18" t="n">
        <v>34314.42</v>
      </c>
      <c r="AB29" s="19" t="n">
        <v>30442.08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35875.4</v>
      </c>
      <c r="F30" s="37" t="n">
        <v>35875.4</v>
      </c>
      <c r="G30" s="18" t="n">
        <v>35875.4</v>
      </c>
      <c r="H30" s="18" t="n">
        <v>35875.4</v>
      </c>
      <c r="I30" s="18" t="n">
        <v>35875.4</v>
      </c>
      <c r="J30" s="18" t="n">
        <v>35875.4</v>
      </c>
      <c r="K30" s="37" t="n">
        <v>35875.4</v>
      </c>
      <c r="L30" s="18" t="n">
        <v>8968.85</v>
      </c>
      <c r="M30" s="18" t="n">
        <v>9389.719999999999</v>
      </c>
      <c r="N30" s="18" t="n">
        <v>9389.719999999999</v>
      </c>
      <c r="O30" s="18" t="n">
        <v>9389.719999999999</v>
      </c>
      <c r="P30" s="37" t="n">
        <v>9389.719999999999</v>
      </c>
      <c r="Q30" s="18" t="n">
        <v>11421.21</v>
      </c>
      <c r="R30" s="18" t="n">
        <v>15074.81</v>
      </c>
      <c r="S30" s="18" t="n">
        <v>15074.81</v>
      </c>
      <c r="T30" s="18" t="n">
        <v>15323.57</v>
      </c>
      <c r="U30" s="37" t="n">
        <v>15323.57</v>
      </c>
      <c r="V30" s="18" t="n">
        <v>16635.9</v>
      </c>
      <c r="W30" s="18" t="n">
        <v>16723.4</v>
      </c>
      <c r="X30" s="18" t="n">
        <v>16723.4</v>
      </c>
      <c r="Y30" s="18" t="n">
        <v>16723.4</v>
      </c>
      <c r="Z30" s="37" t="n">
        <v>16723.4</v>
      </c>
      <c r="AA30" s="18" t="n">
        <v>19820.97</v>
      </c>
      <c r="AB30" s="19" t="n">
        <v>19820.97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41176.71</v>
      </c>
      <c r="F31" s="37" t="n">
        <v>41176.71</v>
      </c>
      <c r="G31" s="18" t="n">
        <v>41176.71</v>
      </c>
      <c r="H31" s="18" t="n">
        <v>41176.71</v>
      </c>
      <c r="I31" s="18" t="n">
        <v>41176.71</v>
      </c>
      <c r="J31" s="18" t="n">
        <v>41176.71</v>
      </c>
      <c r="K31" s="37" t="n">
        <v>41176.71</v>
      </c>
      <c r="L31" s="18" t="n">
        <v>41176.71</v>
      </c>
      <c r="M31" s="18" t="n">
        <v>41753.57</v>
      </c>
      <c r="N31" s="18" t="n">
        <v>41753.57</v>
      </c>
      <c r="O31" s="18" t="n">
        <v>41749.49</v>
      </c>
      <c r="P31" s="37" t="n">
        <v>41749.49</v>
      </c>
      <c r="Q31" s="18" t="n">
        <v>47718</v>
      </c>
      <c r="R31" s="18" t="n">
        <v>61845.21</v>
      </c>
      <c r="S31" s="18" t="n">
        <v>61845.21</v>
      </c>
      <c r="T31" s="18" t="n">
        <v>62577</v>
      </c>
      <c r="U31" s="37" t="n">
        <v>62577</v>
      </c>
      <c r="V31" s="18" t="n">
        <v>66255.64999999999</v>
      </c>
      <c r="W31" s="18" t="n">
        <v>66574.31</v>
      </c>
      <c r="X31" s="18" t="n">
        <v>66574.31</v>
      </c>
      <c r="Y31" s="18" t="n">
        <v>66574.31</v>
      </c>
      <c r="Z31" s="37" t="n">
        <v>66574.31</v>
      </c>
      <c r="AA31" s="18" t="n">
        <v>71480.34</v>
      </c>
      <c r="AB31" s="19" t="n">
        <v>71480.34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-52480.69</v>
      </c>
      <c r="F32" s="37" t="n">
        <v>-52480.69</v>
      </c>
      <c r="G32" s="18" t="n">
        <v>-54264.5</v>
      </c>
      <c r="H32" s="18" t="n">
        <v>-54813.35</v>
      </c>
      <c r="I32" s="18" t="n">
        <v>-58084.94</v>
      </c>
      <c r="J32" s="18" t="n">
        <v>-66038.62</v>
      </c>
      <c r="K32" s="37" t="n">
        <v>-66038.62</v>
      </c>
      <c r="L32" s="18" t="n">
        <v>-40202.83</v>
      </c>
      <c r="M32" s="18" t="n">
        <v>-38012.03</v>
      </c>
      <c r="N32" s="18" t="n">
        <v>-37465.09</v>
      </c>
      <c r="O32" s="18" t="n">
        <v>-35509.29</v>
      </c>
      <c r="P32" s="37" t="n">
        <v>-35509.29</v>
      </c>
      <c r="Q32" s="18" t="n">
        <v>-37574.95</v>
      </c>
      <c r="R32" s="18" t="n">
        <v>-41130.31</v>
      </c>
      <c r="S32" s="18" t="n">
        <v>-39945.79</v>
      </c>
      <c r="T32" s="18" t="n">
        <v>-41363.24</v>
      </c>
      <c r="U32" s="37" t="n">
        <v>-41363.24</v>
      </c>
      <c r="V32" s="18" t="n">
        <v>-43224.98</v>
      </c>
      <c r="W32" s="18" t="n">
        <v>-45143.81</v>
      </c>
      <c r="X32" s="18" t="n">
        <v>-46788.77</v>
      </c>
      <c r="Y32" s="18" t="n">
        <v>-48693.39</v>
      </c>
      <c r="Z32" s="37" t="n">
        <v>-48693.39</v>
      </c>
      <c r="AA32" s="18" t="n">
        <v>-49884.67</v>
      </c>
      <c r="AB32" s="19" t="n">
        <v>-46607.99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24571.42</v>
      </c>
      <c r="F33" s="37" t="n">
        <v>24571.42</v>
      </c>
      <c r="G33" s="18" t="n">
        <v>22787.61</v>
      </c>
      <c r="H33" s="18" t="n">
        <v>22238.76</v>
      </c>
      <c r="I33" s="18" t="n">
        <v>18967.17</v>
      </c>
      <c r="J33" s="18" t="n">
        <v>11013.49</v>
      </c>
      <c r="K33" s="37" t="n">
        <v>11013.49</v>
      </c>
      <c r="L33" s="18" t="n">
        <v>9942.73</v>
      </c>
      <c r="M33" s="18" t="n">
        <v>13127.19</v>
      </c>
      <c r="N33" s="18" t="n">
        <v>13674.13</v>
      </c>
      <c r="O33" s="18" t="n">
        <v>15629.93</v>
      </c>
      <c r="P33" s="37" t="n">
        <v>15629.93</v>
      </c>
      <c r="Q33" s="18" t="n">
        <v>21564.26</v>
      </c>
      <c r="R33" s="18" t="n">
        <v>35753.19</v>
      </c>
      <c r="S33" s="18" t="n">
        <v>36936.97</v>
      </c>
      <c r="T33" s="18" t="n">
        <v>36502.75</v>
      </c>
      <c r="U33" s="37" t="n">
        <v>36502.75</v>
      </c>
      <c r="V33" s="18" t="n">
        <v>39634</v>
      </c>
      <c r="W33" s="18" t="n">
        <v>38123.38</v>
      </c>
      <c r="X33" s="18" t="n">
        <v>36480.47</v>
      </c>
      <c r="Y33" s="18" t="n">
        <v>34567.35</v>
      </c>
      <c r="Z33" s="37" t="n">
        <v>34567.35</v>
      </c>
      <c r="AA33" s="18" t="n">
        <v>41379.4</v>
      </c>
      <c r="AB33" s="19" t="n">
        <v>44656.07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46894.38</v>
      </c>
      <c r="F34" s="37" t="n">
        <v>46894.38</v>
      </c>
      <c r="G34" s="18" t="n">
        <v>43009.64</v>
      </c>
      <c r="H34" s="18" t="n">
        <v>55094.69</v>
      </c>
      <c r="I34" s="18" t="n">
        <v>54824.29</v>
      </c>
      <c r="J34" s="18" t="n">
        <v>54175.92</v>
      </c>
      <c r="K34" s="37" t="n">
        <v>54175.92</v>
      </c>
      <c r="L34" s="18" t="n">
        <v>56613.31</v>
      </c>
      <c r="M34" s="18" t="n">
        <v>55063.64</v>
      </c>
      <c r="N34" s="18" t="n">
        <v>53262.64</v>
      </c>
      <c r="O34" s="18" t="n">
        <v>43556.9</v>
      </c>
      <c r="P34" s="37" t="n">
        <v>43556.9</v>
      </c>
      <c r="Q34" s="18" t="n">
        <v>52155.65</v>
      </c>
      <c r="R34" s="18" t="n">
        <v>43060.96</v>
      </c>
      <c r="S34" s="18" t="n">
        <v>55600.02</v>
      </c>
      <c r="T34" s="18" t="n">
        <v>63653.67</v>
      </c>
      <c r="U34" s="37" t="n">
        <v>63653.67</v>
      </c>
      <c r="V34" s="18" t="n">
        <v>66699.53</v>
      </c>
      <c r="W34" s="18" t="n">
        <v>65485.9</v>
      </c>
      <c r="X34" s="18" t="n">
        <v>63205.11</v>
      </c>
      <c r="Y34" s="18" t="n">
        <v>58206.88</v>
      </c>
      <c r="Z34" s="37" t="n">
        <v>58206.88</v>
      </c>
      <c r="AA34" s="18" t="n">
        <v>75693.82000000001</v>
      </c>
      <c r="AB34" s="19" t="n">
        <v>75098.14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24571.42</v>
      </c>
      <c r="F35" s="37" t="n">
        <v>24571.42</v>
      </c>
      <c r="G35" s="18" t="n">
        <v>22787.61</v>
      </c>
      <c r="H35" s="18" t="n">
        <v>22238.76</v>
      </c>
      <c r="I35" s="18" t="n">
        <v>18967.17</v>
      </c>
      <c r="J35" s="18" t="n">
        <v>11013.49</v>
      </c>
      <c r="K35" s="37" t="n">
        <v>11013.49</v>
      </c>
      <c r="L35" s="18" t="n">
        <v>9942.73</v>
      </c>
      <c r="M35" s="18" t="n">
        <v>13127.19</v>
      </c>
      <c r="N35" s="18" t="n">
        <v>13674.13</v>
      </c>
      <c r="O35" s="18" t="n">
        <v>15629.93</v>
      </c>
      <c r="P35" s="37" t="n">
        <v>15629.93</v>
      </c>
      <c r="Q35" s="18" t="n">
        <v>21564.26</v>
      </c>
      <c r="R35" s="18" t="n">
        <v>35753.19</v>
      </c>
      <c r="S35" s="18" t="n">
        <v>36936.97</v>
      </c>
      <c r="T35" s="18" t="n">
        <v>36502.75</v>
      </c>
      <c r="U35" s="37" t="n">
        <v>36502.75</v>
      </c>
      <c r="V35" s="18" t="n">
        <v>39634</v>
      </c>
      <c r="W35" s="18" t="n">
        <v>38123.38</v>
      </c>
      <c r="X35" s="18" t="n">
        <v>36480.47</v>
      </c>
      <c r="Y35" s="18" t="n">
        <v>34567.35</v>
      </c>
      <c r="Z35" s="37" t="n">
        <v>34567.35</v>
      </c>
      <c r="AA35" s="18" t="n">
        <v>41379.4</v>
      </c>
      <c r="AB35" s="19" t="n">
        <v>44656.07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총차입금</t>
        </is>
      </c>
      <c r="E36" s="18" t="n">
        <v>7911.11</v>
      </c>
      <c r="F36" s="37" t="n">
        <v>7911.11</v>
      </c>
      <c r="G36" s="18" t="n">
        <v>7577.78</v>
      </c>
      <c r="H36" s="18" t="n">
        <v>15879.13</v>
      </c>
      <c r="I36" s="18" t="n">
        <v>16691.06</v>
      </c>
      <c r="J36" s="18" t="n">
        <v>16144.25</v>
      </c>
      <c r="K36" s="37" t="n">
        <v>16144.25</v>
      </c>
      <c r="L36" s="18" t="n">
        <v>8500</v>
      </c>
      <c r="M36" s="18" t="n">
        <v>13199.16</v>
      </c>
      <c r="N36" s="18" t="n">
        <v>11804.54</v>
      </c>
      <c r="O36" s="18" t="n">
        <v>11227.2</v>
      </c>
      <c r="P36" s="37" t="n">
        <v>11227.2</v>
      </c>
      <c r="Q36" s="18" t="n">
        <v>9292.98</v>
      </c>
      <c r="R36" s="18" t="n">
        <v>2071.31</v>
      </c>
      <c r="S36" s="18" t="n">
        <v>2704.28</v>
      </c>
      <c r="T36" s="18" t="n">
        <v>15624.32</v>
      </c>
      <c r="U36" s="37" t="n">
        <v>15624.32</v>
      </c>
      <c r="V36" s="18" t="n">
        <v>16180.44</v>
      </c>
      <c r="W36" s="18" t="n">
        <v>17202.76</v>
      </c>
      <c r="X36" s="18" t="n">
        <v>16817.79</v>
      </c>
      <c r="Y36" s="18" t="n">
        <v>17304.72</v>
      </c>
      <c r="Z36" s="37" t="n">
        <v>17304.72</v>
      </c>
      <c r="AA36" s="18" t="n">
        <v>18280.79</v>
      </c>
      <c r="AB36" s="19" t="n">
        <v>18669.78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순차입금</t>
        </is>
      </c>
      <c r="E37" s="18" t="n">
        <v>6658.85</v>
      </c>
      <c r="F37" s="37" t="n">
        <v>6658.85</v>
      </c>
      <c r="G37" s="18" t="n">
        <v>6455.36</v>
      </c>
      <c r="H37" s="18" t="n">
        <v>13044.5</v>
      </c>
      <c r="I37" s="18" t="n">
        <v>16167.79</v>
      </c>
      <c r="J37" s="18" t="n">
        <v>15440.86</v>
      </c>
      <c r="K37" s="37" t="n">
        <v>15440.86</v>
      </c>
      <c r="L37" s="18" t="n">
        <v>8093.01</v>
      </c>
      <c r="M37" s="18" t="n">
        <v>11710.79</v>
      </c>
      <c r="N37" s="18" t="n">
        <v>10428.87</v>
      </c>
      <c r="O37" s="18" t="n">
        <v>10033.99</v>
      </c>
      <c r="P37" s="37" t="n">
        <v>10033.99</v>
      </c>
      <c r="Q37" s="18" t="n">
        <v>-3606.96</v>
      </c>
      <c r="R37" s="18" t="n">
        <v>-14722.72</v>
      </c>
      <c r="S37" s="18" t="n">
        <v>-6975.49</v>
      </c>
      <c r="T37" s="18" t="n">
        <v>4973.85</v>
      </c>
      <c r="U37" s="37" t="n">
        <v>4973.85</v>
      </c>
      <c r="V37" s="18" t="n">
        <v>8957.450000000001</v>
      </c>
      <c r="W37" s="18" t="n">
        <v>11730.69</v>
      </c>
      <c r="X37" s="18" t="n">
        <v>14519.66</v>
      </c>
      <c r="Y37" s="18" t="n">
        <v>14848.36</v>
      </c>
      <c r="Z37" s="37" t="n">
        <v>14848.36</v>
      </c>
      <c r="AA37" s="18" t="n">
        <v>-3098.8</v>
      </c>
      <c r="AB37" s="19" t="n">
        <v>18190.01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1281.02</v>
      </c>
      <c r="F38" s="37" t="n">
        <v>1281.02</v>
      </c>
      <c r="G38" s="18" t="n">
        <v>1157.18</v>
      </c>
      <c r="H38" s="18" t="n">
        <v>2874.56</v>
      </c>
      <c r="I38" s="18" t="n">
        <v>523.27</v>
      </c>
      <c r="J38" s="18" t="n">
        <v>861.97</v>
      </c>
      <c r="K38" s="37" t="n">
        <v>861.97</v>
      </c>
      <c r="L38" s="18" t="n">
        <v>500.12</v>
      </c>
      <c r="M38" s="18" t="n">
        <v>1537.07</v>
      </c>
      <c r="N38" s="18" t="n">
        <v>1375.67</v>
      </c>
      <c r="O38" s="18" t="n">
        <v>1430.69</v>
      </c>
      <c r="P38" s="37" t="n">
        <v>1430.69</v>
      </c>
      <c r="Q38" s="18" t="n">
        <v>13245.98</v>
      </c>
      <c r="R38" s="18" t="n">
        <v>16794.03</v>
      </c>
      <c r="S38" s="18" t="n">
        <v>14299.76</v>
      </c>
      <c r="T38" s="18" t="n">
        <v>13324.19</v>
      </c>
      <c r="U38" s="37" t="n">
        <v>13324.19</v>
      </c>
      <c r="V38" s="18" t="n">
        <v>12596.71</v>
      </c>
      <c r="W38" s="18" t="n">
        <v>10991.08</v>
      </c>
      <c r="X38" s="18" t="n">
        <v>7116.53</v>
      </c>
      <c r="Y38" s="18" t="n">
        <v>5333.17</v>
      </c>
      <c r="Z38" s="37" t="n">
        <v>5333.17</v>
      </c>
      <c r="AA38" s="18" t="n">
        <v>24255.79</v>
      </c>
      <c r="AB38" s="19" t="n">
        <v>2600.27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단기금융상품</t>
        </is>
      </c>
      <c r="F39" s="9" t="n"/>
      <c r="H39" s="18" t="n">
        <v>2000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단기금융자산</t>
        </is>
      </c>
      <c r="F40" s="9" t="n"/>
      <c r="H40" s="18" t="n">
        <v>2000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단기파생상품부채</t>
        </is>
      </c>
      <c r="F41" s="9" t="n"/>
      <c r="H41" s="18" t="n">
        <v>3282.89</v>
      </c>
      <c r="I41" s="18" t="n">
        <v>2694.2</v>
      </c>
      <c r="K41" s="9" t="n"/>
      <c r="O41" s="18" t="n">
        <v>9540.93</v>
      </c>
      <c r="P41" s="37" t="n">
        <v>9540.93</v>
      </c>
      <c r="R41" s="18" t="n">
        <v>307.65</v>
      </c>
      <c r="S41" s="18" t="n">
        <v>1773.08</v>
      </c>
      <c r="T41" s="18" t="n">
        <v>3524.43</v>
      </c>
      <c r="U41" s="37" t="n">
        <v>3524.43</v>
      </c>
      <c r="V41" s="18" t="n">
        <v>4180.55</v>
      </c>
      <c r="Y41" s="18" t="n">
        <v>1209.83</v>
      </c>
      <c r="Z41" s="37" t="n">
        <v>1209.83</v>
      </c>
      <c r="AA41" s="18" t="n">
        <v>10608.13</v>
      </c>
      <c r="AB41" s="19" t="n">
        <v>5376.62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M42" s="18" t="n">
        <v>11082.11</v>
      </c>
      <c r="N42" s="18" t="n">
        <v>13462.67</v>
      </c>
      <c r="O42" s="18" t="n">
        <v>6358.86</v>
      </c>
      <c r="P42" s="37" t="n">
        <v>6358.86</v>
      </c>
      <c r="R42" s="18" t="n">
        <v>4008.23</v>
      </c>
      <c r="S42" s="18" t="n">
        <v>6648.48</v>
      </c>
      <c r="T42" s="18" t="n">
        <v>902.61</v>
      </c>
      <c r="U42" s="37" t="n">
        <v>902.61</v>
      </c>
      <c r="V42" s="18" t="n">
        <v>2304.02</v>
      </c>
      <c r="W42" s="18" t="n">
        <v>2727.96</v>
      </c>
      <c r="X42" s="18" t="n">
        <v>3180.57</v>
      </c>
      <c r="Y42" s="18" t="n">
        <v>845.64</v>
      </c>
      <c r="Z42" s="37" t="n">
        <v>845.64</v>
      </c>
      <c r="AA42" s="18" t="n">
        <v>875.02</v>
      </c>
      <c r="AB42" s="19" t="n">
        <v>1073.59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F43" s="9" t="n"/>
      <c r="K43" s="9" t="n"/>
      <c r="M43" s="18" t="n">
        <v>10235.16</v>
      </c>
      <c r="N43" s="18" t="n">
        <v>10173.16</v>
      </c>
      <c r="O43" s="18" t="n">
        <v>1173.49</v>
      </c>
      <c r="P43" s="37" t="n">
        <v>1173.49</v>
      </c>
      <c r="R43" s="18" t="n">
        <v>506.82</v>
      </c>
      <c r="S43" s="18" t="n">
        <v>618.95</v>
      </c>
      <c r="T43" s="18" t="n">
        <v>476.36</v>
      </c>
      <c r="U43" s="37" t="n">
        <v>476.36</v>
      </c>
      <c r="V43" s="18" t="n">
        <v>311.11</v>
      </c>
      <c r="W43" s="18" t="n">
        <v>291.88</v>
      </c>
      <c r="X43" s="18" t="n">
        <v>596.02</v>
      </c>
      <c r="Y43" s="18" t="n">
        <v>630</v>
      </c>
      <c r="Z43" s="37" t="n">
        <v>630</v>
      </c>
      <c r="AA43" s="18" t="n">
        <v>602.71</v>
      </c>
      <c r="AB43" s="19" t="n">
        <v>656.85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F44" s="9" t="n"/>
      <c r="K44" s="9" t="n"/>
      <c r="M44" s="18" t="n">
        <v>-4.08</v>
      </c>
      <c r="N44" s="18" t="n">
        <v>-4.08</v>
      </c>
      <c r="P44" s="9" t="n"/>
      <c r="R44" s="18" t="n">
        <v>-36.53</v>
      </c>
      <c r="S44" s="18" t="n">
        <v>-37.25</v>
      </c>
      <c r="T44" s="18" t="n">
        <v>-34.57</v>
      </c>
      <c r="U44" s="37" t="n">
        <v>-34.57</v>
      </c>
      <c r="V44" s="18" t="n">
        <v>-32.56</v>
      </c>
      <c r="W44" s="18" t="n">
        <v>-30.53</v>
      </c>
      <c r="X44" s="18" t="n">
        <v>-28.47</v>
      </c>
      <c r="Y44" s="18" t="n">
        <v>-36.97</v>
      </c>
      <c r="Z44" s="37" t="n">
        <v>-36.97</v>
      </c>
      <c r="AA44" s="18" t="n">
        <v>-37.25</v>
      </c>
      <c r="AB44" s="19" t="n">
        <v>-37.25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당기법인세부채(미지급법인세)</t>
        </is>
      </c>
      <c r="F45" s="9" t="n"/>
      <c r="K45" s="9" t="n"/>
      <c r="O45" s="18" t="n">
        <v>151.08</v>
      </c>
      <c r="P45" s="37" t="n">
        <v>151.08</v>
      </c>
      <c r="Q45" s="18" t="n">
        <v>198.04</v>
      </c>
      <c r="R45" s="18" t="n">
        <v>0</v>
      </c>
      <c r="U45" s="9" t="n"/>
      <c r="X45" s="18" t="n">
        <v>0.03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O46" s="18" t="n">
        <v>157.07</v>
      </c>
      <c r="P46" s="37" t="n">
        <v>157.07</v>
      </c>
      <c r="Q46" s="18" t="n">
        <v>131.92</v>
      </c>
      <c r="R46" s="18" t="n">
        <v>106</v>
      </c>
      <c r="T46" s="18" t="n">
        <v>8000</v>
      </c>
      <c r="U46" s="37" t="n">
        <v>8000</v>
      </c>
      <c r="V46" s="18" t="n">
        <v>8000</v>
      </c>
      <c r="W46" s="18" t="n">
        <v>12000</v>
      </c>
      <c r="X46" s="18" t="n">
        <v>12000</v>
      </c>
      <c r="Y46" s="18" t="n">
        <v>12000</v>
      </c>
      <c r="Z46" s="37" t="n">
        <v>12000</v>
      </c>
      <c r="AA46" s="18" t="n">
        <v>12000</v>
      </c>
      <c r="AB46" s="19" t="n">
        <v>12000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R47" s="18" t="n">
        <v>159.16</v>
      </c>
      <c r="S47" s="18" t="n">
        <v>424.79</v>
      </c>
      <c r="T47" s="18" t="n">
        <v>439.75</v>
      </c>
      <c r="U47" s="37" t="n">
        <v>439.75</v>
      </c>
      <c r="V47" s="18" t="n">
        <v>433.33</v>
      </c>
      <c r="W47" s="18" t="n">
        <v>463.14</v>
      </c>
      <c r="X47" s="18" t="n">
        <v>463.87</v>
      </c>
      <c r="Z47" s="9" t="n"/>
      <c r="AA47" s="18" t="n">
        <v>179.58</v>
      </c>
      <c r="AB47" s="19" t="n">
        <v>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사용권자산</t>
        </is>
      </c>
      <c r="F48" s="9" t="n"/>
      <c r="K48" s="9" t="n"/>
      <c r="P48" s="9" t="n"/>
      <c r="R48" s="18" t="n">
        <v>299.71</v>
      </c>
      <c r="S48" s="18" t="n">
        <v>461.03</v>
      </c>
      <c r="T48" s="18" t="n">
        <v>642.79</v>
      </c>
      <c r="U48" s="37" t="n">
        <v>642.79</v>
      </c>
      <c r="V48" s="18" t="n">
        <v>744.4</v>
      </c>
      <c r="W48" s="18" t="n">
        <v>584.13</v>
      </c>
      <c r="X48" s="18" t="n">
        <v>568.21</v>
      </c>
      <c r="Y48" s="18" t="n">
        <v>483.68</v>
      </c>
      <c r="Z48" s="37" t="n">
        <v>483.68</v>
      </c>
      <c r="AA48" s="18" t="n">
        <v>597.89</v>
      </c>
      <c r="AB48" s="19" t="n">
        <v>642.77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기타비유동자산</t>
        </is>
      </c>
      <c r="F49" s="9" t="n"/>
      <c r="K49" s="9" t="n"/>
      <c r="P49" s="9" t="n"/>
      <c r="R49" s="18" t="n">
        <v>447.12</v>
      </c>
      <c r="S49" s="18" t="n">
        <v>461.03</v>
      </c>
      <c r="T49" s="18" t="n">
        <v>972.05</v>
      </c>
      <c r="U49" s="37" t="n">
        <v>972.05</v>
      </c>
      <c r="V49" s="18" t="n">
        <v>857.59</v>
      </c>
      <c r="W49" s="18" t="n">
        <v>1249.69</v>
      </c>
      <c r="X49" s="18" t="n">
        <v>1176.75</v>
      </c>
      <c r="Y49" s="18" t="n">
        <v>1045.41</v>
      </c>
      <c r="Z49" s="37" t="n">
        <v>1045.41</v>
      </c>
      <c r="AA49" s="18" t="n">
        <v>1035.84</v>
      </c>
      <c r="AB49" s="19" t="n">
        <v>1067.18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장기매입채무및기타채무</t>
        </is>
      </c>
      <c r="F50" s="9" t="n"/>
      <c r="K50" s="9" t="n"/>
      <c r="P50" s="9" t="n"/>
      <c r="S50" s="18" t="n">
        <v>8080.05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F51" s="9" t="n"/>
      <c r="K51" s="9" t="n"/>
      <c r="P51" s="9" t="n"/>
      <c r="S51" s="18" t="n">
        <v>1664.87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T52" s="18" t="n">
        <v>1923.56</v>
      </c>
      <c r="U52" s="37" t="n">
        <v>1923.56</v>
      </c>
      <c r="V52" s="18" t="n">
        <v>1942.16</v>
      </c>
      <c r="W52" s="18" t="n">
        <v>1386.12</v>
      </c>
      <c r="X52" s="18" t="n">
        <v>1386.12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기타유동금융부채</t>
        </is>
      </c>
      <c r="F53" s="9" t="n"/>
      <c r="K53" s="9" t="n"/>
      <c r="P53" s="9" t="n"/>
      <c r="U53" s="9" t="n"/>
      <c r="W53" s="18" t="n">
        <v>3500.59</v>
      </c>
      <c r="X53" s="18" t="n">
        <v>2985.16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장기금융부채(face)</t>
        </is>
      </c>
      <c r="F54" s="9" t="n"/>
      <c r="K54" s="9" t="n"/>
      <c r="P54" s="9" t="n"/>
      <c r="U54" s="9" t="n"/>
      <c r="Z54" s="9" t="n"/>
      <c r="AA54" s="18" t="n">
        <v>12000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8501.73</v>
      </c>
      <c r="F55" s="9" t="n"/>
      <c r="G55" s="18" t="n">
        <v>14734.67</v>
      </c>
      <c r="H55" s="18" t="n">
        <v>18706.69</v>
      </c>
      <c r="I55" s="18" t="n">
        <v>17176.15</v>
      </c>
      <c r="J55" s="18" t="n">
        <v>23811.88</v>
      </c>
      <c r="K55" s="37" t="n">
        <v>74429.39</v>
      </c>
      <c r="L55" s="18" t="n">
        <v>21526.67</v>
      </c>
      <c r="M55" s="18" t="n">
        <v>23408.9</v>
      </c>
      <c r="N55" s="18" t="n">
        <v>23294.52</v>
      </c>
      <c r="O55" s="18" t="n">
        <v>18121.3</v>
      </c>
      <c r="P55" s="37" t="n">
        <v>86351.39</v>
      </c>
      <c r="Q55" s="18" t="n">
        <v>15367.8</v>
      </c>
      <c r="R55" s="18" t="n">
        <v>5503.84</v>
      </c>
      <c r="S55" s="18" t="n">
        <v>6059.55</v>
      </c>
      <c r="T55" s="18" t="n">
        <v>6937.74</v>
      </c>
      <c r="U55" s="37" t="n">
        <v>33868.93</v>
      </c>
      <c r="V55" s="18" t="n">
        <v>7104.47</v>
      </c>
      <c r="W55" s="18" t="n">
        <v>8471.33</v>
      </c>
      <c r="X55" s="18" t="n">
        <v>7557.75</v>
      </c>
      <c r="Y55" s="18" t="n">
        <v>7760.26</v>
      </c>
      <c r="Z55" s="37" t="n">
        <v>30893.81</v>
      </c>
      <c r="AA55" s="18" t="n">
        <v>7980.48</v>
      </c>
      <c r="AB55" s="19" t="n">
        <v>7785.26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11253.74</v>
      </c>
      <c r="F56" s="9" t="n"/>
      <c r="G56" s="18" t="n">
        <v>15572.74</v>
      </c>
      <c r="H56" s="18" t="n">
        <v>19449.38</v>
      </c>
      <c r="I56" s="18" t="n">
        <v>19874.92</v>
      </c>
      <c r="J56" s="18" t="n">
        <v>30638.83</v>
      </c>
      <c r="K56" s="37" t="n">
        <v>85535.87</v>
      </c>
      <c r="L56" s="18" t="n">
        <v>20490.95</v>
      </c>
      <c r="M56" s="18" t="n">
        <v>16524.19</v>
      </c>
      <c r="N56" s="18" t="n">
        <v>20829.35</v>
      </c>
      <c r="O56" s="18" t="n">
        <v>14128.64</v>
      </c>
      <c r="P56" s="37" t="n">
        <v>71973.13</v>
      </c>
      <c r="Q56" s="18" t="n">
        <v>11803.12</v>
      </c>
      <c r="R56" s="18" t="n">
        <v>3991.34</v>
      </c>
      <c r="S56" s="18" t="n">
        <v>6053.69</v>
      </c>
      <c r="T56" s="18" t="n">
        <v>6603.4</v>
      </c>
      <c r="U56" s="37" t="n">
        <v>28451.55</v>
      </c>
      <c r="V56" s="18" t="n">
        <v>6753.93</v>
      </c>
      <c r="W56" s="18" t="n">
        <v>7844.04</v>
      </c>
      <c r="X56" s="18" t="n">
        <v>6967.28</v>
      </c>
      <c r="Y56" s="18" t="n">
        <v>6804.78</v>
      </c>
      <c r="Z56" s="37" t="n">
        <v>28370.03</v>
      </c>
      <c r="AA56" s="18" t="n">
        <v>6263.46</v>
      </c>
      <c r="AB56" s="19" t="n">
        <v>6717.58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-2752.01</v>
      </c>
      <c r="F57" s="9" t="n"/>
      <c r="G57" s="18" t="n">
        <v>-838.0599999999999</v>
      </c>
      <c r="H57" s="18" t="n">
        <v>-742.6900000000001</v>
      </c>
      <c r="I57" s="18" t="n">
        <v>-2698.77</v>
      </c>
      <c r="J57" s="18" t="n">
        <v>-6826.94</v>
      </c>
      <c r="K57" s="37" t="n">
        <v>-11106.46</v>
      </c>
      <c r="L57" s="18" t="n">
        <v>1035.72</v>
      </c>
      <c r="M57" s="18" t="n">
        <v>6884.71</v>
      </c>
      <c r="N57" s="18" t="n">
        <v>2465.16</v>
      </c>
      <c r="O57" s="18" t="n">
        <v>3992.68</v>
      </c>
      <c r="P57" s="37" t="n">
        <v>14378.27</v>
      </c>
      <c r="Q57" s="18" t="n">
        <v>3564.68</v>
      </c>
      <c r="R57" s="18" t="n">
        <v>1512.5</v>
      </c>
      <c r="S57" s="18" t="n">
        <v>5.86</v>
      </c>
      <c r="T57" s="18" t="n">
        <v>334.34</v>
      </c>
      <c r="U57" s="37" t="n">
        <v>5417.38</v>
      </c>
      <c r="V57" s="18" t="n">
        <v>350.54</v>
      </c>
      <c r="W57" s="18" t="n">
        <v>627.29</v>
      </c>
      <c r="X57" s="18" t="n">
        <v>590.47</v>
      </c>
      <c r="Y57" s="18" t="n">
        <v>955.48</v>
      </c>
      <c r="Z57" s="37" t="n">
        <v>2523.78</v>
      </c>
      <c r="AA57" s="18" t="n">
        <v>1717.02</v>
      </c>
      <c r="AB57" s="19" t="n">
        <v>1067.68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812.58</v>
      </c>
      <c r="F58" s="9" t="n"/>
      <c r="G58" s="18" t="n">
        <v>852.63</v>
      </c>
      <c r="H58" s="18" t="n">
        <v>857.13</v>
      </c>
      <c r="I58" s="18" t="n">
        <v>820.92</v>
      </c>
      <c r="J58" s="18" t="n">
        <v>907.22</v>
      </c>
      <c r="K58" s="37" t="n">
        <v>3437.9</v>
      </c>
      <c r="L58" s="18" t="n">
        <v>830.1900000000001</v>
      </c>
      <c r="M58" s="18" t="n">
        <v>832.03</v>
      </c>
      <c r="N58" s="18" t="n">
        <v>808.08</v>
      </c>
      <c r="O58" s="18" t="n">
        <v>1042.66</v>
      </c>
      <c r="P58" s="37" t="n">
        <v>3512.96</v>
      </c>
      <c r="Q58" s="18" t="n">
        <v>1022.17</v>
      </c>
      <c r="R58" s="18" t="n">
        <v>863.8200000000001</v>
      </c>
      <c r="S58" s="18" t="n">
        <v>1101.13</v>
      </c>
      <c r="T58" s="18" t="n">
        <v>1455.87</v>
      </c>
      <c r="U58" s="37" t="n">
        <v>4442.99</v>
      </c>
      <c r="V58" s="18" t="n">
        <v>2011.63</v>
      </c>
      <c r="W58" s="18" t="n">
        <v>2171.1</v>
      </c>
      <c r="X58" s="18" t="n">
        <v>2075.74</v>
      </c>
      <c r="Y58" s="18" t="n">
        <v>1604.11</v>
      </c>
      <c r="Z58" s="37" t="n">
        <v>7862.58</v>
      </c>
      <c r="AA58" s="18" t="n">
        <v>2584.57</v>
      </c>
      <c r="AB58" s="19" t="n">
        <v>1790.78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-3564.59</v>
      </c>
      <c r="F59" s="9" t="n"/>
      <c r="G59" s="18" t="n">
        <v>-1690.69</v>
      </c>
      <c r="H59" s="18" t="n">
        <v>-1599.82</v>
      </c>
      <c r="I59" s="18" t="n">
        <v>-3519.69</v>
      </c>
      <c r="J59" s="18" t="n">
        <v>-7734.17</v>
      </c>
      <c r="K59" s="37" t="n">
        <v>-14544.37</v>
      </c>
      <c r="L59" s="18" t="n">
        <v>205.52</v>
      </c>
      <c r="M59" s="18" t="n">
        <v>6052.68</v>
      </c>
      <c r="N59" s="18" t="n">
        <v>1657.08</v>
      </c>
      <c r="O59" s="18" t="n">
        <v>2950.02</v>
      </c>
      <c r="P59" s="37" t="n">
        <v>10865.3</v>
      </c>
      <c r="Q59" s="18" t="n">
        <v>2542.51</v>
      </c>
      <c r="R59" s="18" t="n">
        <v>648.6799999999999</v>
      </c>
      <c r="S59" s="18" t="n">
        <v>-1095.27</v>
      </c>
      <c r="T59" s="18" t="n">
        <v>-1121.52</v>
      </c>
      <c r="U59" s="37" t="n">
        <v>974.4</v>
      </c>
      <c r="V59" s="18" t="n">
        <v>-1661.09</v>
      </c>
      <c r="W59" s="18" t="n">
        <v>-1543.81</v>
      </c>
      <c r="X59" s="18" t="n">
        <v>-1485.27</v>
      </c>
      <c r="Y59" s="18" t="n">
        <v>-648.63</v>
      </c>
      <c r="Z59" s="37" t="n">
        <v>-5338.8</v>
      </c>
      <c r="AA59" s="18" t="n">
        <v>-867.55</v>
      </c>
      <c r="AB59" s="19" t="n">
        <v>-723.1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49.42</v>
      </c>
      <c r="F60" s="9" t="n"/>
      <c r="G60" s="18" t="n">
        <v>63.72</v>
      </c>
      <c r="H60" s="18" t="n">
        <v>1518.18</v>
      </c>
      <c r="I60" s="18" t="n">
        <v>786.16</v>
      </c>
      <c r="J60" s="18" t="n">
        <v>131.95</v>
      </c>
      <c r="K60" s="37" t="n">
        <v>2500.01</v>
      </c>
      <c r="L60" s="18" t="n">
        <v>249.95</v>
      </c>
      <c r="M60" s="18" t="n">
        <v>120.15</v>
      </c>
      <c r="N60" s="18" t="n">
        <v>124.3</v>
      </c>
      <c r="O60" s="18" t="n">
        <v>90.36</v>
      </c>
      <c r="P60" s="37" t="n">
        <v>584.76</v>
      </c>
      <c r="Q60" s="18" t="n">
        <v>173.87</v>
      </c>
      <c r="R60" s="18" t="n">
        <v>61.66</v>
      </c>
      <c r="S60" s="18" t="n">
        <v>74.08</v>
      </c>
      <c r="T60" s="18" t="n">
        <v>162.71</v>
      </c>
      <c r="U60" s="37" t="n">
        <v>472.32</v>
      </c>
      <c r="V60" s="18" t="n">
        <v>65.02</v>
      </c>
      <c r="W60" s="18" t="n">
        <v>782.6</v>
      </c>
      <c r="X60" s="18" t="n">
        <v>101.36</v>
      </c>
      <c r="Y60" s="18" t="n">
        <v>3191.29</v>
      </c>
      <c r="Z60" s="37" t="n">
        <v>4140.27</v>
      </c>
      <c r="AA60" s="18" t="n">
        <v>185.35</v>
      </c>
      <c r="AB60" s="19" t="n">
        <v>5512.71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161.76</v>
      </c>
      <c r="F61" s="9" t="n"/>
      <c r="G61" s="18" t="n">
        <v>100.45</v>
      </c>
      <c r="H61" s="18" t="n">
        <v>469.14</v>
      </c>
      <c r="I61" s="18" t="n">
        <v>540.51</v>
      </c>
      <c r="J61" s="18" t="n">
        <v>651.15</v>
      </c>
      <c r="K61" s="37" t="n">
        <v>1761.25</v>
      </c>
      <c r="L61" s="18" t="n">
        <v>1532.26</v>
      </c>
      <c r="M61" s="18" t="n">
        <v>3910</v>
      </c>
      <c r="N61" s="18" t="n">
        <v>1236.99</v>
      </c>
      <c r="O61" s="18" t="n">
        <v>381.12</v>
      </c>
      <c r="P61" s="37" t="n">
        <v>7060.37</v>
      </c>
      <c r="Q61" s="18" t="n">
        <v>5099.82</v>
      </c>
      <c r="R61" s="18" t="n">
        <v>-47.96</v>
      </c>
      <c r="S61" s="18" t="n">
        <v>410.29</v>
      </c>
      <c r="T61" s="18" t="n">
        <v>74.18000000000001</v>
      </c>
      <c r="U61" s="37" t="n">
        <v>5536.33</v>
      </c>
      <c r="V61" s="18" t="n">
        <v>318.39</v>
      </c>
      <c r="W61" s="18" t="n">
        <v>475.65</v>
      </c>
      <c r="X61" s="18" t="n">
        <v>257.49</v>
      </c>
      <c r="Y61" s="18" t="n">
        <v>2783.18</v>
      </c>
      <c r="Z61" s="37" t="n">
        <v>3834.71</v>
      </c>
      <c r="AA61" s="18" t="n">
        <v>511.88</v>
      </c>
      <c r="AB61" s="19" t="n">
        <v>1367.97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50.5</v>
      </c>
      <c r="F62" s="9" t="n"/>
      <c r="G62" s="18" t="n">
        <v>4.29</v>
      </c>
      <c r="H62" s="18" t="n">
        <v>10.02</v>
      </c>
      <c r="I62" s="18" t="n">
        <v>2.45</v>
      </c>
      <c r="J62" s="18" t="n">
        <v>0.01</v>
      </c>
      <c r="K62" s="37" t="n">
        <v>16.77</v>
      </c>
      <c r="L62" s="18" t="n">
        <v>6.05</v>
      </c>
      <c r="M62" s="18" t="n">
        <v>57.68</v>
      </c>
      <c r="N62" s="18" t="n">
        <v>8.41</v>
      </c>
      <c r="O62" s="18" t="n">
        <v>0.01</v>
      </c>
      <c r="P62" s="37" t="n">
        <v>72.15000000000001</v>
      </c>
      <c r="Q62" s="18" t="n">
        <v>438</v>
      </c>
      <c r="R62" s="18" t="n">
        <v>-88.45999999999999</v>
      </c>
      <c r="S62" s="18" t="n">
        <v>1060.51</v>
      </c>
      <c r="T62" s="18" t="n">
        <v>257.85</v>
      </c>
      <c r="U62" s="37" t="n">
        <v>1667.9</v>
      </c>
      <c r="V62" s="18" t="n">
        <v>52.77</v>
      </c>
      <c r="W62" s="18" t="n">
        <v>31.6</v>
      </c>
      <c r="X62" s="18" t="n">
        <v>58.42</v>
      </c>
      <c r="Y62" s="18" t="n">
        <v>5.3</v>
      </c>
      <c r="Z62" s="37" t="n">
        <v>148.09</v>
      </c>
      <c r="AA62" s="18" t="n">
        <v>7.48</v>
      </c>
      <c r="AB62" s="19" t="n">
        <v>9.98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1260.06</v>
      </c>
      <c r="F63" s="9" t="n"/>
      <c r="G63" s="18" t="n">
        <v>60.67</v>
      </c>
      <c r="H63" s="18" t="n">
        <v>8.09</v>
      </c>
      <c r="I63" s="18" t="n">
        <v>0</v>
      </c>
      <c r="J63" s="18" t="n">
        <v>12.41</v>
      </c>
      <c r="K63" s="37" t="n">
        <v>81.17</v>
      </c>
      <c r="L63" s="18" t="n">
        <v>0.03</v>
      </c>
      <c r="M63" s="18" t="n">
        <v>129.7</v>
      </c>
      <c r="N63" s="18" t="n">
        <v>-24.49</v>
      </c>
      <c r="O63" s="18" t="n">
        <v>524.86</v>
      </c>
      <c r="P63" s="37" t="n">
        <v>630.1</v>
      </c>
      <c r="Q63" s="18" t="n">
        <v>0</v>
      </c>
      <c r="R63" s="18" t="n">
        <v>87.02</v>
      </c>
      <c r="S63" s="18" t="n">
        <v>-51.15</v>
      </c>
      <c r="T63" s="18" t="n">
        <v>126.11</v>
      </c>
      <c r="U63" s="37" t="n">
        <v>161.98</v>
      </c>
      <c r="V63" s="18" t="n">
        <v>0.05</v>
      </c>
      <c r="W63" s="18" t="n">
        <v>713.5599999999999</v>
      </c>
      <c r="X63" s="18" t="n">
        <v>61.99</v>
      </c>
      <c r="Y63" s="18" t="n">
        <v>1707.94</v>
      </c>
      <c r="Z63" s="37" t="n">
        <v>2483.54</v>
      </c>
      <c r="AA63" s="18" t="n">
        <v>4.67</v>
      </c>
      <c r="AB63" s="19" t="n">
        <v>154.95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-4886.49</v>
      </c>
      <c r="F64" s="9" t="n"/>
      <c r="G64" s="18" t="n">
        <v>-1783.81</v>
      </c>
      <c r="H64" s="18" t="n">
        <v>-548.85</v>
      </c>
      <c r="I64" s="18" t="n">
        <v>-3271.59</v>
      </c>
      <c r="J64" s="18" t="n">
        <v>-8265.77</v>
      </c>
      <c r="K64" s="37" t="n">
        <v>-13870.02</v>
      </c>
      <c r="L64" s="18" t="n">
        <v>-1070.76</v>
      </c>
      <c r="M64" s="18" t="n">
        <v>2190.81</v>
      </c>
      <c r="N64" s="18" t="n">
        <v>577.29</v>
      </c>
      <c r="O64" s="18" t="n">
        <v>2134.39</v>
      </c>
      <c r="P64" s="37" t="n">
        <v>3831.73</v>
      </c>
      <c r="Q64" s="18" t="n">
        <v>-1945.43</v>
      </c>
      <c r="R64" s="18" t="n">
        <v>582.8200000000001</v>
      </c>
      <c r="S64" s="18" t="n">
        <v>-319.81</v>
      </c>
      <c r="T64" s="18" t="n">
        <v>-901.25</v>
      </c>
      <c r="U64" s="37" t="n">
        <v>-2583.67</v>
      </c>
      <c r="V64" s="18" t="n">
        <v>-1861.74</v>
      </c>
      <c r="W64" s="18" t="n">
        <v>-1918.82</v>
      </c>
      <c r="X64" s="18" t="n">
        <v>-1644.96</v>
      </c>
      <c r="Y64" s="18" t="n">
        <v>-1943.15</v>
      </c>
      <c r="Z64" s="37" t="n">
        <v>-7368.67</v>
      </c>
      <c r="AA64" s="18" t="n">
        <v>-1191.27</v>
      </c>
      <c r="AB64" s="19" t="n">
        <v>3276.67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-4886.49</v>
      </c>
      <c r="F65" s="9" t="n"/>
      <c r="G65" s="18" t="n">
        <v>-1783.81</v>
      </c>
      <c r="H65" s="18" t="n">
        <v>-548.85</v>
      </c>
      <c r="I65" s="18" t="n">
        <v>-3271.59</v>
      </c>
      <c r="J65" s="18" t="n">
        <v>-8265.77</v>
      </c>
      <c r="K65" s="37" t="n">
        <v>-13870.02</v>
      </c>
      <c r="L65" s="18" t="n">
        <v>-1070.76</v>
      </c>
      <c r="M65" s="18" t="n">
        <v>2190.81</v>
      </c>
      <c r="N65" s="18" t="n">
        <v>546.9400000000001</v>
      </c>
      <c r="O65" s="18" t="n">
        <v>2012.89</v>
      </c>
      <c r="P65" s="37" t="n">
        <v>3679.88</v>
      </c>
      <c r="Q65" s="18" t="n">
        <v>-2065.67</v>
      </c>
      <c r="R65" s="18" t="n">
        <v>-3669.72</v>
      </c>
      <c r="S65" s="18" t="n">
        <v>1184.52</v>
      </c>
      <c r="T65" s="18" t="n">
        <v>-1023.5</v>
      </c>
      <c r="U65" s="37" t="n">
        <v>-5574.37</v>
      </c>
      <c r="V65" s="18" t="n">
        <v>-1861.74</v>
      </c>
      <c r="W65" s="18" t="n">
        <v>-1918.82</v>
      </c>
      <c r="X65" s="18" t="n">
        <v>-1644.96</v>
      </c>
      <c r="Y65" s="18" t="n">
        <v>-1943.15</v>
      </c>
      <c r="Z65" s="37" t="n">
        <v>-7368.67</v>
      </c>
      <c r="AA65" s="18" t="n">
        <v>-1191.27</v>
      </c>
      <c r="AB65" s="19" t="n">
        <v>3276.67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-112.34</v>
      </c>
      <c r="F66" s="9" t="n"/>
      <c r="G66" s="18" t="n">
        <v>-36.73</v>
      </c>
      <c r="H66" s="18" t="n">
        <v>1049.04</v>
      </c>
      <c r="I66" s="18" t="n">
        <v>245.65</v>
      </c>
      <c r="J66" s="18" t="n">
        <v>-519.2</v>
      </c>
      <c r="K66" s="37" t="n">
        <v>738.76</v>
      </c>
      <c r="L66" s="18" t="n">
        <v>-1282.31</v>
      </c>
      <c r="M66" s="18" t="n">
        <v>-3789.85</v>
      </c>
      <c r="N66" s="18" t="n">
        <v>-1112.69</v>
      </c>
      <c r="O66" s="18" t="n">
        <v>-290.76</v>
      </c>
      <c r="P66" s="37" t="n">
        <v>-6475.61</v>
      </c>
      <c r="Q66" s="18" t="n">
        <v>-4925.95</v>
      </c>
      <c r="R66" s="18" t="n">
        <v>109.62</v>
      </c>
      <c r="S66" s="18" t="n">
        <v>-336.21</v>
      </c>
      <c r="T66" s="18" t="n">
        <v>88.53</v>
      </c>
      <c r="U66" s="37" t="n">
        <v>-5064.01</v>
      </c>
      <c r="V66" s="18" t="n">
        <v>-253.37</v>
      </c>
      <c r="W66" s="18" t="n">
        <v>306.95</v>
      </c>
      <c r="X66" s="18" t="n">
        <v>-156.13</v>
      </c>
      <c r="Y66" s="18" t="n">
        <v>408.11</v>
      </c>
      <c r="Z66" s="37" t="n">
        <v>305.56</v>
      </c>
      <c r="AA66" s="18" t="n">
        <v>-326.53</v>
      </c>
      <c r="AB66" s="19" t="n">
        <v>4144.74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-1209.56</v>
      </c>
      <c r="F67" s="9" t="n"/>
      <c r="G67" s="18" t="n">
        <v>-56.38</v>
      </c>
      <c r="H67" s="18" t="n">
        <v>1.93</v>
      </c>
      <c r="I67" s="18" t="n">
        <v>2.45</v>
      </c>
      <c r="J67" s="18" t="n">
        <v>-12.4</v>
      </c>
      <c r="K67" s="37" t="n">
        <v>-64.40000000000001</v>
      </c>
      <c r="L67" s="18" t="n">
        <v>6.02</v>
      </c>
      <c r="M67" s="18" t="n">
        <v>-72.02</v>
      </c>
      <c r="N67" s="18" t="n">
        <v>32.9</v>
      </c>
      <c r="O67" s="18" t="n">
        <v>-524.85</v>
      </c>
      <c r="P67" s="37" t="n">
        <v>-557.95</v>
      </c>
      <c r="Q67" s="18" t="n">
        <v>438</v>
      </c>
      <c r="R67" s="18" t="n">
        <v>-175.48</v>
      </c>
      <c r="S67" s="18" t="n">
        <v>1111.66</v>
      </c>
      <c r="T67" s="18" t="n">
        <v>131.74</v>
      </c>
      <c r="U67" s="37" t="n">
        <v>1505.92</v>
      </c>
      <c r="V67" s="18" t="n">
        <v>52.72</v>
      </c>
      <c r="W67" s="18" t="n">
        <v>-681.96</v>
      </c>
      <c r="X67" s="18" t="n">
        <v>-3.57</v>
      </c>
      <c r="Y67" s="18" t="n">
        <v>-1702.64</v>
      </c>
      <c r="Z67" s="37" t="n">
        <v>-2335.45</v>
      </c>
      <c r="AA67" s="18" t="n">
        <v>2.81</v>
      </c>
      <c r="AB67" s="19" t="n">
        <v>-144.97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-4886.49</v>
      </c>
      <c r="F68" s="9" t="n"/>
      <c r="G68" s="18" t="n">
        <v>-1783.81</v>
      </c>
      <c r="H68" s="18" t="n">
        <v>-548.85</v>
      </c>
      <c r="I68" s="18" t="n">
        <v>-3271.59</v>
      </c>
      <c r="J68" s="18" t="n">
        <v>-8265.77</v>
      </c>
      <c r="K68" s="37" t="n">
        <v>-13870.02</v>
      </c>
      <c r="L68" s="18" t="n">
        <v>-1070.76</v>
      </c>
      <c r="M68" s="18" t="n">
        <v>2190.81</v>
      </c>
      <c r="N68" s="18" t="n">
        <v>546.9400000000001</v>
      </c>
      <c r="O68" s="18" t="n">
        <v>2012.89</v>
      </c>
      <c r="P68" s="37" t="n">
        <v>3679.88</v>
      </c>
      <c r="Q68" s="18" t="n">
        <v>-2065.67</v>
      </c>
      <c r="R68" s="18" t="n">
        <v>-3669.72</v>
      </c>
      <c r="S68" s="18" t="n">
        <v>1184.52</v>
      </c>
      <c r="T68" s="18" t="n">
        <v>-1023.5</v>
      </c>
      <c r="U68" s="37" t="n">
        <v>-5574.37</v>
      </c>
      <c r="V68" s="18" t="n">
        <v>-1861.74</v>
      </c>
      <c r="W68" s="18" t="n">
        <v>-1918.82</v>
      </c>
      <c r="X68" s="18" t="n">
        <v>-1644.96</v>
      </c>
      <c r="Y68" s="18" t="n">
        <v>-1943.15</v>
      </c>
      <c r="Z68" s="37" t="n">
        <v>-7368.67</v>
      </c>
      <c r="AA68" s="18" t="n">
        <v>-1191.27</v>
      </c>
      <c r="AB68" s="19" t="n">
        <v>3276.67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-4886.49</v>
      </c>
      <c r="F69" s="9" t="n"/>
      <c r="G69" s="18" t="n">
        <v>-1783.81</v>
      </c>
      <c r="H69" s="18" t="n">
        <v>-548.85</v>
      </c>
      <c r="I69" s="18" t="n">
        <v>-3271.59</v>
      </c>
      <c r="J69" s="18" t="n">
        <v>-8265.77</v>
      </c>
      <c r="K69" s="37" t="n">
        <v>-13870.02</v>
      </c>
      <c r="L69" s="18" t="n">
        <v>-1070.76</v>
      </c>
      <c r="M69" s="18" t="n">
        <v>2190.81</v>
      </c>
      <c r="N69" s="18" t="n">
        <v>546.9400000000001</v>
      </c>
      <c r="O69" s="18" t="n">
        <v>2012.89</v>
      </c>
      <c r="P69" s="37" t="n">
        <v>3679.88</v>
      </c>
      <c r="Q69" s="18" t="n">
        <v>-2065.67</v>
      </c>
      <c r="R69" s="18" t="n">
        <v>578.52</v>
      </c>
      <c r="S69" s="18" t="n">
        <v>-320.52</v>
      </c>
      <c r="T69" s="18" t="n">
        <v>-937.12</v>
      </c>
      <c r="U69" s="37" t="n">
        <v>-2744.79</v>
      </c>
      <c r="V69" s="18" t="n">
        <v>-1861.74</v>
      </c>
      <c r="W69" s="18" t="n">
        <v>-1918.82</v>
      </c>
      <c r="X69" s="18" t="n">
        <v>-1644.96</v>
      </c>
      <c r="Y69" s="18" t="n">
        <v>-1943.15</v>
      </c>
      <c r="Z69" s="37" t="n">
        <v>-7368.67</v>
      </c>
      <c r="AA69" s="18" t="n">
        <v>-1191.27</v>
      </c>
      <c r="AB69" s="19" t="n">
        <v>3276.67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-4876.35</v>
      </c>
      <c r="F70" s="9" t="n"/>
      <c r="G70" s="18" t="n">
        <v>-1783.81</v>
      </c>
      <c r="H70" s="18" t="n">
        <v>-548.85</v>
      </c>
      <c r="I70" s="18" t="n">
        <v>-3271.59</v>
      </c>
      <c r="J70" s="18" t="n">
        <v>-7953.68</v>
      </c>
      <c r="K70" s="37" t="n">
        <v>-13557.93</v>
      </c>
      <c r="L70" s="18" t="n">
        <v>-1070.76</v>
      </c>
      <c r="M70" s="18" t="n">
        <v>2190.81</v>
      </c>
      <c r="N70" s="18" t="n">
        <v>546.9400000000001</v>
      </c>
      <c r="O70" s="18" t="n">
        <v>1955.8</v>
      </c>
      <c r="P70" s="37" t="n">
        <v>3622.79</v>
      </c>
      <c r="Q70" s="18" t="n">
        <v>-2065.67</v>
      </c>
      <c r="R70" s="18" t="n">
        <v>-3669.72</v>
      </c>
      <c r="S70" s="18" t="n">
        <v>1184.52</v>
      </c>
      <c r="U70" s="9" t="n"/>
      <c r="X70" s="18" t="n">
        <v>-1644.96</v>
      </c>
      <c r="Z70" s="9" t="n"/>
      <c r="AA70" s="18" t="n">
        <v>-1191.27</v>
      </c>
      <c r="AB70" s="19" t="n">
        <v>3276.67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F71" s="9" t="n"/>
      <c r="K71" s="9" t="n"/>
      <c r="N71" s="18" t="n">
        <v>30.35</v>
      </c>
      <c r="O71" s="18" t="n">
        <v>121.51</v>
      </c>
      <c r="P71" s="9" t="n"/>
      <c r="Q71" s="18" t="n">
        <v>120.24</v>
      </c>
      <c r="R71" s="18" t="n">
        <v>4.3</v>
      </c>
      <c r="S71" s="18" t="n">
        <v>0.71</v>
      </c>
      <c r="T71" s="18" t="n">
        <v>35.88</v>
      </c>
      <c r="U71" s="37" t="n">
        <v>161.13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중단사업이익</t>
        </is>
      </c>
      <c r="F72" s="9" t="n"/>
      <c r="K72" s="9" t="n"/>
      <c r="P72" s="9" t="n"/>
      <c r="R72" s="18" t="n">
        <v>-4248.24</v>
      </c>
      <c r="S72" s="18" t="n">
        <v>1505.04</v>
      </c>
      <c r="T72" s="18" t="n">
        <v>-86.38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2340.44</v>
      </c>
      <c r="F73" s="9" t="n"/>
      <c r="G73" s="18" t="n">
        <v>-5384.84</v>
      </c>
      <c r="H73" s="18" t="n">
        <v>-5215.92</v>
      </c>
      <c r="I73" s="18" t="n">
        <v>-1896.63</v>
      </c>
      <c r="J73" s="18" t="n">
        <v>2138.13</v>
      </c>
      <c r="K73" s="37" t="n">
        <v>-10359.26</v>
      </c>
      <c r="L73" s="18" t="n">
        <v>346.54</v>
      </c>
      <c r="M73" s="18" t="n">
        <v>721.52</v>
      </c>
      <c r="N73" s="18" t="n">
        <v>1769.07</v>
      </c>
      <c r="O73" s="18" t="n">
        <v>926.27</v>
      </c>
      <c r="P73" s="37" t="n">
        <v>3763.4</v>
      </c>
      <c r="Q73" s="18" t="n">
        <v>5058.88</v>
      </c>
      <c r="R73" s="18" t="n">
        <v>10.99</v>
      </c>
      <c r="S73" s="18" t="n">
        <v>-1599.37</v>
      </c>
      <c r="T73" s="18" t="n">
        <v>3144.36</v>
      </c>
      <c r="U73" s="37" t="n">
        <v>6614.86</v>
      </c>
      <c r="V73" s="18" t="n">
        <v>-1942.63</v>
      </c>
      <c r="W73" s="18" t="n">
        <v>-1399.83</v>
      </c>
      <c r="X73" s="18" t="n">
        <v>-5922.52</v>
      </c>
      <c r="Y73" s="18" t="n">
        <v>4205.08</v>
      </c>
      <c r="Z73" s="37" t="n">
        <v>-5059.9</v>
      </c>
      <c r="AA73" s="18" t="n">
        <v>175.49</v>
      </c>
      <c r="AB73" s="19" t="n">
        <v>-956.42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이자수취(CF)</t>
        </is>
      </c>
      <c r="E74" s="18" t="n">
        <v>2.99</v>
      </c>
      <c r="F74" s="9" t="n"/>
      <c r="G74" s="18" t="n">
        <v>6.88</v>
      </c>
      <c r="H74" s="18" t="n">
        <v>27.49</v>
      </c>
      <c r="I74" s="18" t="n">
        <v>5.01</v>
      </c>
      <c r="J74" s="18" t="n">
        <v>1.55</v>
      </c>
      <c r="K74" s="37" t="n">
        <v>40.93</v>
      </c>
      <c r="L74" s="18" t="n">
        <v>0.1</v>
      </c>
      <c r="M74" s="18" t="n">
        <v>0.11</v>
      </c>
      <c r="N74" s="18" t="n">
        <v>0.06</v>
      </c>
      <c r="O74" s="18" t="n">
        <v>0.16</v>
      </c>
      <c r="P74" s="37" t="n">
        <v>0.43</v>
      </c>
      <c r="Q74" s="18" t="n">
        <v>0.09</v>
      </c>
      <c r="R74" s="18" t="n">
        <v>13.86</v>
      </c>
      <c r="S74" s="18" t="n">
        <v>65.16</v>
      </c>
      <c r="T74" s="18" t="n">
        <v>64.26000000000001</v>
      </c>
      <c r="U74" s="37" t="n">
        <v>143.37</v>
      </c>
      <c r="V74" s="18" t="n">
        <v>39.53</v>
      </c>
      <c r="W74" s="18" t="n">
        <v>29.53</v>
      </c>
      <c r="X74" s="18" t="n">
        <v>25.43</v>
      </c>
      <c r="Y74" s="18" t="n">
        <v>25.39</v>
      </c>
      <c r="Z74" s="37" t="n">
        <v>119.88</v>
      </c>
      <c r="AA74" s="18" t="n">
        <v>14.01</v>
      </c>
      <c r="AB74" s="19" t="n">
        <v>8.25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이자지급(CF)</t>
        </is>
      </c>
      <c r="E75" s="18" t="n">
        <v>-72.56</v>
      </c>
      <c r="F75" s="9" t="n"/>
      <c r="G75" s="18" t="n">
        <v>-70.7</v>
      </c>
      <c r="H75" s="18" t="n">
        <v>-75.36</v>
      </c>
      <c r="I75" s="18" t="n">
        <v>-101.9</v>
      </c>
      <c r="J75" s="18" t="n">
        <v>-448.38</v>
      </c>
      <c r="K75" s="37" t="n">
        <v>-696.34</v>
      </c>
      <c r="L75" s="18" t="n">
        <v>-104.98</v>
      </c>
      <c r="M75" s="18" t="n">
        <v>-120.07</v>
      </c>
      <c r="P75" s="9" t="n"/>
      <c r="Q75" s="18" t="n">
        <v>-98.40000000000001</v>
      </c>
      <c r="R75" s="18" t="n">
        <v>98.40000000000001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-0.46</v>
      </c>
      <c r="F76" s="9" t="n"/>
      <c r="G76" s="18" t="n">
        <v>-1.06</v>
      </c>
      <c r="H76" s="18" t="n">
        <v>-2.48</v>
      </c>
      <c r="I76" s="18" t="n">
        <v>-0.77</v>
      </c>
      <c r="J76" s="18" t="n">
        <v>-0.23</v>
      </c>
      <c r="K76" s="37" t="n">
        <v>-4.54</v>
      </c>
      <c r="L76" s="18" t="n">
        <v>-0.01</v>
      </c>
      <c r="M76" s="18" t="n">
        <v>5.05</v>
      </c>
      <c r="N76" s="18" t="n">
        <v>-0.23</v>
      </c>
      <c r="O76" s="18" t="n">
        <v>-0.03</v>
      </c>
      <c r="P76" s="37" t="n">
        <v>4.78</v>
      </c>
      <c r="Q76" s="18" t="n">
        <v>-73.27</v>
      </c>
      <c r="R76" s="18" t="n">
        <v>4.91</v>
      </c>
      <c r="S76" s="18" t="n">
        <v>-17.96</v>
      </c>
      <c r="T76" s="18" t="n">
        <v>-21.44</v>
      </c>
      <c r="U76" s="37" t="n">
        <v>-107.76</v>
      </c>
      <c r="V76" s="18" t="n">
        <v>-5.67</v>
      </c>
      <c r="W76" s="18" t="n">
        <v>23.11</v>
      </c>
      <c r="X76" s="18" t="n">
        <v>-3.63</v>
      </c>
      <c r="Y76" s="18" t="n">
        <v>-1.9</v>
      </c>
      <c r="Z76" s="37" t="n">
        <v>11.91</v>
      </c>
      <c r="AA76" s="18" t="n">
        <v>-1.87</v>
      </c>
      <c r="AB76" s="19" t="n">
        <v>13.35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-4210.31</v>
      </c>
      <c r="F77" s="9" t="n"/>
      <c r="G77" s="18" t="n">
        <v>5745.3</v>
      </c>
      <c r="H77" s="18" t="n">
        <v>-7593.11</v>
      </c>
      <c r="I77" s="18" t="n">
        <v>1192.14</v>
      </c>
      <c r="J77" s="18" t="n">
        <v>-968.0599999999999</v>
      </c>
      <c r="K77" s="37" t="n">
        <v>-1623.73</v>
      </c>
      <c r="L77" s="18" t="n">
        <v>-269.94</v>
      </c>
      <c r="M77" s="18" t="n">
        <v>188.97</v>
      </c>
      <c r="N77" s="18" t="n">
        <v>-45.41</v>
      </c>
      <c r="O77" s="18" t="n">
        <v>-18.56</v>
      </c>
      <c r="P77" s="37" t="n">
        <v>-144.94</v>
      </c>
      <c r="Q77" s="18" t="n">
        <v>1088.41</v>
      </c>
      <c r="R77" s="18" t="n">
        <v>5732.28</v>
      </c>
      <c r="S77" s="18" t="n">
        <v>-17365.49</v>
      </c>
      <c r="T77" s="18" t="n">
        <v>-2204.52</v>
      </c>
      <c r="U77" s="37" t="n">
        <v>-12749.32</v>
      </c>
      <c r="V77" s="18" t="n">
        <v>-7361.92</v>
      </c>
      <c r="W77" s="18" t="n">
        <v>-1250.51</v>
      </c>
      <c r="X77" s="18" t="n">
        <v>-1422.48</v>
      </c>
      <c r="Y77" s="18" t="n">
        <v>624.5700000000001</v>
      </c>
      <c r="Z77" s="37" t="n">
        <v>-9410.34</v>
      </c>
      <c r="AA77" s="18" t="n">
        <v>694.33</v>
      </c>
      <c r="AB77" s="19" t="n">
        <v>-19791.96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445.21</v>
      </c>
      <c r="F78" s="9" t="n"/>
      <c r="G78" s="18" t="n">
        <v>1.79</v>
      </c>
      <c r="H78" s="18" t="n">
        <v>0</v>
      </c>
      <c r="I78" s="18" t="n">
        <v>0</v>
      </c>
      <c r="J78" s="18" t="n">
        <v>0</v>
      </c>
      <c r="K78" s="37" t="n">
        <v>1.79</v>
      </c>
      <c r="N78" s="18" t="n">
        <v>0</v>
      </c>
      <c r="O78" s="18" t="n">
        <v>0</v>
      </c>
      <c r="P78" s="9" t="n"/>
      <c r="Q78" s="18" t="n">
        <v>1715.34</v>
      </c>
      <c r="R78" s="18" t="n">
        <v>141.5</v>
      </c>
      <c r="S78" s="18" t="n">
        <v>68.23</v>
      </c>
      <c r="T78" s="18" t="n">
        <v>764.85</v>
      </c>
      <c r="U78" s="37" t="n">
        <v>2689.92</v>
      </c>
      <c r="V78" s="18" t="n">
        <v>801.3</v>
      </c>
      <c r="X78" s="18" t="n">
        <v>21.6</v>
      </c>
      <c r="Y78" s="18" t="n">
        <v>11.8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2149.52</v>
      </c>
      <c r="F79" s="9" t="n"/>
      <c r="G79" s="18" t="n">
        <v>1387.64</v>
      </c>
      <c r="H79" s="18" t="n">
        <v>1587.12</v>
      </c>
      <c r="I79" s="18" t="n">
        <v>839.04</v>
      </c>
      <c r="J79" s="18" t="n">
        <v>958.5599999999999</v>
      </c>
      <c r="K79" s="37" t="n">
        <v>4772.36</v>
      </c>
      <c r="L79" s="18" t="n">
        <v>256.3</v>
      </c>
      <c r="M79" s="18" t="n">
        <v>26.45</v>
      </c>
      <c r="N79" s="18" t="n">
        <v>45.42</v>
      </c>
      <c r="O79" s="18" t="n">
        <v>18.56</v>
      </c>
      <c r="P79" s="37" t="n">
        <v>346.73</v>
      </c>
      <c r="Q79" s="18" t="n">
        <v>26.93</v>
      </c>
      <c r="R79" s="18" t="n">
        <v>356.42</v>
      </c>
      <c r="S79" s="18" t="n">
        <v>16848.55</v>
      </c>
      <c r="T79" s="18" t="n">
        <v>3604.34</v>
      </c>
      <c r="U79" s="37" t="n">
        <v>20836.24</v>
      </c>
      <c r="V79" s="18" t="n">
        <v>2057.85</v>
      </c>
      <c r="W79" s="18" t="n">
        <v>1751.09</v>
      </c>
      <c r="X79" s="18" t="n">
        <v>58.98</v>
      </c>
      <c r="Y79" s="18" t="n">
        <v>177.06</v>
      </c>
      <c r="Z79" s="37" t="n">
        <v>4044.98</v>
      </c>
      <c r="AA79" s="18" t="n">
        <v>95.67</v>
      </c>
      <c r="AB79" s="19" t="n">
        <v>123.02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2149.52</v>
      </c>
      <c r="F80" s="9" t="n"/>
      <c r="G80" s="18" t="n">
        <v>1407.84</v>
      </c>
      <c r="H80" s="18" t="n">
        <v>1587.12</v>
      </c>
      <c r="I80" s="18" t="n">
        <v>848.64</v>
      </c>
      <c r="J80" s="18" t="n">
        <v>958.5599999999999</v>
      </c>
      <c r="K80" s="37" t="n">
        <v>4802.16</v>
      </c>
      <c r="L80" s="18" t="n">
        <v>259.94</v>
      </c>
      <c r="M80" s="18" t="n">
        <v>26.45</v>
      </c>
      <c r="N80" s="18" t="n">
        <v>45.42</v>
      </c>
      <c r="O80" s="18" t="n">
        <v>18.56</v>
      </c>
      <c r="P80" s="37" t="n">
        <v>350.37</v>
      </c>
      <c r="Q80" s="18" t="n">
        <v>26.93</v>
      </c>
      <c r="R80" s="18" t="n">
        <v>356.42</v>
      </c>
      <c r="S80" s="18" t="n">
        <v>16848.55</v>
      </c>
      <c r="T80" s="18" t="n">
        <v>3664.82</v>
      </c>
      <c r="U80" s="37" t="n">
        <v>20896.72</v>
      </c>
      <c r="V80" s="18" t="n">
        <v>2148.81</v>
      </c>
      <c r="W80" s="18" t="n">
        <v>1751.09</v>
      </c>
      <c r="X80" s="18" t="n">
        <v>58.98</v>
      </c>
      <c r="Y80" s="18" t="n">
        <v>177.06</v>
      </c>
      <c r="Z80" s="37" t="n">
        <v>4135.94</v>
      </c>
      <c r="AA80" s="18" t="n">
        <v>95.67</v>
      </c>
      <c r="AB80" s="19" t="n">
        <v>227.82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-468.87</v>
      </c>
      <c r="F81" s="9" t="n"/>
      <c r="G81" s="18" t="n">
        <v>-492.33</v>
      </c>
      <c r="H81" s="18" t="n">
        <v>12522.67</v>
      </c>
      <c r="I81" s="18" t="n">
        <v>393.68</v>
      </c>
      <c r="J81" s="18" t="n">
        <v>-984.11</v>
      </c>
      <c r="K81" s="37" t="n">
        <v>11439.91</v>
      </c>
      <c r="L81" s="18" t="n">
        <v>-372.99</v>
      </c>
      <c r="M81" s="18" t="n">
        <v>170.65</v>
      </c>
      <c r="N81" s="18" t="n">
        <v>-1843.32</v>
      </c>
      <c r="O81" s="18" t="n">
        <v>-1059.02</v>
      </c>
      <c r="P81" s="37" t="n">
        <v>-3104.68</v>
      </c>
      <c r="Q81" s="18" t="n">
        <v>5550.3</v>
      </c>
      <c r="R81" s="18" t="n">
        <v>-1859.83</v>
      </c>
      <c r="S81" s="18" t="n">
        <v>11910.43</v>
      </c>
      <c r="T81" s="18" t="n">
        <v>-13.66</v>
      </c>
      <c r="U81" s="37" t="n">
        <v>15587.24</v>
      </c>
      <c r="V81" s="18" t="n">
        <v>5873.37</v>
      </c>
      <c r="W81" s="18" t="n">
        <v>903.28</v>
      </c>
      <c r="X81" s="18" t="n">
        <v>-395.06</v>
      </c>
      <c r="Y81" s="18" t="n">
        <v>-105.46</v>
      </c>
      <c r="Z81" s="37" t="n">
        <v>6276.13</v>
      </c>
      <c r="AA81" s="18" t="n">
        <v>17999.18</v>
      </c>
      <c r="AB81" s="19" t="n">
        <v>-97.20999999999999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I82" s="18" t="n">
        <v>2800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K83" s="9" t="n"/>
      <c r="P83" s="9" t="n"/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장기차입금의감소</t>
        </is>
      </c>
      <c r="E84" s="18" t="n">
        <v>0</v>
      </c>
      <c r="F84" s="9" t="n"/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유동성장기부채의감소</t>
        </is>
      </c>
      <c r="E85" s="18" t="n">
        <v>333.34</v>
      </c>
      <c r="F85" s="9" t="n"/>
      <c r="G85" s="18" t="n">
        <v>333.33</v>
      </c>
      <c r="H85" s="18" t="n">
        <v>333.34</v>
      </c>
      <c r="I85" s="18" t="n">
        <v>333.33</v>
      </c>
      <c r="J85" s="18" t="n">
        <v>111.11</v>
      </c>
      <c r="K85" s="37" t="n">
        <v>1111.11</v>
      </c>
      <c r="O85" s="18" t="n">
        <v>30.93</v>
      </c>
      <c r="P85" s="9" t="n"/>
      <c r="Q85" s="18" t="n">
        <v>23.61</v>
      </c>
      <c r="R85" s="18" t="n">
        <v>23.99</v>
      </c>
      <c r="S85" s="18" t="n">
        <v>24.54</v>
      </c>
      <c r="T85" s="18" t="n">
        <v>181.71</v>
      </c>
      <c r="U85" s="37" t="n">
        <v>253.85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현금및현금성자산의증감</t>
        </is>
      </c>
      <c r="E86" s="18" t="n">
        <v>-2426</v>
      </c>
      <c r="F86" s="9" t="n"/>
      <c r="G86" s="18" t="n">
        <v>-129.83</v>
      </c>
      <c r="H86" s="18" t="n">
        <v>-287.79</v>
      </c>
      <c r="I86" s="18" t="n">
        <v>-311.36</v>
      </c>
      <c r="J86" s="18" t="n">
        <v>180.11</v>
      </c>
      <c r="K86" s="37" t="n">
        <v>-548.87</v>
      </c>
      <c r="L86" s="18" t="n">
        <v>-296.4</v>
      </c>
      <c r="M86" s="18" t="n">
        <v>1081.38</v>
      </c>
      <c r="N86" s="18" t="n">
        <v>-112.7</v>
      </c>
      <c r="O86" s="18" t="n">
        <v>-182.46</v>
      </c>
      <c r="P86" s="37" t="n">
        <v>489.82</v>
      </c>
      <c r="Q86" s="18" t="n">
        <v>11706.73</v>
      </c>
      <c r="R86" s="18" t="n">
        <v>3874.3</v>
      </c>
      <c r="S86" s="18" t="n">
        <v>-7054.43</v>
      </c>
      <c r="T86" s="18" t="n">
        <v>930.66</v>
      </c>
      <c r="U86" s="37" t="n">
        <v>9457.26</v>
      </c>
      <c r="V86" s="18" t="n">
        <v>-3427.47</v>
      </c>
      <c r="W86" s="18" t="n">
        <v>-1750.93</v>
      </c>
      <c r="X86" s="18" t="n">
        <v>-3173.94</v>
      </c>
      <c r="Y86" s="18" t="n">
        <v>158.23</v>
      </c>
      <c r="Z86" s="37" t="n">
        <v>-8194.110000000001</v>
      </c>
      <c r="AA86" s="18" t="n">
        <v>18923.23</v>
      </c>
      <c r="AB86" s="19" t="n">
        <v>-20899.82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기말현금및현금성자산</t>
        </is>
      </c>
      <c r="E87" s="18" t="n">
        <v>-2426</v>
      </c>
      <c r="F87" s="9" t="n"/>
      <c r="G87" s="18" t="n">
        <v>1122.42</v>
      </c>
      <c r="H87" s="18" t="n">
        <v>-287.79</v>
      </c>
      <c r="I87" s="18" t="n">
        <v>-311.36</v>
      </c>
      <c r="J87" s="18" t="n">
        <v>180.12</v>
      </c>
      <c r="K87" s="37" t="n">
        <v>703.39</v>
      </c>
      <c r="L87" s="18" t="n">
        <v>406.99</v>
      </c>
      <c r="M87" s="18" t="n">
        <v>1081.38</v>
      </c>
      <c r="N87" s="18" t="n">
        <v>-112.7</v>
      </c>
      <c r="O87" s="18" t="n">
        <v>-182.46</v>
      </c>
      <c r="P87" s="37" t="n">
        <v>1193.21</v>
      </c>
      <c r="Q87" s="18" t="n">
        <v>12899.94</v>
      </c>
      <c r="R87" s="18" t="n">
        <v>3894.09</v>
      </c>
      <c r="S87" s="18" t="n">
        <v>-7114.26</v>
      </c>
      <c r="T87" s="18" t="n">
        <v>970.7</v>
      </c>
      <c r="U87" s="37" t="n">
        <v>10650.47</v>
      </c>
      <c r="V87" s="18" t="n">
        <v>7222.99</v>
      </c>
      <c r="W87" s="18" t="n">
        <v>-1750.92</v>
      </c>
      <c r="X87" s="18" t="n">
        <v>-3173.94</v>
      </c>
      <c r="Y87" s="18" t="n">
        <v>158.23</v>
      </c>
      <c r="Z87" s="37" t="n">
        <v>2456.36</v>
      </c>
      <c r="AA87" s="18" t="n">
        <v>21379.59</v>
      </c>
      <c r="AB87" s="19" t="n">
        <v>-20899.82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20.2</v>
      </c>
      <c r="H88" s="18" t="n">
        <v>0</v>
      </c>
      <c r="I88" s="18" t="n">
        <v>9.6</v>
      </c>
      <c r="J88" s="18" t="n">
        <v>0</v>
      </c>
      <c r="K88" s="37" t="n">
        <v>29.8</v>
      </c>
      <c r="L88" s="18" t="n">
        <v>3.64</v>
      </c>
      <c r="M88" s="18" t="n">
        <v>0</v>
      </c>
      <c r="N88" s="18" t="n">
        <v>0</v>
      </c>
      <c r="O88" s="18" t="n">
        <v>0</v>
      </c>
      <c r="P88" s="37" t="n">
        <v>3.64</v>
      </c>
      <c r="U88" s="9" t="n"/>
      <c r="V88" s="18" t="n">
        <v>90.95999999999999</v>
      </c>
      <c r="W88" s="18" t="n">
        <v>0</v>
      </c>
      <c r="X88" s="18" t="n">
        <v>0</v>
      </c>
      <c r="Y88" s="18" t="n">
        <v>0</v>
      </c>
      <c r="Z88" s="37" t="n">
        <v>90.95999999999999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단기차입금의감소</t>
        </is>
      </c>
      <c r="F89" s="9" t="n"/>
      <c r="J89" s="18" t="n">
        <v>800</v>
      </c>
      <c r="K89" s="9" t="n"/>
      <c r="L89" s="18" t="n">
        <v>300</v>
      </c>
      <c r="M89" s="18" t="n">
        <v>0</v>
      </c>
      <c r="N89" s="18" t="n">
        <v>1750</v>
      </c>
      <c r="O89" s="18" t="n">
        <v>950</v>
      </c>
      <c r="P89" s="37" t="n">
        <v>3000</v>
      </c>
      <c r="Q89" s="18" t="n">
        <v>2350</v>
      </c>
      <c r="R89" s="18" t="n">
        <v>1780</v>
      </c>
      <c r="S89" s="18" t="n">
        <v>8000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F90" s="9" t="n"/>
      <c r="K90" s="9" t="n"/>
      <c r="N90" s="18" t="n">
        <v>78.09</v>
      </c>
      <c r="P90" s="9" t="n"/>
      <c r="U90" s="9" t="n"/>
      <c r="V90" s="18" t="n">
        <v>117.61</v>
      </c>
      <c r="W90" s="18" t="n">
        <v>95.7</v>
      </c>
      <c r="Z90" s="9" t="n"/>
      <c r="AA90" s="18" t="n">
        <v>104.43</v>
      </c>
      <c r="AB90" s="19" t="n">
        <v>100.21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F91" s="9" t="n"/>
      <c r="K91" s="9" t="n"/>
      <c r="N91" s="18" t="n">
        <v>0</v>
      </c>
      <c r="O91" s="18" t="n">
        <v>0</v>
      </c>
      <c r="P91" s="9" t="n"/>
      <c r="S91" s="18" t="n">
        <v>0.73</v>
      </c>
      <c r="T91" s="18" t="n">
        <v>0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 t="n"/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 t="n"/>
      <c r="AC12" s="20">
        <f>IFERROR((AB29*변수!$D$56-AB27*변수!$D$57)/4,"")</f>
        <v/>
      </c>
      <c r="AD12" s="20">
        <f>IFERROR((AC29*변수!$D$56-AC27*변수!$D$57)/4,"")</f>
        <v/>
      </c>
      <c r="AE12" s="38">
        <f>SUM(AA12:AD12)</f>
        <v/>
      </c>
      <c r="AF12" s="20">
        <f>IFERROR((AD29*변수!$D$56-AD27*변수!$D$57)/4,"")</f>
        <v/>
      </c>
      <c r="AG12" s="20">
        <f>IFERROR((AF29*변수!$D$56-AF27*변수!$D$57)/4,"")</f>
        <v/>
      </c>
      <c r="AH12" s="20">
        <f>IFERROR((AG29*변수!$D$56-AG27*변수!$D$57)/4,"")</f>
        <v/>
      </c>
      <c r="AI12" s="20">
        <f>IFERROR((AH29*변수!$D$56-AH27*변수!$D$57)/4,"")</f>
        <v/>
      </c>
      <c r="AJ12" s="38">
        <f>SUM(AF12:AI12)</f>
        <v/>
      </c>
      <c r="AK12" s="20">
        <f>IFERROR((AI29*변수!$D$56-AI27*변수!$D$57)/4,"")</f>
        <v/>
      </c>
      <c r="AL12" s="20">
        <f>IFERROR((AK29*변수!$D$56-AK27*변수!$D$57)/4,"")</f>
        <v/>
      </c>
      <c r="AM12" s="20">
        <f>IFERROR((AL29*변수!$D$56-AL27*변수!$D$57)/4,"")</f>
        <v/>
      </c>
      <c r="AN12" s="20">
        <f>IFERROR((AM29*변수!$D$56-AM27*변수!$D$57)/4,"")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 t="n"/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>
        <f>IFERROR((VLOOKUP("파생상품이익",BS연결,MATCH(X$1,BS연결H,0),0)-VLOOKUP("파생상품손실",BS연결,MATCH(X$1,BS연결H,0),0))/100,"")</f>
        <v/>
      </c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>
        <f>IFERROR(X11-X12-X13-X14,"")</f>
        <v/>
      </c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 t="n"/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 t="n"/>
      <c r="X19" s="18" t="n"/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SUM(G20:J20)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SUM(G21:J21)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 t="n"/>
      <c r="F22" s="37" t="n"/>
      <c r="G22" s="18" t="n"/>
      <c r="H22" s="18" t="n"/>
      <c r="I22" s="18" t="n"/>
      <c r="J22" s="18" t="n"/>
      <c r="K22" s="37">
        <f>SUM(G22:J22)</f>
        <v/>
      </c>
      <c r="L22" s="18" t="n"/>
      <c r="M22" s="18" t="n"/>
      <c r="N22" s="18" t="n"/>
      <c r="O22" s="18" t="n"/>
      <c r="P22" s="37">
        <f>SUM(L22:O22)</f>
        <v/>
      </c>
      <c r="Q22" s="18" t="n"/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71.751</v>
      </c>
      <c r="F33" s="28">
        <f>E33</f>
        <v/>
      </c>
      <c r="G33" s="27" t="n">
        <v>71.751</v>
      </c>
      <c r="H33" s="27" t="n">
        <v>71.751</v>
      </c>
      <c r="I33" s="27" t="n">
        <v>71.751</v>
      </c>
      <c r="J33" s="27" t="n">
        <v>71.751</v>
      </c>
      <c r="K33" s="28">
        <f>J33</f>
        <v/>
      </c>
      <c r="L33" s="27" t="n">
        <v>17.938</v>
      </c>
      <c r="M33" s="27" t="n">
        <v>18.779</v>
      </c>
      <c r="N33" s="27" t="n">
        <v>18.779</v>
      </c>
      <c r="O33" s="27" t="n">
        <v>18.779</v>
      </c>
      <c r="P33" s="28">
        <f>O33</f>
        <v/>
      </c>
      <c r="Q33" s="27" t="n">
        <v>22.842</v>
      </c>
      <c r="R33" s="27" t="n">
        <v>30.133</v>
      </c>
      <c r="S33" s="27" t="n">
        <v>30.133</v>
      </c>
      <c r="T33" s="27" t="n">
        <v>30.63</v>
      </c>
      <c r="U33" s="28">
        <f>T33</f>
        <v/>
      </c>
      <c r="V33" s="27" t="n">
        <v>33.255</v>
      </c>
      <c r="W33" s="27" t="n">
        <v>33.43</v>
      </c>
      <c r="X33" s="27" t="n">
        <v>33.43</v>
      </c>
      <c r="Y33" s="27" t="n">
        <v>33.43</v>
      </c>
      <c r="Z33" s="28">
        <f>Y33</f>
        <v/>
      </c>
      <c r="AA33" s="27" t="n">
        <v>39.625</v>
      </c>
      <c r="AB33" s="29" t="n">
        <v>39.625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조정EPS</t>
        </is>
      </c>
      <c r="B35" t="inlineStr">
        <is>
          <t>주당</t>
        </is>
      </c>
      <c r="C35" t="inlineStr">
        <is>
          <t>원</t>
        </is>
      </c>
      <c r="D35" t="inlineStr">
        <is>
          <t>조정 EPS(일회성 의심 분기의 초과 비영업손익 세후 차감 — 모델 추정)</t>
        </is>
      </c>
      <c r="E35" s="18" t="n">
        <v>-67.09999999999999</v>
      </c>
      <c r="F35" s="37" t="n"/>
      <c r="G35" s="18" t="n">
        <v>-24.9</v>
      </c>
      <c r="H35" s="18" t="n">
        <v>-7.6</v>
      </c>
      <c r="I35" s="18" t="n">
        <v>-45.6</v>
      </c>
      <c r="J35" s="18" t="n">
        <v>-115.2</v>
      </c>
      <c r="K35" s="37">
        <f>SUM(G35:J35)</f>
        <v/>
      </c>
      <c r="L35" s="18" t="n">
        <v>-59.7</v>
      </c>
      <c r="M35" s="18" t="n">
        <v>116.7</v>
      </c>
      <c r="N35" s="18" t="n">
        <v>29.1</v>
      </c>
      <c r="O35" s="18" t="n">
        <v>107.2</v>
      </c>
      <c r="P35" s="37">
        <f>SUM(L35:O35)</f>
        <v/>
      </c>
      <c r="Q35" s="18" t="n">
        <v>-90.5</v>
      </c>
      <c r="R35" s="18" t="n">
        <v>-121.8</v>
      </c>
      <c r="S35" s="18" t="n">
        <v>39.3</v>
      </c>
      <c r="T35" s="18" t="n">
        <v>-22.7</v>
      </c>
      <c r="U35" s="37">
        <f>SUM(Q35:T35)</f>
        <v/>
      </c>
      <c r="V35" s="18" t="n">
        <v>-58.5</v>
      </c>
      <c r="W35" s="18" t="n">
        <v>-55</v>
      </c>
      <c r="X35" s="18" t="n">
        <v>-36.3</v>
      </c>
      <c r="Y35" s="18" t="n">
        <v>-67.59999999999999</v>
      </c>
      <c r="Z35" s="37">
        <f>SUM(V35:Y35)</f>
        <v/>
      </c>
      <c r="AA35" s="18" t="n">
        <v>-25.9</v>
      </c>
      <c r="AB35" s="39" t="n">
        <v>-26.2</v>
      </c>
      <c r="AC35" s="20">
        <f>IFERROR(X35*(1+변수!AC42),"")</f>
        <v/>
      </c>
      <c r="AD35" s="20">
        <f>IFERROR(Y35*(1+변수!AD42),"")</f>
        <v/>
      </c>
      <c r="AE35" s="38">
        <f>SUM(AA35:AD35)</f>
        <v/>
      </c>
      <c r="AF35" s="20">
        <f>IFERROR(AA35*(1+변수!AF42),"")</f>
        <v/>
      </c>
      <c r="AG35" s="20">
        <f>IFERROR(AB35*(1+변수!AG42),"")</f>
        <v/>
      </c>
      <c r="AH35" s="20">
        <f>IFERROR(AC35*(1+변수!AH42),"")</f>
        <v/>
      </c>
      <c r="AI35" s="20">
        <f>IFERROR(AD35*(1+변수!AI42),"")</f>
        <v/>
      </c>
      <c r="AJ35" s="38">
        <f>SUM(AF35:AI35)</f>
        <v/>
      </c>
      <c r="AK35" s="20">
        <f>IFERROR(AF35*(1+변수!AK42),"")</f>
        <v/>
      </c>
      <c r="AL35" s="20">
        <f>IFERROR(AG35*(1+변수!AL42),"")</f>
        <v/>
      </c>
      <c r="AM35" s="20">
        <f>IFERROR(AH35*(1+변수!AM42),"")</f>
        <v/>
      </c>
      <c r="AN35" s="20">
        <f>IFERROR(AI35*(1+변수!AN42),"")</f>
        <v/>
      </c>
      <c r="AO35" s="38">
        <f>SUM(AK35:AN35)</f>
        <v/>
      </c>
    </row>
    <row r="36">
      <c r="A36" s="12" t="inlineStr">
        <is>
          <t>BPS</t>
        </is>
      </c>
      <c r="B36" t="inlineStr">
        <is>
          <t>주당</t>
        </is>
      </c>
      <c r="C36" t="inlineStr">
        <is>
          <t>원</t>
        </is>
      </c>
      <c r="D36" t="inlineStr">
        <is>
          <t>BPS</t>
        </is>
      </c>
      <c r="E36" s="18">
        <f>IFERROR(E26*100/E33,"")</f>
        <v/>
      </c>
      <c r="F36" s="37">
        <f>E36</f>
        <v/>
      </c>
      <c r="G36" s="18">
        <f>IFERROR(G26*100/G33,"")</f>
        <v/>
      </c>
      <c r="H36" s="18">
        <f>IFERROR(H26*100/H33,"")</f>
        <v/>
      </c>
      <c r="I36" s="18">
        <f>IFERROR(I26*100/I33,"")</f>
        <v/>
      </c>
      <c r="J36" s="18">
        <f>IFERROR(J26*100/J33,"")</f>
        <v/>
      </c>
      <c r="K36" s="37">
        <f>J36</f>
        <v/>
      </c>
      <c r="L36" s="18">
        <f>IFERROR(L26*100/L33,"")</f>
        <v/>
      </c>
      <c r="M36" s="18">
        <f>IFERROR(M26*100/M33,"")</f>
        <v/>
      </c>
      <c r="N36" s="18">
        <f>IFERROR(N26*100/N33,"")</f>
        <v/>
      </c>
      <c r="O36" s="18">
        <f>IFERROR(O26*100/O33,"")</f>
        <v/>
      </c>
      <c r="P36" s="37">
        <f>O36</f>
        <v/>
      </c>
      <c r="Q36" s="18">
        <f>IFERROR(Q26*100/Q33,"")</f>
        <v/>
      </c>
      <c r="R36" s="18">
        <f>IFERROR(R26*100/R33,"")</f>
        <v/>
      </c>
      <c r="S36" s="18">
        <f>IFERROR(S26*100/S33,"")</f>
        <v/>
      </c>
      <c r="T36" s="18">
        <f>IFERROR(T26*100/T33,"")</f>
        <v/>
      </c>
      <c r="U36" s="37">
        <f>T36</f>
        <v/>
      </c>
      <c r="V36" s="18">
        <f>IFERROR(V26*100/V33,"")</f>
        <v/>
      </c>
      <c r="W36" s="18">
        <f>IFERROR(W26*100/W33,"")</f>
        <v/>
      </c>
      <c r="X36" s="18">
        <f>IFERROR(X26*100/X33,"")</f>
        <v/>
      </c>
      <c r="Y36" s="18">
        <f>IFERROR(Y26*100/Y33,"")</f>
        <v/>
      </c>
      <c r="Z36" s="37">
        <f>Y36</f>
        <v/>
      </c>
      <c r="AA36" s="18">
        <f>IFERROR(AA26*100/AA33,"")</f>
        <v/>
      </c>
      <c r="AB36" s="19">
        <f>IFERROR(AB26*100/AB33,"")</f>
        <v/>
      </c>
      <c r="AC36" s="20">
        <f>IFERROR(AC26*100/AC33,"")</f>
        <v/>
      </c>
      <c r="AD36" s="20">
        <f>IFERROR(AD26*100/AD33,"")</f>
        <v/>
      </c>
      <c r="AE36" s="38">
        <f>AD36</f>
        <v/>
      </c>
      <c r="AF36" s="20">
        <f>IFERROR(AF26*100/AF33,"")</f>
        <v/>
      </c>
      <c r="AG36" s="20">
        <f>IFERROR(AG26*100/AG33,"")</f>
        <v/>
      </c>
      <c r="AH36" s="20">
        <f>IFERROR(AH26*100/AH33,"")</f>
        <v/>
      </c>
      <c r="AI36" s="20">
        <f>IFERROR(AI26*100/AI33,"")</f>
        <v/>
      </c>
      <c r="AJ36" s="38">
        <f>AI36</f>
        <v/>
      </c>
      <c r="AK36" s="20">
        <f>IFERROR(AK26*100/AK33,"")</f>
        <v/>
      </c>
      <c r="AL36" s="20">
        <f>IFERROR(AL26*100/AL33,"")</f>
        <v/>
      </c>
      <c r="AM36" s="20">
        <f>IFERROR(AM26*100/AM33,"")</f>
        <v/>
      </c>
      <c r="AN36" s="20">
        <f>IFERROR(AN26*100/AN33,"")</f>
        <v/>
      </c>
      <c r="AO36" s="38">
        <f>AN36</f>
        <v/>
      </c>
    </row>
    <row r="37">
      <c r="A37" s="12" t="inlineStr">
        <is>
          <t>DPS</t>
        </is>
      </c>
      <c r="B37" t="inlineStr">
        <is>
          <t>주당</t>
        </is>
      </c>
      <c r="C37" t="inlineStr">
        <is>
          <t>원</t>
        </is>
      </c>
      <c r="D37" t="inlineStr">
        <is>
          <t>DPS(보통주)</t>
        </is>
      </c>
      <c r="E37" s="18" t="n">
        <v>0</v>
      </c>
      <c r="F37" s="37" t="n">
        <v>0</v>
      </c>
      <c r="G37" s="18" t="n"/>
      <c r="H37" s="18" t="n"/>
      <c r="I37" s="18" t="n"/>
      <c r="J37" s="18" t="n">
        <v>0</v>
      </c>
      <c r="K37" s="37">
        <f>SUM(G37:J37)</f>
        <v/>
      </c>
      <c r="L37" s="18" t="n"/>
      <c r="M37" s="18" t="n"/>
      <c r="N37" s="18" t="n"/>
      <c r="O37" s="18" t="n">
        <v>0</v>
      </c>
      <c r="P37" s="37">
        <f>SUM(L37:O37)</f>
        <v/>
      </c>
      <c r="Q37" s="18" t="n"/>
      <c r="R37" s="18" t="n"/>
      <c r="S37" s="18" t="n"/>
      <c r="T37" s="18" t="n">
        <v>0</v>
      </c>
      <c r="U37" s="37">
        <f>SUM(Q37:T37)</f>
        <v/>
      </c>
      <c r="V37" s="18" t="n"/>
      <c r="W37" s="18" t="n"/>
      <c r="X37" s="18" t="n"/>
      <c r="Y37" s="18" t="n">
        <v>0</v>
      </c>
      <c r="Z37" s="37">
        <f>SUM(V37:Y37)</f>
        <v/>
      </c>
      <c r="AA37" s="18" t="n"/>
      <c r="AB37" s="19" t="n"/>
      <c r="AC37" s="20" t="n"/>
      <c r="AD37" s="20">
        <f>변수!AD43</f>
        <v/>
      </c>
      <c r="AE37" s="38">
        <f>SUM(AA37:AD37)</f>
        <v/>
      </c>
      <c r="AF37" s="20" t="n"/>
      <c r="AG37" s="20" t="n"/>
      <c r="AH37" s="20" t="n"/>
      <c r="AI37" s="20">
        <f>변수!AI43</f>
        <v/>
      </c>
      <c r="AJ37" s="38">
        <f>SUM(AF37:AI37)</f>
        <v/>
      </c>
      <c r="AK37" s="20" t="n"/>
      <c r="AL37" s="20" t="n"/>
      <c r="AM37" s="20" t="n"/>
      <c r="AN37" s="20">
        <f>변수!AN43</f>
        <v/>
      </c>
      <c r="AO37" s="38">
        <f>SUM(AK37:AN37)</f>
        <v/>
      </c>
    </row>
    <row r="38">
      <c r="A38" s="12" t="inlineStr">
        <is>
          <t>PER</t>
        </is>
      </c>
      <c r="B38" t="inlineStr">
        <is>
          <t>주당</t>
        </is>
      </c>
      <c r="C38" t="inlineStr">
        <is>
          <t>배</t>
        </is>
      </c>
      <c r="D38" t="inlineStr">
        <is>
          <t>PER</t>
        </is>
      </c>
      <c r="E38" s="13" t="n"/>
      <c r="F38" s="14">
        <f>E38</f>
        <v/>
      </c>
      <c r="G38" s="13" t="n"/>
      <c r="H38" s="13" t="n"/>
      <c r="I38" s="13" t="n"/>
      <c r="J38" s="13" t="n"/>
      <c r="K38" s="14">
        <f>J38</f>
        <v/>
      </c>
      <c r="L38" s="13" t="n"/>
      <c r="M38" s="13" t="n"/>
      <c r="N38" s="13" t="n"/>
      <c r="O38" s="13">
        <f>IFERROR(변수!O18/(L34+M34+N34+O34),"")</f>
        <v/>
      </c>
      <c r="P38" s="14">
        <f>O38</f>
        <v/>
      </c>
      <c r="Q38" s="13">
        <f>IFERROR(변수!Q18/(M34+N34+O34+Q34),"")</f>
        <v/>
      </c>
      <c r="R38" s="13" t="n"/>
      <c r="S38" s="13" t="n"/>
      <c r="T38" s="13" t="n"/>
      <c r="U38" s="14">
        <f>T38</f>
        <v/>
      </c>
      <c r="V38" s="13" t="n"/>
      <c r="W38" s="13" t="n"/>
      <c r="X38" s="13" t="n"/>
      <c r="Y38" s="13" t="n"/>
      <c r="Z38" s="14">
        <f>Y38</f>
        <v/>
      </c>
      <c r="AA38" s="13" t="n"/>
      <c r="AB38" s="15" t="n"/>
      <c r="AC38" s="40" t="n"/>
      <c r="AD38" s="40" t="n"/>
      <c r="AE38" s="41">
        <f>AD38</f>
        <v/>
      </c>
      <c r="AF38" s="40" t="n"/>
      <c r="AG38" s="40" t="n"/>
      <c r="AH38" s="40" t="n"/>
      <c r="AI38" s="40" t="n"/>
      <c r="AJ38" s="41">
        <f>AI38</f>
        <v/>
      </c>
      <c r="AK38" s="40" t="n"/>
      <c r="AL38" s="40" t="n"/>
      <c r="AM38" s="40" t="n"/>
      <c r="AN38" s="40" t="n"/>
      <c r="AO38" s="41">
        <f>AN38</f>
        <v/>
      </c>
    </row>
    <row r="39">
      <c r="A39" s="12" t="inlineStr">
        <is>
          <t>PBR</t>
        </is>
      </c>
      <c r="B39" t="inlineStr">
        <is>
          <t>주당</t>
        </is>
      </c>
      <c r="C39" t="inlineStr">
        <is>
          <t>배</t>
        </is>
      </c>
      <c r="D39" t="inlineStr">
        <is>
          <t>PBR</t>
        </is>
      </c>
      <c r="E39" s="13">
        <f>IFERROR(변수!E18/E36,"")</f>
        <v/>
      </c>
      <c r="F39" s="14">
        <f>E39</f>
        <v/>
      </c>
      <c r="G39" s="13">
        <f>IFERROR(변수!G18/G36,"")</f>
        <v/>
      </c>
      <c r="H39" s="13">
        <f>IFERROR(변수!H18/H36,"")</f>
        <v/>
      </c>
      <c r="I39" s="13">
        <f>IFERROR(변수!I18/I36,"")</f>
        <v/>
      </c>
      <c r="J39" s="13">
        <f>IFERROR(변수!J18/J36,"")</f>
        <v/>
      </c>
      <c r="K39" s="14">
        <f>J39</f>
        <v/>
      </c>
      <c r="L39" s="13">
        <f>IFERROR(변수!L18/L36,"")</f>
        <v/>
      </c>
      <c r="M39" s="13">
        <f>IFERROR(변수!M18/M36,"")</f>
        <v/>
      </c>
      <c r="N39" s="13">
        <f>IFERROR(변수!N18/N36,"")</f>
        <v/>
      </c>
      <c r="O39" s="13">
        <f>IFERROR(변수!O18/O36,"")</f>
        <v/>
      </c>
      <c r="P39" s="14">
        <f>O39</f>
        <v/>
      </c>
      <c r="Q39" s="13">
        <f>IFERROR(변수!Q18/Q36,"")</f>
        <v/>
      </c>
      <c r="R39" s="13">
        <f>IFERROR(변수!R18/R36,"")</f>
        <v/>
      </c>
      <c r="S39" s="13">
        <f>IFERROR(변수!S18/S36,"")</f>
        <v/>
      </c>
      <c r="T39" s="13">
        <f>IFERROR(변수!T18/T36,"")</f>
        <v/>
      </c>
      <c r="U39" s="14">
        <f>T39</f>
        <v/>
      </c>
      <c r="V39" s="13">
        <f>IFERROR(변수!V18/V36,"")</f>
        <v/>
      </c>
      <c r="W39" s="13">
        <f>IFERROR(변수!W18/W36,"")</f>
        <v/>
      </c>
      <c r="X39" s="13">
        <f>IFERROR(변수!X18/X36,"")</f>
        <v/>
      </c>
      <c r="Y39" s="13">
        <f>IFERROR(변수!Y18/Y36,"")</f>
        <v/>
      </c>
      <c r="Z39" s="14">
        <f>Y39</f>
        <v/>
      </c>
      <c r="AA39" s="13">
        <f>IFERROR(변수!AA18/AA36,"")</f>
        <v/>
      </c>
      <c r="AB39" s="15">
        <f>IFERROR(변수!AB18/AB36,"")</f>
        <v/>
      </c>
      <c r="AC39" s="40">
        <f>IFERROR(변수!$D$46/AC36,"")</f>
        <v/>
      </c>
      <c r="AD39" s="40">
        <f>IFERROR(변수!$D$46/AD36,"")</f>
        <v/>
      </c>
      <c r="AE39" s="41">
        <f>AD39</f>
        <v/>
      </c>
      <c r="AF39" s="40">
        <f>IFERROR(변수!$D$46/AF36,"")</f>
        <v/>
      </c>
      <c r="AG39" s="40">
        <f>IFERROR(변수!$D$46/AG36,"")</f>
        <v/>
      </c>
      <c r="AH39" s="40">
        <f>IFERROR(변수!$D$46/AH36,"")</f>
        <v/>
      </c>
      <c r="AI39" s="40">
        <f>IFERROR(변수!$D$46/AI36,"")</f>
        <v/>
      </c>
      <c r="AJ39" s="41">
        <f>AI39</f>
        <v/>
      </c>
      <c r="AK39" s="40">
        <f>IFERROR(변수!$D$46/AK36,"")</f>
        <v/>
      </c>
      <c r="AL39" s="40">
        <f>IFERROR(변수!$D$46/AL36,"")</f>
        <v/>
      </c>
      <c r="AM39" s="40">
        <f>IFERROR(변수!$D$46/AM36,"")</f>
        <v/>
      </c>
      <c r="AN39" s="40">
        <f>IFERROR(변수!$D$46/AN36,"")</f>
        <v/>
      </c>
      <c r="AO39" s="41">
        <f>AN39</f>
        <v/>
      </c>
    </row>
    <row r="40">
      <c r="A40" s="12" t="inlineStr">
        <is>
          <t>매출전사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전사(부문 미분리)</t>
        </is>
      </c>
      <c r="E40" s="18" t="n">
        <v>85.02</v>
      </c>
      <c r="F40" s="37" t="n"/>
      <c r="G40" s="18" t="n">
        <v>147.35</v>
      </c>
      <c r="H40" s="18" t="n">
        <v>187.07</v>
      </c>
      <c r="I40" s="18" t="n">
        <v>171.76</v>
      </c>
      <c r="J40" s="18" t="n">
        <v>238.12</v>
      </c>
      <c r="K40" s="37">
        <f>SUM(G40:J40)</f>
        <v/>
      </c>
      <c r="L40" s="18" t="n">
        <v>215.27</v>
      </c>
      <c r="M40" s="18" t="n">
        <v>234.09</v>
      </c>
      <c r="N40" s="18" t="n">
        <v>232.95</v>
      </c>
      <c r="O40" s="18" t="n">
        <v>181.21</v>
      </c>
      <c r="P40" s="37">
        <f>SUM(L40:O40)</f>
        <v/>
      </c>
      <c r="Q40" s="18" t="n">
        <v>153.68</v>
      </c>
      <c r="R40" s="18" t="n">
        <v>55.04</v>
      </c>
      <c r="S40" s="18" t="n">
        <v>60.6</v>
      </c>
      <c r="T40" s="18" t="n">
        <v>80.93000000000001</v>
      </c>
      <c r="U40" s="37">
        <f>SUM(Q40:T40)</f>
        <v/>
      </c>
      <c r="V40" s="18" t="n">
        <v>90.20999999999999</v>
      </c>
      <c r="W40" s="18" t="n">
        <v>112.09</v>
      </c>
      <c r="X40" s="18" t="n">
        <v>120.4</v>
      </c>
      <c r="Y40" s="18" t="n">
        <v>71.77</v>
      </c>
      <c r="Z40" s="37">
        <f>SUM(V40:Y40)</f>
        <v/>
      </c>
      <c r="AA40" s="18" t="n">
        <v>104.01</v>
      </c>
      <c r="AB40" s="19" t="n">
        <v>94.65000000000001</v>
      </c>
      <c r="AC40" s="20">
        <f>IFERROR(AC5,"")</f>
        <v/>
      </c>
      <c r="AD40" s="20">
        <f>IFERROR(AD5,"")</f>
        <v/>
      </c>
      <c r="AE40" s="38">
        <f>SUM(AA40:AD40)</f>
        <v/>
      </c>
      <c r="AF40" s="20">
        <f>IFERROR(AF5,"")</f>
        <v/>
      </c>
      <c r="AG40" s="20">
        <f>IFERROR(AG5,"")</f>
        <v/>
      </c>
      <c r="AH40" s="20">
        <f>IFERROR(AH5,"")</f>
        <v/>
      </c>
      <c r="AI40" s="20">
        <f>IFERROR(AI5,"")</f>
        <v/>
      </c>
      <c r="AJ40" s="38">
        <f>SUM(AF40:AI40)</f>
        <v/>
      </c>
      <c r="AK40" s="20">
        <f>IFERROR(AK5,"")</f>
        <v/>
      </c>
      <c r="AL40" s="20">
        <f>IFERROR(AL5,"")</f>
        <v/>
      </c>
      <c r="AM40" s="20">
        <f>IFERROR(AM5,"")</f>
        <v/>
      </c>
      <c r="AN40" s="20">
        <f>IFERROR(AN5,"")</f>
        <v/>
      </c>
      <c r="AO40" s="38">
        <f>SUM(AK40:AN40)</f>
        <v/>
      </c>
    </row>
    <row r="41">
      <c r="A41" s="12" t="inlineStr">
        <is>
          <t>OP전사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전사(부문 미분리)</t>
        </is>
      </c>
      <c r="E41" s="18" t="n">
        <v>-35.69</v>
      </c>
      <c r="F41" s="37" t="n"/>
      <c r="G41" s="18" t="n">
        <v>-16.94</v>
      </c>
      <c r="H41" s="18" t="n">
        <v>-16.03</v>
      </c>
      <c r="I41" s="18" t="n">
        <v>-35.21</v>
      </c>
      <c r="J41" s="18" t="n">
        <v>-77.34</v>
      </c>
      <c r="K41" s="37">
        <f>SUM(G41:J41)</f>
        <v/>
      </c>
      <c r="L41" s="18" t="n">
        <v>2.05</v>
      </c>
      <c r="M41" s="18" t="n">
        <v>60.53</v>
      </c>
      <c r="N41" s="18" t="n">
        <v>16.56</v>
      </c>
      <c r="O41" s="18" t="n">
        <v>29.5</v>
      </c>
      <c r="P41" s="37">
        <f>SUM(L41:O41)</f>
        <v/>
      </c>
      <c r="Q41" s="18" t="n">
        <v>25.41</v>
      </c>
      <c r="R41" s="18" t="n">
        <v>6.48</v>
      </c>
      <c r="S41" s="18" t="n">
        <v>-10.96</v>
      </c>
      <c r="T41" s="18" t="n">
        <v>-10.22</v>
      </c>
      <c r="U41" s="37">
        <f>SUM(Q41:T41)</f>
        <v/>
      </c>
      <c r="V41" s="18" t="n">
        <v>-17.56</v>
      </c>
      <c r="W41" s="18" t="n">
        <v>-14.76</v>
      </c>
      <c r="X41" s="18" t="n">
        <v>-10.12</v>
      </c>
      <c r="Y41" s="18" t="n">
        <v>-3.76</v>
      </c>
      <c r="Z41" s="37">
        <f>SUM(V41:Y41)</f>
        <v/>
      </c>
      <c r="AA41" s="18" t="n">
        <v>-7.94</v>
      </c>
      <c r="AB41" s="19" t="n">
        <v>-8.06</v>
      </c>
      <c r="AC41" s="20">
        <f>IFERROR(AC9,"")</f>
        <v/>
      </c>
      <c r="AD41" s="20">
        <f>IFERROR(AD9,"")</f>
        <v/>
      </c>
      <c r="AE41" s="38">
        <f>SUM(AA41:AD41)</f>
        <v/>
      </c>
      <c r="AF41" s="20">
        <f>IFERROR(AF9,"")</f>
        <v/>
      </c>
      <c r="AG41" s="20">
        <f>IFERROR(AG9,"")</f>
        <v/>
      </c>
      <c r="AH41" s="20">
        <f>IFERROR(AH9,"")</f>
        <v/>
      </c>
      <c r="AI41" s="20">
        <f>IFERROR(AI9,"")</f>
        <v/>
      </c>
      <c r="AJ41" s="38">
        <f>SUM(AF41:AI41)</f>
        <v/>
      </c>
      <c r="AK41" s="20">
        <f>IFERROR(AK9,"")</f>
        <v/>
      </c>
      <c r="AL41" s="20">
        <f>IFERROR(AL9,"")</f>
        <v/>
      </c>
      <c r="AM41" s="20">
        <f>IFERROR(AM9,"")</f>
        <v/>
      </c>
      <c r="AN41" s="20">
        <f>IFERROR(AN9,"")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IFERROR(E21/E5,"")</f>
        <v/>
      </c>
      <c r="F43" s="22">
        <f>IFERROR(F21/F5,"")</f>
        <v/>
      </c>
      <c r="G43" s="21">
        <f>IFERROR(G21/G5,"")</f>
        <v/>
      </c>
      <c r="H43" s="21">
        <f>IFERROR(H21/H5,"")</f>
        <v/>
      </c>
      <c r="I43" s="21">
        <f>IFERROR(I21/I5,"")</f>
        <v/>
      </c>
      <c r="J43" s="21">
        <f>IFERROR(J21/J5,"")</f>
        <v/>
      </c>
      <c r="K43" s="22">
        <f>IFERROR(K21/K5,"")</f>
        <v/>
      </c>
      <c r="L43" s="21">
        <f>IFERROR(L21/L5,"")</f>
        <v/>
      </c>
      <c r="M43" s="21">
        <f>IFERROR(M21/M5,"")</f>
        <v/>
      </c>
      <c r="N43" s="21">
        <f>IFERROR(N21/N5,"")</f>
        <v/>
      </c>
      <c r="O43" s="21">
        <f>IFERROR(O21/O5,"")</f>
        <v/>
      </c>
      <c r="P43" s="22">
        <f>IFERROR(P21/P5,"")</f>
        <v/>
      </c>
      <c r="Q43" s="21">
        <f>IFERROR(Q21/Q5,"")</f>
        <v/>
      </c>
      <c r="R43" s="21">
        <f>IFERROR(R21/R5,"")</f>
        <v/>
      </c>
      <c r="S43" s="21">
        <f>IFERROR(S21/S5,"")</f>
        <v/>
      </c>
      <c r="T43" s="21">
        <f>IFERROR(T21/T5,"")</f>
        <v/>
      </c>
      <c r="U43" s="22">
        <f>IFERROR(U21/U5,"")</f>
        <v/>
      </c>
      <c r="V43" s="21">
        <f>IFERROR(V21/V5,"")</f>
        <v/>
      </c>
      <c r="W43" s="21">
        <f>IFERROR(W21/W5,"")</f>
        <v/>
      </c>
      <c r="X43" s="21">
        <f>IFERROR(X21/X5,"")</f>
        <v/>
      </c>
      <c r="Y43" s="21">
        <f>IFERROR(Y21/Y5,"")</f>
        <v/>
      </c>
      <c r="Z43" s="22">
        <f>IFERROR(Z21/Z5,"")</f>
        <v/>
      </c>
      <c r="AA43" s="21">
        <f>IFERROR(AA21/AA5,"")</f>
        <v/>
      </c>
      <c r="AB43" s="23">
        <f>IFERROR(AB21/AB5,"")</f>
        <v/>
      </c>
      <c r="AC43" s="33">
        <f>IFERROR(AC21/AC5,"")</f>
        <v/>
      </c>
      <c r="AD43" s="33">
        <f>IFERROR(AD21/AD5,"")</f>
        <v/>
      </c>
      <c r="AE43" s="25">
        <f>IFERROR(AE21/AE5,"")</f>
        <v/>
      </c>
      <c r="AF43" s="33">
        <f>IFERROR(AF21/AF5,"")</f>
        <v/>
      </c>
      <c r="AG43" s="33">
        <f>IFERROR(AG21/AG5,"")</f>
        <v/>
      </c>
      <c r="AH43" s="33">
        <f>IFERROR(AH21/AH5,"")</f>
        <v/>
      </c>
      <c r="AI43" s="33">
        <f>IFERROR(AI21/AI5,"")</f>
        <v/>
      </c>
      <c r="AJ43" s="25">
        <f>IFERROR(AJ21/AJ5,"")</f>
        <v/>
      </c>
      <c r="AK43" s="33">
        <f>IFERROR(AK21/AK5,"")</f>
        <v/>
      </c>
      <c r="AL43" s="33">
        <f>IFERROR(AL21/AL5,"")</f>
        <v/>
      </c>
      <c r="AM43" s="33">
        <f>IFERROR(AM21/AM5,"")</f>
        <v/>
      </c>
      <c r="AN43" s="33">
        <f>IFERROR(AN21/AN5,"")</f>
        <v/>
      </c>
      <c r="AO43" s="25">
        <f>IFERROR(AO21/AO5,"")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8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9">
        <f>IFERROR(VLOOKUP($A38,subQ,MATCH(W$1,SUBQH,0),0),"")</f>
        <v/>
      </c>
      <c r="X38" s="40">
        <f>IFERROR(VLOOKUP($A38,subQ,MATCH(X$1,SUBQH,0),0),"")</f>
        <v/>
      </c>
      <c r="Y38" s="40">
        <f>IFERROR(VLOOKUP($A38,subQ,MATCH(Y$1,SUBQH,0),0),"")</f>
        <v/>
      </c>
      <c r="Z38" s="40">
        <f>IFERROR(VLOOKUP($A38,subQ,MATCH(Z$1,SUBQH,0),0),"")</f>
        <v/>
      </c>
      <c r="AA38" s="40">
        <f>IFERROR(VLOOKUP($A38,subQ,MATCH(AA$1,SUBQH,0),0),"")</f>
        <v/>
      </c>
      <c r="AB38" s="40">
        <f>IFERROR(VLOOKUP($A38,subQ,MATCH(AB$1,SUBQH,0),0),"")</f>
        <v/>
      </c>
      <c r="AC38" s="40">
        <f>IFERROR(VLOOKUP($A38,subQ,MATCH(AC$1,SUBQH,0),0),"")</f>
        <v/>
      </c>
      <c r="AD38" s="40">
        <f>IFERROR(VLOOKUP($A38,subQ,MATCH(AD$1,SUBQH,0),0),"")</f>
        <v/>
      </c>
      <c r="AE38" s="40">
        <f>IFERROR(VLOOKUP($A38,subQ,MATCH(AE$1,SUBQH,0),0),"")</f>
        <v/>
      </c>
      <c r="AF38" s="40">
        <f>IFERROR(VLOOKUP($A38,subQ,MATCH(AF$1,SUBQH,0),0),"")</f>
        <v/>
      </c>
      <c r="AG38" s="40">
        <f>IFERROR(VLOOKUP($A38,subQ,MATCH(AG$1,SUBQH,0),0),"")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13">
        <f>IFERROR(VLOOKUP($A39,subQ,MATCH(I$1,SUBQH,0),0),"")</f>
        <v/>
      </c>
      <c r="J39" s="13">
        <f>IFERROR(VLOOKUP($A39,subQ,MATCH(J$1,SUBQH,0),0),"")</f>
        <v/>
      </c>
      <c r="K39" s="13">
        <f>IFERROR(VLOOKUP($A39,subQ,MATCH(K$1,SUBQH,0),0),"")</f>
        <v/>
      </c>
      <c r="L39" s="13">
        <f>IFERROR(VLOOKUP($A39,subQ,MATCH(L$1,SUBQH,0),0),"")</f>
        <v/>
      </c>
      <c r="M39" s="13">
        <f>IFERROR(VLOOKUP($A39,subQ,MATCH(M$1,SUBQH,0),0),"")</f>
        <v/>
      </c>
      <c r="N39" s="13">
        <f>IFERROR(VLOOKUP($A39,subQ,MATCH(N$1,SUBQH,0),0),"")</f>
        <v/>
      </c>
      <c r="O39" s="13">
        <f>IFERROR(VLOOKUP($A39,subQ,MATCH(O$1,SUBQH,0),0),"")</f>
        <v/>
      </c>
      <c r="P39" s="13">
        <f>IFERROR(VLOOKUP($A39,subQ,MATCH(P$1,SUBQH,0),0),"")</f>
        <v/>
      </c>
      <c r="Q39" s="13">
        <f>IFERROR(VLOOKUP($A39,subQ,MATCH(Q$1,SUBQH,0),0),"")</f>
        <v/>
      </c>
      <c r="R39" s="13">
        <f>IFERROR(VLOOKUP($A39,subQ,MATCH(R$1,SUBQH,0),0),"")</f>
        <v/>
      </c>
      <c r="S39" s="13">
        <f>IFERROR(VLOOKUP($A39,subQ,MATCH(S$1,SUBQH,0),0),"")</f>
        <v/>
      </c>
      <c r="T39" s="13">
        <f>IFERROR(VLOOKUP($A39,subQ,MATCH(T$1,SUBQH,0),0),"")</f>
        <v/>
      </c>
      <c r="U39" s="13">
        <f>IFERROR(VLOOKUP($A39,subQ,MATCH(U$1,SUBQH,0),0),"")</f>
        <v/>
      </c>
      <c r="V39" s="13">
        <f>IFERROR(VLOOKUP($A39,subQ,MATCH(V$1,SUBQH,0),0),"")</f>
        <v/>
      </c>
      <c r="W39" s="49">
        <f>IFERROR(VLOOKUP($A39,subQ,MATCH(W$1,SUBQH,0),0),"")</f>
        <v/>
      </c>
      <c r="X39" s="40">
        <f>IFERROR(VLOOKUP($A39,subQ,MATCH(X$1,SUBQH,0),0),"")</f>
        <v/>
      </c>
      <c r="Y39" s="40">
        <f>IFERROR(VLOOKUP($A39,subQ,MATCH(Y$1,SUBQH,0),0),"")</f>
        <v/>
      </c>
      <c r="Z39" s="40">
        <f>IFERROR(VLOOKUP($A39,subQ,MATCH(Z$1,SUBQH,0),0),"")</f>
        <v/>
      </c>
      <c r="AA39" s="40">
        <f>IFERROR(VLOOKUP($A39,subQ,MATCH(AA$1,SUBQH,0),0),"")</f>
        <v/>
      </c>
      <c r="AB39" s="40">
        <f>IFERROR(VLOOKUP($A39,subQ,MATCH(AB$1,SUBQH,0),0),"")</f>
        <v/>
      </c>
      <c r="AC39" s="40">
        <f>IFERROR(VLOOKUP($A39,subQ,MATCH(AC$1,SUBQH,0),0),"")</f>
        <v/>
      </c>
      <c r="AD39" s="40">
        <f>IFERROR(VLOOKUP($A39,subQ,MATCH(AD$1,SUBQH,0),0),"")</f>
        <v/>
      </c>
      <c r="AE39" s="40">
        <f>IFERROR(VLOOKUP($A39,subQ,MATCH(AE$1,SUBQH,0),0),"")</f>
        <v/>
      </c>
      <c r="AF39" s="40">
        <f>IFERROR(VLOOKUP($A39,subQ,MATCH(AF$1,SUBQH,0),0),"")</f>
        <v/>
      </c>
      <c r="AG39" s="40">
        <f>IFERROR(VLOOKUP($A39,subQ,MATCH(AG$1,SUBQH,0),0),"")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6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6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7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7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7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IFERROR(I21/E21-1,"")</f>
        <v/>
      </c>
      <c r="J45" s="21">
        <f>IFERROR(J21/F21-1,"")</f>
        <v/>
      </c>
      <c r="K45" s="21">
        <f>IFERROR(K21/G21-1,"")</f>
        <v/>
      </c>
      <c r="L45" s="21">
        <f>IFERROR(L21/H21-1,"")</f>
        <v/>
      </c>
      <c r="M45" s="21">
        <f>IFERROR(M21/I21-1,"")</f>
        <v/>
      </c>
      <c r="N45" s="21">
        <f>IFERROR(N21/J21-1,"")</f>
        <v/>
      </c>
      <c r="O45" s="21">
        <f>IFERROR(O21/K21-1,"")</f>
        <v/>
      </c>
      <c r="P45" s="21">
        <f>IFERROR(P21/L21-1,"")</f>
        <v/>
      </c>
      <c r="Q45" s="21">
        <f>IFERROR(Q21/M21-1,"")</f>
        <v/>
      </c>
      <c r="R45" s="21">
        <f>IFERROR(R21/N21-1,"")</f>
        <v/>
      </c>
      <c r="S45" s="21">
        <f>IFERROR(S21/O21-1,"")</f>
        <v/>
      </c>
      <c r="T45" s="21">
        <f>IFERROR(T21/P21-1,"")</f>
        <v/>
      </c>
      <c r="U45" s="21">
        <f>IFERROR(U21/Q21-1,"")</f>
        <v/>
      </c>
      <c r="V45" s="21">
        <f>IFERROR(V21/R21-1,"")</f>
        <v/>
      </c>
      <c r="W45" s="47">
        <f>IFERROR(W21/S21-1,"")</f>
        <v/>
      </c>
      <c r="X45" s="33">
        <f>IFERROR(X21/T21-1,"")</f>
        <v/>
      </c>
      <c r="Y45" s="33">
        <f>IFERROR(Y21/U21-1,"")</f>
        <v/>
      </c>
      <c r="Z45" s="33">
        <f>IFERROR(Z21/V21-1,"")</f>
        <v/>
      </c>
      <c r="AA45" s="33">
        <f>IFERROR(AA21/W21-1,"")</f>
        <v/>
      </c>
      <c r="AB45" s="33">
        <f>IFERROR(AB21/X21-1,"")</f>
        <v/>
      </c>
      <c r="AC45" s="33">
        <f>IFERROR(AC21/Y21-1,"")</f>
        <v/>
      </c>
      <c r="AD45" s="33">
        <f>IFERROR(AD21/Z21-1,"")</f>
        <v/>
      </c>
      <c r="AE45" s="33">
        <f>IFERROR(AE21/AA21-1,"")</f>
        <v/>
      </c>
      <c r="AF45" s="33">
        <f>IFERROR(AF21/AB21-1,"")</f>
        <v/>
      </c>
      <c r="AG45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43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8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조정EPS</t>
        </is>
      </c>
      <c r="D35" t="inlineStr">
        <is>
          <t>조정 EPS(일회성 의심 분기의 초과 비영업손익 세후 차감 — 모델 추정)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BPS</t>
        </is>
      </c>
      <c r="D36" t="inlineStr">
        <is>
          <t>BPS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DPS</t>
        </is>
      </c>
      <c r="D37" t="inlineStr">
        <is>
          <t>DPS(보통주)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PER</t>
        </is>
      </c>
      <c r="D38" t="inlineStr">
        <is>
          <t>PER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9">
        <f>IFERROR(VLOOKUP($A38,subQ,MATCH(I$1,SUBQH,0),0),"")</f>
        <v/>
      </c>
      <c r="J38" s="40">
        <f>IFERROR(VLOOKUP($A38,subQ,MATCH(J$1,SUBQH,0),0),"")</f>
        <v/>
      </c>
      <c r="K38" s="40">
        <f>IFERROR(VLOOKUP($A38,subQ,MATCH(K$1,SUBQH,0),0),"")</f>
        <v/>
      </c>
      <c r="L38" s="40">
        <f>IFERROR(VLOOKUP($A38,subQ,MATCH(L$1,SUBQH,0),0),"")</f>
        <v/>
      </c>
    </row>
    <row r="39">
      <c r="A39" s="12" t="inlineStr">
        <is>
          <t>PBR</t>
        </is>
      </c>
      <c r="D39" t="inlineStr">
        <is>
          <t>PBR</t>
        </is>
      </c>
      <c r="E39" s="13">
        <f>IFERROR(VLOOKUP($A39,subQ,MATCH(E$1,SUBQH,0),0),"")</f>
        <v/>
      </c>
      <c r="F39" s="13">
        <f>IFERROR(VLOOKUP($A39,subQ,MATCH(F$1,SUBQH,0),0),"")</f>
        <v/>
      </c>
      <c r="G39" s="13">
        <f>IFERROR(VLOOKUP($A39,subQ,MATCH(G$1,SUBQH,0),0),"")</f>
        <v/>
      </c>
      <c r="H39" s="13">
        <f>IFERROR(VLOOKUP($A39,subQ,MATCH(H$1,SUBQH,0),0),"")</f>
        <v/>
      </c>
      <c r="I39" s="49">
        <f>IFERROR(VLOOKUP($A39,subQ,MATCH(I$1,SUBQH,0),0),"")</f>
        <v/>
      </c>
      <c r="J39" s="40">
        <f>IFERROR(VLOOKUP($A39,subQ,MATCH(J$1,SUBQH,0),0),"")</f>
        <v/>
      </c>
      <c r="K39" s="40">
        <f>IFERROR(VLOOKUP($A39,subQ,MATCH(K$1,SUBQH,0),0),"")</f>
        <v/>
      </c>
      <c r="L39" s="40">
        <f>IFERROR(VLOOKUP($A39,subQ,MATCH(L$1,SUBQH,0),0),"")</f>
        <v/>
      </c>
    </row>
    <row r="40">
      <c r="A40" s="12" t="inlineStr">
        <is>
          <t>매출전사</t>
        </is>
      </c>
      <c r="D40" t="inlineStr">
        <is>
          <t>매출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6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OP전사</t>
        </is>
      </c>
      <c r="D41" t="inlineStr">
        <is>
          <t>OP 전사(부문 미분리)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6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7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7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7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IFERROR(F21/E21-1,"")</f>
        <v/>
      </c>
      <c r="G45" s="21">
        <f>IFERROR(G21/F21-1,"")</f>
        <v/>
      </c>
      <c r="H45" s="21">
        <f>IFERROR(H21/G21-1,"")</f>
        <v/>
      </c>
      <c r="I45" s="47">
        <f>IFERROR(I21/H21-1,"")</f>
        <v/>
      </c>
      <c r="J45" s="33">
        <f>IFERROR(J21/I21-1,"")</f>
        <v/>
      </c>
      <c r="K45" s="33">
        <f>IFERROR(K21/J21-1,"")</f>
        <v/>
      </c>
      <c r="L45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7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-271.4</v>
      </c>
    </row>
    <row r="30">
      <c r="C30" s="2" t="inlineStr">
        <is>
          <t>bps_latest</t>
        </is>
      </c>
      <c r="D30" t="n">
        <v>1124.9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1.27</v>
      </c>
    </row>
    <row r="33">
      <c r="C33" s="2" t="inlineStr">
        <is>
          <t>roe_fwd</t>
        </is>
      </c>
      <c r="D33" t="n">
        <v>-0.2413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변수!D59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